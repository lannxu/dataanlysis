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2.xml" ContentType="application/vnd.openxmlformats-officedocument.spreadsheetml.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XLU2NJ\Desktop\ASR薪水分析\"/>
    </mc:Choice>
  </mc:AlternateContent>
  <xr:revisionPtr revIDLastSave="0" documentId="13_ncr:1_{F2313182-BB9D-4942-A5D5-D5E6A1DA8A69}" xr6:coauthVersionLast="47" xr6:coauthVersionMax="47" xr10:uidLastSave="{00000000-0000-0000-0000-000000000000}"/>
  <bookViews>
    <workbookView xWindow="-110" yWindow="-110" windowWidth="19420" windowHeight="10300" activeTab="2" xr2:uid="{00000000-000D-0000-FFFF-FFFF00000000}"/>
  </bookViews>
  <sheets>
    <sheet name="数据分析" sheetId="6" r:id="rId1"/>
    <sheet name="数据透视" sheetId="9" r:id="rId2"/>
    <sheet name="白领" sheetId="1" r:id="rId3"/>
    <sheet name="升职" sheetId="10" r:id="rId4"/>
    <sheet name="特殊" sheetId="11" r:id="rId5"/>
    <sheet name="蓝领" sheetId="2" r:id="rId6"/>
  </sheets>
  <externalReferences>
    <externalReference r:id="rId7"/>
  </externalReferences>
  <definedNames>
    <definedName name="_xlnm._FilterDatabase" localSheetId="3" hidden="1">升职!$A$2:$AV$59</definedName>
    <definedName name="_xlnm._FilterDatabase" localSheetId="4" hidden="1">特殊!$A$1:$AW$159</definedName>
    <definedName name="_xlnm._FilterDatabase" localSheetId="2" hidden="1">白领!$A$1:$AW$795</definedName>
  </definedNames>
  <calcPr calcId="191029" concurrentManualCount="8"/>
  <pivotCaches>
    <pivotCache cacheId="9"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795" i="1" l="1"/>
  <c r="W795" i="1" s="1"/>
  <c r="D32" i="6"/>
  <c r="D33" i="6"/>
  <c r="D34" i="6"/>
  <c r="D35" i="6"/>
  <c r="D36" i="6"/>
  <c r="D37" i="6"/>
  <c r="D31" i="6"/>
  <c r="D39" i="6"/>
  <c r="D40" i="6"/>
  <c r="D41" i="6"/>
  <c r="D42" i="6"/>
  <c r="D38" i="6"/>
  <c r="N25" i="6"/>
  <c r="J25" i="6"/>
  <c r="E26" i="6"/>
  <c r="D22" i="6"/>
  <c r="D26" i="6"/>
  <c r="AD795" i="1"/>
  <c r="AE795" i="1" s="1"/>
  <c r="X795" i="1"/>
  <c r="R795" i="1"/>
  <c r="P795" i="1"/>
  <c r="AD794" i="1"/>
  <c r="AE794" i="1" s="1"/>
  <c r="X794" i="1"/>
  <c r="W794" i="1"/>
  <c r="R794" i="1"/>
  <c r="P794" i="1"/>
  <c r="AD793" i="1"/>
  <c r="AE793" i="1" s="1"/>
  <c r="AL793" i="1" s="1"/>
  <c r="X793" i="1"/>
  <c r="W793" i="1"/>
  <c r="R793" i="1"/>
  <c r="P793" i="1"/>
  <c r="AD792" i="1"/>
  <c r="R792" i="1"/>
  <c r="P792" i="1"/>
  <c r="AD791" i="1"/>
  <c r="AE791" i="1" s="1"/>
  <c r="X791" i="1"/>
  <c r="W791" i="1"/>
  <c r="R791" i="1"/>
  <c r="P791" i="1"/>
  <c r="AD790" i="1"/>
  <c r="V790" i="1"/>
  <c r="W790" i="1" s="1"/>
  <c r="R790" i="1"/>
  <c r="P790" i="1"/>
  <c r="AD789" i="1"/>
  <c r="R789" i="1"/>
  <c r="P789" i="1"/>
  <c r="AE790" i="1" l="1"/>
  <c r="AL790" i="1" s="1"/>
  <c r="T792" i="1"/>
  <c r="S792" i="1" s="1"/>
  <c r="Y792" i="1" s="1"/>
  <c r="T791" i="1"/>
  <c r="U791" i="1" s="1"/>
  <c r="T795" i="1"/>
  <c r="U795" i="1" s="1"/>
  <c r="X790" i="1"/>
  <c r="T790" i="1"/>
  <c r="S790" i="1" s="1"/>
  <c r="Y790" i="1" s="1"/>
  <c r="AG794" i="1"/>
  <c r="AL794" i="1"/>
  <c r="AG791" i="1"/>
  <c r="AL791" i="1"/>
  <c r="T789" i="1"/>
  <c r="U789" i="1" s="1"/>
  <c r="V789" i="1" s="1"/>
  <c r="T794" i="1"/>
  <c r="S794" i="1" s="1"/>
  <c r="Y794" i="1" s="1"/>
  <c r="AW794" i="1" s="1"/>
  <c r="T793" i="1"/>
  <c r="U793" i="1" s="1"/>
  <c r="S795" i="1"/>
  <c r="Y795" i="1" s="1"/>
  <c r="AW795" i="1" s="1"/>
  <c r="AL795" i="1"/>
  <c r="AG795" i="1"/>
  <c r="AF795" i="1"/>
  <c r="AF791" i="1"/>
  <c r="AF794" i="1"/>
  <c r="AF793" i="1"/>
  <c r="AF790" i="1"/>
  <c r="AG790" i="1"/>
  <c r="AG793" i="1"/>
  <c r="S791" i="1" l="1"/>
  <c r="Y791" i="1" s="1"/>
  <c r="AW791" i="1" s="1"/>
  <c r="AW790" i="1"/>
  <c r="U792" i="1"/>
  <c r="V792" i="1" s="1"/>
  <c r="X792" i="1" s="1"/>
  <c r="AW792" i="1" s="1"/>
  <c r="S793" i="1"/>
  <c r="Y793" i="1" s="1"/>
  <c r="AW793" i="1" s="1"/>
  <c r="U790" i="1"/>
  <c r="S789" i="1"/>
  <c r="Y789" i="1" s="1"/>
  <c r="AW789" i="1" s="1"/>
  <c r="U794" i="1"/>
  <c r="AE789" i="1"/>
  <c r="X789" i="1"/>
  <c r="W789" i="1"/>
  <c r="W792" i="1" l="1"/>
  <c r="AE792" i="1"/>
  <c r="AF792" i="1" s="1"/>
  <c r="AG789" i="1"/>
  <c r="AF789" i="1"/>
  <c r="AL789" i="1"/>
  <c r="AL792" i="1" l="1"/>
  <c r="AG792" i="1"/>
  <c r="H28" i="6"/>
  <c r="E28" i="6"/>
  <c r="D28" i="6"/>
  <c r="N28" i="6"/>
  <c r="J27" i="6" l="1"/>
  <c r="J17" i="6" l="1"/>
  <c r="L17" i="6" s="1"/>
  <c r="J18" i="6"/>
  <c r="J19" i="6"/>
  <c r="J20" i="6"/>
  <c r="J21" i="6"/>
  <c r="J22" i="6"/>
  <c r="L22" i="6" s="1"/>
  <c r="J23" i="6"/>
  <c r="J24" i="6"/>
  <c r="J26" i="6"/>
  <c r="J28" i="6"/>
  <c r="L28" i="6" s="1"/>
  <c r="J16" i="6"/>
  <c r="AD788" i="1"/>
  <c r="AE788" i="1" s="1"/>
  <c r="X788" i="1"/>
  <c r="W788" i="1"/>
  <c r="R788" i="1"/>
  <c r="P788" i="1"/>
  <c r="AD787" i="1"/>
  <c r="AE787" i="1" s="1"/>
  <c r="X787" i="1"/>
  <c r="W787" i="1"/>
  <c r="R787" i="1"/>
  <c r="P787" i="1"/>
  <c r="AD786" i="1"/>
  <c r="AE786" i="1" s="1"/>
  <c r="AF786" i="1" s="1"/>
  <c r="X786" i="1"/>
  <c r="W786" i="1"/>
  <c r="R786" i="1"/>
  <c r="P786" i="1"/>
  <c r="AD785" i="1"/>
  <c r="AE785" i="1" s="1"/>
  <c r="X785" i="1"/>
  <c r="W785" i="1"/>
  <c r="R785" i="1"/>
  <c r="P785" i="1"/>
  <c r="AD784" i="1"/>
  <c r="AE784" i="1" s="1"/>
  <c r="X784" i="1"/>
  <c r="W784" i="1"/>
  <c r="R784" i="1"/>
  <c r="P784" i="1"/>
  <c r="AD783" i="1"/>
  <c r="AE783" i="1" s="1"/>
  <c r="AF783" i="1" s="1"/>
  <c r="X783" i="1"/>
  <c r="W783" i="1"/>
  <c r="R783" i="1"/>
  <c r="P783" i="1"/>
  <c r="AD782" i="1"/>
  <c r="AE782" i="1" s="1"/>
  <c r="X782" i="1"/>
  <c r="W782" i="1"/>
  <c r="R782" i="1"/>
  <c r="P782" i="1"/>
  <c r="AD781" i="1"/>
  <c r="AE781" i="1" s="1"/>
  <c r="X781" i="1"/>
  <c r="W781" i="1"/>
  <c r="R781" i="1"/>
  <c r="P781" i="1"/>
  <c r="AD780" i="1"/>
  <c r="AE780" i="1" s="1"/>
  <c r="X780" i="1"/>
  <c r="W780" i="1"/>
  <c r="R780" i="1"/>
  <c r="P780" i="1"/>
  <c r="AD779" i="1"/>
  <c r="AE779" i="1" s="1"/>
  <c r="X779" i="1"/>
  <c r="W779" i="1"/>
  <c r="R779" i="1"/>
  <c r="P779" i="1"/>
  <c r="AD778" i="1"/>
  <c r="AE778" i="1" s="1"/>
  <c r="AL778" i="1" s="1"/>
  <c r="X778" i="1"/>
  <c r="W778" i="1"/>
  <c r="R778" i="1"/>
  <c r="P778" i="1"/>
  <c r="AD777" i="1"/>
  <c r="AE777" i="1" s="1"/>
  <c r="X777" i="1"/>
  <c r="W777" i="1"/>
  <c r="R777" i="1"/>
  <c r="P777" i="1"/>
  <c r="AD776" i="1"/>
  <c r="AE776" i="1" s="1"/>
  <c r="X776" i="1"/>
  <c r="W776" i="1"/>
  <c r="R776" i="1"/>
  <c r="P776" i="1"/>
  <c r="AD775" i="1"/>
  <c r="AE775" i="1" s="1"/>
  <c r="X775" i="1"/>
  <c r="W775" i="1"/>
  <c r="R775" i="1"/>
  <c r="P775" i="1"/>
  <c r="AD774" i="1"/>
  <c r="AE774" i="1" s="1"/>
  <c r="X774" i="1"/>
  <c r="W774" i="1"/>
  <c r="R774" i="1"/>
  <c r="P774" i="1"/>
  <c r="AD773" i="1"/>
  <c r="AE773" i="1" s="1"/>
  <c r="X773" i="1"/>
  <c r="W773" i="1"/>
  <c r="R773" i="1"/>
  <c r="P773" i="1"/>
  <c r="AD772" i="1"/>
  <c r="AE772" i="1" s="1"/>
  <c r="X772" i="1"/>
  <c r="W772" i="1"/>
  <c r="R772" i="1"/>
  <c r="P772" i="1"/>
  <c r="AD771" i="1"/>
  <c r="AE771" i="1" s="1"/>
  <c r="X771" i="1"/>
  <c r="W771" i="1"/>
  <c r="R771" i="1"/>
  <c r="P771" i="1"/>
  <c r="AD770" i="1"/>
  <c r="AE770" i="1" s="1"/>
  <c r="X770" i="1"/>
  <c r="W770" i="1"/>
  <c r="R770" i="1"/>
  <c r="P770" i="1"/>
  <c r="AD769" i="1"/>
  <c r="AE769" i="1" s="1"/>
  <c r="X769" i="1"/>
  <c r="W769" i="1"/>
  <c r="R769" i="1"/>
  <c r="P769" i="1"/>
  <c r="AD768" i="1"/>
  <c r="AE768" i="1" s="1"/>
  <c r="X768" i="1"/>
  <c r="W768" i="1"/>
  <c r="R768" i="1"/>
  <c r="P768" i="1"/>
  <c r="AD767" i="1"/>
  <c r="AE767" i="1" s="1"/>
  <c r="AF767" i="1" s="1"/>
  <c r="X767" i="1"/>
  <c r="W767" i="1"/>
  <c r="R767" i="1"/>
  <c r="P767" i="1"/>
  <c r="AD766" i="1"/>
  <c r="AE766" i="1" s="1"/>
  <c r="X766" i="1"/>
  <c r="W766" i="1"/>
  <c r="R766" i="1"/>
  <c r="P766" i="1"/>
  <c r="AD765" i="1"/>
  <c r="AE765" i="1" s="1"/>
  <c r="X765" i="1"/>
  <c r="W765" i="1"/>
  <c r="R765" i="1"/>
  <c r="P765" i="1"/>
  <c r="AD764" i="1"/>
  <c r="AE764" i="1" s="1"/>
  <c r="X764" i="1"/>
  <c r="W764" i="1"/>
  <c r="R764" i="1"/>
  <c r="P764" i="1"/>
  <c r="AD763" i="1"/>
  <c r="AE763" i="1" s="1"/>
  <c r="X763" i="1"/>
  <c r="W763" i="1"/>
  <c r="R763" i="1"/>
  <c r="P763" i="1"/>
  <c r="AD762" i="1"/>
  <c r="AE762" i="1" s="1"/>
  <c r="X762" i="1"/>
  <c r="W762" i="1"/>
  <c r="R762" i="1"/>
  <c r="P762" i="1"/>
  <c r="AD761" i="1"/>
  <c r="AE761" i="1" s="1"/>
  <c r="X761" i="1"/>
  <c r="W761" i="1"/>
  <c r="R761" i="1"/>
  <c r="P761" i="1"/>
  <c r="AD760" i="1"/>
  <c r="AE760" i="1" s="1"/>
  <c r="X760" i="1"/>
  <c r="W760" i="1"/>
  <c r="R760" i="1"/>
  <c r="P760" i="1"/>
  <c r="AD759" i="1"/>
  <c r="AE759" i="1" s="1"/>
  <c r="X759" i="1"/>
  <c r="W759" i="1"/>
  <c r="R759" i="1"/>
  <c r="P759" i="1"/>
  <c r="AD758" i="1"/>
  <c r="AE758" i="1" s="1"/>
  <c r="X758" i="1"/>
  <c r="W758" i="1"/>
  <c r="R758" i="1"/>
  <c r="P758" i="1"/>
  <c r="AD757" i="1"/>
  <c r="AE757" i="1" s="1"/>
  <c r="X757" i="1"/>
  <c r="W757" i="1"/>
  <c r="R757" i="1"/>
  <c r="P757" i="1"/>
  <c r="AD756" i="1"/>
  <c r="AE756" i="1" s="1"/>
  <c r="X756" i="1"/>
  <c r="W756" i="1"/>
  <c r="R756" i="1"/>
  <c r="P756" i="1"/>
  <c r="AD755" i="1"/>
  <c r="AE755" i="1" s="1"/>
  <c r="X755" i="1"/>
  <c r="W755" i="1"/>
  <c r="R755" i="1"/>
  <c r="P755" i="1"/>
  <c r="AD754" i="1"/>
  <c r="AE754" i="1" s="1"/>
  <c r="X754" i="1"/>
  <c r="W754" i="1"/>
  <c r="R754" i="1"/>
  <c r="P754" i="1"/>
  <c r="AD753" i="1"/>
  <c r="AE753" i="1" s="1"/>
  <c r="AF753" i="1" s="1"/>
  <c r="X753" i="1"/>
  <c r="W753" i="1"/>
  <c r="R753" i="1"/>
  <c r="P753" i="1"/>
  <c r="AD752" i="1"/>
  <c r="AE752" i="1" s="1"/>
  <c r="X752" i="1"/>
  <c r="W752" i="1"/>
  <c r="R752" i="1"/>
  <c r="P752" i="1"/>
  <c r="AD751" i="1"/>
  <c r="R751" i="1"/>
  <c r="P751" i="1"/>
  <c r="AD750" i="1"/>
  <c r="AE750" i="1" s="1"/>
  <c r="X750" i="1"/>
  <c r="W750" i="1"/>
  <c r="R750" i="1"/>
  <c r="P750" i="1"/>
  <c r="AD749" i="1"/>
  <c r="AE749" i="1" s="1"/>
  <c r="X749" i="1"/>
  <c r="W749" i="1"/>
  <c r="R749" i="1"/>
  <c r="P749" i="1"/>
  <c r="AD748" i="1"/>
  <c r="R748" i="1"/>
  <c r="P748" i="1"/>
  <c r="AD747" i="1"/>
  <c r="R747" i="1"/>
  <c r="P747" i="1"/>
  <c r="AD746" i="1"/>
  <c r="AE746" i="1" s="1"/>
  <c r="X746" i="1"/>
  <c r="W746" i="1"/>
  <c r="R746" i="1"/>
  <c r="P746" i="1"/>
  <c r="AD745" i="1"/>
  <c r="AE745" i="1" s="1"/>
  <c r="X745" i="1"/>
  <c r="W745" i="1"/>
  <c r="R745" i="1"/>
  <c r="P745" i="1"/>
  <c r="AD744" i="1"/>
  <c r="AE744" i="1" s="1"/>
  <c r="X744" i="1"/>
  <c r="W744" i="1"/>
  <c r="R744" i="1"/>
  <c r="P744" i="1"/>
  <c r="AD743" i="1"/>
  <c r="AE743" i="1" s="1"/>
  <c r="AL743" i="1" s="1"/>
  <c r="X743" i="1"/>
  <c r="W743" i="1"/>
  <c r="R743" i="1"/>
  <c r="P743" i="1"/>
  <c r="AD742" i="1"/>
  <c r="AE742" i="1" s="1"/>
  <c r="X742" i="1"/>
  <c r="W742" i="1"/>
  <c r="R742" i="1"/>
  <c r="P742" i="1"/>
  <c r="AD741" i="1"/>
  <c r="AE741" i="1" s="1"/>
  <c r="X741" i="1"/>
  <c r="W741" i="1"/>
  <c r="R741" i="1"/>
  <c r="P741" i="1"/>
  <c r="AD740" i="1"/>
  <c r="R740" i="1"/>
  <c r="P740" i="1"/>
  <c r="AD739" i="1"/>
  <c r="R739" i="1"/>
  <c r="P739" i="1"/>
  <c r="AD738" i="1"/>
  <c r="AE738" i="1" s="1"/>
  <c r="X738" i="1"/>
  <c r="W738" i="1"/>
  <c r="R738" i="1"/>
  <c r="P738" i="1"/>
  <c r="AD737" i="1"/>
  <c r="AE737" i="1" s="1"/>
  <c r="AL737" i="1" s="1"/>
  <c r="X737" i="1"/>
  <c r="W737" i="1"/>
  <c r="R737" i="1"/>
  <c r="P737" i="1"/>
  <c r="AD736" i="1"/>
  <c r="R736" i="1"/>
  <c r="P736" i="1"/>
  <c r="AD735" i="1"/>
  <c r="AE735" i="1" s="1"/>
  <c r="X735" i="1"/>
  <c r="W735" i="1"/>
  <c r="R735" i="1"/>
  <c r="P735" i="1"/>
  <c r="AD734" i="1"/>
  <c r="AE734" i="1" s="1"/>
  <c r="X734" i="1"/>
  <c r="W734" i="1"/>
  <c r="R734" i="1"/>
  <c r="P734" i="1"/>
  <c r="AD733" i="1"/>
  <c r="AE733" i="1" s="1"/>
  <c r="X733" i="1"/>
  <c r="W733" i="1"/>
  <c r="R733" i="1"/>
  <c r="P733" i="1"/>
  <c r="AD732" i="1"/>
  <c r="R732" i="1"/>
  <c r="P732" i="1"/>
  <c r="AD731" i="1"/>
  <c r="AE731" i="1" s="1"/>
  <c r="AL731" i="1" s="1"/>
  <c r="X731" i="1"/>
  <c r="W731" i="1"/>
  <c r="R731" i="1"/>
  <c r="P731" i="1"/>
  <c r="AD730" i="1"/>
  <c r="AE730" i="1" s="1"/>
  <c r="X730" i="1"/>
  <c r="W730" i="1"/>
  <c r="R730" i="1"/>
  <c r="P730" i="1"/>
  <c r="AD729" i="1"/>
  <c r="AE729" i="1" s="1"/>
  <c r="AF729" i="1" s="1"/>
  <c r="X729" i="1"/>
  <c r="W729" i="1"/>
  <c r="R729" i="1"/>
  <c r="P729" i="1"/>
  <c r="AD728" i="1"/>
  <c r="AE728" i="1" s="1"/>
  <c r="AF728" i="1" s="1"/>
  <c r="X728" i="1"/>
  <c r="W728" i="1"/>
  <c r="R728" i="1"/>
  <c r="P728" i="1"/>
  <c r="AD727" i="1"/>
  <c r="R727" i="1"/>
  <c r="P727" i="1"/>
  <c r="AD726" i="1"/>
  <c r="AE726" i="1" s="1"/>
  <c r="X726" i="1"/>
  <c r="W726" i="1"/>
  <c r="R726" i="1"/>
  <c r="P726" i="1"/>
  <c r="AD725" i="1"/>
  <c r="AE725" i="1" s="1"/>
  <c r="AL725" i="1" s="1"/>
  <c r="X725" i="1"/>
  <c r="W725" i="1"/>
  <c r="R725" i="1"/>
  <c r="P725" i="1"/>
  <c r="AD724" i="1"/>
  <c r="AE724" i="1" s="1"/>
  <c r="X724" i="1"/>
  <c r="W724" i="1"/>
  <c r="R724" i="1"/>
  <c r="P724" i="1"/>
  <c r="AD723" i="1"/>
  <c r="AE723" i="1" s="1"/>
  <c r="AL723" i="1" s="1"/>
  <c r="X723" i="1"/>
  <c r="W723" i="1"/>
  <c r="R723" i="1"/>
  <c r="P723" i="1"/>
  <c r="AD722" i="1"/>
  <c r="AE722" i="1" s="1"/>
  <c r="X722" i="1"/>
  <c r="W722" i="1"/>
  <c r="R722" i="1"/>
  <c r="P722" i="1"/>
  <c r="AD721" i="1"/>
  <c r="R721" i="1"/>
  <c r="P721" i="1"/>
  <c r="AD720" i="1"/>
  <c r="AE720" i="1" s="1"/>
  <c r="AL720" i="1" s="1"/>
  <c r="X720" i="1"/>
  <c r="W720" i="1"/>
  <c r="R720" i="1"/>
  <c r="P720" i="1"/>
  <c r="AD719" i="1"/>
  <c r="AE719" i="1" s="1"/>
  <c r="X719" i="1"/>
  <c r="W719" i="1"/>
  <c r="R719" i="1"/>
  <c r="P719" i="1"/>
  <c r="AD718" i="1"/>
  <c r="AE718" i="1" s="1"/>
  <c r="AF718" i="1" s="1"/>
  <c r="X718" i="1"/>
  <c r="W718" i="1"/>
  <c r="R718" i="1"/>
  <c r="P718" i="1"/>
  <c r="AD717" i="1"/>
  <c r="R717" i="1"/>
  <c r="P717" i="1"/>
  <c r="AD716" i="1"/>
  <c r="AE716" i="1" s="1"/>
  <c r="X716" i="1"/>
  <c r="W716" i="1"/>
  <c r="R716" i="1"/>
  <c r="P716" i="1"/>
  <c r="AD715" i="1"/>
  <c r="R715" i="1"/>
  <c r="P715" i="1"/>
  <c r="AD714" i="1"/>
  <c r="AE714" i="1" s="1"/>
  <c r="AL714" i="1" s="1"/>
  <c r="X714" i="1"/>
  <c r="W714" i="1"/>
  <c r="R714" i="1"/>
  <c r="P714" i="1"/>
  <c r="AD713" i="1"/>
  <c r="AE713" i="1" s="1"/>
  <c r="X713" i="1"/>
  <c r="W713" i="1"/>
  <c r="R713" i="1"/>
  <c r="P713" i="1"/>
  <c r="AD712" i="1"/>
  <c r="AE712" i="1" s="1"/>
  <c r="AG712" i="1" s="1"/>
  <c r="X712" i="1"/>
  <c r="W712" i="1"/>
  <c r="R712" i="1"/>
  <c r="P712" i="1"/>
  <c r="AD711" i="1"/>
  <c r="AE711" i="1" s="1"/>
  <c r="X711" i="1"/>
  <c r="W711" i="1"/>
  <c r="R711" i="1"/>
  <c r="P711" i="1"/>
  <c r="AD710" i="1"/>
  <c r="AE710" i="1" s="1"/>
  <c r="X710" i="1"/>
  <c r="W710" i="1"/>
  <c r="R710" i="1"/>
  <c r="P710" i="1"/>
  <c r="AD709" i="1"/>
  <c r="AE709" i="1" s="1"/>
  <c r="AL709" i="1" s="1"/>
  <c r="X709" i="1"/>
  <c r="W709" i="1"/>
  <c r="R709" i="1"/>
  <c r="P709" i="1"/>
  <c r="AD708" i="1"/>
  <c r="AE708" i="1" s="1"/>
  <c r="AG708" i="1" s="1"/>
  <c r="X708" i="1"/>
  <c r="W708" i="1"/>
  <c r="R708" i="1"/>
  <c r="P708" i="1"/>
  <c r="AD707" i="1"/>
  <c r="AE707" i="1" s="1"/>
  <c r="X707" i="1"/>
  <c r="W707" i="1"/>
  <c r="R707" i="1"/>
  <c r="P707" i="1"/>
  <c r="AD706" i="1"/>
  <c r="R706" i="1"/>
  <c r="P706" i="1"/>
  <c r="AD705" i="1"/>
  <c r="R705" i="1"/>
  <c r="P705" i="1"/>
  <c r="AD704" i="1"/>
  <c r="AE704" i="1" s="1"/>
  <c r="AG704" i="1" s="1"/>
  <c r="X704" i="1"/>
  <c r="W704" i="1"/>
  <c r="R704" i="1"/>
  <c r="P704" i="1"/>
  <c r="AD703" i="1"/>
  <c r="AE703" i="1" s="1"/>
  <c r="AL703" i="1" s="1"/>
  <c r="X703" i="1"/>
  <c r="W703" i="1"/>
  <c r="R703" i="1"/>
  <c r="P703" i="1"/>
  <c r="AD702" i="1"/>
  <c r="R702" i="1"/>
  <c r="P702" i="1"/>
  <c r="AD701" i="1"/>
  <c r="R701" i="1"/>
  <c r="P701" i="1"/>
  <c r="AD700" i="1"/>
  <c r="R700" i="1"/>
  <c r="P700" i="1"/>
  <c r="AD699" i="1"/>
  <c r="R699" i="1"/>
  <c r="P699" i="1"/>
  <c r="AD698" i="1"/>
  <c r="R698" i="1"/>
  <c r="P698" i="1"/>
  <c r="AD697" i="1"/>
  <c r="R697" i="1"/>
  <c r="P697" i="1"/>
  <c r="AD696" i="1"/>
  <c r="AE696" i="1" s="1"/>
  <c r="X696" i="1"/>
  <c r="W696" i="1"/>
  <c r="R696" i="1"/>
  <c r="P696" i="1"/>
  <c r="AD695" i="1"/>
  <c r="R695" i="1"/>
  <c r="P695" i="1"/>
  <c r="AD694" i="1"/>
  <c r="R694" i="1"/>
  <c r="P694" i="1"/>
  <c r="AD693" i="1"/>
  <c r="AE693" i="1" s="1"/>
  <c r="X693" i="1"/>
  <c r="W693" i="1"/>
  <c r="R693" i="1"/>
  <c r="P693" i="1"/>
  <c r="AD692" i="1"/>
  <c r="AE692" i="1" s="1"/>
  <c r="X692" i="1"/>
  <c r="W692" i="1"/>
  <c r="R692" i="1"/>
  <c r="P692" i="1"/>
  <c r="AD691" i="1"/>
  <c r="R691" i="1"/>
  <c r="P691" i="1"/>
  <c r="AD690" i="1"/>
  <c r="AE690" i="1" s="1"/>
  <c r="X690" i="1"/>
  <c r="W690" i="1"/>
  <c r="R690" i="1"/>
  <c r="P690" i="1"/>
  <c r="AD689" i="1"/>
  <c r="AE689" i="1" s="1"/>
  <c r="X689" i="1"/>
  <c r="W689" i="1"/>
  <c r="R689" i="1"/>
  <c r="P689" i="1"/>
  <c r="AD688" i="1"/>
  <c r="R688" i="1"/>
  <c r="P688" i="1"/>
  <c r="AD687" i="1"/>
  <c r="R687" i="1"/>
  <c r="P687" i="1"/>
  <c r="AD686" i="1"/>
  <c r="R686" i="1"/>
  <c r="P686" i="1"/>
  <c r="AD685" i="1"/>
  <c r="R685" i="1"/>
  <c r="P685" i="1"/>
  <c r="AD684" i="1"/>
  <c r="R684" i="1"/>
  <c r="P684" i="1"/>
  <c r="AD683" i="1"/>
  <c r="AE683" i="1" s="1"/>
  <c r="AG683" i="1" s="1"/>
  <c r="X683" i="1"/>
  <c r="W683" i="1"/>
  <c r="R683" i="1"/>
  <c r="P683" i="1"/>
  <c r="AD682" i="1"/>
  <c r="AE682" i="1" s="1"/>
  <c r="X682" i="1"/>
  <c r="W682" i="1"/>
  <c r="R682" i="1"/>
  <c r="P682" i="1"/>
  <c r="AD681" i="1"/>
  <c r="AE681" i="1" s="1"/>
  <c r="AL681" i="1" s="1"/>
  <c r="X681" i="1"/>
  <c r="W681" i="1"/>
  <c r="R681" i="1"/>
  <c r="P681" i="1"/>
  <c r="AD680" i="1"/>
  <c r="AE680" i="1" s="1"/>
  <c r="X680" i="1"/>
  <c r="W680" i="1"/>
  <c r="R680" i="1"/>
  <c r="P680" i="1"/>
  <c r="AD679" i="1"/>
  <c r="AE679" i="1" s="1"/>
  <c r="AF679" i="1" s="1"/>
  <c r="X679" i="1"/>
  <c r="W679" i="1"/>
  <c r="R679" i="1"/>
  <c r="P679" i="1"/>
  <c r="AD678" i="1"/>
  <c r="AE678" i="1" s="1"/>
  <c r="AF678" i="1" s="1"/>
  <c r="X678" i="1"/>
  <c r="W678" i="1"/>
  <c r="R678" i="1"/>
  <c r="P678" i="1"/>
  <c r="AD677" i="1"/>
  <c r="R677" i="1"/>
  <c r="P677" i="1"/>
  <c r="AD676" i="1"/>
  <c r="AE676" i="1" s="1"/>
  <c r="X676" i="1"/>
  <c r="W676" i="1"/>
  <c r="R676" i="1"/>
  <c r="P676" i="1"/>
  <c r="AD675" i="1"/>
  <c r="AE675" i="1" s="1"/>
  <c r="AF675" i="1" s="1"/>
  <c r="X675" i="1"/>
  <c r="W675" i="1"/>
  <c r="R675" i="1"/>
  <c r="P675" i="1"/>
  <c r="AD674" i="1"/>
  <c r="AE674" i="1" s="1"/>
  <c r="X674" i="1"/>
  <c r="W674" i="1"/>
  <c r="R674" i="1"/>
  <c r="P674" i="1"/>
  <c r="AD673" i="1"/>
  <c r="AE673" i="1" s="1"/>
  <c r="AF673" i="1" s="1"/>
  <c r="X673" i="1"/>
  <c r="W673" i="1"/>
  <c r="R673" i="1"/>
  <c r="P673" i="1"/>
  <c r="AD672" i="1"/>
  <c r="AE672" i="1" s="1"/>
  <c r="AF672" i="1" s="1"/>
  <c r="X672" i="1"/>
  <c r="W672" i="1"/>
  <c r="R672" i="1"/>
  <c r="P672" i="1"/>
  <c r="AD671" i="1"/>
  <c r="AE671" i="1" s="1"/>
  <c r="X671" i="1"/>
  <c r="W671" i="1"/>
  <c r="R671" i="1"/>
  <c r="P671" i="1"/>
  <c r="AD670" i="1"/>
  <c r="AE670" i="1" s="1"/>
  <c r="AF670" i="1" s="1"/>
  <c r="X670" i="1"/>
  <c r="W670" i="1"/>
  <c r="R670" i="1"/>
  <c r="P670" i="1"/>
  <c r="AD669" i="1"/>
  <c r="AE669" i="1" s="1"/>
  <c r="AL669" i="1" s="1"/>
  <c r="X669" i="1"/>
  <c r="W669" i="1"/>
  <c r="R669" i="1"/>
  <c r="P669" i="1"/>
  <c r="AD668" i="1"/>
  <c r="AE668" i="1" s="1"/>
  <c r="X668" i="1"/>
  <c r="W668" i="1"/>
  <c r="R668" i="1"/>
  <c r="P668" i="1"/>
  <c r="AD667" i="1"/>
  <c r="AE667" i="1" s="1"/>
  <c r="X667" i="1"/>
  <c r="W667" i="1"/>
  <c r="R667" i="1"/>
  <c r="P667" i="1"/>
  <c r="AD666" i="1"/>
  <c r="AE666" i="1" s="1"/>
  <c r="AF666" i="1" s="1"/>
  <c r="X666" i="1"/>
  <c r="W666" i="1"/>
  <c r="R666" i="1"/>
  <c r="P666" i="1"/>
  <c r="AD665" i="1"/>
  <c r="AE665" i="1" s="1"/>
  <c r="X665" i="1"/>
  <c r="W665" i="1"/>
  <c r="R665" i="1"/>
  <c r="P665" i="1"/>
  <c r="AD664" i="1"/>
  <c r="AE664" i="1" s="1"/>
  <c r="AL664" i="1" s="1"/>
  <c r="X664" i="1"/>
  <c r="W664" i="1"/>
  <c r="R664" i="1"/>
  <c r="P664" i="1"/>
  <c r="AD663" i="1"/>
  <c r="AE663" i="1" s="1"/>
  <c r="AF663" i="1" s="1"/>
  <c r="X663" i="1"/>
  <c r="W663" i="1"/>
  <c r="R663" i="1"/>
  <c r="P663" i="1"/>
  <c r="AD662" i="1"/>
  <c r="AE662" i="1" s="1"/>
  <c r="AF662" i="1" s="1"/>
  <c r="X662" i="1"/>
  <c r="W662" i="1"/>
  <c r="R662" i="1"/>
  <c r="P662" i="1"/>
  <c r="AD661" i="1"/>
  <c r="AE661" i="1" s="1"/>
  <c r="AF661" i="1" s="1"/>
  <c r="X661" i="1"/>
  <c r="W661" i="1"/>
  <c r="R661" i="1"/>
  <c r="P661" i="1"/>
  <c r="AD660" i="1"/>
  <c r="R660" i="1"/>
  <c r="P660" i="1"/>
  <c r="AD659" i="1"/>
  <c r="AE659" i="1" s="1"/>
  <c r="AG659" i="1" s="1"/>
  <c r="X659" i="1"/>
  <c r="W659" i="1"/>
  <c r="R659" i="1"/>
  <c r="P659" i="1"/>
  <c r="AD658" i="1"/>
  <c r="AE658" i="1" s="1"/>
  <c r="AF658" i="1" s="1"/>
  <c r="X658" i="1"/>
  <c r="W658" i="1"/>
  <c r="R658" i="1"/>
  <c r="P658" i="1"/>
  <c r="AD657" i="1"/>
  <c r="AE657" i="1" s="1"/>
  <c r="AF657" i="1" s="1"/>
  <c r="X657" i="1"/>
  <c r="W657" i="1"/>
  <c r="R657" i="1"/>
  <c r="P657" i="1"/>
  <c r="AD656" i="1"/>
  <c r="AE656" i="1" s="1"/>
  <c r="AL656" i="1" s="1"/>
  <c r="X656" i="1"/>
  <c r="W656" i="1"/>
  <c r="R656" i="1"/>
  <c r="P656" i="1"/>
  <c r="AD655" i="1"/>
  <c r="AE655" i="1" s="1"/>
  <c r="AF655" i="1" s="1"/>
  <c r="X655" i="1"/>
  <c r="W655" i="1"/>
  <c r="R655" i="1"/>
  <c r="P655" i="1"/>
  <c r="AD654" i="1"/>
  <c r="AE654" i="1" s="1"/>
  <c r="X654" i="1"/>
  <c r="W654" i="1"/>
  <c r="R654" i="1"/>
  <c r="P654" i="1"/>
  <c r="AD653" i="1"/>
  <c r="AE653" i="1" s="1"/>
  <c r="X653" i="1"/>
  <c r="W653" i="1"/>
  <c r="R653" i="1"/>
  <c r="P653" i="1"/>
  <c r="AD652" i="1"/>
  <c r="R652" i="1"/>
  <c r="P652" i="1"/>
  <c r="AD651" i="1"/>
  <c r="R651" i="1"/>
  <c r="P651" i="1"/>
  <c r="AD650" i="1"/>
  <c r="R650" i="1"/>
  <c r="P650" i="1"/>
  <c r="AD649" i="1"/>
  <c r="R649" i="1"/>
  <c r="P649" i="1"/>
  <c r="AD648" i="1"/>
  <c r="R648" i="1"/>
  <c r="P648" i="1"/>
  <c r="AD647" i="1"/>
  <c r="R647" i="1"/>
  <c r="P647" i="1"/>
  <c r="AD646" i="1"/>
  <c r="R646" i="1"/>
  <c r="P646" i="1"/>
  <c r="AD645" i="1"/>
  <c r="R645" i="1"/>
  <c r="P645" i="1"/>
  <c r="AD644" i="1"/>
  <c r="R644" i="1"/>
  <c r="P644" i="1"/>
  <c r="AD643" i="1"/>
  <c r="R643" i="1"/>
  <c r="P643" i="1"/>
  <c r="AD642" i="1"/>
  <c r="R642" i="1"/>
  <c r="P642" i="1"/>
  <c r="AD641" i="1"/>
  <c r="AE641" i="1" s="1"/>
  <c r="X641" i="1"/>
  <c r="W641" i="1"/>
  <c r="R641" i="1"/>
  <c r="P641" i="1"/>
  <c r="AD640" i="1"/>
  <c r="R640" i="1"/>
  <c r="P640" i="1"/>
  <c r="AD639" i="1"/>
  <c r="AE639" i="1" s="1"/>
  <c r="AF639" i="1" s="1"/>
  <c r="X639" i="1"/>
  <c r="W639" i="1"/>
  <c r="R639" i="1"/>
  <c r="P639" i="1"/>
  <c r="AD638" i="1"/>
  <c r="AE638" i="1" s="1"/>
  <c r="X638" i="1"/>
  <c r="W638" i="1"/>
  <c r="R638" i="1"/>
  <c r="P638" i="1"/>
  <c r="AD637" i="1"/>
  <c r="AE637" i="1" s="1"/>
  <c r="AG637" i="1" s="1"/>
  <c r="X637" i="1"/>
  <c r="W637" i="1"/>
  <c r="R637" i="1"/>
  <c r="P637" i="1"/>
  <c r="AD636" i="1"/>
  <c r="AE636" i="1" s="1"/>
  <c r="AL636" i="1" s="1"/>
  <c r="X636" i="1"/>
  <c r="W636" i="1"/>
  <c r="R636" i="1"/>
  <c r="P636" i="1"/>
  <c r="AD635" i="1"/>
  <c r="AE635" i="1" s="1"/>
  <c r="X635" i="1"/>
  <c r="W635" i="1"/>
  <c r="R635" i="1"/>
  <c r="P635" i="1"/>
  <c r="AD634" i="1"/>
  <c r="R634" i="1"/>
  <c r="P634" i="1"/>
  <c r="AD633" i="1"/>
  <c r="R633" i="1"/>
  <c r="P633" i="1"/>
  <c r="AD632" i="1"/>
  <c r="AE632" i="1" s="1"/>
  <c r="X632" i="1"/>
  <c r="W632" i="1"/>
  <c r="R632" i="1"/>
  <c r="P632" i="1"/>
  <c r="AD631" i="1"/>
  <c r="AE631" i="1" s="1"/>
  <c r="AG631" i="1" s="1"/>
  <c r="X631" i="1"/>
  <c r="W631" i="1"/>
  <c r="R631" i="1"/>
  <c r="P631" i="1"/>
  <c r="AD630" i="1"/>
  <c r="AE630" i="1" s="1"/>
  <c r="AL630" i="1" s="1"/>
  <c r="X630" i="1"/>
  <c r="W630" i="1"/>
  <c r="R630" i="1"/>
  <c r="P630" i="1"/>
  <c r="AD629" i="1"/>
  <c r="R629" i="1"/>
  <c r="P629" i="1"/>
  <c r="AD628" i="1"/>
  <c r="R628" i="1"/>
  <c r="P628" i="1"/>
  <c r="AD627" i="1"/>
  <c r="AE627" i="1" s="1"/>
  <c r="AF627" i="1" s="1"/>
  <c r="X627" i="1"/>
  <c r="W627" i="1"/>
  <c r="R627" i="1"/>
  <c r="P627" i="1"/>
  <c r="AD626" i="1"/>
  <c r="AE626" i="1" s="1"/>
  <c r="X626" i="1"/>
  <c r="W626" i="1"/>
  <c r="R626" i="1"/>
  <c r="P626" i="1"/>
  <c r="AD625" i="1"/>
  <c r="AE625" i="1" s="1"/>
  <c r="AG625" i="1" s="1"/>
  <c r="X625" i="1"/>
  <c r="W625" i="1"/>
  <c r="R625" i="1"/>
  <c r="P625" i="1"/>
  <c r="AD624" i="1"/>
  <c r="AE624" i="1" s="1"/>
  <c r="X624" i="1"/>
  <c r="W624" i="1"/>
  <c r="R624" i="1"/>
  <c r="P624" i="1"/>
  <c r="AD623" i="1"/>
  <c r="AE623" i="1" s="1"/>
  <c r="X623" i="1"/>
  <c r="W623" i="1"/>
  <c r="R623" i="1"/>
  <c r="P623" i="1"/>
  <c r="AD622" i="1"/>
  <c r="AE622" i="1" s="1"/>
  <c r="AG622" i="1" s="1"/>
  <c r="X622" i="1"/>
  <c r="W622" i="1"/>
  <c r="R622" i="1"/>
  <c r="P622" i="1"/>
  <c r="AD621" i="1"/>
  <c r="AE621" i="1" s="1"/>
  <c r="AF621" i="1" s="1"/>
  <c r="X621" i="1"/>
  <c r="W621" i="1"/>
  <c r="R621" i="1"/>
  <c r="P621" i="1"/>
  <c r="AD620" i="1"/>
  <c r="AE620" i="1" s="1"/>
  <c r="AG620" i="1" s="1"/>
  <c r="X620" i="1"/>
  <c r="W620" i="1"/>
  <c r="R620" i="1"/>
  <c r="P620" i="1"/>
  <c r="AD619" i="1"/>
  <c r="AE619" i="1" s="1"/>
  <c r="AF619" i="1" s="1"/>
  <c r="X619" i="1"/>
  <c r="W619" i="1"/>
  <c r="R619" i="1"/>
  <c r="P619" i="1"/>
  <c r="AD618" i="1"/>
  <c r="AE618" i="1" s="1"/>
  <c r="X618" i="1"/>
  <c r="W618" i="1"/>
  <c r="R618" i="1"/>
  <c r="P618" i="1"/>
  <c r="AD617" i="1"/>
  <c r="AE617" i="1" s="1"/>
  <c r="AG617" i="1" s="1"/>
  <c r="X617" i="1"/>
  <c r="W617" i="1"/>
  <c r="R617" i="1"/>
  <c r="P617" i="1"/>
  <c r="AD616" i="1"/>
  <c r="AE616" i="1" s="1"/>
  <c r="AL616" i="1" s="1"/>
  <c r="X616" i="1"/>
  <c r="W616" i="1"/>
  <c r="R616" i="1"/>
  <c r="P616" i="1"/>
  <c r="AD615" i="1"/>
  <c r="AE615" i="1" s="1"/>
  <c r="X615" i="1"/>
  <c r="W615" i="1"/>
  <c r="R615" i="1"/>
  <c r="P615" i="1"/>
  <c r="AD614" i="1"/>
  <c r="AE614" i="1" s="1"/>
  <c r="X614" i="1"/>
  <c r="W614" i="1"/>
  <c r="R614" i="1"/>
  <c r="P614" i="1"/>
  <c r="AD613" i="1"/>
  <c r="AE613" i="1" s="1"/>
  <c r="AG613" i="1" s="1"/>
  <c r="X613" i="1"/>
  <c r="W613" i="1"/>
  <c r="R613" i="1"/>
  <c r="P613" i="1"/>
  <c r="AD612" i="1"/>
  <c r="AE612" i="1" s="1"/>
  <c r="AL612" i="1" s="1"/>
  <c r="X612" i="1"/>
  <c r="W612" i="1"/>
  <c r="R612" i="1"/>
  <c r="P612" i="1"/>
  <c r="AD611" i="1"/>
  <c r="AE611" i="1" s="1"/>
  <c r="AF611" i="1" s="1"/>
  <c r="X611" i="1"/>
  <c r="W611" i="1"/>
  <c r="R611" i="1"/>
  <c r="P611" i="1"/>
  <c r="AD610" i="1"/>
  <c r="AE610" i="1" s="1"/>
  <c r="X610" i="1"/>
  <c r="W610" i="1"/>
  <c r="R610" i="1"/>
  <c r="P610" i="1"/>
  <c r="T709" i="1" l="1"/>
  <c r="T735" i="1"/>
  <c r="T737" i="1"/>
  <c r="T679" i="1"/>
  <c r="U679" i="1" s="1"/>
  <c r="T697" i="1"/>
  <c r="S697" i="1" s="1"/>
  <c r="Y697" i="1" s="1"/>
  <c r="T713" i="1"/>
  <c r="U713" i="1" s="1"/>
  <c r="T745" i="1"/>
  <c r="S745" i="1" s="1"/>
  <c r="Y745" i="1" s="1"/>
  <c r="AW745" i="1" s="1"/>
  <c r="T759" i="1"/>
  <c r="S759" i="1" s="1"/>
  <c r="Y759" i="1" s="1"/>
  <c r="AW759" i="1" s="1"/>
  <c r="T783" i="1"/>
  <c r="T773" i="1"/>
  <c r="T642" i="1"/>
  <c r="S642" i="1" s="1"/>
  <c r="Y642" i="1" s="1"/>
  <c r="T718" i="1"/>
  <c r="U718" i="1" s="1"/>
  <c r="T633" i="1"/>
  <c r="S633" i="1" s="1"/>
  <c r="Y633" i="1" s="1"/>
  <c r="T695" i="1"/>
  <c r="U695" i="1" s="1"/>
  <c r="V695" i="1" s="1"/>
  <c r="W695" i="1" s="1"/>
  <c r="T722" i="1"/>
  <c r="S722" i="1" s="1"/>
  <c r="Y722" i="1" s="1"/>
  <c r="AW722" i="1" s="1"/>
  <c r="T754" i="1"/>
  <c r="S754" i="1" s="1"/>
  <c r="Y754" i="1" s="1"/>
  <c r="AW754" i="1" s="1"/>
  <c r="T770" i="1"/>
  <c r="S770" i="1" s="1"/>
  <c r="Y770" i="1" s="1"/>
  <c r="AW770" i="1" s="1"/>
  <c r="T646" i="1"/>
  <c r="S646" i="1" s="1"/>
  <c r="Y646" i="1" s="1"/>
  <c r="T690" i="1"/>
  <c r="S690" i="1" s="1"/>
  <c r="Y690" i="1" s="1"/>
  <c r="AW690" i="1" s="1"/>
  <c r="T772" i="1"/>
  <c r="S772" i="1" s="1"/>
  <c r="Y772" i="1" s="1"/>
  <c r="AW772" i="1" s="1"/>
  <c r="T788" i="1"/>
  <c r="S788" i="1" s="1"/>
  <c r="Y788" i="1" s="1"/>
  <c r="AW788" i="1" s="1"/>
  <c r="T644" i="1"/>
  <c r="U644" i="1" s="1"/>
  <c r="V644" i="1" s="1"/>
  <c r="T652" i="1"/>
  <c r="U652" i="1" s="1"/>
  <c r="V652" i="1" s="1"/>
  <c r="T682" i="1"/>
  <c r="S682" i="1" s="1"/>
  <c r="Y682" i="1" s="1"/>
  <c r="AW682" i="1" s="1"/>
  <c r="T728" i="1"/>
  <c r="S728" i="1" s="1"/>
  <c r="Y728" i="1" s="1"/>
  <c r="AW728" i="1" s="1"/>
  <c r="T656" i="1"/>
  <c r="U656" i="1" s="1"/>
  <c r="T671" i="1"/>
  <c r="U671" i="1" s="1"/>
  <c r="T725" i="1"/>
  <c r="S725" i="1" s="1"/>
  <c r="Y725" i="1" s="1"/>
  <c r="AW725" i="1" s="1"/>
  <c r="T739" i="1"/>
  <c r="U739" i="1" s="1"/>
  <c r="V739" i="1" s="1"/>
  <c r="T617" i="1"/>
  <c r="U617" i="1" s="1"/>
  <c r="T667" i="1"/>
  <c r="U667" i="1" s="1"/>
  <c r="T761" i="1"/>
  <c r="S761" i="1" s="1"/>
  <c r="Y761" i="1" s="1"/>
  <c r="AW761" i="1" s="1"/>
  <c r="T762" i="1"/>
  <c r="U762" i="1" s="1"/>
  <c r="AL655" i="1"/>
  <c r="T615" i="1"/>
  <c r="S615" i="1" s="1"/>
  <c r="Y615" i="1" s="1"/>
  <c r="AW615" i="1" s="1"/>
  <c r="T727" i="1"/>
  <c r="S727" i="1" s="1"/>
  <c r="Y727" i="1" s="1"/>
  <c r="T756" i="1"/>
  <c r="U756" i="1" s="1"/>
  <c r="T764" i="1"/>
  <c r="S764" i="1" s="1"/>
  <c r="Y764" i="1" s="1"/>
  <c r="AW764" i="1" s="1"/>
  <c r="T775" i="1"/>
  <c r="S775" i="1" s="1"/>
  <c r="Y775" i="1" s="1"/>
  <c r="AW775" i="1" s="1"/>
  <c r="T666" i="1"/>
  <c r="U666" i="1" s="1"/>
  <c r="T777" i="1"/>
  <c r="U777" i="1" s="1"/>
  <c r="T782" i="1"/>
  <c r="T622" i="1"/>
  <c r="S622" i="1" s="1"/>
  <c r="Y622" i="1" s="1"/>
  <c r="AW622" i="1" s="1"/>
  <c r="T649" i="1"/>
  <c r="S649" i="1" s="1"/>
  <c r="Y649" i="1" s="1"/>
  <c r="T711" i="1"/>
  <c r="U711" i="1" s="1"/>
  <c r="T752" i="1"/>
  <c r="S752" i="1" s="1"/>
  <c r="Y752" i="1" s="1"/>
  <c r="AW752" i="1" s="1"/>
  <c r="T760" i="1"/>
  <c r="U760" i="1" s="1"/>
  <c r="T768" i="1"/>
  <c r="U768" i="1" s="1"/>
  <c r="AL775" i="1"/>
  <c r="AG775" i="1"/>
  <c r="AF775" i="1"/>
  <c r="T672" i="1"/>
  <c r="U672" i="1" s="1"/>
  <c r="T742" i="1"/>
  <c r="S742" i="1" s="1"/>
  <c r="Y742" i="1" s="1"/>
  <c r="AW742" i="1" s="1"/>
  <c r="T778" i="1"/>
  <c r="U778" i="1" s="1"/>
  <c r="T634" i="1"/>
  <c r="S634" i="1" s="1"/>
  <c r="Y634" i="1" s="1"/>
  <c r="T675" i="1"/>
  <c r="S675" i="1" s="1"/>
  <c r="Y675" i="1" s="1"/>
  <c r="AW675" i="1" s="1"/>
  <c r="AF725" i="1"/>
  <c r="T748" i="1"/>
  <c r="U748" i="1" s="1"/>
  <c r="V748" i="1" s="1"/>
  <c r="T781" i="1"/>
  <c r="S781" i="1" s="1"/>
  <c r="Y781" i="1" s="1"/>
  <c r="AW781" i="1" s="1"/>
  <c r="AG630" i="1"/>
  <c r="T624" i="1"/>
  <c r="U624" i="1" s="1"/>
  <c r="T635" i="1"/>
  <c r="S635" i="1" s="1"/>
  <c r="Y635" i="1" s="1"/>
  <c r="AW635" i="1" s="1"/>
  <c r="T647" i="1"/>
  <c r="U647" i="1" s="1"/>
  <c r="V647" i="1" s="1"/>
  <c r="W647" i="1" s="1"/>
  <c r="T662" i="1"/>
  <c r="S662" i="1" s="1"/>
  <c r="Y662" i="1" s="1"/>
  <c r="AW662" i="1" s="1"/>
  <c r="T700" i="1"/>
  <c r="U700" i="1" s="1"/>
  <c r="V700" i="1" s="1"/>
  <c r="T703" i="1"/>
  <c r="U703" i="1" s="1"/>
  <c r="T707" i="1"/>
  <c r="U707" i="1" s="1"/>
  <c r="T749" i="1"/>
  <c r="S749" i="1" s="1"/>
  <c r="Y749" i="1" s="1"/>
  <c r="AW749" i="1" s="1"/>
  <c r="T765" i="1"/>
  <c r="S765" i="1" s="1"/>
  <c r="Y765" i="1" s="1"/>
  <c r="AW765" i="1" s="1"/>
  <c r="T780" i="1"/>
  <c r="U780" i="1" s="1"/>
  <c r="T637" i="1"/>
  <c r="U637" i="1" s="1"/>
  <c r="T659" i="1"/>
  <c r="U659" i="1" s="1"/>
  <c r="T705" i="1"/>
  <c r="S705" i="1" s="1"/>
  <c r="Y705" i="1" s="1"/>
  <c r="T767" i="1"/>
  <c r="U767" i="1" s="1"/>
  <c r="T639" i="1"/>
  <c r="S639" i="1" s="1"/>
  <c r="Y639" i="1" s="1"/>
  <c r="AW639" i="1" s="1"/>
  <c r="T643" i="1"/>
  <c r="U643" i="1" s="1"/>
  <c r="V643" i="1" s="1"/>
  <c r="W643" i="1" s="1"/>
  <c r="T691" i="1"/>
  <c r="U691" i="1" s="1"/>
  <c r="V691" i="1" s="1"/>
  <c r="X691" i="1" s="1"/>
  <c r="T693" i="1"/>
  <c r="S693" i="1" s="1"/>
  <c r="Y693" i="1" s="1"/>
  <c r="AW693" i="1" s="1"/>
  <c r="T699" i="1"/>
  <c r="S699" i="1" s="1"/>
  <c r="Y699" i="1" s="1"/>
  <c r="AL728" i="1"/>
  <c r="AL759" i="1"/>
  <c r="AF759" i="1"/>
  <c r="AG770" i="1"/>
  <c r="AF770" i="1"/>
  <c r="AL770" i="1"/>
  <c r="AL756" i="1"/>
  <c r="AF756" i="1"/>
  <c r="AF781" i="1"/>
  <c r="AL781" i="1"/>
  <c r="AG781" i="1"/>
  <c r="AL772" i="1"/>
  <c r="AG772" i="1"/>
  <c r="AF772" i="1"/>
  <c r="AL754" i="1"/>
  <c r="AF754" i="1"/>
  <c r="T619" i="1"/>
  <c r="U619" i="1" s="1"/>
  <c r="AL620" i="1"/>
  <c r="T611" i="1"/>
  <c r="S611" i="1" s="1"/>
  <c r="Y611" i="1" s="1"/>
  <c r="AW611" i="1" s="1"/>
  <c r="T621" i="1"/>
  <c r="U621" i="1" s="1"/>
  <c r="T636" i="1"/>
  <c r="U636" i="1" s="1"/>
  <c r="T645" i="1"/>
  <c r="U645" i="1" s="1"/>
  <c r="V645" i="1" s="1"/>
  <c r="X645" i="1" s="1"/>
  <c r="T650" i="1"/>
  <c r="T658" i="1"/>
  <c r="S658" i="1" s="1"/>
  <c r="Y658" i="1" s="1"/>
  <c r="AW658" i="1" s="1"/>
  <c r="T681" i="1"/>
  <c r="S681" i="1" s="1"/>
  <c r="Y681" i="1" s="1"/>
  <c r="AW681" i="1" s="1"/>
  <c r="T692" i="1"/>
  <c r="U692" i="1" s="1"/>
  <c r="T716" i="1"/>
  <c r="S716" i="1" s="1"/>
  <c r="Y716" i="1" s="1"/>
  <c r="AW716" i="1" s="1"/>
  <c r="T724" i="1"/>
  <c r="U724" i="1" s="1"/>
  <c r="T743" i="1"/>
  <c r="S743" i="1" s="1"/>
  <c r="Y743" i="1" s="1"/>
  <c r="AW743" i="1" s="1"/>
  <c r="T747" i="1"/>
  <c r="U747" i="1" s="1"/>
  <c r="V747" i="1" s="1"/>
  <c r="AG767" i="1"/>
  <c r="T776" i="1"/>
  <c r="U776" i="1" s="1"/>
  <c r="AG783" i="1"/>
  <c r="T660" i="1"/>
  <c r="U660" i="1" s="1"/>
  <c r="V660" i="1" s="1"/>
  <c r="T733" i="1"/>
  <c r="AL767" i="1"/>
  <c r="AL783" i="1"/>
  <c r="T625" i="1"/>
  <c r="U625" i="1" s="1"/>
  <c r="T719" i="1"/>
  <c r="U719" i="1" s="1"/>
  <c r="T631" i="1"/>
  <c r="U631" i="1" s="1"/>
  <c r="T648" i="1"/>
  <c r="U648" i="1" s="1"/>
  <c r="V648" i="1" s="1"/>
  <c r="AG655" i="1"/>
  <c r="T661" i="1"/>
  <c r="S661" i="1" s="1"/>
  <c r="Y661" i="1" s="1"/>
  <c r="AW661" i="1" s="1"/>
  <c r="T664" i="1"/>
  <c r="U664" i="1" s="1"/>
  <c r="AL666" i="1"/>
  <c r="AL670" i="1"/>
  <c r="T702" i="1"/>
  <c r="S702" i="1" s="1"/>
  <c r="Y702" i="1" s="1"/>
  <c r="AG728" i="1"/>
  <c r="T784" i="1"/>
  <c r="U784" i="1" s="1"/>
  <c r="T732" i="1"/>
  <c r="U732" i="1" s="1"/>
  <c r="V732" i="1" s="1"/>
  <c r="T612" i="1"/>
  <c r="S612" i="1" s="1"/>
  <c r="Y612" i="1" s="1"/>
  <c r="AW612" i="1" s="1"/>
  <c r="T610" i="1"/>
  <c r="U610" i="1" s="1"/>
  <c r="T616" i="1"/>
  <c r="U616" i="1" s="1"/>
  <c r="T651" i="1"/>
  <c r="U651" i="1" s="1"/>
  <c r="V651" i="1" s="1"/>
  <c r="X651" i="1" s="1"/>
  <c r="T655" i="1"/>
  <c r="AG662" i="1"/>
  <c r="T670" i="1"/>
  <c r="U670" i="1" s="1"/>
  <c r="T687" i="1"/>
  <c r="U687" i="1" s="1"/>
  <c r="V687" i="1" s="1"/>
  <c r="X687" i="1" s="1"/>
  <c r="T696" i="1"/>
  <c r="U696" i="1" s="1"/>
  <c r="T750" i="1"/>
  <c r="U750" i="1" s="1"/>
  <c r="T786" i="1"/>
  <c r="U786" i="1" s="1"/>
  <c r="AL680" i="1"/>
  <c r="AG680" i="1"/>
  <c r="AF680" i="1"/>
  <c r="AL667" i="1"/>
  <c r="AG667" i="1"/>
  <c r="AF667" i="1"/>
  <c r="AF690" i="1"/>
  <c r="AL690" i="1"/>
  <c r="AG690" i="1"/>
  <c r="AF654" i="1"/>
  <c r="AL654" i="1"/>
  <c r="AG654" i="1"/>
  <c r="AG656" i="1"/>
  <c r="AL671" i="1"/>
  <c r="AG671" i="1"/>
  <c r="AL733" i="1"/>
  <c r="AF733" i="1"/>
  <c r="U735" i="1"/>
  <c r="S735" i="1"/>
  <c r="Y735" i="1" s="1"/>
  <c r="AW735" i="1" s="1"/>
  <c r="AL744" i="1"/>
  <c r="AG744" i="1"/>
  <c r="AF744" i="1"/>
  <c r="AG745" i="1"/>
  <c r="AF745" i="1"/>
  <c r="AF707" i="1"/>
  <c r="AG707" i="1"/>
  <c r="AL762" i="1"/>
  <c r="AG762" i="1"/>
  <c r="AF762" i="1"/>
  <c r="S783" i="1"/>
  <c r="Y783" i="1" s="1"/>
  <c r="AW783" i="1" s="1"/>
  <c r="U783" i="1"/>
  <c r="AL785" i="1"/>
  <c r="AF785" i="1"/>
  <c r="AF622" i="1"/>
  <c r="AL707" i="1"/>
  <c r="S709" i="1"/>
  <c r="Y709" i="1" s="1"/>
  <c r="AW709" i="1" s="1"/>
  <c r="U709" i="1"/>
  <c r="AL711" i="1"/>
  <c r="AF711" i="1"/>
  <c r="AG785" i="1"/>
  <c r="AL611" i="1"/>
  <c r="AL613" i="1"/>
  <c r="AF669" i="1"/>
  <c r="AF671" i="1"/>
  <c r="AL693" i="1"/>
  <c r="AG693" i="1"/>
  <c r="AG733" i="1"/>
  <c r="AL745" i="1"/>
  <c r="T785" i="1"/>
  <c r="AL788" i="1"/>
  <c r="AG788" i="1"/>
  <c r="AG614" i="1"/>
  <c r="AL614" i="1"/>
  <c r="AG664" i="1"/>
  <c r="AF664" i="1"/>
  <c r="AG778" i="1"/>
  <c r="AF778" i="1"/>
  <c r="AG611" i="1"/>
  <c r="AF613" i="1"/>
  <c r="AF614" i="1"/>
  <c r="AL622" i="1"/>
  <c r="T640" i="1"/>
  <c r="S640" i="1" s="1"/>
  <c r="Y640" i="1" s="1"/>
  <c r="T614" i="1"/>
  <c r="U614" i="1" s="1"/>
  <c r="T627" i="1"/>
  <c r="S627" i="1" s="1"/>
  <c r="Y627" i="1" s="1"/>
  <c r="AW627" i="1" s="1"/>
  <c r="AF659" i="1"/>
  <c r="AL659" i="1"/>
  <c r="AG669" i="1"/>
  <c r="AG675" i="1"/>
  <c r="AL675" i="1"/>
  <c r="AF693" i="1"/>
  <c r="AG703" i="1"/>
  <c r="AF703" i="1"/>
  <c r="AG709" i="1"/>
  <c r="AF709" i="1"/>
  <c r="T751" i="1"/>
  <c r="AF788" i="1"/>
  <c r="AL624" i="1"/>
  <c r="AG624" i="1"/>
  <c r="AL716" i="1"/>
  <c r="AG716" i="1"/>
  <c r="AF716" i="1"/>
  <c r="AG619" i="1"/>
  <c r="AF624" i="1"/>
  <c r="T632" i="1"/>
  <c r="S632" i="1" s="1"/>
  <c r="Y632" i="1" s="1"/>
  <c r="AW632" i="1" s="1"/>
  <c r="AG666" i="1"/>
  <c r="S671" i="1"/>
  <c r="Y671" i="1" s="1"/>
  <c r="AW671" i="1" s="1"/>
  <c r="T684" i="1"/>
  <c r="S684" i="1" s="1"/>
  <c r="Y684" i="1" s="1"/>
  <c r="T757" i="1"/>
  <c r="S773" i="1"/>
  <c r="Y773" i="1" s="1"/>
  <c r="AW773" i="1" s="1"/>
  <c r="U773" i="1"/>
  <c r="AL780" i="1"/>
  <c r="AG780" i="1"/>
  <c r="AF780" i="1"/>
  <c r="AF681" i="1"/>
  <c r="AG681" i="1"/>
  <c r="T726" i="1"/>
  <c r="S726" i="1" s="1"/>
  <c r="Y726" i="1" s="1"/>
  <c r="AW726" i="1" s="1"/>
  <c r="T736" i="1"/>
  <c r="S736" i="1" s="1"/>
  <c r="Y736" i="1" s="1"/>
  <c r="AL742" i="1"/>
  <c r="AG742" i="1"/>
  <c r="AF742" i="1"/>
  <c r="AL786" i="1"/>
  <c r="AG786" i="1"/>
  <c r="T683" i="1"/>
  <c r="T730" i="1"/>
  <c r="S730" i="1" s="1"/>
  <c r="Y730" i="1" s="1"/>
  <c r="AW730" i="1" s="1"/>
  <c r="T629" i="1"/>
  <c r="U629" i="1" s="1"/>
  <c r="V629" i="1" s="1"/>
  <c r="AF630" i="1"/>
  <c r="T638" i="1"/>
  <c r="U638" i="1" s="1"/>
  <c r="T641" i="1"/>
  <c r="U641" i="1" s="1"/>
  <c r="T685" i="1"/>
  <c r="T706" i="1"/>
  <c r="S706" i="1" s="1"/>
  <c r="Y706" i="1" s="1"/>
  <c r="T712" i="1"/>
  <c r="S712" i="1" s="1"/>
  <c r="Y712" i="1" s="1"/>
  <c r="AW712" i="1" s="1"/>
  <c r="T740" i="1"/>
  <c r="S740" i="1" s="1"/>
  <c r="Y740" i="1" s="1"/>
  <c r="T787" i="1"/>
  <c r="U787" i="1" s="1"/>
  <c r="T620" i="1"/>
  <c r="T623" i="1"/>
  <c r="U623" i="1" s="1"/>
  <c r="T628" i="1"/>
  <c r="T630" i="1"/>
  <c r="U630" i="1" s="1"/>
  <c r="T654" i="1"/>
  <c r="U654" i="1" s="1"/>
  <c r="T657" i="1"/>
  <c r="U657" i="1" s="1"/>
  <c r="T663" i="1"/>
  <c r="U663" i="1" s="1"/>
  <c r="T701" i="1"/>
  <c r="S701" i="1" s="1"/>
  <c r="Y701" i="1" s="1"/>
  <c r="T704" i="1"/>
  <c r="T710" i="1"/>
  <c r="T721" i="1"/>
  <c r="S721" i="1" s="1"/>
  <c r="Y721" i="1" s="1"/>
  <c r="AG725" i="1"/>
  <c r="T738" i="1"/>
  <c r="U738" i="1" s="1"/>
  <c r="T741" i="1"/>
  <c r="U741" i="1" s="1"/>
  <c r="T744" i="1"/>
  <c r="S744" i="1" s="1"/>
  <c r="Y744" i="1" s="1"/>
  <c r="AW744" i="1" s="1"/>
  <c r="T753" i="1"/>
  <c r="U753" i="1" s="1"/>
  <c r="AG754" i="1"/>
  <c r="AG756" i="1"/>
  <c r="AG759" i="1"/>
  <c r="T678" i="1"/>
  <c r="T680" i="1"/>
  <c r="T715" i="1"/>
  <c r="T720" i="1"/>
  <c r="S720" i="1" s="1"/>
  <c r="Y720" i="1" s="1"/>
  <c r="AW720" i="1" s="1"/>
  <c r="T731" i="1"/>
  <c r="T734" i="1"/>
  <c r="T769" i="1"/>
  <c r="U769" i="1" s="1"/>
  <c r="AL610" i="1"/>
  <c r="AF610" i="1"/>
  <c r="AG610" i="1"/>
  <c r="AL626" i="1"/>
  <c r="AG626" i="1"/>
  <c r="AF626" i="1"/>
  <c r="AL674" i="1"/>
  <c r="AG674" i="1"/>
  <c r="AF674" i="1"/>
  <c r="AL692" i="1"/>
  <c r="AG692" i="1"/>
  <c r="AF692" i="1"/>
  <c r="AG752" i="1"/>
  <c r="AF752" i="1"/>
  <c r="AL752" i="1"/>
  <c r="AL766" i="1"/>
  <c r="AG766" i="1"/>
  <c r="AF766" i="1"/>
  <c r="AG616" i="1"/>
  <c r="T618" i="1"/>
  <c r="AL621" i="1"/>
  <c r="AG621" i="1"/>
  <c r="AL625" i="1"/>
  <c r="AF625" i="1"/>
  <c r="AG627" i="1"/>
  <c r="AL635" i="1"/>
  <c r="AG635" i="1"/>
  <c r="AF635" i="1"/>
  <c r="AF636" i="1"/>
  <c r="AL639" i="1"/>
  <c r="AL663" i="1"/>
  <c r="AG663" i="1"/>
  <c r="AG665" i="1"/>
  <c r="AF665" i="1"/>
  <c r="AL665" i="1"/>
  <c r="AL623" i="1"/>
  <c r="AG623" i="1"/>
  <c r="AF623" i="1"/>
  <c r="AG636" i="1"/>
  <c r="AL637" i="1"/>
  <c r="AF637" i="1"/>
  <c r="AG639" i="1"/>
  <c r="U642" i="1"/>
  <c r="V642" i="1" s="1"/>
  <c r="AL627" i="1"/>
  <c r="AG612" i="1"/>
  <c r="AF612" i="1"/>
  <c r="T626" i="1"/>
  <c r="AL689" i="1"/>
  <c r="AG689" i="1"/>
  <c r="AF689" i="1"/>
  <c r="AL617" i="1"/>
  <c r="AF617" i="1"/>
  <c r="AL638" i="1"/>
  <c r="AG638" i="1"/>
  <c r="AF638" i="1"/>
  <c r="AG657" i="1"/>
  <c r="AL657" i="1"/>
  <c r="AL769" i="1"/>
  <c r="AG769" i="1"/>
  <c r="AF769" i="1"/>
  <c r="AL774" i="1"/>
  <c r="AG774" i="1"/>
  <c r="AF774" i="1"/>
  <c r="AL615" i="1"/>
  <c r="AG615" i="1"/>
  <c r="AF615" i="1"/>
  <c r="AF616" i="1"/>
  <c r="AL619" i="1"/>
  <c r="AL632" i="1"/>
  <c r="AG632" i="1"/>
  <c r="AF632" i="1"/>
  <c r="AL641" i="1"/>
  <c r="AG641" i="1"/>
  <c r="AF641" i="1"/>
  <c r="AL682" i="1"/>
  <c r="AG682" i="1"/>
  <c r="AF682" i="1"/>
  <c r="S703" i="1"/>
  <c r="Y703" i="1" s="1"/>
  <c r="AW703" i="1" s="1"/>
  <c r="AL758" i="1"/>
  <c r="AG758" i="1"/>
  <c r="AF758" i="1"/>
  <c r="T613" i="1"/>
  <c r="S624" i="1"/>
  <c r="Y624" i="1" s="1"/>
  <c r="AW624" i="1" s="1"/>
  <c r="AL631" i="1"/>
  <c r="AF631" i="1"/>
  <c r="AG653" i="1"/>
  <c r="AL653" i="1"/>
  <c r="AF653" i="1"/>
  <c r="AL676" i="1"/>
  <c r="AG676" i="1"/>
  <c r="AF676" i="1"/>
  <c r="S679" i="1"/>
  <c r="Y679" i="1" s="1"/>
  <c r="AW679" i="1" s="1"/>
  <c r="AL710" i="1"/>
  <c r="AG710" i="1"/>
  <c r="AF710" i="1"/>
  <c r="AL738" i="1"/>
  <c r="AG738" i="1"/>
  <c r="AF738" i="1"/>
  <c r="AL618" i="1"/>
  <c r="AG618" i="1"/>
  <c r="AF618" i="1"/>
  <c r="AL735" i="1"/>
  <c r="AF735" i="1"/>
  <c r="AG735" i="1"/>
  <c r="AL672" i="1"/>
  <c r="AG672" i="1"/>
  <c r="AG673" i="1"/>
  <c r="AL673" i="1"/>
  <c r="AL724" i="1"/>
  <c r="AF724" i="1"/>
  <c r="AG724" i="1"/>
  <c r="AL726" i="1"/>
  <c r="AG726" i="1"/>
  <c r="AF726" i="1"/>
  <c r="AG734" i="1"/>
  <c r="AF734" i="1"/>
  <c r="AL734" i="1"/>
  <c r="AL768" i="1"/>
  <c r="AG768" i="1"/>
  <c r="AF768" i="1"/>
  <c r="AL782" i="1"/>
  <c r="AG782" i="1"/>
  <c r="AF782" i="1"/>
  <c r="AL784" i="1"/>
  <c r="AG784" i="1"/>
  <c r="AF784" i="1"/>
  <c r="AL668" i="1"/>
  <c r="AG668" i="1"/>
  <c r="AG730" i="1"/>
  <c r="AF730" i="1"/>
  <c r="AF620" i="1"/>
  <c r="AG658" i="1"/>
  <c r="AG661" i="1"/>
  <c r="AF668" i="1"/>
  <c r="T673" i="1"/>
  <c r="T674" i="1"/>
  <c r="T677" i="1"/>
  <c r="AL678" i="1"/>
  <c r="AG678" i="1"/>
  <c r="AL679" i="1"/>
  <c r="AG679" i="1"/>
  <c r="AF683" i="1"/>
  <c r="AF708" i="1"/>
  <c r="AF712" i="1"/>
  <c r="AL712" i="1"/>
  <c r="AL730" i="1"/>
  <c r="AL741" i="1"/>
  <c r="AG741" i="1"/>
  <c r="AF741" i="1"/>
  <c r="T653" i="1"/>
  <c r="AL658" i="1"/>
  <c r="AL661" i="1"/>
  <c r="T665" i="1"/>
  <c r="T668" i="1"/>
  <c r="T669" i="1"/>
  <c r="T676" i="1"/>
  <c r="AL683" i="1"/>
  <c r="T686" i="1"/>
  <c r="T689" i="1"/>
  <c r="T694" i="1"/>
  <c r="AL708" i="1"/>
  <c r="AL763" i="1"/>
  <c r="AG763" i="1"/>
  <c r="AF763" i="1"/>
  <c r="AL696" i="1"/>
  <c r="AG696" i="1"/>
  <c r="AL779" i="1"/>
  <c r="AG779" i="1"/>
  <c r="AF779" i="1"/>
  <c r="AF656" i="1"/>
  <c r="AL662" i="1"/>
  <c r="AG670" i="1"/>
  <c r="AE691" i="1"/>
  <c r="W691" i="1"/>
  <c r="AF696" i="1"/>
  <c r="T698" i="1"/>
  <c r="AG711" i="1"/>
  <c r="T729" i="1"/>
  <c r="AL755" i="1"/>
  <c r="AG755" i="1"/>
  <c r="AF755" i="1"/>
  <c r="T708" i="1"/>
  <c r="X748" i="1"/>
  <c r="AE748" i="1"/>
  <c r="W748" i="1"/>
  <c r="AL771" i="1"/>
  <c r="AG771" i="1"/>
  <c r="AF771" i="1"/>
  <c r="U742" i="1"/>
  <c r="AL750" i="1"/>
  <c r="AG750" i="1"/>
  <c r="AF750" i="1"/>
  <c r="AL761" i="1"/>
  <c r="AG761" i="1"/>
  <c r="AF761" i="1"/>
  <c r="AL764" i="1"/>
  <c r="AG764" i="1"/>
  <c r="AF764" i="1"/>
  <c r="U782" i="1"/>
  <c r="S782" i="1"/>
  <c r="Y782" i="1" s="1"/>
  <c r="AW782" i="1" s="1"/>
  <c r="AL713" i="1"/>
  <c r="AF713" i="1"/>
  <c r="AG749" i="1"/>
  <c r="AF749" i="1"/>
  <c r="AG757" i="1"/>
  <c r="AF757" i="1"/>
  <c r="AL777" i="1"/>
  <c r="AG777" i="1"/>
  <c r="AF777" i="1"/>
  <c r="AL787" i="1"/>
  <c r="AG787" i="1"/>
  <c r="AF787" i="1"/>
  <c r="AF704" i="1"/>
  <c r="AG713" i="1"/>
  <c r="AL722" i="1"/>
  <c r="AG722" i="1"/>
  <c r="AF722" i="1"/>
  <c r="S737" i="1"/>
  <c r="Y737" i="1" s="1"/>
  <c r="AW737" i="1" s="1"/>
  <c r="U737" i="1"/>
  <c r="AL749" i="1"/>
  <c r="AL757" i="1"/>
  <c r="AG773" i="1"/>
  <c r="AF773" i="1"/>
  <c r="T688" i="1"/>
  <c r="AL704" i="1"/>
  <c r="AL718" i="1"/>
  <c r="AG718" i="1"/>
  <c r="T723" i="1"/>
  <c r="AL773" i="1"/>
  <c r="AL719" i="1"/>
  <c r="AG719" i="1"/>
  <c r="AF719" i="1"/>
  <c r="AL753" i="1"/>
  <c r="AG753" i="1"/>
  <c r="AG731" i="1"/>
  <c r="AF731" i="1"/>
  <c r="T758" i="1"/>
  <c r="T763" i="1"/>
  <c r="T774" i="1"/>
  <c r="T779" i="1"/>
  <c r="AL746" i="1"/>
  <c r="AG746" i="1"/>
  <c r="AF746" i="1"/>
  <c r="AG743" i="1"/>
  <c r="AF743" i="1"/>
  <c r="AL760" i="1"/>
  <c r="AG760" i="1"/>
  <c r="AF760" i="1"/>
  <c r="AG765" i="1"/>
  <c r="AF765" i="1"/>
  <c r="AL776" i="1"/>
  <c r="AG776" i="1"/>
  <c r="AF776" i="1"/>
  <c r="T714" i="1"/>
  <c r="AG714" i="1"/>
  <c r="AF714" i="1"/>
  <c r="T746" i="1"/>
  <c r="AL765" i="1"/>
  <c r="T717" i="1"/>
  <c r="AG720" i="1"/>
  <c r="AF720" i="1"/>
  <c r="AG723" i="1"/>
  <c r="AF723" i="1"/>
  <c r="AL729" i="1"/>
  <c r="AG729" i="1"/>
  <c r="AG737" i="1"/>
  <c r="AF737" i="1"/>
  <c r="T755" i="1"/>
  <c r="T766" i="1"/>
  <c r="T771" i="1"/>
  <c r="S707" i="1" l="1"/>
  <c r="Y707" i="1" s="1"/>
  <c r="AW707" i="1" s="1"/>
  <c r="S651" i="1"/>
  <c r="Y651" i="1" s="1"/>
  <c r="U702" i="1"/>
  <c r="V702" i="1" s="1"/>
  <c r="AE702" i="1" s="1"/>
  <c r="U772" i="1"/>
  <c r="S780" i="1"/>
  <c r="Y780" i="1" s="1"/>
  <c r="AW780" i="1" s="1"/>
  <c r="U633" i="1"/>
  <c r="V633" i="1" s="1"/>
  <c r="X633" i="1" s="1"/>
  <c r="AW633" i="1" s="1"/>
  <c r="S739" i="1"/>
  <c r="Y739" i="1" s="1"/>
  <c r="U697" i="1"/>
  <c r="V697" i="1" s="1"/>
  <c r="X697" i="1" s="1"/>
  <c r="AW697" i="1" s="1"/>
  <c r="U765" i="1"/>
  <c r="S711" i="1"/>
  <c r="Y711" i="1" s="1"/>
  <c r="AW711" i="1" s="1"/>
  <c r="S691" i="1"/>
  <c r="Y691" i="1" s="1"/>
  <c r="AW691" i="1" s="1"/>
  <c r="U788" i="1"/>
  <c r="S756" i="1"/>
  <c r="Y756" i="1" s="1"/>
  <c r="AW756" i="1" s="1"/>
  <c r="U722" i="1"/>
  <c r="U635" i="1"/>
  <c r="X695" i="1"/>
  <c r="S778" i="1"/>
  <c r="Y778" i="1" s="1"/>
  <c r="AW778" i="1" s="1"/>
  <c r="U752" i="1"/>
  <c r="S747" i="1"/>
  <c r="Y747" i="1" s="1"/>
  <c r="S652" i="1"/>
  <c r="Y652" i="1" s="1"/>
  <c r="U745" i="1"/>
  <c r="U754" i="1"/>
  <c r="AE695" i="1"/>
  <c r="AL695" i="1" s="1"/>
  <c r="AE645" i="1"/>
  <c r="AL645" i="1" s="1"/>
  <c r="S695" i="1"/>
  <c r="Y695" i="1" s="1"/>
  <c r="S617" i="1"/>
  <c r="Y617" i="1" s="1"/>
  <c r="AW617" i="1" s="1"/>
  <c r="U759" i="1"/>
  <c r="S644" i="1"/>
  <c r="Y644" i="1" s="1"/>
  <c r="U764" i="1"/>
  <c r="S713" i="1"/>
  <c r="Y713" i="1" s="1"/>
  <c r="AW713" i="1" s="1"/>
  <c r="U744" i="1"/>
  <c r="X643" i="1"/>
  <c r="U730" i="1"/>
  <c r="S620" i="1"/>
  <c r="Y620" i="1" s="1"/>
  <c r="AW620" i="1" s="1"/>
  <c r="C12" i="6"/>
  <c r="U649" i="1"/>
  <c r="V649" i="1" s="1"/>
  <c r="U781" i="1"/>
  <c r="U690" i="1"/>
  <c r="U725" i="1"/>
  <c r="S696" i="1"/>
  <c r="Y696" i="1" s="1"/>
  <c r="AW696" i="1" s="1"/>
  <c r="U615" i="1"/>
  <c r="S718" i="1"/>
  <c r="Y718" i="1" s="1"/>
  <c r="AW718" i="1" s="1"/>
  <c r="S664" i="1"/>
  <c r="Y664" i="1" s="1"/>
  <c r="AW664" i="1" s="1"/>
  <c r="S767" i="1"/>
  <c r="Y767" i="1" s="1"/>
  <c r="AW767" i="1" s="1"/>
  <c r="S750" i="1"/>
  <c r="Y750" i="1" s="1"/>
  <c r="AW750" i="1" s="1"/>
  <c r="S753" i="1"/>
  <c r="Y753" i="1" s="1"/>
  <c r="AW753" i="1" s="1"/>
  <c r="S610" i="1"/>
  <c r="Y610" i="1" s="1"/>
  <c r="AW610" i="1" s="1"/>
  <c r="U622" i="1"/>
  <c r="S623" i="1"/>
  <c r="Y623" i="1" s="1"/>
  <c r="AW623" i="1" s="1"/>
  <c r="U682" i="1"/>
  <c r="S748" i="1"/>
  <c r="Y748" i="1" s="1"/>
  <c r="AW748" i="1" s="1"/>
  <c r="U770" i="1"/>
  <c r="U728" i="1"/>
  <c r="U646" i="1"/>
  <c r="V646" i="1" s="1"/>
  <c r="W646" i="1" s="1"/>
  <c r="S670" i="1"/>
  <c r="Y670" i="1" s="1"/>
  <c r="AW670" i="1" s="1"/>
  <c r="U740" i="1"/>
  <c r="V740" i="1" s="1"/>
  <c r="AE740" i="1" s="1"/>
  <c r="S769" i="1"/>
  <c r="Y769" i="1" s="1"/>
  <c r="AW769" i="1" s="1"/>
  <c r="U640" i="1"/>
  <c r="V640" i="1" s="1"/>
  <c r="AE640" i="1" s="1"/>
  <c r="S732" i="1"/>
  <c r="Y732" i="1" s="1"/>
  <c r="U661" i="1"/>
  <c r="U705" i="1"/>
  <c r="V705" i="1" s="1"/>
  <c r="W705" i="1" s="1"/>
  <c r="S777" i="1"/>
  <c r="Y777" i="1" s="1"/>
  <c r="AW777" i="1" s="1"/>
  <c r="S762" i="1"/>
  <c r="Y762" i="1" s="1"/>
  <c r="AW762" i="1" s="1"/>
  <c r="S636" i="1"/>
  <c r="Y636" i="1" s="1"/>
  <c r="AW636" i="1" s="1"/>
  <c r="U743" i="1"/>
  <c r="S656" i="1"/>
  <c r="Y656" i="1" s="1"/>
  <c r="AW656" i="1" s="1"/>
  <c r="S700" i="1"/>
  <c r="Y700" i="1" s="1"/>
  <c r="AE687" i="1"/>
  <c r="AL687" i="1" s="1"/>
  <c r="S663" i="1"/>
  <c r="Y663" i="1" s="1"/>
  <c r="AW663" i="1" s="1"/>
  <c r="W687" i="1"/>
  <c r="S786" i="1"/>
  <c r="Y786" i="1" s="1"/>
  <c r="AW786" i="1" s="1"/>
  <c r="S647" i="1"/>
  <c r="Y647" i="1" s="1"/>
  <c r="U761" i="1"/>
  <c r="AE643" i="1"/>
  <c r="AF643" i="1" s="1"/>
  <c r="S657" i="1"/>
  <c r="Y657" i="1" s="1"/>
  <c r="AW657" i="1" s="1"/>
  <c r="S784" i="1"/>
  <c r="Y784" i="1" s="1"/>
  <c r="AW784" i="1" s="1"/>
  <c r="S741" i="1"/>
  <c r="Y741" i="1" s="1"/>
  <c r="AW741" i="1" s="1"/>
  <c r="S643" i="1"/>
  <c r="Y643" i="1" s="1"/>
  <c r="S638" i="1"/>
  <c r="Y638" i="1" s="1"/>
  <c r="AW638" i="1" s="1"/>
  <c r="U716" i="1"/>
  <c r="S667" i="1"/>
  <c r="Y667" i="1" s="1"/>
  <c r="AW667" i="1" s="1"/>
  <c r="U611" i="1"/>
  <c r="S648" i="1"/>
  <c r="Y648" i="1" s="1"/>
  <c r="U736" i="1"/>
  <c r="V736" i="1" s="1"/>
  <c r="AE736" i="1" s="1"/>
  <c r="S768" i="1"/>
  <c r="Y768" i="1" s="1"/>
  <c r="AW768" i="1" s="1"/>
  <c r="U720" i="1"/>
  <c r="S692" i="1"/>
  <c r="Y692" i="1" s="1"/>
  <c r="AW692" i="1" s="1"/>
  <c r="U726" i="1"/>
  <c r="S660" i="1"/>
  <c r="Y660" i="1" s="1"/>
  <c r="U612" i="1"/>
  <c r="U775" i="1"/>
  <c r="S645" i="1"/>
  <c r="Y645" i="1" s="1"/>
  <c r="AW645" i="1" s="1"/>
  <c r="U693" i="1"/>
  <c r="S760" i="1"/>
  <c r="Y760" i="1" s="1"/>
  <c r="AW760" i="1" s="1"/>
  <c r="U727" i="1"/>
  <c r="V727" i="1" s="1"/>
  <c r="X727" i="1" s="1"/>
  <c r="AW727" i="1" s="1"/>
  <c r="U634" i="1"/>
  <c r="V634" i="1" s="1"/>
  <c r="AE634" i="1" s="1"/>
  <c r="S666" i="1"/>
  <c r="Y666" i="1" s="1"/>
  <c r="AW666" i="1" s="1"/>
  <c r="S631" i="1"/>
  <c r="Y631" i="1" s="1"/>
  <c r="AW631" i="1" s="1"/>
  <c r="W645" i="1"/>
  <c r="X647" i="1"/>
  <c r="U684" i="1"/>
  <c r="V684" i="1" s="1"/>
  <c r="X684" i="1" s="1"/>
  <c r="AW684" i="1" s="1"/>
  <c r="U712" i="1"/>
  <c r="U721" i="1"/>
  <c r="V721" i="1" s="1"/>
  <c r="W721" i="1" s="1"/>
  <c r="S619" i="1"/>
  <c r="Y619" i="1" s="1"/>
  <c r="AW619" i="1" s="1"/>
  <c r="AE647" i="1"/>
  <c r="AG647" i="1" s="1"/>
  <c r="S672" i="1"/>
  <c r="Y672" i="1" s="1"/>
  <c r="AW672" i="1" s="1"/>
  <c r="U662" i="1"/>
  <c r="S659" i="1"/>
  <c r="Y659" i="1" s="1"/>
  <c r="AW659" i="1" s="1"/>
  <c r="U706" i="1"/>
  <c r="V706" i="1" s="1"/>
  <c r="W706" i="1" s="1"/>
  <c r="S654" i="1"/>
  <c r="Y654" i="1" s="1"/>
  <c r="AW654" i="1" s="1"/>
  <c r="U675" i="1"/>
  <c r="S724" i="1"/>
  <c r="Y724" i="1" s="1"/>
  <c r="AW724" i="1" s="1"/>
  <c r="S625" i="1"/>
  <c r="Y625" i="1" s="1"/>
  <c r="AW625" i="1" s="1"/>
  <c r="S621" i="1"/>
  <c r="Y621" i="1" s="1"/>
  <c r="AW621" i="1" s="1"/>
  <c r="U639" i="1"/>
  <c r="W651" i="1"/>
  <c r="U749" i="1"/>
  <c r="S637" i="1"/>
  <c r="Y637" i="1" s="1"/>
  <c r="AW637" i="1" s="1"/>
  <c r="AE651" i="1"/>
  <c r="AF651" i="1" s="1"/>
  <c r="S687" i="1"/>
  <c r="Y687" i="1" s="1"/>
  <c r="AW687" i="1" s="1"/>
  <c r="U699" i="1"/>
  <c r="V699" i="1" s="1"/>
  <c r="W699" i="1" s="1"/>
  <c r="U620" i="1"/>
  <c r="S719" i="1"/>
  <c r="Y719" i="1" s="1"/>
  <c r="AW719" i="1" s="1"/>
  <c r="S650" i="1"/>
  <c r="Y650" i="1" s="1"/>
  <c r="U650" i="1"/>
  <c r="V650" i="1" s="1"/>
  <c r="S787" i="1"/>
  <c r="Y787" i="1" s="1"/>
  <c r="AW787" i="1" s="1"/>
  <c r="U701" i="1"/>
  <c r="V701" i="1" s="1"/>
  <c r="AE701" i="1" s="1"/>
  <c r="S616" i="1"/>
  <c r="Y616" i="1" s="1"/>
  <c r="AW616" i="1" s="1"/>
  <c r="S776" i="1"/>
  <c r="Y776" i="1" s="1"/>
  <c r="AW776" i="1" s="1"/>
  <c r="S629" i="1"/>
  <c r="Y629" i="1" s="1"/>
  <c r="U658" i="1"/>
  <c r="AW651" i="1"/>
  <c r="U733" i="1"/>
  <c r="S733" i="1"/>
  <c r="Y733" i="1" s="1"/>
  <c r="AW733" i="1" s="1"/>
  <c r="U681" i="1"/>
  <c r="S655" i="1"/>
  <c r="Y655" i="1" s="1"/>
  <c r="AW655" i="1" s="1"/>
  <c r="U655" i="1"/>
  <c r="U627" i="1"/>
  <c r="S678" i="1"/>
  <c r="Y678" i="1" s="1"/>
  <c r="AW678" i="1" s="1"/>
  <c r="U678" i="1"/>
  <c r="S685" i="1"/>
  <c r="Y685" i="1" s="1"/>
  <c r="U685" i="1"/>
  <c r="V685" i="1" s="1"/>
  <c r="U632" i="1"/>
  <c r="S641" i="1"/>
  <c r="Y641" i="1" s="1"/>
  <c r="AW641" i="1" s="1"/>
  <c r="U710" i="1"/>
  <c r="S710" i="1"/>
  <c r="Y710" i="1" s="1"/>
  <c r="AW710" i="1" s="1"/>
  <c r="S734" i="1"/>
  <c r="Y734" i="1" s="1"/>
  <c r="AW734" i="1" s="1"/>
  <c r="U734" i="1"/>
  <c r="S704" i="1"/>
  <c r="Y704" i="1" s="1"/>
  <c r="AW704" i="1" s="1"/>
  <c r="U704" i="1"/>
  <c r="S751" i="1"/>
  <c r="Y751" i="1" s="1"/>
  <c r="U751" i="1"/>
  <c r="V751" i="1" s="1"/>
  <c r="U785" i="1"/>
  <c r="S785" i="1"/>
  <c r="Y785" i="1" s="1"/>
  <c r="AW785" i="1" s="1"/>
  <c r="U680" i="1"/>
  <c r="S680" i="1"/>
  <c r="Y680" i="1" s="1"/>
  <c r="AW680" i="1" s="1"/>
  <c r="S738" i="1"/>
  <c r="Y738" i="1" s="1"/>
  <c r="AW738" i="1" s="1"/>
  <c r="S614" i="1"/>
  <c r="Y614" i="1" s="1"/>
  <c r="AW614" i="1" s="1"/>
  <c r="S630" i="1"/>
  <c r="Y630" i="1" s="1"/>
  <c r="AW630" i="1" s="1"/>
  <c r="S731" i="1"/>
  <c r="Y731" i="1" s="1"/>
  <c r="AW731" i="1" s="1"/>
  <c r="U731" i="1"/>
  <c r="X739" i="1"/>
  <c r="AE739" i="1"/>
  <c r="W739" i="1"/>
  <c r="S628" i="1"/>
  <c r="Y628" i="1" s="1"/>
  <c r="U628" i="1"/>
  <c r="V628" i="1" s="1"/>
  <c r="U715" i="1"/>
  <c r="V715" i="1" s="1"/>
  <c r="S715" i="1"/>
  <c r="Y715" i="1" s="1"/>
  <c r="U683" i="1"/>
  <c r="S683" i="1"/>
  <c r="Y683" i="1" s="1"/>
  <c r="AW683" i="1" s="1"/>
  <c r="S757" i="1"/>
  <c r="Y757" i="1" s="1"/>
  <c r="AW757" i="1" s="1"/>
  <c r="U757" i="1"/>
  <c r="U668" i="1"/>
  <c r="S668" i="1"/>
  <c r="Y668" i="1" s="1"/>
  <c r="AW668" i="1" s="1"/>
  <c r="S723" i="1"/>
  <c r="Y723" i="1" s="1"/>
  <c r="AW723" i="1" s="1"/>
  <c r="U723" i="1"/>
  <c r="S665" i="1"/>
  <c r="Y665" i="1" s="1"/>
  <c r="AW665" i="1" s="1"/>
  <c r="U665" i="1"/>
  <c r="U677" i="1"/>
  <c r="V677" i="1" s="1"/>
  <c r="S677" i="1"/>
  <c r="Y677" i="1" s="1"/>
  <c r="X652" i="1"/>
  <c r="W652" i="1"/>
  <c r="AE652" i="1"/>
  <c r="AE633" i="1"/>
  <c r="W644" i="1"/>
  <c r="AE644" i="1"/>
  <c r="X644" i="1"/>
  <c r="U698" i="1"/>
  <c r="V698" i="1" s="1"/>
  <c r="S698" i="1"/>
  <c r="Y698" i="1" s="1"/>
  <c r="U694" i="1"/>
  <c r="V694" i="1" s="1"/>
  <c r="S694" i="1"/>
  <c r="Y694" i="1" s="1"/>
  <c r="U674" i="1"/>
  <c r="S674" i="1"/>
  <c r="Y674" i="1" s="1"/>
  <c r="AW674" i="1" s="1"/>
  <c r="U613" i="1"/>
  <c r="S613" i="1"/>
  <c r="Y613" i="1" s="1"/>
  <c r="AW613" i="1" s="1"/>
  <c r="U771" i="1"/>
  <c r="S771" i="1"/>
  <c r="Y771" i="1" s="1"/>
  <c r="AW771" i="1" s="1"/>
  <c r="U714" i="1"/>
  <c r="S714" i="1"/>
  <c r="Y714" i="1" s="1"/>
  <c r="AW714" i="1" s="1"/>
  <c r="U689" i="1"/>
  <c r="S689" i="1"/>
  <c r="Y689" i="1" s="1"/>
  <c r="AW689" i="1" s="1"/>
  <c r="S673" i="1"/>
  <c r="Y673" i="1" s="1"/>
  <c r="AW673" i="1" s="1"/>
  <c r="U673" i="1"/>
  <c r="X747" i="1"/>
  <c r="W747" i="1"/>
  <c r="AE747" i="1"/>
  <c r="U626" i="1"/>
  <c r="S626" i="1"/>
  <c r="Y626" i="1" s="1"/>
  <c r="AW626" i="1" s="1"/>
  <c r="W732" i="1"/>
  <c r="X732" i="1"/>
  <c r="AE732" i="1"/>
  <c r="AE700" i="1"/>
  <c r="W700" i="1"/>
  <c r="X700" i="1"/>
  <c r="U758" i="1"/>
  <c r="S758" i="1"/>
  <c r="Y758" i="1" s="1"/>
  <c r="AW758" i="1" s="1"/>
  <c r="AL748" i="1"/>
  <c r="AG748" i="1"/>
  <c r="AF748" i="1"/>
  <c r="U708" i="1"/>
  <c r="S708" i="1"/>
  <c r="Y708" i="1" s="1"/>
  <c r="AW708" i="1" s="1"/>
  <c r="S686" i="1"/>
  <c r="Y686" i="1" s="1"/>
  <c r="U686" i="1"/>
  <c r="V686" i="1" s="1"/>
  <c r="S653" i="1"/>
  <c r="Y653" i="1" s="1"/>
  <c r="AW653" i="1" s="1"/>
  <c r="U653" i="1"/>
  <c r="U763" i="1"/>
  <c r="S763" i="1"/>
  <c r="Y763" i="1" s="1"/>
  <c r="AW763" i="1" s="1"/>
  <c r="S669" i="1"/>
  <c r="Y669" i="1" s="1"/>
  <c r="AW669" i="1" s="1"/>
  <c r="U669" i="1"/>
  <c r="U746" i="1"/>
  <c r="S746" i="1"/>
  <c r="Y746" i="1" s="1"/>
  <c r="AW746" i="1" s="1"/>
  <c r="U755" i="1"/>
  <c r="S755" i="1"/>
  <c r="Y755" i="1" s="1"/>
  <c r="AW755" i="1" s="1"/>
  <c r="U779" i="1"/>
  <c r="S779" i="1"/>
  <c r="Y779" i="1" s="1"/>
  <c r="AW779" i="1" s="1"/>
  <c r="AF691" i="1"/>
  <c r="AL691" i="1"/>
  <c r="AG691" i="1"/>
  <c r="W648" i="1"/>
  <c r="AE648" i="1"/>
  <c r="X648" i="1"/>
  <c r="X629" i="1"/>
  <c r="AE629" i="1"/>
  <c r="W629" i="1"/>
  <c r="U618" i="1"/>
  <c r="S618" i="1"/>
  <c r="Y618" i="1" s="1"/>
  <c r="AW618" i="1" s="1"/>
  <c r="AE642" i="1"/>
  <c r="X642" i="1"/>
  <c r="AW642" i="1" s="1"/>
  <c r="W642" i="1"/>
  <c r="U766" i="1"/>
  <c r="S766" i="1"/>
  <c r="Y766" i="1" s="1"/>
  <c r="AW766" i="1" s="1"/>
  <c r="S717" i="1"/>
  <c r="Y717" i="1" s="1"/>
  <c r="U717" i="1"/>
  <c r="V717" i="1" s="1"/>
  <c r="U774" i="1"/>
  <c r="S774" i="1"/>
  <c r="Y774" i="1" s="1"/>
  <c r="AW774" i="1" s="1"/>
  <c r="U688" i="1"/>
  <c r="V688" i="1" s="1"/>
  <c r="S688" i="1"/>
  <c r="Y688" i="1" s="1"/>
  <c r="U729" i="1"/>
  <c r="S729" i="1"/>
  <c r="Y729" i="1" s="1"/>
  <c r="AW729" i="1" s="1"/>
  <c r="U676" i="1"/>
  <c r="S676" i="1"/>
  <c r="Y676" i="1" s="1"/>
  <c r="AW676" i="1" s="1"/>
  <c r="W702" i="1"/>
  <c r="X702" i="1"/>
  <c r="AW702" i="1" s="1"/>
  <c r="X646" i="1"/>
  <c r="AW646" i="1" s="1"/>
  <c r="W660" i="1"/>
  <c r="AE660" i="1"/>
  <c r="X660" i="1"/>
  <c r="AF645" i="1" l="1"/>
  <c r="W633" i="1"/>
  <c r="AG645" i="1"/>
  <c r="AF695" i="1"/>
  <c r="AE697" i="1"/>
  <c r="AG697" i="1" s="1"/>
  <c r="AE727" i="1"/>
  <c r="AG727" i="1" s="1"/>
  <c r="W727" i="1"/>
  <c r="AW695" i="1"/>
  <c r="AE721" i="1"/>
  <c r="AG721" i="1" s="1"/>
  <c r="X721" i="1"/>
  <c r="AW721" i="1" s="1"/>
  <c r="AW643" i="1"/>
  <c r="AL651" i="1"/>
  <c r="W697" i="1"/>
  <c r="AG651" i="1"/>
  <c r="AG695" i="1"/>
  <c r="AW739" i="1"/>
  <c r="AW747" i="1"/>
  <c r="AW644" i="1"/>
  <c r="AW652" i="1"/>
  <c r="X705" i="1"/>
  <c r="AW705" i="1" s="1"/>
  <c r="AL643" i="1"/>
  <c r="AG643" i="1"/>
  <c r="AE705" i="1"/>
  <c r="AL705" i="1" s="1"/>
  <c r="AF687" i="1"/>
  <c r="AG687" i="1"/>
  <c r="W640" i="1"/>
  <c r="AE649" i="1"/>
  <c r="W649" i="1"/>
  <c r="X640" i="1"/>
  <c r="AW640" i="1" s="1"/>
  <c r="X649" i="1"/>
  <c r="AW649" i="1" s="1"/>
  <c r="AE646" i="1"/>
  <c r="AF646" i="1" s="1"/>
  <c r="AW648" i="1"/>
  <c r="X706" i="1"/>
  <c r="AW706" i="1" s="1"/>
  <c r="W740" i="1"/>
  <c r="AW647" i="1"/>
  <c r="AE684" i="1"/>
  <c r="AF684" i="1" s="1"/>
  <c r="AE706" i="1"/>
  <c r="AL706" i="1" s="1"/>
  <c r="X740" i="1"/>
  <c r="AW740" i="1" s="1"/>
  <c r="W684" i="1"/>
  <c r="X736" i="1"/>
  <c r="AW736" i="1" s="1"/>
  <c r="AW732" i="1"/>
  <c r="AW660" i="1"/>
  <c r="AL647" i="1"/>
  <c r="AW700" i="1"/>
  <c r="AF647" i="1"/>
  <c r="AE699" i="1"/>
  <c r="AG699" i="1" s="1"/>
  <c r="W736" i="1"/>
  <c r="W634" i="1"/>
  <c r="X699" i="1"/>
  <c r="AW699" i="1" s="1"/>
  <c r="X634" i="1"/>
  <c r="AW634" i="1" s="1"/>
  <c r="W701" i="1"/>
  <c r="AW629" i="1"/>
  <c r="X701" i="1"/>
  <c r="AW701" i="1" s="1"/>
  <c r="W650" i="1"/>
  <c r="AE650" i="1"/>
  <c r="X650" i="1"/>
  <c r="AW650" i="1" s="1"/>
  <c r="AE628" i="1"/>
  <c r="X628" i="1"/>
  <c r="AW628" i="1" s="1"/>
  <c r="W628" i="1"/>
  <c r="AF739" i="1"/>
  <c r="AL739" i="1"/>
  <c r="AG739" i="1"/>
  <c r="AE715" i="1"/>
  <c r="X715" i="1"/>
  <c r="AW715" i="1" s="1"/>
  <c r="W715" i="1"/>
  <c r="W685" i="1"/>
  <c r="AE685" i="1"/>
  <c r="X685" i="1"/>
  <c r="AW685" i="1" s="1"/>
  <c r="X751" i="1"/>
  <c r="AW751" i="1" s="1"/>
  <c r="W751" i="1"/>
  <c r="AE751" i="1"/>
  <c r="AL644" i="1"/>
  <c r="AG644" i="1"/>
  <c r="AF644" i="1"/>
  <c r="AF701" i="1"/>
  <c r="AL701" i="1"/>
  <c r="AG701" i="1"/>
  <c r="AE717" i="1"/>
  <c r="W717" i="1"/>
  <c r="X717" i="1"/>
  <c r="AW717" i="1" s="1"/>
  <c r="AG634" i="1"/>
  <c r="AL634" i="1"/>
  <c r="AF634" i="1"/>
  <c r="AL700" i="1"/>
  <c r="AG700" i="1"/>
  <c r="AF700" i="1"/>
  <c r="W694" i="1"/>
  <c r="X694" i="1"/>
  <c r="AW694" i="1" s="1"/>
  <c r="AE694" i="1"/>
  <c r="AL633" i="1"/>
  <c r="AG633" i="1"/>
  <c r="AF633" i="1"/>
  <c r="AL629" i="1"/>
  <c r="AG629" i="1"/>
  <c r="AF629" i="1"/>
  <c r="W698" i="1"/>
  <c r="AE698" i="1"/>
  <c r="X698" i="1"/>
  <c r="AW698" i="1" s="1"/>
  <c r="AL652" i="1"/>
  <c r="AG652" i="1"/>
  <c r="AF652" i="1"/>
  <c r="X677" i="1"/>
  <c r="AW677" i="1" s="1"/>
  <c r="AE677" i="1"/>
  <c r="W677" i="1"/>
  <c r="AG736" i="1"/>
  <c r="AF736" i="1"/>
  <c r="AL736" i="1"/>
  <c r="AL732" i="1"/>
  <c r="AG732" i="1"/>
  <c r="AF732" i="1"/>
  <c r="AG702" i="1"/>
  <c r="AL702" i="1"/>
  <c r="AF702" i="1"/>
  <c r="AL747" i="1"/>
  <c r="AG747" i="1"/>
  <c r="AF747" i="1"/>
  <c r="AL660" i="1"/>
  <c r="AG660" i="1"/>
  <c r="AF660" i="1"/>
  <c r="AE688" i="1"/>
  <c r="X688" i="1"/>
  <c r="AW688" i="1" s="1"/>
  <c r="W688" i="1"/>
  <c r="AL648" i="1"/>
  <c r="AG648" i="1"/>
  <c r="AF648" i="1"/>
  <c r="X686" i="1"/>
  <c r="AW686" i="1" s="1"/>
  <c r="W686" i="1"/>
  <c r="AE686" i="1"/>
  <c r="AF740" i="1"/>
  <c r="AL740" i="1"/>
  <c r="AG740" i="1"/>
  <c r="AF697" i="1"/>
  <c r="AL697" i="1"/>
  <c r="AL642" i="1"/>
  <c r="AG642" i="1"/>
  <c r="AF642" i="1"/>
  <c r="AL640" i="1"/>
  <c r="AG640" i="1"/>
  <c r="AF640" i="1"/>
  <c r="AF721" i="1" l="1"/>
  <c r="AF727" i="1"/>
  <c r="AL727" i="1"/>
  <c r="AL721" i="1"/>
  <c r="AG705" i="1"/>
  <c r="AF705" i="1"/>
  <c r="AG706" i="1"/>
  <c r="AG684" i="1"/>
  <c r="AL684" i="1"/>
  <c r="AG649" i="1"/>
  <c r="AF649" i="1"/>
  <c r="AL649" i="1"/>
  <c r="AG646" i="1"/>
  <c r="AL646" i="1"/>
  <c r="AF706" i="1"/>
  <c r="AF699" i="1"/>
  <c r="AL699" i="1"/>
  <c r="AL650" i="1"/>
  <c r="AG650" i="1"/>
  <c r="AF650" i="1"/>
  <c r="AL685" i="1"/>
  <c r="AF685" i="1"/>
  <c r="AG685" i="1"/>
  <c r="AG628" i="1"/>
  <c r="AL628" i="1"/>
  <c r="AF628" i="1"/>
  <c r="AL715" i="1"/>
  <c r="AG715" i="1"/>
  <c r="AF715" i="1"/>
  <c r="AG751" i="1"/>
  <c r="AL751" i="1"/>
  <c r="AF751" i="1"/>
  <c r="AF717" i="1"/>
  <c r="AG717" i="1"/>
  <c r="AL717" i="1"/>
  <c r="AF688" i="1"/>
  <c r="AL688" i="1"/>
  <c r="AG688" i="1"/>
  <c r="AG677" i="1"/>
  <c r="AL677" i="1"/>
  <c r="AF677" i="1"/>
  <c r="AL686" i="1"/>
  <c r="AG686" i="1"/>
  <c r="AF686" i="1"/>
  <c r="AG698" i="1"/>
  <c r="AL698" i="1"/>
  <c r="AF698" i="1"/>
  <c r="AF694" i="1"/>
  <c r="AL694" i="1"/>
  <c r="AG694" i="1"/>
  <c r="N17" i="6" l="1"/>
  <c r="N18" i="6"/>
  <c r="N19" i="6"/>
  <c r="N20" i="6"/>
  <c r="N21" i="6"/>
  <c r="N22" i="6"/>
  <c r="N23" i="6"/>
  <c r="N24" i="6"/>
  <c r="N26" i="6"/>
  <c r="N27" i="6"/>
  <c r="N16" i="6"/>
  <c r="L19" i="6" l="1"/>
  <c r="L25" i="6"/>
  <c r="L26" i="6"/>
  <c r="L27" i="6"/>
  <c r="L16" i="6"/>
  <c r="L20" i="6"/>
  <c r="L21" i="6"/>
  <c r="L23" i="6"/>
  <c r="L24" i="6"/>
  <c r="H17" i="6"/>
  <c r="H18" i="6"/>
  <c r="H19" i="6"/>
  <c r="H20" i="6"/>
  <c r="H21" i="6"/>
  <c r="H22" i="6"/>
  <c r="H23" i="6"/>
  <c r="H24" i="6"/>
  <c r="H25" i="6"/>
  <c r="H26" i="6"/>
  <c r="H27" i="6"/>
  <c r="H16" i="6"/>
  <c r="D10" i="6"/>
  <c r="E10" i="6"/>
  <c r="E17" i="6"/>
  <c r="E18" i="6"/>
  <c r="E19" i="6"/>
  <c r="E20" i="6"/>
  <c r="E21" i="6"/>
  <c r="E22" i="6"/>
  <c r="E23" i="6"/>
  <c r="E24" i="6"/>
  <c r="E25" i="6"/>
  <c r="E27" i="6"/>
  <c r="E16" i="6"/>
  <c r="AD609" i="1"/>
  <c r="AE609" i="1" s="1"/>
  <c r="X609" i="1"/>
  <c r="W609" i="1"/>
  <c r="R609" i="1"/>
  <c r="P609" i="1"/>
  <c r="AD608" i="1"/>
  <c r="AE608" i="1" s="1"/>
  <c r="X608" i="1"/>
  <c r="W608" i="1"/>
  <c r="R608" i="1"/>
  <c r="P608" i="1"/>
  <c r="AD607" i="1"/>
  <c r="AE607" i="1" s="1"/>
  <c r="AL607" i="1" s="1"/>
  <c r="X607" i="1"/>
  <c r="W607" i="1"/>
  <c r="R607" i="1"/>
  <c r="P607" i="1"/>
  <c r="AD606" i="1"/>
  <c r="AE606" i="1" s="1"/>
  <c r="AG606" i="1" s="1"/>
  <c r="X606" i="1"/>
  <c r="W606" i="1"/>
  <c r="R606" i="1"/>
  <c r="P606" i="1"/>
  <c r="AD605" i="1"/>
  <c r="AE605" i="1" s="1"/>
  <c r="X605" i="1"/>
  <c r="W605" i="1"/>
  <c r="R605" i="1"/>
  <c r="P605" i="1"/>
  <c r="AD604" i="1"/>
  <c r="AE604" i="1" s="1"/>
  <c r="X604" i="1"/>
  <c r="W604" i="1"/>
  <c r="R604" i="1"/>
  <c r="P604" i="1"/>
  <c r="AD603" i="1"/>
  <c r="R603" i="1"/>
  <c r="P603" i="1"/>
  <c r="AD602" i="1"/>
  <c r="R602" i="1"/>
  <c r="P602" i="1"/>
  <c r="T602" i="1" s="1"/>
  <c r="S602" i="1" s="1"/>
  <c r="Y602" i="1" s="1"/>
  <c r="AD601" i="1"/>
  <c r="AE601" i="1" s="1"/>
  <c r="AL601" i="1" s="1"/>
  <c r="X601" i="1"/>
  <c r="W601" i="1"/>
  <c r="R601" i="1"/>
  <c r="P601" i="1"/>
  <c r="AD600" i="1"/>
  <c r="R600" i="1"/>
  <c r="P600" i="1"/>
  <c r="T600" i="1" s="1"/>
  <c r="AD599" i="1"/>
  <c r="AE599" i="1" s="1"/>
  <c r="X599" i="1"/>
  <c r="W599" i="1"/>
  <c r="R599" i="1"/>
  <c r="P599" i="1"/>
  <c r="AD598" i="1"/>
  <c r="R598" i="1"/>
  <c r="P598" i="1"/>
  <c r="AD597" i="1"/>
  <c r="AE597" i="1" s="1"/>
  <c r="X597" i="1"/>
  <c r="W597" i="1"/>
  <c r="R597" i="1"/>
  <c r="P597" i="1"/>
  <c r="AD596" i="1"/>
  <c r="R596" i="1"/>
  <c r="P596" i="1"/>
  <c r="AD595" i="1"/>
  <c r="AE595" i="1" s="1"/>
  <c r="X595" i="1"/>
  <c r="W595" i="1"/>
  <c r="R595" i="1"/>
  <c r="P595" i="1"/>
  <c r="AD594" i="1"/>
  <c r="R594" i="1"/>
  <c r="P594" i="1"/>
  <c r="AD593" i="1"/>
  <c r="AE593" i="1" s="1"/>
  <c r="X593" i="1"/>
  <c r="W593" i="1"/>
  <c r="R593" i="1"/>
  <c r="P593" i="1"/>
  <c r="AD592" i="1"/>
  <c r="R592" i="1"/>
  <c r="P592" i="1"/>
  <c r="T592" i="1" s="1"/>
  <c r="U592" i="1" s="1"/>
  <c r="V592" i="1" s="1"/>
  <c r="AD591" i="1"/>
  <c r="R591" i="1"/>
  <c r="P591" i="1"/>
  <c r="AD590" i="1"/>
  <c r="AE590" i="1" s="1"/>
  <c r="AF590" i="1" s="1"/>
  <c r="X590" i="1"/>
  <c r="W590" i="1"/>
  <c r="R590" i="1"/>
  <c r="P590" i="1"/>
  <c r="AD589" i="1"/>
  <c r="AE589" i="1" s="1"/>
  <c r="X589" i="1"/>
  <c r="W589" i="1"/>
  <c r="R589" i="1"/>
  <c r="P589" i="1"/>
  <c r="AD588" i="1"/>
  <c r="AE588" i="1" s="1"/>
  <c r="X588" i="1"/>
  <c r="W588" i="1"/>
  <c r="R588" i="1"/>
  <c r="P588" i="1"/>
  <c r="AD587" i="1"/>
  <c r="R587" i="1"/>
  <c r="P587" i="1"/>
  <c r="AD586" i="1"/>
  <c r="R586" i="1"/>
  <c r="P586" i="1"/>
  <c r="AD585" i="1"/>
  <c r="R585" i="1"/>
  <c r="P585" i="1"/>
  <c r="AD584" i="1"/>
  <c r="AE584" i="1" s="1"/>
  <c r="X584" i="1"/>
  <c r="W584" i="1"/>
  <c r="R584" i="1"/>
  <c r="P584" i="1"/>
  <c r="AD583" i="1"/>
  <c r="AE583" i="1" s="1"/>
  <c r="X583" i="1"/>
  <c r="W583" i="1"/>
  <c r="R583" i="1"/>
  <c r="P583" i="1"/>
  <c r="AD582" i="1"/>
  <c r="AE582" i="1" s="1"/>
  <c r="AL582" i="1" s="1"/>
  <c r="X582" i="1"/>
  <c r="W582" i="1"/>
  <c r="R582" i="1"/>
  <c r="P582" i="1"/>
  <c r="AD581" i="1"/>
  <c r="AE581" i="1" s="1"/>
  <c r="X581" i="1"/>
  <c r="W581" i="1"/>
  <c r="R581" i="1"/>
  <c r="P581" i="1"/>
  <c r="AD580" i="1"/>
  <c r="AE580" i="1" s="1"/>
  <c r="X580" i="1"/>
  <c r="W580" i="1"/>
  <c r="R580" i="1"/>
  <c r="P580" i="1"/>
  <c r="AD579" i="1"/>
  <c r="AE579" i="1" s="1"/>
  <c r="X579" i="1"/>
  <c r="W579" i="1"/>
  <c r="R579" i="1"/>
  <c r="P579" i="1"/>
  <c r="AD578" i="1"/>
  <c r="AE578" i="1" s="1"/>
  <c r="X578" i="1"/>
  <c r="W578" i="1"/>
  <c r="R578" i="1"/>
  <c r="P578" i="1"/>
  <c r="AD577" i="1"/>
  <c r="AE577" i="1" s="1"/>
  <c r="X577" i="1"/>
  <c r="W577" i="1"/>
  <c r="R577" i="1"/>
  <c r="P577" i="1"/>
  <c r="AD576" i="1"/>
  <c r="R576" i="1"/>
  <c r="P576" i="1"/>
  <c r="AD575" i="1"/>
  <c r="AE575" i="1" s="1"/>
  <c r="X575" i="1"/>
  <c r="W575" i="1"/>
  <c r="R575" i="1"/>
  <c r="P575" i="1"/>
  <c r="AD574" i="1"/>
  <c r="AE574" i="1" s="1"/>
  <c r="X574" i="1"/>
  <c r="W574" i="1"/>
  <c r="R574" i="1"/>
  <c r="P574" i="1"/>
  <c r="AD573" i="1"/>
  <c r="AE573" i="1" s="1"/>
  <c r="X573" i="1"/>
  <c r="W573" i="1"/>
  <c r="R573" i="1"/>
  <c r="P573" i="1"/>
  <c r="AD572" i="1"/>
  <c r="AE572" i="1" s="1"/>
  <c r="X572" i="1"/>
  <c r="W572" i="1"/>
  <c r="R572" i="1"/>
  <c r="P572" i="1"/>
  <c r="D17" i="6"/>
  <c r="D18" i="6"/>
  <c r="D19" i="6"/>
  <c r="D20" i="6"/>
  <c r="D21" i="6"/>
  <c r="D23" i="6"/>
  <c r="D24" i="6"/>
  <c r="D25" i="6"/>
  <c r="D27" i="6"/>
  <c r="D16" i="6"/>
  <c r="T576" i="1" l="1"/>
  <c r="U576" i="1" s="1"/>
  <c r="V576" i="1" s="1"/>
  <c r="T578" i="1"/>
  <c r="S578" i="1" s="1"/>
  <c r="Y578" i="1" s="1"/>
  <c r="AW578" i="1" s="1"/>
  <c r="T608" i="1"/>
  <c r="U608" i="1" s="1"/>
  <c r="T573" i="1"/>
  <c r="U573" i="1" s="1"/>
  <c r="T583" i="1"/>
  <c r="U583" i="1" s="1"/>
  <c r="T587" i="1"/>
  <c r="S587" i="1" s="1"/>
  <c r="Y587" i="1" s="1"/>
  <c r="T589" i="1"/>
  <c r="U589" i="1" s="1"/>
  <c r="T593" i="1"/>
  <c r="S593" i="1" s="1"/>
  <c r="Y593" i="1" s="1"/>
  <c r="AW593" i="1" s="1"/>
  <c r="T595" i="1"/>
  <c r="U595" i="1" s="1"/>
  <c r="T599" i="1"/>
  <c r="S599" i="1" s="1"/>
  <c r="Y599" i="1" s="1"/>
  <c r="AW599" i="1" s="1"/>
  <c r="T575" i="1"/>
  <c r="S575" i="1" s="1"/>
  <c r="Y575" i="1" s="1"/>
  <c r="AW575" i="1" s="1"/>
  <c r="T582" i="1"/>
  <c r="U582" i="1" s="1"/>
  <c r="T605" i="1"/>
  <c r="U605" i="1" s="1"/>
  <c r="AL583" i="1"/>
  <c r="AF583" i="1"/>
  <c r="AG583" i="1"/>
  <c r="AL590" i="1"/>
  <c r="T580" i="1"/>
  <c r="U580" i="1" s="1"/>
  <c r="T586" i="1"/>
  <c r="U586" i="1" s="1"/>
  <c r="V586" i="1" s="1"/>
  <c r="T590" i="1"/>
  <c r="U590" i="1" s="1"/>
  <c r="T601" i="1"/>
  <c r="U601" i="1" s="1"/>
  <c r="T606" i="1"/>
  <c r="S606" i="1" s="1"/>
  <c r="Y606" i="1" s="1"/>
  <c r="AW606" i="1" s="1"/>
  <c r="T609" i="1"/>
  <c r="S609" i="1" s="1"/>
  <c r="Y609" i="1" s="1"/>
  <c r="AW609" i="1" s="1"/>
  <c r="AG590" i="1"/>
  <c r="T585" i="1"/>
  <c r="U585" i="1" s="1"/>
  <c r="V585" i="1" s="1"/>
  <c r="T596" i="1"/>
  <c r="S596" i="1" s="1"/>
  <c r="Y596" i="1" s="1"/>
  <c r="T598" i="1"/>
  <c r="U598" i="1" s="1"/>
  <c r="V598" i="1" s="1"/>
  <c r="AL580" i="1"/>
  <c r="AG580" i="1"/>
  <c r="AL589" i="1"/>
  <c r="AG589" i="1"/>
  <c r="AL605" i="1"/>
  <c r="AG605" i="1"/>
  <c r="AF605" i="1"/>
  <c r="T591" i="1"/>
  <c r="S591" i="1" s="1"/>
  <c r="Y591" i="1" s="1"/>
  <c r="T584" i="1"/>
  <c r="U584" i="1" s="1"/>
  <c r="T588" i="1"/>
  <c r="S588" i="1" s="1"/>
  <c r="Y588" i="1" s="1"/>
  <c r="AW588" i="1" s="1"/>
  <c r="T603" i="1"/>
  <c r="S603" i="1" s="1"/>
  <c r="Y603" i="1" s="1"/>
  <c r="T607" i="1"/>
  <c r="S607" i="1" s="1"/>
  <c r="Y607" i="1" s="1"/>
  <c r="AW607" i="1" s="1"/>
  <c r="U602" i="1"/>
  <c r="V602" i="1" s="1"/>
  <c r="X602" i="1" s="1"/>
  <c r="AW602" i="1" s="1"/>
  <c r="T572" i="1"/>
  <c r="S572" i="1" s="1"/>
  <c r="Y572" i="1" s="1"/>
  <c r="AW572" i="1" s="1"/>
  <c r="T577" i="1"/>
  <c r="S577" i="1" s="1"/>
  <c r="Y577" i="1" s="1"/>
  <c r="AW577" i="1" s="1"/>
  <c r="T581" i="1"/>
  <c r="U581" i="1" s="1"/>
  <c r="T597" i="1"/>
  <c r="U597" i="1" s="1"/>
  <c r="T574" i="1"/>
  <c r="U574" i="1" s="1"/>
  <c r="T604" i="1"/>
  <c r="U604" i="1" s="1"/>
  <c r="T579" i="1"/>
  <c r="T594" i="1"/>
  <c r="U594" i="1" s="1"/>
  <c r="V594" i="1" s="1"/>
  <c r="AL573" i="1"/>
  <c r="AG573" i="1"/>
  <c r="AF573" i="1"/>
  <c r="U600" i="1"/>
  <c r="V600" i="1" s="1"/>
  <c r="S600" i="1"/>
  <c r="Y600" i="1" s="1"/>
  <c r="AF578" i="1"/>
  <c r="AL578" i="1"/>
  <c r="AG578" i="1"/>
  <c r="AF593" i="1"/>
  <c r="AL593" i="1"/>
  <c r="AG593" i="1"/>
  <c r="AL588" i="1"/>
  <c r="AG588" i="1"/>
  <c r="AF588" i="1"/>
  <c r="X592" i="1"/>
  <c r="W592" i="1"/>
  <c r="AE592" i="1"/>
  <c r="AL608" i="1"/>
  <c r="AG608" i="1"/>
  <c r="AF608" i="1"/>
  <c r="AL572" i="1"/>
  <c r="AG572" i="1"/>
  <c r="AF572" i="1"/>
  <c r="AF575" i="1"/>
  <c r="AL575" i="1"/>
  <c r="AG575" i="1"/>
  <c r="AF577" i="1"/>
  <c r="AL577" i="1"/>
  <c r="AG577" i="1"/>
  <c r="AG581" i="1"/>
  <c r="AF581" i="1"/>
  <c r="AL581" i="1"/>
  <c r="AL595" i="1"/>
  <c r="AF595" i="1"/>
  <c r="AG595" i="1"/>
  <c r="AL597" i="1"/>
  <c r="AG597" i="1"/>
  <c r="AF597" i="1"/>
  <c r="AL574" i="1"/>
  <c r="AG574" i="1"/>
  <c r="AF574" i="1"/>
  <c r="AL604" i="1"/>
  <c r="AG604" i="1"/>
  <c r="AF604" i="1"/>
  <c r="AL584" i="1"/>
  <c r="AG584" i="1"/>
  <c r="AF584" i="1"/>
  <c r="AL579" i="1"/>
  <c r="AG579" i="1"/>
  <c r="AF579" i="1"/>
  <c r="AG599" i="1"/>
  <c r="AL599" i="1"/>
  <c r="AF599" i="1"/>
  <c r="AL609" i="1"/>
  <c r="AG609" i="1"/>
  <c r="AF609" i="1"/>
  <c r="AL606" i="1"/>
  <c r="AF580" i="1"/>
  <c r="AF589" i="1"/>
  <c r="S592" i="1"/>
  <c r="Y592" i="1" s="1"/>
  <c r="AF582" i="1"/>
  <c r="AF601" i="1"/>
  <c r="AF607" i="1"/>
  <c r="AG582" i="1"/>
  <c r="AG601" i="1"/>
  <c r="AG607" i="1"/>
  <c r="AF606" i="1"/>
  <c r="S608" i="1" l="1"/>
  <c r="Y608" i="1" s="1"/>
  <c r="AW608" i="1" s="1"/>
  <c r="S576" i="1"/>
  <c r="Y576" i="1" s="1"/>
  <c r="U578" i="1"/>
  <c r="S573" i="1"/>
  <c r="Y573" i="1" s="1"/>
  <c r="AW573" i="1" s="1"/>
  <c r="S582" i="1"/>
  <c r="Y582" i="1" s="1"/>
  <c r="AW582" i="1" s="1"/>
  <c r="U575" i="1"/>
  <c r="U609" i="1"/>
  <c r="U579" i="1"/>
  <c r="C9" i="6"/>
  <c r="S597" i="1"/>
  <c r="Y597" i="1" s="1"/>
  <c r="AW597" i="1" s="1"/>
  <c r="S589" i="1"/>
  <c r="Y589" i="1" s="1"/>
  <c r="AW589" i="1" s="1"/>
  <c r="S583" i="1"/>
  <c r="Y583" i="1" s="1"/>
  <c r="AW583" i="1" s="1"/>
  <c r="AE602" i="1"/>
  <c r="AL602" i="1" s="1"/>
  <c r="U577" i="1"/>
  <c r="U603" i="1"/>
  <c r="V603" i="1" s="1"/>
  <c r="W603" i="1" s="1"/>
  <c r="U596" i="1"/>
  <c r="V596" i="1" s="1"/>
  <c r="AE596" i="1" s="1"/>
  <c r="S580" i="1"/>
  <c r="Y580" i="1" s="1"/>
  <c r="AW580" i="1" s="1"/>
  <c r="U606" i="1"/>
  <c r="S574" i="1"/>
  <c r="Y574" i="1" s="1"/>
  <c r="AW574" i="1" s="1"/>
  <c r="U587" i="1"/>
  <c r="V587" i="1" s="1"/>
  <c r="U599" i="1"/>
  <c r="U572" i="1"/>
  <c r="U593" i="1"/>
  <c r="U607" i="1"/>
  <c r="S595" i="1"/>
  <c r="Y595" i="1" s="1"/>
  <c r="AW595" i="1" s="1"/>
  <c r="S585" i="1"/>
  <c r="Y585" i="1" s="1"/>
  <c r="S605" i="1"/>
  <c r="Y605" i="1" s="1"/>
  <c r="AW605" i="1" s="1"/>
  <c r="S581" i="1"/>
  <c r="Y581" i="1" s="1"/>
  <c r="AW581" i="1" s="1"/>
  <c r="X598" i="1"/>
  <c r="W598" i="1"/>
  <c r="AE598" i="1"/>
  <c r="AF598" i="1" s="1"/>
  <c r="S590" i="1"/>
  <c r="Y590" i="1" s="1"/>
  <c r="AW590" i="1" s="1"/>
  <c r="S601" i="1"/>
  <c r="Y601" i="1" s="1"/>
  <c r="AW601" i="1" s="1"/>
  <c r="U588" i="1"/>
  <c r="U591" i="1"/>
  <c r="V591" i="1" s="1"/>
  <c r="W591" i="1" s="1"/>
  <c r="W602" i="1"/>
  <c r="S586" i="1"/>
  <c r="Y586" i="1" s="1"/>
  <c r="S584" i="1"/>
  <c r="Y584" i="1" s="1"/>
  <c r="AW584" i="1" s="1"/>
  <c r="S594" i="1"/>
  <c r="Y594" i="1" s="1"/>
  <c r="S579" i="1"/>
  <c r="Y579" i="1" s="1"/>
  <c r="AW579" i="1" s="1"/>
  <c r="S598" i="1"/>
  <c r="Y598" i="1" s="1"/>
  <c r="AW592" i="1"/>
  <c r="S604" i="1"/>
  <c r="Y604" i="1" s="1"/>
  <c r="AW604" i="1" s="1"/>
  <c r="X586" i="1"/>
  <c r="W586" i="1"/>
  <c r="AE586" i="1"/>
  <c r="AE576" i="1"/>
  <c r="X576" i="1"/>
  <c r="W576" i="1"/>
  <c r="AE594" i="1"/>
  <c r="X594" i="1"/>
  <c r="W594" i="1"/>
  <c r="AL592" i="1"/>
  <c r="AF592" i="1"/>
  <c r="AG592" i="1"/>
  <c r="AE600" i="1"/>
  <c r="X600" i="1"/>
  <c r="AW600" i="1" s="1"/>
  <c r="W600" i="1"/>
  <c r="AE603" i="1"/>
  <c r="X603" i="1"/>
  <c r="AW603" i="1" s="1"/>
  <c r="X585" i="1"/>
  <c r="W585" i="1"/>
  <c r="AE585" i="1"/>
  <c r="W596" i="1" l="1"/>
  <c r="X596" i="1"/>
  <c r="AW596" i="1" s="1"/>
  <c r="AF602" i="1"/>
  <c r="AG602" i="1"/>
  <c r="AW598" i="1"/>
  <c r="X587" i="1"/>
  <c r="AW587" i="1" s="1"/>
  <c r="W587" i="1"/>
  <c r="AE587" i="1"/>
  <c r="AW585" i="1"/>
  <c r="AW586" i="1"/>
  <c r="D9" i="6"/>
  <c r="X591" i="1"/>
  <c r="AW591" i="1" s="1"/>
  <c r="AE591" i="1"/>
  <c r="AL591" i="1" s="1"/>
  <c r="AW594" i="1"/>
  <c r="AG598" i="1"/>
  <c r="AL598" i="1"/>
  <c r="E9" i="6"/>
  <c r="F9" i="6" s="1"/>
  <c r="AW576" i="1"/>
  <c r="AG600" i="1"/>
  <c r="AF600" i="1"/>
  <c r="AL600" i="1"/>
  <c r="AL576" i="1"/>
  <c r="AG576" i="1"/>
  <c r="AF576" i="1"/>
  <c r="AL596" i="1"/>
  <c r="AG596" i="1"/>
  <c r="AF596" i="1"/>
  <c r="AL586" i="1"/>
  <c r="AF586" i="1"/>
  <c r="AG586" i="1"/>
  <c r="AL594" i="1"/>
  <c r="AG594" i="1"/>
  <c r="AF594" i="1"/>
  <c r="AL585" i="1"/>
  <c r="AG585" i="1"/>
  <c r="AF585" i="1"/>
  <c r="AF603" i="1"/>
  <c r="AL603" i="1"/>
  <c r="AG603" i="1"/>
  <c r="AF591" i="1" l="1"/>
  <c r="AG591" i="1"/>
  <c r="AG587" i="1"/>
  <c r="AF587" i="1"/>
  <c r="AL587" i="1"/>
  <c r="AD423" i="1" l="1"/>
  <c r="R423" i="1"/>
  <c r="P423" i="1"/>
  <c r="AD422" i="1"/>
  <c r="AE422" i="1" s="1"/>
  <c r="AF422" i="1" s="1"/>
  <c r="X422" i="1"/>
  <c r="W422" i="1"/>
  <c r="R422" i="1"/>
  <c r="P422" i="1"/>
  <c r="AD421" i="1"/>
  <c r="R421" i="1"/>
  <c r="P421" i="1"/>
  <c r="AD420" i="1"/>
  <c r="R420" i="1"/>
  <c r="P420" i="1"/>
  <c r="AD419" i="1"/>
  <c r="R419" i="1"/>
  <c r="P419" i="1"/>
  <c r="AD418" i="1"/>
  <c r="R418" i="1"/>
  <c r="P418" i="1"/>
  <c r="AD417" i="1"/>
  <c r="R417" i="1"/>
  <c r="P417" i="1"/>
  <c r="AD416" i="1"/>
  <c r="R416" i="1"/>
  <c r="P416" i="1"/>
  <c r="AD415" i="1"/>
  <c r="R415" i="1"/>
  <c r="P415" i="1"/>
  <c r="AD414" i="1"/>
  <c r="R414" i="1"/>
  <c r="P414" i="1"/>
  <c r="AD413" i="1"/>
  <c r="R413" i="1"/>
  <c r="P413" i="1"/>
  <c r="AD412" i="1"/>
  <c r="R412" i="1"/>
  <c r="P412" i="1"/>
  <c r="AD411" i="1"/>
  <c r="R411" i="1"/>
  <c r="P411" i="1"/>
  <c r="AD410" i="1"/>
  <c r="R410" i="1"/>
  <c r="P410" i="1"/>
  <c r="AD409" i="1"/>
  <c r="R409" i="1"/>
  <c r="P409" i="1"/>
  <c r="AD408" i="1"/>
  <c r="R408" i="1"/>
  <c r="P408" i="1"/>
  <c r="AD407" i="1"/>
  <c r="R407" i="1"/>
  <c r="P407" i="1"/>
  <c r="AD406" i="1"/>
  <c r="R406" i="1"/>
  <c r="P406" i="1"/>
  <c r="AD405" i="1"/>
  <c r="R405" i="1"/>
  <c r="P405" i="1"/>
  <c r="AD404" i="1"/>
  <c r="V404" i="1"/>
  <c r="X404" i="1" s="1"/>
  <c r="R404" i="1"/>
  <c r="P404" i="1"/>
  <c r="AD403" i="1"/>
  <c r="R403" i="1"/>
  <c r="P403" i="1"/>
  <c r="AD402" i="1"/>
  <c r="R402" i="1"/>
  <c r="P402" i="1"/>
  <c r="AD401" i="1"/>
  <c r="R401" i="1"/>
  <c r="P401" i="1"/>
  <c r="AD400" i="1"/>
  <c r="R400" i="1"/>
  <c r="P400" i="1"/>
  <c r="AD399" i="1"/>
  <c r="R399" i="1"/>
  <c r="P399" i="1"/>
  <c r="AD398" i="1"/>
  <c r="R398" i="1"/>
  <c r="P398" i="1"/>
  <c r="AD397" i="1"/>
  <c r="R397" i="1"/>
  <c r="P397" i="1"/>
  <c r="AD396" i="1"/>
  <c r="R396" i="1"/>
  <c r="P396" i="1"/>
  <c r="AD395" i="1"/>
  <c r="R395" i="1"/>
  <c r="P395" i="1"/>
  <c r="AD394" i="1"/>
  <c r="R394" i="1"/>
  <c r="P394" i="1"/>
  <c r="AD393" i="1"/>
  <c r="R393" i="1"/>
  <c r="P393" i="1"/>
  <c r="AD392" i="1"/>
  <c r="R392" i="1"/>
  <c r="P392" i="1"/>
  <c r="AD391" i="1"/>
  <c r="V391" i="1"/>
  <c r="W391" i="1" s="1"/>
  <c r="R391" i="1"/>
  <c r="P391" i="1"/>
  <c r="AD390" i="1"/>
  <c r="R390" i="1"/>
  <c r="P390" i="1"/>
  <c r="AD389" i="1"/>
  <c r="R389" i="1"/>
  <c r="P389" i="1"/>
  <c r="AD388" i="1"/>
  <c r="R388" i="1"/>
  <c r="P388" i="1"/>
  <c r="AD387" i="1"/>
  <c r="R387" i="1"/>
  <c r="P387" i="1"/>
  <c r="AD386" i="1"/>
  <c r="R386" i="1"/>
  <c r="P386" i="1"/>
  <c r="AD385" i="1"/>
  <c r="R385" i="1"/>
  <c r="P385" i="1"/>
  <c r="AD384" i="1"/>
  <c r="R384" i="1"/>
  <c r="P384" i="1"/>
  <c r="AD383" i="1"/>
  <c r="R383" i="1"/>
  <c r="P383" i="1"/>
  <c r="AD382" i="1"/>
  <c r="R382" i="1"/>
  <c r="P382" i="1"/>
  <c r="AD381" i="1"/>
  <c r="R381" i="1"/>
  <c r="P381" i="1"/>
  <c r="AD380" i="1"/>
  <c r="R380" i="1"/>
  <c r="P380" i="1"/>
  <c r="AD379" i="1"/>
  <c r="R379" i="1"/>
  <c r="P379" i="1"/>
  <c r="AD378" i="1"/>
  <c r="R378" i="1"/>
  <c r="P378" i="1"/>
  <c r="AD377" i="1"/>
  <c r="R377" i="1"/>
  <c r="P377" i="1"/>
  <c r="AD376" i="1"/>
  <c r="V376" i="1"/>
  <c r="X376" i="1" s="1"/>
  <c r="R376" i="1"/>
  <c r="P376" i="1"/>
  <c r="AD375" i="1"/>
  <c r="R375" i="1"/>
  <c r="P375" i="1"/>
  <c r="AD374" i="1"/>
  <c r="R374" i="1"/>
  <c r="P374" i="1"/>
  <c r="AD373" i="1"/>
  <c r="R373" i="1"/>
  <c r="P373" i="1"/>
  <c r="AD372" i="1"/>
  <c r="R372" i="1"/>
  <c r="P372" i="1"/>
  <c r="AD371" i="1"/>
  <c r="R371" i="1"/>
  <c r="P371" i="1"/>
  <c r="AD370" i="1"/>
  <c r="V370" i="1"/>
  <c r="R370" i="1"/>
  <c r="P370" i="1"/>
  <c r="AD369" i="1"/>
  <c r="R369" i="1"/>
  <c r="P369" i="1"/>
  <c r="AD368" i="1"/>
  <c r="R368" i="1"/>
  <c r="P368" i="1"/>
  <c r="AD367" i="1"/>
  <c r="R367" i="1"/>
  <c r="P367" i="1"/>
  <c r="AD366" i="1"/>
  <c r="R366" i="1"/>
  <c r="P366" i="1"/>
  <c r="AD365" i="1"/>
  <c r="R365" i="1"/>
  <c r="P365" i="1"/>
  <c r="AD364" i="1"/>
  <c r="R364" i="1"/>
  <c r="P364" i="1"/>
  <c r="AD363" i="1"/>
  <c r="R363" i="1"/>
  <c r="P363" i="1"/>
  <c r="AD362" i="1"/>
  <c r="R362" i="1"/>
  <c r="P362" i="1"/>
  <c r="AD361" i="1"/>
  <c r="R361" i="1"/>
  <c r="P361" i="1"/>
  <c r="AD360" i="1"/>
  <c r="R360" i="1"/>
  <c r="P360" i="1"/>
  <c r="AD359" i="1"/>
  <c r="R359" i="1"/>
  <c r="P359" i="1"/>
  <c r="AD358" i="1"/>
  <c r="R358" i="1"/>
  <c r="P358" i="1"/>
  <c r="AD357" i="1"/>
  <c r="R357" i="1"/>
  <c r="P357" i="1"/>
  <c r="AD356" i="1"/>
  <c r="R356" i="1"/>
  <c r="P356" i="1"/>
  <c r="AD355" i="1"/>
  <c r="R355" i="1"/>
  <c r="P355" i="1"/>
  <c r="AD354" i="1"/>
  <c r="R354" i="1"/>
  <c r="P354" i="1"/>
  <c r="AD353" i="1"/>
  <c r="R353" i="1"/>
  <c r="P353" i="1"/>
  <c r="AD352" i="1"/>
  <c r="R352" i="1"/>
  <c r="P352" i="1"/>
  <c r="AD351" i="1"/>
  <c r="R351" i="1"/>
  <c r="P351" i="1"/>
  <c r="AD350" i="1"/>
  <c r="R350" i="1"/>
  <c r="P350" i="1"/>
  <c r="AD349" i="1"/>
  <c r="R349" i="1"/>
  <c r="P349" i="1"/>
  <c r="AD348" i="1"/>
  <c r="R348" i="1"/>
  <c r="P348" i="1"/>
  <c r="AD347" i="1"/>
  <c r="R347" i="1"/>
  <c r="P347" i="1"/>
  <c r="AD346" i="1"/>
  <c r="R346" i="1"/>
  <c r="P346" i="1"/>
  <c r="AD345" i="1"/>
  <c r="V345" i="1"/>
  <c r="X345" i="1" s="1"/>
  <c r="R345" i="1"/>
  <c r="P345" i="1"/>
  <c r="AD344" i="1"/>
  <c r="R344" i="1"/>
  <c r="P344" i="1"/>
  <c r="AD343" i="1"/>
  <c r="R343" i="1"/>
  <c r="P343" i="1"/>
  <c r="AD342" i="1"/>
  <c r="R342" i="1"/>
  <c r="P342" i="1"/>
  <c r="AD341" i="1"/>
  <c r="R341" i="1"/>
  <c r="P341" i="1"/>
  <c r="AD340" i="1"/>
  <c r="R340" i="1"/>
  <c r="P340" i="1"/>
  <c r="AD339" i="1"/>
  <c r="R339" i="1"/>
  <c r="P339" i="1"/>
  <c r="AD338" i="1"/>
  <c r="R338" i="1"/>
  <c r="P338" i="1"/>
  <c r="AD337" i="1"/>
  <c r="R337" i="1"/>
  <c r="P337" i="1"/>
  <c r="AD336" i="1"/>
  <c r="R336" i="1"/>
  <c r="P336" i="1"/>
  <c r="AD335" i="1"/>
  <c r="R335" i="1"/>
  <c r="P335" i="1"/>
  <c r="AD334" i="1"/>
  <c r="R334" i="1"/>
  <c r="P334" i="1"/>
  <c r="AD333" i="1"/>
  <c r="R333" i="1"/>
  <c r="P333" i="1"/>
  <c r="AD332" i="1"/>
  <c r="R332" i="1"/>
  <c r="P332" i="1"/>
  <c r="AD331" i="1"/>
  <c r="R331" i="1"/>
  <c r="P331" i="1"/>
  <c r="AD330" i="1"/>
  <c r="R330" i="1"/>
  <c r="P330" i="1"/>
  <c r="AD329" i="1"/>
  <c r="R329" i="1"/>
  <c r="P329" i="1"/>
  <c r="AD328" i="1"/>
  <c r="R328" i="1"/>
  <c r="P328" i="1"/>
  <c r="AD327" i="1"/>
  <c r="R327" i="1"/>
  <c r="P327" i="1"/>
  <c r="AD326" i="1"/>
  <c r="R326" i="1"/>
  <c r="P326" i="1"/>
  <c r="AD325" i="1"/>
  <c r="AE325" i="1" s="1"/>
  <c r="X325" i="1"/>
  <c r="W325" i="1"/>
  <c r="R325" i="1"/>
  <c r="P325" i="1"/>
  <c r="AD324" i="1"/>
  <c r="AE324" i="1" s="1"/>
  <c r="AL324" i="1" s="1"/>
  <c r="X324" i="1"/>
  <c r="W324" i="1"/>
  <c r="R324" i="1"/>
  <c r="P324" i="1"/>
  <c r="AD323" i="1"/>
  <c r="R323" i="1"/>
  <c r="P323" i="1"/>
  <c r="AD322" i="1"/>
  <c r="R322" i="1"/>
  <c r="P322" i="1"/>
  <c r="AD321" i="1"/>
  <c r="AE321" i="1" s="1"/>
  <c r="AL321" i="1" s="1"/>
  <c r="X321" i="1"/>
  <c r="W321" i="1"/>
  <c r="R321" i="1"/>
  <c r="P321" i="1"/>
  <c r="AD320" i="1"/>
  <c r="R320" i="1"/>
  <c r="P320" i="1"/>
  <c r="AD319" i="1"/>
  <c r="R319" i="1"/>
  <c r="P319" i="1"/>
  <c r="AD318" i="1"/>
  <c r="AE318" i="1" s="1"/>
  <c r="AF318" i="1" s="1"/>
  <c r="X318" i="1"/>
  <c r="W318" i="1"/>
  <c r="R318" i="1"/>
  <c r="P318" i="1"/>
  <c r="AD317" i="1"/>
  <c r="R317" i="1"/>
  <c r="P317" i="1"/>
  <c r="AD316" i="1"/>
  <c r="AE316" i="1" s="1"/>
  <c r="X316" i="1"/>
  <c r="W316" i="1"/>
  <c r="R316" i="1"/>
  <c r="P316" i="1"/>
  <c r="AD315" i="1"/>
  <c r="R315" i="1"/>
  <c r="P315" i="1"/>
  <c r="AD314" i="1"/>
  <c r="R314" i="1"/>
  <c r="P314" i="1"/>
  <c r="AD313" i="1"/>
  <c r="R313" i="1"/>
  <c r="P313" i="1"/>
  <c r="AD312" i="1"/>
  <c r="R312" i="1"/>
  <c r="P312" i="1"/>
  <c r="AD311" i="1"/>
  <c r="R311" i="1"/>
  <c r="P311" i="1"/>
  <c r="AD310" i="1"/>
  <c r="R310" i="1"/>
  <c r="P310" i="1"/>
  <c r="AD309" i="1"/>
  <c r="R309" i="1"/>
  <c r="P309" i="1"/>
  <c r="AD308" i="1"/>
  <c r="AE308" i="1" s="1"/>
  <c r="X308" i="1"/>
  <c r="W308" i="1"/>
  <c r="R308" i="1"/>
  <c r="P308" i="1"/>
  <c r="AD307" i="1"/>
  <c r="R307" i="1"/>
  <c r="P307" i="1"/>
  <c r="AD306" i="1"/>
  <c r="R306" i="1"/>
  <c r="P306" i="1"/>
  <c r="AD305" i="1"/>
  <c r="R305" i="1"/>
  <c r="P305" i="1"/>
  <c r="AD304" i="1"/>
  <c r="R304" i="1"/>
  <c r="P304" i="1"/>
  <c r="AD303" i="1"/>
  <c r="R303" i="1"/>
  <c r="P303" i="1"/>
  <c r="AD302" i="1"/>
  <c r="R302" i="1"/>
  <c r="P302" i="1"/>
  <c r="AD301" i="1"/>
  <c r="AE301" i="1" s="1"/>
  <c r="X301" i="1"/>
  <c r="W301" i="1"/>
  <c r="R301" i="1"/>
  <c r="P301" i="1"/>
  <c r="AD300" i="1"/>
  <c r="AE300" i="1" s="1"/>
  <c r="X300" i="1"/>
  <c r="W300" i="1"/>
  <c r="R300" i="1"/>
  <c r="P300" i="1"/>
  <c r="AD299" i="1"/>
  <c r="R299" i="1"/>
  <c r="P299" i="1"/>
  <c r="AD298" i="1"/>
  <c r="R298" i="1"/>
  <c r="P298" i="1"/>
  <c r="AD297" i="1"/>
  <c r="R297" i="1"/>
  <c r="P297" i="1"/>
  <c r="AD296" i="1"/>
  <c r="R296" i="1"/>
  <c r="P296" i="1"/>
  <c r="AD295" i="1"/>
  <c r="AE295" i="1" s="1"/>
  <c r="AG295" i="1" s="1"/>
  <c r="X295" i="1"/>
  <c r="W295" i="1"/>
  <c r="R295" i="1"/>
  <c r="P295" i="1"/>
  <c r="AD294" i="1"/>
  <c r="R294" i="1"/>
  <c r="P294" i="1"/>
  <c r="AD293" i="1"/>
  <c r="R293" i="1"/>
  <c r="P293" i="1"/>
  <c r="AD292" i="1"/>
  <c r="R292" i="1"/>
  <c r="P292" i="1"/>
  <c r="AD291" i="1"/>
  <c r="R291" i="1"/>
  <c r="P291" i="1"/>
  <c r="AD290" i="1"/>
  <c r="R290" i="1"/>
  <c r="P290" i="1"/>
  <c r="AD289" i="1"/>
  <c r="R289" i="1"/>
  <c r="P289" i="1"/>
  <c r="AD288" i="1"/>
  <c r="R288" i="1"/>
  <c r="P288" i="1"/>
  <c r="AD287" i="1"/>
  <c r="R287" i="1"/>
  <c r="P287" i="1"/>
  <c r="AD286" i="1"/>
  <c r="R286" i="1"/>
  <c r="P286" i="1"/>
  <c r="AD285" i="1"/>
  <c r="R285" i="1"/>
  <c r="P285" i="1"/>
  <c r="AD284" i="1"/>
  <c r="AE284" i="1" s="1"/>
  <c r="X284" i="1"/>
  <c r="W284" i="1"/>
  <c r="R284" i="1"/>
  <c r="P284" i="1"/>
  <c r="AD283" i="1"/>
  <c r="R283" i="1"/>
  <c r="P283" i="1"/>
  <c r="AD282" i="1"/>
  <c r="AE282" i="1" s="1"/>
  <c r="X282" i="1"/>
  <c r="W282" i="1"/>
  <c r="R282" i="1"/>
  <c r="P282" i="1"/>
  <c r="AD281" i="1"/>
  <c r="AE281" i="1" s="1"/>
  <c r="X281" i="1"/>
  <c r="W281" i="1"/>
  <c r="R281" i="1"/>
  <c r="P281" i="1"/>
  <c r="AD280" i="1"/>
  <c r="AE280" i="1" s="1"/>
  <c r="X280" i="1"/>
  <c r="W280" i="1"/>
  <c r="R280" i="1"/>
  <c r="P280" i="1"/>
  <c r="AD279" i="1"/>
  <c r="AE279" i="1" s="1"/>
  <c r="X279" i="1"/>
  <c r="W279" i="1"/>
  <c r="R279" i="1"/>
  <c r="P279" i="1"/>
  <c r="AD278" i="1"/>
  <c r="AE278" i="1" s="1"/>
  <c r="X278" i="1"/>
  <c r="W278" i="1"/>
  <c r="R278" i="1"/>
  <c r="P278" i="1"/>
  <c r="AD277" i="1"/>
  <c r="AE277" i="1" s="1"/>
  <c r="AF277" i="1" s="1"/>
  <c r="X277" i="1"/>
  <c r="W277" i="1"/>
  <c r="R277" i="1"/>
  <c r="P277" i="1"/>
  <c r="AD276" i="1"/>
  <c r="AE276" i="1" s="1"/>
  <c r="AG276" i="1" s="1"/>
  <c r="X276" i="1"/>
  <c r="W276" i="1"/>
  <c r="R276" i="1"/>
  <c r="P276" i="1"/>
  <c r="AD275" i="1"/>
  <c r="AE275" i="1" s="1"/>
  <c r="X275" i="1"/>
  <c r="W275" i="1"/>
  <c r="R275" i="1"/>
  <c r="P275" i="1"/>
  <c r="AD274" i="1"/>
  <c r="R274" i="1"/>
  <c r="P274" i="1"/>
  <c r="AD273" i="1"/>
  <c r="AE273" i="1" s="1"/>
  <c r="AF273" i="1" s="1"/>
  <c r="X273" i="1"/>
  <c r="W273" i="1"/>
  <c r="R273" i="1"/>
  <c r="P273" i="1"/>
  <c r="AD272" i="1"/>
  <c r="AE272" i="1" s="1"/>
  <c r="X272" i="1"/>
  <c r="W272" i="1"/>
  <c r="R272" i="1"/>
  <c r="P272" i="1"/>
  <c r="AD571" i="1"/>
  <c r="R571" i="1"/>
  <c r="P571" i="1"/>
  <c r="AD570" i="1"/>
  <c r="R570" i="1"/>
  <c r="P570" i="1"/>
  <c r="AD569" i="1"/>
  <c r="R569" i="1"/>
  <c r="P569" i="1"/>
  <c r="AD568" i="1"/>
  <c r="R568" i="1"/>
  <c r="P568" i="1"/>
  <c r="AD567" i="1"/>
  <c r="R567" i="1"/>
  <c r="P567" i="1"/>
  <c r="AD566" i="1"/>
  <c r="R566" i="1"/>
  <c r="P566" i="1"/>
  <c r="AD565" i="1"/>
  <c r="R565" i="1"/>
  <c r="P565" i="1"/>
  <c r="AD564" i="1"/>
  <c r="R564" i="1"/>
  <c r="P564" i="1"/>
  <c r="AD563" i="1"/>
  <c r="R563" i="1"/>
  <c r="P563" i="1"/>
  <c r="AD562" i="1"/>
  <c r="R562" i="1"/>
  <c r="P562" i="1"/>
  <c r="AD561" i="1"/>
  <c r="R561" i="1"/>
  <c r="P561" i="1"/>
  <c r="AD560" i="1"/>
  <c r="R560" i="1"/>
  <c r="P560" i="1"/>
  <c r="AD559" i="1"/>
  <c r="R559" i="1"/>
  <c r="P559" i="1"/>
  <c r="AD558" i="1"/>
  <c r="R558" i="1"/>
  <c r="P558" i="1"/>
  <c r="T363" i="1" l="1"/>
  <c r="S363" i="1" s="1"/>
  <c r="Y363" i="1" s="1"/>
  <c r="T376" i="1"/>
  <c r="T378" i="1"/>
  <c r="S378" i="1" s="1"/>
  <c r="Y378" i="1" s="1"/>
  <c r="T381" i="1"/>
  <c r="U381" i="1" s="1"/>
  <c r="V381" i="1" s="1"/>
  <c r="X381" i="1" s="1"/>
  <c r="T389" i="1"/>
  <c r="T394" i="1"/>
  <c r="S394" i="1" s="1"/>
  <c r="Y394" i="1" s="1"/>
  <c r="T354" i="1"/>
  <c r="U354" i="1" s="1"/>
  <c r="V354" i="1" s="1"/>
  <c r="W354" i="1" s="1"/>
  <c r="T362" i="1"/>
  <c r="U362" i="1" s="1"/>
  <c r="V362" i="1" s="1"/>
  <c r="T401" i="1"/>
  <c r="U401" i="1" s="1"/>
  <c r="V401" i="1" s="1"/>
  <c r="X401" i="1" s="1"/>
  <c r="T406" i="1"/>
  <c r="S406" i="1" s="1"/>
  <c r="Y406" i="1" s="1"/>
  <c r="T414" i="1"/>
  <c r="S414" i="1" s="1"/>
  <c r="Y414" i="1" s="1"/>
  <c r="T422" i="1"/>
  <c r="S422" i="1" s="1"/>
  <c r="Y422" i="1" s="1"/>
  <c r="AW422" i="1" s="1"/>
  <c r="T374" i="1"/>
  <c r="T402" i="1"/>
  <c r="S402" i="1" s="1"/>
  <c r="Y402" i="1" s="1"/>
  <c r="T282" i="1"/>
  <c r="S282" i="1" s="1"/>
  <c r="Y282" i="1" s="1"/>
  <c r="T294" i="1"/>
  <c r="S294" i="1" s="1"/>
  <c r="Y294" i="1" s="1"/>
  <c r="T274" i="1"/>
  <c r="S274" i="1" s="1"/>
  <c r="Y274" i="1" s="1"/>
  <c r="T423" i="1"/>
  <c r="S423" i="1" s="1"/>
  <c r="Y423" i="1" s="1"/>
  <c r="T288" i="1"/>
  <c r="U288" i="1" s="1"/>
  <c r="V288" i="1" s="1"/>
  <c r="W288" i="1" s="1"/>
  <c r="T343" i="1"/>
  <c r="S343" i="1" s="1"/>
  <c r="Y343" i="1" s="1"/>
  <c r="T382" i="1"/>
  <c r="U382" i="1" s="1"/>
  <c r="V382" i="1" s="1"/>
  <c r="AE382" i="1" s="1"/>
  <c r="T390" i="1"/>
  <c r="U390" i="1" s="1"/>
  <c r="V390" i="1" s="1"/>
  <c r="W390" i="1" s="1"/>
  <c r="T395" i="1"/>
  <c r="U395" i="1" s="1"/>
  <c r="V395" i="1" s="1"/>
  <c r="T403" i="1"/>
  <c r="U403" i="1" s="1"/>
  <c r="V403" i="1" s="1"/>
  <c r="T275" i="1"/>
  <c r="U275" i="1" s="1"/>
  <c r="T364" i="1"/>
  <c r="U364" i="1" s="1"/>
  <c r="V364" i="1" s="1"/>
  <c r="W364" i="1" s="1"/>
  <c r="T410" i="1"/>
  <c r="S410" i="1" s="1"/>
  <c r="Y410" i="1" s="1"/>
  <c r="T318" i="1"/>
  <c r="S318" i="1" s="1"/>
  <c r="Y318" i="1" s="1"/>
  <c r="T361" i="1"/>
  <c r="S361" i="1" s="1"/>
  <c r="Y361" i="1" s="1"/>
  <c r="T327" i="1"/>
  <c r="S327" i="1" s="1"/>
  <c r="Y327" i="1" s="1"/>
  <c r="T330" i="1"/>
  <c r="U330" i="1" s="1"/>
  <c r="V330" i="1" s="1"/>
  <c r="AE330" i="1" s="1"/>
  <c r="AL330" i="1" s="1"/>
  <c r="T277" i="1"/>
  <c r="S277" i="1" s="1"/>
  <c r="Y277" i="1" s="1"/>
  <c r="T304" i="1"/>
  <c r="U304" i="1" s="1"/>
  <c r="V304" i="1" s="1"/>
  <c r="T315" i="1"/>
  <c r="U315" i="1" s="1"/>
  <c r="V315" i="1" s="1"/>
  <c r="T308" i="1"/>
  <c r="U308" i="1" s="1"/>
  <c r="T328" i="1"/>
  <c r="U328" i="1" s="1"/>
  <c r="V328" i="1" s="1"/>
  <c r="T336" i="1"/>
  <c r="S336" i="1" s="1"/>
  <c r="Y336" i="1" s="1"/>
  <c r="T299" i="1"/>
  <c r="S299" i="1" s="1"/>
  <c r="Y299" i="1" s="1"/>
  <c r="T295" i="1"/>
  <c r="S295" i="1" s="1"/>
  <c r="Y295" i="1" s="1"/>
  <c r="T320" i="1"/>
  <c r="S320" i="1" s="1"/>
  <c r="Y320" i="1" s="1"/>
  <c r="T334" i="1"/>
  <c r="U334" i="1" s="1"/>
  <c r="V334" i="1" s="1"/>
  <c r="X334" i="1" s="1"/>
  <c r="T347" i="1"/>
  <c r="U347" i="1" s="1"/>
  <c r="V347" i="1" s="1"/>
  <c r="X347" i="1" s="1"/>
  <c r="T355" i="1"/>
  <c r="T360" i="1"/>
  <c r="S360" i="1" s="1"/>
  <c r="Y360" i="1" s="1"/>
  <c r="T571" i="1"/>
  <c r="U571" i="1" s="1"/>
  <c r="V571" i="1" s="1"/>
  <c r="T273" i="1"/>
  <c r="U273" i="1" s="1"/>
  <c r="T386" i="1"/>
  <c r="S386" i="1" s="1"/>
  <c r="Y386" i="1" s="1"/>
  <c r="T310" i="1"/>
  <c r="U310" i="1" s="1"/>
  <c r="V310" i="1" s="1"/>
  <c r="W310" i="1" s="1"/>
  <c r="T325" i="1"/>
  <c r="S325" i="1" s="1"/>
  <c r="Y325" i="1" s="1"/>
  <c r="T356" i="1"/>
  <c r="S356" i="1" s="1"/>
  <c r="Y356" i="1" s="1"/>
  <c r="T564" i="1"/>
  <c r="U564" i="1" s="1"/>
  <c r="V564" i="1" s="1"/>
  <c r="T272" i="1"/>
  <c r="U272" i="1" s="1"/>
  <c r="T290" i="1"/>
  <c r="S290" i="1" s="1"/>
  <c r="Y290" i="1" s="1"/>
  <c r="T340" i="1"/>
  <c r="S340" i="1" s="1"/>
  <c r="Y340" i="1" s="1"/>
  <c r="T562" i="1"/>
  <c r="S562" i="1" s="1"/>
  <c r="Y562" i="1" s="1"/>
  <c r="T570" i="1"/>
  <c r="U570" i="1" s="1"/>
  <c r="V570" i="1" s="1"/>
  <c r="T352" i="1"/>
  <c r="S352" i="1" s="1"/>
  <c r="Y352" i="1" s="1"/>
  <c r="T370" i="1"/>
  <c r="S370" i="1" s="1"/>
  <c r="Y370" i="1" s="1"/>
  <c r="T375" i="1"/>
  <c r="U375" i="1" s="1"/>
  <c r="V375" i="1" s="1"/>
  <c r="T296" i="1"/>
  <c r="S296" i="1" s="1"/>
  <c r="Y296" i="1" s="1"/>
  <c r="T337" i="1"/>
  <c r="U337" i="1" s="1"/>
  <c r="V337" i="1" s="1"/>
  <c r="T404" i="1"/>
  <c r="U404" i="1" s="1"/>
  <c r="T565" i="1"/>
  <c r="U565" i="1" s="1"/>
  <c r="V565" i="1" s="1"/>
  <c r="W565" i="1" s="1"/>
  <c r="T285" i="1"/>
  <c r="S285" i="1" s="1"/>
  <c r="Y285" i="1" s="1"/>
  <c r="T297" i="1"/>
  <c r="U297" i="1" s="1"/>
  <c r="V297" i="1" s="1"/>
  <c r="W297" i="1" s="1"/>
  <c r="T323" i="1"/>
  <c r="U323" i="1" s="1"/>
  <c r="V323" i="1" s="1"/>
  <c r="AF324" i="1"/>
  <c r="T329" i="1"/>
  <c r="U329" i="1" s="1"/>
  <c r="V329" i="1" s="1"/>
  <c r="X329" i="1" s="1"/>
  <c r="T331" i="1"/>
  <c r="U331" i="1" s="1"/>
  <c r="V331" i="1" s="1"/>
  <c r="T358" i="1"/>
  <c r="U358" i="1" s="1"/>
  <c r="V358" i="1" s="1"/>
  <c r="X358" i="1" s="1"/>
  <c r="T397" i="1"/>
  <c r="U397" i="1" s="1"/>
  <c r="V397" i="1" s="1"/>
  <c r="X397" i="1" s="1"/>
  <c r="W404" i="1"/>
  <c r="T276" i="1"/>
  <c r="T368" i="1"/>
  <c r="U368" i="1" s="1"/>
  <c r="V368" i="1" s="1"/>
  <c r="AE368" i="1" s="1"/>
  <c r="AL368" i="1" s="1"/>
  <c r="T380" i="1"/>
  <c r="U380" i="1" s="1"/>
  <c r="V380" i="1" s="1"/>
  <c r="T417" i="1"/>
  <c r="U417" i="1" s="1"/>
  <c r="V417" i="1" s="1"/>
  <c r="X417" i="1" s="1"/>
  <c r="T383" i="1"/>
  <c r="U383" i="1" s="1"/>
  <c r="V383" i="1" s="1"/>
  <c r="T388" i="1"/>
  <c r="U388" i="1" s="1"/>
  <c r="V388" i="1" s="1"/>
  <c r="AE404" i="1"/>
  <c r="AG404" i="1" s="1"/>
  <c r="T407" i="1"/>
  <c r="S407" i="1" s="1"/>
  <c r="Y407" i="1" s="1"/>
  <c r="T284" i="1"/>
  <c r="U284" i="1" s="1"/>
  <c r="T286" i="1"/>
  <c r="U286" i="1" s="1"/>
  <c r="V286" i="1" s="1"/>
  <c r="T291" i="1"/>
  <c r="U291" i="1" s="1"/>
  <c r="V291" i="1" s="1"/>
  <c r="X291" i="1" s="1"/>
  <c r="T298" i="1"/>
  <c r="U298" i="1" s="1"/>
  <c r="V298" i="1" s="1"/>
  <c r="W298" i="1" s="1"/>
  <c r="T332" i="1"/>
  <c r="T349" i="1"/>
  <c r="S349" i="1" s="1"/>
  <c r="Y349" i="1" s="1"/>
  <c r="T371" i="1"/>
  <c r="U371" i="1" s="1"/>
  <c r="V371" i="1" s="1"/>
  <c r="T391" i="1"/>
  <c r="S391" i="1" s="1"/>
  <c r="Y391" i="1" s="1"/>
  <c r="T393" i="1"/>
  <c r="U393" i="1" s="1"/>
  <c r="V393" i="1" s="1"/>
  <c r="X393" i="1" s="1"/>
  <c r="T398" i="1"/>
  <c r="S398" i="1" s="1"/>
  <c r="Y398" i="1" s="1"/>
  <c r="T418" i="1"/>
  <c r="S418" i="1" s="1"/>
  <c r="Y418" i="1" s="1"/>
  <c r="T405" i="1"/>
  <c r="U405" i="1" s="1"/>
  <c r="V405" i="1" s="1"/>
  <c r="W376" i="1"/>
  <c r="T396" i="1"/>
  <c r="S396" i="1" s="1"/>
  <c r="Y396" i="1" s="1"/>
  <c r="T413" i="1"/>
  <c r="S413" i="1" s="1"/>
  <c r="Y413" i="1" s="1"/>
  <c r="T278" i="1"/>
  <c r="U278" i="1" s="1"/>
  <c r="T287" i="1"/>
  <c r="T326" i="1"/>
  <c r="T335" i="1"/>
  <c r="U335" i="1" s="1"/>
  <c r="V335" i="1" s="1"/>
  <c r="W335" i="1" s="1"/>
  <c r="T350" i="1"/>
  <c r="U350" i="1" s="1"/>
  <c r="V350" i="1" s="1"/>
  <c r="X350" i="1" s="1"/>
  <c r="T367" i="1"/>
  <c r="U367" i="1" s="1"/>
  <c r="V367" i="1" s="1"/>
  <c r="T372" i="1"/>
  <c r="S372" i="1" s="1"/>
  <c r="Y372" i="1" s="1"/>
  <c r="AE376" i="1"/>
  <c r="AL376" i="1" s="1"/>
  <c r="T379" i="1"/>
  <c r="U379" i="1" s="1"/>
  <c r="V379" i="1" s="1"/>
  <c r="T399" i="1"/>
  <c r="U399" i="1" s="1"/>
  <c r="V399" i="1" s="1"/>
  <c r="T411" i="1"/>
  <c r="S411" i="1" s="1"/>
  <c r="Y411" i="1" s="1"/>
  <c r="S374" i="1"/>
  <c r="Y374" i="1" s="1"/>
  <c r="U374" i="1"/>
  <c r="V374" i="1" s="1"/>
  <c r="AE374" i="1" s="1"/>
  <c r="S381" i="1"/>
  <c r="Y381" i="1" s="1"/>
  <c r="AL279" i="1"/>
  <c r="AF279" i="1"/>
  <c r="AF282" i="1"/>
  <c r="AG282" i="1"/>
  <c r="AL282" i="1"/>
  <c r="AG280" i="1"/>
  <c r="AL280" i="1"/>
  <c r="AF280" i="1"/>
  <c r="U389" i="1"/>
  <c r="V389" i="1" s="1"/>
  <c r="X389" i="1" s="1"/>
  <c r="S389" i="1"/>
  <c r="Y389" i="1" s="1"/>
  <c r="T302" i="1"/>
  <c r="U302" i="1" s="1"/>
  <c r="V302" i="1" s="1"/>
  <c r="T307" i="1"/>
  <c r="U307" i="1" s="1"/>
  <c r="V307" i="1" s="1"/>
  <c r="T309" i="1"/>
  <c r="S309" i="1" s="1"/>
  <c r="Y309" i="1" s="1"/>
  <c r="T311" i="1"/>
  <c r="U311" i="1" s="1"/>
  <c r="V311" i="1" s="1"/>
  <c r="AE311" i="1" s="1"/>
  <c r="AL311" i="1" s="1"/>
  <c r="T321" i="1"/>
  <c r="T322" i="1"/>
  <c r="U322" i="1" s="1"/>
  <c r="V322" i="1" s="1"/>
  <c r="T409" i="1"/>
  <c r="T283" i="1"/>
  <c r="S283" i="1" s="1"/>
  <c r="Y283" i="1" s="1"/>
  <c r="T301" i="1"/>
  <c r="U301" i="1" s="1"/>
  <c r="T305" i="1"/>
  <c r="U305" i="1" s="1"/>
  <c r="V305" i="1" s="1"/>
  <c r="AE305" i="1" s="1"/>
  <c r="AG305" i="1" s="1"/>
  <c r="T314" i="1"/>
  <c r="S314" i="1" s="1"/>
  <c r="Y314" i="1" s="1"/>
  <c r="T333" i="1"/>
  <c r="U333" i="1" s="1"/>
  <c r="V333" i="1" s="1"/>
  <c r="T351" i="1"/>
  <c r="U351" i="1" s="1"/>
  <c r="V351" i="1" s="1"/>
  <c r="AE351" i="1" s="1"/>
  <c r="T353" i="1"/>
  <c r="T366" i="1"/>
  <c r="S366" i="1" s="1"/>
  <c r="Y366" i="1" s="1"/>
  <c r="T387" i="1"/>
  <c r="U387" i="1" s="1"/>
  <c r="V387" i="1" s="1"/>
  <c r="T421" i="1"/>
  <c r="U421" i="1" s="1"/>
  <c r="V421" i="1" s="1"/>
  <c r="AG422" i="1"/>
  <c r="T280" i="1"/>
  <c r="U280" i="1" s="1"/>
  <c r="T281" i="1"/>
  <c r="U281" i="1" s="1"/>
  <c r="T292" i="1"/>
  <c r="U292" i="1" s="1"/>
  <c r="V292" i="1" s="1"/>
  <c r="AE292" i="1" s="1"/>
  <c r="T300" i="1"/>
  <c r="T303" i="1"/>
  <c r="U303" i="1" s="1"/>
  <c r="V303" i="1" s="1"/>
  <c r="T338" i="1"/>
  <c r="U338" i="1" s="1"/>
  <c r="V338" i="1" s="1"/>
  <c r="T342" i="1"/>
  <c r="T344" i="1"/>
  <c r="U344" i="1" s="1"/>
  <c r="V344" i="1" s="1"/>
  <c r="T346" i="1"/>
  <c r="T373" i="1"/>
  <c r="T385" i="1"/>
  <c r="U385" i="1" s="1"/>
  <c r="V385" i="1" s="1"/>
  <c r="T419" i="1"/>
  <c r="S419" i="1" s="1"/>
  <c r="Y419" i="1" s="1"/>
  <c r="AL422" i="1"/>
  <c r="T306" i="1"/>
  <c r="U306" i="1" s="1"/>
  <c r="V306" i="1" s="1"/>
  <c r="T317" i="1"/>
  <c r="T369" i="1"/>
  <c r="U369" i="1" s="1"/>
  <c r="V369" i="1" s="1"/>
  <c r="X369" i="1" s="1"/>
  <c r="T415" i="1"/>
  <c r="U415" i="1" s="1"/>
  <c r="V415" i="1" s="1"/>
  <c r="AG277" i="1"/>
  <c r="T279" i="1"/>
  <c r="S279" i="1" s="1"/>
  <c r="Y279" i="1" s="1"/>
  <c r="AL277" i="1"/>
  <c r="AF321" i="1"/>
  <c r="T324" i="1"/>
  <c r="S324" i="1" s="1"/>
  <c r="Y324" i="1" s="1"/>
  <c r="T341" i="1"/>
  <c r="T345" i="1"/>
  <c r="U345" i="1" s="1"/>
  <c r="T348" i="1"/>
  <c r="U363" i="1"/>
  <c r="V363" i="1" s="1"/>
  <c r="W363" i="1" s="1"/>
  <c r="T365" i="1"/>
  <c r="U365" i="1" s="1"/>
  <c r="V365" i="1" s="1"/>
  <c r="T377" i="1"/>
  <c r="S377" i="1" s="1"/>
  <c r="Y377" i="1" s="1"/>
  <c r="AF281" i="1"/>
  <c r="AL281" i="1"/>
  <c r="AG281" i="1"/>
  <c r="AL284" i="1"/>
  <c r="AF284" i="1"/>
  <c r="AG284" i="1"/>
  <c r="AL272" i="1"/>
  <c r="AG272" i="1"/>
  <c r="AF272" i="1"/>
  <c r="AL278" i="1"/>
  <c r="AG278" i="1"/>
  <c r="AF278" i="1"/>
  <c r="AL275" i="1"/>
  <c r="AG275" i="1"/>
  <c r="AF275" i="1"/>
  <c r="AF300" i="1"/>
  <c r="AL300" i="1"/>
  <c r="AL308" i="1"/>
  <c r="AF308" i="1"/>
  <c r="AF276" i="1"/>
  <c r="AL273" i="1"/>
  <c r="AL276" i="1"/>
  <c r="T289" i="1"/>
  <c r="AG273" i="1"/>
  <c r="T293" i="1"/>
  <c r="T313" i="1"/>
  <c r="AG279" i="1"/>
  <c r="AG300" i="1"/>
  <c r="AG301" i="1"/>
  <c r="AF301" i="1"/>
  <c r="AG308" i="1"/>
  <c r="AG316" i="1"/>
  <c r="AL316" i="1"/>
  <c r="AF316" i="1"/>
  <c r="AL301" i="1"/>
  <c r="W345" i="1"/>
  <c r="AE345" i="1"/>
  <c r="AL295" i="1"/>
  <c r="AF295" i="1"/>
  <c r="T339" i="1"/>
  <c r="AE370" i="1"/>
  <c r="X370" i="1"/>
  <c r="W370" i="1"/>
  <c r="T316" i="1"/>
  <c r="AG318" i="1"/>
  <c r="AG321" i="1"/>
  <c r="AG324" i="1"/>
  <c r="AL318" i="1"/>
  <c r="AF325" i="1"/>
  <c r="AL325" i="1"/>
  <c r="T312" i="1"/>
  <c r="T319" i="1"/>
  <c r="AG325" i="1"/>
  <c r="U376" i="1"/>
  <c r="S376" i="1"/>
  <c r="Y376" i="1" s="1"/>
  <c r="T357" i="1"/>
  <c r="AE391" i="1"/>
  <c r="X391" i="1"/>
  <c r="T408" i="1"/>
  <c r="T416" i="1"/>
  <c r="T359" i="1"/>
  <c r="T412" i="1"/>
  <c r="T420" i="1"/>
  <c r="U378" i="1"/>
  <c r="V378" i="1" s="1"/>
  <c r="T384" i="1"/>
  <c r="T392" i="1"/>
  <c r="T400" i="1"/>
  <c r="T559" i="1"/>
  <c r="U559" i="1" s="1"/>
  <c r="V559" i="1" s="1"/>
  <c r="T560" i="1"/>
  <c r="S560" i="1" s="1"/>
  <c r="Y560" i="1" s="1"/>
  <c r="T567" i="1"/>
  <c r="S567" i="1" s="1"/>
  <c r="Y567" i="1" s="1"/>
  <c r="T563" i="1"/>
  <c r="S563" i="1" s="1"/>
  <c r="Y563" i="1" s="1"/>
  <c r="T566" i="1"/>
  <c r="S566" i="1" s="1"/>
  <c r="Y566" i="1" s="1"/>
  <c r="T561" i="1"/>
  <c r="S561" i="1" s="1"/>
  <c r="Y561" i="1" s="1"/>
  <c r="T569" i="1"/>
  <c r="S569" i="1" s="1"/>
  <c r="Y569" i="1" s="1"/>
  <c r="T568" i="1"/>
  <c r="S568" i="1" s="1"/>
  <c r="Y568" i="1" s="1"/>
  <c r="T558" i="1"/>
  <c r="S558" i="1" s="1"/>
  <c r="Y558" i="1" s="1"/>
  <c r="U422" i="1" l="1"/>
  <c r="U282" i="1"/>
  <c r="S330" i="1"/>
  <c r="Y330" i="1" s="1"/>
  <c r="U402" i="1"/>
  <c r="V402" i="1" s="1"/>
  <c r="AE402" i="1" s="1"/>
  <c r="S362" i="1"/>
  <c r="Y362" i="1" s="1"/>
  <c r="U394" i="1"/>
  <c r="V394" i="1" s="1"/>
  <c r="X394" i="1" s="1"/>
  <c r="AE401" i="1"/>
  <c r="AF401" i="1" s="1"/>
  <c r="U274" i="1"/>
  <c r="V274" i="1" s="1"/>
  <c r="AE274" i="1" s="1"/>
  <c r="AL274" i="1" s="1"/>
  <c r="W401" i="1"/>
  <c r="S401" i="1"/>
  <c r="Y401" i="1" s="1"/>
  <c r="U414" i="1"/>
  <c r="V414" i="1" s="1"/>
  <c r="AE414" i="1" s="1"/>
  <c r="U423" i="1"/>
  <c r="V423" i="1" s="1"/>
  <c r="AE423" i="1" s="1"/>
  <c r="U406" i="1"/>
  <c r="V406" i="1" s="1"/>
  <c r="AE406" i="1" s="1"/>
  <c r="S354" i="1"/>
  <c r="Y354" i="1" s="1"/>
  <c r="AE354" i="1"/>
  <c r="AG354" i="1" s="1"/>
  <c r="X354" i="1"/>
  <c r="AE397" i="1"/>
  <c r="AL397" i="1" s="1"/>
  <c r="AF404" i="1"/>
  <c r="U343" i="1"/>
  <c r="V343" i="1" s="1"/>
  <c r="W343" i="1" s="1"/>
  <c r="U410" i="1"/>
  <c r="V410" i="1" s="1"/>
  <c r="AE410" i="1" s="1"/>
  <c r="AF410" i="1" s="1"/>
  <c r="S308" i="1"/>
  <c r="Y308" i="1" s="1"/>
  <c r="X288" i="1"/>
  <c r="AL404" i="1"/>
  <c r="U413" i="1"/>
  <c r="V413" i="1" s="1"/>
  <c r="AE413" i="1" s="1"/>
  <c r="U294" i="1"/>
  <c r="V294" i="1" s="1"/>
  <c r="X294" i="1" s="1"/>
  <c r="S371" i="1"/>
  <c r="Y371" i="1" s="1"/>
  <c r="S382" i="1"/>
  <c r="Y382" i="1" s="1"/>
  <c r="X297" i="1"/>
  <c r="S367" i="1"/>
  <c r="Y367" i="1" s="1"/>
  <c r="S288" i="1"/>
  <c r="Y288" i="1" s="1"/>
  <c r="AE288" i="1"/>
  <c r="AF288" i="1" s="1"/>
  <c r="AF376" i="1"/>
  <c r="U407" i="1"/>
  <c r="V407" i="1" s="1"/>
  <c r="AE407" i="1" s="1"/>
  <c r="U360" i="1"/>
  <c r="V360" i="1" s="1"/>
  <c r="X360" i="1" s="1"/>
  <c r="S390" i="1"/>
  <c r="Y390" i="1" s="1"/>
  <c r="U391" i="1"/>
  <c r="S395" i="1"/>
  <c r="Y395" i="1" s="1"/>
  <c r="S570" i="1"/>
  <c r="Y570" i="1" s="1"/>
  <c r="W397" i="1"/>
  <c r="U372" i="1"/>
  <c r="V372" i="1" s="1"/>
  <c r="W372" i="1" s="1"/>
  <c r="S323" i="1"/>
  <c r="Y323" i="1" s="1"/>
  <c r="S397" i="1"/>
  <c r="Y397" i="1" s="1"/>
  <c r="AE363" i="1"/>
  <c r="AG363" i="1" s="1"/>
  <c r="U352" i="1"/>
  <c r="V352" i="1" s="1"/>
  <c r="W352" i="1" s="1"/>
  <c r="AE297" i="1"/>
  <c r="AG297" i="1" s="1"/>
  <c r="U309" i="1"/>
  <c r="V309" i="1" s="1"/>
  <c r="X309" i="1" s="1"/>
  <c r="AE369" i="1"/>
  <c r="AF369" i="1" s="1"/>
  <c r="S302" i="1"/>
  <c r="Y302" i="1" s="1"/>
  <c r="S310" i="1"/>
  <c r="Y310" i="1" s="1"/>
  <c r="U285" i="1"/>
  <c r="V285" i="1" s="1"/>
  <c r="W285" i="1" s="1"/>
  <c r="S278" i="1"/>
  <c r="Y278" i="1" s="1"/>
  <c r="S338" i="1"/>
  <c r="Y338" i="1" s="1"/>
  <c r="U320" i="1"/>
  <c r="V320" i="1" s="1"/>
  <c r="W320" i="1" s="1"/>
  <c r="S328" i="1"/>
  <c r="Y328" i="1" s="1"/>
  <c r="U318" i="1"/>
  <c r="W329" i="1"/>
  <c r="S306" i="1"/>
  <c r="Y306" i="1" s="1"/>
  <c r="S307" i="1"/>
  <c r="Y307" i="1" s="1"/>
  <c r="S303" i="1"/>
  <c r="Y303" i="1" s="1"/>
  <c r="S275" i="1"/>
  <c r="Y275" i="1" s="1"/>
  <c r="S403" i="1"/>
  <c r="Y403" i="1" s="1"/>
  <c r="W334" i="1"/>
  <c r="W382" i="1"/>
  <c r="S272" i="1"/>
  <c r="Y272" i="1" s="1"/>
  <c r="S369" i="1"/>
  <c r="Y369" i="1" s="1"/>
  <c r="S301" i="1"/>
  <c r="Y301" i="1" s="1"/>
  <c r="S571" i="1"/>
  <c r="Y571" i="1" s="1"/>
  <c r="W393" i="1"/>
  <c r="U370" i="1"/>
  <c r="X330" i="1"/>
  <c r="W330" i="1"/>
  <c r="S399" i="1"/>
  <c r="Y399" i="1" s="1"/>
  <c r="U325" i="1"/>
  <c r="U361" i="1"/>
  <c r="V361" i="1" s="1"/>
  <c r="AE361" i="1" s="1"/>
  <c r="U419" i="1"/>
  <c r="V419" i="1" s="1"/>
  <c r="AE419" i="1" s="1"/>
  <c r="U336" i="1"/>
  <c r="V336" i="1" s="1"/>
  <c r="AE336" i="1" s="1"/>
  <c r="U327" i="1"/>
  <c r="V327" i="1" s="1"/>
  <c r="W327" i="1" s="1"/>
  <c r="S297" i="1"/>
  <c r="Y297" i="1" s="1"/>
  <c r="U366" i="1"/>
  <c r="V366" i="1" s="1"/>
  <c r="X366" i="1" s="1"/>
  <c r="U295" i="1"/>
  <c r="U398" i="1"/>
  <c r="V398" i="1" s="1"/>
  <c r="AE398" i="1" s="1"/>
  <c r="AG398" i="1" s="1"/>
  <c r="U356" i="1"/>
  <c r="V356" i="1" s="1"/>
  <c r="AE356" i="1" s="1"/>
  <c r="S273" i="1"/>
  <c r="Y273" i="1" s="1"/>
  <c r="X368" i="1"/>
  <c r="AF368" i="1"/>
  <c r="AG368" i="1"/>
  <c r="S286" i="1"/>
  <c r="Y286" i="1" s="1"/>
  <c r="S404" i="1"/>
  <c r="Y404" i="1" s="1"/>
  <c r="S364" i="1"/>
  <c r="Y364" i="1" s="1"/>
  <c r="S329" i="1"/>
  <c r="Y329" i="1" s="1"/>
  <c r="W347" i="1"/>
  <c r="AE358" i="1"/>
  <c r="AF358" i="1" s="1"/>
  <c r="AE329" i="1"/>
  <c r="AG329" i="1" s="1"/>
  <c r="U296" i="1"/>
  <c r="V296" i="1" s="1"/>
  <c r="AE296" i="1" s="1"/>
  <c r="AE364" i="1"/>
  <c r="AG364" i="1" s="1"/>
  <c r="X364" i="1"/>
  <c r="U277" i="1"/>
  <c r="U396" i="1"/>
  <c r="V396" i="1" s="1"/>
  <c r="AE396" i="1" s="1"/>
  <c r="X390" i="1"/>
  <c r="S347" i="1"/>
  <c r="Y347" i="1" s="1"/>
  <c r="AE390" i="1"/>
  <c r="AL390" i="1" s="1"/>
  <c r="AE347" i="1"/>
  <c r="AG347" i="1" s="1"/>
  <c r="S315" i="1"/>
  <c r="Y315" i="1" s="1"/>
  <c r="U349" i="1"/>
  <c r="V349" i="1" s="1"/>
  <c r="W349" i="1" s="1"/>
  <c r="U279" i="1"/>
  <c r="U340" i="1"/>
  <c r="V340" i="1" s="1"/>
  <c r="AE340" i="1" s="1"/>
  <c r="AE334" i="1"/>
  <c r="AG334" i="1" s="1"/>
  <c r="S276" i="1"/>
  <c r="Y276" i="1" s="1"/>
  <c r="S304" i="1"/>
  <c r="Y304" i="1" s="1"/>
  <c r="S334" i="1"/>
  <c r="Y334" i="1" s="1"/>
  <c r="AG311" i="1"/>
  <c r="U386" i="1"/>
  <c r="V386" i="1" s="1"/>
  <c r="X386" i="1" s="1"/>
  <c r="W374" i="1"/>
  <c r="X374" i="1"/>
  <c r="AG376" i="1"/>
  <c r="S380" i="1"/>
  <c r="Y380" i="1" s="1"/>
  <c r="S375" i="1"/>
  <c r="Y375" i="1" s="1"/>
  <c r="S281" i="1"/>
  <c r="Y281" i="1" s="1"/>
  <c r="W291" i="1"/>
  <c r="U418" i="1"/>
  <c r="V418" i="1" s="1"/>
  <c r="W418" i="1" s="1"/>
  <c r="S355" i="1"/>
  <c r="Y355" i="1" s="1"/>
  <c r="U355" i="1"/>
  <c r="V355" i="1" s="1"/>
  <c r="S564" i="1"/>
  <c r="Y564" i="1" s="1"/>
  <c r="AE291" i="1"/>
  <c r="AF291" i="1" s="1"/>
  <c r="W368" i="1"/>
  <c r="S379" i="1"/>
  <c r="Y379" i="1" s="1"/>
  <c r="U377" i="1"/>
  <c r="V377" i="1" s="1"/>
  <c r="X377" i="1" s="1"/>
  <c r="S368" i="1"/>
  <c r="Y368" i="1" s="1"/>
  <c r="U324" i="1"/>
  <c r="S291" i="1"/>
  <c r="Y291" i="1" s="1"/>
  <c r="U299" i="1"/>
  <c r="V299" i="1" s="1"/>
  <c r="W299" i="1" s="1"/>
  <c r="AE350" i="1"/>
  <c r="AL350" i="1" s="1"/>
  <c r="S350" i="1"/>
  <c r="Y350" i="1" s="1"/>
  <c r="S292" i="1"/>
  <c r="Y292" i="1" s="1"/>
  <c r="X382" i="1"/>
  <c r="S358" i="1"/>
  <c r="Y358" i="1" s="1"/>
  <c r="W358" i="1"/>
  <c r="S565" i="1"/>
  <c r="Y565" i="1" s="1"/>
  <c r="S388" i="1"/>
  <c r="Y388" i="1" s="1"/>
  <c r="W292" i="1"/>
  <c r="U562" i="1"/>
  <c r="V562" i="1" s="1"/>
  <c r="W562" i="1" s="1"/>
  <c r="S405" i="1"/>
  <c r="Y405" i="1" s="1"/>
  <c r="S337" i="1"/>
  <c r="Y337" i="1" s="1"/>
  <c r="X292" i="1"/>
  <c r="AE381" i="1"/>
  <c r="AF381" i="1" s="1"/>
  <c r="S280" i="1"/>
  <c r="Y280" i="1" s="1"/>
  <c r="X298" i="1"/>
  <c r="U568" i="1"/>
  <c r="V568" i="1" s="1"/>
  <c r="AE568" i="1" s="1"/>
  <c r="W381" i="1"/>
  <c r="W350" i="1"/>
  <c r="U283" i="1"/>
  <c r="V283" i="1" s="1"/>
  <c r="W283" i="1" s="1"/>
  <c r="S322" i="1"/>
  <c r="Y322" i="1" s="1"/>
  <c r="U290" i="1"/>
  <c r="V290" i="1" s="1"/>
  <c r="W290" i="1" s="1"/>
  <c r="W417" i="1"/>
  <c r="S305" i="1"/>
  <c r="Y305" i="1" s="1"/>
  <c r="W331" i="1"/>
  <c r="X331" i="1"/>
  <c r="AE331" i="1"/>
  <c r="AL331" i="1" s="1"/>
  <c r="S383" i="1"/>
  <c r="Y383" i="1" s="1"/>
  <c r="U560" i="1"/>
  <c r="V560" i="1" s="1"/>
  <c r="AE560" i="1" s="1"/>
  <c r="U411" i="1"/>
  <c r="V411" i="1" s="1"/>
  <c r="AE411" i="1" s="1"/>
  <c r="AE393" i="1"/>
  <c r="AL393" i="1" s="1"/>
  <c r="AE335" i="1"/>
  <c r="AG335" i="1" s="1"/>
  <c r="X363" i="1"/>
  <c r="AE298" i="1"/>
  <c r="AF298" i="1" s="1"/>
  <c r="AE310" i="1"/>
  <c r="AL310" i="1" s="1"/>
  <c r="U326" i="1"/>
  <c r="V326" i="1" s="1"/>
  <c r="S326" i="1"/>
  <c r="Y326" i="1" s="1"/>
  <c r="S351" i="1"/>
  <c r="Y351" i="1" s="1"/>
  <c r="AE417" i="1"/>
  <c r="AL417" i="1" s="1"/>
  <c r="X335" i="1"/>
  <c r="X310" i="1"/>
  <c r="U287" i="1"/>
  <c r="V287" i="1" s="1"/>
  <c r="S287" i="1"/>
  <c r="Y287" i="1" s="1"/>
  <c r="AG330" i="1"/>
  <c r="S559" i="1"/>
  <c r="Y559" i="1" s="1"/>
  <c r="X565" i="1"/>
  <c r="S393" i="1"/>
  <c r="Y393" i="1" s="1"/>
  <c r="S417" i="1"/>
  <c r="Y417" i="1" s="1"/>
  <c r="S335" i="1"/>
  <c r="Y335" i="1" s="1"/>
  <c r="S344" i="1"/>
  <c r="Y344" i="1" s="1"/>
  <c r="X351" i="1"/>
  <c r="AF330" i="1"/>
  <c r="S385" i="1"/>
  <c r="Y385" i="1" s="1"/>
  <c r="S365" i="1"/>
  <c r="Y365" i="1" s="1"/>
  <c r="S284" i="1"/>
  <c r="Y284" i="1" s="1"/>
  <c r="U276" i="1"/>
  <c r="S331" i="1"/>
  <c r="Y331" i="1" s="1"/>
  <c r="U332" i="1"/>
  <c r="V332" i="1" s="1"/>
  <c r="S332" i="1"/>
  <c r="Y332" i="1" s="1"/>
  <c r="W351" i="1"/>
  <c r="U567" i="1"/>
  <c r="V567" i="1" s="1"/>
  <c r="X567" i="1" s="1"/>
  <c r="AW567" i="1" s="1"/>
  <c r="S298" i="1"/>
  <c r="Y298" i="1" s="1"/>
  <c r="AF351" i="1"/>
  <c r="AL351" i="1"/>
  <c r="AG351" i="1"/>
  <c r="S387" i="1"/>
  <c r="Y387" i="1" s="1"/>
  <c r="S415" i="1"/>
  <c r="Y415" i="1" s="1"/>
  <c r="W369" i="1"/>
  <c r="AF311" i="1"/>
  <c r="U373" i="1"/>
  <c r="V373" i="1" s="1"/>
  <c r="S373" i="1"/>
  <c r="Y373" i="1" s="1"/>
  <c r="S300" i="1"/>
  <c r="Y300" i="1" s="1"/>
  <c r="U300" i="1"/>
  <c r="AE389" i="1"/>
  <c r="AG389" i="1" s="1"/>
  <c r="S345" i="1"/>
  <c r="Y345" i="1" s="1"/>
  <c r="U348" i="1"/>
  <c r="V348" i="1" s="1"/>
  <c r="S348" i="1"/>
  <c r="Y348" i="1" s="1"/>
  <c r="U342" i="1"/>
  <c r="V342" i="1" s="1"/>
  <c r="S342" i="1"/>
  <c r="Y342" i="1" s="1"/>
  <c r="W402" i="1"/>
  <c r="W389" i="1"/>
  <c r="AF305" i="1"/>
  <c r="U409" i="1"/>
  <c r="V409" i="1" s="1"/>
  <c r="S409" i="1"/>
  <c r="Y409" i="1" s="1"/>
  <c r="S421" i="1"/>
  <c r="Y421" i="1" s="1"/>
  <c r="U563" i="1"/>
  <c r="V563" i="1" s="1"/>
  <c r="W563" i="1" s="1"/>
  <c r="X402" i="1"/>
  <c r="S311" i="1"/>
  <c r="Y311" i="1" s="1"/>
  <c r="X305" i="1"/>
  <c r="S333" i="1"/>
  <c r="Y333" i="1" s="1"/>
  <c r="W311" i="1"/>
  <c r="U314" i="1"/>
  <c r="V314" i="1" s="1"/>
  <c r="AE314" i="1" s="1"/>
  <c r="AL305" i="1"/>
  <c r="U317" i="1"/>
  <c r="V317" i="1" s="1"/>
  <c r="S317" i="1"/>
  <c r="Y317" i="1" s="1"/>
  <c r="U346" i="1"/>
  <c r="V346" i="1" s="1"/>
  <c r="S346" i="1"/>
  <c r="Y346" i="1" s="1"/>
  <c r="U353" i="1"/>
  <c r="V353" i="1" s="1"/>
  <c r="S353" i="1"/>
  <c r="Y353" i="1" s="1"/>
  <c r="U566" i="1"/>
  <c r="V566" i="1" s="1"/>
  <c r="AE566" i="1" s="1"/>
  <c r="S321" i="1"/>
  <c r="Y321" i="1" s="1"/>
  <c r="U321" i="1"/>
  <c r="U341" i="1"/>
  <c r="V341" i="1" s="1"/>
  <c r="S341" i="1"/>
  <c r="Y341" i="1" s="1"/>
  <c r="W305" i="1"/>
  <c r="X311" i="1"/>
  <c r="AE333" i="1"/>
  <c r="W333" i="1"/>
  <c r="X333" i="1"/>
  <c r="AE403" i="1"/>
  <c r="W403" i="1"/>
  <c r="X403" i="1"/>
  <c r="X315" i="1"/>
  <c r="W315" i="1"/>
  <c r="AE315" i="1"/>
  <c r="AL401" i="1"/>
  <c r="AG401" i="1"/>
  <c r="AE399" i="1"/>
  <c r="X399" i="1"/>
  <c r="W399" i="1"/>
  <c r="U312" i="1"/>
  <c r="V312" i="1" s="1"/>
  <c r="S312" i="1"/>
  <c r="Y312" i="1" s="1"/>
  <c r="U339" i="1"/>
  <c r="V339" i="1" s="1"/>
  <c r="S339" i="1"/>
  <c r="Y339" i="1" s="1"/>
  <c r="X344" i="1"/>
  <c r="W344" i="1"/>
  <c r="AE344" i="1"/>
  <c r="X338" i="1"/>
  <c r="W338" i="1"/>
  <c r="AE338" i="1"/>
  <c r="S359" i="1"/>
  <c r="Y359" i="1" s="1"/>
  <c r="U359" i="1"/>
  <c r="V359" i="1" s="1"/>
  <c r="AE383" i="1"/>
  <c r="X383" i="1"/>
  <c r="W383" i="1"/>
  <c r="S357" i="1"/>
  <c r="Y357" i="1" s="1"/>
  <c r="U357" i="1"/>
  <c r="V357" i="1" s="1"/>
  <c r="AE375" i="1"/>
  <c r="W375" i="1"/>
  <c r="X375" i="1"/>
  <c r="U408" i="1"/>
  <c r="V408" i="1" s="1"/>
  <c r="S408" i="1"/>
  <c r="Y408" i="1" s="1"/>
  <c r="U400" i="1"/>
  <c r="V400" i="1" s="1"/>
  <c r="S400" i="1"/>
  <c r="Y400" i="1" s="1"/>
  <c r="U420" i="1"/>
  <c r="V420" i="1" s="1"/>
  <c r="S420" i="1"/>
  <c r="Y420" i="1" s="1"/>
  <c r="AE395" i="1"/>
  <c r="W395" i="1"/>
  <c r="X395" i="1"/>
  <c r="AF397" i="1"/>
  <c r="X362" i="1"/>
  <c r="AE362" i="1"/>
  <c r="W362" i="1"/>
  <c r="W323" i="1"/>
  <c r="X323" i="1"/>
  <c r="AE323" i="1"/>
  <c r="U313" i="1"/>
  <c r="V313" i="1" s="1"/>
  <c r="S313" i="1"/>
  <c r="Y313" i="1" s="1"/>
  <c r="AE322" i="1"/>
  <c r="X322" i="1"/>
  <c r="W322" i="1"/>
  <c r="AE371" i="1"/>
  <c r="X371" i="1"/>
  <c r="W371" i="1"/>
  <c r="U412" i="1"/>
  <c r="V412" i="1" s="1"/>
  <c r="S412" i="1"/>
  <c r="Y412" i="1" s="1"/>
  <c r="AG391" i="1"/>
  <c r="AF391" i="1"/>
  <c r="AL391" i="1"/>
  <c r="X385" i="1"/>
  <c r="W385" i="1"/>
  <c r="AE385" i="1"/>
  <c r="AE307" i="1"/>
  <c r="X307" i="1"/>
  <c r="W307" i="1"/>
  <c r="AL382" i="1"/>
  <c r="AG382" i="1"/>
  <c r="AF382" i="1"/>
  <c r="AG370" i="1"/>
  <c r="AL370" i="1"/>
  <c r="AF370" i="1"/>
  <c r="AE394" i="1"/>
  <c r="AE387" i="1"/>
  <c r="W387" i="1"/>
  <c r="X387" i="1"/>
  <c r="AE415" i="1"/>
  <c r="X415" i="1"/>
  <c r="W415" i="1"/>
  <c r="W294" i="1"/>
  <c r="AE367" i="1"/>
  <c r="W367" i="1"/>
  <c r="X367" i="1"/>
  <c r="AE304" i="1"/>
  <c r="X304" i="1"/>
  <c r="W304" i="1"/>
  <c r="X328" i="1"/>
  <c r="W328" i="1"/>
  <c r="AE328" i="1"/>
  <c r="X286" i="1"/>
  <c r="W286" i="1"/>
  <c r="AE286" i="1"/>
  <c r="AL292" i="1"/>
  <c r="AF292" i="1"/>
  <c r="AG292" i="1"/>
  <c r="U416" i="1"/>
  <c r="V416" i="1" s="1"/>
  <c r="S416" i="1"/>
  <c r="Y416" i="1" s="1"/>
  <c r="W388" i="1"/>
  <c r="AE388" i="1"/>
  <c r="X388" i="1"/>
  <c r="S316" i="1"/>
  <c r="Y316" i="1" s="1"/>
  <c r="U316" i="1"/>
  <c r="W306" i="1"/>
  <c r="AE306" i="1"/>
  <c r="X306" i="1"/>
  <c r="U289" i="1"/>
  <c r="V289" i="1" s="1"/>
  <c r="S289" i="1"/>
  <c r="Y289" i="1" s="1"/>
  <c r="W380" i="1"/>
  <c r="AE380" i="1"/>
  <c r="X380" i="1"/>
  <c r="AF402" i="1"/>
  <c r="AL402" i="1"/>
  <c r="AG402" i="1"/>
  <c r="AE378" i="1"/>
  <c r="X378" i="1"/>
  <c r="W378" i="1"/>
  <c r="U319" i="1"/>
  <c r="V319" i="1" s="1"/>
  <c r="S319" i="1"/>
  <c r="Y319" i="1" s="1"/>
  <c r="AG374" i="1"/>
  <c r="AL374" i="1"/>
  <c r="AF374" i="1"/>
  <c r="AE303" i="1"/>
  <c r="X303" i="1"/>
  <c r="W303" i="1"/>
  <c r="AE337" i="1"/>
  <c r="X337" i="1"/>
  <c r="W337" i="1"/>
  <c r="U392" i="1"/>
  <c r="V392" i="1" s="1"/>
  <c r="S392" i="1"/>
  <c r="Y392" i="1" s="1"/>
  <c r="U384" i="1"/>
  <c r="V384" i="1" s="1"/>
  <c r="S384" i="1"/>
  <c r="Y384" i="1" s="1"/>
  <c r="AE379" i="1"/>
  <c r="W379" i="1"/>
  <c r="X379" i="1"/>
  <c r="X405" i="1"/>
  <c r="W405" i="1"/>
  <c r="AE405" i="1"/>
  <c r="X421" i="1"/>
  <c r="W421" i="1"/>
  <c r="AE421" i="1"/>
  <c r="AF345" i="1"/>
  <c r="AL345" i="1"/>
  <c r="AG345" i="1"/>
  <c r="X365" i="1"/>
  <c r="W365" i="1"/>
  <c r="AE365" i="1"/>
  <c r="U293" i="1"/>
  <c r="V293" i="1" s="1"/>
  <c r="S293" i="1"/>
  <c r="Y293" i="1" s="1"/>
  <c r="W302" i="1"/>
  <c r="AE302" i="1"/>
  <c r="X302" i="1"/>
  <c r="U561" i="1"/>
  <c r="V561" i="1" s="1"/>
  <c r="X561" i="1" s="1"/>
  <c r="AW561" i="1" s="1"/>
  <c r="U569" i="1"/>
  <c r="V569" i="1" s="1"/>
  <c r="AE569" i="1" s="1"/>
  <c r="AE565" i="1"/>
  <c r="AG565" i="1" s="1"/>
  <c r="U558" i="1"/>
  <c r="V558" i="1" s="1"/>
  <c r="X558" i="1" s="1"/>
  <c r="AW558" i="1" s="1"/>
  <c r="AE559" i="1"/>
  <c r="W559" i="1"/>
  <c r="X559" i="1"/>
  <c r="X564" i="1"/>
  <c r="W564" i="1"/>
  <c r="AE564" i="1"/>
  <c r="AE571" i="1"/>
  <c r="X571" i="1"/>
  <c r="W571" i="1"/>
  <c r="W570" i="1"/>
  <c r="AE570" i="1"/>
  <c r="X570" i="1"/>
  <c r="AF354" i="1" l="1"/>
  <c r="W394" i="1"/>
  <c r="AL354" i="1"/>
  <c r="AF274" i="1"/>
  <c r="AG397" i="1"/>
  <c r="X414" i="1"/>
  <c r="X343" i="1"/>
  <c r="W423" i="1"/>
  <c r="AG410" i="1"/>
  <c r="W414" i="1"/>
  <c r="AL410" i="1"/>
  <c r="X352" i="1"/>
  <c r="W274" i="1"/>
  <c r="AG274" i="1"/>
  <c r="X413" i="1"/>
  <c r="AE343" i="1"/>
  <c r="AF343" i="1" s="1"/>
  <c r="X410" i="1"/>
  <c r="X423" i="1"/>
  <c r="AW423" i="1" s="1"/>
  <c r="X274" i="1"/>
  <c r="W406" i="1"/>
  <c r="X406" i="1"/>
  <c r="W410" i="1"/>
  <c r="AE294" i="1"/>
  <c r="AF294" i="1" s="1"/>
  <c r="W407" i="1"/>
  <c r="X407" i="1"/>
  <c r="W309" i="1"/>
  <c r="AE309" i="1"/>
  <c r="AL309" i="1" s="1"/>
  <c r="AG288" i="1"/>
  <c r="AL288" i="1"/>
  <c r="W413" i="1"/>
  <c r="AG369" i="1"/>
  <c r="AL369" i="1"/>
  <c r="X372" i="1"/>
  <c r="AE372" i="1"/>
  <c r="AG372" i="1" s="1"/>
  <c r="AW571" i="1"/>
  <c r="X419" i="1"/>
  <c r="W419" i="1"/>
  <c r="AF297" i="1"/>
  <c r="AE283" i="1"/>
  <c r="AG283" i="1" s="1"/>
  <c r="AL358" i="1"/>
  <c r="AG358" i="1"/>
  <c r="AL297" i="1"/>
  <c r="AE352" i="1"/>
  <c r="AG352" i="1" s="1"/>
  <c r="W336" i="1"/>
  <c r="W340" i="1"/>
  <c r="AE360" i="1"/>
  <c r="AF360" i="1" s="1"/>
  <c r="AL363" i="1"/>
  <c r="W360" i="1"/>
  <c r="AE285" i="1"/>
  <c r="AL285" i="1" s="1"/>
  <c r="AW570" i="1"/>
  <c r="X320" i="1"/>
  <c r="X296" i="1"/>
  <c r="AF347" i="1"/>
  <c r="W296" i="1"/>
  <c r="AL347" i="1"/>
  <c r="X340" i="1"/>
  <c r="AF363" i="1"/>
  <c r="X396" i="1"/>
  <c r="W356" i="1"/>
  <c r="X285" i="1"/>
  <c r="X356" i="1"/>
  <c r="W396" i="1"/>
  <c r="W386" i="1"/>
  <c r="X336" i="1"/>
  <c r="AE366" i="1"/>
  <c r="AL366" i="1" s="1"/>
  <c r="W366" i="1"/>
  <c r="W560" i="1"/>
  <c r="X560" i="1"/>
  <c r="AW560" i="1" s="1"/>
  <c r="AE320" i="1"/>
  <c r="AG320" i="1" s="1"/>
  <c r="X327" i="1"/>
  <c r="AF398" i="1"/>
  <c r="AE386" i="1"/>
  <c r="AF386" i="1" s="1"/>
  <c r="X349" i="1"/>
  <c r="W361" i="1"/>
  <c r="AE562" i="1"/>
  <c r="AF562" i="1" s="1"/>
  <c r="X568" i="1"/>
  <c r="AW568" i="1" s="1"/>
  <c r="AE349" i="1"/>
  <c r="AF349" i="1" s="1"/>
  <c r="AG291" i="1"/>
  <c r="X361" i="1"/>
  <c r="AL398" i="1"/>
  <c r="W377" i="1"/>
  <c r="X398" i="1"/>
  <c r="AE327" i="1"/>
  <c r="AF327" i="1" s="1"/>
  <c r="X411" i="1"/>
  <c r="W398" i="1"/>
  <c r="W568" i="1"/>
  <c r="AG393" i="1"/>
  <c r="AE377" i="1"/>
  <c r="AL377" i="1" s="1"/>
  <c r="AL329" i="1"/>
  <c r="W411" i="1"/>
  <c r="AW564" i="1"/>
  <c r="AG381" i="1"/>
  <c r="AF329" i="1"/>
  <c r="AF390" i="1"/>
  <c r="AG390" i="1"/>
  <c r="AL291" i="1"/>
  <c r="AW559" i="1"/>
  <c r="X283" i="1"/>
  <c r="AW565" i="1"/>
  <c r="AL381" i="1"/>
  <c r="AL364" i="1"/>
  <c r="AF364" i="1"/>
  <c r="AF335" i="1"/>
  <c r="AF393" i="1"/>
  <c r="X299" i="1"/>
  <c r="AE299" i="1"/>
  <c r="AF334" i="1"/>
  <c r="AL334" i="1"/>
  <c r="W567" i="1"/>
  <c r="AG350" i="1"/>
  <c r="AF565" i="1"/>
  <c r="AG298" i="1"/>
  <c r="AF310" i="1"/>
  <c r="AG331" i="1"/>
  <c r="X355" i="1"/>
  <c r="W355" i="1"/>
  <c r="AE355" i="1"/>
  <c r="AF331" i="1"/>
  <c r="AF350" i="1"/>
  <c r="AE418" i="1"/>
  <c r="X418" i="1"/>
  <c r="AE567" i="1"/>
  <c r="AL567" i="1" s="1"/>
  <c r="AF417" i="1"/>
  <c r="AG417" i="1"/>
  <c r="X290" i="1"/>
  <c r="AE290" i="1"/>
  <c r="X562" i="1"/>
  <c r="AW562" i="1" s="1"/>
  <c r="AE558" i="1"/>
  <c r="AF558" i="1" s="1"/>
  <c r="AL389" i="1"/>
  <c r="AL335" i="1"/>
  <c r="X314" i="1"/>
  <c r="AL298" i="1"/>
  <c r="AE287" i="1"/>
  <c r="W287" i="1"/>
  <c r="X287" i="1"/>
  <c r="AE332" i="1"/>
  <c r="X332" i="1"/>
  <c r="W332" i="1"/>
  <c r="AE326" i="1"/>
  <c r="X326" i="1"/>
  <c r="W326" i="1"/>
  <c r="X563" i="1"/>
  <c r="AW563" i="1" s="1"/>
  <c r="AG310" i="1"/>
  <c r="AE563" i="1"/>
  <c r="AL563" i="1" s="1"/>
  <c r="AL565" i="1"/>
  <c r="AF389" i="1"/>
  <c r="AL569" i="1"/>
  <c r="AG569" i="1"/>
  <c r="X353" i="1"/>
  <c r="AE353" i="1"/>
  <c r="W353" i="1"/>
  <c r="AE373" i="1"/>
  <c r="X373" i="1"/>
  <c r="W373" i="1"/>
  <c r="W561" i="1"/>
  <c r="AE348" i="1"/>
  <c r="X348" i="1"/>
  <c r="W348" i="1"/>
  <c r="W409" i="1"/>
  <c r="AE409" i="1"/>
  <c r="X409" i="1"/>
  <c r="W346" i="1"/>
  <c r="X346" i="1"/>
  <c r="AE346" i="1"/>
  <c r="W341" i="1"/>
  <c r="AE341" i="1"/>
  <c r="X341" i="1"/>
  <c r="X566" i="1"/>
  <c r="AW566" i="1" s="1"/>
  <c r="W566" i="1"/>
  <c r="W314" i="1"/>
  <c r="AE317" i="1"/>
  <c r="W317" i="1"/>
  <c r="X317" i="1"/>
  <c r="AE342" i="1"/>
  <c r="X342" i="1"/>
  <c r="W342" i="1"/>
  <c r="W359" i="1"/>
  <c r="AE359" i="1"/>
  <c r="X359" i="1"/>
  <c r="AF378" i="1"/>
  <c r="AL378" i="1"/>
  <c r="AG378" i="1"/>
  <c r="AG304" i="1"/>
  <c r="AL304" i="1"/>
  <c r="AF304" i="1"/>
  <c r="AL296" i="1"/>
  <c r="AF296" i="1"/>
  <c r="AG296" i="1"/>
  <c r="AG375" i="1"/>
  <c r="AF375" i="1"/>
  <c r="AL375" i="1"/>
  <c r="AL388" i="1"/>
  <c r="AG388" i="1"/>
  <c r="AF388" i="1"/>
  <c r="AG415" i="1"/>
  <c r="AF415" i="1"/>
  <c r="AL415" i="1"/>
  <c r="W412" i="1"/>
  <c r="AE412" i="1"/>
  <c r="X412" i="1"/>
  <c r="W416" i="1"/>
  <c r="AE416" i="1"/>
  <c r="X416" i="1"/>
  <c r="AL423" i="1"/>
  <c r="AG423" i="1"/>
  <c r="AF423" i="1"/>
  <c r="AL385" i="1"/>
  <c r="AG385" i="1"/>
  <c r="AF385" i="1"/>
  <c r="AL361" i="1"/>
  <c r="AG361" i="1"/>
  <c r="AF361" i="1"/>
  <c r="AG336" i="1"/>
  <c r="AF336" i="1"/>
  <c r="AL336" i="1"/>
  <c r="AL344" i="1"/>
  <c r="AF344" i="1"/>
  <c r="AG344" i="1"/>
  <c r="AL421" i="1"/>
  <c r="AG421" i="1"/>
  <c r="AF421" i="1"/>
  <c r="AL380" i="1"/>
  <c r="AG380" i="1"/>
  <c r="AF380" i="1"/>
  <c r="AG387" i="1"/>
  <c r="AF387" i="1"/>
  <c r="AL387" i="1"/>
  <c r="X289" i="1"/>
  <c r="W289" i="1"/>
  <c r="AE289" i="1"/>
  <c r="AL306" i="1"/>
  <c r="AG306" i="1"/>
  <c r="AF306" i="1"/>
  <c r="AL328" i="1"/>
  <c r="AF328" i="1"/>
  <c r="AG328" i="1"/>
  <c r="AG367" i="1"/>
  <c r="AF367" i="1"/>
  <c r="AL367" i="1"/>
  <c r="AF340" i="1"/>
  <c r="AL340" i="1"/>
  <c r="AG340" i="1"/>
  <c r="AF394" i="1"/>
  <c r="AG394" i="1"/>
  <c r="AL394" i="1"/>
  <c r="X313" i="1"/>
  <c r="W313" i="1"/>
  <c r="AE313" i="1"/>
  <c r="AG411" i="1"/>
  <c r="AF411" i="1"/>
  <c r="AL411" i="1"/>
  <c r="AG383" i="1"/>
  <c r="AF383" i="1"/>
  <c r="AL383" i="1"/>
  <c r="AG403" i="1"/>
  <c r="AF403" i="1"/>
  <c r="AL403" i="1"/>
  <c r="X357" i="1"/>
  <c r="AE357" i="1"/>
  <c r="W357" i="1"/>
  <c r="AL303" i="1"/>
  <c r="AF303" i="1"/>
  <c r="AG303" i="1"/>
  <c r="AE312" i="1"/>
  <c r="X312" i="1"/>
  <c r="W312" i="1"/>
  <c r="W384" i="1"/>
  <c r="AE384" i="1"/>
  <c r="X384" i="1"/>
  <c r="W392" i="1"/>
  <c r="AE392" i="1"/>
  <c r="X392" i="1"/>
  <c r="AL286" i="1"/>
  <c r="AG286" i="1"/>
  <c r="AF286" i="1"/>
  <c r="AG371" i="1"/>
  <c r="AF371" i="1"/>
  <c r="AL371" i="1"/>
  <c r="AG343" i="1"/>
  <c r="AL365" i="1"/>
  <c r="AG365" i="1"/>
  <c r="AF365" i="1"/>
  <c r="AG302" i="1"/>
  <c r="AF302" i="1"/>
  <c r="AL302" i="1"/>
  <c r="AG379" i="1"/>
  <c r="AF379" i="1"/>
  <c r="AL379" i="1"/>
  <c r="AF337" i="1"/>
  <c r="AL337" i="1"/>
  <c r="AG337" i="1"/>
  <c r="AL396" i="1"/>
  <c r="AG396" i="1"/>
  <c r="AF396" i="1"/>
  <c r="AG314" i="1"/>
  <c r="AF314" i="1"/>
  <c r="AL314" i="1"/>
  <c r="AL405" i="1"/>
  <c r="AG405" i="1"/>
  <c r="AF405" i="1"/>
  <c r="AF406" i="1"/>
  <c r="AL406" i="1"/>
  <c r="AG406" i="1"/>
  <c r="AE319" i="1"/>
  <c r="X319" i="1"/>
  <c r="W319" i="1"/>
  <c r="AF414" i="1"/>
  <c r="AL414" i="1"/>
  <c r="AG414" i="1"/>
  <c r="AG419" i="1"/>
  <c r="AF419" i="1"/>
  <c r="AL419" i="1"/>
  <c r="AG407" i="1"/>
  <c r="AF407" i="1"/>
  <c r="AL407" i="1"/>
  <c r="AF307" i="1"/>
  <c r="AL307" i="1"/>
  <c r="AG307" i="1"/>
  <c r="AG322" i="1"/>
  <c r="AF322" i="1"/>
  <c r="AL322" i="1"/>
  <c r="W400" i="1"/>
  <c r="AE400" i="1"/>
  <c r="X400" i="1"/>
  <c r="W408" i="1"/>
  <c r="AE408" i="1"/>
  <c r="X408" i="1"/>
  <c r="AL356" i="1"/>
  <c r="AF356" i="1"/>
  <c r="AG356" i="1"/>
  <c r="X293" i="1"/>
  <c r="W293" i="1"/>
  <c r="AE293" i="1"/>
  <c r="AG323" i="1"/>
  <c r="AL323" i="1"/>
  <c r="AF323" i="1"/>
  <c r="AL338" i="1"/>
  <c r="AF338" i="1"/>
  <c r="AG338" i="1"/>
  <c r="W420" i="1"/>
  <c r="AE420" i="1"/>
  <c r="X420" i="1"/>
  <c r="AW420" i="1" s="1"/>
  <c r="AF362" i="1"/>
  <c r="AL362" i="1"/>
  <c r="AG362" i="1"/>
  <c r="AG395" i="1"/>
  <c r="AF395" i="1"/>
  <c r="AL395" i="1"/>
  <c r="AL413" i="1"/>
  <c r="AG413" i="1"/>
  <c r="AF413" i="1"/>
  <c r="X339" i="1"/>
  <c r="W339" i="1"/>
  <c r="AE339" i="1"/>
  <c r="AG399" i="1"/>
  <c r="AF399" i="1"/>
  <c r="AL399" i="1"/>
  <c r="AF315" i="1"/>
  <c r="AL315" i="1"/>
  <c r="AG315" i="1"/>
  <c r="AF333" i="1"/>
  <c r="AL333" i="1"/>
  <c r="AG333" i="1"/>
  <c r="AE561" i="1"/>
  <c r="AF561" i="1" s="1"/>
  <c r="W558" i="1"/>
  <c r="AF569" i="1"/>
  <c r="W569" i="1"/>
  <c r="X569" i="1"/>
  <c r="AW569" i="1" s="1"/>
  <c r="AF570" i="1"/>
  <c r="AL570" i="1"/>
  <c r="AG570" i="1"/>
  <c r="AL560" i="1"/>
  <c r="AG560" i="1"/>
  <c r="AF560" i="1"/>
  <c r="AF566" i="1"/>
  <c r="AG566" i="1"/>
  <c r="AL566" i="1"/>
  <c r="AL568" i="1"/>
  <c r="AG568" i="1"/>
  <c r="AF568" i="1"/>
  <c r="AL571" i="1"/>
  <c r="AG571" i="1"/>
  <c r="AF571" i="1"/>
  <c r="AL564" i="1"/>
  <c r="AG564" i="1"/>
  <c r="AF564" i="1"/>
  <c r="AL559" i="1"/>
  <c r="AG559" i="1"/>
  <c r="AF559" i="1"/>
  <c r="AL343" i="1" l="1"/>
  <c r="AG309" i="1"/>
  <c r="AL372" i="1"/>
  <c r="AL294" i="1"/>
  <c r="AF309" i="1"/>
  <c r="AG294" i="1"/>
  <c r="AL360" i="1"/>
  <c r="AL320" i="1"/>
  <c r="AL352" i="1"/>
  <c r="AF352" i="1"/>
  <c r="AL283" i="1"/>
  <c r="AF283" i="1"/>
  <c r="AG562" i="1"/>
  <c r="AF372" i="1"/>
  <c r="AL562" i="1"/>
  <c r="AG360" i="1"/>
  <c r="AF285" i="1"/>
  <c r="AL349" i="1"/>
  <c r="AF320" i="1"/>
  <c r="AG285" i="1"/>
  <c r="AG567" i="1"/>
  <c r="E6" i="6"/>
  <c r="AG327" i="1"/>
  <c r="AL327" i="1"/>
  <c r="AG366" i="1"/>
  <c r="AF366" i="1"/>
  <c r="AF567" i="1"/>
  <c r="AG349" i="1"/>
  <c r="AG386" i="1"/>
  <c r="AL386" i="1"/>
  <c r="AG377" i="1"/>
  <c r="AF377" i="1"/>
  <c r="D6" i="6"/>
  <c r="AF563" i="1"/>
  <c r="AG299" i="1"/>
  <c r="AL299" i="1"/>
  <c r="AF299" i="1"/>
  <c r="AG563" i="1"/>
  <c r="AL418" i="1"/>
  <c r="AG418" i="1"/>
  <c r="AF418" i="1"/>
  <c r="AG558" i="1"/>
  <c r="AL355" i="1"/>
  <c r="AF355" i="1"/>
  <c r="AG355" i="1"/>
  <c r="AF290" i="1"/>
  <c r="AL290" i="1"/>
  <c r="AG290" i="1"/>
  <c r="AL558" i="1"/>
  <c r="AL332" i="1"/>
  <c r="AG332" i="1"/>
  <c r="AF332" i="1"/>
  <c r="AL287" i="1"/>
  <c r="AF287" i="1"/>
  <c r="AG287" i="1"/>
  <c r="AG326" i="1"/>
  <c r="AL326" i="1"/>
  <c r="AF326" i="1"/>
  <c r="AF409" i="1"/>
  <c r="AL409" i="1"/>
  <c r="AG409" i="1"/>
  <c r="AG373" i="1"/>
  <c r="AF373" i="1"/>
  <c r="AL373" i="1"/>
  <c r="AG342" i="1"/>
  <c r="AL342" i="1"/>
  <c r="AF342" i="1"/>
  <c r="AG341" i="1"/>
  <c r="AF341" i="1"/>
  <c r="AL341" i="1"/>
  <c r="AL353" i="1"/>
  <c r="AG353" i="1"/>
  <c r="AF353" i="1"/>
  <c r="AL346" i="1"/>
  <c r="AF346" i="1"/>
  <c r="AG346" i="1"/>
  <c r="AL348" i="1"/>
  <c r="AG348" i="1"/>
  <c r="AF348" i="1"/>
  <c r="AL317" i="1"/>
  <c r="AF317" i="1"/>
  <c r="AG317" i="1"/>
  <c r="AL319" i="1"/>
  <c r="AF319" i="1"/>
  <c r="AG319" i="1"/>
  <c r="AL313" i="1"/>
  <c r="AG313" i="1"/>
  <c r="AF313" i="1"/>
  <c r="AL420" i="1"/>
  <c r="AG420" i="1"/>
  <c r="AF420" i="1"/>
  <c r="AL400" i="1"/>
  <c r="AG400" i="1"/>
  <c r="AF400" i="1"/>
  <c r="AL392" i="1"/>
  <c r="AG392" i="1"/>
  <c r="AF392" i="1"/>
  <c r="AL416" i="1"/>
  <c r="AG416" i="1"/>
  <c r="AF416" i="1"/>
  <c r="AL289" i="1"/>
  <c r="AF289" i="1"/>
  <c r="AG289" i="1"/>
  <c r="AL384" i="1"/>
  <c r="AG384" i="1"/>
  <c r="AF384" i="1"/>
  <c r="AG357" i="1"/>
  <c r="AF357" i="1"/>
  <c r="AL357" i="1"/>
  <c r="AL339" i="1"/>
  <c r="AG339" i="1"/>
  <c r="AF339" i="1"/>
  <c r="AL408" i="1"/>
  <c r="AG408" i="1"/>
  <c r="AF408" i="1"/>
  <c r="AL293" i="1"/>
  <c r="AF293" i="1"/>
  <c r="AG293" i="1"/>
  <c r="AL412" i="1"/>
  <c r="AG412" i="1"/>
  <c r="AF412" i="1"/>
  <c r="AF359" i="1"/>
  <c r="AG359" i="1"/>
  <c r="AL359" i="1"/>
  <c r="AL312" i="1"/>
  <c r="AF312" i="1"/>
  <c r="AG312" i="1"/>
  <c r="AL561" i="1"/>
  <c r="AG561" i="1"/>
  <c r="AW421" i="1" l="1"/>
  <c r="AW418" i="1" l="1"/>
  <c r="AW417" i="1"/>
  <c r="AW419" i="1"/>
  <c r="W2" i="1" l="1"/>
  <c r="AW70" i="1" l="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D557" i="1" l="1"/>
  <c r="R557" i="1"/>
  <c r="P557" i="1"/>
  <c r="AD556" i="1"/>
  <c r="R556" i="1"/>
  <c r="P556" i="1"/>
  <c r="AD555" i="1"/>
  <c r="R555" i="1"/>
  <c r="P555" i="1"/>
  <c r="AD554" i="1"/>
  <c r="R554" i="1"/>
  <c r="P554" i="1"/>
  <c r="AD553" i="1"/>
  <c r="R553" i="1"/>
  <c r="P553" i="1"/>
  <c r="AD552" i="1"/>
  <c r="R552" i="1"/>
  <c r="P552" i="1"/>
  <c r="AD551" i="1"/>
  <c r="R551" i="1"/>
  <c r="P551" i="1"/>
  <c r="AD550" i="1"/>
  <c r="R550" i="1"/>
  <c r="P550" i="1"/>
  <c r="AD549" i="1"/>
  <c r="R549" i="1"/>
  <c r="P549" i="1"/>
  <c r="AD548" i="1"/>
  <c r="AE548" i="1" s="1"/>
  <c r="AF548" i="1" s="1"/>
  <c r="X548" i="1"/>
  <c r="W548" i="1"/>
  <c r="R548" i="1"/>
  <c r="P548" i="1"/>
  <c r="AD547" i="1"/>
  <c r="R547" i="1"/>
  <c r="P547" i="1"/>
  <c r="AD546" i="1"/>
  <c r="R546" i="1"/>
  <c r="P546" i="1"/>
  <c r="AD545" i="1"/>
  <c r="R545" i="1"/>
  <c r="P545" i="1"/>
  <c r="AD544" i="1"/>
  <c r="R544" i="1"/>
  <c r="P544" i="1"/>
  <c r="AD543" i="1"/>
  <c r="AE543" i="1" s="1"/>
  <c r="X543" i="1"/>
  <c r="W543" i="1"/>
  <c r="R543" i="1"/>
  <c r="P543" i="1"/>
  <c r="AD542" i="1"/>
  <c r="R542" i="1"/>
  <c r="P542" i="1"/>
  <c r="AD541" i="1"/>
  <c r="R541" i="1"/>
  <c r="P541" i="1"/>
  <c r="AD540" i="1"/>
  <c r="R540" i="1"/>
  <c r="P540" i="1"/>
  <c r="AD539" i="1"/>
  <c r="R539" i="1"/>
  <c r="P539" i="1"/>
  <c r="AD538" i="1"/>
  <c r="R538" i="1"/>
  <c r="P538" i="1"/>
  <c r="AD537" i="1"/>
  <c r="R537" i="1"/>
  <c r="P537" i="1"/>
  <c r="AD536" i="1"/>
  <c r="AE536" i="1" s="1"/>
  <c r="X536" i="1"/>
  <c r="W536" i="1"/>
  <c r="R536" i="1"/>
  <c r="P536" i="1"/>
  <c r="AD535" i="1"/>
  <c r="AE535" i="1" s="1"/>
  <c r="X535" i="1"/>
  <c r="W535" i="1"/>
  <c r="R535" i="1"/>
  <c r="P535" i="1"/>
  <c r="AD534" i="1"/>
  <c r="R534" i="1"/>
  <c r="P534" i="1"/>
  <c r="AD533" i="1"/>
  <c r="AE533" i="1" s="1"/>
  <c r="AF533" i="1" s="1"/>
  <c r="X533" i="1"/>
  <c r="W533" i="1"/>
  <c r="R533" i="1"/>
  <c r="P533" i="1"/>
  <c r="AD532" i="1"/>
  <c r="R532" i="1"/>
  <c r="P532" i="1"/>
  <c r="AD531" i="1"/>
  <c r="R531" i="1"/>
  <c r="P531" i="1"/>
  <c r="AD530" i="1"/>
  <c r="AE530" i="1" s="1"/>
  <c r="AL530" i="1" s="1"/>
  <c r="X530" i="1"/>
  <c r="W530" i="1"/>
  <c r="R530" i="1"/>
  <c r="P530" i="1"/>
  <c r="AD529" i="1"/>
  <c r="AE529" i="1" s="1"/>
  <c r="X529" i="1"/>
  <c r="W529" i="1"/>
  <c r="R529" i="1"/>
  <c r="P529" i="1"/>
  <c r="AD528" i="1"/>
  <c r="R528" i="1"/>
  <c r="P528" i="1"/>
  <c r="AD527" i="1"/>
  <c r="AE527" i="1" s="1"/>
  <c r="X527" i="1"/>
  <c r="W527" i="1"/>
  <c r="R527" i="1"/>
  <c r="P527" i="1"/>
  <c r="AD526" i="1"/>
  <c r="AE526" i="1" s="1"/>
  <c r="X526" i="1"/>
  <c r="W526" i="1"/>
  <c r="R526" i="1"/>
  <c r="P526" i="1"/>
  <c r="AD525" i="1"/>
  <c r="AE525" i="1" s="1"/>
  <c r="X525" i="1"/>
  <c r="W525" i="1"/>
  <c r="R525" i="1"/>
  <c r="P525" i="1"/>
  <c r="AD524" i="1"/>
  <c r="R524" i="1"/>
  <c r="P524" i="1"/>
  <c r="AD523" i="1"/>
  <c r="AE523" i="1" s="1"/>
  <c r="X523" i="1"/>
  <c r="W523" i="1"/>
  <c r="R523" i="1"/>
  <c r="P523" i="1"/>
  <c r="AD522" i="1"/>
  <c r="AE522" i="1" s="1"/>
  <c r="X522" i="1"/>
  <c r="W522" i="1"/>
  <c r="R522" i="1"/>
  <c r="P522" i="1"/>
  <c r="AD521" i="1"/>
  <c r="AE521" i="1" s="1"/>
  <c r="AF521" i="1" s="1"/>
  <c r="X521" i="1"/>
  <c r="W521" i="1"/>
  <c r="R521" i="1"/>
  <c r="P521" i="1"/>
  <c r="AD520" i="1"/>
  <c r="R520" i="1"/>
  <c r="P520" i="1"/>
  <c r="AD519" i="1"/>
  <c r="R519" i="1"/>
  <c r="P519" i="1"/>
  <c r="AD518" i="1"/>
  <c r="AE518" i="1" s="1"/>
  <c r="X518" i="1"/>
  <c r="W518" i="1"/>
  <c r="R518" i="1"/>
  <c r="P518" i="1"/>
  <c r="AD517" i="1"/>
  <c r="AE517" i="1" s="1"/>
  <c r="X517" i="1"/>
  <c r="W517" i="1"/>
  <c r="R517" i="1"/>
  <c r="P517" i="1"/>
  <c r="AD516" i="1"/>
  <c r="R516" i="1"/>
  <c r="P516" i="1"/>
  <c r="AD515" i="1"/>
  <c r="R515" i="1"/>
  <c r="P515" i="1"/>
  <c r="AD514" i="1"/>
  <c r="AE514" i="1" s="1"/>
  <c r="X514" i="1"/>
  <c r="W514" i="1"/>
  <c r="R514" i="1"/>
  <c r="P514" i="1"/>
  <c r="AD513" i="1"/>
  <c r="R513" i="1"/>
  <c r="P513" i="1"/>
  <c r="AD512" i="1"/>
  <c r="AE512" i="1" s="1"/>
  <c r="AF512" i="1" s="1"/>
  <c r="X512" i="1"/>
  <c r="W512" i="1"/>
  <c r="R512" i="1"/>
  <c r="P512" i="1"/>
  <c r="AD511" i="1"/>
  <c r="R511" i="1"/>
  <c r="P511" i="1"/>
  <c r="AD510" i="1"/>
  <c r="R510" i="1"/>
  <c r="P510" i="1"/>
  <c r="AD509" i="1"/>
  <c r="R509" i="1"/>
  <c r="P509" i="1"/>
  <c r="AD508" i="1"/>
  <c r="AE508" i="1" s="1"/>
  <c r="X508" i="1"/>
  <c r="W508" i="1"/>
  <c r="R508" i="1"/>
  <c r="P508" i="1"/>
  <c r="AD507" i="1"/>
  <c r="R507" i="1"/>
  <c r="P507" i="1"/>
  <c r="AD506" i="1"/>
  <c r="R506" i="1"/>
  <c r="P506" i="1"/>
  <c r="AD505" i="1"/>
  <c r="R505" i="1"/>
  <c r="P505" i="1"/>
  <c r="AD504" i="1"/>
  <c r="AE504" i="1" s="1"/>
  <c r="AF504" i="1" s="1"/>
  <c r="X504" i="1"/>
  <c r="W504" i="1"/>
  <c r="R504" i="1"/>
  <c r="P504" i="1"/>
  <c r="AD503" i="1"/>
  <c r="AE503" i="1" s="1"/>
  <c r="AG503" i="1" s="1"/>
  <c r="X503" i="1"/>
  <c r="W503" i="1"/>
  <c r="R503" i="1"/>
  <c r="P503" i="1"/>
  <c r="AD502" i="1"/>
  <c r="AE502" i="1" s="1"/>
  <c r="AF502" i="1" s="1"/>
  <c r="X502" i="1"/>
  <c r="W502" i="1"/>
  <c r="R502" i="1"/>
  <c r="P502" i="1"/>
  <c r="AD501" i="1"/>
  <c r="AE501" i="1" s="1"/>
  <c r="X501" i="1"/>
  <c r="W501" i="1"/>
  <c r="R501" i="1"/>
  <c r="P501" i="1"/>
  <c r="AD500" i="1"/>
  <c r="R500" i="1"/>
  <c r="P500" i="1"/>
  <c r="AD499" i="1"/>
  <c r="AE499" i="1" s="1"/>
  <c r="AG499" i="1" s="1"/>
  <c r="X499" i="1"/>
  <c r="W499" i="1"/>
  <c r="R499" i="1"/>
  <c r="P499" i="1"/>
  <c r="AD498" i="1"/>
  <c r="R498" i="1"/>
  <c r="P498" i="1"/>
  <c r="AD497" i="1"/>
  <c r="R497" i="1"/>
  <c r="P497" i="1"/>
  <c r="AD496" i="1"/>
  <c r="R496" i="1"/>
  <c r="P496" i="1"/>
  <c r="AD495" i="1"/>
  <c r="R495" i="1"/>
  <c r="P495" i="1"/>
  <c r="AD494" i="1"/>
  <c r="R494" i="1"/>
  <c r="P494" i="1"/>
  <c r="AD493" i="1"/>
  <c r="R493" i="1"/>
  <c r="P493" i="1"/>
  <c r="AD492" i="1"/>
  <c r="AE492" i="1" s="1"/>
  <c r="X492" i="1"/>
  <c r="W492" i="1"/>
  <c r="R492" i="1"/>
  <c r="P492" i="1"/>
  <c r="AD491" i="1"/>
  <c r="AE491" i="1" s="1"/>
  <c r="X491" i="1"/>
  <c r="W491" i="1"/>
  <c r="R491" i="1"/>
  <c r="P491" i="1"/>
  <c r="AD490" i="1"/>
  <c r="AE490" i="1" s="1"/>
  <c r="X490" i="1"/>
  <c r="W490" i="1"/>
  <c r="R490" i="1"/>
  <c r="P490" i="1"/>
  <c r="AD489" i="1"/>
  <c r="AE489" i="1" s="1"/>
  <c r="AG489" i="1" s="1"/>
  <c r="X489" i="1"/>
  <c r="W489" i="1"/>
  <c r="R489" i="1"/>
  <c r="P489" i="1"/>
  <c r="AD488" i="1"/>
  <c r="AE488" i="1" s="1"/>
  <c r="X488" i="1"/>
  <c r="W488" i="1"/>
  <c r="R488" i="1"/>
  <c r="P488" i="1"/>
  <c r="AD487" i="1"/>
  <c r="R487" i="1"/>
  <c r="P487" i="1"/>
  <c r="AD486" i="1"/>
  <c r="R486" i="1"/>
  <c r="P486" i="1"/>
  <c r="AD485" i="1"/>
  <c r="AE485" i="1" s="1"/>
  <c r="X485" i="1"/>
  <c r="W485" i="1"/>
  <c r="R485" i="1"/>
  <c r="P485" i="1"/>
  <c r="AD484" i="1"/>
  <c r="R484" i="1"/>
  <c r="P484" i="1"/>
  <c r="AD483" i="1"/>
  <c r="R483" i="1"/>
  <c r="P483" i="1"/>
  <c r="AD482" i="1"/>
  <c r="AE482" i="1" s="1"/>
  <c r="X482" i="1"/>
  <c r="W482" i="1"/>
  <c r="R482" i="1"/>
  <c r="P482" i="1"/>
  <c r="AD481" i="1"/>
  <c r="R481" i="1"/>
  <c r="P481" i="1"/>
  <c r="AD480" i="1"/>
  <c r="AE480" i="1" s="1"/>
  <c r="X480" i="1"/>
  <c r="W480" i="1"/>
  <c r="R480" i="1"/>
  <c r="P480" i="1"/>
  <c r="AD479" i="1"/>
  <c r="R479" i="1"/>
  <c r="P479" i="1"/>
  <c r="AD478" i="1"/>
  <c r="R478" i="1"/>
  <c r="P478" i="1"/>
  <c r="AD477" i="1"/>
  <c r="R477" i="1"/>
  <c r="P477" i="1"/>
  <c r="AD476" i="1"/>
  <c r="R476" i="1"/>
  <c r="P476" i="1"/>
  <c r="AD475" i="1"/>
  <c r="R475" i="1"/>
  <c r="P475" i="1"/>
  <c r="AD474" i="1"/>
  <c r="AE474" i="1" s="1"/>
  <c r="X474" i="1"/>
  <c r="W474" i="1"/>
  <c r="R474" i="1"/>
  <c r="P474" i="1"/>
  <c r="AD473" i="1"/>
  <c r="AE473" i="1" s="1"/>
  <c r="X473" i="1"/>
  <c r="W473" i="1"/>
  <c r="R473" i="1"/>
  <c r="P473" i="1"/>
  <c r="AD472" i="1"/>
  <c r="R472" i="1"/>
  <c r="P472" i="1"/>
  <c r="T480" i="1" l="1"/>
  <c r="S480" i="1" s="1"/>
  <c r="Y480" i="1" s="1"/>
  <c r="AW480" i="1" s="1"/>
  <c r="T484" i="1"/>
  <c r="S484" i="1" s="1"/>
  <c r="Y484" i="1" s="1"/>
  <c r="T483" i="1"/>
  <c r="S483" i="1" s="1"/>
  <c r="Y483" i="1" s="1"/>
  <c r="T499" i="1"/>
  <c r="U499" i="1" s="1"/>
  <c r="T551" i="1"/>
  <c r="U551" i="1" s="1"/>
  <c r="V551" i="1" s="1"/>
  <c r="W551" i="1" s="1"/>
  <c r="T524" i="1"/>
  <c r="U524" i="1" s="1"/>
  <c r="V524" i="1" s="1"/>
  <c r="W524" i="1" s="1"/>
  <c r="T501" i="1"/>
  <c r="U501" i="1" s="1"/>
  <c r="T519" i="1"/>
  <c r="U519" i="1" s="1"/>
  <c r="V519" i="1" s="1"/>
  <c r="X519" i="1" s="1"/>
  <c r="T502" i="1"/>
  <c r="S502" i="1" s="1"/>
  <c r="Y502" i="1" s="1"/>
  <c r="AW502" i="1" s="1"/>
  <c r="T508" i="1"/>
  <c r="U508" i="1" s="1"/>
  <c r="T495" i="1"/>
  <c r="U495" i="1" s="1"/>
  <c r="V495" i="1" s="1"/>
  <c r="T557" i="1"/>
  <c r="U557" i="1" s="1"/>
  <c r="V557" i="1" s="1"/>
  <c r="AE557" i="1" s="1"/>
  <c r="AG557" i="1" s="1"/>
  <c r="AE551" i="1"/>
  <c r="AL551" i="1" s="1"/>
  <c r="T476" i="1"/>
  <c r="S476" i="1" s="1"/>
  <c r="Y476" i="1" s="1"/>
  <c r="T542" i="1"/>
  <c r="U542" i="1" s="1"/>
  <c r="V542" i="1" s="1"/>
  <c r="W542" i="1" s="1"/>
  <c r="T544" i="1"/>
  <c r="S544" i="1" s="1"/>
  <c r="Y544" i="1" s="1"/>
  <c r="T473" i="1"/>
  <c r="S473" i="1" s="1"/>
  <c r="Y473" i="1" s="1"/>
  <c r="AW473" i="1" s="1"/>
  <c r="T488" i="1"/>
  <c r="S488" i="1" s="1"/>
  <c r="Y488" i="1" s="1"/>
  <c r="AW488" i="1" s="1"/>
  <c r="T509" i="1"/>
  <c r="S509" i="1" s="1"/>
  <c r="Y509" i="1" s="1"/>
  <c r="T512" i="1"/>
  <c r="S512" i="1" s="1"/>
  <c r="Y512" i="1" s="1"/>
  <c r="AW512" i="1" s="1"/>
  <c r="T514" i="1"/>
  <c r="T518" i="1"/>
  <c r="U518" i="1" s="1"/>
  <c r="T527" i="1"/>
  <c r="U527" i="1" s="1"/>
  <c r="T535" i="1"/>
  <c r="U535" i="1" s="1"/>
  <c r="T554" i="1"/>
  <c r="U554" i="1" s="1"/>
  <c r="V554" i="1" s="1"/>
  <c r="T486" i="1"/>
  <c r="S486" i="1" s="1"/>
  <c r="Y486" i="1" s="1"/>
  <c r="AF489" i="1"/>
  <c r="T510" i="1"/>
  <c r="U510" i="1" s="1"/>
  <c r="V510" i="1" s="1"/>
  <c r="AL489" i="1"/>
  <c r="T513" i="1"/>
  <c r="U513" i="1" s="1"/>
  <c r="V513" i="1" s="1"/>
  <c r="AE513" i="1" s="1"/>
  <c r="T504" i="1"/>
  <c r="U504" i="1" s="1"/>
  <c r="T506" i="1"/>
  <c r="U506" i="1" s="1"/>
  <c r="V506" i="1" s="1"/>
  <c r="AE506" i="1" s="1"/>
  <c r="AF506" i="1" s="1"/>
  <c r="T492" i="1"/>
  <c r="S492" i="1" s="1"/>
  <c r="Y492" i="1" s="1"/>
  <c r="AW492" i="1" s="1"/>
  <c r="T497" i="1"/>
  <c r="S497" i="1" s="1"/>
  <c r="Y497" i="1" s="1"/>
  <c r="T505" i="1"/>
  <c r="S505" i="1" s="1"/>
  <c r="Y505" i="1" s="1"/>
  <c r="T500" i="1"/>
  <c r="U500" i="1" s="1"/>
  <c r="V500" i="1" s="1"/>
  <c r="T522" i="1"/>
  <c r="U522" i="1" s="1"/>
  <c r="T545" i="1"/>
  <c r="U545" i="1" s="1"/>
  <c r="V545" i="1" s="1"/>
  <c r="AL499" i="1"/>
  <c r="T553" i="1"/>
  <c r="U553" i="1" s="1"/>
  <c r="V553" i="1" s="1"/>
  <c r="AE553" i="1" s="1"/>
  <c r="AL553" i="1" s="1"/>
  <c r="T496" i="1"/>
  <c r="U496" i="1" s="1"/>
  <c r="V496" i="1" s="1"/>
  <c r="X496" i="1" s="1"/>
  <c r="T523" i="1"/>
  <c r="U523" i="1" s="1"/>
  <c r="T530" i="1"/>
  <c r="U530" i="1" s="1"/>
  <c r="T550" i="1"/>
  <c r="S550" i="1" s="1"/>
  <c r="Y550" i="1" s="1"/>
  <c r="T555" i="1"/>
  <c r="U555" i="1" s="1"/>
  <c r="V555" i="1" s="1"/>
  <c r="AE555" i="1" s="1"/>
  <c r="AG555" i="1" s="1"/>
  <c r="AL527" i="1"/>
  <c r="AG527" i="1"/>
  <c r="AF527" i="1"/>
  <c r="AG548" i="1"/>
  <c r="T489" i="1"/>
  <c r="S489" i="1" s="1"/>
  <c r="Y489" i="1" s="1"/>
  <c r="AW489" i="1" s="1"/>
  <c r="T490" i="1"/>
  <c r="U490" i="1" s="1"/>
  <c r="AG502" i="1"/>
  <c r="T520" i="1"/>
  <c r="S520" i="1" s="1"/>
  <c r="Y520" i="1" s="1"/>
  <c r="T537" i="1"/>
  <c r="S537" i="1" s="1"/>
  <c r="Y537" i="1" s="1"/>
  <c r="T540" i="1"/>
  <c r="S540" i="1" s="1"/>
  <c r="Y540" i="1" s="1"/>
  <c r="T549" i="1"/>
  <c r="U549" i="1" s="1"/>
  <c r="V549" i="1" s="1"/>
  <c r="AE549" i="1" s="1"/>
  <c r="AL549" i="1" s="1"/>
  <c r="AL502" i="1"/>
  <c r="T477" i="1"/>
  <c r="S477" i="1" s="1"/>
  <c r="Y477" i="1" s="1"/>
  <c r="T494" i="1"/>
  <c r="U494" i="1" s="1"/>
  <c r="V494" i="1" s="1"/>
  <c r="X494" i="1" s="1"/>
  <c r="T503" i="1"/>
  <c r="U503" i="1" s="1"/>
  <c r="T515" i="1"/>
  <c r="S515" i="1" s="1"/>
  <c r="Y515" i="1" s="1"/>
  <c r="T538" i="1"/>
  <c r="U538" i="1" s="1"/>
  <c r="V538" i="1" s="1"/>
  <c r="X538" i="1" s="1"/>
  <c r="T548" i="1"/>
  <c r="S548" i="1" s="1"/>
  <c r="Y548" i="1" s="1"/>
  <c r="AW548" i="1" s="1"/>
  <c r="T516" i="1"/>
  <c r="S516" i="1" s="1"/>
  <c r="Y516" i="1" s="1"/>
  <c r="T482" i="1"/>
  <c r="U482" i="1" s="1"/>
  <c r="S499" i="1"/>
  <c r="Y499" i="1" s="1"/>
  <c r="AW499" i="1" s="1"/>
  <c r="T526" i="1"/>
  <c r="U526" i="1" s="1"/>
  <c r="T529" i="1"/>
  <c r="U529" i="1" s="1"/>
  <c r="T541" i="1"/>
  <c r="S541" i="1" s="1"/>
  <c r="Y541" i="1" s="1"/>
  <c r="T546" i="1"/>
  <c r="U546" i="1" s="1"/>
  <c r="V546" i="1" s="1"/>
  <c r="AF473" i="1"/>
  <c r="AL473" i="1"/>
  <c r="AG473" i="1"/>
  <c r="AF492" i="1"/>
  <c r="AL492" i="1"/>
  <c r="AG492" i="1"/>
  <c r="AF480" i="1"/>
  <c r="AL480" i="1"/>
  <c r="AG480" i="1"/>
  <c r="AL508" i="1"/>
  <c r="AG508" i="1"/>
  <c r="AF508" i="1"/>
  <c r="AL518" i="1"/>
  <c r="AG518" i="1"/>
  <c r="AF518" i="1"/>
  <c r="AG525" i="1"/>
  <c r="AL525" i="1"/>
  <c r="AF522" i="1"/>
  <c r="AG522" i="1"/>
  <c r="AL522" i="1"/>
  <c r="T487" i="1"/>
  <c r="U487" i="1" s="1"/>
  <c r="V487" i="1" s="1"/>
  <c r="AF530" i="1"/>
  <c r="T534" i="1"/>
  <c r="S534" i="1" s="1"/>
  <c r="Y534" i="1" s="1"/>
  <c r="T479" i="1"/>
  <c r="U479" i="1" s="1"/>
  <c r="V479" i="1" s="1"/>
  <c r="T528" i="1"/>
  <c r="U528" i="1" s="1"/>
  <c r="V528" i="1" s="1"/>
  <c r="T556" i="1"/>
  <c r="T472" i="1"/>
  <c r="S472" i="1" s="1"/>
  <c r="Y472" i="1" s="1"/>
  <c r="T525" i="1"/>
  <c r="T531" i="1"/>
  <c r="U531" i="1" s="1"/>
  <c r="V531" i="1" s="1"/>
  <c r="T475" i="1"/>
  <c r="U475" i="1" s="1"/>
  <c r="V475" i="1" s="1"/>
  <c r="T493" i="1"/>
  <c r="S493" i="1" s="1"/>
  <c r="Y493" i="1" s="1"/>
  <c r="T552" i="1"/>
  <c r="S552" i="1" s="1"/>
  <c r="Y552" i="1" s="1"/>
  <c r="AG530" i="1"/>
  <c r="T481" i="1"/>
  <c r="S481" i="1" s="1"/>
  <c r="Y481" i="1" s="1"/>
  <c r="T485" i="1"/>
  <c r="U485" i="1" s="1"/>
  <c r="T532" i="1"/>
  <c r="S532" i="1" s="1"/>
  <c r="Y532" i="1" s="1"/>
  <c r="T547" i="1"/>
  <c r="U547" i="1" s="1"/>
  <c r="V547" i="1" s="1"/>
  <c r="AE547" i="1" s="1"/>
  <c r="AL547" i="1" s="1"/>
  <c r="T474" i="1"/>
  <c r="S474" i="1" s="1"/>
  <c r="Y474" i="1" s="1"/>
  <c r="AW474" i="1" s="1"/>
  <c r="T478" i="1"/>
  <c r="C8" i="6" s="1"/>
  <c r="T491" i="1"/>
  <c r="U491" i="1" s="1"/>
  <c r="T507" i="1"/>
  <c r="U507" i="1" s="1"/>
  <c r="V507" i="1" s="1"/>
  <c r="T517" i="1"/>
  <c r="U517" i="1" s="1"/>
  <c r="T539" i="1"/>
  <c r="S539" i="1" s="1"/>
  <c r="Y539" i="1" s="1"/>
  <c r="T543" i="1"/>
  <c r="U543" i="1" s="1"/>
  <c r="AG474" i="1"/>
  <c r="AF474" i="1"/>
  <c r="AL474" i="1"/>
  <c r="AL482" i="1"/>
  <c r="AG482" i="1"/>
  <c r="AF482" i="1"/>
  <c r="AG488" i="1"/>
  <c r="AF488" i="1"/>
  <c r="AL488" i="1"/>
  <c r="AL485" i="1"/>
  <c r="AG485" i="1"/>
  <c r="AF485" i="1"/>
  <c r="AL543" i="1"/>
  <c r="AG543" i="1"/>
  <c r="AF543" i="1"/>
  <c r="AG551" i="1"/>
  <c r="AF551" i="1"/>
  <c r="U480" i="1"/>
  <c r="AL517" i="1"/>
  <c r="AG517" i="1"/>
  <c r="AF517" i="1"/>
  <c r="AL523" i="1"/>
  <c r="AG523" i="1"/>
  <c r="AF523" i="1"/>
  <c r="U483" i="1"/>
  <c r="V483" i="1" s="1"/>
  <c r="AL490" i="1"/>
  <c r="AF490" i="1"/>
  <c r="AL491" i="1"/>
  <c r="AG491" i="1"/>
  <c r="AL501" i="1"/>
  <c r="AG501" i="1"/>
  <c r="AF501" i="1"/>
  <c r="AG490" i="1"/>
  <c r="AF491" i="1"/>
  <c r="T511" i="1"/>
  <c r="T521" i="1"/>
  <c r="T533" i="1"/>
  <c r="AL548" i="1"/>
  <c r="AL529" i="1"/>
  <c r="AG529" i="1"/>
  <c r="AF529" i="1"/>
  <c r="AL503" i="1"/>
  <c r="AF503" i="1"/>
  <c r="AL514" i="1"/>
  <c r="AG514" i="1"/>
  <c r="AF514" i="1"/>
  <c r="AG512" i="1"/>
  <c r="U514" i="1"/>
  <c r="S514" i="1"/>
  <c r="Y514" i="1" s="1"/>
  <c r="AW514" i="1" s="1"/>
  <c r="AL526" i="1"/>
  <c r="AG526" i="1"/>
  <c r="AF526" i="1"/>
  <c r="AL536" i="1"/>
  <c r="AG536" i="1"/>
  <c r="AL504" i="1"/>
  <c r="AG504" i="1"/>
  <c r="AF499" i="1"/>
  <c r="AL512" i="1"/>
  <c r="AL535" i="1"/>
  <c r="AG535" i="1"/>
  <c r="AF535" i="1"/>
  <c r="AF536" i="1"/>
  <c r="S551" i="1"/>
  <c r="Y551" i="1" s="1"/>
  <c r="X557" i="1"/>
  <c r="T498" i="1"/>
  <c r="AL521" i="1"/>
  <c r="AG521" i="1"/>
  <c r="AL533" i="1"/>
  <c r="AG533" i="1"/>
  <c r="T536" i="1"/>
  <c r="X551" i="1"/>
  <c r="S557" i="1"/>
  <c r="Y557" i="1" s="1"/>
  <c r="AF525" i="1"/>
  <c r="S501" i="1" l="1"/>
  <c r="Y501" i="1" s="1"/>
  <c r="AW501" i="1" s="1"/>
  <c r="U512" i="1"/>
  <c r="U484" i="1"/>
  <c r="V484" i="1" s="1"/>
  <c r="AE524" i="1"/>
  <c r="AL557" i="1"/>
  <c r="S510" i="1"/>
  <c r="Y510" i="1" s="1"/>
  <c r="X524" i="1"/>
  <c r="U520" i="1"/>
  <c r="V520" i="1" s="1"/>
  <c r="X520" i="1" s="1"/>
  <c r="AW520" i="1" s="1"/>
  <c r="S504" i="1"/>
  <c r="Y504" i="1" s="1"/>
  <c r="AW504" i="1" s="1"/>
  <c r="S527" i="1"/>
  <c r="Y527" i="1" s="1"/>
  <c r="AW527" i="1" s="1"/>
  <c r="AE542" i="1"/>
  <c r="AF542" i="1" s="1"/>
  <c r="S524" i="1"/>
  <c r="Y524" i="1" s="1"/>
  <c r="W506" i="1"/>
  <c r="X549" i="1"/>
  <c r="U550" i="1"/>
  <c r="V550" i="1" s="1"/>
  <c r="AE550" i="1" s="1"/>
  <c r="S500" i="1"/>
  <c r="Y500" i="1" s="1"/>
  <c r="S518" i="1"/>
  <c r="Y518" i="1" s="1"/>
  <c r="AW518" i="1" s="1"/>
  <c r="S522" i="1"/>
  <c r="Y522" i="1" s="1"/>
  <c r="AW522" i="1" s="1"/>
  <c r="AE519" i="1"/>
  <c r="AF519" i="1" s="1"/>
  <c r="W519" i="1"/>
  <c r="S526" i="1"/>
  <c r="Y526" i="1" s="1"/>
  <c r="AW526" i="1" s="1"/>
  <c r="S519" i="1"/>
  <c r="Y519" i="1" s="1"/>
  <c r="AW519" i="1" s="1"/>
  <c r="S531" i="1"/>
  <c r="Y531" i="1" s="1"/>
  <c r="U502" i="1"/>
  <c r="X542" i="1"/>
  <c r="S542" i="1"/>
  <c r="Y542" i="1" s="1"/>
  <c r="U552" i="1"/>
  <c r="V552" i="1" s="1"/>
  <c r="X552" i="1" s="1"/>
  <c r="AW552" i="1" s="1"/>
  <c r="S508" i="1"/>
  <c r="Y508" i="1" s="1"/>
  <c r="AW508" i="1" s="1"/>
  <c r="W549" i="1"/>
  <c r="AF549" i="1"/>
  <c r="AW557" i="1"/>
  <c r="S549" i="1"/>
  <c r="Y549" i="1" s="1"/>
  <c r="S490" i="1"/>
  <c r="Y490" i="1" s="1"/>
  <c r="AW490" i="1" s="1"/>
  <c r="U489" i="1"/>
  <c r="U473" i="1"/>
  <c r="X513" i="1"/>
  <c r="W494" i="1"/>
  <c r="S530" i="1"/>
  <c r="Y530" i="1" s="1"/>
  <c r="AW530" i="1" s="1"/>
  <c r="S482" i="1"/>
  <c r="Y482" i="1" s="1"/>
  <c r="AW482" i="1" s="1"/>
  <c r="U505" i="1"/>
  <c r="V505" i="1" s="1"/>
  <c r="W505" i="1" s="1"/>
  <c r="U509" i="1"/>
  <c r="V509" i="1" s="1"/>
  <c r="AE509" i="1" s="1"/>
  <c r="S495" i="1"/>
  <c r="Y495" i="1" s="1"/>
  <c r="S523" i="1"/>
  <c r="Y523" i="1" s="1"/>
  <c r="AW523" i="1" s="1"/>
  <c r="U477" i="1"/>
  <c r="V477" i="1" s="1"/>
  <c r="W477" i="1" s="1"/>
  <c r="U497" i="1"/>
  <c r="V497" i="1" s="1"/>
  <c r="X497" i="1" s="1"/>
  <c r="AW497" i="1" s="1"/>
  <c r="AG549" i="1"/>
  <c r="U488" i="1"/>
  <c r="U486" i="1"/>
  <c r="V486" i="1" s="1"/>
  <c r="W486" i="1" s="1"/>
  <c r="U516" i="1"/>
  <c r="V516" i="1" s="1"/>
  <c r="W516" i="1" s="1"/>
  <c r="U540" i="1"/>
  <c r="V540" i="1" s="1"/>
  <c r="W540" i="1" s="1"/>
  <c r="U548" i="1"/>
  <c r="AL555" i="1"/>
  <c r="AF557" i="1"/>
  <c r="S545" i="1"/>
  <c r="Y545" i="1" s="1"/>
  <c r="W557" i="1"/>
  <c r="S513" i="1"/>
  <c r="Y513" i="1" s="1"/>
  <c r="S503" i="1"/>
  <c r="Y503" i="1" s="1"/>
  <c r="AW503" i="1" s="1"/>
  <c r="W555" i="1"/>
  <c r="U476" i="1"/>
  <c r="V476" i="1" s="1"/>
  <c r="X476" i="1" s="1"/>
  <c r="AW476" i="1" s="1"/>
  <c r="S555" i="1"/>
  <c r="Y555" i="1" s="1"/>
  <c r="W513" i="1"/>
  <c r="U544" i="1"/>
  <c r="V544" i="1" s="1"/>
  <c r="X544" i="1" s="1"/>
  <c r="AW544" i="1" s="1"/>
  <c r="AW551" i="1"/>
  <c r="AF547" i="1"/>
  <c r="U478" i="1"/>
  <c r="V478" i="1" s="1"/>
  <c r="AE478" i="1" s="1"/>
  <c r="X506" i="1"/>
  <c r="S535" i="1"/>
  <c r="Y535" i="1" s="1"/>
  <c r="AW535" i="1" s="1"/>
  <c r="S506" i="1"/>
  <c r="Y506" i="1" s="1"/>
  <c r="S547" i="1"/>
  <c r="Y547" i="1" s="1"/>
  <c r="W547" i="1"/>
  <c r="AE538" i="1"/>
  <c r="AF538" i="1" s="1"/>
  <c r="S517" i="1"/>
  <c r="Y517" i="1" s="1"/>
  <c r="AW517" i="1" s="1"/>
  <c r="S487" i="1"/>
  <c r="Y487" i="1" s="1"/>
  <c r="U472" i="1"/>
  <c r="V472" i="1" s="1"/>
  <c r="W472" i="1" s="1"/>
  <c r="S491" i="1"/>
  <c r="Y491" i="1" s="1"/>
  <c r="AW491" i="1" s="1"/>
  <c r="S507" i="1"/>
  <c r="Y507" i="1" s="1"/>
  <c r="X547" i="1"/>
  <c r="U492" i="1"/>
  <c r="AG513" i="1"/>
  <c r="AL513" i="1"/>
  <c r="AF513" i="1"/>
  <c r="S485" i="1"/>
  <c r="Y485" i="1" s="1"/>
  <c r="AW485" i="1" s="1"/>
  <c r="U481" i="1"/>
  <c r="V481" i="1" s="1"/>
  <c r="X481" i="1" s="1"/>
  <c r="AW481" i="1" s="1"/>
  <c r="S546" i="1"/>
  <c r="Y546" i="1" s="1"/>
  <c r="U537" i="1"/>
  <c r="V537" i="1" s="1"/>
  <c r="X537" i="1" s="1"/>
  <c r="AW537" i="1" s="1"/>
  <c r="S528" i="1"/>
  <c r="Y528" i="1" s="1"/>
  <c r="S554" i="1"/>
  <c r="Y554" i="1" s="1"/>
  <c r="S478" i="1"/>
  <c r="Y478" i="1" s="1"/>
  <c r="S496" i="1"/>
  <c r="Y496" i="1" s="1"/>
  <c r="AW496" i="1" s="1"/>
  <c r="W496" i="1"/>
  <c r="U474" i="1"/>
  <c r="AE496" i="1"/>
  <c r="AL496" i="1" s="1"/>
  <c r="S538" i="1"/>
  <c r="Y538" i="1" s="1"/>
  <c r="AW538" i="1" s="1"/>
  <c r="W538" i="1"/>
  <c r="AG506" i="1"/>
  <c r="AG547" i="1"/>
  <c r="S553" i="1"/>
  <c r="Y553" i="1" s="1"/>
  <c r="X555" i="1"/>
  <c r="X553" i="1"/>
  <c r="S529" i="1"/>
  <c r="Y529" i="1" s="1"/>
  <c r="AW529" i="1" s="1"/>
  <c r="AF553" i="1"/>
  <c r="AF555" i="1"/>
  <c r="S494" i="1"/>
  <c r="Y494" i="1" s="1"/>
  <c r="AW494" i="1" s="1"/>
  <c r="W553" i="1"/>
  <c r="AG553" i="1"/>
  <c r="U515" i="1"/>
  <c r="V515" i="1" s="1"/>
  <c r="X515" i="1" s="1"/>
  <c r="AW515" i="1" s="1"/>
  <c r="AE494" i="1"/>
  <c r="U534" i="1"/>
  <c r="V534" i="1" s="1"/>
  <c r="AE534" i="1" s="1"/>
  <c r="U539" i="1"/>
  <c r="V539" i="1" s="1"/>
  <c r="X539" i="1" s="1"/>
  <c r="AW539" i="1" s="1"/>
  <c r="AL506" i="1"/>
  <c r="U532" i="1"/>
  <c r="V532" i="1" s="1"/>
  <c r="W532" i="1" s="1"/>
  <c r="U541" i="1"/>
  <c r="V541" i="1" s="1"/>
  <c r="AE541" i="1" s="1"/>
  <c r="S475" i="1"/>
  <c r="Y475" i="1" s="1"/>
  <c r="S543" i="1"/>
  <c r="Y543" i="1" s="1"/>
  <c r="AW543" i="1" s="1"/>
  <c r="S525" i="1"/>
  <c r="Y525" i="1" s="1"/>
  <c r="AW525" i="1" s="1"/>
  <c r="U525" i="1"/>
  <c r="S479" i="1"/>
  <c r="Y479" i="1" s="1"/>
  <c r="S556" i="1"/>
  <c r="Y556" i="1" s="1"/>
  <c r="U556" i="1"/>
  <c r="V556" i="1" s="1"/>
  <c r="U493" i="1"/>
  <c r="V493" i="1" s="1"/>
  <c r="AE493" i="1" s="1"/>
  <c r="X483" i="1"/>
  <c r="AW483" i="1" s="1"/>
  <c r="W483" i="1"/>
  <c r="AE483" i="1"/>
  <c r="AE545" i="1"/>
  <c r="X545" i="1"/>
  <c r="W545" i="1"/>
  <c r="U536" i="1"/>
  <c r="S536" i="1"/>
  <c r="Y536" i="1" s="1"/>
  <c r="AW536" i="1" s="1"/>
  <c r="U498" i="1"/>
  <c r="V498" i="1" s="1"/>
  <c r="S498" i="1"/>
  <c r="Y498" i="1" s="1"/>
  <c r="W475" i="1"/>
  <c r="X475" i="1"/>
  <c r="AE475" i="1"/>
  <c r="AL524" i="1"/>
  <c r="AG524" i="1"/>
  <c r="AF524" i="1"/>
  <c r="U533" i="1"/>
  <c r="S533" i="1"/>
  <c r="Y533" i="1" s="1"/>
  <c r="AW533" i="1" s="1"/>
  <c r="AE484" i="1"/>
  <c r="X484" i="1"/>
  <c r="AW484" i="1" s="1"/>
  <c r="W484" i="1"/>
  <c r="AE500" i="1"/>
  <c r="X500" i="1"/>
  <c r="W500" i="1"/>
  <c r="W479" i="1"/>
  <c r="X479" i="1"/>
  <c r="AE479" i="1"/>
  <c r="X495" i="1"/>
  <c r="W495" i="1"/>
  <c r="AE495" i="1"/>
  <c r="W546" i="1"/>
  <c r="AE546" i="1"/>
  <c r="X546" i="1"/>
  <c r="X507" i="1"/>
  <c r="W507" i="1"/>
  <c r="AE507" i="1"/>
  <c r="W510" i="1"/>
  <c r="AE510" i="1"/>
  <c r="X510" i="1"/>
  <c r="AW510" i="1" s="1"/>
  <c r="U511" i="1"/>
  <c r="V511" i="1" s="1"/>
  <c r="S511" i="1"/>
  <c r="Y511" i="1" s="1"/>
  <c r="X554" i="1"/>
  <c r="W554" i="1"/>
  <c r="AE554" i="1"/>
  <c r="X487" i="1"/>
  <c r="W487" i="1"/>
  <c r="AE487" i="1"/>
  <c r="U521" i="1"/>
  <c r="S521" i="1"/>
  <c r="Y521" i="1" s="1"/>
  <c r="AW521" i="1" s="1"/>
  <c r="AG519" i="1"/>
  <c r="AE531" i="1"/>
  <c r="X531" i="1"/>
  <c r="W531" i="1"/>
  <c r="AE528" i="1"/>
  <c r="X528" i="1"/>
  <c r="W528" i="1"/>
  <c r="AE552" i="1" l="1"/>
  <c r="AF552" i="1" s="1"/>
  <c r="AL519" i="1"/>
  <c r="AL542" i="1"/>
  <c r="W520" i="1"/>
  <c r="AW524" i="1"/>
  <c r="AE520" i="1"/>
  <c r="AG520" i="1" s="1"/>
  <c r="AW495" i="1"/>
  <c r="AG542" i="1"/>
  <c r="AW549" i="1"/>
  <c r="AW500" i="1"/>
  <c r="W481" i="1"/>
  <c r="W550" i="1"/>
  <c r="X505" i="1"/>
  <c r="AW505" i="1" s="1"/>
  <c r="X550" i="1"/>
  <c r="AW550" i="1" s="1"/>
  <c r="W544" i="1"/>
  <c r="AW531" i="1"/>
  <c r="AW542" i="1"/>
  <c r="AE505" i="1"/>
  <c r="AG505" i="1" s="1"/>
  <c r="AW545" i="1"/>
  <c r="X478" i="1"/>
  <c r="AW478" i="1" s="1"/>
  <c r="W478" i="1"/>
  <c r="W552" i="1"/>
  <c r="X541" i="1"/>
  <c r="AW541" i="1" s="1"/>
  <c r="AE515" i="1"/>
  <c r="AG515" i="1" s="1"/>
  <c r="W497" i="1"/>
  <c r="AE481" i="1"/>
  <c r="AF481" i="1" s="1"/>
  <c r="X540" i="1"/>
  <c r="AW540" i="1" s="1"/>
  <c r="AE516" i="1"/>
  <c r="AG516" i="1" s="1"/>
  <c r="X516" i="1"/>
  <c r="AW516" i="1" s="1"/>
  <c r="X477" i="1"/>
  <c r="AW477" i="1" s="1"/>
  <c r="AW513" i="1"/>
  <c r="AF509" i="1"/>
  <c r="AL509" i="1"/>
  <c r="AG509" i="1"/>
  <c r="W541" i="1"/>
  <c r="W476" i="1"/>
  <c r="AE497" i="1"/>
  <c r="AG497" i="1" s="1"/>
  <c r="AW479" i="1"/>
  <c r="AE477" i="1"/>
  <c r="AG477" i="1" s="1"/>
  <c r="AE540" i="1"/>
  <c r="AG540" i="1" s="1"/>
  <c r="W509" i="1"/>
  <c r="X509" i="1"/>
  <c r="AW509" i="1" s="1"/>
  <c r="AE472" i="1"/>
  <c r="AG472" i="1" s="1"/>
  <c r="X486" i="1"/>
  <c r="AW486" i="1" s="1"/>
  <c r="AE486" i="1"/>
  <c r="AL538" i="1"/>
  <c r="AW555" i="1"/>
  <c r="AG538" i="1"/>
  <c r="AW546" i="1"/>
  <c r="AE476" i="1"/>
  <c r="AF476" i="1" s="1"/>
  <c r="W537" i="1"/>
  <c r="AW547" i="1"/>
  <c r="AE544" i="1"/>
  <c r="AL544" i="1" s="1"/>
  <c r="AW506" i="1"/>
  <c r="W515" i="1"/>
  <c r="X472" i="1"/>
  <c r="AW554" i="1"/>
  <c r="AW528" i="1"/>
  <c r="AW475" i="1"/>
  <c r="X532" i="1"/>
  <c r="AW532" i="1" s="1"/>
  <c r="AW507" i="1"/>
  <c r="AE532" i="1"/>
  <c r="AF532" i="1" s="1"/>
  <c r="AW553" i="1"/>
  <c r="AW487" i="1"/>
  <c r="X493" i="1"/>
  <c r="AW493" i="1" s="1"/>
  <c r="AE537" i="1"/>
  <c r="AL537" i="1" s="1"/>
  <c r="AF496" i="1"/>
  <c r="W534" i="1"/>
  <c r="X534" i="1"/>
  <c r="AW534" i="1" s="1"/>
  <c r="AG496" i="1"/>
  <c r="W493" i="1"/>
  <c r="AG494" i="1"/>
  <c r="AF494" i="1"/>
  <c r="AL494" i="1"/>
  <c r="AE539" i="1"/>
  <c r="AL539" i="1" s="1"/>
  <c r="W539" i="1"/>
  <c r="AE556" i="1"/>
  <c r="X556" i="1"/>
  <c r="AW556" i="1" s="1"/>
  <c r="W556" i="1"/>
  <c r="AL495" i="1"/>
  <c r="AG495" i="1"/>
  <c r="AF495" i="1"/>
  <c r="AF541" i="1"/>
  <c r="AL541" i="1"/>
  <c r="AG541" i="1"/>
  <c r="AL475" i="1"/>
  <c r="AG475" i="1"/>
  <c r="AF475" i="1"/>
  <c r="AG478" i="1"/>
  <c r="AF478" i="1"/>
  <c r="AL478" i="1"/>
  <c r="X511" i="1"/>
  <c r="AW511" i="1" s="1"/>
  <c r="W511" i="1"/>
  <c r="AE511" i="1"/>
  <c r="AL550" i="1"/>
  <c r="AG550" i="1"/>
  <c r="AF550" i="1"/>
  <c r="AG545" i="1"/>
  <c r="AF545" i="1"/>
  <c r="AL545" i="1"/>
  <c r="AG531" i="1"/>
  <c r="AF531" i="1"/>
  <c r="AL531" i="1"/>
  <c r="AL554" i="1"/>
  <c r="AG554" i="1"/>
  <c r="AF554" i="1"/>
  <c r="AL493" i="1"/>
  <c r="AF493" i="1"/>
  <c r="AG493" i="1"/>
  <c r="AL546" i="1"/>
  <c r="AG546" i="1"/>
  <c r="AF546" i="1"/>
  <c r="AL479" i="1"/>
  <c r="AG479" i="1"/>
  <c r="AF479" i="1"/>
  <c r="AL484" i="1"/>
  <c r="AG484" i="1"/>
  <c r="AF484" i="1"/>
  <c r="AL507" i="1"/>
  <c r="AG507" i="1"/>
  <c r="AF507" i="1"/>
  <c r="AG528" i="1"/>
  <c r="AF528" i="1"/>
  <c r="AL528" i="1"/>
  <c r="AF487" i="1"/>
  <c r="AL487" i="1"/>
  <c r="AG487" i="1"/>
  <c r="AG500" i="1"/>
  <c r="AL500" i="1"/>
  <c r="AF500" i="1"/>
  <c r="AF534" i="1"/>
  <c r="AL534" i="1"/>
  <c r="AG534" i="1"/>
  <c r="AG552" i="1"/>
  <c r="AL510" i="1"/>
  <c r="AG510" i="1"/>
  <c r="AF510" i="1"/>
  <c r="X498" i="1"/>
  <c r="AW498" i="1" s="1"/>
  <c r="AE498" i="1"/>
  <c r="W498" i="1"/>
  <c r="AG483" i="1"/>
  <c r="AF483" i="1"/>
  <c r="AL483" i="1"/>
  <c r="AL552" i="1" l="1"/>
  <c r="AL520" i="1"/>
  <c r="AF520" i="1"/>
  <c r="D8" i="6"/>
  <c r="E8" i="6"/>
  <c r="F8" i="6" s="1"/>
  <c r="AL505" i="1"/>
  <c r="AG481" i="1"/>
  <c r="AF505" i="1"/>
  <c r="AL481" i="1"/>
  <c r="AL477" i="1"/>
  <c r="AL516" i="1"/>
  <c r="AW472" i="1"/>
  <c r="AF516" i="1"/>
  <c r="AL540" i="1"/>
  <c r="AF540" i="1"/>
  <c r="AL515" i="1"/>
  <c r="AF515" i="1"/>
  <c r="AF537" i="1"/>
  <c r="AF472" i="1"/>
  <c r="AL472" i="1"/>
  <c r="AL476" i="1"/>
  <c r="AF497" i="1"/>
  <c r="AG544" i="1"/>
  <c r="AL497" i="1"/>
  <c r="AF477" i="1"/>
  <c r="AG532" i="1"/>
  <c r="AG486" i="1"/>
  <c r="AL486" i="1"/>
  <c r="AF486" i="1"/>
  <c r="AL532" i="1"/>
  <c r="AF544" i="1"/>
  <c r="AG476" i="1"/>
  <c r="AG537" i="1"/>
  <c r="AF539" i="1"/>
  <c r="AG539" i="1"/>
  <c r="AF556" i="1"/>
  <c r="AL556" i="1"/>
  <c r="AG556" i="1"/>
  <c r="AL498" i="1"/>
  <c r="AG498" i="1"/>
  <c r="AF498" i="1"/>
  <c r="AL511" i="1"/>
  <c r="AG511" i="1"/>
  <c r="AF511" i="1"/>
  <c r="AD471" i="1" l="1"/>
  <c r="R471" i="1"/>
  <c r="P471" i="1"/>
  <c r="AD470" i="1"/>
  <c r="R470" i="1"/>
  <c r="P470" i="1"/>
  <c r="AD469" i="1"/>
  <c r="R469" i="1"/>
  <c r="P469" i="1"/>
  <c r="AD468" i="1"/>
  <c r="R468" i="1"/>
  <c r="P468" i="1"/>
  <c r="AD467" i="1"/>
  <c r="R467" i="1"/>
  <c r="P467" i="1"/>
  <c r="AD466" i="1"/>
  <c r="R466" i="1"/>
  <c r="P466" i="1"/>
  <c r="AD465" i="1"/>
  <c r="R465" i="1"/>
  <c r="P465" i="1"/>
  <c r="AD464" i="1"/>
  <c r="R464" i="1"/>
  <c r="P464" i="1"/>
  <c r="AD463" i="1"/>
  <c r="R463" i="1"/>
  <c r="P463" i="1"/>
  <c r="AD462" i="1"/>
  <c r="R462" i="1"/>
  <c r="P462" i="1"/>
  <c r="AD461" i="1"/>
  <c r="AE461" i="1" s="1"/>
  <c r="X461" i="1"/>
  <c r="W461" i="1"/>
  <c r="R461" i="1"/>
  <c r="P461" i="1"/>
  <c r="AD460" i="1"/>
  <c r="AE460" i="1" s="1"/>
  <c r="X460" i="1"/>
  <c r="W460" i="1"/>
  <c r="R460" i="1"/>
  <c r="P460" i="1"/>
  <c r="AD459" i="1"/>
  <c r="R459" i="1"/>
  <c r="P459" i="1"/>
  <c r="AD458" i="1"/>
  <c r="R458" i="1"/>
  <c r="P458" i="1"/>
  <c r="AD457" i="1"/>
  <c r="R457" i="1"/>
  <c r="P457" i="1"/>
  <c r="AD456" i="1"/>
  <c r="AE456" i="1" s="1"/>
  <c r="X456" i="1"/>
  <c r="W456" i="1"/>
  <c r="R456" i="1"/>
  <c r="P456" i="1"/>
  <c r="AD455" i="1"/>
  <c r="AE455" i="1" s="1"/>
  <c r="X455" i="1"/>
  <c r="W455" i="1"/>
  <c r="R455" i="1"/>
  <c r="P455" i="1"/>
  <c r="AD454" i="1"/>
  <c r="R454" i="1"/>
  <c r="P454" i="1"/>
  <c r="AD453" i="1"/>
  <c r="R453" i="1"/>
  <c r="P453" i="1"/>
  <c r="AD452" i="1"/>
  <c r="R452" i="1"/>
  <c r="P452" i="1"/>
  <c r="AD451" i="1"/>
  <c r="R451" i="1"/>
  <c r="P451" i="1"/>
  <c r="AD450" i="1"/>
  <c r="R450" i="1"/>
  <c r="P450" i="1"/>
  <c r="AD449" i="1"/>
  <c r="R449" i="1"/>
  <c r="P449" i="1"/>
  <c r="T468" i="1" l="1"/>
  <c r="U468" i="1" s="1"/>
  <c r="V468" i="1" s="1"/>
  <c r="T454" i="1"/>
  <c r="U454" i="1" s="1"/>
  <c r="V454" i="1" s="1"/>
  <c r="T456" i="1"/>
  <c r="S456" i="1" s="1"/>
  <c r="Y456" i="1" s="1"/>
  <c r="AW456" i="1" s="1"/>
  <c r="T458" i="1"/>
  <c r="U458" i="1" s="1"/>
  <c r="V458" i="1" s="1"/>
  <c r="T449" i="1"/>
  <c r="U449" i="1" s="1"/>
  <c r="V449" i="1" s="1"/>
  <c r="AE449" i="1" s="1"/>
  <c r="T465" i="1"/>
  <c r="S465" i="1" s="1"/>
  <c r="Y465" i="1" s="1"/>
  <c r="T460" i="1"/>
  <c r="U460" i="1" s="1"/>
  <c r="T459" i="1"/>
  <c r="U459" i="1" s="1"/>
  <c r="V459" i="1" s="1"/>
  <c r="T467" i="1"/>
  <c r="U467" i="1" s="1"/>
  <c r="V467" i="1" s="1"/>
  <c r="AE467" i="1" s="1"/>
  <c r="T462" i="1"/>
  <c r="S462" i="1" s="1"/>
  <c r="Y462" i="1" s="1"/>
  <c r="T461" i="1"/>
  <c r="U461" i="1" s="1"/>
  <c r="T463" i="1"/>
  <c r="U463" i="1" s="1"/>
  <c r="V463" i="1" s="1"/>
  <c r="T471" i="1"/>
  <c r="U471" i="1" s="1"/>
  <c r="V471" i="1" s="1"/>
  <c r="T453" i="1"/>
  <c r="S453" i="1" s="1"/>
  <c r="Y453" i="1" s="1"/>
  <c r="T457" i="1"/>
  <c r="S457" i="1" s="1"/>
  <c r="Y457" i="1" s="1"/>
  <c r="AL456" i="1"/>
  <c r="AG456" i="1"/>
  <c r="AF456" i="1"/>
  <c r="T450" i="1"/>
  <c r="U450" i="1" s="1"/>
  <c r="V450" i="1" s="1"/>
  <c r="T455" i="1"/>
  <c r="U455" i="1" s="1"/>
  <c r="T452" i="1"/>
  <c r="C5" i="6" s="1"/>
  <c r="T470" i="1"/>
  <c r="U470" i="1" s="1"/>
  <c r="V470" i="1" s="1"/>
  <c r="T466" i="1"/>
  <c r="S466" i="1" s="1"/>
  <c r="Y466" i="1" s="1"/>
  <c r="T451" i="1"/>
  <c r="S451" i="1" s="1"/>
  <c r="Y451" i="1" s="1"/>
  <c r="T464" i="1"/>
  <c r="U464" i="1" s="1"/>
  <c r="V464" i="1" s="1"/>
  <c r="T469" i="1"/>
  <c r="U469" i="1" s="1"/>
  <c r="V469" i="1" s="1"/>
  <c r="AL455" i="1"/>
  <c r="AG455" i="1"/>
  <c r="AF455" i="1"/>
  <c r="AL460" i="1"/>
  <c r="AG460" i="1"/>
  <c r="AF460" i="1"/>
  <c r="AL461" i="1"/>
  <c r="AG461" i="1"/>
  <c r="AF461" i="1"/>
  <c r="U462" i="1" l="1"/>
  <c r="V462" i="1" s="1"/>
  <c r="W462" i="1" s="1"/>
  <c r="U456" i="1"/>
  <c r="U452" i="1"/>
  <c r="V452" i="1" s="1"/>
  <c r="AE452" i="1" s="1"/>
  <c r="S468" i="1"/>
  <c r="Y468" i="1" s="1"/>
  <c r="S449" i="1"/>
  <c r="Y449" i="1" s="1"/>
  <c r="S458" i="1"/>
  <c r="Y458" i="1" s="1"/>
  <c r="S454" i="1"/>
  <c r="Y454" i="1" s="1"/>
  <c r="S455" i="1"/>
  <c r="Y455" i="1" s="1"/>
  <c r="AW455" i="1" s="1"/>
  <c r="U465" i="1"/>
  <c r="V465" i="1" s="1"/>
  <c r="W465" i="1" s="1"/>
  <c r="S452" i="1"/>
  <c r="Y452" i="1" s="1"/>
  <c r="X449" i="1"/>
  <c r="W449" i="1"/>
  <c r="S471" i="1"/>
  <c r="Y471" i="1" s="1"/>
  <c r="S470" i="1"/>
  <c r="Y470" i="1" s="1"/>
  <c r="S467" i="1"/>
  <c r="Y467" i="1" s="1"/>
  <c r="W467" i="1"/>
  <c r="S459" i="1"/>
  <c r="Y459" i="1" s="1"/>
  <c r="S460" i="1"/>
  <c r="Y460" i="1" s="1"/>
  <c r="AW460" i="1" s="1"/>
  <c r="X467" i="1"/>
  <c r="U453" i="1"/>
  <c r="V453" i="1" s="1"/>
  <c r="X453" i="1" s="1"/>
  <c r="AW453" i="1" s="1"/>
  <c r="AE463" i="1"/>
  <c r="AG463" i="1" s="1"/>
  <c r="W463" i="1"/>
  <c r="U457" i="1"/>
  <c r="V457" i="1" s="1"/>
  <c r="W457" i="1" s="1"/>
  <c r="S461" i="1"/>
  <c r="Y461" i="1" s="1"/>
  <c r="AW461" i="1" s="1"/>
  <c r="S463" i="1"/>
  <c r="Y463" i="1" s="1"/>
  <c r="S469" i="1"/>
  <c r="Y469" i="1" s="1"/>
  <c r="U451" i="1"/>
  <c r="V451" i="1" s="1"/>
  <c r="W451" i="1" s="1"/>
  <c r="U466" i="1"/>
  <c r="V466" i="1" s="1"/>
  <c r="X466" i="1" s="1"/>
  <c r="AW466" i="1" s="1"/>
  <c r="X463" i="1"/>
  <c r="S450" i="1"/>
  <c r="Y450" i="1" s="1"/>
  <c r="S464" i="1"/>
  <c r="Y464" i="1" s="1"/>
  <c r="AE471" i="1"/>
  <c r="X471" i="1"/>
  <c r="W471" i="1"/>
  <c r="AE459" i="1"/>
  <c r="X459" i="1"/>
  <c r="W459" i="1"/>
  <c r="X458" i="1"/>
  <c r="W458" i="1"/>
  <c r="AE458" i="1"/>
  <c r="X452" i="1"/>
  <c r="X450" i="1"/>
  <c r="W450" i="1"/>
  <c r="AE450" i="1"/>
  <c r="X469" i="1"/>
  <c r="W469" i="1"/>
  <c r="AE469" i="1"/>
  <c r="X468" i="1"/>
  <c r="W468" i="1"/>
  <c r="AE468" i="1"/>
  <c r="AE470" i="1"/>
  <c r="W470" i="1"/>
  <c r="X470" i="1"/>
  <c r="AL467" i="1"/>
  <c r="AG467" i="1"/>
  <c r="AF467" i="1"/>
  <c r="AE454" i="1"/>
  <c r="W454" i="1"/>
  <c r="X454" i="1"/>
  <c r="AG449" i="1"/>
  <c r="AF449" i="1"/>
  <c r="AL449" i="1"/>
  <c r="X462" i="1"/>
  <c r="AW462" i="1" s="1"/>
  <c r="X464" i="1"/>
  <c r="W464" i="1"/>
  <c r="AE464" i="1"/>
  <c r="AE462" i="1" l="1"/>
  <c r="AF462" i="1" s="1"/>
  <c r="AW458" i="1"/>
  <c r="W452" i="1"/>
  <c r="AW454" i="1"/>
  <c r="AL463" i="1"/>
  <c r="W466" i="1"/>
  <c r="X465" i="1"/>
  <c r="AW465" i="1" s="1"/>
  <c r="AW468" i="1"/>
  <c r="AE465" i="1"/>
  <c r="AL465" i="1" s="1"/>
  <c r="AW471" i="1"/>
  <c r="AE466" i="1"/>
  <c r="AF466" i="1" s="1"/>
  <c r="W453" i="1"/>
  <c r="AW469" i="1"/>
  <c r="AW470" i="1"/>
  <c r="AE453" i="1"/>
  <c r="AL453" i="1" s="1"/>
  <c r="AW452" i="1"/>
  <c r="AW450" i="1"/>
  <c r="AW449" i="1"/>
  <c r="AW463" i="1"/>
  <c r="AW459" i="1"/>
  <c r="AF463" i="1"/>
  <c r="AW464" i="1"/>
  <c r="AW467" i="1"/>
  <c r="X457" i="1"/>
  <c r="AW457" i="1" s="1"/>
  <c r="AE451" i="1"/>
  <c r="AL451" i="1" s="1"/>
  <c r="AE457" i="1"/>
  <c r="AL457" i="1" s="1"/>
  <c r="X451" i="1"/>
  <c r="AW451" i="1" s="1"/>
  <c r="AF470" i="1"/>
  <c r="AL470" i="1"/>
  <c r="AG470" i="1"/>
  <c r="AL469" i="1"/>
  <c r="AG469" i="1"/>
  <c r="AF469" i="1"/>
  <c r="AG450" i="1"/>
  <c r="AF450" i="1"/>
  <c r="AL450" i="1"/>
  <c r="AF452" i="1"/>
  <c r="AL452" i="1"/>
  <c r="AG452" i="1"/>
  <c r="AL458" i="1"/>
  <c r="AG458" i="1"/>
  <c r="AF458" i="1"/>
  <c r="AL454" i="1"/>
  <c r="AG454" i="1"/>
  <c r="AF454" i="1"/>
  <c r="AF459" i="1"/>
  <c r="AL459" i="1"/>
  <c r="AG459" i="1"/>
  <c r="AL464" i="1"/>
  <c r="AG464" i="1"/>
  <c r="AF464" i="1"/>
  <c r="AL468" i="1"/>
  <c r="AG468" i="1"/>
  <c r="AF468" i="1"/>
  <c r="AL471" i="1"/>
  <c r="AG471" i="1"/>
  <c r="AF471" i="1"/>
  <c r="E5" i="6" l="1"/>
  <c r="F5" i="6" s="1"/>
  <c r="AG462" i="1"/>
  <c r="AL462" i="1"/>
  <c r="AF453" i="1"/>
  <c r="AF465" i="1"/>
  <c r="AG465" i="1"/>
  <c r="AG466" i="1"/>
  <c r="D5" i="6"/>
  <c r="AL466" i="1"/>
  <c r="AG453" i="1"/>
  <c r="AG457" i="1"/>
  <c r="AF451" i="1"/>
  <c r="AF457" i="1"/>
  <c r="AG451" i="1"/>
  <c r="AD448" i="1"/>
  <c r="R448" i="1"/>
  <c r="P448" i="1"/>
  <c r="AD447" i="1"/>
  <c r="R447" i="1"/>
  <c r="P447" i="1"/>
  <c r="AD446" i="1"/>
  <c r="R446" i="1"/>
  <c r="P446" i="1"/>
  <c r="AD445" i="1"/>
  <c r="R445" i="1"/>
  <c r="P445" i="1"/>
  <c r="AD444" i="1"/>
  <c r="R444" i="1"/>
  <c r="P444" i="1"/>
  <c r="AD443" i="1"/>
  <c r="R443" i="1"/>
  <c r="P443" i="1"/>
  <c r="AD442" i="1"/>
  <c r="AE442" i="1" s="1"/>
  <c r="AG442" i="1" s="1"/>
  <c r="X442" i="1"/>
  <c r="W442" i="1"/>
  <c r="R442" i="1"/>
  <c r="P442" i="1"/>
  <c r="AD441" i="1"/>
  <c r="R441" i="1"/>
  <c r="P441" i="1"/>
  <c r="AD440" i="1"/>
  <c r="R440" i="1"/>
  <c r="P440" i="1"/>
  <c r="AD439" i="1"/>
  <c r="R439" i="1"/>
  <c r="P439" i="1"/>
  <c r="AD438" i="1"/>
  <c r="R438" i="1"/>
  <c r="P438" i="1"/>
  <c r="AD437" i="1"/>
  <c r="R437" i="1"/>
  <c r="P437" i="1"/>
  <c r="AD436" i="1"/>
  <c r="R436" i="1"/>
  <c r="P436" i="1"/>
  <c r="AD435" i="1"/>
  <c r="R435" i="1"/>
  <c r="P435" i="1"/>
  <c r="AD434" i="1"/>
  <c r="AE434" i="1" s="1"/>
  <c r="X434" i="1"/>
  <c r="W434" i="1"/>
  <c r="R434" i="1"/>
  <c r="P434" i="1"/>
  <c r="AD433" i="1"/>
  <c r="R433" i="1"/>
  <c r="P433" i="1"/>
  <c r="T447" i="1" l="1"/>
  <c r="U447" i="1" s="1"/>
  <c r="V447" i="1" s="1"/>
  <c r="T434" i="1"/>
  <c r="U434" i="1" s="1"/>
  <c r="T436" i="1"/>
  <c r="S436" i="1" s="1"/>
  <c r="Y436" i="1" s="1"/>
  <c r="T448" i="1"/>
  <c r="S448" i="1" s="1"/>
  <c r="Y448" i="1" s="1"/>
  <c r="T439" i="1"/>
  <c r="S439" i="1" s="1"/>
  <c r="Y439" i="1" s="1"/>
  <c r="T442" i="1"/>
  <c r="S442" i="1" s="1"/>
  <c r="Y442" i="1" s="1"/>
  <c r="AW442" i="1" s="1"/>
  <c r="T445" i="1"/>
  <c r="S445" i="1" s="1"/>
  <c r="Y445" i="1" s="1"/>
  <c r="T433" i="1"/>
  <c r="T435" i="1"/>
  <c r="S435" i="1" s="1"/>
  <c r="Y435" i="1" s="1"/>
  <c r="T440" i="1"/>
  <c r="U440" i="1" s="1"/>
  <c r="V440" i="1" s="1"/>
  <c r="T444" i="1"/>
  <c r="U444" i="1" s="1"/>
  <c r="V444" i="1" s="1"/>
  <c r="T438" i="1"/>
  <c r="S438" i="1" s="1"/>
  <c r="Y438" i="1" s="1"/>
  <c r="T437" i="1"/>
  <c r="S437" i="1" s="1"/>
  <c r="Y437" i="1" s="1"/>
  <c r="T441" i="1"/>
  <c r="S441" i="1" s="1"/>
  <c r="Y441" i="1" s="1"/>
  <c r="T443" i="1"/>
  <c r="S443" i="1" s="1"/>
  <c r="Y443" i="1" s="1"/>
  <c r="T446" i="1"/>
  <c r="U446" i="1" s="1"/>
  <c r="V446" i="1" s="1"/>
  <c r="S447" i="1"/>
  <c r="Y447" i="1" s="1"/>
  <c r="S434" i="1"/>
  <c r="Y434" i="1" s="1"/>
  <c r="AW434" i="1" s="1"/>
  <c r="U448" i="1"/>
  <c r="V448" i="1" s="1"/>
  <c r="AL434" i="1"/>
  <c r="AG434" i="1"/>
  <c r="AF434" i="1"/>
  <c r="AF442" i="1"/>
  <c r="AL442" i="1"/>
  <c r="U436" i="1" l="1"/>
  <c r="V436" i="1" s="1"/>
  <c r="W436" i="1" s="1"/>
  <c r="U435" i="1"/>
  <c r="V435" i="1" s="1"/>
  <c r="AE435" i="1" s="1"/>
  <c r="S444" i="1"/>
  <c r="Y444" i="1" s="1"/>
  <c r="U442" i="1"/>
  <c r="S433" i="1"/>
  <c r="Y433" i="1" s="1"/>
  <c r="C2" i="6"/>
  <c r="U443" i="1"/>
  <c r="V443" i="1" s="1"/>
  <c r="AE443" i="1" s="1"/>
  <c r="U433" i="1"/>
  <c r="V433" i="1" s="1"/>
  <c r="AE433" i="1" s="1"/>
  <c r="U441" i="1"/>
  <c r="V441" i="1" s="1"/>
  <c r="X441" i="1" s="1"/>
  <c r="AW441" i="1" s="1"/>
  <c r="U439" i="1"/>
  <c r="V439" i="1" s="1"/>
  <c r="X439" i="1" s="1"/>
  <c r="AW439" i="1" s="1"/>
  <c r="U437" i="1"/>
  <c r="V437" i="1" s="1"/>
  <c r="AE437" i="1" s="1"/>
  <c r="U438" i="1"/>
  <c r="V438" i="1" s="1"/>
  <c r="X438" i="1" s="1"/>
  <c r="AW438" i="1" s="1"/>
  <c r="S440" i="1"/>
  <c r="Y440" i="1" s="1"/>
  <c r="U445" i="1"/>
  <c r="V445" i="1" s="1"/>
  <c r="X445" i="1" s="1"/>
  <c r="AW445" i="1" s="1"/>
  <c r="S446" i="1"/>
  <c r="Y446" i="1" s="1"/>
  <c r="X436" i="1"/>
  <c r="AW436" i="1" s="1"/>
  <c r="X446" i="1"/>
  <c r="W446" i="1"/>
  <c r="AE446" i="1"/>
  <c r="AE444" i="1"/>
  <c r="X444" i="1"/>
  <c r="W444" i="1"/>
  <c r="X440" i="1"/>
  <c r="AE440" i="1"/>
  <c r="W440" i="1"/>
  <c r="AE447" i="1"/>
  <c r="W447" i="1"/>
  <c r="X447" i="1"/>
  <c r="AW447" i="1" s="1"/>
  <c r="AE448" i="1"/>
  <c r="X448" i="1"/>
  <c r="AW448" i="1" s="1"/>
  <c r="W448" i="1"/>
  <c r="AE436" i="1" l="1"/>
  <c r="AE439" i="1"/>
  <c r="AL439" i="1" s="1"/>
  <c r="W435" i="1"/>
  <c r="AW444" i="1"/>
  <c r="X435" i="1"/>
  <c r="AW435" i="1" s="1"/>
  <c r="W439" i="1"/>
  <c r="X437" i="1"/>
  <c r="AW437" i="1" s="1"/>
  <c r="X443" i="1"/>
  <c r="AW443" i="1" s="1"/>
  <c r="W443" i="1"/>
  <c r="AW440" i="1"/>
  <c r="AE441" i="1"/>
  <c r="AL441" i="1" s="1"/>
  <c r="AW446" i="1"/>
  <c r="W437" i="1"/>
  <c r="W433" i="1"/>
  <c r="X433" i="1"/>
  <c r="D2" i="6" s="1"/>
  <c r="W441" i="1"/>
  <c r="W445" i="1"/>
  <c r="AE445" i="1"/>
  <c r="AF445" i="1" s="1"/>
  <c r="AE438" i="1"/>
  <c r="AG438" i="1" s="1"/>
  <c r="W438" i="1"/>
  <c r="E2" i="6" s="1"/>
  <c r="F2" i="6" s="1"/>
  <c r="AL444" i="1"/>
  <c r="AG444" i="1"/>
  <c r="AF444" i="1"/>
  <c r="AG436" i="1"/>
  <c r="AF436" i="1"/>
  <c r="AL436" i="1"/>
  <c r="AL433" i="1"/>
  <c r="AG433" i="1"/>
  <c r="AF433" i="1"/>
  <c r="AG446" i="1"/>
  <c r="AL446" i="1"/>
  <c r="AF446" i="1"/>
  <c r="AF435" i="1"/>
  <c r="AL435" i="1"/>
  <c r="AG435" i="1"/>
  <c r="AL448" i="1"/>
  <c r="AG448" i="1"/>
  <c r="AF448" i="1"/>
  <c r="AL437" i="1"/>
  <c r="AG437" i="1"/>
  <c r="AF437" i="1"/>
  <c r="AF443" i="1"/>
  <c r="AL443" i="1"/>
  <c r="AG443" i="1"/>
  <c r="AG440" i="1"/>
  <c r="AF440" i="1"/>
  <c r="AL440" i="1"/>
  <c r="AF447" i="1"/>
  <c r="AL447" i="1"/>
  <c r="AG447" i="1"/>
  <c r="AF439" i="1" l="1"/>
  <c r="AG439" i="1"/>
  <c r="AL445" i="1"/>
  <c r="AF441" i="1"/>
  <c r="AG441" i="1"/>
  <c r="AW433" i="1"/>
  <c r="AF438" i="1"/>
  <c r="AG445" i="1"/>
  <c r="AL438" i="1"/>
  <c r="AD432" i="1"/>
  <c r="AE432" i="1" s="1"/>
  <c r="X432" i="1"/>
  <c r="W432" i="1"/>
  <c r="R432" i="1"/>
  <c r="P432" i="1"/>
  <c r="AD431" i="1"/>
  <c r="AE431" i="1" s="1"/>
  <c r="X431" i="1"/>
  <c r="W431" i="1"/>
  <c r="R431" i="1"/>
  <c r="P431" i="1"/>
  <c r="AD430" i="1"/>
  <c r="AE430" i="1" s="1"/>
  <c r="X430" i="1"/>
  <c r="W430" i="1"/>
  <c r="R430" i="1"/>
  <c r="P430" i="1"/>
  <c r="AD429" i="1"/>
  <c r="AE429" i="1" s="1"/>
  <c r="AG429" i="1" s="1"/>
  <c r="X429" i="1"/>
  <c r="W429" i="1"/>
  <c r="R429" i="1"/>
  <c r="P429" i="1"/>
  <c r="AD428" i="1"/>
  <c r="AE428" i="1" s="1"/>
  <c r="AL428" i="1" s="1"/>
  <c r="X428" i="1"/>
  <c r="W428" i="1"/>
  <c r="R428" i="1"/>
  <c r="P428" i="1"/>
  <c r="AD427" i="1"/>
  <c r="AE427" i="1" s="1"/>
  <c r="X427" i="1"/>
  <c r="W427" i="1"/>
  <c r="R427" i="1"/>
  <c r="P427" i="1"/>
  <c r="AD426" i="1"/>
  <c r="AE426" i="1" s="1"/>
  <c r="X426" i="1"/>
  <c r="W426" i="1"/>
  <c r="R426" i="1"/>
  <c r="P426" i="1"/>
  <c r="AD425" i="1"/>
  <c r="AE425" i="1" s="1"/>
  <c r="X425" i="1"/>
  <c r="W425" i="1"/>
  <c r="R425" i="1"/>
  <c r="P425" i="1"/>
  <c r="AD424" i="1"/>
  <c r="AE424" i="1" s="1"/>
  <c r="X424" i="1"/>
  <c r="W424" i="1"/>
  <c r="E4" i="6" s="1"/>
  <c r="R424" i="1"/>
  <c r="P424" i="1"/>
  <c r="D4" i="6" l="1"/>
  <c r="T424" i="1"/>
  <c r="T432" i="1"/>
  <c r="U432" i="1" s="1"/>
  <c r="T431" i="1"/>
  <c r="S431" i="1" s="1"/>
  <c r="Y431" i="1" s="1"/>
  <c r="AW431" i="1" s="1"/>
  <c r="T426" i="1"/>
  <c r="T428" i="1"/>
  <c r="S428" i="1" s="1"/>
  <c r="Y428" i="1" s="1"/>
  <c r="AW428" i="1" s="1"/>
  <c r="AF427" i="1"/>
  <c r="AG427" i="1"/>
  <c r="T425" i="1"/>
  <c r="U425" i="1" s="1"/>
  <c r="T427" i="1"/>
  <c r="S427" i="1" s="1"/>
  <c r="Y427" i="1" s="1"/>
  <c r="AW427" i="1" s="1"/>
  <c r="T429" i="1"/>
  <c r="U429" i="1" s="1"/>
  <c r="AL427" i="1"/>
  <c r="T430" i="1"/>
  <c r="U430" i="1" s="1"/>
  <c r="AL424" i="1"/>
  <c r="AF424" i="1"/>
  <c r="AG424" i="1"/>
  <c r="AL432" i="1"/>
  <c r="AG432" i="1"/>
  <c r="AF432" i="1"/>
  <c r="AL431" i="1"/>
  <c r="AF431" i="1"/>
  <c r="AG431" i="1"/>
  <c r="AF426" i="1"/>
  <c r="AL426" i="1"/>
  <c r="AG426" i="1"/>
  <c r="AG430" i="1"/>
  <c r="AF430" i="1"/>
  <c r="AL430" i="1"/>
  <c r="AL425" i="1"/>
  <c r="AG425" i="1"/>
  <c r="AF425" i="1"/>
  <c r="AF428" i="1"/>
  <c r="AL429" i="1"/>
  <c r="AG428" i="1"/>
  <c r="AF429" i="1"/>
  <c r="C4" i="6" l="1"/>
  <c r="F4" i="6" s="1"/>
  <c r="C6" i="6"/>
  <c r="F6" i="6" s="1"/>
  <c r="U424" i="1"/>
  <c r="U431" i="1"/>
  <c r="S432" i="1"/>
  <c r="Y432" i="1" s="1"/>
  <c r="AW432" i="1" s="1"/>
  <c r="S424" i="1"/>
  <c r="Y424" i="1" s="1"/>
  <c r="AW424" i="1" s="1"/>
  <c r="S429" i="1"/>
  <c r="Y429" i="1" s="1"/>
  <c r="AW429" i="1" s="1"/>
  <c r="S426" i="1"/>
  <c r="Y426" i="1" s="1"/>
  <c r="AW426" i="1" s="1"/>
  <c r="U426" i="1"/>
  <c r="U428" i="1"/>
  <c r="S425" i="1"/>
  <c r="Y425" i="1" s="1"/>
  <c r="AW425" i="1" s="1"/>
  <c r="U427" i="1"/>
  <c r="S430" i="1"/>
  <c r="Y430" i="1" s="1"/>
  <c r="AW430" i="1" s="1"/>
  <c r="AW410" i="1" l="1"/>
  <c r="AW381" i="1"/>
  <c r="AW416" i="1"/>
  <c r="AW371" i="1"/>
  <c r="AW336" i="1"/>
  <c r="AW367" i="1"/>
  <c r="AW407" i="1"/>
  <c r="AW335" i="1"/>
  <c r="AW360" i="1"/>
  <c r="AW377" i="1"/>
  <c r="AW345" i="1"/>
  <c r="AW391" i="1"/>
  <c r="AW384" i="1"/>
  <c r="AW352" i="1"/>
  <c r="AW338" i="1"/>
  <c r="AW332" i="1"/>
  <c r="AW397" i="1"/>
  <c r="AW369" i="1"/>
  <c r="AW403" i="1"/>
  <c r="AW399" i="1"/>
  <c r="AW406" i="1"/>
  <c r="AW394" i="1"/>
  <c r="AW404" i="1"/>
  <c r="AW373" i="1"/>
  <c r="AW408" i="1"/>
  <c r="AW365" i="1"/>
  <c r="AW383" i="1"/>
  <c r="AW333" i="1"/>
  <c r="AW392" i="1"/>
  <c r="AW355" i="1"/>
  <c r="AW357" i="1"/>
  <c r="AW356" i="1"/>
  <c r="AW382" i="1"/>
  <c r="AW387" i="1"/>
  <c r="AW386" i="1"/>
  <c r="AW366" i="1"/>
  <c r="AW414" i="1"/>
  <c r="AW412" i="1"/>
  <c r="AW400" i="1"/>
  <c r="AW368" i="1"/>
  <c r="AW364" i="1"/>
  <c r="AW401" i="1"/>
  <c r="AW413" i="1"/>
  <c r="AW405" i="1"/>
  <c r="AW346" i="1"/>
  <c r="AW380" i="1"/>
  <c r="AW354" i="1"/>
  <c r="AW393" i="1" l="1"/>
  <c r="AW389" i="1"/>
  <c r="AW350" i="1"/>
  <c r="AW358" i="1"/>
  <c r="AW349" i="1"/>
  <c r="AW388" i="1"/>
  <c r="AW362" i="1"/>
  <c r="AW363" i="1"/>
  <c r="AW376" i="1"/>
  <c r="AW359" i="1"/>
  <c r="AW402" i="1"/>
  <c r="AW409" i="1"/>
  <c r="AW351" i="1"/>
  <c r="AW378" i="1"/>
  <c r="AW370" i="1"/>
  <c r="AW415" i="1"/>
  <c r="AW396" i="1"/>
  <c r="AW375" i="1"/>
  <c r="AW331" i="1"/>
  <c r="AW390" i="1"/>
  <c r="AW337" i="1"/>
  <c r="AW372" i="1"/>
  <c r="AW334" i="1"/>
  <c r="AW347" i="1"/>
  <c r="AW341" i="1"/>
  <c r="AW374" i="1"/>
  <c r="AW342" i="1"/>
  <c r="AW379" i="1"/>
  <c r="AW398" i="1"/>
  <c r="AW411" i="1"/>
  <c r="AW353" i="1"/>
  <c r="AW385" i="1"/>
  <c r="AW343" i="1"/>
  <c r="AW395" i="1"/>
  <c r="AW339" i="1"/>
  <c r="AW344" i="1"/>
  <c r="AW361" i="1"/>
  <c r="AW340" i="1"/>
  <c r="AW348" i="1"/>
  <c r="AW326" i="1" l="1"/>
  <c r="AW328" i="1"/>
  <c r="AW323" i="1"/>
  <c r="AW324" i="1"/>
  <c r="AW327" i="1"/>
  <c r="AW319" i="1"/>
  <c r="AW329" i="1" l="1"/>
  <c r="AW320" i="1"/>
  <c r="AW330" i="1"/>
  <c r="AW325" i="1"/>
  <c r="AW322" i="1"/>
  <c r="AW321" i="1"/>
  <c r="AW317" i="1" l="1"/>
  <c r="AW314" i="1"/>
  <c r="AW294" i="1"/>
  <c r="AW288" i="1"/>
  <c r="AW309" i="1"/>
  <c r="AW318" i="1"/>
  <c r="AW293" i="1"/>
  <c r="AW301" i="1"/>
  <c r="AW311" i="1" l="1"/>
  <c r="AW299" i="1"/>
  <c r="AW287" i="1"/>
  <c r="AW310" i="1"/>
  <c r="AW290" i="1"/>
  <c r="AW300" i="1"/>
  <c r="AW316" i="1"/>
  <c r="AW281" i="1"/>
  <c r="AW308" i="1"/>
  <c r="AW284" i="1"/>
  <c r="AW291" i="1"/>
  <c r="AW285" i="1"/>
  <c r="AW280" i="1"/>
  <c r="AW296" i="1"/>
  <c r="AW297" i="1"/>
  <c r="AW283" i="1"/>
  <c r="AW303" i="1"/>
  <c r="AW312" i="1"/>
  <c r="AW282" i="1" l="1"/>
  <c r="AW292" i="1"/>
  <c r="AW306" i="1"/>
  <c r="AW302" i="1"/>
  <c r="AW315" i="1"/>
  <c r="AW295" i="1"/>
  <c r="AW307" i="1"/>
  <c r="AW289" i="1"/>
  <c r="AW279" i="1"/>
  <c r="AW313" i="1"/>
  <c r="AW286" i="1"/>
  <c r="AW278" i="1"/>
  <c r="AW298" i="1"/>
  <c r="AW305" i="1"/>
  <c r="AW304" i="1"/>
  <c r="AW275" i="1" l="1"/>
  <c r="AW273" i="1"/>
  <c r="AW272" i="1"/>
  <c r="AW277" i="1"/>
  <c r="AW276" i="1" l="1"/>
  <c r="AW274" i="1" l="1"/>
  <c r="AD271" i="1" l="1"/>
  <c r="R271" i="1"/>
  <c r="P271" i="1"/>
  <c r="AD270" i="1"/>
  <c r="R270" i="1"/>
  <c r="P270" i="1"/>
  <c r="AD269" i="1"/>
  <c r="R269" i="1"/>
  <c r="P269" i="1"/>
  <c r="AD268" i="1"/>
  <c r="R268" i="1"/>
  <c r="P268" i="1"/>
  <c r="AD267" i="1"/>
  <c r="R267" i="1"/>
  <c r="P267" i="1"/>
  <c r="AD266" i="1"/>
  <c r="R266" i="1"/>
  <c r="P266" i="1"/>
  <c r="AD265" i="1"/>
  <c r="R265" i="1"/>
  <c r="P265" i="1"/>
  <c r="AD264" i="1"/>
  <c r="R264" i="1"/>
  <c r="P264" i="1"/>
  <c r="AD263" i="1"/>
  <c r="R263" i="1"/>
  <c r="P263" i="1"/>
  <c r="AD262" i="1"/>
  <c r="R262" i="1"/>
  <c r="P262" i="1"/>
  <c r="AD261" i="1"/>
  <c r="R261" i="1"/>
  <c r="P261" i="1"/>
  <c r="AD260" i="1"/>
  <c r="R260" i="1"/>
  <c r="P260" i="1"/>
  <c r="AD259" i="1"/>
  <c r="R259" i="1"/>
  <c r="P259" i="1"/>
  <c r="AD258" i="1"/>
  <c r="R258" i="1"/>
  <c r="P258" i="1"/>
  <c r="AD257" i="1"/>
  <c r="R257" i="1"/>
  <c r="P257" i="1"/>
  <c r="T262" i="1" l="1"/>
  <c r="S262" i="1" s="1"/>
  <c r="Y262" i="1" s="1"/>
  <c r="T265" i="1"/>
  <c r="U265" i="1" s="1"/>
  <c r="V265" i="1" s="1"/>
  <c r="X265" i="1" s="1"/>
  <c r="T263" i="1"/>
  <c r="U263" i="1" s="1"/>
  <c r="V263" i="1" s="1"/>
  <c r="X263" i="1" s="1"/>
  <c r="T271" i="1"/>
  <c r="S271" i="1" s="1"/>
  <c r="Y271" i="1" s="1"/>
  <c r="T259" i="1"/>
  <c r="U259" i="1" s="1"/>
  <c r="V259" i="1" s="1"/>
  <c r="W259" i="1" s="1"/>
  <c r="T270" i="1"/>
  <c r="S270" i="1" s="1"/>
  <c r="Y270" i="1" s="1"/>
  <c r="T258" i="1"/>
  <c r="T267" i="1"/>
  <c r="U267" i="1" s="1"/>
  <c r="V267" i="1" s="1"/>
  <c r="W267" i="1" s="1"/>
  <c r="T257" i="1"/>
  <c r="U257" i="1" s="1"/>
  <c r="V257" i="1" s="1"/>
  <c r="X257" i="1" s="1"/>
  <c r="T261" i="1"/>
  <c r="U261" i="1" s="1"/>
  <c r="V261" i="1" s="1"/>
  <c r="X261" i="1" s="1"/>
  <c r="T260" i="1"/>
  <c r="U260" i="1" s="1"/>
  <c r="V260" i="1" s="1"/>
  <c r="T268" i="1"/>
  <c r="U268" i="1" s="1"/>
  <c r="V268" i="1" s="1"/>
  <c r="T269" i="1"/>
  <c r="U269" i="1" s="1"/>
  <c r="V269" i="1" s="1"/>
  <c r="X269" i="1" s="1"/>
  <c r="U271" i="1"/>
  <c r="V271" i="1" s="1"/>
  <c r="AE271" i="1" s="1"/>
  <c r="T266" i="1"/>
  <c r="S266" i="1" s="1"/>
  <c r="Y266" i="1" s="1"/>
  <c r="T264" i="1"/>
  <c r="U264" i="1" s="1"/>
  <c r="V264" i="1" s="1"/>
  <c r="S265" i="1" l="1"/>
  <c r="Y265" i="1" s="1"/>
  <c r="AW265" i="1" s="1"/>
  <c r="C3" i="6"/>
  <c r="AE263" i="1"/>
  <c r="AL263" i="1" s="1"/>
  <c r="U262" i="1"/>
  <c r="V262" i="1" s="1"/>
  <c r="X262" i="1" s="1"/>
  <c r="AW262" i="1" s="1"/>
  <c r="S259" i="1"/>
  <c r="Y259" i="1" s="1"/>
  <c r="X259" i="1"/>
  <c r="AE259" i="1"/>
  <c r="AG259" i="1" s="1"/>
  <c r="W263" i="1"/>
  <c r="S269" i="1"/>
  <c r="Y269" i="1" s="1"/>
  <c r="AW269" i="1" s="1"/>
  <c r="U258" i="1"/>
  <c r="V258" i="1" s="1"/>
  <c r="AE258" i="1" s="1"/>
  <c r="S258" i="1"/>
  <c r="Y258" i="1" s="1"/>
  <c r="AE265" i="1"/>
  <c r="AG265" i="1" s="1"/>
  <c r="W265" i="1"/>
  <c r="AE269" i="1"/>
  <c r="AL269" i="1" s="1"/>
  <c r="W269" i="1"/>
  <c r="S263" i="1"/>
  <c r="Y263" i="1" s="1"/>
  <c r="AW263" i="1" s="1"/>
  <c r="X271" i="1"/>
  <c r="AW271" i="1" s="1"/>
  <c r="W257" i="1"/>
  <c r="W271" i="1"/>
  <c r="AE261" i="1"/>
  <c r="AL261" i="1" s="1"/>
  <c r="W261" i="1"/>
  <c r="AE257" i="1"/>
  <c r="AF257" i="1" s="1"/>
  <c r="S261" i="1"/>
  <c r="Y261" i="1" s="1"/>
  <c r="AW261" i="1" s="1"/>
  <c r="S268" i="1"/>
  <c r="Y268" i="1" s="1"/>
  <c r="S267" i="1"/>
  <c r="Y267" i="1" s="1"/>
  <c r="S260" i="1"/>
  <c r="Y260" i="1" s="1"/>
  <c r="U266" i="1"/>
  <c r="V266" i="1" s="1"/>
  <c r="X266" i="1" s="1"/>
  <c r="AW266" i="1" s="1"/>
  <c r="U270" i="1"/>
  <c r="V270" i="1" s="1"/>
  <c r="AE270" i="1" s="1"/>
  <c r="S257" i="1"/>
  <c r="Y257" i="1" s="1"/>
  <c r="AW257" i="1" s="1"/>
  <c r="S264" i="1"/>
  <c r="Y264" i="1" s="1"/>
  <c r="X267" i="1"/>
  <c r="AE267" i="1"/>
  <c r="AG267" i="1" s="1"/>
  <c r="AL271" i="1"/>
  <c r="AG271" i="1"/>
  <c r="AF271" i="1"/>
  <c r="X268" i="1"/>
  <c r="W268" i="1"/>
  <c r="AE268" i="1"/>
  <c r="X260" i="1"/>
  <c r="W260" i="1"/>
  <c r="AE260" i="1"/>
  <c r="AG269" i="1"/>
  <c r="X264" i="1"/>
  <c r="W264" i="1"/>
  <c r="AE264" i="1"/>
  <c r="AF269" i="1" l="1"/>
  <c r="AF263" i="1"/>
  <c r="AG263" i="1"/>
  <c r="AE262" i="1"/>
  <c r="AF262" i="1" s="1"/>
  <c r="X270" i="1"/>
  <c r="AW270" i="1" s="1"/>
  <c r="AF259" i="1"/>
  <c r="W262" i="1"/>
  <c r="W258" i="1"/>
  <c r="AW259" i="1"/>
  <c r="X258" i="1"/>
  <c r="D3" i="6" s="1"/>
  <c r="AF261" i="1"/>
  <c r="AG261" i="1"/>
  <c r="AL259" i="1"/>
  <c r="W270" i="1"/>
  <c r="AG257" i="1"/>
  <c r="AL257" i="1"/>
  <c r="W266" i="1"/>
  <c r="AL265" i="1"/>
  <c r="AE266" i="1"/>
  <c r="AG266" i="1" s="1"/>
  <c r="AF265" i="1"/>
  <c r="AW267" i="1"/>
  <c r="AW260" i="1"/>
  <c r="AW268" i="1"/>
  <c r="AW264" i="1"/>
  <c r="AL267" i="1"/>
  <c r="AF267" i="1"/>
  <c r="AG268" i="1"/>
  <c r="AF268" i="1"/>
  <c r="AL268" i="1"/>
  <c r="AF260" i="1"/>
  <c r="AL260" i="1"/>
  <c r="AG260" i="1"/>
  <c r="AF270" i="1"/>
  <c r="AL270" i="1"/>
  <c r="AG270" i="1"/>
  <c r="AL264" i="1"/>
  <c r="AG264" i="1"/>
  <c r="AF264" i="1"/>
  <c r="AL258" i="1"/>
  <c r="AG258" i="1"/>
  <c r="AF258" i="1"/>
  <c r="E3" i="6" l="1"/>
  <c r="F3" i="6" s="1"/>
  <c r="AW258" i="1"/>
  <c r="AG262" i="1"/>
  <c r="AL262" i="1"/>
  <c r="AL266" i="1"/>
  <c r="AF266" i="1"/>
  <c r="V230" i="1"/>
  <c r="W230" i="1" l="1"/>
  <c r="X230" i="1"/>
  <c r="AE1109" i="2"/>
  <c r="Z1109" i="2"/>
  <c r="S1109" i="2"/>
  <c r="Q1109" i="2"/>
  <c r="U1109" i="2" s="1"/>
  <c r="AE1108" i="2"/>
  <c r="Z1108" i="2"/>
  <c r="S1108" i="2"/>
  <c r="Q1108" i="2"/>
  <c r="U1108" i="2" s="1"/>
  <c r="T1108" i="2" s="1"/>
  <c r="AE1107" i="2"/>
  <c r="Z1107" i="2"/>
  <c r="S1107" i="2"/>
  <c r="Q1107" i="2"/>
  <c r="U1107" i="2" s="1"/>
  <c r="V1107" i="2" s="1"/>
  <c r="W1107" i="2" s="1"/>
  <c r="AF1107" i="2" s="1"/>
  <c r="AE1106" i="2"/>
  <c r="Z1106" i="2"/>
  <c r="S1106" i="2"/>
  <c r="Q1106" i="2"/>
  <c r="U1106" i="2" s="1"/>
  <c r="AE1105" i="2"/>
  <c r="Z1105" i="2"/>
  <c r="S1105" i="2"/>
  <c r="Q1105" i="2"/>
  <c r="U1105" i="2" s="1"/>
  <c r="AE1104" i="2"/>
  <c r="Z1104" i="2"/>
  <c r="S1104" i="2"/>
  <c r="Q1104" i="2"/>
  <c r="U1104" i="2" s="1"/>
  <c r="T1104" i="2" s="1"/>
  <c r="AE1103" i="2"/>
  <c r="Z1103" i="2"/>
  <c r="S1103" i="2"/>
  <c r="Q1103" i="2"/>
  <c r="U1103" i="2" s="1"/>
  <c r="V1103" i="2" s="1"/>
  <c r="W1103" i="2" s="1"/>
  <c r="AE1102" i="2"/>
  <c r="Z1102" i="2"/>
  <c r="S1102" i="2"/>
  <c r="Q1102" i="2"/>
  <c r="U1102" i="2" s="1"/>
  <c r="AE1101" i="2"/>
  <c r="Z1101" i="2"/>
  <c r="S1101" i="2"/>
  <c r="Q1101" i="2"/>
  <c r="U1101" i="2" s="1"/>
  <c r="AE1100" i="2"/>
  <c r="Z1100" i="2"/>
  <c r="S1100" i="2"/>
  <c r="Q1100" i="2"/>
  <c r="AE1099" i="2"/>
  <c r="Z1099" i="2"/>
  <c r="S1099" i="2"/>
  <c r="Q1099" i="2"/>
  <c r="U1099" i="2" s="1"/>
  <c r="V1099" i="2" s="1"/>
  <c r="W1099" i="2" s="1"/>
  <c r="AF1099" i="2" s="1"/>
  <c r="AE1098" i="2"/>
  <c r="Z1098" i="2"/>
  <c r="S1098" i="2"/>
  <c r="Q1098" i="2"/>
  <c r="U1098" i="2" s="1"/>
  <c r="AE1097" i="2"/>
  <c r="Z1097" i="2"/>
  <c r="S1097" i="2"/>
  <c r="Q1097" i="2"/>
  <c r="U1097" i="2" s="1"/>
  <c r="AE1096" i="2"/>
  <c r="Z1096" i="2"/>
  <c r="S1096" i="2"/>
  <c r="Q1096" i="2"/>
  <c r="AE1095" i="2"/>
  <c r="Z1095" i="2"/>
  <c r="S1095" i="2"/>
  <c r="Q1095" i="2"/>
  <c r="AE1094" i="2"/>
  <c r="Z1094" i="2"/>
  <c r="S1094" i="2"/>
  <c r="Q1094" i="2"/>
  <c r="AE1093" i="2"/>
  <c r="Z1093" i="2"/>
  <c r="S1093" i="2"/>
  <c r="Q1093" i="2"/>
  <c r="AE1092" i="2"/>
  <c r="Z1092" i="2"/>
  <c r="S1092" i="2"/>
  <c r="Q1092" i="2"/>
  <c r="AE1091" i="2"/>
  <c r="Z1091" i="2"/>
  <c r="S1091" i="2"/>
  <c r="Q1091" i="2"/>
  <c r="AE1090" i="2"/>
  <c r="Z1090" i="2"/>
  <c r="S1090" i="2"/>
  <c r="Q1090" i="2"/>
  <c r="U1090" i="2" s="1"/>
  <c r="V1090" i="2" s="1"/>
  <c r="W1090" i="2" s="1"/>
  <c r="Y1090" i="2" s="1"/>
  <c r="AE1089" i="2"/>
  <c r="Z1089" i="2"/>
  <c r="S1089" i="2"/>
  <c r="Q1089" i="2"/>
  <c r="U1089" i="2" s="1"/>
  <c r="T1089" i="2" s="1"/>
  <c r="AE1088" i="2"/>
  <c r="Z1088" i="2"/>
  <c r="S1088" i="2"/>
  <c r="Q1088" i="2"/>
  <c r="AE1087" i="2"/>
  <c r="Z1087" i="2"/>
  <c r="S1087" i="2"/>
  <c r="Q1087" i="2"/>
  <c r="U1087" i="2" s="1"/>
  <c r="V1087" i="2" s="1"/>
  <c r="W1087" i="2" s="1"/>
  <c r="AE1086" i="2"/>
  <c r="Z1086" i="2"/>
  <c r="S1086" i="2"/>
  <c r="Q1086" i="2"/>
  <c r="AE1085" i="2"/>
  <c r="Z1085" i="2"/>
  <c r="S1085" i="2"/>
  <c r="Q1085" i="2"/>
  <c r="U1085" i="2" s="1"/>
  <c r="V1085" i="2" s="1"/>
  <c r="W1085" i="2" s="1"/>
  <c r="AE1084" i="2"/>
  <c r="Z1084" i="2"/>
  <c r="S1084" i="2"/>
  <c r="Q1084" i="2"/>
  <c r="U1084" i="2" s="1"/>
  <c r="T1084" i="2" s="1"/>
  <c r="AE1083" i="2"/>
  <c r="Z1083" i="2"/>
  <c r="S1083" i="2"/>
  <c r="Q1083" i="2"/>
  <c r="U1083" i="2" s="1"/>
  <c r="V1083" i="2" s="1"/>
  <c r="W1083" i="2" s="1"/>
  <c r="AE1082" i="2"/>
  <c r="Z1082" i="2"/>
  <c r="S1082" i="2"/>
  <c r="Q1082" i="2"/>
  <c r="AE1081" i="2"/>
  <c r="Z1081" i="2"/>
  <c r="S1081" i="2"/>
  <c r="Q1081" i="2"/>
  <c r="AE1080" i="2"/>
  <c r="Z1080" i="2"/>
  <c r="S1080" i="2"/>
  <c r="Q1080" i="2"/>
  <c r="AE1079" i="2"/>
  <c r="Z1079" i="2"/>
  <c r="S1079" i="2"/>
  <c r="Q1079" i="2"/>
  <c r="AE1078" i="2"/>
  <c r="Z1078" i="2"/>
  <c r="V1078" i="2"/>
  <c r="W1078" i="2" s="1"/>
  <c r="Y1078" i="2" s="1"/>
  <c r="S1078" i="2"/>
  <c r="Q1078" i="2"/>
  <c r="U1078" i="2" s="1"/>
  <c r="T1078" i="2" s="1"/>
  <c r="AE1077" i="2"/>
  <c r="Z1077" i="2"/>
  <c r="S1077" i="2"/>
  <c r="Q1077" i="2"/>
  <c r="U1077" i="2" s="1"/>
  <c r="V1077" i="2" s="1"/>
  <c r="W1077" i="2" s="1"/>
  <c r="AE1076" i="2"/>
  <c r="Z1076" i="2"/>
  <c r="S1076" i="2"/>
  <c r="Q1076" i="2"/>
  <c r="AE1075" i="2"/>
  <c r="Z1075" i="2"/>
  <c r="S1075" i="2"/>
  <c r="Q1075" i="2"/>
  <c r="AE1074" i="2"/>
  <c r="Z1074" i="2"/>
  <c r="T1074" i="2"/>
  <c r="S1074" i="2"/>
  <c r="Q1074" i="2"/>
  <c r="U1074" i="2" s="1"/>
  <c r="V1074" i="2" s="1"/>
  <c r="W1074" i="2" s="1"/>
  <c r="AE1073" i="2"/>
  <c r="Z1073" i="2"/>
  <c r="S1073" i="2"/>
  <c r="Q1073" i="2"/>
  <c r="U1073" i="2" s="1"/>
  <c r="V1073" i="2" s="1"/>
  <c r="W1073" i="2" s="1"/>
  <c r="AE1072" i="2"/>
  <c r="Z1072" i="2"/>
  <c r="T1072" i="2"/>
  <c r="S1072" i="2"/>
  <c r="Q1072" i="2"/>
  <c r="U1072" i="2" s="1"/>
  <c r="V1072" i="2" s="1"/>
  <c r="W1072" i="2" s="1"/>
  <c r="AE1071" i="2"/>
  <c r="Z1071" i="2"/>
  <c r="S1071" i="2"/>
  <c r="Q1071" i="2"/>
  <c r="U1071" i="2" s="1"/>
  <c r="V1071" i="2" s="1"/>
  <c r="W1071" i="2" s="1"/>
  <c r="AE1070" i="2"/>
  <c r="Z1070" i="2"/>
  <c r="S1070" i="2"/>
  <c r="Q1070" i="2"/>
  <c r="U1070" i="2" s="1"/>
  <c r="T1070" i="2" s="1"/>
  <c r="AE1069" i="2"/>
  <c r="Z1069" i="2"/>
  <c r="S1069" i="2"/>
  <c r="Q1069" i="2"/>
  <c r="U1069" i="2" s="1"/>
  <c r="V1069" i="2" s="1"/>
  <c r="W1069" i="2" s="1"/>
  <c r="AE1068" i="2"/>
  <c r="Z1068" i="2"/>
  <c r="S1068" i="2"/>
  <c r="Q1068" i="2"/>
  <c r="AE1067" i="2"/>
  <c r="Z1067" i="2"/>
  <c r="S1067" i="2"/>
  <c r="Q1067" i="2"/>
  <c r="AE1066" i="2"/>
  <c r="Z1066" i="2"/>
  <c r="T1066" i="2"/>
  <c r="S1066" i="2"/>
  <c r="Q1066" i="2"/>
  <c r="U1066" i="2" s="1"/>
  <c r="V1066" i="2" s="1"/>
  <c r="W1066" i="2" s="1"/>
  <c r="AF1065" i="2"/>
  <c r="AH1065" i="2" s="1"/>
  <c r="AE1065" i="2"/>
  <c r="Z1065" i="2"/>
  <c r="Y1065" i="2"/>
  <c r="X1065" i="2"/>
  <c r="S1065" i="2"/>
  <c r="Q1065" i="2"/>
  <c r="U1065" i="2" s="1"/>
  <c r="AG1064" i="2"/>
  <c r="AE1064" i="2"/>
  <c r="AF1064" i="2" s="1"/>
  <c r="AH1064" i="2" s="1"/>
  <c r="Z1064" i="2"/>
  <c r="Y1064" i="2"/>
  <c r="X1064" i="2"/>
  <c r="S1064" i="2"/>
  <c r="Q1064" i="2"/>
  <c r="U1064" i="2" s="1"/>
  <c r="AF1063" i="2"/>
  <c r="AH1063" i="2" s="1"/>
  <c r="AE1063" i="2"/>
  <c r="Z1063" i="2"/>
  <c r="Y1063" i="2"/>
  <c r="X1063" i="2"/>
  <c r="S1063" i="2"/>
  <c r="Q1063" i="2"/>
  <c r="AE1062" i="2"/>
  <c r="AF1062" i="2" s="1"/>
  <c r="AH1062" i="2" s="1"/>
  <c r="Z1062" i="2"/>
  <c r="Y1062" i="2"/>
  <c r="X1062" i="2"/>
  <c r="S1062" i="2"/>
  <c r="Q1062" i="2"/>
  <c r="AE1061" i="2"/>
  <c r="AF1061" i="2" s="1"/>
  <c r="AH1061" i="2" s="1"/>
  <c r="Z1061" i="2"/>
  <c r="Y1061" i="2"/>
  <c r="X1061" i="2"/>
  <c r="S1061" i="2"/>
  <c r="U1061" i="2" s="1"/>
  <c r="Q1061" i="2"/>
  <c r="AE1060" i="2"/>
  <c r="AF1060" i="2" s="1"/>
  <c r="AH1060" i="2" s="1"/>
  <c r="Z1060" i="2"/>
  <c r="Y1060" i="2"/>
  <c r="X1060" i="2"/>
  <c r="S1060" i="2"/>
  <c r="Q1060" i="2"/>
  <c r="AF1059" i="2"/>
  <c r="AE1059" i="2"/>
  <c r="Z1059" i="2"/>
  <c r="Y1059" i="2"/>
  <c r="X1059" i="2"/>
  <c r="S1059" i="2"/>
  <c r="U1059" i="2" s="1"/>
  <c r="Q1059" i="2"/>
  <c r="AE1058" i="2"/>
  <c r="AF1058" i="2" s="1"/>
  <c r="AH1058" i="2" s="1"/>
  <c r="Z1058" i="2"/>
  <c r="Y1058" i="2"/>
  <c r="X1058" i="2"/>
  <c r="S1058" i="2"/>
  <c r="Q1058" i="2"/>
  <c r="AE1057" i="2"/>
  <c r="AF1057" i="2" s="1"/>
  <c r="Z1057" i="2"/>
  <c r="Y1057" i="2"/>
  <c r="X1057" i="2"/>
  <c r="U1057" i="2"/>
  <c r="S1057" i="2"/>
  <c r="Q1057" i="2"/>
  <c r="AE1056" i="2"/>
  <c r="AF1056" i="2" s="1"/>
  <c r="AH1056" i="2" s="1"/>
  <c r="Z1056" i="2"/>
  <c r="Y1056" i="2"/>
  <c r="X1056" i="2"/>
  <c r="S1056" i="2"/>
  <c r="Q1056" i="2"/>
  <c r="AF1055" i="2"/>
  <c r="AH1055" i="2" s="1"/>
  <c r="AE1055" i="2"/>
  <c r="Z1055" i="2"/>
  <c r="Y1055" i="2"/>
  <c r="X1055" i="2"/>
  <c r="S1055" i="2"/>
  <c r="Q1055" i="2"/>
  <c r="AE1054" i="2"/>
  <c r="AF1054" i="2" s="1"/>
  <c r="Z1054" i="2"/>
  <c r="Y1054" i="2"/>
  <c r="X1054" i="2"/>
  <c r="T1054" i="2"/>
  <c r="S1054" i="2"/>
  <c r="Q1054" i="2"/>
  <c r="U1054" i="2" s="1"/>
  <c r="V1054" i="2" s="1"/>
  <c r="AH1053" i="2"/>
  <c r="AF1053" i="2"/>
  <c r="AE1053" i="2"/>
  <c r="Z1053" i="2"/>
  <c r="Y1053" i="2"/>
  <c r="X1053" i="2"/>
  <c r="S1053" i="2"/>
  <c r="Q1053" i="2"/>
  <c r="U1053" i="2" s="1"/>
  <c r="AE1052" i="2"/>
  <c r="AF1052" i="2" s="1"/>
  <c r="AH1052" i="2" s="1"/>
  <c r="Z1052" i="2"/>
  <c r="Y1052" i="2"/>
  <c r="X1052" i="2"/>
  <c r="T1052" i="2"/>
  <c r="S1052" i="2"/>
  <c r="Q1052" i="2"/>
  <c r="U1052" i="2" s="1"/>
  <c r="V1052" i="2" s="1"/>
  <c r="AE1051" i="2"/>
  <c r="Z1051" i="2"/>
  <c r="S1051" i="2"/>
  <c r="Q1051" i="2"/>
  <c r="U1051" i="2" s="1"/>
  <c r="T1051" i="2" s="1"/>
  <c r="AE1050" i="2"/>
  <c r="Z1050" i="2"/>
  <c r="S1050" i="2"/>
  <c r="Q1050" i="2"/>
  <c r="AE1049" i="2"/>
  <c r="Z1049" i="2"/>
  <c r="S1049" i="2"/>
  <c r="Q1049" i="2"/>
  <c r="U1049" i="2" s="1"/>
  <c r="V1049" i="2" s="1"/>
  <c r="W1049" i="2" s="1"/>
  <c r="AE1048" i="2"/>
  <c r="Z1048" i="2"/>
  <c r="S1048" i="2"/>
  <c r="Q1048" i="2"/>
  <c r="U1048" i="2" s="1"/>
  <c r="V1048" i="2" s="1"/>
  <c r="W1048" i="2" s="1"/>
  <c r="AE1047" i="2"/>
  <c r="Z1047" i="2"/>
  <c r="S1047" i="2"/>
  <c r="Q1047" i="2"/>
  <c r="AE1046" i="2"/>
  <c r="Z1046" i="2"/>
  <c r="S1046" i="2"/>
  <c r="Q1046" i="2"/>
  <c r="U1046" i="2" s="1"/>
  <c r="AE1045" i="2"/>
  <c r="Z1045" i="2"/>
  <c r="V1045" i="2"/>
  <c r="W1045" i="2" s="1"/>
  <c r="Y1045" i="2" s="1"/>
  <c r="S1045" i="2"/>
  <c r="Q1045" i="2"/>
  <c r="U1045" i="2" s="1"/>
  <c r="T1045" i="2" s="1"/>
  <c r="AE1044" i="2"/>
  <c r="Z1044" i="2"/>
  <c r="S1044" i="2"/>
  <c r="Q1044" i="2"/>
  <c r="AE1043" i="2"/>
  <c r="Z1043" i="2"/>
  <c r="V1043" i="2"/>
  <c r="W1043" i="2" s="1"/>
  <c r="S1043" i="2"/>
  <c r="Q1043" i="2"/>
  <c r="U1043" i="2" s="1"/>
  <c r="T1043" i="2" s="1"/>
  <c r="AE1042" i="2"/>
  <c r="Z1042" i="2"/>
  <c r="S1042" i="2"/>
  <c r="Q1042" i="2"/>
  <c r="U1042" i="2" s="1"/>
  <c r="AE1041" i="2"/>
  <c r="Z1041" i="2"/>
  <c r="S1041" i="2"/>
  <c r="Q1041" i="2"/>
  <c r="U1041" i="2" s="1"/>
  <c r="AE1040" i="2"/>
  <c r="Z1040" i="2"/>
  <c r="S1040" i="2"/>
  <c r="Q1040" i="2"/>
  <c r="AE1039" i="2"/>
  <c r="Z1039" i="2"/>
  <c r="S1039" i="2"/>
  <c r="Q1039" i="2"/>
  <c r="AE1038" i="2"/>
  <c r="Z1038" i="2"/>
  <c r="S1038" i="2"/>
  <c r="Q1038" i="2"/>
  <c r="U1038" i="2" s="1"/>
  <c r="AE1037" i="2"/>
  <c r="Z1037" i="2"/>
  <c r="S1037" i="2"/>
  <c r="Q1037" i="2"/>
  <c r="U1037" i="2" s="1"/>
  <c r="AE1036" i="2"/>
  <c r="Z1036" i="2"/>
  <c r="S1036" i="2"/>
  <c r="Q1036" i="2"/>
  <c r="AE1035" i="2"/>
  <c r="Z1035" i="2"/>
  <c r="S1035" i="2"/>
  <c r="Q1035" i="2"/>
  <c r="U1035" i="2" s="1"/>
  <c r="T1035" i="2" s="1"/>
  <c r="AE1034" i="2"/>
  <c r="Z1034" i="2"/>
  <c r="S1034" i="2"/>
  <c r="Q1034" i="2"/>
  <c r="U1034" i="2" s="1"/>
  <c r="V1034" i="2" s="1"/>
  <c r="W1034" i="2" s="1"/>
  <c r="AE1033" i="2"/>
  <c r="Z1033" i="2"/>
  <c r="S1033" i="2"/>
  <c r="Q1033" i="2"/>
  <c r="U1033" i="2" s="1"/>
  <c r="AE1032" i="2"/>
  <c r="Z1032" i="2"/>
  <c r="S1032" i="2"/>
  <c r="Q1032" i="2"/>
  <c r="U1032" i="2" s="1"/>
  <c r="AE1031" i="2"/>
  <c r="Z1031" i="2"/>
  <c r="S1031" i="2"/>
  <c r="Q1031" i="2"/>
  <c r="U1031" i="2" s="1"/>
  <c r="T1031" i="2" s="1"/>
  <c r="AE1030" i="2"/>
  <c r="Z1030" i="2"/>
  <c r="S1030" i="2"/>
  <c r="Q1030" i="2"/>
  <c r="U1030" i="2" s="1"/>
  <c r="AE1029" i="2"/>
  <c r="Z1029" i="2"/>
  <c r="S1029" i="2"/>
  <c r="Q1029" i="2"/>
  <c r="AE1028" i="2"/>
  <c r="Z1028" i="2"/>
  <c r="S1028" i="2"/>
  <c r="Q1028" i="2"/>
  <c r="AE1027" i="2"/>
  <c r="Z1027" i="2"/>
  <c r="S1027" i="2"/>
  <c r="Q1027" i="2"/>
  <c r="AE1026" i="2"/>
  <c r="Z1026" i="2"/>
  <c r="U1026" i="2"/>
  <c r="V1026" i="2" s="1"/>
  <c r="W1026" i="2" s="1"/>
  <c r="S1026" i="2"/>
  <c r="Q1026" i="2"/>
  <c r="AE1025" i="2"/>
  <c r="Z1025" i="2"/>
  <c r="S1025" i="2"/>
  <c r="Q1025" i="2"/>
  <c r="U1025" i="2" s="1"/>
  <c r="V1025" i="2" s="1"/>
  <c r="W1025" i="2" s="1"/>
  <c r="AE1024" i="2"/>
  <c r="Z1024" i="2"/>
  <c r="S1024" i="2"/>
  <c r="Q1024" i="2"/>
  <c r="AE1023" i="2"/>
  <c r="Z1023" i="2"/>
  <c r="S1023" i="2"/>
  <c r="Q1023" i="2"/>
  <c r="U1023" i="2" s="1"/>
  <c r="T1023" i="2" s="1"/>
  <c r="AE1022" i="2"/>
  <c r="Z1022" i="2"/>
  <c r="S1022" i="2"/>
  <c r="Q1022" i="2"/>
  <c r="AF1021" i="2"/>
  <c r="AE1021" i="2"/>
  <c r="Z1021" i="2"/>
  <c r="T1021" i="2"/>
  <c r="S1021" i="2"/>
  <c r="Q1021" i="2"/>
  <c r="U1021" i="2" s="1"/>
  <c r="V1021" i="2" s="1"/>
  <c r="W1021" i="2" s="1"/>
  <c r="AF1020" i="2"/>
  <c r="AM1020" i="2" s="1"/>
  <c r="AE1020" i="2"/>
  <c r="Z1020" i="2"/>
  <c r="Y1020" i="2"/>
  <c r="X1020" i="2"/>
  <c r="S1020" i="2"/>
  <c r="U1020" i="2" s="1"/>
  <c r="Q1020" i="2"/>
  <c r="AE1019" i="2"/>
  <c r="Z1019" i="2"/>
  <c r="S1019" i="2"/>
  <c r="U1019" i="2" s="1"/>
  <c r="Q1019" i="2"/>
  <c r="AE1018" i="2"/>
  <c r="AF1018" i="2" s="1"/>
  <c r="AG1018" i="2" s="1"/>
  <c r="Z1018" i="2"/>
  <c r="Y1018" i="2"/>
  <c r="X1018" i="2"/>
  <c r="S1018" i="2"/>
  <c r="Q1018" i="2"/>
  <c r="AE1017" i="2"/>
  <c r="Z1017" i="2"/>
  <c r="S1017" i="2"/>
  <c r="Q1017" i="2"/>
  <c r="AE1016" i="2"/>
  <c r="Z1016" i="2"/>
  <c r="S1016" i="2"/>
  <c r="Q1016" i="2"/>
  <c r="AE1015" i="2"/>
  <c r="Z1015" i="2"/>
  <c r="S1015" i="2"/>
  <c r="Q1015" i="2"/>
  <c r="AF1014" i="2"/>
  <c r="AE1014" i="2"/>
  <c r="Z1014" i="2"/>
  <c r="Y1014" i="2"/>
  <c r="X1014" i="2"/>
  <c r="S1014" i="2"/>
  <c r="U1014" i="2" s="1"/>
  <c r="Q1014" i="2"/>
  <c r="AE1013" i="2"/>
  <c r="Z1013" i="2"/>
  <c r="S1013" i="2"/>
  <c r="Q1013" i="2"/>
  <c r="AE1012" i="2"/>
  <c r="AF1012" i="2" s="1"/>
  <c r="AH1012" i="2" s="1"/>
  <c r="Z1012" i="2"/>
  <c r="Y1012" i="2"/>
  <c r="X1012" i="2"/>
  <c r="S1012" i="2"/>
  <c r="Q1012" i="2"/>
  <c r="U1012" i="2" s="1"/>
  <c r="V1012" i="2" s="1"/>
  <c r="AE1011" i="2"/>
  <c r="AF1011" i="2" s="1"/>
  <c r="Z1011" i="2"/>
  <c r="Y1011" i="2"/>
  <c r="X1011" i="2"/>
  <c r="S1011" i="2"/>
  <c r="U1011" i="2" s="1"/>
  <c r="Q1011" i="2"/>
  <c r="AE1010" i="2"/>
  <c r="AF1010" i="2" s="1"/>
  <c r="Z1010" i="2"/>
  <c r="Y1010" i="2"/>
  <c r="X1010" i="2"/>
  <c r="S1010" i="2"/>
  <c r="Q1010" i="2"/>
  <c r="AE1009" i="2"/>
  <c r="AF1009" i="2" s="1"/>
  <c r="AH1009" i="2" s="1"/>
  <c r="Z1009" i="2"/>
  <c r="Y1009" i="2"/>
  <c r="X1009" i="2"/>
  <c r="S1009" i="2"/>
  <c r="Q1009" i="2"/>
  <c r="AE1008" i="2"/>
  <c r="AF1008" i="2" s="1"/>
  <c r="Z1008" i="2"/>
  <c r="Y1008" i="2"/>
  <c r="X1008" i="2"/>
  <c r="S1008" i="2"/>
  <c r="Q1008" i="2"/>
  <c r="V1030" i="2" l="1"/>
  <c r="W1030" i="2" s="1"/>
  <c r="AF1030" i="2" s="1"/>
  <c r="T1030" i="2"/>
  <c r="Y1072" i="2"/>
  <c r="AF1072" i="2"/>
  <c r="X1072" i="2"/>
  <c r="V1035" i="2"/>
  <c r="W1035" i="2" s="1"/>
  <c r="T1049" i="2"/>
  <c r="AM1060" i="2"/>
  <c r="T1069" i="2"/>
  <c r="T1083" i="2"/>
  <c r="U1015" i="2"/>
  <c r="V1015" i="2" s="1"/>
  <c r="W1015" i="2" s="1"/>
  <c r="U1017" i="2"/>
  <c r="U1029" i="2"/>
  <c r="V1029" i="2" s="1"/>
  <c r="W1029" i="2" s="1"/>
  <c r="AF1029" i="2" s="1"/>
  <c r="AH1029" i="2" s="1"/>
  <c r="V1051" i="2"/>
  <c r="W1051" i="2" s="1"/>
  <c r="AG1056" i="2"/>
  <c r="AM1058" i="2"/>
  <c r="U1060" i="2"/>
  <c r="V1060" i="2" s="1"/>
  <c r="U1062" i="2"/>
  <c r="U1063" i="2"/>
  <c r="U1068" i="2"/>
  <c r="T1077" i="2"/>
  <c r="U1079" i="2"/>
  <c r="V1079" i="2" s="1"/>
  <c r="W1079" i="2" s="1"/>
  <c r="AF1079" i="2" s="1"/>
  <c r="U1082" i="2"/>
  <c r="U1092" i="2"/>
  <c r="T1092" i="2" s="1"/>
  <c r="U1094" i="2"/>
  <c r="U1096" i="2"/>
  <c r="U1010" i="2"/>
  <c r="T1026" i="2"/>
  <c r="U1058" i="2"/>
  <c r="U1076" i="2"/>
  <c r="T1085" i="2"/>
  <c r="T1090" i="2"/>
  <c r="T1107" i="2"/>
  <c r="U1036" i="2"/>
  <c r="U1047" i="2"/>
  <c r="U1050" i="2"/>
  <c r="V1050" i="2" s="1"/>
  <c r="W1050" i="2" s="1"/>
  <c r="U1056" i="2"/>
  <c r="V1056" i="2" s="1"/>
  <c r="U1100" i="2"/>
  <c r="U1009" i="2"/>
  <c r="V1009" i="2" s="1"/>
  <c r="U1008" i="2"/>
  <c r="U1016" i="2"/>
  <c r="T1016" i="2" s="1"/>
  <c r="U1018" i="2"/>
  <c r="T1025" i="2"/>
  <c r="U1028" i="2"/>
  <c r="U1040" i="2"/>
  <c r="U1044" i="2"/>
  <c r="U1055" i="2"/>
  <c r="U1067" i="2"/>
  <c r="V1067" i="2" s="1"/>
  <c r="W1067" i="2" s="1"/>
  <c r="V1070" i="2"/>
  <c r="W1070" i="2" s="1"/>
  <c r="Y1070" i="2" s="1"/>
  <c r="U1075" i="2"/>
  <c r="U1080" i="2"/>
  <c r="U1081" i="2"/>
  <c r="V1081" i="2" s="1"/>
  <c r="W1081" i="2" s="1"/>
  <c r="V1084" i="2"/>
  <c r="W1084" i="2" s="1"/>
  <c r="Y1084" i="2" s="1"/>
  <c r="U1086" i="2"/>
  <c r="U1091" i="2"/>
  <c r="V1091" i="2" s="1"/>
  <c r="W1091" i="2" s="1"/>
  <c r="U1093" i="2"/>
  <c r="U1095" i="2"/>
  <c r="V1095" i="2" s="1"/>
  <c r="W1095" i="2" s="1"/>
  <c r="U1013" i="2"/>
  <c r="U1022" i="2"/>
  <c r="V1022" i="2" s="1"/>
  <c r="W1022" i="2" s="1"/>
  <c r="X1022" i="2" s="1"/>
  <c r="U1024" i="2"/>
  <c r="U1027" i="2"/>
  <c r="AG1060" i="2"/>
  <c r="U1088" i="2"/>
  <c r="Y1022" i="2"/>
  <c r="Y1015" i="2"/>
  <c r="X1015" i="2"/>
  <c r="AF1015" i="2"/>
  <c r="T1009" i="2"/>
  <c r="V1020" i="2"/>
  <c r="T1020" i="2"/>
  <c r="Y1025" i="2"/>
  <c r="X1025" i="2"/>
  <c r="AM1029" i="2"/>
  <c r="AG1029" i="2"/>
  <c r="AM1030" i="2"/>
  <c r="AG1030" i="2"/>
  <c r="Y1069" i="2"/>
  <c r="AF1069" i="2"/>
  <c r="X1069" i="2"/>
  <c r="Y1083" i="2"/>
  <c r="AF1083" i="2"/>
  <c r="X1083" i="2"/>
  <c r="T1019" i="2"/>
  <c r="V1019" i="2"/>
  <c r="W1019" i="2" s="1"/>
  <c r="AH1030" i="2"/>
  <c r="V1032" i="2"/>
  <c r="W1032" i="2" s="1"/>
  <c r="T1032" i="2"/>
  <c r="T1038" i="2"/>
  <c r="V1038" i="2"/>
  <c r="W1038" i="2" s="1"/>
  <c r="Y1077" i="2"/>
  <c r="AF1077" i="2"/>
  <c r="X1077" i="2"/>
  <c r="T1064" i="2"/>
  <c r="V1064" i="2"/>
  <c r="Y1074" i="2"/>
  <c r="X1074" i="2"/>
  <c r="AF1074" i="2"/>
  <c r="T1024" i="2"/>
  <c r="V1024" i="2"/>
  <c r="W1024" i="2" s="1"/>
  <c r="T1037" i="2"/>
  <c r="V1037" i="2"/>
  <c r="W1037" i="2" s="1"/>
  <c r="AM1012" i="2"/>
  <c r="V1031" i="2"/>
  <c r="W1031" i="2" s="1"/>
  <c r="T1034" i="2"/>
  <c r="T1042" i="2"/>
  <c r="V1042" i="2"/>
  <c r="W1042" i="2" s="1"/>
  <c r="Y1050" i="2"/>
  <c r="AF1050" i="2"/>
  <c r="V1061" i="2"/>
  <c r="T1061" i="2"/>
  <c r="AM1009" i="2"/>
  <c r="AG1009" i="2"/>
  <c r="AM1014" i="2"/>
  <c r="AH1014" i="2"/>
  <c r="AG1014" i="2"/>
  <c r="X1026" i="2"/>
  <c r="Y1026" i="2"/>
  <c r="Y1034" i="2"/>
  <c r="X1034" i="2"/>
  <c r="Y1043" i="2"/>
  <c r="AF1043" i="2"/>
  <c r="X1043" i="2"/>
  <c r="V1063" i="2"/>
  <c r="T1063" i="2"/>
  <c r="Y1079" i="2"/>
  <c r="V1008" i="2"/>
  <c r="T1008" i="2"/>
  <c r="V1011" i="2"/>
  <c r="T1011" i="2"/>
  <c r="T1012" i="2"/>
  <c r="V1014" i="2"/>
  <c r="T1014" i="2"/>
  <c r="T1015" i="2"/>
  <c r="V1016" i="2"/>
  <c r="W1016" i="2" s="1"/>
  <c r="AM1018" i="2"/>
  <c r="AH1018" i="2"/>
  <c r="AF1025" i="2"/>
  <c r="AF1026" i="2"/>
  <c r="T1029" i="2"/>
  <c r="X1030" i="2"/>
  <c r="Y1030" i="2"/>
  <c r="AH1054" i="2"/>
  <c r="AM1054" i="2"/>
  <c r="AG1054" i="2"/>
  <c r="T1059" i="2"/>
  <c r="V1059" i="2"/>
  <c r="Y1087" i="2"/>
  <c r="AF1087" i="2"/>
  <c r="X1087" i="2"/>
  <c r="AM1008" i="2"/>
  <c r="AH1008" i="2"/>
  <c r="AG1008" i="2"/>
  <c r="AH1010" i="2"/>
  <c r="AG1010" i="2"/>
  <c r="AM1011" i="2"/>
  <c r="AH1011" i="2"/>
  <c r="AG1011" i="2"/>
  <c r="V1017" i="2"/>
  <c r="W1017" i="2" s="1"/>
  <c r="T1017" i="2"/>
  <c r="X1035" i="2"/>
  <c r="AF1035" i="2"/>
  <c r="Y1035" i="2"/>
  <c r="Y1029" i="2"/>
  <c r="X1029" i="2"/>
  <c r="Y1051" i="2"/>
  <c r="AF1051" i="2"/>
  <c r="X1051" i="2"/>
  <c r="T1028" i="2"/>
  <c r="V1028" i="2"/>
  <c r="W1028" i="2" s="1"/>
  <c r="X1050" i="2"/>
  <c r="V1057" i="2"/>
  <c r="T1057" i="2"/>
  <c r="Y1073" i="2"/>
  <c r="X1073" i="2"/>
  <c r="AF1073" i="2"/>
  <c r="AG1059" i="2"/>
  <c r="AM1059" i="2"/>
  <c r="AH1059" i="2"/>
  <c r="Y1066" i="2"/>
  <c r="X1066" i="2"/>
  <c r="AF1066" i="2"/>
  <c r="Y1071" i="2"/>
  <c r="AF1071" i="2"/>
  <c r="X1071" i="2"/>
  <c r="Y1085" i="2"/>
  <c r="AF1085" i="2"/>
  <c r="X1085" i="2"/>
  <c r="AM1010" i="2"/>
  <c r="AG1012" i="2"/>
  <c r="AM1021" i="2"/>
  <c r="AH1021" i="2"/>
  <c r="AG1021" i="2"/>
  <c r="V1040" i="2"/>
  <c r="W1040" i="2" s="1"/>
  <c r="T1040" i="2"/>
  <c r="Y1048" i="2"/>
  <c r="X1048" i="2"/>
  <c r="AF1048" i="2"/>
  <c r="V1013" i="2"/>
  <c r="W1013" i="2" s="1"/>
  <c r="T1013" i="2"/>
  <c r="Y1021" i="2"/>
  <c r="X1021" i="2"/>
  <c r="T1022" i="2"/>
  <c r="V1023" i="2"/>
  <c r="W1023" i="2" s="1"/>
  <c r="V1033" i="2"/>
  <c r="W1033" i="2" s="1"/>
  <c r="T1033" i="2"/>
  <c r="V1036" i="2"/>
  <c r="W1036" i="2" s="1"/>
  <c r="T1036" i="2"/>
  <c r="AF1034" i="2"/>
  <c r="V1041" i="2"/>
  <c r="W1041" i="2" s="1"/>
  <c r="T1041" i="2"/>
  <c r="V1046" i="2"/>
  <c r="W1046" i="2" s="1"/>
  <c r="T1046" i="2"/>
  <c r="Y1049" i="2"/>
  <c r="X1049" i="2"/>
  <c r="AF1049" i="2"/>
  <c r="V1055" i="2"/>
  <c r="T1055" i="2"/>
  <c r="Y1067" i="2"/>
  <c r="AF1067" i="2"/>
  <c r="X1067" i="2"/>
  <c r="Y1081" i="2"/>
  <c r="X1081" i="2"/>
  <c r="AF1081" i="2"/>
  <c r="Y1091" i="2"/>
  <c r="X1091" i="2"/>
  <c r="AF1091" i="2"/>
  <c r="AG1072" i="2"/>
  <c r="AM1072" i="2"/>
  <c r="Y1095" i="2"/>
  <c r="X1095" i="2"/>
  <c r="AM1064" i="2"/>
  <c r="AM1065" i="2"/>
  <c r="AG1065" i="2"/>
  <c r="AH1072" i="2"/>
  <c r="X1084" i="2"/>
  <c r="V1098" i="2"/>
  <c r="W1098" i="2" s="1"/>
  <c r="T1098" i="2"/>
  <c r="V1101" i="2"/>
  <c r="W1101" i="2" s="1"/>
  <c r="T1101" i="2"/>
  <c r="T1071" i="2"/>
  <c r="T1079" i="2"/>
  <c r="T1087" i="2"/>
  <c r="T1091" i="2"/>
  <c r="V1092" i="2"/>
  <c r="W1092" i="2" s="1"/>
  <c r="T1095" i="2"/>
  <c r="AM1099" i="2"/>
  <c r="AH1099" i="2"/>
  <c r="AG1099" i="2"/>
  <c r="Y1103" i="2"/>
  <c r="X1103" i="2"/>
  <c r="V1104" i="2"/>
  <c r="W1104" i="2" s="1"/>
  <c r="U1039" i="2"/>
  <c r="X1045" i="2"/>
  <c r="AM1061" i="2"/>
  <c r="AG1061" i="2"/>
  <c r="X1070" i="2"/>
  <c r="X1078" i="2"/>
  <c r="V1106" i="2"/>
  <c r="W1106" i="2" s="1"/>
  <c r="T1106" i="2"/>
  <c r="V1109" i="2"/>
  <c r="W1109" i="2" s="1"/>
  <c r="T1109" i="2"/>
  <c r="V1053" i="2"/>
  <c r="T1053" i="2"/>
  <c r="AM1055" i="2"/>
  <c r="AG1055" i="2"/>
  <c r="T1048" i="2"/>
  <c r="T1060" i="2"/>
  <c r="V1065" i="2"/>
  <c r="T1065" i="2"/>
  <c r="T1073" i="2"/>
  <c r="T1081" i="2"/>
  <c r="AF1084" i="2"/>
  <c r="V1089" i="2"/>
  <c r="W1089" i="2" s="1"/>
  <c r="X1090" i="2"/>
  <c r="V1094" i="2"/>
  <c r="W1094" i="2" s="1"/>
  <c r="T1094" i="2"/>
  <c r="V1097" i="2"/>
  <c r="W1097" i="2" s="1"/>
  <c r="T1097" i="2"/>
  <c r="T1103" i="2"/>
  <c r="AM1107" i="2"/>
  <c r="AH1107" i="2"/>
  <c r="AG1107" i="2"/>
  <c r="AM1056" i="2"/>
  <c r="AM1057" i="2"/>
  <c r="AG1057" i="2"/>
  <c r="AG1062" i="2"/>
  <c r="AF1095" i="2"/>
  <c r="Y1099" i="2"/>
  <c r="X1099" i="2"/>
  <c r="AG1020" i="2"/>
  <c r="AH1020" i="2"/>
  <c r="AF1045" i="2"/>
  <c r="T1050" i="2"/>
  <c r="AG1052" i="2"/>
  <c r="T1056" i="2"/>
  <c r="AH1057" i="2"/>
  <c r="AM1062" i="2"/>
  <c r="AM1063" i="2"/>
  <c r="AG1063" i="2"/>
  <c r="T1067" i="2"/>
  <c r="AF1070" i="2"/>
  <c r="AF1078" i="2"/>
  <c r="V1102" i="2"/>
  <c r="W1102" i="2" s="1"/>
  <c r="T1102" i="2"/>
  <c r="V1105" i="2"/>
  <c r="W1105" i="2" s="1"/>
  <c r="T1105" i="2"/>
  <c r="AM1052" i="2"/>
  <c r="AM1053" i="2"/>
  <c r="AG1053" i="2"/>
  <c r="AG1058" i="2"/>
  <c r="AF1090" i="2"/>
  <c r="V1093" i="2"/>
  <c r="W1093" i="2" s="1"/>
  <c r="T1093" i="2"/>
  <c r="T1099" i="2"/>
  <c r="AF1103" i="2"/>
  <c r="Y1107" i="2"/>
  <c r="X1107" i="2"/>
  <c r="V1108" i="2"/>
  <c r="W1108" i="2" s="1"/>
  <c r="V1088" i="2" l="1"/>
  <c r="W1088" i="2" s="1"/>
  <c r="T1088" i="2"/>
  <c r="V1082" i="2"/>
  <c r="W1082" i="2" s="1"/>
  <c r="T1082" i="2"/>
  <c r="T1086" i="2"/>
  <c r="V1086" i="2"/>
  <c r="W1086" i="2" s="1"/>
  <c r="V1044" i="2"/>
  <c r="W1044" i="2" s="1"/>
  <c r="T1044" i="2"/>
  <c r="T1100" i="2"/>
  <c r="V1100" i="2"/>
  <c r="W1100" i="2" s="1"/>
  <c r="T1076" i="2"/>
  <c r="V1076" i="2"/>
  <c r="W1076" i="2" s="1"/>
  <c r="T1027" i="2"/>
  <c r="V1027" i="2"/>
  <c r="W1027" i="2" s="1"/>
  <c r="T1058" i="2"/>
  <c r="V1058" i="2"/>
  <c r="T1068" i="2"/>
  <c r="V1068" i="2"/>
  <c r="W1068" i="2" s="1"/>
  <c r="X1079" i="2"/>
  <c r="T1080" i="2"/>
  <c r="V1080" i="2"/>
  <c r="W1080" i="2" s="1"/>
  <c r="V1047" i="2"/>
  <c r="W1047" i="2" s="1"/>
  <c r="T1047" i="2"/>
  <c r="T1010" i="2"/>
  <c r="V1010" i="2"/>
  <c r="AF1022" i="2"/>
  <c r="V1075" i="2"/>
  <c r="W1075" i="2" s="1"/>
  <c r="T1075" i="2"/>
  <c r="V1018" i="2"/>
  <c r="T1018" i="2"/>
  <c r="T1096" i="2"/>
  <c r="V1096" i="2"/>
  <c r="W1096" i="2" s="1"/>
  <c r="T1062" i="2"/>
  <c r="V1062" i="2"/>
  <c r="AF1093" i="2"/>
  <c r="Y1093" i="2"/>
  <c r="X1093" i="2"/>
  <c r="AF1097" i="2"/>
  <c r="Y1097" i="2"/>
  <c r="X1097" i="2"/>
  <c r="AM1067" i="2"/>
  <c r="AG1067" i="2"/>
  <c r="AH1067" i="2"/>
  <c r="Y1046" i="2"/>
  <c r="AF1046" i="2"/>
  <c r="X1046" i="2"/>
  <c r="AF1023" i="2"/>
  <c r="Y1023" i="2"/>
  <c r="X1023" i="2"/>
  <c r="AF1016" i="2"/>
  <c r="Y1016" i="2"/>
  <c r="X1016" i="2"/>
  <c r="AF1038" i="2"/>
  <c r="Y1038" i="2"/>
  <c r="X1038" i="2"/>
  <c r="AM1090" i="2"/>
  <c r="AH1090" i="2"/>
  <c r="AG1090" i="2"/>
  <c r="Y1102" i="2"/>
  <c r="X1102" i="2"/>
  <c r="AF1102" i="2"/>
  <c r="AM1081" i="2"/>
  <c r="AG1081" i="2"/>
  <c r="AH1081" i="2"/>
  <c r="AM1085" i="2"/>
  <c r="AG1085" i="2"/>
  <c r="AH1085" i="2"/>
  <c r="Y1037" i="2"/>
  <c r="X1037" i="2"/>
  <c r="AF1037" i="2"/>
  <c r="Y1041" i="2"/>
  <c r="AF1041" i="2"/>
  <c r="X1041" i="2"/>
  <c r="AG1035" i="2"/>
  <c r="AM1035" i="2"/>
  <c r="AH1035" i="2"/>
  <c r="AM1050" i="2"/>
  <c r="AG1050" i="2"/>
  <c r="AH1050" i="2"/>
  <c r="AM1078" i="2"/>
  <c r="AG1078" i="2"/>
  <c r="AH1078" i="2"/>
  <c r="AF1109" i="2"/>
  <c r="Y1109" i="2"/>
  <c r="X1109" i="2"/>
  <c r="AM1034" i="2"/>
  <c r="AH1034" i="2"/>
  <c r="AG1034" i="2"/>
  <c r="AM1070" i="2"/>
  <c r="AG1070" i="2"/>
  <c r="AH1070" i="2"/>
  <c r="AF1089" i="2"/>
  <c r="Y1089" i="2"/>
  <c r="X1089" i="2"/>
  <c r="V1039" i="2"/>
  <c r="W1039" i="2" s="1"/>
  <c r="T1039" i="2"/>
  <c r="AF1092" i="2"/>
  <c r="Y1092" i="2"/>
  <c r="X1092" i="2"/>
  <c r="Y1098" i="2"/>
  <c r="X1098" i="2"/>
  <c r="AF1098" i="2"/>
  <c r="AM1049" i="2"/>
  <c r="AG1049" i="2"/>
  <c r="AH1049" i="2"/>
  <c r="AM1071" i="2"/>
  <c r="AG1071" i="2"/>
  <c r="AH1071" i="2"/>
  <c r="AM1073" i="2"/>
  <c r="AG1073" i="2"/>
  <c r="AH1073" i="2"/>
  <c r="AM1026" i="2"/>
  <c r="AG1026" i="2"/>
  <c r="AH1026" i="2"/>
  <c r="Y1042" i="2"/>
  <c r="X1042" i="2"/>
  <c r="AF1042" i="2"/>
  <c r="AF1028" i="2"/>
  <c r="Y1028" i="2"/>
  <c r="X1028" i="2"/>
  <c r="AM1083" i="2"/>
  <c r="AG1083" i="2"/>
  <c r="AH1083" i="2"/>
  <c r="AF1032" i="2"/>
  <c r="Y1032" i="2"/>
  <c r="X1032" i="2"/>
  <c r="AF1104" i="2"/>
  <c r="Y1104" i="2"/>
  <c r="X1104" i="2"/>
  <c r="AF1036" i="2"/>
  <c r="Y1036" i="2"/>
  <c r="X1036" i="2"/>
  <c r="AF1013" i="2"/>
  <c r="X1013" i="2"/>
  <c r="Y1013" i="2"/>
  <c r="AG1051" i="2"/>
  <c r="AM1051" i="2"/>
  <c r="AH1051" i="2"/>
  <c r="AF1017" i="2"/>
  <c r="Y1017" i="2"/>
  <c r="X1017" i="2"/>
  <c r="AH1025" i="2"/>
  <c r="AM1025" i="2"/>
  <c r="AG1025" i="2"/>
  <c r="AM1079" i="2"/>
  <c r="AG1079" i="2"/>
  <c r="AH1079" i="2"/>
  <c r="AG1043" i="2"/>
  <c r="AM1043" i="2"/>
  <c r="AH1043" i="2"/>
  <c r="AM1074" i="2"/>
  <c r="AG1074" i="2"/>
  <c r="AH1074" i="2"/>
  <c r="AM1069" i="2"/>
  <c r="AG1069" i="2"/>
  <c r="AH1069" i="2"/>
  <c r="AM1022" i="2"/>
  <c r="AG1022" i="2"/>
  <c r="AH1022" i="2"/>
  <c r="AF1108" i="2"/>
  <c r="Y1108" i="2"/>
  <c r="X1108" i="2"/>
  <c r="AM1103" i="2"/>
  <c r="AH1103" i="2"/>
  <c r="AG1103" i="2"/>
  <c r="AM1045" i="2"/>
  <c r="AG1045" i="2"/>
  <c r="AH1045" i="2"/>
  <c r="Y1106" i="2"/>
  <c r="X1106" i="2"/>
  <c r="AF1106" i="2"/>
  <c r="AM1091" i="2"/>
  <c r="AG1091" i="2"/>
  <c r="AH1091" i="2"/>
  <c r="AM1048" i="2"/>
  <c r="AG1048" i="2"/>
  <c r="AH1048" i="2"/>
  <c r="AM1066" i="2"/>
  <c r="AG1066" i="2"/>
  <c r="AH1066" i="2"/>
  <c r="AM1077" i="2"/>
  <c r="AG1077" i="2"/>
  <c r="AH1077" i="2"/>
  <c r="Y1094" i="2"/>
  <c r="X1094" i="2"/>
  <c r="AF1094" i="2"/>
  <c r="AF1101" i="2"/>
  <c r="Y1101" i="2"/>
  <c r="X1101" i="2"/>
  <c r="Y1040" i="2"/>
  <c r="X1040" i="2"/>
  <c r="AF1040" i="2"/>
  <c r="AM1015" i="2"/>
  <c r="AG1015" i="2"/>
  <c r="AH1015" i="2"/>
  <c r="AF1024" i="2"/>
  <c r="Y1024" i="2"/>
  <c r="X1024" i="2"/>
  <c r="AM1095" i="2"/>
  <c r="AH1095" i="2"/>
  <c r="AG1095" i="2"/>
  <c r="AG1084" i="2"/>
  <c r="AM1084" i="2"/>
  <c r="AH1084" i="2"/>
  <c r="AF1105" i="2"/>
  <c r="Y1105" i="2"/>
  <c r="X1105" i="2"/>
  <c r="Y1033" i="2"/>
  <c r="X1033" i="2"/>
  <c r="AF1033" i="2"/>
  <c r="AM1087" i="2"/>
  <c r="AG1087" i="2"/>
  <c r="AH1087" i="2"/>
  <c r="AF1031" i="2"/>
  <c r="Y1031" i="2"/>
  <c r="X1031" i="2"/>
  <c r="AF1019" i="2"/>
  <c r="Y1019" i="2"/>
  <c r="X1019" i="2"/>
  <c r="Y1096" i="2" l="1"/>
  <c r="X1096" i="2"/>
  <c r="AF1096" i="2"/>
  <c r="X1044" i="2"/>
  <c r="Y1044" i="2"/>
  <c r="AF1044" i="2"/>
  <c r="Y1047" i="2"/>
  <c r="AF1047" i="2"/>
  <c r="X1047" i="2"/>
  <c r="X1027" i="2"/>
  <c r="AF1027" i="2"/>
  <c r="Y1027" i="2"/>
  <c r="Y1086" i="2"/>
  <c r="X1086" i="2"/>
  <c r="AF1086" i="2"/>
  <c r="Y1080" i="2"/>
  <c r="AF1080" i="2"/>
  <c r="X1080" i="2"/>
  <c r="Y1076" i="2"/>
  <c r="AF1076" i="2"/>
  <c r="X1076" i="2"/>
  <c r="Y1075" i="2"/>
  <c r="AF1075" i="2"/>
  <c r="X1075" i="2"/>
  <c r="Y1082" i="2"/>
  <c r="X1082" i="2"/>
  <c r="AF1082" i="2"/>
  <c r="Y1068" i="2"/>
  <c r="X1068" i="2"/>
  <c r="AF1068" i="2"/>
  <c r="Y1100" i="2"/>
  <c r="X1100" i="2"/>
  <c r="AF1100" i="2"/>
  <c r="Y1088" i="2"/>
  <c r="X1088" i="2"/>
  <c r="AF1088" i="2"/>
  <c r="AM1105" i="2"/>
  <c r="AH1105" i="2"/>
  <c r="AG1105" i="2"/>
  <c r="AM1024" i="2"/>
  <c r="AH1024" i="2"/>
  <c r="AG1024" i="2"/>
  <c r="AM1101" i="2"/>
  <c r="AH1101" i="2"/>
  <c r="AG1101" i="2"/>
  <c r="AH1019" i="2"/>
  <c r="AM1019" i="2"/>
  <c r="AG1019" i="2"/>
  <c r="AM1094" i="2"/>
  <c r="AH1094" i="2"/>
  <c r="AG1094" i="2"/>
  <c r="AH1013" i="2"/>
  <c r="AG1013" i="2"/>
  <c r="AM1013" i="2"/>
  <c r="AM1109" i="2"/>
  <c r="AH1109" i="2"/>
  <c r="AG1109" i="2"/>
  <c r="AG1023" i="2"/>
  <c r="AM1023" i="2"/>
  <c r="AH1023" i="2"/>
  <c r="AG1042" i="2"/>
  <c r="AM1042" i="2"/>
  <c r="AH1042" i="2"/>
  <c r="AM1097" i="2"/>
  <c r="AH1097" i="2"/>
  <c r="AG1097" i="2"/>
  <c r="AM1033" i="2"/>
  <c r="AH1033" i="2"/>
  <c r="AG1033" i="2"/>
  <c r="AM1040" i="2"/>
  <c r="AH1040" i="2"/>
  <c r="AG1040" i="2"/>
  <c r="AM1106" i="2"/>
  <c r="AH1106" i="2"/>
  <c r="AG1106" i="2"/>
  <c r="AM1017" i="2"/>
  <c r="AH1017" i="2"/>
  <c r="AG1017" i="2"/>
  <c r="AM1028" i="2"/>
  <c r="AH1028" i="2"/>
  <c r="AG1028" i="2"/>
  <c r="AG1092" i="2"/>
  <c r="AM1092" i="2"/>
  <c r="AH1092" i="2"/>
  <c r="AM1102" i="2"/>
  <c r="AH1102" i="2"/>
  <c r="AG1102" i="2"/>
  <c r="AM1038" i="2"/>
  <c r="AH1038" i="2"/>
  <c r="AG1038" i="2"/>
  <c r="AM1046" i="2"/>
  <c r="AG1046" i="2"/>
  <c r="AH1046" i="2"/>
  <c r="AM1098" i="2"/>
  <c r="AH1098" i="2"/>
  <c r="AG1098" i="2"/>
  <c r="AG1031" i="2"/>
  <c r="AM1031" i="2"/>
  <c r="AH1031" i="2"/>
  <c r="AM1036" i="2"/>
  <c r="AH1036" i="2"/>
  <c r="AG1036" i="2"/>
  <c r="AG1037" i="2"/>
  <c r="AM1037" i="2"/>
  <c r="AH1037" i="2"/>
  <c r="AG1108" i="2"/>
  <c r="AM1108" i="2"/>
  <c r="AH1108" i="2"/>
  <c r="AG1016" i="2"/>
  <c r="AM1016" i="2"/>
  <c r="AH1016" i="2"/>
  <c r="AM1041" i="2"/>
  <c r="AH1041" i="2"/>
  <c r="AG1041" i="2"/>
  <c r="AM1089" i="2"/>
  <c r="AG1089" i="2"/>
  <c r="AH1089" i="2"/>
  <c r="AG1104" i="2"/>
  <c r="AM1104" i="2"/>
  <c r="AH1104" i="2"/>
  <c r="AM1032" i="2"/>
  <c r="AH1032" i="2"/>
  <c r="AG1032" i="2"/>
  <c r="AF1039" i="2"/>
  <c r="Y1039" i="2"/>
  <c r="X1039" i="2"/>
  <c r="AM1093" i="2"/>
  <c r="AH1093" i="2"/>
  <c r="AG1093" i="2"/>
  <c r="AG1047" i="2" l="1"/>
  <c r="AM1047" i="2"/>
  <c r="AH1047" i="2"/>
  <c r="AM1086" i="2"/>
  <c r="AG1086" i="2"/>
  <c r="AH1086" i="2"/>
  <c r="AG1068" i="2"/>
  <c r="AM1068" i="2"/>
  <c r="AH1068" i="2"/>
  <c r="AM1044" i="2"/>
  <c r="AG1044" i="2"/>
  <c r="AH1044" i="2"/>
  <c r="AG1088" i="2"/>
  <c r="AM1088" i="2"/>
  <c r="AH1088" i="2"/>
  <c r="AG1076" i="2"/>
  <c r="AM1076" i="2"/>
  <c r="AH1076" i="2"/>
  <c r="AH1082" i="2"/>
  <c r="AM1082" i="2"/>
  <c r="AG1082" i="2"/>
  <c r="AG1027" i="2"/>
  <c r="AM1027" i="2"/>
  <c r="AH1027" i="2"/>
  <c r="AM1096" i="2"/>
  <c r="AH1096" i="2"/>
  <c r="AG1096" i="2"/>
  <c r="AM1075" i="2"/>
  <c r="AG1075" i="2"/>
  <c r="AH1075" i="2"/>
  <c r="AG1100" i="2"/>
  <c r="AM1100" i="2"/>
  <c r="AH1100" i="2"/>
  <c r="AH1080" i="2"/>
  <c r="AM1080" i="2"/>
  <c r="AG1080" i="2"/>
  <c r="AG1039" i="2"/>
  <c r="AM1039" i="2"/>
  <c r="AH1039" i="2"/>
  <c r="AD256" i="1" l="1"/>
  <c r="R256" i="1"/>
  <c r="P256" i="1"/>
  <c r="AD255" i="1"/>
  <c r="R255" i="1"/>
  <c r="P255" i="1"/>
  <c r="AD254" i="1"/>
  <c r="R254" i="1"/>
  <c r="P254" i="1"/>
  <c r="AD253" i="1"/>
  <c r="AE253" i="1" s="1"/>
  <c r="X253" i="1"/>
  <c r="W253" i="1"/>
  <c r="R253" i="1"/>
  <c r="P253" i="1"/>
  <c r="AD252" i="1"/>
  <c r="R252" i="1"/>
  <c r="P252" i="1"/>
  <c r="AD251" i="1"/>
  <c r="R251" i="1"/>
  <c r="P251" i="1"/>
  <c r="AD250" i="1"/>
  <c r="AE250" i="1" s="1"/>
  <c r="AF250" i="1" s="1"/>
  <c r="X250" i="1"/>
  <c r="W250" i="1"/>
  <c r="R250" i="1"/>
  <c r="P250" i="1"/>
  <c r="AD249" i="1"/>
  <c r="AE249" i="1" s="1"/>
  <c r="X249" i="1"/>
  <c r="W249" i="1"/>
  <c r="R249" i="1"/>
  <c r="P249" i="1"/>
  <c r="AD248" i="1"/>
  <c r="R248" i="1"/>
  <c r="P248" i="1"/>
  <c r="AD247" i="1"/>
  <c r="AE247" i="1" s="1"/>
  <c r="AF247" i="1" s="1"/>
  <c r="X247" i="1"/>
  <c r="W247" i="1"/>
  <c r="R247" i="1"/>
  <c r="P247" i="1"/>
  <c r="AD246" i="1"/>
  <c r="AE246" i="1" s="1"/>
  <c r="X246" i="1"/>
  <c r="W246" i="1"/>
  <c r="R246" i="1"/>
  <c r="P246" i="1"/>
  <c r="AD245" i="1"/>
  <c r="AE245" i="1" s="1"/>
  <c r="AG245" i="1" s="1"/>
  <c r="X245" i="1"/>
  <c r="W245" i="1"/>
  <c r="R245" i="1"/>
  <c r="P245" i="1"/>
  <c r="AD244" i="1"/>
  <c r="AE244" i="1" s="1"/>
  <c r="X244" i="1"/>
  <c r="W244" i="1"/>
  <c r="R244" i="1"/>
  <c r="P244" i="1"/>
  <c r="AD243" i="1"/>
  <c r="R243" i="1"/>
  <c r="P243" i="1"/>
  <c r="AD242" i="1"/>
  <c r="R242" i="1"/>
  <c r="P242" i="1"/>
  <c r="AD241" i="1"/>
  <c r="R241" i="1"/>
  <c r="P241" i="1"/>
  <c r="AD240" i="1"/>
  <c r="R240" i="1"/>
  <c r="P240" i="1"/>
  <c r="AD239" i="1"/>
  <c r="R239" i="1"/>
  <c r="P239" i="1"/>
  <c r="AD238" i="1"/>
  <c r="AE238" i="1" s="1"/>
  <c r="X238" i="1"/>
  <c r="W238" i="1"/>
  <c r="R238" i="1"/>
  <c r="P238" i="1"/>
  <c r="AD237" i="1"/>
  <c r="AE237" i="1" s="1"/>
  <c r="X237" i="1"/>
  <c r="W237" i="1"/>
  <c r="R237" i="1"/>
  <c r="P237" i="1"/>
  <c r="AD236" i="1"/>
  <c r="AE236" i="1" s="1"/>
  <c r="AL236" i="1" s="1"/>
  <c r="X236" i="1"/>
  <c r="W236" i="1"/>
  <c r="R236" i="1"/>
  <c r="P236" i="1"/>
  <c r="AD235" i="1"/>
  <c r="AE235" i="1" s="1"/>
  <c r="AG235" i="1" s="1"/>
  <c r="X235" i="1"/>
  <c r="W235" i="1"/>
  <c r="R235" i="1"/>
  <c r="P235" i="1"/>
  <c r="AD234" i="1"/>
  <c r="AE234" i="1" s="1"/>
  <c r="X234" i="1"/>
  <c r="W234" i="1"/>
  <c r="R234" i="1"/>
  <c r="P234" i="1"/>
  <c r="AD233" i="1"/>
  <c r="AE233" i="1" s="1"/>
  <c r="X233" i="1"/>
  <c r="W233" i="1"/>
  <c r="R233" i="1"/>
  <c r="P233" i="1"/>
  <c r="AD232" i="1"/>
  <c r="R232" i="1"/>
  <c r="P232" i="1"/>
  <c r="AD231" i="1"/>
  <c r="AE231" i="1" s="1"/>
  <c r="X231" i="1"/>
  <c r="W231" i="1"/>
  <c r="R231" i="1"/>
  <c r="P231" i="1"/>
  <c r="AD230" i="1"/>
  <c r="R230" i="1"/>
  <c r="P230" i="1"/>
  <c r="AD229" i="1"/>
  <c r="R229" i="1"/>
  <c r="P229" i="1"/>
  <c r="AD228" i="1"/>
  <c r="R228" i="1"/>
  <c r="P228" i="1"/>
  <c r="AD227" i="1"/>
  <c r="R227" i="1"/>
  <c r="P227" i="1"/>
  <c r="AD226" i="1"/>
  <c r="AE226" i="1" s="1"/>
  <c r="AL226" i="1" s="1"/>
  <c r="X226" i="1"/>
  <c r="W226" i="1"/>
  <c r="R226" i="1"/>
  <c r="P226" i="1"/>
  <c r="AD225" i="1"/>
  <c r="AE225" i="1" s="1"/>
  <c r="AF225" i="1" s="1"/>
  <c r="X225" i="1"/>
  <c r="W225" i="1"/>
  <c r="R225" i="1"/>
  <c r="P225" i="1"/>
  <c r="AD224" i="1"/>
  <c r="R224" i="1"/>
  <c r="P224" i="1"/>
  <c r="AD223" i="1"/>
  <c r="AE223" i="1" s="1"/>
  <c r="X223" i="1"/>
  <c r="W223" i="1"/>
  <c r="R223" i="1"/>
  <c r="P223" i="1"/>
  <c r="AD222" i="1"/>
  <c r="R222" i="1"/>
  <c r="P222" i="1"/>
  <c r="AD221" i="1"/>
  <c r="AE221" i="1" s="1"/>
  <c r="X221" i="1"/>
  <c r="W221" i="1"/>
  <c r="R221" i="1"/>
  <c r="P221" i="1"/>
  <c r="AD220" i="1"/>
  <c r="R220" i="1"/>
  <c r="P220" i="1"/>
  <c r="AD219" i="1"/>
  <c r="R219" i="1"/>
  <c r="P219" i="1"/>
  <c r="AD218" i="1"/>
  <c r="R218" i="1"/>
  <c r="P218" i="1"/>
  <c r="AD217" i="1"/>
  <c r="R217" i="1"/>
  <c r="P217" i="1"/>
  <c r="AD216" i="1"/>
  <c r="R216" i="1"/>
  <c r="P216" i="1"/>
  <c r="AD215" i="1"/>
  <c r="R215" i="1"/>
  <c r="P215" i="1"/>
  <c r="AD214" i="1"/>
  <c r="R214" i="1"/>
  <c r="P214" i="1"/>
  <c r="AD213" i="1"/>
  <c r="R213" i="1"/>
  <c r="P213" i="1"/>
  <c r="AD212" i="1"/>
  <c r="R212" i="1"/>
  <c r="P212" i="1"/>
  <c r="AD211" i="1"/>
  <c r="R211" i="1"/>
  <c r="P211" i="1"/>
  <c r="AD210" i="1"/>
  <c r="R210" i="1"/>
  <c r="P210" i="1"/>
  <c r="AD209" i="1"/>
  <c r="R209" i="1"/>
  <c r="P209" i="1"/>
  <c r="AD208" i="1"/>
  <c r="AE208" i="1" s="1"/>
  <c r="X208" i="1"/>
  <c r="W208" i="1"/>
  <c r="R208" i="1"/>
  <c r="P208" i="1"/>
  <c r="AD207" i="1"/>
  <c r="AE207" i="1" s="1"/>
  <c r="X207" i="1"/>
  <c r="W207" i="1"/>
  <c r="R207" i="1"/>
  <c r="P207" i="1"/>
  <c r="AD206" i="1"/>
  <c r="AE206" i="1" s="1"/>
  <c r="X206" i="1"/>
  <c r="W206" i="1"/>
  <c r="R206" i="1"/>
  <c r="P206" i="1"/>
  <c r="AD205" i="1"/>
  <c r="AE205" i="1" s="1"/>
  <c r="AG205" i="1" s="1"/>
  <c r="X205" i="1"/>
  <c r="W205" i="1"/>
  <c r="R205" i="1"/>
  <c r="P205" i="1"/>
  <c r="AD204" i="1"/>
  <c r="AE204" i="1" s="1"/>
  <c r="X204" i="1"/>
  <c r="W204" i="1"/>
  <c r="R204" i="1"/>
  <c r="P204" i="1"/>
  <c r="AD203" i="1"/>
  <c r="AE203" i="1" s="1"/>
  <c r="X203" i="1"/>
  <c r="W203" i="1"/>
  <c r="R203" i="1"/>
  <c r="P203" i="1"/>
  <c r="AD202" i="1"/>
  <c r="AE202" i="1" s="1"/>
  <c r="X202" i="1"/>
  <c r="W202" i="1"/>
  <c r="R202" i="1"/>
  <c r="P202" i="1"/>
  <c r="AD201" i="1"/>
  <c r="R201" i="1"/>
  <c r="P201" i="1"/>
  <c r="AD200" i="1"/>
  <c r="AE200" i="1" s="1"/>
  <c r="X200" i="1"/>
  <c r="W200" i="1"/>
  <c r="R200" i="1"/>
  <c r="P200" i="1"/>
  <c r="AD199" i="1"/>
  <c r="AE199" i="1" s="1"/>
  <c r="X199" i="1"/>
  <c r="W199" i="1"/>
  <c r="R199" i="1"/>
  <c r="P199" i="1"/>
  <c r="AD198" i="1"/>
  <c r="AE198" i="1" s="1"/>
  <c r="X198" i="1"/>
  <c r="W198" i="1"/>
  <c r="R198" i="1"/>
  <c r="P198" i="1"/>
  <c r="AD197" i="1"/>
  <c r="R197" i="1"/>
  <c r="P197" i="1"/>
  <c r="AD196" i="1"/>
  <c r="R196" i="1"/>
  <c r="P196" i="1"/>
  <c r="AD195" i="1"/>
  <c r="R195" i="1"/>
  <c r="P195" i="1"/>
  <c r="AD194" i="1"/>
  <c r="R194" i="1"/>
  <c r="P194" i="1"/>
  <c r="AD193" i="1"/>
  <c r="R193" i="1"/>
  <c r="P193" i="1"/>
  <c r="AD192" i="1"/>
  <c r="R192" i="1"/>
  <c r="P192" i="1"/>
  <c r="AD191" i="1"/>
  <c r="R191" i="1"/>
  <c r="P191" i="1"/>
  <c r="AD190" i="1"/>
  <c r="R190" i="1"/>
  <c r="P190" i="1"/>
  <c r="AD189" i="1"/>
  <c r="R189" i="1"/>
  <c r="P189" i="1"/>
  <c r="AD188" i="1"/>
  <c r="R188" i="1"/>
  <c r="P188" i="1"/>
  <c r="AD187" i="1"/>
  <c r="R187" i="1"/>
  <c r="P187" i="1"/>
  <c r="AD186" i="1"/>
  <c r="R186" i="1"/>
  <c r="P186" i="1"/>
  <c r="AD185" i="1"/>
  <c r="R185" i="1"/>
  <c r="P185" i="1"/>
  <c r="AD184" i="1"/>
  <c r="R184" i="1"/>
  <c r="P184" i="1"/>
  <c r="AD183" i="1"/>
  <c r="R183" i="1"/>
  <c r="P183" i="1"/>
  <c r="AD182" i="1"/>
  <c r="R182" i="1"/>
  <c r="P182" i="1"/>
  <c r="AD181" i="1"/>
  <c r="R181" i="1"/>
  <c r="P181" i="1"/>
  <c r="AD180" i="1"/>
  <c r="R180" i="1"/>
  <c r="P180" i="1"/>
  <c r="AD179" i="1"/>
  <c r="R179" i="1"/>
  <c r="P179" i="1"/>
  <c r="AD178" i="1"/>
  <c r="R178" i="1"/>
  <c r="P178" i="1"/>
  <c r="AD177" i="1"/>
  <c r="R177" i="1"/>
  <c r="P177" i="1"/>
  <c r="AD176" i="1"/>
  <c r="R176" i="1"/>
  <c r="P176" i="1"/>
  <c r="AD175" i="1"/>
  <c r="R175" i="1"/>
  <c r="P175" i="1"/>
  <c r="AD174" i="1"/>
  <c r="R174" i="1"/>
  <c r="P174" i="1"/>
  <c r="AD173" i="1"/>
  <c r="R173" i="1"/>
  <c r="P173" i="1"/>
  <c r="AD172" i="1"/>
  <c r="R172" i="1"/>
  <c r="P172" i="1"/>
  <c r="AD171" i="1"/>
  <c r="AE171" i="1" s="1"/>
  <c r="X171" i="1"/>
  <c r="W171" i="1"/>
  <c r="R171" i="1"/>
  <c r="P171" i="1"/>
  <c r="AD170" i="1"/>
  <c r="AE170" i="1" s="1"/>
  <c r="X170" i="1"/>
  <c r="W170" i="1"/>
  <c r="R170" i="1"/>
  <c r="P170" i="1"/>
  <c r="AD169" i="1"/>
  <c r="AE169" i="1" s="1"/>
  <c r="AG169" i="1" s="1"/>
  <c r="X169" i="1"/>
  <c r="W169" i="1"/>
  <c r="R169" i="1"/>
  <c r="P169" i="1"/>
  <c r="AD168" i="1"/>
  <c r="AE168" i="1" s="1"/>
  <c r="AL168" i="1" s="1"/>
  <c r="X168" i="1"/>
  <c r="W168" i="1"/>
  <c r="R168" i="1"/>
  <c r="P168" i="1"/>
  <c r="AD167" i="1"/>
  <c r="AE167" i="1" s="1"/>
  <c r="X167" i="1"/>
  <c r="W167" i="1"/>
  <c r="R167" i="1"/>
  <c r="P167" i="1"/>
  <c r="AD166" i="1"/>
  <c r="AE166" i="1" s="1"/>
  <c r="X166" i="1"/>
  <c r="W166" i="1"/>
  <c r="R166" i="1"/>
  <c r="P166" i="1"/>
  <c r="AD165" i="1"/>
  <c r="AE165" i="1" s="1"/>
  <c r="AG165" i="1" s="1"/>
  <c r="X165" i="1"/>
  <c r="W165" i="1"/>
  <c r="R165" i="1"/>
  <c r="P165" i="1"/>
  <c r="AD164" i="1"/>
  <c r="R164" i="1"/>
  <c r="P164" i="1"/>
  <c r="AD163" i="1"/>
  <c r="AE163" i="1" s="1"/>
  <c r="X163" i="1"/>
  <c r="W163" i="1"/>
  <c r="R163" i="1"/>
  <c r="P163" i="1"/>
  <c r="AD162" i="1"/>
  <c r="R162" i="1"/>
  <c r="P162" i="1"/>
  <c r="AD161" i="1"/>
  <c r="AE161" i="1" s="1"/>
  <c r="AL161" i="1" s="1"/>
  <c r="X161" i="1"/>
  <c r="W161" i="1"/>
  <c r="R161" i="1"/>
  <c r="P161" i="1"/>
  <c r="AD160" i="1"/>
  <c r="R160" i="1"/>
  <c r="P160" i="1"/>
  <c r="AD159" i="1"/>
  <c r="R159" i="1"/>
  <c r="P159" i="1"/>
  <c r="AD158" i="1"/>
  <c r="AE158" i="1" s="1"/>
  <c r="X158" i="1"/>
  <c r="W158" i="1"/>
  <c r="R158" i="1"/>
  <c r="P158" i="1"/>
  <c r="AD157" i="1"/>
  <c r="AE157" i="1" s="1"/>
  <c r="X157" i="1"/>
  <c r="W157" i="1"/>
  <c r="R157" i="1"/>
  <c r="P157" i="1"/>
  <c r="AD156" i="1"/>
  <c r="AE156" i="1" s="1"/>
  <c r="AL156" i="1" s="1"/>
  <c r="X156" i="1"/>
  <c r="W156" i="1"/>
  <c r="R156" i="1"/>
  <c r="P156" i="1"/>
  <c r="AD155" i="1"/>
  <c r="AE155" i="1" s="1"/>
  <c r="X155" i="1"/>
  <c r="W155" i="1"/>
  <c r="R155" i="1"/>
  <c r="P155" i="1"/>
  <c r="AD154" i="1"/>
  <c r="AE154" i="1" s="1"/>
  <c r="X154" i="1"/>
  <c r="W154" i="1"/>
  <c r="R154" i="1"/>
  <c r="P154" i="1"/>
  <c r="AD153" i="1"/>
  <c r="AE153" i="1" s="1"/>
  <c r="X153" i="1"/>
  <c r="W153" i="1"/>
  <c r="R153" i="1"/>
  <c r="P153" i="1"/>
  <c r="AD152" i="1"/>
  <c r="AE152" i="1" s="1"/>
  <c r="X152" i="1"/>
  <c r="W152" i="1"/>
  <c r="R152" i="1"/>
  <c r="P152" i="1"/>
  <c r="AD151" i="1"/>
  <c r="AE151" i="1" s="1"/>
  <c r="X151" i="1"/>
  <c r="W151" i="1"/>
  <c r="R151" i="1"/>
  <c r="P151" i="1"/>
  <c r="AD150" i="1"/>
  <c r="AE150" i="1" s="1"/>
  <c r="AG150" i="1" s="1"/>
  <c r="X150" i="1"/>
  <c r="W150" i="1"/>
  <c r="R150" i="1"/>
  <c r="P150" i="1"/>
  <c r="AD149" i="1"/>
  <c r="AE149" i="1" s="1"/>
  <c r="X149" i="1"/>
  <c r="W149" i="1"/>
  <c r="R149" i="1"/>
  <c r="P149" i="1"/>
  <c r="AD148" i="1"/>
  <c r="R148" i="1"/>
  <c r="P148" i="1"/>
  <c r="AD147" i="1"/>
  <c r="AE147" i="1" s="1"/>
  <c r="X147" i="1"/>
  <c r="W147" i="1"/>
  <c r="R147" i="1"/>
  <c r="P147" i="1"/>
  <c r="AD146" i="1"/>
  <c r="R146" i="1"/>
  <c r="P146" i="1"/>
  <c r="AD145" i="1"/>
  <c r="R145" i="1"/>
  <c r="P145" i="1"/>
  <c r="AD144" i="1"/>
  <c r="AE144" i="1" s="1"/>
  <c r="AG144" i="1" s="1"/>
  <c r="X144" i="1"/>
  <c r="W144" i="1"/>
  <c r="R144" i="1"/>
  <c r="P144" i="1"/>
  <c r="AD143" i="1"/>
  <c r="R143" i="1"/>
  <c r="P143" i="1"/>
  <c r="AD142" i="1"/>
  <c r="AE142" i="1" s="1"/>
  <c r="AL142" i="1" s="1"/>
  <c r="X142" i="1"/>
  <c r="W142" i="1"/>
  <c r="R142" i="1"/>
  <c r="P142" i="1"/>
  <c r="AD141" i="1"/>
  <c r="R141" i="1"/>
  <c r="P141" i="1"/>
  <c r="AD140" i="1"/>
  <c r="AE140" i="1" s="1"/>
  <c r="X140" i="1"/>
  <c r="W140" i="1"/>
  <c r="R140" i="1"/>
  <c r="P140" i="1"/>
  <c r="AD139" i="1"/>
  <c r="R139" i="1"/>
  <c r="P139" i="1"/>
  <c r="AD138" i="1"/>
  <c r="AE138" i="1" s="1"/>
  <c r="AF138" i="1" s="1"/>
  <c r="X138" i="1"/>
  <c r="W138" i="1"/>
  <c r="R138" i="1"/>
  <c r="P138" i="1"/>
  <c r="AD137" i="1"/>
  <c r="AE137" i="1" s="1"/>
  <c r="X137" i="1"/>
  <c r="W137" i="1"/>
  <c r="R137" i="1"/>
  <c r="P137" i="1"/>
  <c r="AD136" i="1"/>
  <c r="AE136" i="1" s="1"/>
  <c r="AF136" i="1" s="1"/>
  <c r="X136" i="1"/>
  <c r="W136" i="1"/>
  <c r="R136" i="1"/>
  <c r="P136" i="1"/>
  <c r="AD135" i="1"/>
  <c r="AE135" i="1" s="1"/>
  <c r="AL135" i="1" s="1"/>
  <c r="X135" i="1"/>
  <c r="W135" i="1"/>
  <c r="R135" i="1"/>
  <c r="P135" i="1"/>
  <c r="AD134" i="1"/>
  <c r="AE134" i="1" s="1"/>
  <c r="AL134" i="1" s="1"/>
  <c r="X134" i="1"/>
  <c r="W134" i="1"/>
  <c r="R134" i="1"/>
  <c r="P134" i="1"/>
  <c r="AD133" i="1"/>
  <c r="AE133" i="1" s="1"/>
  <c r="X133" i="1"/>
  <c r="W133" i="1"/>
  <c r="R133" i="1"/>
  <c r="P133" i="1"/>
  <c r="AD132" i="1"/>
  <c r="AE132" i="1" s="1"/>
  <c r="AG132" i="1" s="1"/>
  <c r="X132" i="1"/>
  <c r="W132" i="1"/>
  <c r="R132" i="1"/>
  <c r="P132" i="1"/>
  <c r="AD131" i="1"/>
  <c r="R131" i="1"/>
  <c r="P131" i="1"/>
  <c r="AD130" i="1"/>
  <c r="R130" i="1"/>
  <c r="P130" i="1"/>
  <c r="AD129" i="1"/>
  <c r="R129" i="1"/>
  <c r="P129" i="1"/>
  <c r="AD128" i="1"/>
  <c r="AE128" i="1" s="1"/>
  <c r="AF128" i="1" s="1"/>
  <c r="X128" i="1"/>
  <c r="W128" i="1"/>
  <c r="R128" i="1"/>
  <c r="P128" i="1"/>
  <c r="AD127" i="1"/>
  <c r="R127" i="1"/>
  <c r="P127" i="1"/>
  <c r="AD126" i="1"/>
  <c r="R126" i="1"/>
  <c r="P126" i="1"/>
  <c r="AD125" i="1"/>
  <c r="R125" i="1"/>
  <c r="P125" i="1"/>
  <c r="AD124" i="1"/>
  <c r="AE124" i="1" s="1"/>
  <c r="AL124" i="1" s="1"/>
  <c r="X124" i="1"/>
  <c r="W124" i="1"/>
  <c r="R124" i="1"/>
  <c r="P124" i="1"/>
  <c r="AD123" i="1"/>
  <c r="R123" i="1"/>
  <c r="P123" i="1"/>
  <c r="AD122" i="1"/>
  <c r="R122" i="1"/>
  <c r="P122" i="1"/>
  <c r="AD121" i="1"/>
  <c r="R121" i="1"/>
  <c r="P121" i="1"/>
  <c r="AD120" i="1"/>
  <c r="R120" i="1"/>
  <c r="P120" i="1"/>
  <c r="AD119" i="1"/>
  <c r="R119" i="1"/>
  <c r="P119" i="1"/>
  <c r="AD118" i="1"/>
  <c r="R118" i="1"/>
  <c r="P118" i="1"/>
  <c r="AD117" i="1"/>
  <c r="R117" i="1"/>
  <c r="P117" i="1"/>
  <c r="AD116" i="1"/>
  <c r="R116" i="1"/>
  <c r="P116" i="1"/>
  <c r="AD115" i="1"/>
  <c r="AE115" i="1" s="1"/>
  <c r="X115" i="1"/>
  <c r="W115" i="1"/>
  <c r="R115" i="1"/>
  <c r="P115" i="1"/>
  <c r="AD114" i="1"/>
  <c r="AE114" i="1" s="1"/>
  <c r="X114" i="1"/>
  <c r="W114" i="1"/>
  <c r="R114" i="1"/>
  <c r="P114" i="1"/>
  <c r="AD113" i="1"/>
  <c r="R113" i="1"/>
  <c r="P113" i="1"/>
  <c r="AD112" i="1"/>
  <c r="AE112" i="1" s="1"/>
  <c r="X112" i="1"/>
  <c r="W112" i="1"/>
  <c r="R112" i="1"/>
  <c r="P112" i="1"/>
  <c r="AD111" i="1"/>
  <c r="AE111" i="1" s="1"/>
  <c r="X111" i="1"/>
  <c r="W111" i="1"/>
  <c r="R111" i="1"/>
  <c r="P111" i="1"/>
  <c r="AD110" i="1"/>
  <c r="R110" i="1"/>
  <c r="P110" i="1"/>
  <c r="AD109" i="1"/>
  <c r="R109" i="1"/>
  <c r="P109" i="1"/>
  <c r="AD108" i="1"/>
  <c r="R108" i="1"/>
  <c r="P108" i="1"/>
  <c r="AD107" i="1"/>
  <c r="AE107" i="1" s="1"/>
  <c r="AF107" i="1" s="1"/>
  <c r="X107" i="1"/>
  <c r="W107" i="1"/>
  <c r="R107" i="1"/>
  <c r="P107" i="1"/>
  <c r="AD106" i="1"/>
  <c r="R106" i="1"/>
  <c r="P106" i="1"/>
  <c r="T145" i="1" l="1"/>
  <c r="T205" i="1"/>
  <c r="U205" i="1" s="1"/>
  <c r="T241" i="1"/>
  <c r="T213" i="1"/>
  <c r="S213" i="1" s="1"/>
  <c r="Y213" i="1" s="1"/>
  <c r="T239" i="1"/>
  <c r="U239" i="1" s="1"/>
  <c r="V239" i="1" s="1"/>
  <c r="W239" i="1" s="1"/>
  <c r="T176" i="1"/>
  <c r="S176" i="1" s="1"/>
  <c r="Y176" i="1" s="1"/>
  <c r="T247" i="1"/>
  <c r="U247" i="1" s="1"/>
  <c r="T122" i="1"/>
  <c r="S122" i="1" s="1"/>
  <c r="Y122" i="1" s="1"/>
  <c r="T148" i="1"/>
  <c r="S148" i="1" s="1"/>
  <c r="Y148" i="1" s="1"/>
  <c r="T160" i="1"/>
  <c r="S160" i="1" s="1"/>
  <c r="Y160" i="1" s="1"/>
  <c r="T164" i="1"/>
  <c r="U164" i="1" s="1"/>
  <c r="V164" i="1" s="1"/>
  <c r="T178" i="1"/>
  <c r="U178" i="1" s="1"/>
  <c r="V178" i="1" s="1"/>
  <c r="T232" i="1"/>
  <c r="U232" i="1" s="1"/>
  <c r="V232" i="1" s="1"/>
  <c r="T147" i="1"/>
  <c r="S147" i="1" s="1"/>
  <c r="Y147" i="1" s="1"/>
  <c r="AW147" i="1" s="1"/>
  <c r="T157" i="1"/>
  <c r="U157" i="1" s="1"/>
  <c r="T161" i="1"/>
  <c r="U161" i="1" s="1"/>
  <c r="T203" i="1"/>
  <c r="U203" i="1" s="1"/>
  <c r="T231" i="1"/>
  <c r="S231" i="1" s="1"/>
  <c r="Y231" i="1" s="1"/>
  <c r="AW231" i="1" s="1"/>
  <c r="T183" i="1"/>
  <c r="U183" i="1" s="1"/>
  <c r="V183" i="1" s="1"/>
  <c r="W183" i="1" s="1"/>
  <c r="T191" i="1"/>
  <c r="U191" i="1" s="1"/>
  <c r="V191" i="1" s="1"/>
  <c r="X191" i="1" s="1"/>
  <c r="T120" i="1"/>
  <c r="U120" i="1" s="1"/>
  <c r="V120" i="1" s="1"/>
  <c r="W120" i="1" s="1"/>
  <c r="T159" i="1"/>
  <c r="S159" i="1" s="1"/>
  <c r="Y159" i="1" s="1"/>
  <c r="T200" i="1"/>
  <c r="U200" i="1" s="1"/>
  <c r="T202" i="1"/>
  <c r="U202" i="1" s="1"/>
  <c r="T234" i="1"/>
  <c r="U234" i="1" s="1"/>
  <c r="T125" i="1"/>
  <c r="S125" i="1" s="1"/>
  <c r="Y125" i="1" s="1"/>
  <c r="T154" i="1"/>
  <c r="S154" i="1" s="1"/>
  <c r="Y154" i="1" s="1"/>
  <c r="AW154" i="1" s="1"/>
  <c r="T170" i="1"/>
  <c r="U170" i="1" s="1"/>
  <c r="T174" i="1"/>
  <c r="T238" i="1"/>
  <c r="U238" i="1" s="1"/>
  <c r="T107" i="1"/>
  <c r="S107" i="1" s="1"/>
  <c r="Y107" i="1" s="1"/>
  <c r="AW107" i="1" s="1"/>
  <c r="T229" i="1"/>
  <c r="S229" i="1" s="1"/>
  <c r="Y229" i="1" s="1"/>
  <c r="T113" i="1"/>
  <c r="U113" i="1" s="1"/>
  <c r="V113" i="1" s="1"/>
  <c r="AE113" i="1" s="1"/>
  <c r="T181" i="1"/>
  <c r="S181" i="1" s="1"/>
  <c r="Y181" i="1" s="1"/>
  <c r="T106" i="1"/>
  <c r="T111" i="1"/>
  <c r="T151" i="1"/>
  <c r="S151" i="1" s="1"/>
  <c r="Y151" i="1" s="1"/>
  <c r="AW151" i="1" s="1"/>
  <c r="T212" i="1"/>
  <c r="U212" i="1" s="1"/>
  <c r="V212" i="1" s="1"/>
  <c r="T228" i="1"/>
  <c r="U228" i="1" s="1"/>
  <c r="V228" i="1" s="1"/>
  <c r="AE228" i="1" s="1"/>
  <c r="AL228" i="1" s="1"/>
  <c r="T242" i="1"/>
  <c r="S242" i="1" s="1"/>
  <c r="Y242" i="1" s="1"/>
  <c r="T256" i="1"/>
  <c r="U256" i="1" s="1"/>
  <c r="V256" i="1" s="1"/>
  <c r="T193" i="1"/>
  <c r="S193" i="1" s="1"/>
  <c r="Y193" i="1" s="1"/>
  <c r="T208" i="1"/>
  <c r="U208" i="1" s="1"/>
  <c r="T131" i="1"/>
  <c r="U131" i="1" s="1"/>
  <c r="V131" i="1" s="1"/>
  <c r="X131" i="1" s="1"/>
  <c r="T109" i="1"/>
  <c r="S109" i="1" s="1"/>
  <c r="Y109" i="1" s="1"/>
  <c r="T117" i="1"/>
  <c r="S117" i="1" s="1"/>
  <c r="Y117" i="1" s="1"/>
  <c r="T156" i="1"/>
  <c r="U156" i="1" s="1"/>
  <c r="T167" i="1"/>
  <c r="U167" i="1" s="1"/>
  <c r="T227" i="1"/>
  <c r="U227" i="1" s="1"/>
  <c r="V227" i="1" s="1"/>
  <c r="T243" i="1"/>
  <c r="S243" i="1" s="1"/>
  <c r="Y243" i="1" s="1"/>
  <c r="T123" i="1"/>
  <c r="T129" i="1"/>
  <c r="U129" i="1" s="1"/>
  <c r="V129" i="1" s="1"/>
  <c r="T135" i="1"/>
  <c r="U135" i="1" s="1"/>
  <c r="T140" i="1"/>
  <c r="S140" i="1" s="1"/>
  <c r="Y140" i="1" s="1"/>
  <c r="AW140" i="1" s="1"/>
  <c r="T175" i="1"/>
  <c r="U175" i="1" s="1"/>
  <c r="V175" i="1" s="1"/>
  <c r="W175" i="1" s="1"/>
  <c r="T177" i="1"/>
  <c r="S177" i="1" s="1"/>
  <c r="Y177" i="1" s="1"/>
  <c r="T180" i="1"/>
  <c r="U180" i="1" s="1"/>
  <c r="V180" i="1" s="1"/>
  <c r="X180" i="1" s="1"/>
  <c r="T217" i="1"/>
  <c r="S217" i="1" s="1"/>
  <c r="Y217" i="1" s="1"/>
  <c r="T110" i="1"/>
  <c r="S110" i="1" s="1"/>
  <c r="Y110" i="1" s="1"/>
  <c r="T112" i="1"/>
  <c r="U112" i="1" s="1"/>
  <c r="T114" i="1"/>
  <c r="S114" i="1" s="1"/>
  <c r="Y114" i="1" s="1"/>
  <c r="AW114" i="1" s="1"/>
  <c r="T220" i="1"/>
  <c r="U220" i="1" s="1"/>
  <c r="V220" i="1" s="1"/>
  <c r="T226" i="1"/>
  <c r="S226" i="1" s="1"/>
  <c r="Y226" i="1" s="1"/>
  <c r="AW226" i="1" s="1"/>
  <c r="T233" i="1"/>
  <c r="S233" i="1" s="1"/>
  <c r="Y233" i="1" s="1"/>
  <c r="AW233" i="1" s="1"/>
  <c r="T108" i="1"/>
  <c r="S108" i="1" s="1"/>
  <c r="Y108" i="1" s="1"/>
  <c r="T116" i="1"/>
  <c r="U116" i="1" s="1"/>
  <c r="V116" i="1" s="1"/>
  <c r="X116" i="1" s="1"/>
  <c r="AG156" i="1"/>
  <c r="T168" i="1"/>
  <c r="U168" i="1" s="1"/>
  <c r="T218" i="1"/>
  <c r="U218" i="1" s="1"/>
  <c r="V218" i="1" s="1"/>
  <c r="W218" i="1" s="1"/>
  <c r="T236" i="1"/>
  <c r="U236" i="1" s="1"/>
  <c r="T139" i="1"/>
  <c r="U139" i="1" s="1"/>
  <c r="V139" i="1" s="1"/>
  <c r="T197" i="1"/>
  <c r="S197" i="1" s="1"/>
  <c r="Y197" i="1" s="1"/>
  <c r="T250" i="1"/>
  <c r="S250" i="1" s="1"/>
  <c r="Y250" i="1" s="1"/>
  <c r="AW250" i="1" s="1"/>
  <c r="AL233" i="1"/>
  <c r="AG233" i="1"/>
  <c r="AF233" i="1"/>
  <c r="T149" i="1"/>
  <c r="S149" i="1" s="1"/>
  <c r="Y149" i="1" s="1"/>
  <c r="AW149" i="1" s="1"/>
  <c r="T171" i="1"/>
  <c r="S171" i="1" s="1"/>
  <c r="Y171" i="1" s="1"/>
  <c r="AW171" i="1" s="1"/>
  <c r="T198" i="1"/>
  <c r="S198" i="1" s="1"/>
  <c r="Y198" i="1" s="1"/>
  <c r="AW198" i="1" s="1"/>
  <c r="T206" i="1"/>
  <c r="S206" i="1" s="1"/>
  <c r="Y206" i="1" s="1"/>
  <c r="AW206" i="1" s="1"/>
  <c r="T209" i="1"/>
  <c r="S209" i="1" s="1"/>
  <c r="Y209" i="1" s="1"/>
  <c r="T214" i="1"/>
  <c r="U214" i="1" s="1"/>
  <c r="V214" i="1" s="1"/>
  <c r="AE214" i="1" s="1"/>
  <c r="AL214" i="1" s="1"/>
  <c r="T249" i="1"/>
  <c r="S249" i="1" s="1"/>
  <c r="Y249" i="1" s="1"/>
  <c r="AW249" i="1" s="1"/>
  <c r="T124" i="1"/>
  <c r="U124" i="1" s="1"/>
  <c r="T134" i="1"/>
  <c r="S134" i="1" s="1"/>
  <c r="Y134" i="1" s="1"/>
  <c r="AW134" i="1" s="1"/>
  <c r="T138" i="1"/>
  <c r="S138" i="1" s="1"/>
  <c r="Y138" i="1" s="1"/>
  <c r="AW138" i="1" s="1"/>
  <c r="T142" i="1"/>
  <c r="T143" i="1"/>
  <c r="S143" i="1" s="1"/>
  <c r="Y143" i="1" s="1"/>
  <c r="T152" i="1"/>
  <c r="S152" i="1" s="1"/>
  <c r="Y152" i="1" s="1"/>
  <c r="AW152" i="1" s="1"/>
  <c r="T158" i="1"/>
  <c r="S158" i="1" s="1"/>
  <c r="Y158" i="1" s="1"/>
  <c r="AW158" i="1" s="1"/>
  <c r="T186" i="1"/>
  <c r="U186" i="1" s="1"/>
  <c r="V186" i="1" s="1"/>
  <c r="T244" i="1"/>
  <c r="U244" i="1" s="1"/>
  <c r="AL245" i="1"/>
  <c r="T255" i="1"/>
  <c r="U255" i="1" s="1"/>
  <c r="V255" i="1" s="1"/>
  <c r="T133" i="1"/>
  <c r="S133" i="1" s="1"/>
  <c r="Y133" i="1" s="1"/>
  <c r="AW133" i="1" s="1"/>
  <c r="T222" i="1"/>
  <c r="S222" i="1" s="1"/>
  <c r="Y222" i="1" s="1"/>
  <c r="T235" i="1"/>
  <c r="U235" i="1" s="1"/>
  <c r="T246" i="1"/>
  <c r="U246" i="1" s="1"/>
  <c r="T251" i="1"/>
  <c r="S251" i="1" s="1"/>
  <c r="Y251" i="1" s="1"/>
  <c r="T144" i="1"/>
  <c r="U144" i="1" s="1"/>
  <c r="T172" i="1"/>
  <c r="S172" i="1" s="1"/>
  <c r="Y172" i="1" s="1"/>
  <c r="T182" i="1"/>
  <c r="U182" i="1" s="1"/>
  <c r="V182" i="1" s="1"/>
  <c r="AF135" i="1"/>
  <c r="T137" i="1"/>
  <c r="U137" i="1" s="1"/>
  <c r="T245" i="1"/>
  <c r="U245" i="1" s="1"/>
  <c r="AG134" i="1"/>
  <c r="AG135" i="1"/>
  <c r="T150" i="1"/>
  <c r="U150" i="1" s="1"/>
  <c r="T185" i="1"/>
  <c r="S185" i="1" s="1"/>
  <c r="Y185" i="1" s="1"/>
  <c r="T195" i="1"/>
  <c r="U195" i="1" s="1"/>
  <c r="V195" i="1" s="1"/>
  <c r="AE195" i="1" s="1"/>
  <c r="AL195" i="1" s="1"/>
  <c r="T211" i="1"/>
  <c r="T216" i="1"/>
  <c r="U216" i="1" s="1"/>
  <c r="V216" i="1" s="1"/>
  <c r="T223" i="1"/>
  <c r="S223" i="1" s="1"/>
  <c r="Y223" i="1" s="1"/>
  <c r="AW223" i="1" s="1"/>
  <c r="T225" i="1"/>
  <c r="S225" i="1" s="1"/>
  <c r="Y225" i="1" s="1"/>
  <c r="AW225" i="1" s="1"/>
  <c r="T248" i="1"/>
  <c r="S248" i="1" s="1"/>
  <c r="Y248" i="1" s="1"/>
  <c r="T252" i="1"/>
  <c r="S252" i="1" s="1"/>
  <c r="Y252" i="1" s="1"/>
  <c r="T254" i="1"/>
  <c r="U254" i="1" s="1"/>
  <c r="V254" i="1" s="1"/>
  <c r="X254" i="1" s="1"/>
  <c r="S239" i="1"/>
  <c r="Y239" i="1" s="1"/>
  <c r="AL223" i="1"/>
  <c r="AG223" i="1"/>
  <c r="AF223" i="1"/>
  <c r="AG153" i="1"/>
  <c r="AL153" i="1"/>
  <c r="AF153" i="1"/>
  <c r="AF206" i="1"/>
  <c r="AL206" i="1"/>
  <c r="AG206" i="1"/>
  <c r="AF140" i="1"/>
  <c r="AL140" i="1"/>
  <c r="AF152" i="1"/>
  <c r="AL152" i="1"/>
  <c r="AG152" i="1"/>
  <c r="AG238" i="1"/>
  <c r="AL238" i="1"/>
  <c r="AF238" i="1"/>
  <c r="T127" i="1"/>
  <c r="S127" i="1" s="1"/>
  <c r="Y127" i="1" s="1"/>
  <c r="AF205" i="1"/>
  <c r="AF161" i="1"/>
  <c r="AL165" i="1"/>
  <c r="T173" i="1"/>
  <c r="S173" i="1" s="1"/>
  <c r="Y173" i="1" s="1"/>
  <c r="T128" i="1"/>
  <c r="S128" i="1" s="1"/>
  <c r="Y128" i="1" s="1"/>
  <c r="AW128" i="1" s="1"/>
  <c r="T141" i="1"/>
  <c r="S141" i="1" s="1"/>
  <c r="Y141" i="1" s="1"/>
  <c r="AG161" i="1"/>
  <c r="T184" i="1"/>
  <c r="S184" i="1" s="1"/>
  <c r="Y184" i="1" s="1"/>
  <c r="S205" i="1"/>
  <c r="Y205" i="1" s="1"/>
  <c r="AW205" i="1" s="1"/>
  <c r="T118" i="1"/>
  <c r="S118" i="1" s="1"/>
  <c r="Y118" i="1" s="1"/>
  <c r="T132" i="1"/>
  <c r="U132" i="1" s="1"/>
  <c r="T155" i="1"/>
  <c r="T162" i="1"/>
  <c r="T189" i="1"/>
  <c r="U189" i="1" s="1"/>
  <c r="V189" i="1" s="1"/>
  <c r="W189" i="1" s="1"/>
  <c r="T194" i="1"/>
  <c r="T201" i="1"/>
  <c r="U201" i="1" s="1"/>
  <c r="V201" i="1" s="1"/>
  <c r="T204" i="1"/>
  <c r="S204" i="1" s="1"/>
  <c r="Y204" i="1" s="1"/>
  <c r="AW204" i="1" s="1"/>
  <c r="T207" i="1"/>
  <c r="S207" i="1" s="1"/>
  <c r="Y207" i="1" s="1"/>
  <c r="AW207" i="1" s="1"/>
  <c r="T210" i="1"/>
  <c r="T221" i="1"/>
  <c r="U221" i="1" s="1"/>
  <c r="T230" i="1"/>
  <c r="T253" i="1"/>
  <c r="U253" i="1" s="1"/>
  <c r="AG107" i="1"/>
  <c r="T146" i="1"/>
  <c r="S146" i="1" s="1"/>
  <c r="Y146" i="1" s="1"/>
  <c r="T187" i="1"/>
  <c r="S187" i="1" s="1"/>
  <c r="Y187" i="1" s="1"/>
  <c r="T215" i="1"/>
  <c r="U215" i="1" s="1"/>
  <c r="V215" i="1" s="1"/>
  <c r="T224" i="1"/>
  <c r="U224" i="1" s="1"/>
  <c r="V224" i="1" s="1"/>
  <c r="AF226" i="1"/>
  <c r="AL144" i="1"/>
  <c r="AF165" i="1"/>
  <c r="AL107" i="1"/>
  <c r="T115" i="1"/>
  <c r="U115" i="1" s="1"/>
  <c r="T119" i="1"/>
  <c r="S119" i="1" s="1"/>
  <c r="Y119" i="1" s="1"/>
  <c r="T121" i="1"/>
  <c r="S121" i="1" s="1"/>
  <c r="Y121" i="1" s="1"/>
  <c r="AF156" i="1"/>
  <c r="T190" i="1"/>
  <c r="U190" i="1" s="1"/>
  <c r="V190" i="1" s="1"/>
  <c r="T199" i="1"/>
  <c r="S199" i="1" s="1"/>
  <c r="Y199" i="1" s="1"/>
  <c r="AW199" i="1" s="1"/>
  <c r="U213" i="1"/>
  <c r="V213" i="1" s="1"/>
  <c r="X213" i="1" s="1"/>
  <c r="AW213" i="1" s="1"/>
  <c r="AG226" i="1"/>
  <c r="T237" i="1"/>
  <c r="U237" i="1" s="1"/>
  <c r="AF245" i="1"/>
  <c r="AG111" i="1"/>
  <c r="AF111" i="1"/>
  <c r="AL111" i="1"/>
  <c r="AG133" i="1"/>
  <c r="AF133" i="1"/>
  <c r="AL133" i="1"/>
  <c r="AL202" i="1"/>
  <c r="AF202" i="1"/>
  <c r="AG202" i="1"/>
  <c r="AL115" i="1"/>
  <c r="AG115" i="1"/>
  <c r="AF115" i="1"/>
  <c r="AL112" i="1"/>
  <c r="AG112" i="1"/>
  <c r="AF112" i="1"/>
  <c r="S112" i="1"/>
  <c r="Y112" i="1" s="1"/>
  <c r="AW112" i="1" s="1"/>
  <c r="X120" i="1"/>
  <c r="AG114" i="1"/>
  <c r="AF114" i="1"/>
  <c r="AL114" i="1"/>
  <c r="AF137" i="1"/>
  <c r="AL137" i="1"/>
  <c r="AG137" i="1"/>
  <c r="U145" i="1"/>
  <c r="V145" i="1" s="1"/>
  <c r="S145" i="1"/>
  <c r="Y145" i="1" s="1"/>
  <c r="AF151" i="1"/>
  <c r="AG151" i="1"/>
  <c r="AL199" i="1"/>
  <c r="AF199" i="1"/>
  <c r="AL244" i="1"/>
  <c r="AG244" i="1"/>
  <c r="AF244" i="1"/>
  <c r="AG124" i="1"/>
  <c r="AL128" i="1"/>
  <c r="AL132" i="1"/>
  <c r="T136" i="1"/>
  <c r="AL151" i="1"/>
  <c r="T169" i="1"/>
  <c r="AG199" i="1"/>
  <c r="AL200" i="1"/>
  <c r="AG200" i="1"/>
  <c r="AF200" i="1"/>
  <c r="AF124" i="1"/>
  <c r="AL149" i="1"/>
  <c r="AG149" i="1"/>
  <c r="AF149" i="1"/>
  <c r="AL167" i="1"/>
  <c r="AG167" i="1"/>
  <c r="AF167" i="1"/>
  <c r="AF150" i="1"/>
  <c r="AL150" i="1"/>
  <c r="AG128" i="1"/>
  <c r="AG138" i="1"/>
  <c r="AF147" i="1"/>
  <c r="AG147" i="1"/>
  <c r="AL155" i="1"/>
  <c r="AG155" i="1"/>
  <c r="AF155" i="1"/>
  <c r="AG166" i="1"/>
  <c r="AF166" i="1"/>
  <c r="AL136" i="1"/>
  <c r="AG136" i="1"/>
  <c r="AF158" i="1"/>
  <c r="AL158" i="1"/>
  <c r="AG158" i="1"/>
  <c r="AL157" i="1"/>
  <c r="AG157" i="1"/>
  <c r="AF157" i="1"/>
  <c r="T130" i="1"/>
  <c r="AF134" i="1"/>
  <c r="AL138" i="1"/>
  <c r="AL147" i="1"/>
  <c r="AG163" i="1"/>
  <c r="AL163" i="1"/>
  <c r="AF163" i="1"/>
  <c r="AL166" i="1"/>
  <c r="AF171" i="1"/>
  <c r="AL171" i="1"/>
  <c r="AG171" i="1"/>
  <c r="AL246" i="1"/>
  <c r="AG246" i="1"/>
  <c r="AF246" i="1"/>
  <c r="AF132" i="1"/>
  <c r="AG154" i="1"/>
  <c r="AL154" i="1"/>
  <c r="AF154" i="1"/>
  <c r="AF170" i="1"/>
  <c r="AL170" i="1"/>
  <c r="T126" i="1"/>
  <c r="AG140" i="1"/>
  <c r="AG142" i="1"/>
  <c r="AF142" i="1"/>
  <c r="AL169" i="1"/>
  <c r="AF169" i="1"/>
  <c r="AG170" i="1"/>
  <c r="AG198" i="1"/>
  <c r="AF198" i="1"/>
  <c r="AL198" i="1"/>
  <c r="AL203" i="1"/>
  <c r="AG203" i="1"/>
  <c r="AF203" i="1"/>
  <c r="AL207" i="1"/>
  <c r="AG207" i="1"/>
  <c r="AL208" i="1"/>
  <c r="AG208" i="1"/>
  <c r="AL234" i="1"/>
  <c r="AG234" i="1"/>
  <c r="AF234" i="1"/>
  <c r="T163" i="1"/>
  <c r="T165" i="1"/>
  <c r="T179" i="1"/>
  <c r="AF207" i="1"/>
  <c r="AF208" i="1"/>
  <c r="S232" i="1"/>
  <c r="Y232" i="1" s="1"/>
  <c r="U174" i="1"/>
  <c r="V174" i="1" s="1"/>
  <c r="S174" i="1"/>
  <c r="Y174" i="1" s="1"/>
  <c r="AF168" i="1"/>
  <c r="U241" i="1"/>
  <c r="V241" i="1" s="1"/>
  <c r="S241" i="1"/>
  <c r="Y241" i="1" s="1"/>
  <c r="AF144" i="1"/>
  <c r="T153" i="1"/>
  <c r="T166" i="1"/>
  <c r="AG168" i="1"/>
  <c r="T192" i="1"/>
  <c r="T219" i="1"/>
  <c r="T240" i="1"/>
  <c r="T188" i="1"/>
  <c r="AL204" i="1"/>
  <c r="AG204" i="1"/>
  <c r="AF204" i="1"/>
  <c r="AL221" i="1"/>
  <c r="AG221" i="1"/>
  <c r="AF221" i="1"/>
  <c r="AL253" i="1"/>
  <c r="AG253" i="1"/>
  <c r="AF253" i="1"/>
  <c r="T196" i="1"/>
  <c r="AL205" i="1"/>
  <c r="AL225" i="1"/>
  <c r="AG225" i="1"/>
  <c r="AE230" i="1"/>
  <c r="AL231" i="1"/>
  <c r="AG231" i="1"/>
  <c r="AF231" i="1"/>
  <c r="AL250" i="1"/>
  <c r="AG250" i="1"/>
  <c r="AL235" i="1"/>
  <c r="AF235" i="1"/>
  <c r="AG236" i="1"/>
  <c r="AF236" i="1"/>
  <c r="AL237" i="1"/>
  <c r="AG237" i="1"/>
  <c r="AF237" i="1"/>
  <c r="AL247" i="1"/>
  <c r="AG247" i="1"/>
  <c r="AL249" i="1"/>
  <c r="AG249" i="1"/>
  <c r="AF249" i="1"/>
  <c r="U250" i="1" l="1"/>
  <c r="S120" i="1"/>
  <c r="Y120" i="1" s="1"/>
  <c r="C7" i="6"/>
  <c r="AE254" i="1"/>
  <c r="U107" i="1"/>
  <c r="AG228" i="1"/>
  <c r="S236" i="1"/>
  <c r="Y236" i="1" s="1"/>
  <c r="AW236" i="1" s="1"/>
  <c r="S168" i="1"/>
  <c r="Y168" i="1" s="1"/>
  <c r="AW168" i="1" s="1"/>
  <c r="AE175" i="1"/>
  <c r="AF175" i="1" s="1"/>
  <c r="W228" i="1"/>
  <c r="S247" i="1"/>
  <c r="Y247" i="1" s="1"/>
  <c r="AW247" i="1" s="1"/>
  <c r="S129" i="1"/>
  <c r="Y129" i="1" s="1"/>
  <c r="AF228" i="1"/>
  <c r="W254" i="1"/>
  <c r="AE120" i="1"/>
  <c r="AF120" i="1" s="1"/>
  <c r="U159" i="1"/>
  <c r="V159" i="1" s="1"/>
  <c r="W159" i="1" s="1"/>
  <c r="U122" i="1"/>
  <c r="V122" i="1" s="1"/>
  <c r="X122" i="1" s="1"/>
  <c r="AW122" i="1" s="1"/>
  <c r="U176" i="1"/>
  <c r="V176" i="1" s="1"/>
  <c r="W176" i="1" s="1"/>
  <c r="U140" i="1"/>
  <c r="U222" i="1"/>
  <c r="V222" i="1" s="1"/>
  <c r="X222" i="1" s="1"/>
  <c r="AW222" i="1" s="1"/>
  <c r="U133" i="1"/>
  <c r="S201" i="1"/>
  <c r="Y201" i="1" s="1"/>
  <c r="S175" i="1"/>
  <c r="Y175" i="1" s="1"/>
  <c r="AE239" i="1"/>
  <c r="AF239" i="1" s="1"/>
  <c r="S157" i="1"/>
  <c r="Y157" i="1" s="1"/>
  <c r="AW157" i="1" s="1"/>
  <c r="S200" i="1"/>
  <c r="Y200" i="1" s="1"/>
  <c r="AW200" i="1" s="1"/>
  <c r="S238" i="1"/>
  <c r="Y238" i="1" s="1"/>
  <c r="AW238" i="1" s="1"/>
  <c r="S220" i="1"/>
  <c r="Y220" i="1" s="1"/>
  <c r="AF195" i="1"/>
  <c r="U171" i="1"/>
  <c r="AG195" i="1"/>
  <c r="U138" i="1"/>
  <c r="S182" i="1"/>
  <c r="Y182" i="1" s="1"/>
  <c r="U147" i="1"/>
  <c r="S212" i="1"/>
  <c r="Y212" i="1" s="1"/>
  <c r="AE212" i="1"/>
  <c r="AG212" i="1" s="1"/>
  <c r="X212" i="1"/>
  <c r="W212" i="1"/>
  <c r="S111" i="1"/>
  <c r="Y111" i="1" s="1"/>
  <c r="AW111" i="1" s="1"/>
  <c r="U106" i="1"/>
  <c r="V106" i="1" s="1"/>
  <c r="X106" i="1" s="1"/>
  <c r="U207" i="1"/>
  <c r="S161" i="1"/>
  <c r="Y161" i="1" s="1"/>
  <c r="AW161" i="1" s="1"/>
  <c r="S137" i="1"/>
  <c r="Y137" i="1" s="1"/>
  <c r="AW137" i="1" s="1"/>
  <c r="U177" i="1"/>
  <c r="V177" i="1" s="1"/>
  <c r="X177" i="1" s="1"/>
  <c r="AW177" i="1" s="1"/>
  <c r="U152" i="1"/>
  <c r="U148" i="1"/>
  <c r="V148" i="1" s="1"/>
  <c r="W148" i="1" s="1"/>
  <c r="U160" i="1"/>
  <c r="V160" i="1" s="1"/>
  <c r="W160" i="1" s="1"/>
  <c r="S234" i="1"/>
  <c r="Y234" i="1" s="1"/>
  <c r="AW234" i="1" s="1"/>
  <c r="U209" i="1"/>
  <c r="V209" i="1" s="1"/>
  <c r="AE209" i="1" s="1"/>
  <c r="S227" i="1"/>
  <c r="Y227" i="1" s="1"/>
  <c r="S203" i="1"/>
  <c r="Y203" i="1" s="1"/>
  <c r="AW203" i="1" s="1"/>
  <c r="U231" i="1"/>
  <c r="S246" i="1"/>
  <c r="Y246" i="1" s="1"/>
  <c r="AW246" i="1" s="1"/>
  <c r="S256" i="1"/>
  <c r="Y256" i="1" s="1"/>
  <c r="U181" i="1"/>
  <c r="V181" i="1" s="1"/>
  <c r="AE181" i="1" s="1"/>
  <c r="S180" i="1"/>
  <c r="Y180" i="1" s="1"/>
  <c r="AW180" i="1" s="1"/>
  <c r="U193" i="1"/>
  <c r="V193" i="1" s="1"/>
  <c r="AE193" i="1" s="1"/>
  <c r="AL193" i="1" s="1"/>
  <c r="S255" i="1"/>
  <c r="Y255" i="1" s="1"/>
  <c r="U185" i="1"/>
  <c r="V185" i="1" s="1"/>
  <c r="X185" i="1" s="1"/>
  <c r="AW185" i="1" s="1"/>
  <c r="AE220" i="1"/>
  <c r="AL220" i="1" s="1"/>
  <c r="W220" i="1"/>
  <c r="S183" i="1"/>
  <c r="Y183" i="1" s="1"/>
  <c r="S186" i="1"/>
  <c r="Y186" i="1" s="1"/>
  <c r="U154" i="1"/>
  <c r="AE183" i="1"/>
  <c r="AF183" i="1" s="1"/>
  <c r="AE189" i="1"/>
  <c r="AL189" i="1" s="1"/>
  <c r="U243" i="1"/>
  <c r="V243" i="1" s="1"/>
  <c r="AE243" i="1" s="1"/>
  <c r="AG243" i="1" s="1"/>
  <c r="U217" i="1"/>
  <c r="V217" i="1" s="1"/>
  <c r="X217" i="1" s="1"/>
  <c r="AW217" i="1" s="1"/>
  <c r="X183" i="1"/>
  <c r="U225" i="1"/>
  <c r="S106" i="1"/>
  <c r="Y106" i="1" s="1"/>
  <c r="S164" i="1"/>
  <c r="Y164" i="1" s="1"/>
  <c r="S254" i="1"/>
  <c r="Y254" i="1" s="1"/>
  <c r="AW254" i="1" s="1"/>
  <c r="U111" i="1"/>
  <c r="U198" i="1"/>
  <c r="U172" i="1"/>
  <c r="V172" i="1" s="1"/>
  <c r="AE172" i="1" s="1"/>
  <c r="AL172" i="1" s="1"/>
  <c r="S170" i="1"/>
  <c r="Y170" i="1" s="1"/>
  <c r="AW170" i="1" s="1"/>
  <c r="W164" i="1"/>
  <c r="AE164" i="1"/>
  <c r="AL164" i="1" s="1"/>
  <c r="X164" i="1"/>
  <c r="U110" i="1"/>
  <c r="V110" i="1" s="1"/>
  <c r="AE110" i="1" s="1"/>
  <c r="AF110" i="1" s="1"/>
  <c r="W213" i="1"/>
  <c r="W191" i="1"/>
  <c r="S178" i="1"/>
  <c r="Y178" i="1" s="1"/>
  <c r="U143" i="1"/>
  <c r="V143" i="1" s="1"/>
  <c r="X143" i="1" s="1"/>
  <c r="AW143" i="1" s="1"/>
  <c r="X195" i="1"/>
  <c r="W195" i="1"/>
  <c r="S116" i="1"/>
  <c r="Y116" i="1" s="1"/>
  <c r="AW116" i="1" s="1"/>
  <c r="AE191" i="1"/>
  <c r="S235" i="1"/>
  <c r="Y235" i="1" s="1"/>
  <c r="AW235" i="1" s="1"/>
  <c r="X239" i="1"/>
  <c r="AW239" i="1" s="1"/>
  <c r="AF214" i="1"/>
  <c r="U187" i="1"/>
  <c r="V187" i="1" s="1"/>
  <c r="W187" i="1" s="1"/>
  <c r="U206" i="1"/>
  <c r="S191" i="1"/>
  <c r="Y191" i="1" s="1"/>
  <c r="AW191" i="1" s="1"/>
  <c r="S208" i="1"/>
  <c r="Y208" i="1" s="1"/>
  <c r="AW208" i="1" s="1"/>
  <c r="S195" i="1"/>
  <c r="Y195" i="1" s="1"/>
  <c r="U125" i="1"/>
  <c r="V125" i="1" s="1"/>
  <c r="W125" i="1" s="1"/>
  <c r="X175" i="1"/>
  <c r="X189" i="1"/>
  <c r="S156" i="1"/>
  <c r="Y156" i="1" s="1"/>
  <c r="AW156" i="1" s="1"/>
  <c r="S221" i="1"/>
  <c r="Y221" i="1" s="1"/>
  <c r="AW221" i="1" s="1"/>
  <c r="X228" i="1"/>
  <c r="U226" i="1"/>
  <c r="U204" i="1"/>
  <c r="S244" i="1"/>
  <c r="Y244" i="1" s="1"/>
  <c r="AW244" i="1" s="1"/>
  <c r="S202" i="1"/>
  <c r="Y202" i="1" s="1"/>
  <c r="AW202" i="1" s="1"/>
  <c r="U141" i="1"/>
  <c r="V141" i="1" s="1"/>
  <c r="W141" i="1" s="1"/>
  <c r="S189" i="1"/>
  <c r="Y189" i="1" s="1"/>
  <c r="S131" i="1"/>
  <c r="Y131" i="1" s="1"/>
  <c r="AW131" i="1" s="1"/>
  <c r="AW120" i="1"/>
  <c r="U117" i="1"/>
  <c r="V117" i="1" s="1"/>
  <c r="AE117" i="1" s="1"/>
  <c r="AE116" i="1"/>
  <c r="AF116" i="1" s="1"/>
  <c r="S115" i="1"/>
  <c r="Y115" i="1" s="1"/>
  <c r="AW115" i="1" s="1"/>
  <c r="W116" i="1"/>
  <c r="W131" i="1"/>
  <c r="U108" i="1"/>
  <c r="V108" i="1" s="1"/>
  <c r="X108" i="1" s="1"/>
  <c r="AW108" i="1" s="1"/>
  <c r="S167" i="1"/>
  <c r="Y167" i="1" s="1"/>
  <c r="AW167" i="1" s="1"/>
  <c r="U242" i="1"/>
  <c r="V242" i="1" s="1"/>
  <c r="W242" i="1" s="1"/>
  <c r="W113" i="1"/>
  <c r="U197" i="1"/>
  <c r="V197" i="1" s="1"/>
  <c r="X220" i="1"/>
  <c r="X113" i="1"/>
  <c r="U119" i="1"/>
  <c r="V119" i="1" s="1"/>
  <c r="AE119" i="1" s="1"/>
  <c r="S113" i="1"/>
  <c r="Y113" i="1" s="1"/>
  <c r="S253" i="1"/>
  <c r="Y253" i="1" s="1"/>
  <c r="AW253" i="1" s="1"/>
  <c r="U128" i="1"/>
  <c r="U233" i="1"/>
  <c r="AE131" i="1"/>
  <c r="AL131" i="1" s="1"/>
  <c r="AE139" i="1"/>
  <c r="W139" i="1"/>
  <c r="X139" i="1"/>
  <c r="U199" i="1"/>
  <c r="U184" i="1"/>
  <c r="V184" i="1" s="1"/>
  <c r="W184" i="1" s="1"/>
  <c r="U229" i="1"/>
  <c r="V229" i="1" s="1"/>
  <c r="U252" i="1"/>
  <c r="V252" i="1" s="1"/>
  <c r="U146" i="1"/>
  <c r="V146" i="1" s="1"/>
  <c r="W146" i="1" s="1"/>
  <c r="S139" i="1"/>
  <c r="Y139" i="1" s="1"/>
  <c r="AE213" i="1"/>
  <c r="AF213" i="1" s="1"/>
  <c r="S228" i="1"/>
  <c r="Y228" i="1" s="1"/>
  <c r="W255" i="1"/>
  <c r="AE255" i="1"/>
  <c r="AF255" i="1" s="1"/>
  <c r="X255" i="1"/>
  <c r="AG214" i="1"/>
  <c r="U114" i="1"/>
  <c r="W214" i="1"/>
  <c r="S245" i="1"/>
  <c r="Y245" i="1" s="1"/>
  <c r="AW245" i="1" s="1"/>
  <c r="S135" i="1"/>
  <c r="Y135" i="1" s="1"/>
  <c r="AW135" i="1" s="1"/>
  <c r="U118" i="1"/>
  <c r="V118" i="1" s="1"/>
  <c r="W118" i="1" s="1"/>
  <c r="S214" i="1"/>
  <c r="Y214" i="1" s="1"/>
  <c r="X214" i="1"/>
  <c r="U223" i="1"/>
  <c r="U158" i="1"/>
  <c r="U109" i="1"/>
  <c r="V109" i="1" s="1"/>
  <c r="X109" i="1" s="1"/>
  <c r="AW109" i="1" s="1"/>
  <c r="U127" i="1"/>
  <c r="V127" i="1" s="1"/>
  <c r="W127" i="1" s="1"/>
  <c r="U151" i="1"/>
  <c r="S218" i="1"/>
  <c r="Y218" i="1" s="1"/>
  <c r="AE218" i="1"/>
  <c r="U249" i="1"/>
  <c r="S123" i="1"/>
  <c r="Y123" i="1" s="1"/>
  <c r="U123" i="1"/>
  <c r="V123" i="1" s="1"/>
  <c r="S215" i="1"/>
  <c r="Y215" i="1" s="1"/>
  <c r="S190" i="1"/>
  <c r="Y190" i="1" s="1"/>
  <c r="S216" i="1"/>
  <c r="Y216" i="1" s="1"/>
  <c r="X218" i="1"/>
  <c r="U251" i="1"/>
  <c r="V251" i="1" s="1"/>
  <c r="X251" i="1" s="1"/>
  <c r="AW251" i="1" s="1"/>
  <c r="U134" i="1"/>
  <c r="U149" i="1"/>
  <c r="S124" i="1"/>
  <c r="Y124" i="1" s="1"/>
  <c r="AW124" i="1" s="1"/>
  <c r="U121" i="1"/>
  <c r="V121" i="1" s="1"/>
  <c r="W121" i="1" s="1"/>
  <c r="S224" i="1"/>
  <c r="Y224" i="1" s="1"/>
  <c r="S150" i="1"/>
  <c r="Y150" i="1" s="1"/>
  <c r="AW150" i="1" s="1"/>
  <c r="U211" i="1"/>
  <c r="V211" i="1" s="1"/>
  <c r="S211" i="1"/>
  <c r="Y211" i="1" s="1"/>
  <c r="S237" i="1"/>
  <c r="Y237" i="1" s="1"/>
  <c r="AW237" i="1" s="1"/>
  <c r="U142" i="1"/>
  <c r="S142" i="1"/>
  <c r="Y142" i="1" s="1"/>
  <c r="AW142" i="1" s="1"/>
  <c r="U248" i="1"/>
  <c r="V248" i="1" s="1"/>
  <c r="AE248" i="1" s="1"/>
  <c r="S144" i="1"/>
  <c r="Y144" i="1" s="1"/>
  <c r="AW144" i="1" s="1"/>
  <c r="U173" i="1"/>
  <c r="V173" i="1" s="1"/>
  <c r="AE173" i="1" s="1"/>
  <c r="S194" i="1"/>
  <c r="Y194" i="1" s="1"/>
  <c r="U194" i="1"/>
  <c r="V194" i="1" s="1"/>
  <c r="X216" i="1"/>
  <c r="W216" i="1"/>
  <c r="AE216" i="1"/>
  <c r="S132" i="1"/>
  <c r="Y132" i="1" s="1"/>
  <c r="AW132" i="1" s="1"/>
  <c r="AE180" i="1"/>
  <c r="AL180" i="1" s="1"/>
  <c r="U230" i="1"/>
  <c r="S230" i="1"/>
  <c r="Y230" i="1" s="1"/>
  <c r="AW230" i="1" s="1"/>
  <c r="W180" i="1"/>
  <c r="U210" i="1"/>
  <c r="V210" i="1" s="1"/>
  <c r="S210" i="1"/>
  <c r="Y210" i="1" s="1"/>
  <c r="U162" i="1"/>
  <c r="V162" i="1" s="1"/>
  <c r="S162" i="1"/>
  <c r="Y162" i="1" s="1"/>
  <c r="S155" i="1"/>
  <c r="Y155" i="1" s="1"/>
  <c r="AW155" i="1" s="1"/>
  <c r="U155" i="1"/>
  <c r="AE256" i="1"/>
  <c r="X256" i="1"/>
  <c r="W256" i="1"/>
  <c r="AE186" i="1"/>
  <c r="X186" i="1"/>
  <c r="W186" i="1"/>
  <c r="W217" i="1"/>
  <c r="AE178" i="1"/>
  <c r="X178" i="1"/>
  <c r="W178" i="1"/>
  <c r="X215" i="1"/>
  <c r="W215" i="1"/>
  <c r="AE215" i="1"/>
  <c r="AE227" i="1"/>
  <c r="X227" i="1"/>
  <c r="W227" i="1"/>
  <c r="S153" i="1"/>
  <c r="Y153" i="1" s="1"/>
  <c r="AW153" i="1" s="1"/>
  <c r="U153" i="1"/>
  <c r="AE182" i="1"/>
  <c r="X182" i="1"/>
  <c r="W182" i="1"/>
  <c r="U130" i="1"/>
  <c r="V130" i="1" s="1"/>
  <c r="S130" i="1"/>
  <c r="Y130" i="1" s="1"/>
  <c r="AL113" i="1"/>
  <c r="AG113" i="1"/>
  <c r="AF113" i="1"/>
  <c r="U240" i="1"/>
  <c r="V240" i="1" s="1"/>
  <c r="S240" i="1"/>
  <c r="Y240" i="1" s="1"/>
  <c r="AE224" i="1"/>
  <c r="X224" i="1"/>
  <c r="W224" i="1"/>
  <c r="S166" i="1"/>
  <c r="Y166" i="1" s="1"/>
  <c r="AW166" i="1" s="1"/>
  <c r="U166" i="1"/>
  <c r="AL254" i="1"/>
  <c r="AF254" i="1"/>
  <c r="AG254" i="1"/>
  <c r="U179" i="1"/>
  <c r="V179" i="1" s="1"/>
  <c r="S179" i="1"/>
  <c r="Y179" i="1" s="1"/>
  <c r="AE129" i="1"/>
  <c r="W129" i="1"/>
  <c r="X129" i="1"/>
  <c r="AF230" i="1"/>
  <c r="AL230" i="1"/>
  <c r="AG230" i="1"/>
  <c r="S196" i="1"/>
  <c r="Y196" i="1" s="1"/>
  <c r="U196" i="1"/>
  <c r="V196" i="1" s="1"/>
  <c r="U165" i="1"/>
  <c r="S165" i="1"/>
  <c r="Y165" i="1" s="1"/>
  <c r="AW165" i="1" s="1"/>
  <c r="U136" i="1"/>
  <c r="S136" i="1"/>
  <c r="Y136" i="1" s="1"/>
  <c r="AW136" i="1" s="1"/>
  <c r="W145" i="1"/>
  <c r="X145" i="1"/>
  <c r="AW145" i="1" s="1"/>
  <c r="AE145" i="1"/>
  <c r="AE201" i="1"/>
  <c r="W201" i="1"/>
  <c r="X201" i="1"/>
  <c r="X241" i="1"/>
  <c r="AW241" i="1" s="1"/>
  <c r="W241" i="1"/>
  <c r="AE241" i="1"/>
  <c r="U219" i="1"/>
  <c r="V219" i="1" s="1"/>
  <c r="S219" i="1"/>
  <c r="Y219" i="1" s="1"/>
  <c r="U163" i="1"/>
  <c r="S163" i="1"/>
  <c r="Y163" i="1" s="1"/>
  <c r="AW163" i="1" s="1"/>
  <c r="S126" i="1"/>
  <c r="Y126" i="1" s="1"/>
  <c r="U126" i="1"/>
  <c r="V126" i="1" s="1"/>
  <c r="S188" i="1"/>
  <c r="Y188" i="1" s="1"/>
  <c r="U188" i="1"/>
  <c r="V188" i="1" s="1"/>
  <c r="U192" i="1"/>
  <c r="V192" i="1" s="1"/>
  <c r="S192" i="1"/>
  <c r="Y192" i="1" s="1"/>
  <c r="AE174" i="1"/>
  <c r="X174" i="1"/>
  <c r="AW174" i="1" s="1"/>
  <c r="W174" i="1"/>
  <c r="X232" i="1"/>
  <c r="AW232" i="1" s="1"/>
  <c r="W232" i="1"/>
  <c r="AE232" i="1"/>
  <c r="X190" i="1"/>
  <c r="AE190" i="1"/>
  <c r="W190" i="1"/>
  <c r="U169" i="1"/>
  <c r="S169" i="1"/>
  <c r="Y169" i="1" s="1"/>
  <c r="AW169" i="1" s="1"/>
  <c r="X148" i="1" l="1"/>
  <c r="AW148" i="1" s="1"/>
  <c r="X159" i="1"/>
  <c r="AW159" i="1" s="1"/>
  <c r="AG239" i="1"/>
  <c r="AE159" i="1"/>
  <c r="AE148" i="1"/>
  <c r="AL148" i="1" s="1"/>
  <c r="W106" i="1"/>
  <c r="AE106" i="1"/>
  <c r="AG106" i="1" s="1"/>
  <c r="AL239" i="1"/>
  <c r="W122" i="1"/>
  <c r="AL175" i="1"/>
  <c r="AG175" i="1"/>
  <c r="W177" i="1"/>
  <c r="AE177" i="1"/>
  <c r="AG177" i="1" s="1"/>
  <c r="AF212" i="1"/>
  <c r="X176" i="1"/>
  <c r="AW176" i="1" s="1"/>
  <c r="AL212" i="1"/>
  <c r="AE176" i="1"/>
  <c r="AL176" i="1" s="1"/>
  <c r="AE122" i="1"/>
  <c r="AG122" i="1" s="1"/>
  <c r="AF220" i="1"/>
  <c r="AW201" i="1"/>
  <c r="AE217" i="1"/>
  <c r="AF217" i="1" s="1"/>
  <c r="AW220" i="1"/>
  <c r="AE146" i="1"/>
  <c r="AL146" i="1" s="1"/>
  <c r="AE222" i="1"/>
  <c r="AL222" i="1" s="1"/>
  <c r="AW129" i="1"/>
  <c r="W222" i="1"/>
  <c r="AW212" i="1"/>
  <c r="AF172" i="1"/>
  <c r="AG172" i="1"/>
  <c r="AG220" i="1"/>
  <c r="X172" i="1"/>
  <c r="AW172" i="1" s="1"/>
  <c r="AW189" i="1"/>
  <c r="AL120" i="1"/>
  <c r="AG120" i="1"/>
  <c r="AW175" i="1"/>
  <c r="W172" i="1"/>
  <c r="AW255" i="1"/>
  <c r="W193" i="1"/>
  <c r="X209" i="1"/>
  <c r="AW209" i="1" s="1"/>
  <c r="AG164" i="1"/>
  <c r="X193" i="1"/>
  <c r="AW193" i="1" s="1"/>
  <c r="W209" i="1"/>
  <c r="AF193" i="1"/>
  <c r="X160" i="1"/>
  <c r="AW160" i="1" s="1"/>
  <c r="X181" i="1"/>
  <c r="AW181" i="1" s="1"/>
  <c r="AG193" i="1"/>
  <c r="AL183" i="1"/>
  <c r="AG183" i="1"/>
  <c r="AW182" i="1"/>
  <c r="W185" i="1"/>
  <c r="AE185" i="1"/>
  <c r="AG185" i="1" s="1"/>
  <c r="W181" i="1"/>
  <c r="AF164" i="1"/>
  <c r="AW186" i="1"/>
  <c r="AE160" i="1"/>
  <c r="AF160" i="1" s="1"/>
  <c r="X146" i="1"/>
  <c r="AW146" i="1" s="1"/>
  <c r="AW183" i="1"/>
  <c r="W143" i="1"/>
  <c r="AW227" i="1"/>
  <c r="AW256" i="1"/>
  <c r="AG189" i="1"/>
  <c r="AW164" i="1"/>
  <c r="AL243" i="1"/>
  <c r="AF189" i="1"/>
  <c r="W243" i="1"/>
  <c r="X243" i="1"/>
  <c r="AW243" i="1" s="1"/>
  <c r="AF243" i="1"/>
  <c r="AE242" i="1"/>
  <c r="AG242" i="1" s="1"/>
  <c r="X242" i="1"/>
  <c r="AW242" i="1" s="1"/>
  <c r="AG110" i="1"/>
  <c r="AL110" i="1"/>
  <c r="AW228" i="1"/>
  <c r="X184" i="1"/>
  <c r="AW184" i="1" s="1"/>
  <c r="X141" i="1"/>
  <c r="AW141" i="1" s="1"/>
  <c r="AE184" i="1"/>
  <c r="AL184" i="1" s="1"/>
  <c r="AL255" i="1"/>
  <c r="W110" i="1"/>
  <c r="X127" i="1"/>
  <c r="AW127" i="1" s="1"/>
  <c r="AE141" i="1"/>
  <c r="AG141" i="1" s="1"/>
  <c r="W117" i="1"/>
  <c r="AW178" i="1"/>
  <c r="X117" i="1"/>
  <c r="AW117" i="1" s="1"/>
  <c r="X110" i="1"/>
  <c r="AW110" i="1" s="1"/>
  <c r="W251" i="1"/>
  <c r="AG180" i="1"/>
  <c r="AW218" i="1"/>
  <c r="AW214" i="1"/>
  <c r="AW195" i="1"/>
  <c r="AL191" i="1"/>
  <c r="AG191" i="1"/>
  <c r="AF191" i="1"/>
  <c r="AE251" i="1"/>
  <c r="AL251" i="1" s="1"/>
  <c r="AE187" i="1"/>
  <c r="AG187" i="1" s="1"/>
  <c r="AL213" i="1"/>
  <c r="AE143" i="1"/>
  <c r="AG143" i="1" s="1"/>
  <c r="X187" i="1"/>
  <c r="AW187" i="1" s="1"/>
  <c r="AG213" i="1"/>
  <c r="X125" i="1"/>
  <c r="AW125" i="1" s="1"/>
  <c r="AE125" i="1"/>
  <c r="AG125" i="1" s="1"/>
  <c r="AG116" i="1"/>
  <c r="AL116" i="1"/>
  <c r="AW224" i="1"/>
  <c r="AW139" i="1"/>
  <c r="AG255" i="1"/>
  <c r="AW216" i="1"/>
  <c r="AW190" i="1"/>
  <c r="AW106" i="1"/>
  <c r="AW215" i="1"/>
  <c r="W119" i="1"/>
  <c r="W108" i="1"/>
  <c r="X119" i="1"/>
  <c r="AW119" i="1" s="1"/>
  <c r="AE108" i="1"/>
  <c r="AF108" i="1" s="1"/>
  <c r="AG131" i="1"/>
  <c r="AW113" i="1"/>
  <c r="AE127" i="1"/>
  <c r="AF127" i="1" s="1"/>
  <c r="AE118" i="1"/>
  <c r="AF118" i="1" s="1"/>
  <c r="X118" i="1"/>
  <c r="AW118" i="1" s="1"/>
  <c r="AF131" i="1"/>
  <c r="X197" i="1"/>
  <c r="AW197" i="1" s="1"/>
  <c r="W197" i="1"/>
  <c r="AE197" i="1"/>
  <c r="AE109" i="1"/>
  <c r="AL109" i="1" s="1"/>
  <c r="W109" i="1"/>
  <c r="X252" i="1"/>
  <c r="AW252" i="1" s="1"/>
  <c r="W252" i="1"/>
  <c r="AE252" i="1"/>
  <c r="X229" i="1"/>
  <c r="AW229" i="1" s="1"/>
  <c r="W229" i="1"/>
  <c r="AE229" i="1"/>
  <c r="AL139" i="1"/>
  <c r="AG139" i="1"/>
  <c r="AF139" i="1"/>
  <c r="X123" i="1"/>
  <c r="AW123" i="1" s="1"/>
  <c r="AE123" i="1"/>
  <c r="W123" i="1"/>
  <c r="AL218" i="1"/>
  <c r="AG218" i="1"/>
  <c r="AF218" i="1"/>
  <c r="AF180" i="1"/>
  <c r="W248" i="1"/>
  <c r="X121" i="1"/>
  <c r="AW121" i="1" s="1"/>
  <c r="W173" i="1"/>
  <c r="X248" i="1"/>
  <c r="AW248" i="1" s="1"/>
  <c r="AE121" i="1"/>
  <c r="AL121" i="1" s="1"/>
  <c r="X173" i="1"/>
  <c r="AW173" i="1" s="1"/>
  <c r="X211" i="1"/>
  <c r="AW211" i="1" s="1"/>
  <c r="W211" i="1"/>
  <c r="AE211" i="1"/>
  <c r="AE194" i="1"/>
  <c r="X194" i="1"/>
  <c r="AW194" i="1" s="1"/>
  <c r="W194" i="1"/>
  <c r="AE210" i="1"/>
  <c r="W210" i="1"/>
  <c r="X210" i="1"/>
  <c r="AW210" i="1" s="1"/>
  <c r="AE162" i="1"/>
  <c r="X162" i="1"/>
  <c r="AW162" i="1" s="1"/>
  <c r="W162" i="1"/>
  <c r="AL216" i="1"/>
  <c r="AG216" i="1"/>
  <c r="AF216" i="1"/>
  <c r="W240" i="1"/>
  <c r="AE240" i="1"/>
  <c r="X240" i="1"/>
  <c r="AW240" i="1" s="1"/>
  <c r="AF117" i="1"/>
  <c r="AL117" i="1"/>
  <c r="AG117" i="1"/>
  <c r="AL215" i="1"/>
  <c r="AF215" i="1"/>
  <c r="AG215" i="1"/>
  <c r="AF190" i="1"/>
  <c r="AL190" i="1"/>
  <c r="AG190" i="1"/>
  <c r="W126" i="1"/>
  <c r="AE126" i="1"/>
  <c r="X126" i="1"/>
  <c r="AW126" i="1" s="1"/>
  <c r="AL224" i="1"/>
  <c r="AG224" i="1"/>
  <c r="AF224" i="1"/>
  <c r="AL119" i="1"/>
  <c r="AG119" i="1"/>
  <c r="AF119" i="1"/>
  <c r="AG148" i="1"/>
  <c r="AF148" i="1"/>
  <c r="AL227" i="1"/>
  <c r="AG227" i="1"/>
  <c r="AF227" i="1"/>
  <c r="AG201" i="1"/>
  <c r="AF201" i="1"/>
  <c r="AL201" i="1"/>
  <c r="AF145" i="1"/>
  <c r="AL145" i="1"/>
  <c r="AG145" i="1"/>
  <c r="X196" i="1"/>
  <c r="AW196" i="1" s="1"/>
  <c r="W196" i="1"/>
  <c r="AE196" i="1"/>
  <c r="AG174" i="1"/>
  <c r="AL174" i="1"/>
  <c r="AF174" i="1"/>
  <c r="AG186" i="1"/>
  <c r="AF186" i="1"/>
  <c r="AL186" i="1"/>
  <c r="AL159" i="1"/>
  <c r="AG159" i="1"/>
  <c r="AF159" i="1"/>
  <c r="W179" i="1"/>
  <c r="X179" i="1"/>
  <c r="AW179" i="1" s="1"/>
  <c r="AE179" i="1"/>
  <c r="AL129" i="1"/>
  <c r="AG129" i="1"/>
  <c r="AF129" i="1"/>
  <c r="AF173" i="1"/>
  <c r="AL173" i="1"/>
  <c r="AG173" i="1"/>
  <c r="AG182" i="1"/>
  <c r="AL182" i="1"/>
  <c r="AF182" i="1"/>
  <c r="AG248" i="1"/>
  <c r="AL248" i="1"/>
  <c r="AF248" i="1"/>
  <c r="AG178" i="1"/>
  <c r="AL178" i="1"/>
  <c r="AF178" i="1"/>
  <c r="AL181" i="1"/>
  <c r="AG181" i="1"/>
  <c r="AF181" i="1"/>
  <c r="AF209" i="1"/>
  <c r="AL209" i="1"/>
  <c r="AG209" i="1"/>
  <c r="X192" i="1"/>
  <c r="AW192" i="1" s="1"/>
  <c r="W192" i="1"/>
  <c r="AE192" i="1"/>
  <c r="AL232" i="1"/>
  <c r="AG232" i="1"/>
  <c r="AF232" i="1"/>
  <c r="X188" i="1"/>
  <c r="AW188" i="1" s="1"/>
  <c r="AE188" i="1"/>
  <c r="W188" i="1"/>
  <c r="X219" i="1"/>
  <c r="AW219" i="1" s="1"/>
  <c r="W219" i="1"/>
  <c r="AE219" i="1"/>
  <c r="AL241" i="1"/>
  <c r="AG241" i="1"/>
  <c r="AF241" i="1"/>
  <c r="X130" i="1"/>
  <c r="AW130" i="1" s="1"/>
  <c r="W130" i="1"/>
  <c r="AE130" i="1"/>
  <c r="AL256" i="1"/>
  <c r="AG256" i="1"/>
  <c r="AF256" i="1"/>
  <c r="AF106" i="1" l="1"/>
  <c r="AL106" i="1"/>
  <c r="AF122" i="1"/>
  <c r="AL122" i="1"/>
  <c r="AG217" i="1"/>
  <c r="AF177" i="1"/>
  <c r="AL177" i="1"/>
  <c r="AG176" i="1"/>
  <c r="AF146" i="1"/>
  <c r="AL160" i="1"/>
  <c r="AG222" i="1"/>
  <c r="AL217" i="1"/>
  <c r="AF176" i="1"/>
  <c r="AF222" i="1"/>
  <c r="AG146" i="1"/>
  <c r="AG160" i="1"/>
  <c r="E7" i="6"/>
  <c r="F7" i="6" s="1"/>
  <c r="AG251" i="1"/>
  <c r="AF242" i="1"/>
  <c r="D7" i="6"/>
  <c r="AL185" i="1"/>
  <c r="AF185" i="1"/>
  <c r="AL141" i="1"/>
  <c r="AL143" i="1"/>
  <c r="AF141" i="1"/>
  <c r="AF143" i="1"/>
  <c r="AL242" i="1"/>
  <c r="AG127" i="1"/>
  <c r="AL187" i="1"/>
  <c r="AL127" i="1"/>
  <c r="AL108" i="1"/>
  <c r="AG184" i="1"/>
  <c r="AF187" i="1"/>
  <c r="AF251" i="1"/>
  <c r="AF184" i="1"/>
  <c r="AF125" i="1"/>
  <c r="AL125" i="1"/>
  <c r="AG108" i="1"/>
  <c r="AG118" i="1"/>
  <c r="AL118" i="1"/>
  <c r="AF121" i="1"/>
  <c r="AG121" i="1"/>
  <c r="AF109" i="1"/>
  <c r="AG109" i="1"/>
  <c r="AF197" i="1"/>
  <c r="AG197" i="1"/>
  <c r="AL197" i="1"/>
  <c r="AL229" i="1"/>
  <c r="AF229" i="1"/>
  <c r="AG229" i="1"/>
  <c r="AG252" i="1"/>
  <c r="AF252" i="1"/>
  <c r="AL252" i="1"/>
  <c r="AL123" i="1"/>
  <c r="AG123" i="1"/>
  <c r="AF123" i="1"/>
  <c r="AF211" i="1"/>
  <c r="AL211" i="1"/>
  <c r="AG211" i="1"/>
  <c r="AL162" i="1"/>
  <c r="AG162" i="1"/>
  <c r="AF162" i="1"/>
  <c r="AF210" i="1"/>
  <c r="AG210" i="1"/>
  <c r="AL210" i="1"/>
  <c r="AF194" i="1"/>
  <c r="AG194" i="1"/>
  <c r="AL194" i="1"/>
  <c r="AL219" i="1"/>
  <c r="AF219" i="1"/>
  <c r="AG219" i="1"/>
  <c r="AG130" i="1"/>
  <c r="AF130" i="1"/>
  <c r="AL130" i="1"/>
  <c r="AG179" i="1"/>
  <c r="AF179" i="1"/>
  <c r="AL179" i="1"/>
  <c r="AL196" i="1"/>
  <c r="AF196" i="1"/>
  <c r="AG196" i="1"/>
  <c r="AF126" i="1"/>
  <c r="AL126" i="1"/>
  <c r="AG126" i="1"/>
  <c r="AL188" i="1"/>
  <c r="AF188" i="1"/>
  <c r="AG188" i="1"/>
  <c r="AL192" i="1"/>
  <c r="AF192" i="1"/>
  <c r="AG192" i="1"/>
  <c r="AL240" i="1"/>
  <c r="AG240" i="1"/>
  <c r="AF240" i="1"/>
  <c r="AE853" i="2" l="1"/>
  <c r="AF853" i="2" s="1"/>
  <c r="Z853" i="2"/>
  <c r="Y853" i="2"/>
  <c r="X853" i="2"/>
  <c r="S853" i="2"/>
  <c r="Q853" i="2"/>
  <c r="U853" i="2" s="1"/>
  <c r="AE852" i="2"/>
  <c r="AF852" i="2" s="1"/>
  <c r="Z852" i="2"/>
  <c r="Y852" i="2"/>
  <c r="X852" i="2"/>
  <c r="S852" i="2"/>
  <c r="U852" i="2" s="1"/>
  <c r="V852" i="2" s="1"/>
  <c r="Q852" i="2"/>
  <c r="AE851" i="2"/>
  <c r="AF851" i="2" s="1"/>
  <c r="AM851" i="2" s="1"/>
  <c r="Z851" i="2"/>
  <c r="Y851" i="2"/>
  <c r="X851" i="2"/>
  <c r="S851" i="2"/>
  <c r="Q851" i="2"/>
  <c r="U851" i="2" s="1"/>
  <c r="AE850" i="2"/>
  <c r="AF850" i="2" s="1"/>
  <c r="Z850" i="2"/>
  <c r="Y850" i="2"/>
  <c r="X850" i="2"/>
  <c r="S850" i="2"/>
  <c r="U850" i="2" s="1"/>
  <c r="T850" i="2" s="1"/>
  <c r="Q850" i="2"/>
  <c r="AE849" i="2"/>
  <c r="AF849" i="2" s="1"/>
  <c r="Z849" i="2"/>
  <c r="Y849" i="2"/>
  <c r="X849" i="2"/>
  <c r="S849" i="2"/>
  <c r="Q849" i="2"/>
  <c r="AE848" i="2"/>
  <c r="AF848" i="2" s="1"/>
  <c r="Z848" i="2"/>
  <c r="Y848" i="2"/>
  <c r="X848" i="2"/>
  <c r="S848" i="2"/>
  <c r="Q848" i="2"/>
  <c r="U848" i="2" s="1"/>
  <c r="AE847" i="2"/>
  <c r="AF847" i="2" s="1"/>
  <c r="AH847" i="2" s="1"/>
  <c r="Z847" i="2"/>
  <c r="Y847" i="2"/>
  <c r="X847" i="2"/>
  <c r="U847" i="2"/>
  <c r="S847" i="2"/>
  <c r="Q847" i="2"/>
  <c r="AE846" i="2"/>
  <c r="AF846" i="2" s="1"/>
  <c r="Z846" i="2"/>
  <c r="Y846" i="2"/>
  <c r="X846" i="2"/>
  <c r="S846" i="2"/>
  <c r="Q846" i="2"/>
  <c r="U846" i="2" s="1"/>
  <c r="AE845" i="2"/>
  <c r="AF845" i="2" s="1"/>
  <c r="Z845" i="2"/>
  <c r="Y845" i="2"/>
  <c r="X845" i="2"/>
  <c r="S845" i="2"/>
  <c r="Q845" i="2"/>
  <c r="AE844" i="2"/>
  <c r="AF844" i="2" s="1"/>
  <c r="Z844" i="2"/>
  <c r="Y844" i="2"/>
  <c r="X844" i="2"/>
  <c r="S844" i="2"/>
  <c r="Q844" i="2"/>
  <c r="U844" i="2" s="1"/>
  <c r="V844" i="2" s="1"/>
  <c r="AE843" i="2"/>
  <c r="AF843" i="2" s="1"/>
  <c r="AM843" i="2" s="1"/>
  <c r="Z843" i="2"/>
  <c r="Y843" i="2"/>
  <c r="X843" i="2"/>
  <c r="S843" i="2"/>
  <c r="Q843" i="2"/>
  <c r="U843" i="2" s="1"/>
  <c r="AE842" i="2"/>
  <c r="AF842" i="2" s="1"/>
  <c r="Z842" i="2"/>
  <c r="Y842" i="2"/>
  <c r="X842" i="2"/>
  <c r="S842" i="2"/>
  <c r="Q842" i="2"/>
  <c r="AE841" i="2"/>
  <c r="AF841" i="2" s="1"/>
  <c r="Z841" i="2"/>
  <c r="Y841" i="2"/>
  <c r="X841" i="2"/>
  <c r="S841" i="2"/>
  <c r="Q841" i="2"/>
  <c r="AE840" i="2"/>
  <c r="AF840" i="2" s="1"/>
  <c r="Z840" i="2"/>
  <c r="Y840" i="2"/>
  <c r="X840" i="2"/>
  <c r="S840" i="2"/>
  <c r="Q840" i="2"/>
  <c r="AE839" i="2"/>
  <c r="AF839" i="2" s="1"/>
  <c r="AH839" i="2" s="1"/>
  <c r="Z839" i="2"/>
  <c r="Y839" i="2"/>
  <c r="X839" i="2"/>
  <c r="U839" i="2"/>
  <c r="S839" i="2"/>
  <c r="Q839" i="2"/>
  <c r="AE838" i="2"/>
  <c r="AF838" i="2" s="1"/>
  <c r="Z838" i="2"/>
  <c r="Y838" i="2"/>
  <c r="X838" i="2"/>
  <c r="S838" i="2"/>
  <c r="Q838" i="2"/>
  <c r="U838" i="2" s="1"/>
  <c r="AE837" i="2"/>
  <c r="AF837" i="2" s="1"/>
  <c r="Z837" i="2"/>
  <c r="Y837" i="2"/>
  <c r="X837" i="2"/>
  <c r="S837" i="2"/>
  <c r="Q837" i="2"/>
  <c r="AE836" i="2"/>
  <c r="AF836" i="2" s="1"/>
  <c r="Z836" i="2"/>
  <c r="Y836" i="2"/>
  <c r="X836" i="2"/>
  <c r="S836" i="2"/>
  <c r="Q836" i="2"/>
  <c r="U836" i="2" s="1"/>
  <c r="V836" i="2" s="1"/>
  <c r="AF835" i="2"/>
  <c r="AM835" i="2" s="1"/>
  <c r="AE835" i="2"/>
  <c r="Z835" i="2"/>
  <c r="Y835" i="2"/>
  <c r="X835" i="2"/>
  <c r="S835" i="2"/>
  <c r="Q835" i="2"/>
  <c r="AF834" i="2"/>
  <c r="AH834" i="2" s="1"/>
  <c r="AE834" i="2"/>
  <c r="Z834" i="2"/>
  <c r="Y834" i="2"/>
  <c r="X834" i="2"/>
  <c r="S834" i="2"/>
  <c r="Q834" i="2"/>
  <c r="AF833" i="2"/>
  <c r="AE833" i="2"/>
  <c r="Z833" i="2"/>
  <c r="Y833" i="2"/>
  <c r="X833" i="2"/>
  <c r="S833" i="2"/>
  <c r="U833" i="2" s="1"/>
  <c r="Q833" i="2"/>
  <c r="AE832" i="2"/>
  <c r="AF832" i="2" s="1"/>
  <c r="Z832" i="2"/>
  <c r="Y832" i="2"/>
  <c r="X832" i="2"/>
  <c r="S832" i="2"/>
  <c r="Q832" i="2"/>
  <c r="U832" i="2" s="1"/>
  <c r="AH831" i="2"/>
  <c r="AE831" i="2"/>
  <c r="AF831" i="2" s="1"/>
  <c r="Z831" i="2"/>
  <c r="Y831" i="2"/>
  <c r="X831" i="2"/>
  <c r="U831" i="2"/>
  <c r="S831" i="2"/>
  <c r="Q831" i="2"/>
  <c r="AE830" i="2"/>
  <c r="AF830" i="2" s="1"/>
  <c r="Z830" i="2"/>
  <c r="Y830" i="2"/>
  <c r="X830" i="2"/>
  <c r="S830" i="2"/>
  <c r="Q830" i="2"/>
  <c r="U830" i="2" s="1"/>
  <c r="AE829" i="2"/>
  <c r="AF829" i="2" s="1"/>
  <c r="Z829" i="2"/>
  <c r="Y829" i="2"/>
  <c r="X829" i="2"/>
  <c r="S829" i="2"/>
  <c r="Q829" i="2"/>
  <c r="U829" i="2" s="1"/>
  <c r="AE828" i="2"/>
  <c r="AF828" i="2" s="1"/>
  <c r="AG828" i="2" s="1"/>
  <c r="Z828" i="2"/>
  <c r="Y828" i="2"/>
  <c r="X828" i="2"/>
  <c r="S828" i="2"/>
  <c r="Q828" i="2"/>
  <c r="U828" i="2" s="1"/>
  <c r="V828" i="2" s="1"/>
  <c r="AE827" i="2"/>
  <c r="AF827" i="2" s="1"/>
  <c r="AM827" i="2" s="1"/>
  <c r="Z827" i="2"/>
  <c r="Y827" i="2"/>
  <c r="X827" i="2"/>
  <c r="S827" i="2"/>
  <c r="Q827" i="2"/>
  <c r="U827" i="2" s="1"/>
  <c r="AE826" i="2"/>
  <c r="AF826" i="2" s="1"/>
  <c r="Z826" i="2"/>
  <c r="Y826" i="2"/>
  <c r="X826" i="2"/>
  <c r="S826" i="2"/>
  <c r="Q826" i="2"/>
  <c r="AF825" i="2"/>
  <c r="AE825" i="2"/>
  <c r="Z825" i="2"/>
  <c r="Y825" i="2"/>
  <c r="X825" i="2"/>
  <c r="S825" i="2"/>
  <c r="U825" i="2" s="1"/>
  <c r="Q825" i="2"/>
  <c r="AE824" i="2"/>
  <c r="AF824" i="2" s="1"/>
  <c r="Z824" i="2"/>
  <c r="Y824" i="2"/>
  <c r="X824" i="2"/>
  <c r="S824" i="2"/>
  <c r="Q824" i="2"/>
  <c r="AE823" i="2"/>
  <c r="AF823" i="2" s="1"/>
  <c r="Z823" i="2"/>
  <c r="Y823" i="2"/>
  <c r="X823" i="2"/>
  <c r="S823" i="2"/>
  <c r="Q823" i="2"/>
  <c r="U823" i="2" s="1"/>
  <c r="AE822" i="2"/>
  <c r="AF822" i="2" s="1"/>
  <c r="Z822" i="2"/>
  <c r="Y822" i="2"/>
  <c r="X822" i="2"/>
  <c r="S822" i="2"/>
  <c r="Q822" i="2"/>
  <c r="AE821" i="2"/>
  <c r="AF821" i="2" s="1"/>
  <c r="Z821" i="2"/>
  <c r="Y821" i="2"/>
  <c r="X821" i="2"/>
  <c r="S821" i="2"/>
  <c r="U821" i="2" s="1"/>
  <c r="Q821" i="2"/>
  <c r="AG820" i="2"/>
  <c r="AE820" i="2"/>
  <c r="AF820" i="2" s="1"/>
  <c r="Z820" i="2"/>
  <c r="Y820" i="2"/>
  <c r="X820" i="2"/>
  <c r="S820" i="2"/>
  <c r="Q820" i="2"/>
  <c r="AF819" i="2"/>
  <c r="AM819" i="2" s="1"/>
  <c r="AE819" i="2"/>
  <c r="Z819" i="2"/>
  <c r="Y819" i="2"/>
  <c r="X819" i="2"/>
  <c r="S819" i="2"/>
  <c r="Q819" i="2"/>
  <c r="U819" i="2" s="1"/>
  <c r="AF818" i="2"/>
  <c r="AH818" i="2" s="1"/>
  <c r="AE818" i="2"/>
  <c r="Z818" i="2"/>
  <c r="Y818" i="2"/>
  <c r="X818" i="2"/>
  <c r="S818" i="2"/>
  <c r="U818" i="2" s="1"/>
  <c r="T818" i="2" s="1"/>
  <c r="Q818" i="2"/>
  <c r="AF817" i="2"/>
  <c r="AE817" i="2"/>
  <c r="Z817" i="2"/>
  <c r="Y817" i="2"/>
  <c r="X817" i="2"/>
  <c r="S817" i="2"/>
  <c r="Q817" i="2"/>
  <c r="AE816" i="2"/>
  <c r="AF816" i="2" s="1"/>
  <c r="Z816" i="2"/>
  <c r="Y816" i="2"/>
  <c r="X816" i="2"/>
  <c r="S816" i="2"/>
  <c r="Q816" i="2"/>
  <c r="AE815" i="2"/>
  <c r="AF815" i="2" s="1"/>
  <c r="AH815" i="2" s="1"/>
  <c r="Z815" i="2"/>
  <c r="Y815" i="2"/>
  <c r="X815" i="2"/>
  <c r="U815" i="2"/>
  <c r="S815" i="2"/>
  <c r="Q815" i="2"/>
  <c r="AE814" i="2"/>
  <c r="AF814" i="2" s="1"/>
  <c r="Z814" i="2"/>
  <c r="Y814" i="2"/>
  <c r="X814" i="2"/>
  <c r="S814" i="2"/>
  <c r="Q814" i="2"/>
  <c r="U814" i="2" s="1"/>
  <c r="AF813" i="2"/>
  <c r="AM813" i="2" s="1"/>
  <c r="AE813" i="2"/>
  <c r="Z813" i="2"/>
  <c r="Y813" i="2"/>
  <c r="X813" i="2"/>
  <c r="S813" i="2"/>
  <c r="Q813" i="2"/>
  <c r="U813" i="2" s="1"/>
  <c r="AM812" i="2"/>
  <c r="AF812" i="2"/>
  <c r="AH812" i="2" s="1"/>
  <c r="AE812" i="2"/>
  <c r="Z812" i="2"/>
  <c r="Y812" i="2"/>
  <c r="X812" i="2"/>
  <c r="S812" i="2"/>
  <c r="Q812" i="2"/>
  <c r="U812" i="2" s="1"/>
  <c r="V812" i="2" s="1"/>
  <c r="AE811" i="2"/>
  <c r="AF811" i="2" s="1"/>
  <c r="AM811" i="2" s="1"/>
  <c r="Z811" i="2"/>
  <c r="Y811" i="2"/>
  <c r="X811" i="2"/>
  <c r="S811" i="2"/>
  <c r="Q811" i="2"/>
  <c r="AE810" i="2"/>
  <c r="AF810" i="2" s="1"/>
  <c r="Z810" i="2"/>
  <c r="Y810" i="2"/>
  <c r="X810" i="2"/>
  <c r="S810" i="2"/>
  <c r="U810" i="2" s="1"/>
  <c r="T810" i="2" s="1"/>
  <c r="Q810" i="2"/>
  <c r="AF809" i="2"/>
  <c r="AE809" i="2"/>
  <c r="Z809" i="2"/>
  <c r="Y809" i="2"/>
  <c r="X809" i="2"/>
  <c r="S809" i="2"/>
  <c r="Q809" i="2"/>
  <c r="AE808" i="2"/>
  <c r="AF808" i="2" s="1"/>
  <c r="Z808" i="2"/>
  <c r="Y808" i="2"/>
  <c r="X808" i="2"/>
  <c r="S808" i="2"/>
  <c r="Q808" i="2"/>
  <c r="AE807" i="2"/>
  <c r="AF807" i="2" s="1"/>
  <c r="Z807" i="2"/>
  <c r="Y807" i="2"/>
  <c r="X807" i="2"/>
  <c r="S807" i="2"/>
  <c r="Q807" i="2"/>
  <c r="U807" i="2" s="1"/>
  <c r="AE806" i="2"/>
  <c r="AF806" i="2" s="1"/>
  <c r="Z806" i="2"/>
  <c r="Y806" i="2"/>
  <c r="X806" i="2"/>
  <c r="S806" i="2"/>
  <c r="Q806" i="2"/>
  <c r="AE805" i="2"/>
  <c r="AF805" i="2" s="1"/>
  <c r="Z805" i="2"/>
  <c r="Y805" i="2"/>
  <c r="X805" i="2"/>
  <c r="S805" i="2"/>
  <c r="Q805" i="2"/>
  <c r="U805" i="2" s="1"/>
  <c r="AE804" i="2"/>
  <c r="AF804" i="2" s="1"/>
  <c r="Z804" i="2"/>
  <c r="Y804" i="2"/>
  <c r="X804" i="2"/>
  <c r="S804" i="2"/>
  <c r="Q804" i="2"/>
  <c r="AF803" i="2"/>
  <c r="AM803" i="2" s="1"/>
  <c r="AE803" i="2"/>
  <c r="Z803" i="2"/>
  <c r="Y803" i="2"/>
  <c r="X803" i="2"/>
  <c r="S803" i="2"/>
  <c r="Q803" i="2"/>
  <c r="U803" i="2" s="1"/>
  <c r="AF802" i="2"/>
  <c r="AH802" i="2" s="1"/>
  <c r="AE802" i="2"/>
  <c r="Z802" i="2"/>
  <c r="Y802" i="2"/>
  <c r="X802" i="2"/>
  <c r="S802" i="2"/>
  <c r="Q802" i="2"/>
  <c r="AE801" i="2"/>
  <c r="AF801" i="2" s="1"/>
  <c r="Z801" i="2"/>
  <c r="Y801" i="2"/>
  <c r="X801" i="2"/>
  <c r="S801" i="2"/>
  <c r="U801" i="2" s="1"/>
  <c r="Q801" i="2"/>
  <c r="AE800" i="2"/>
  <c r="AF800" i="2" s="1"/>
  <c r="Z800" i="2"/>
  <c r="Y800" i="2"/>
  <c r="X800" i="2"/>
  <c r="S800" i="2"/>
  <c r="Q800" i="2"/>
  <c r="AE799" i="2"/>
  <c r="AF799" i="2" s="1"/>
  <c r="Z799" i="2"/>
  <c r="Y799" i="2"/>
  <c r="X799" i="2"/>
  <c r="U799" i="2"/>
  <c r="S799" i="2"/>
  <c r="Q799" i="2"/>
  <c r="AE798" i="2"/>
  <c r="AF798" i="2" s="1"/>
  <c r="Z798" i="2"/>
  <c r="Y798" i="2"/>
  <c r="X798" i="2"/>
  <c r="S798" i="2"/>
  <c r="Q798" i="2"/>
  <c r="U798" i="2" s="1"/>
  <c r="AM797" i="2"/>
  <c r="AH797" i="2"/>
  <c r="AG797" i="2"/>
  <c r="AF797" i="2"/>
  <c r="AE797" i="2"/>
  <c r="Z797" i="2"/>
  <c r="Y797" i="2"/>
  <c r="X797" i="2"/>
  <c r="U797" i="2"/>
  <c r="T797" i="2" s="1"/>
  <c r="S797" i="2"/>
  <c r="Q797" i="2"/>
  <c r="AE796" i="2"/>
  <c r="AF796" i="2" s="1"/>
  <c r="Z796" i="2"/>
  <c r="Y796" i="2"/>
  <c r="X796" i="2"/>
  <c r="S796" i="2"/>
  <c r="Q796" i="2"/>
  <c r="U796" i="2" s="1"/>
  <c r="V796" i="2" s="1"/>
  <c r="AE795" i="2"/>
  <c r="AF795" i="2" s="1"/>
  <c r="AM795" i="2" s="1"/>
  <c r="Z795" i="2"/>
  <c r="Y795" i="2"/>
  <c r="X795" i="2"/>
  <c r="S795" i="2"/>
  <c r="Q795" i="2"/>
  <c r="AE794" i="2"/>
  <c r="AF794" i="2" s="1"/>
  <c r="Z794" i="2"/>
  <c r="Y794" i="2"/>
  <c r="X794" i="2"/>
  <c r="S794" i="2"/>
  <c r="U794" i="2" s="1"/>
  <c r="T794" i="2" s="1"/>
  <c r="Q794" i="2"/>
  <c r="AF793" i="2"/>
  <c r="AE793" i="2"/>
  <c r="Z793" i="2"/>
  <c r="Y793" i="2"/>
  <c r="X793" i="2"/>
  <c r="S793" i="2"/>
  <c r="U793" i="2" s="1"/>
  <c r="Q793" i="2"/>
  <c r="AE792" i="2"/>
  <c r="AF792" i="2" s="1"/>
  <c r="Z792" i="2"/>
  <c r="Y792" i="2"/>
  <c r="X792" i="2"/>
  <c r="S792" i="2"/>
  <c r="Q792" i="2"/>
  <c r="U792" i="2" s="1"/>
  <c r="AH791" i="2"/>
  <c r="AF791" i="2"/>
  <c r="AG791" i="2" s="1"/>
  <c r="AE791" i="2"/>
  <c r="Z791" i="2"/>
  <c r="Y791" i="2"/>
  <c r="X791" i="2"/>
  <c r="S791" i="2"/>
  <c r="U791" i="2" s="1"/>
  <c r="Q791" i="2"/>
  <c r="AE790" i="2"/>
  <c r="AF790" i="2" s="1"/>
  <c r="Z790" i="2"/>
  <c r="Y790" i="2"/>
  <c r="X790" i="2"/>
  <c r="S790" i="2"/>
  <c r="Q790" i="2"/>
  <c r="AE789" i="2"/>
  <c r="AF789" i="2" s="1"/>
  <c r="Z789" i="2"/>
  <c r="Y789" i="2"/>
  <c r="X789" i="2"/>
  <c r="U789" i="2"/>
  <c r="V789" i="2" s="1"/>
  <c r="S789" i="2"/>
  <c r="Q789" i="2"/>
  <c r="AE788" i="2"/>
  <c r="AF788" i="2" s="1"/>
  <c r="Z788" i="2"/>
  <c r="Y788" i="2"/>
  <c r="X788" i="2"/>
  <c r="S788" i="2"/>
  <c r="Q788" i="2"/>
  <c r="U788" i="2" s="1"/>
  <c r="V788" i="2" s="1"/>
  <c r="AF787" i="2"/>
  <c r="AM787" i="2" s="1"/>
  <c r="AE787" i="2"/>
  <c r="Z787" i="2"/>
  <c r="Y787" i="2"/>
  <c r="X787" i="2"/>
  <c r="S787" i="2"/>
  <c r="Q787" i="2"/>
  <c r="AM786" i="2"/>
  <c r="AF786" i="2"/>
  <c r="AH786" i="2" s="1"/>
  <c r="AE786" i="2"/>
  <c r="Z786" i="2"/>
  <c r="Y786" i="2"/>
  <c r="X786" i="2"/>
  <c r="S786" i="2"/>
  <c r="U786" i="2" s="1"/>
  <c r="T786" i="2" s="1"/>
  <c r="Q786" i="2"/>
  <c r="AF785" i="2"/>
  <c r="AE785" i="2"/>
  <c r="Z785" i="2"/>
  <c r="Y785" i="2"/>
  <c r="X785" i="2"/>
  <c r="S785" i="2"/>
  <c r="Q785" i="2"/>
  <c r="AE784" i="2"/>
  <c r="AF784" i="2" s="1"/>
  <c r="Z784" i="2"/>
  <c r="Y784" i="2"/>
  <c r="X784" i="2"/>
  <c r="S784" i="2"/>
  <c r="Q784" i="2"/>
  <c r="U784" i="2" s="1"/>
  <c r="AF783" i="2"/>
  <c r="AG783" i="2" s="1"/>
  <c r="AE783" i="2"/>
  <c r="Z783" i="2"/>
  <c r="Y783" i="2"/>
  <c r="X783" i="2"/>
  <c r="S783" i="2"/>
  <c r="U783" i="2" s="1"/>
  <c r="Q783" i="2"/>
  <c r="AE782" i="2"/>
  <c r="AF782" i="2" s="1"/>
  <c r="Z782" i="2"/>
  <c r="Y782" i="2"/>
  <c r="X782" i="2"/>
  <c r="S782" i="2"/>
  <c r="Q782" i="2"/>
  <c r="U782" i="2" s="1"/>
  <c r="AE781" i="2"/>
  <c r="AF781" i="2" s="1"/>
  <c r="Z781" i="2"/>
  <c r="Y781" i="2"/>
  <c r="X781" i="2"/>
  <c r="U781" i="2"/>
  <c r="V781" i="2" s="1"/>
  <c r="S781" i="2"/>
  <c r="Q781" i="2"/>
  <c r="AE780" i="2"/>
  <c r="AF780" i="2" s="1"/>
  <c r="AG780" i="2" s="1"/>
  <c r="Z780" i="2"/>
  <c r="Y780" i="2"/>
  <c r="X780" i="2"/>
  <c r="T780" i="2"/>
  <c r="S780" i="2"/>
  <c r="Q780" i="2"/>
  <c r="U780" i="2" s="1"/>
  <c r="V780" i="2" s="1"/>
  <c r="AE779" i="2"/>
  <c r="AF779" i="2" s="1"/>
  <c r="AM779" i="2" s="1"/>
  <c r="Z779" i="2"/>
  <c r="Y779" i="2"/>
  <c r="X779" i="2"/>
  <c r="S779" i="2"/>
  <c r="Q779" i="2"/>
  <c r="AE778" i="2"/>
  <c r="AF778" i="2" s="1"/>
  <c r="Z778" i="2"/>
  <c r="Y778" i="2"/>
  <c r="X778" i="2"/>
  <c r="S778" i="2"/>
  <c r="Q778" i="2"/>
  <c r="AE777" i="2"/>
  <c r="AF777" i="2" s="1"/>
  <c r="Z777" i="2"/>
  <c r="Y777" i="2"/>
  <c r="X777" i="2"/>
  <c r="S777" i="2"/>
  <c r="U777" i="2" s="1"/>
  <c r="Q777" i="2"/>
  <c r="AE776" i="2"/>
  <c r="AF776" i="2" s="1"/>
  <c r="Z776" i="2"/>
  <c r="Y776" i="2"/>
  <c r="X776" i="2"/>
  <c r="S776" i="2"/>
  <c r="Q776" i="2"/>
  <c r="U776" i="2" s="1"/>
  <c r="AE775" i="2"/>
  <c r="AF775" i="2" s="1"/>
  <c r="Z775" i="2"/>
  <c r="Y775" i="2"/>
  <c r="X775" i="2"/>
  <c r="S775" i="2"/>
  <c r="Q775" i="2"/>
  <c r="U775" i="2" s="1"/>
  <c r="AE774" i="2"/>
  <c r="AF774" i="2" s="1"/>
  <c r="Z774" i="2"/>
  <c r="Y774" i="2"/>
  <c r="X774" i="2"/>
  <c r="S774" i="2"/>
  <c r="Q774" i="2"/>
  <c r="AE773" i="2"/>
  <c r="AF773" i="2" s="1"/>
  <c r="Z773" i="2"/>
  <c r="Y773" i="2"/>
  <c r="X773" i="2"/>
  <c r="S773" i="2"/>
  <c r="Q773" i="2"/>
  <c r="U773" i="2" s="1"/>
  <c r="V773" i="2" s="1"/>
  <c r="AE772" i="2"/>
  <c r="AF772" i="2" s="1"/>
  <c r="AG772" i="2" s="1"/>
  <c r="Z772" i="2"/>
  <c r="Y772" i="2"/>
  <c r="X772" i="2"/>
  <c r="S772" i="2"/>
  <c r="Q772" i="2"/>
  <c r="AF771" i="2"/>
  <c r="AM771" i="2" s="1"/>
  <c r="AE771" i="2"/>
  <c r="Z771" i="2"/>
  <c r="Y771" i="2"/>
  <c r="X771" i="2"/>
  <c r="S771" i="2"/>
  <c r="Q771" i="2"/>
  <c r="U771" i="2" s="1"/>
  <c r="AF770" i="2"/>
  <c r="AH770" i="2" s="1"/>
  <c r="AE770" i="2"/>
  <c r="Z770" i="2"/>
  <c r="Y770" i="2"/>
  <c r="X770" i="2"/>
  <c r="S770" i="2"/>
  <c r="U770" i="2" s="1"/>
  <c r="T770" i="2" s="1"/>
  <c r="Q770" i="2"/>
  <c r="AF769" i="2"/>
  <c r="AE769" i="2"/>
  <c r="Z769" i="2"/>
  <c r="Y769" i="2"/>
  <c r="X769" i="2"/>
  <c r="S769" i="2"/>
  <c r="Q769" i="2"/>
  <c r="AE768" i="2"/>
  <c r="AF768" i="2" s="1"/>
  <c r="Z768" i="2"/>
  <c r="Y768" i="2"/>
  <c r="X768" i="2"/>
  <c r="S768" i="2"/>
  <c r="Q768" i="2"/>
  <c r="AE767" i="2"/>
  <c r="Z767" i="2"/>
  <c r="S767" i="2"/>
  <c r="Q767" i="2"/>
  <c r="AE766" i="2"/>
  <c r="AF766" i="2" s="1"/>
  <c r="Z766" i="2"/>
  <c r="Y766" i="2"/>
  <c r="X766" i="2"/>
  <c r="S766" i="2"/>
  <c r="Q766" i="2"/>
  <c r="AE765" i="2"/>
  <c r="AF765" i="2" s="1"/>
  <c r="AM765" i="2" s="1"/>
  <c r="Z765" i="2"/>
  <c r="Y765" i="2"/>
  <c r="X765" i="2"/>
  <c r="S765" i="2"/>
  <c r="Q765" i="2"/>
  <c r="U765" i="2" s="1"/>
  <c r="T765" i="2" s="1"/>
  <c r="AE764" i="2"/>
  <c r="AF764" i="2" s="1"/>
  <c r="AH764" i="2" s="1"/>
  <c r="Z764" i="2"/>
  <c r="Y764" i="2"/>
  <c r="X764" i="2"/>
  <c r="S764" i="2"/>
  <c r="U764" i="2" s="1"/>
  <c r="Q764" i="2"/>
  <c r="AE763" i="2"/>
  <c r="AF763" i="2" s="1"/>
  <c r="Z763" i="2"/>
  <c r="Y763" i="2"/>
  <c r="X763" i="2"/>
  <c r="S763" i="2"/>
  <c r="Q763" i="2"/>
  <c r="AE762" i="2"/>
  <c r="AF762" i="2" s="1"/>
  <c r="Z762" i="2"/>
  <c r="Y762" i="2"/>
  <c r="X762" i="2"/>
  <c r="S762" i="2"/>
  <c r="U762" i="2" s="1"/>
  <c r="Q762" i="2"/>
  <c r="AE761" i="2"/>
  <c r="AF761" i="2" s="1"/>
  <c r="AH761" i="2" s="1"/>
  <c r="Z761" i="2"/>
  <c r="Y761" i="2"/>
  <c r="X761" i="2"/>
  <c r="S761" i="2"/>
  <c r="Q761" i="2"/>
  <c r="U761" i="2" s="1"/>
  <c r="V761" i="2" s="1"/>
  <c r="AE760" i="2"/>
  <c r="AF760" i="2" s="1"/>
  <c r="Z760" i="2"/>
  <c r="Y760" i="2"/>
  <c r="X760" i="2"/>
  <c r="S760" i="2"/>
  <c r="Q760" i="2"/>
  <c r="U760" i="2" s="1"/>
  <c r="T760" i="2" s="1"/>
  <c r="AE759" i="2"/>
  <c r="AF759" i="2" s="1"/>
  <c r="Z759" i="2"/>
  <c r="Y759" i="2"/>
  <c r="X759" i="2"/>
  <c r="S759" i="2"/>
  <c r="Q759" i="2"/>
  <c r="AE758" i="2"/>
  <c r="AF758" i="2" s="1"/>
  <c r="Z758" i="2"/>
  <c r="Y758" i="2"/>
  <c r="X758" i="2"/>
  <c r="S758" i="2"/>
  <c r="Q758" i="2"/>
  <c r="U758" i="2" s="1"/>
  <c r="AF757" i="2"/>
  <c r="AM757" i="2" s="1"/>
  <c r="AE757" i="2"/>
  <c r="Z757" i="2"/>
  <c r="Y757" i="2"/>
  <c r="X757" i="2"/>
  <c r="S757" i="2"/>
  <c r="Q757" i="2"/>
  <c r="AF756" i="2"/>
  <c r="AH756" i="2" s="1"/>
  <c r="AE756" i="2"/>
  <c r="Z756" i="2"/>
  <c r="Y756" i="2"/>
  <c r="X756" i="2"/>
  <c r="S756" i="2"/>
  <c r="Q756" i="2"/>
  <c r="U756" i="2" s="1"/>
  <c r="AE755" i="2"/>
  <c r="AF755" i="2" s="1"/>
  <c r="Z755" i="2"/>
  <c r="Y755" i="2"/>
  <c r="X755" i="2"/>
  <c r="S755" i="2"/>
  <c r="U755" i="2" s="1"/>
  <c r="Q755" i="2"/>
  <c r="AE754" i="2"/>
  <c r="AF754" i="2" s="1"/>
  <c r="Z754" i="2"/>
  <c r="Y754" i="2"/>
  <c r="X754" i="2"/>
  <c r="S754" i="2"/>
  <c r="Q754" i="2"/>
  <c r="U754" i="2" s="1"/>
  <c r="AE753" i="2"/>
  <c r="AF753" i="2" s="1"/>
  <c r="Z753" i="2"/>
  <c r="Y753" i="2"/>
  <c r="X753" i="2"/>
  <c r="S753" i="2"/>
  <c r="Q753" i="2"/>
  <c r="U753" i="2" s="1"/>
  <c r="V753" i="2" s="1"/>
  <c r="AE752" i="2"/>
  <c r="AF752" i="2" s="1"/>
  <c r="Z752" i="2"/>
  <c r="Y752" i="2"/>
  <c r="X752" i="2"/>
  <c r="S752" i="2"/>
  <c r="Q752" i="2"/>
  <c r="U752" i="2" s="1"/>
  <c r="AE751" i="2"/>
  <c r="AF751" i="2" s="1"/>
  <c r="Z751" i="2"/>
  <c r="Y751" i="2"/>
  <c r="X751" i="2"/>
  <c r="S751" i="2"/>
  <c r="Q751" i="2"/>
  <c r="AE750" i="2"/>
  <c r="AF750" i="2" s="1"/>
  <c r="Z750" i="2"/>
  <c r="Y750" i="2"/>
  <c r="X750" i="2"/>
  <c r="S750" i="2"/>
  <c r="Q750" i="2"/>
  <c r="U750" i="2" s="1"/>
  <c r="AE749" i="2"/>
  <c r="AF749" i="2" s="1"/>
  <c r="Z749" i="2"/>
  <c r="Y749" i="2"/>
  <c r="X749" i="2"/>
  <c r="S749" i="2"/>
  <c r="Q749" i="2"/>
  <c r="AE748" i="2"/>
  <c r="AF748" i="2" s="1"/>
  <c r="Z748" i="2"/>
  <c r="Y748" i="2"/>
  <c r="X748" i="2"/>
  <c r="S748" i="2"/>
  <c r="Q748" i="2"/>
  <c r="U748" i="2" s="1"/>
  <c r="AF747" i="2"/>
  <c r="AG747" i="2" s="1"/>
  <c r="AE747" i="2"/>
  <c r="Z747" i="2"/>
  <c r="Y747" i="2"/>
  <c r="X747" i="2"/>
  <c r="S747" i="2"/>
  <c r="Q747" i="2"/>
  <c r="U747" i="2" s="1"/>
  <c r="AE746" i="2"/>
  <c r="AF746" i="2" s="1"/>
  <c r="Z746" i="2"/>
  <c r="Y746" i="2"/>
  <c r="X746" i="2"/>
  <c r="S746" i="2"/>
  <c r="Q746" i="2"/>
  <c r="U746" i="2" s="1"/>
  <c r="AE745" i="2"/>
  <c r="AF745" i="2" s="1"/>
  <c r="Z745" i="2"/>
  <c r="Y745" i="2"/>
  <c r="X745" i="2"/>
  <c r="S745" i="2"/>
  <c r="U745" i="2" s="1"/>
  <c r="V745" i="2" s="1"/>
  <c r="Q745" i="2"/>
  <c r="AE744" i="2"/>
  <c r="AF744" i="2" s="1"/>
  <c r="AH744" i="2" s="1"/>
  <c r="Z744" i="2"/>
  <c r="Y744" i="2"/>
  <c r="X744" i="2"/>
  <c r="S744" i="2"/>
  <c r="U744" i="2" s="1"/>
  <c r="Q744" i="2"/>
  <c r="AE743" i="2"/>
  <c r="AF743" i="2" s="1"/>
  <c r="Z743" i="2"/>
  <c r="Y743" i="2"/>
  <c r="X743" i="2"/>
  <c r="S743" i="2"/>
  <c r="Q743" i="2"/>
  <c r="U743" i="2" s="1"/>
  <c r="AE742" i="2"/>
  <c r="AF742" i="2" s="1"/>
  <c r="Z742" i="2"/>
  <c r="Y742" i="2"/>
  <c r="X742" i="2"/>
  <c r="S742" i="2"/>
  <c r="Q742" i="2"/>
  <c r="U742" i="2" s="1"/>
  <c r="AE741" i="2"/>
  <c r="AF741" i="2" s="1"/>
  <c r="Z741" i="2"/>
  <c r="Y741" i="2"/>
  <c r="X741" i="2"/>
  <c r="S741" i="2"/>
  <c r="Q741" i="2"/>
  <c r="AE740" i="2"/>
  <c r="AF740" i="2" s="1"/>
  <c r="Z740" i="2"/>
  <c r="Y740" i="2"/>
  <c r="X740" i="2"/>
  <c r="S740" i="2"/>
  <c r="Q740" i="2"/>
  <c r="U740" i="2" s="1"/>
  <c r="AF739" i="2"/>
  <c r="AG739" i="2" s="1"/>
  <c r="AE739" i="2"/>
  <c r="Z739" i="2"/>
  <c r="Y739" i="2"/>
  <c r="X739" i="2"/>
  <c r="S739" i="2"/>
  <c r="Q739" i="2"/>
  <c r="U739" i="2" s="1"/>
  <c r="AF738" i="2"/>
  <c r="AE738" i="2"/>
  <c r="Z738" i="2"/>
  <c r="Y738" i="2"/>
  <c r="X738" i="2"/>
  <c r="S738" i="2"/>
  <c r="Q738" i="2"/>
  <c r="AE737" i="2"/>
  <c r="AF737" i="2" s="1"/>
  <c r="Z737" i="2"/>
  <c r="Y737" i="2"/>
  <c r="X737" i="2"/>
  <c r="S737" i="2"/>
  <c r="U737" i="2" s="1"/>
  <c r="V737" i="2" s="1"/>
  <c r="Q737" i="2"/>
  <c r="AE736" i="2"/>
  <c r="AF736" i="2" s="1"/>
  <c r="Z736" i="2"/>
  <c r="Y736" i="2"/>
  <c r="X736" i="2"/>
  <c r="S736" i="2"/>
  <c r="Q736" i="2"/>
  <c r="U736" i="2" s="1"/>
  <c r="AE735" i="2"/>
  <c r="AF735" i="2" s="1"/>
  <c r="Z735" i="2"/>
  <c r="Y735" i="2"/>
  <c r="X735" i="2"/>
  <c r="S735" i="2"/>
  <c r="Q735" i="2"/>
  <c r="U735" i="2" s="1"/>
  <c r="AE734" i="2"/>
  <c r="AF734" i="2" s="1"/>
  <c r="Z734" i="2"/>
  <c r="Y734" i="2"/>
  <c r="X734" i="2"/>
  <c r="S734" i="2"/>
  <c r="Q734" i="2"/>
  <c r="AF733" i="2"/>
  <c r="AM733" i="2" s="1"/>
  <c r="AE733" i="2"/>
  <c r="Z733" i="2"/>
  <c r="Y733" i="2"/>
  <c r="X733" i="2"/>
  <c r="T733" i="2"/>
  <c r="S733" i="2"/>
  <c r="U733" i="2" s="1"/>
  <c r="V733" i="2" s="1"/>
  <c r="Q733" i="2"/>
  <c r="AE732" i="2"/>
  <c r="AF732" i="2" s="1"/>
  <c r="Z732" i="2"/>
  <c r="Y732" i="2"/>
  <c r="X732" i="2"/>
  <c r="V732" i="2"/>
  <c r="U732" i="2"/>
  <c r="T732" i="2"/>
  <c r="S732" i="2"/>
  <c r="Q732" i="2"/>
  <c r="AE731" i="2"/>
  <c r="Z731" i="2"/>
  <c r="S731" i="2"/>
  <c r="Q731" i="2"/>
  <c r="U731" i="2" s="1"/>
  <c r="AF730" i="2"/>
  <c r="AM730" i="2" s="1"/>
  <c r="AE730" i="2"/>
  <c r="Z730" i="2"/>
  <c r="Y730" i="2"/>
  <c r="X730" i="2"/>
  <c r="S730" i="2"/>
  <c r="U730" i="2" s="1"/>
  <c r="V730" i="2" s="1"/>
  <c r="Q730" i="2"/>
  <c r="AF729" i="2"/>
  <c r="AM729" i="2" s="1"/>
  <c r="AE729" i="2"/>
  <c r="Z729" i="2"/>
  <c r="Y729" i="2"/>
  <c r="X729" i="2"/>
  <c r="S729" i="2"/>
  <c r="Q729" i="2"/>
  <c r="U729" i="2" s="1"/>
  <c r="AE728" i="2"/>
  <c r="AF728" i="2" s="1"/>
  <c r="Z728" i="2"/>
  <c r="Y728" i="2"/>
  <c r="X728" i="2"/>
  <c r="S728" i="2"/>
  <c r="Q728" i="2"/>
  <c r="U728" i="2" s="1"/>
  <c r="AE727" i="2"/>
  <c r="AF727" i="2" s="1"/>
  <c r="Z727" i="2"/>
  <c r="Y727" i="2"/>
  <c r="X727" i="2"/>
  <c r="S727" i="2"/>
  <c r="Q727" i="2"/>
  <c r="AF726" i="2"/>
  <c r="AM726" i="2" s="1"/>
  <c r="AE726" i="2"/>
  <c r="Z726" i="2"/>
  <c r="Y726" i="2"/>
  <c r="X726" i="2"/>
  <c r="S726" i="2"/>
  <c r="U726" i="2" s="1"/>
  <c r="Q726" i="2"/>
  <c r="AE725" i="2"/>
  <c r="AF725" i="2" s="1"/>
  <c r="AM725" i="2" s="1"/>
  <c r="Z725" i="2"/>
  <c r="Y725" i="2"/>
  <c r="X725" i="2"/>
  <c r="S725" i="2"/>
  <c r="Q725" i="2"/>
  <c r="U725" i="2" s="1"/>
  <c r="AE724" i="2"/>
  <c r="AF724" i="2" s="1"/>
  <c r="Z724" i="2"/>
  <c r="Y724" i="2"/>
  <c r="X724" i="2"/>
  <c r="S724" i="2"/>
  <c r="Q724" i="2"/>
  <c r="U724" i="2" s="1"/>
  <c r="AM723" i="2"/>
  <c r="AE723" i="2"/>
  <c r="AF723" i="2" s="1"/>
  <c r="Z723" i="2"/>
  <c r="Y723" i="2"/>
  <c r="X723" i="2"/>
  <c r="S723" i="2"/>
  <c r="Q723" i="2"/>
  <c r="AF722" i="2"/>
  <c r="AG722" i="2" s="1"/>
  <c r="AE722" i="2"/>
  <c r="Z722" i="2"/>
  <c r="Y722" i="2"/>
  <c r="X722" i="2"/>
  <c r="S722" i="2"/>
  <c r="Q722" i="2"/>
  <c r="AM721" i="2"/>
  <c r="AF721" i="2"/>
  <c r="AH721" i="2" s="1"/>
  <c r="AE721" i="2"/>
  <c r="Z721" i="2"/>
  <c r="Y721" i="2"/>
  <c r="X721" i="2"/>
  <c r="S721" i="2"/>
  <c r="U721" i="2" s="1"/>
  <c r="Q721" i="2"/>
  <c r="AE720" i="2"/>
  <c r="AF720" i="2" s="1"/>
  <c r="Z720" i="2"/>
  <c r="Y720" i="2"/>
  <c r="X720" i="2"/>
  <c r="S720" i="2"/>
  <c r="U720" i="2" s="1"/>
  <c r="Q720" i="2"/>
  <c r="AE719" i="2"/>
  <c r="AF719" i="2" s="1"/>
  <c r="Z719" i="2"/>
  <c r="Y719" i="2"/>
  <c r="X719" i="2"/>
  <c r="S719" i="2"/>
  <c r="Q719" i="2"/>
  <c r="AF718" i="2"/>
  <c r="AE718" i="2"/>
  <c r="Z718" i="2"/>
  <c r="Y718" i="2"/>
  <c r="X718" i="2"/>
  <c r="S718" i="2"/>
  <c r="Q718" i="2"/>
  <c r="AE717" i="2"/>
  <c r="AF717" i="2" s="1"/>
  <c r="AM717" i="2" s="1"/>
  <c r="Z717" i="2"/>
  <c r="Y717" i="2"/>
  <c r="X717" i="2"/>
  <c r="U717" i="2"/>
  <c r="V717" i="2" s="1"/>
  <c r="S717" i="2"/>
  <c r="Q717" i="2"/>
  <c r="AH716" i="2"/>
  <c r="AE716" i="2"/>
  <c r="AF716" i="2" s="1"/>
  <c r="Z716" i="2"/>
  <c r="Y716" i="2"/>
  <c r="X716" i="2"/>
  <c r="U716" i="2"/>
  <c r="S716" i="2"/>
  <c r="Q716" i="2"/>
  <c r="AM715" i="2"/>
  <c r="AE715" i="2"/>
  <c r="AF715" i="2" s="1"/>
  <c r="Z715" i="2"/>
  <c r="Y715" i="2"/>
  <c r="X715" i="2"/>
  <c r="S715" i="2"/>
  <c r="Q715" i="2"/>
  <c r="AE714" i="2"/>
  <c r="AF714" i="2" s="1"/>
  <c r="AG714" i="2" s="1"/>
  <c r="Z714" i="2"/>
  <c r="Y714" i="2"/>
  <c r="X714" i="2"/>
  <c r="S714" i="2"/>
  <c r="U714" i="2" s="1"/>
  <c r="V714" i="2" s="1"/>
  <c r="Q714" i="2"/>
  <c r="AE713" i="2"/>
  <c r="AF713" i="2" s="1"/>
  <c r="Z713" i="2"/>
  <c r="Y713" i="2"/>
  <c r="X713" i="2"/>
  <c r="S713" i="2"/>
  <c r="Q713" i="2"/>
  <c r="U713" i="2" s="1"/>
  <c r="AE712" i="2"/>
  <c r="AF712" i="2" s="1"/>
  <c r="Z712" i="2"/>
  <c r="Y712" i="2"/>
  <c r="X712" i="2"/>
  <c r="U712" i="2"/>
  <c r="T712" i="2" s="1"/>
  <c r="S712" i="2"/>
  <c r="Q712" i="2"/>
  <c r="AE711" i="2"/>
  <c r="AF711" i="2" s="1"/>
  <c r="Z711" i="2"/>
  <c r="Y711" i="2"/>
  <c r="X711" i="2"/>
  <c r="S711" i="2"/>
  <c r="Q711" i="2"/>
  <c r="AF710" i="2"/>
  <c r="AE710" i="2"/>
  <c r="Z710" i="2"/>
  <c r="Y710" i="2"/>
  <c r="X710" i="2"/>
  <c r="S710" i="2"/>
  <c r="Q710" i="2"/>
  <c r="AE709" i="2"/>
  <c r="AF709" i="2" s="1"/>
  <c r="Z709" i="2"/>
  <c r="Y709" i="2"/>
  <c r="X709" i="2"/>
  <c r="U709" i="2"/>
  <c r="V709" i="2" s="1"/>
  <c r="T709" i="2"/>
  <c r="S709" i="2"/>
  <c r="Q709" i="2"/>
  <c r="AH708" i="2"/>
  <c r="AE708" i="2"/>
  <c r="AF708" i="2" s="1"/>
  <c r="Z708" i="2"/>
  <c r="Y708" i="2"/>
  <c r="X708" i="2"/>
  <c r="U708" i="2"/>
  <c r="S708" i="2"/>
  <c r="Q708" i="2"/>
  <c r="AM707" i="2"/>
  <c r="AE707" i="2"/>
  <c r="AF707" i="2" s="1"/>
  <c r="Z707" i="2"/>
  <c r="Y707" i="2"/>
  <c r="X707" i="2"/>
  <c r="V707" i="2"/>
  <c r="S707" i="2"/>
  <c r="Q707" i="2"/>
  <c r="U707" i="2" s="1"/>
  <c r="T707" i="2" s="1"/>
  <c r="AG706" i="2"/>
  <c r="AF706" i="2"/>
  <c r="AE706" i="2"/>
  <c r="Z706" i="2"/>
  <c r="Y706" i="2"/>
  <c r="X706" i="2"/>
  <c r="S706" i="2"/>
  <c r="Q706" i="2"/>
  <c r="AM705" i="2"/>
  <c r="AF705" i="2"/>
  <c r="AH705" i="2" s="1"/>
  <c r="AE705" i="2"/>
  <c r="Z705" i="2"/>
  <c r="Y705" i="2"/>
  <c r="X705" i="2"/>
  <c r="S705" i="2"/>
  <c r="U705" i="2" s="1"/>
  <c r="Q705" i="2"/>
  <c r="AF704" i="2"/>
  <c r="AE704" i="2"/>
  <c r="Z704" i="2"/>
  <c r="Y704" i="2"/>
  <c r="X704" i="2"/>
  <c r="S704" i="2"/>
  <c r="Q704" i="2"/>
  <c r="AE703" i="2"/>
  <c r="AF703" i="2" s="1"/>
  <c r="Z703" i="2"/>
  <c r="Y703" i="2"/>
  <c r="X703" i="2"/>
  <c r="S703" i="2"/>
  <c r="Q703" i="2"/>
  <c r="AE702" i="2"/>
  <c r="AF702" i="2" s="1"/>
  <c r="AH702" i="2" s="1"/>
  <c r="Z702" i="2"/>
  <c r="Y702" i="2"/>
  <c r="X702" i="2"/>
  <c r="S702" i="2"/>
  <c r="Q702" i="2"/>
  <c r="U702" i="2" s="1"/>
  <c r="AE701" i="2"/>
  <c r="AF701" i="2" s="1"/>
  <c r="AM701" i="2" s="1"/>
  <c r="Z701" i="2"/>
  <c r="Y701" i="2"/>
  <c r="X701" i="2"/>
  <c r="U701" i="2"/>
  <c r="V701" i="2" s="1"/>
  <c r="S701" i="2"/>
  <c r="Q701" i="2"/>
  <c r="AE700" i="2"/>
  <c r="AF700" i="2" s="1"/>
  <c r="AH700" i="2" s="1"/>
  <c r="Z700" i="2"/>
  <c r="Y700" i="2"/>
  <c r="X700" i="2"/>
  <c r="S700" i="2"/>
  <c r="Q700" i="2"/>
  <c r="U700" i="2" s="1"/>
  <c r="AE699" i="2"/>
  <c r="AF699" i="2" s="1"/>
  <c r="AH699" i="2" s="1"/>
  <c r="Z699" i="2"/>
  <c r="Y699" i="2"/>
  <c r="X699" i="2"/>
  <c r="S699" i="2"/>
  <c r="Q699" i="2"/>
  <c r="AF698" i="2"/>
  <c r="AE698" i="2"/>
  <c r="Z698" i="2"/>
  <c r="Y698" i="2"/>
  <c r="X698" i="2"/>
  <c r="T698" i="2"/>
  <c r="S698" i="2"/>
  <c r="U698" i="2" s="1"/>
  <c r="V698" i="2" s="1"/>
  <c r="Q698" i="2"/>
  <c r="AE697" i="2"/>
  <c r="AF697" i="2" s="1"/>
  <c r="Z697" i="2"/>
  <c r="Y697" i="2"/>
  <c r="X697" i="2"/>
  <c r="V697" i="2"/>
  <c r="U697" i="2"/>
  <c r="T697" i="2"/>
  <c r="S697" i="2"/>
  <c r="Q697" i="2"/>
  <c r="AM696" i="2"/>
  <c r="AF696" i="2"/>
  <c r="AG696" i="2" s="1"/>
  <c r="AE696" i="2"/>
  <c r="Z696" i="2"/>
  <c r="Y696" i="2"/>
  <c r="X696" i="2"/>
  <c r="S696" i="2"/>
  <c r="Q696" i="2"/>
  <c r="U696" i="2" s="1"/>
  <c r="T696" i="2" s="1"/>
  <c r="AM695" i="2"/>
  <c r="AE695" i="2"/>
  <c r="AF695" i="2" s="1"/>
  <c r="Z695" i="2"/>
  <c r="Y695" i="2"/>
  <c r="X695" i="2"/>
  <c r="S695" i="2"/>
  <c r="Q695" i="2"/>
  <c r="U695" i="2" s="1"/>
  <c r="AF694" i="2"/>
  <c r="AE694" i="2"/>
  <c r="Z694" i="2"/>
  <c r="Y694" i="2"/>
  <c r="X694" i="2"/>
  <c r="S694" i="2"/>
  <c r="U694" i="2" s="1"/>
  <c r="Q694" i="2"/>
  <c r="AE693" i="2"/>
  <c r="AF693" i="2" s="1"/>
  <c r="AM693" i="2" s="1"/>
  <c r="Z693" i="2"/>
  <c r="Y693" i="2"/>
  <c r="X693" i="2"/>
  <c r="S693" i="2"/>
  <c r="U693" i="2" s="1"/>
  <c r="Q693" i="2"/>
  <c r="AE692" i="2"/>
  <c r="AF692" i="2" s="1"/>
  <c r="AG692" i="2" s="1"/>
  <c r="Z692" i="2"/>
  <c r="Y692" i="2"/>
  <c r="X692" i="2"/>
  <c r="S692" i="2"/>
  <c r="Q692" i="2"/>
  <c r="U692" i="2" s="1"/>
  <c r="AE691" i="2"/>
  <c r="AF691" i="2" s="1"/>
  <c r="Z691" i="2"/>
  <c r="Y691" i="2"/>
  <c r="X691" i="2"/>
  <c r="S691" i="2"/>
  <c r="Q691" i="2"/>
  <c r="AF690" i="2"/>
  <c r="AE690" i="2"/>
  <c r="Z690" i="2"/>
  <c r="Y690" i="2"/>
  <c r="X690" i="2"/>
  <c r="S690" i="2"/>
  <c r="Q690" i="2"/>
  <c r="AE689" i="2"/>
  <c r="AF689" i="2" s="1"/>
  <c r="Z689" i="2"/>
  <c r="Y689" i="2"/>
  <c r="X689" i="2"/>
  <c r="U689" i="2"/>
  <c r="V689" i="2" s="1"/>
  <c r="S689" i="2"/>
  <c r="Q689" i="2"/>
  <c r="AH688" i="2"/>
  <c r="AE688" i="2"/>
  <c r="AF688" i="2" s="1"/>
  <c r="Z688" i="2"/>
  <c r="Y688" i="2"/>
  <c r="X688" i="2"/>
  <c r="S688" i="2"/>
  <c r="Q688" i="2"/>
  <c r="AE687" i="2"/>
  <c r="AF687" i="2" s="1"/>
  <c r="Z687" i="2"/>
  <c r="Y687" i="2"/>
  <c r="X687" i="2"/>
  <c r="S687" i="2"/>
  <c r="Q687" i="2"/>
  <c r="AE686" i="2"/>
  <c r="AF686" i="2" s="1"/>
  <c r="AM686" i="2" s="1"/>
  <c r="Z686" i="2"/>
  <c r="Y686" i="2"/>
  <c r="X686" i="2"/>
  <c r="S686" i="2"/>
  <c r="U686" i="2" s="1"/>
  <c r="V686" i="2" s="1"/>
  <c r="Q686" i="2"/>
  <c r="AE685" i="2"/>
  <c r="AF685" i="2" s="1"/>
  <c r="Z685" i="2"/>
  <c r="Y685" i="2"/>
  <c r="X685" i="2"/>
  <c r="S685" i="2"/>
  <c r="Q685" i="2"/>
  <c r="AM684" i="2"/>
  <c r="AE684" i="2"/>
  <c r="AF684" i="2" s="1"/>
  <c r="AG684" i="2" s="1"/>
  <c r="Z684" i="2"/>
  <c r="Y684" i="2"/>
  <c r="X684" i="2"/>
  <c r="S684" i="2"/>
  <c r="Q684" i="2"/>
  <c r="U684" i="2" s="1"/>
  <c r="T684" i="2" s="1"/>
  <c r="AE683" i="2"/>
  <c r="AF683" i="2" s="1"/>
  <c r="Z683" i="2"/>
  <c r="Y683" i="2"/>
  <c r="X683" i="2"/>
  <c r="S683" i="2"/>
  <c r="Q683" i="2"/>
  <c r="U683" i="2" s="1"/>
  <c r="T683" i="2" s="1"/>
  <c r="AE682" i="2"/>
  <c r="AF682" i="2" s="1"/>
  <c r="AG682" i="2" s="1"/>
  <c r="Z682" i="2"/>
  <c r="Y682" i="2"/>
  <c r="X682" i="2"/>
  <c r="S682" i="2"/>
  <c r="Q682" i="2"/>
  <c r="U682" i="2" s="1"/>
  <c r="V682" i="2" s="1"/>
  <c r="AG681" i="2"/>
  <c r="AF681" i="2"/>
  <c r="AM681" i="2" s="1"/>
  <c r="AE681" i="2"/>
  <c r="Z681" i="2"/>
  <c r="Y681" i="2"/>
  <c r="X681" i="2"/>
  <c r="S681" i="2"/>
  <c r="Q681" i="2"/>
  <c r="U681" i="2" s="1"/>
  <c r="AE680" i="2"/>
  <c r="AF680" i="2" s="1"/>
  <c r="AG680" i="2" s="1"/>
  <c r="Z680" i="2"/>
  <c r="Y680" i="2"/>
  <c r="X680" i="2"/>
  <c r="S680" i="2"/>
  <c r="Q680" i="2"/>
  <c r="U680" i="2" s="1"/>
  <c r="AE679" i="2"/>
  <c r="AF679" i="2" s="1"/>
  <c r="Z679" i="2"/>
  <c r="Y679" i="2"/>
  <c r="X679" i="2"/>
  <c r="S679" i="2"/>
  <c r="Q679" i="2"/>
  <c r="AG678" i="2"/>
  <c r="AF678" i="2"/>
  <c r="AM678" i="2" s="1"/>
  <c r="AE678" i="2"/>
  <c r="Z678" i="2"/>
  <c r="Y678" i="2"/>
  <c r="X678" i="2"/>
  <c r="S678" i="2"/>
  <c r="Q678" i="2"/>
  <c r="AH677" i="2"/>
  <c r="AG677" i="2"/>
  <c r="AE677" i="2"/>
  <c r="AF677" i="2" s="1"/>
  <c r="AM677" i="2" s="1"/>
  <c r="Z677" i="2"/>
  <c r="Y677" i="2"/>
  <c r="X677" i="2"/>
  <c r="S677" i="2"/>
  <c r="Q677" i="2"/>
  <c r="U677" i="2" s="1"/>
  <c r="AE676" i="2"/>
  <c r="AF676" i="2" s="1"/>
  <c r="AG676" i="2" s="1"/>
  <c r="Z676" i="2"/>
  <c r="Y676" i="2"/>
  <c r="X676" i="2"/>
  <c r="S676" i="2"/>
  <c r="Q676" i="2"/>
  <c r="U676" i="2" s="1"/>
  <c r="AF675" i="2"/>
  <c r="AE675" i="2"/>
  <c r="Z675" i="2"/>
  <c r="Y675" i="2"/>
  <c r="X675" i="2"/>
  <c r="S675" i="2"/>
  <c r="Q675" i="2"/>
  <c r="U675" i="2" s="1"/>
  <c r="AE674" i="2"/>
  <c r="AF674" i="2" s="1"/>
  <c r="Z674" i="2"/>
  <c r="Y674" i="2"/>
  <c r="X674" i="2"/>
  <c r="S674" i="2"/>
  <c r="Q674" i="2"/>
  <c r="AF673" i="2"/>
  <c r="AM673" i="2" s="1"/>
  <c r="AE673" i="2"/>
  <c r="Z673" i="2"/>
  <c r="Y673" i="2"/>
  <c r="X673" i="2"/>
  <c r="S673" i="2"/>
  <c r="Q673" i="2"/>
  <c r="AE672" i="2"/>
  <c r="AF672" i="2" s="1"/>
  <c r="Z672" i="2"/>
  <c r="Y672" i="2"/>
  <c r="X672" i="2"/>
  <c r="U672" i="2"/>
  <c r="T672" i="2" s="1"/>
  <c r="S672" i="2"/>
  <c r="Q672" i="2"/>
  <c r="AE671" i="2"/>
  <c r="AF671" i="2" s="1"/>
  <c r="Z671" i="2"/>
  <c r="Y671" i="2"/>
  <c r="X671" i="2"/>
  <c r="S671" i="2"/>
  <c r="Q671" i="2"/>
  <c r="AE670" i="2"/>
  <c r="AF670" i="2" s="1"/>
  <c r="Z670" i="2"/>
  <c r="Y670" i="2"/>
  <c r="X670" i="2"/>
  <c r="S670" i="2"/>
  <c r="Q670" i="2"/>
  <c r="U670" i="2" s="1"/>
  <c r="AE669" i="2"/>
  <c r="AF669" i="2" s="1"/>
  <c r="Z669" i="2"/>
  <c r="Y669" i="2"/>
  <c r="X669" i="2"/>
  <c r="S669" i="2"/>
  <c r="Q669" i="2"/>
  <c r="AE668" i="2"/>
  <c r="AF668" i="2" s="1"/>
  <c r="Z668" i="2"/>
  <c r="Y668" i="2"/>
  <c r="X668" i="2"/>
  <c r="S668" i="2"/>
  <c r="Q668" i="2"/>
  <c r="U668" i="2" s="1"/>
  <c r="AE667" i="2"/>
  <c r="AF667" i="2" s="1"/>
  <c r="Z667" i="2"/>
  <c r="Y667" i="2"/>
  <c r="X667" i="2"/>
  <c r="S667" i="2"/>
  <c r="Q667" i="2"/>
  <c r="U667" i="2" s="1"/>
  <c r="AE666" i="2"/>
  <c r="AF666" i="2" s="1"/>
  <c r="Z666" i="2"/>
  <c r="Y666" i="2"/>
  <c r="X666" i="2"/>
  <c r="S666" i="2"/>
  <c r="Q666" i="2"/>
  <c r="U666" i="2" s="1"/>
  <c r="AE665" i="2"/>
  <c r="AF665" i="2" s="1"/>
  <c r="Z665" i="2"/>
  <c r="Y665" i="2"/>
  <c r="X665" i="2"/>
  <c r="S665" i="2"/>
  <c r="Q665" i="2"/>
  <c r="U665" i="2" s="1"/>
  <c r="AF664" i="2"/>
  <c r="AE664" i="2"/>
  <c r="Z664" i="2"/>
  <c r="Y664" i="2"/>
  <c r="X664" i="2"/>
  <c r="S664" i="2"/>
  <c r="Q664" i="2"/>
  <c r="U664" i="2" s="1"/>
  <c r="AE663" i="2"/>
  <c r="AF663" i="2" s="1"/>
  <c r="AH663" i="2" s="1"/>
  <c r="Z663" i="2"/>
  <c r="Y663" i="2"/>
  <c r="X663" i="2"/>
  <c r="S663" i="2"/>
  <c r="U663" i="2" s="1"/>
  <c r="Q663" i="2"/>
  <c r="AE662" i="2"/>
  <c r="AF662" i="2" s="1"/>
  <c r="Z662" i="2"/>
  <c r="Y662" i="2"/>
  <c r="X662" i="2"/>
  <c r="U662" i="2"/>
  <c r="S662" i="2"/>
  <c r="Q662" i="2"/>
  <c r="AE661" i="2"/>
  <c r="AF661" i="2" s="1"/>
  <c r="Z661" i="2"/>
  <c r="Y661" i="2"/>
  <c r="X661" i="2"/>
  <c r="S661" i="2"/>
  <c r="Q661" i="2"/>
  <c r="U661" i="2" s="1"/>
  <c r="AE660" i="2"/>
  <c r="AF660" i="2" s="1"/>
  <c r="Z660" i="2"/>
  <c r="Y660" i="2"/>
  <c r="X660" i="2"/>
  <c r="S660" i="2"/>
  <c r="Q660" i="2"/>
  <c r="AE659" i="2"/>
  <c r="AF659" i="2" s="1"/>
  <c r="Z659" i="2"/>
  <c r="Y659" i="2"/>
  <c r="X659" i="2"/>
  <c r="S659" i="2"/>
  <c r="U659" i="2" s="1"/>
  <c r="Q659" i="2"/>
  <c r="AE658" i="2"/>
  <c r="AF658" i="2" s="1"/>
  <c r="Z658" i="2"/>
  <c r="Y658" i="2"/>
  <c r="X658" i="2"/>
  <c r="S658" i="2"/>
  <c r="Q658" i="2"/>
  <c r="AM657" i="2"/>
  <c r="AE657" i="2"/>
  <c r="AF657" i="2" s="1"/>
  <c r="Z657" i="2"/>
  <c r="Y657" i="2"/>
  <c r="X657" i="2"/>
  <c r="S657" i="2"/>
  <c r="Q657" i="2"/>
  <c r="U657" i="2" s="1"/>
  <c r="AE656" i="2"/>
  <c r="AF656" i="2" s="1"/>
  <c r="Z656" i="2"/>
  <c r="Y656" i="2"/>
  <c r="X656" i="2"/>
  <c r="S656" i="2"/>
  <c r="Q656" i="2"/>
  <c r="AF655" i="2"/>
  <c r="AH655" i="2" s="1"/>
  <c r="AE655" i="2"/>
  <c r="Z655" i="2"/>
  <c r="Y655" i="2"/>
  <c r="X655" i="2"/>
  <c r="S655" i="2"/>
  <c r="U655" i="2" s="1"/>
  <c r="Q655" i="2"/>
  <c r="AF654" i="2"/>
  <c r="AH654" i="2" s="1"/>
  <c r="AE654" i="2"/>
  <c r="Z654" i="2"/>
  <c r="Y654" i="2"/>
  <c r="X654" i="2"/>
  <c r="S654" i="2"/>
  <c r="Q654" i="2"/>
  <c r="U654" i="2" s="1"/>
  <c r="AE653" i="2"/>
  <c r="AF653" i="2" s="1"/>
  <c r="Z653" i="2"/>
  <c r="Y653" i="2"/>
  <c r="X653" i="2"/>
  <c r="S653" i="2"/>
  <c r="Q653" i="2"/>
  <c r="AE652" i="2"/>
  <c r="AF652" i="2" s="1"/>
  <c r="Z652" i="2"/>
  <c r="Y652" i="2"/>
  <c r="X652" i="2"/>
  <c r="S652" i="2"/>
  <c r="Q652" i="2"/>
  <c r="U652" i="2" s="1"/>
  <c r="AF651" i="2"/>
  <c r="AM651" i="2" s="1"/>
  <c r="AE651" i="2"/>
  <c r="Z651" i="2"/>
  <c r="Y651" i="2"/>
  <c r="X651" i="2"/>
  <c r="S651" i="2"/>
  <c r="Q651" i="2"/>
  <c r="U651" i="2" s="1"/>
  <c r="AE650" i="2"/>
  <c r="AF650" i="2" s="1"/>
  <c r="Z650" i="2"/>
  <c r="Y650" i="2"/>
  <c r="X650" i="2"/>
  <c r="S650" i="2"/>
  <c r="Q650" i="2"/>
  <c r="AE649" i="2"/>
  <c r="AF649" i="2" s="1"/>
  <c r="Z649" i="2"/>
  <c r="Y649" i="2"/>
  <c r="X649" i="2"/>
  <c r="S649" i="2"/>
  <c r="Q649" i="2"/>
  <c r="U649" i="2" s="1"/>
  <c r="AE648" i="2"/>
  <c r="AF648" i="2" s="1"/>
  <c r="Z648" i="2"/>
  <c r="Y648" i="2"/>
  <c r="X648" i="2"/>
  <c r="S648" i="2"/>
  <c r="Q648" i="2"/>
  <c r="AF647" i="2"/>
  <c r="AH647" i="2" s="1"/>
  <c r="AE647" i="2"/>
  <c r="Z647" i="2"/>
  <c r="Y647" i="2"/>
  <c r="X647" i="2"/>
  <c r="S647" i="2"/>
  <c r="U647" i="2" s="1"/>
  <c r="Q647" i="2"/>
  <c r="AF646" i="2"/>
  <c r="AM646" i="2" s="1"/>
  <c r="AE646" i="2"/>
  <c r="Z646" i="2"/>
  <c r="Y646" i="2"/>
  <c r="X646" i="2"/>
  <c r="U646" i="2"/>
  <c r="S646" i="2"/>
  <c r="Q646" i="2"/>
  <c r="AE645" i="2"/>
  <c r="AF645" i="2" s="1"/>
  <c r="Z645" i="2"/>
  <c r="Y645" i="2"/>
  <c r="X645" i="2"/>
  <c r="S645" i="2"/>
  <c r="Q645" i="2"/>
  <c r="U645" i="2" s="1"/>
  <c r="AE644" i="2"/>
  <c r="AF644" i="2" s="1"/>
  <c r="Z644" i="2"/>
  <c r="Y644" i="2"/>
  <c r="X644" i="2"/>
  <c r="S644" i="2"/>
  <c r="Q644" i="2"/>
  <c r="AG643" i="2"/>
  <c r="AF643" i="2"/>
  <c r="AM643" i="2" s="1"/>
  <c r="AE643" i="2"/>
  <c r="Z643" i="2"/>
  <c r="Y643" i="2"/>
  <c r="X643" i="2"/>
  <c r="S643" i="2"/>
  <c r="Q643" i="2"/>
  <c r="U643" i="2" s="1"/>
  <c r="AE642" i="2"/>
  <c r="AF642" i="2" s="1"/>
  <c r="Z642" i="2"/>
  <c r="Y642" i="2"/>
  <c r="X642" i="2"/>
  <c r="S642" i="2"/>
  <c r="Q642" i="2"/>
  <c r="AM641" i="2"/>
  <c r="AE641" i="2"/>
  <c r="AF641" i="2" s="1"/>
  <c r="Z641" i="2"/>
  <c r="Y641" i="2"/>
  <c r="X641" i="2"/>
  <c r="S641" i="2"/>
  <c r="Q641" i="2"/>
  <c r="U641" i="2" s="1"/>
  <c r="AF640" i="2"/>
  <c r="AE640" i="2"/>
  <c r="Z640" i="2"/>
  <c r="Y640" i="2"/>
  <c r="X640" i="2"/>
  <c r="S640" i="2"/>
  <c r="Q640" i="2"/>
  <c r="AF639" i="2"/>
  <c r="AH639" i="2" s="1"/>
  <c r="AE639" i="2"/>
  <c r="Z639" i="2"/>
  <c r="Y639" i="2"/>
  <c r="X639" i="2"/>
  <c r="S639" i="2"/>
  <c r="U639" i="2" s="1"/>
  <c r="Q639" i="2"/>
  <c r="AE638" i="2"/>
  <c r="AF638" i="2" s="1"/>
  <c r="Z638" i="2"/>
  <c r="Y638" i="2"/>
  <c r="X638" i="2"/>
  <c r="S638" i="2"/>
  <c r="Q638" i="2"/>
  <c r="U638" i="2" s="1"/>
  <c r="AE637" i="2"/>
  <c r="AF637" i="2" s="1"/>
  <c r="Z637" i="2"/>
  <c r="Y637" i="2"/>
  <c r="X637" i="2"/>
  <c r="S637" i="2"/>
  <c r="Q637" i="2"/>
  <c r="AE636" i="2"/>
  <c r="AF636" i="2" s="1"/>
  <c r="Z636" i="2"/>
  <c r="Y636" i="2"/>
  <c r="X636" i="2"/>
  <c r="S636" i="2"/>
  <c r="Q636" i="2"/>
  <c r="U636" i="2" s="1"/>
  <c r="AF635" i="2"/>
  <c r="AM635" i="2" s="1"/>
  <c r="AE635" i="2"/>
  <c r="Z635" i="2"/>
  <c r="Y635" i="2"/>
  <c r="X635" i="2"/>
  <c r="U635" i="2"/>
  <c r="V635" i="2" s="1"/>
  <c r="S635" i="2"/>
  <c r="Q635" i="2"/>
  <c r="AE634" i="2"/>
  <c r="AF634" i="2" s="1"/>
  <c r="Z634" i="2"/>
  <c r="Y634" i="2"/>
  <c r="X634" i="2"/>
  <c r="S634" i="2"/>
  <c r="Q634" i="2"/>
  <c r="AE633" i="2"/>
  <c r="AF633" i="2" s="1"/>
  <c r="AM633" i="2" s="1"/>
  <c r="Z633" i="2"/>
  <c r="Y633" i="2"/>
  <c r="X633" i="2"/>
  <c r="U633" i="2"/>
  <c r="T633" i="2" s="1"/>
  <c r="S633" i="2"/>
  <c r="Q633" i="2"/>
  <c r="AF632" i="2"/>
  <c r="AH632" i="2" s="1"/>
  <c r="AE632" i="2"/>
  <c r="Z632" i="2"/>
  <c r="Y632" i="2"/>
  <c r="X632" i="2"/>
  <c r="S632" i="2"/>
  <c r="Q632" i="2"/>
  <c r="AF631" i="2"/>
  <c r="AE631" i="2"/>
  <c r="Z631" i="2"/>
  <c r="Y631" i="2"/>
  <c r="X631" i="2"/>
  <c r="S631" i="2"/>
  <c r="U631" i="2" s="1"/>
  <c r="Q631" i="2"/>
  <c r="AF630" i="2"/>
  <c r="AM630" i="2" s="1"/>
  <c r="AE630" i="2"/>
  <c r="Z630" i="2"/>
  <c r="Y630" i="2"/>
  <c r="X630" i="2"/>
  <c r="S630" i="2"/>
  <c r="Q630" i="2"/>
  <c r="U630" i="2" s="1"/>
  <c r="AE629" i="2"/>
  <c r="AF629" i="2" s="1"/>
  <c r="AH629" i="2" s="1"/>
  <c r="Z629" i="2"/>
  <c r="Y629" i="2"/>
  <c r="X629" i="2"/>
  <c r="S629" i="2"/>
  <c r="Q629" i="2"/>
  <c r="U629" i="2" s="1"/>
  <c r="AM628" i="2"/>
  <c r="AE628" i="2"/>
  <c r="AF628" i="2" s="1"/>
  <c r="Z628" i="2"/>
  <c r="Y628" i="2"/>
  <c r="X628" i="2"/>
  <c r="S628" i="2"/>
  <c r="Q628" i="2"/>
  <c r="AE627" i="2"/>
  <c r="AF627" i="2" s="1"/>
  <c r="Z627" i="2"/>
  <c r="Y627" i="2"/>
  <c r="X627" i="2"/>
  <c r="S627" i="2"/>
  <c r="Q627" i="2"/>
  <c r="U627" i="2" s="1"/>
  <c r="AE626" i="2"/>
  <c r="AF626" i="2" s="1"/>
  <c r="AG626" i="2" s="1"/>
  <c r="Z626" i="2"/>
  <c r="Y626" i="2"/>
  <c r="X626" i="2"/>
  <c r="S626" i="2"/>
  <c r="Q626" i="2"/>
  <c r="AM625" i="2"/>
  <c r="AH625" i="2"/>
  <c r="AE625" i="2"/>
  <c r="AF625" i="2" s="1"/>
  <c r="AG625" i="2" s="1"/>
  <c r="Z625" i="2"/>
  <c r="Y625" i="2"/>
  <c r="X625" i="2"/>
  <c r="S625" i="2"/>
  <c r="Q625" i="2"/>
  <c r="U625" i="2" s="1"/>
  <c r="AF624" i="2"/>
  <c r="AE624" i="2"/>
  <c r="Z624" i="2"/>
  <c r="Y624" i="2"/>
  <c r="X624" i="2"/>
  <c r="S624" i="2"/>
  <c r="Q624" i="2"/>
  <c r="AF623" i="2"/>
  <c r="AE623" i="2"/>
  <c r="Z623" i="2"/>
  <c r="Y623" i="2"/>
  <c r="X623" i="2"/>
  <c r="S623" i="2"/>
  <c r="U623" i="2" s="1"/>
  <c r="Q623" i="2"/>
  <c r="AE622" i="2"/>
  <c r="AF622" i="2" s="1"/>
  <c r="Z622" i="2"/>
  <c r="Y622" i="2"/>
  <c r="X622" i="2"/>
  <c r="S622" i="2"/>
  <c r="U622" i="2" s="1"/>
  <c r="T622" i="2" s="1"/>
  <c r="Q622" i="2"/>
  <c r="AE621" i="2"/>
  <c r="AF621" i="2" s="1"/>
  <c r="Z621" i="2"/>
  <c r="Y621" i="2"/>
  <c r="X621" i="2"/>
  <c r="S621" i="2"/>
  <c r="Q621" i="2"/>
  <c r="AE620" i="2"/>
  <c r="AF620" i="2" s="1"/>
  <c r="Z620" i="2"/>
  <c r="Y620" i="2"/>
  <c r="X620" i="2"/>
  <c r="S620" i="2"/>
  <c r="Q620" i="2"/>
  <c r="U620" i="2" s="1"/>
  <c r="T620" i="2" s="1"/>
  <c r="AF619" i="2"/>
  <c r="AE619" i="2"/>
  <c r="Z619" i="2"/>
  <c r="Y619" i="2"/>
  <c r="X619" i="2"/>
  <c r="S619" i="2"/>
  <c r="U619" i="2" s="1"/>
  <c r="Q619" i="2"/>
  <c r="AG618" i="2"/>
  <c r="AE618" i="2"/>
  <c r="AF618" i="2" s="1"/>
  <c r="Z618" i="2"/>
  <c r="Y618" i="2"/>
  <c r="X618" i="2"/>
  <c r="S618" i="2"/>
  <c r="Q618" i="2"/>
  <c r="U618" i="2" s="1"/>
  <c r="AH617" i="2"/>
  <c r="AE617" i="2"/>
  <c r="AF617" i="2" s="1"/>
  <c r="AG617" i="2" s="1"/>
  <c r="Z617" i="2"/>
  <c r="Y617" i="2"/>
  <c r="X617" i="2"/>
  <c r="S617" i="2"/>
  <c r="Q617" i="2"/>
  <c r="U617" i="2" s="1"/>
  <c r="AG616" i="2"/>
  <c r="AF616" i="2"/>
  <c r="AH616" i="2" s="1"/>
  <c r="AE616" i="2"/>
  <c r="Z616" i="2"/>
  <c r="Y616" i="2"/>
  <c r="X616" i="2"/>
  <c r="S616" i="2"/>
  <c r="Q616" i="2"/>
  <c r="AF615" i="2"/>
  <c r="AE615" i="2"/>
  <c r="Z615" i="2"/>
  <c r="Y615" i="2"/>
  <c r="X615" i="2"/>
  <c r="S615" i="2"/>
  <c r="U615" i="2" s="1"/>
  <c r="T615" i="2" s="1"/>
  <c r="Q615" i="2"/>
  <c r="AE614" i="2"/>
  <c r="AF614" i="2" s="1"/>
  <c r="Z614" i="2"/>
  <c r="Y614" i="2"/>
  <c r="X614" i="2"/>
  <c r="S614" i="2"/>
  <c r="Q614" i="2"/>
  <c r="U614" i="2" s="1"/>
  <c r="V614" i="2" s="1"/>
  <c r="AF613" i="2"/>
  <c r="AH613" i="2" s="1"/>
  <c r="AE613" i="2"/>
  <c r="Z613" i="2"/>
  <c r="Y613" i="2"/>
  <c r="X613" i="2"/>
  <c r="S613" i="2"/>
  <c r="Q613" i="2"/>
  <c r="AE612" i="2"/>
  <c r="AF612" i="2" s="1"/>
  <c r="AG612" i="2" s="1"/>
  <c r="Z612" i="2"/>
  <c r="Y612" i="2"/>
  <c r="X612" i="2"/>
  <c r="S612" i="2"/>
  <c r="Q612" i="2"/>
  <c r="U612" i="2" s="1"/>
  <c r="T612" i="2" s="1"/>
  <c r="AE611" i="2"/>
  <c r="AF611" i="2" s="1"/>
  <c r="AG611" i="2" s="1"/>
  <c r="Z611" i="2"/>
  <c r="Y611" i="2"/>
  <c r="X611" i="2"/>
  <c r="S611" i="2"/>
  <c r="Q611" i="2"/>
  <c r="U611" i="2" s="1"/>
  <c r="AG610" i="2"/>
  <c r="AE610" i="2"/>
  <c r="AF610" i="2" s="1"/>
  <c r="Z610" i="2"/>
  <c r="Y610" i="2"/>
  <c r="X610" i="2"/>
  <c r="S610" i="2"/>
  <c r="Q610" i="2"/>
  <c r="AM609" i="2"/>
  <c r="AG609" i="2"/>
  <c r="AE609" i="2"/>
  <c r="AF609" i="2" s="1"/>
  <c r="AH609" i="2" s="1"/>
  <c r="Z609" i="2"/>
  <c r="Y609" i="2"/>
  <c r="X609" i="2"/>
  <c r="S609" i="2"/>
  <c r="Q609" i="2"/>
  <c r="U609" i="2" s="1"/>
  <c r="AE608" i="2"/>
  <c r="AF608" i="2" s="1"/>
  <c r="Z608" i="2"/>
  <c r="Y608" i="2"/>
  <c r="X608" i="2"/>
  <c r="S608" i="2"/>
  <c r="Q608" i="2"/>
  <c r="U608" i="2" s="1"/>
  <c r="AE607" i="2"/>
  <c r="AF607" i="2" s="1"/>
  <c r="AM607" i="2" s="1"/>
  <c r="Z607" i="2"/>
  <c r="Y607" i="2"/>
  <c r="X607" i="2"/>
  <c r="S607" i="2"/>
  <c r="Q607" i="2"/>
  <c r="U607" i="2" s="1"/>
  <c r="AF606" i="2"/>
  <c r="AE606" i="2"/>
  <c r="Z606" i="2"/>
  <c r="Y606" i="2"/>
  <c r="X606" i="2"/>
  <c r="S606" i="2"/>
  <c r="U606" i="2" s="1"/>
  <c r="Q606" i="2"/>
  <c r="AF605" i="2"/>
  <c r="AH605" i="2" s="1"/>
  <c r="AE605" i="2"/>
  <c r="Z605" i="2"/>
  <c r="Y605" i="2"/>
  <c r="X605" i="2"/>
  <c r="S605" i="2"/>
  <c r="Q605" i="2"/>
  <c r="AE604" i="2"/>
  <c r="AF604" i="2" s="1"/>
  <c r="AG604" i="2" s="1"/>
  <c r="Z604" i="2"/>
  <c r="Y604" i="2"/>
  <c r="X604" i="2"/>
  <c r="S604" i="2"/>
  <c r="Q604" i="2"/>
  <c r="U604" i="2" s="1"/>
  <c r="T604" i="2" s="1"/>
  <c r="AE603" i="2"/>
  <c r="AF603" i="2" s="1"/>
  <c r="Z603" i="2"/>
  <c r="Y603" i="2"/>
  <c r="X603" i="2"/>
  <c r="S603" i="2"/>
  <c r="Q603" i="2"/>
  <c r="U603" i="2" s="1"/>
  <c r="AE602" i="2"/>
  <c r="AF602" i="2" s="1"/>
  <c r="Z602" i="2"/>
  <c r="Y602" i="2"/>
  <c r="X602" i="2"/>
  <c r="U602" i="2"/>
  <c r="V602" i="2" s="1"/>
  <c r="T602" i="2"/>
  <c r="S602" i="2"/>
  <c r="Q602" i="2"/>
  <c r="AE601" i="2"/>
  <c r="AF601" i="2" s="1"/>
  <c r="Z601" i="2"/>
  <c r="Y601" i="2"/>
  <c r="X601" i="2"/>
  <c r="S601" i="2"/>
  <c r="Q601" i="2"/>
  <c r="U601" i="2" s="1"/>
  <c r="AF600" i="2"/>
  <c r="AH600" i="2" s="1"/>
  <c r="AE600" i="2"/>
  <c r="Z600" i="2"/>
  <c r="Y600" i="2"/>
  <c r="X600" i="2"/>
  <c r="S600" i="2"/>
  <c r="U600" i="2" s="1"/>
  <c r="T600" i="2" s="1"/>
  <c r="Q600" i="2"/>
  <c r="AF599" i="2"/>
  <c r="AE599" i="2"/>
  <c r="Z599" i="2"/>
  <c r="Y599" i="2"/>
  <c r="X599" i="2"/>
  <c r="S599" i="2"/>
  <c r="Q599" i="2"/>
  <c r="AE598" i="2"/>
  <c r="AF598" i="2" s="1"/>
  <c r="Z598" i="2"/>
  <c r="Y598" i="2"/>
  <c r="X598" i="2"/>
  <c r="S598" i="2"/>
  <c r="Q598" i="2"/>
  <c r="U598" i="2" s="1"/>
  <c r="V598" i="2" s="1"/>
  <c r="AM597" i="2"/>
  <c r="AH597" i="2"/>
  <c r="AE597" i="2"/>
  <c r="AF597" i="2" s="1"/>
  <c r="AG597" i="2" s="1"/>
  <c r="Z597" i="2"/>
  <c r="Y597" i="2"/>
  <c r="X597" i="2"/>
  <c r="U597" i="2"/>
  <c r="S597" i="2"/>
  <c r="Q597" i="2"/>
  <c r="AF596" i="2"/>
  <c r="AE596" i="2"/>
  <c r="Z596" i="2"/>
  <c r="Y596" i="2"/>
  <c r="X596" i="2"/>
  <c r="S596" i="2"/>
  <c r="Q596" i="2"/>
  <c r="AE595" i="2"/>
  <c r="AF595" i="2" s="1"/>
  <c r="Z595" i="2"/>
  <c r="Y595" i="2"/>
  <c r="X595" i="2"/>
  <c r="S595" i="2"/>
  <c r="Q595" i="2"/>
  <c r="AF594" i="2"/>
  <c r="AE594" i="2"/>
  <c r="Z594" i="2"/>
  <c r="Y594" i="2"/>
  <c r="X594" i="2"/>
  <c r="U594" i="2"/>
  <c r="V594" i="2" s="1"/>
  <c r="S594" i="2"/>
  <c r="Q594" i="2"/>
  <c r="AE593" i="2"/>
  <c r="AF593" i="2" s="1"/>
  <c r="Z593" i="2"/>
  <c r="Y593" i="2"/>
  <c r="X593" i="2"/>
  <c r="S593" i="2"/>
  <c r="Q593" i="2"/>
  <c r="AE592" i="2"/>
  <c r="AF592" i="2" s="1"/>
  <c r="Z592" i="2"/>
  <c r="Y592" i="2"/>
  <c r="X592" i="2"/>
  <c r="V592" i="2"/>
  <c r="S592" i="2"/>
  <c r="U592" i="2" s="1"/>
  <c r="T592" i="2" s="1"/>
  <c r="Q592" i="2"/>
  <c r="AF591" i="2"/>
  <c r="AG591" i="2" s="1"/>
  <c r="AE591" i="2"/>
  <c r="Z591" i="2"/>
  <c r="Y591" i="2"/>
  <c r="X591" i="2"/>
  <c r="S591" i="2"/>
  <c r="Q591" i="2"/>
  <c r="AE590" i="2"/>
  <c r="AF590" i="2" s="1"/>
  <c r="Z590" i="2"/>
  <c r="Y590" i="2"/>
  <c r="X590" i="2"/>
  <c r="U590" i="2"/>
  <c r="V590" i="2" s="1"/>
  <c r="S590" i="2"/>
  <c r="Q590" i="2"/>
  <c r="AM589" i="2"/>
  <c r="AE589" i="2"/>
  <c r="AF589" i="2" s="1"/>
  <c r="AG589" i="2" s="1"/>
  <c r="Z589" i="2"/>
  <c r="Y589" i="2"/>
  <c r="X589" i="2"/>
  <c r="V589" i="2"/>
  <c r="U589" i="2"/>
  <c r="T589" i="2" s="1"/>
  <c r="S589" i="2"/>
  <c r="Q589" i="2"/>
  <c r="AE588" i="2"/>
  <c r="AF588" i="2" s="1"/>
  <c r="Z588" i="2"/>
  <c r="Y588" i="2"/>
  <c r="X588" i="2"/>
  <c r="S588" i="2"/>
  <c r="Q588" i="2"/>
  <c r="AF587" i="2"/>
  <c r="AE587" i="2"/>
  <c r="Z587" i="2"/>
  <c r="Y587" i="2"/>
  <c r="X587" i="2"/>
  <c r="S587" i="2"/>
  <c r="Q587" i="2"/>
  <c r="AF586" i="2"/>
  <c r="AE586" i="2"/>
  <c r="Z586" i="2"/>
  <c r="Y586" i="2"/>
  <c r="X586" i="2"/>
  <c r="S586" i="2"/>
  <c r="Q586" i="2"/>
  <c r="U586" i="2" s="1"/>
  <c r="AE585" i="2"/>
  <c r="AF585" i="2" s="1"/>
  <c r="Z585" i="2"/>
  <c r="Y585" i="2"/>
  <c r="X585" i="2"/>
  <c r="S585" i="2"/>
  <c r="Q585" i="2"/>
  <c r="AF584" i="2"/>
  <c r="AH584" i="2" s="1"/>
  <c r="AE584" i="2"/>
  <c r="Z584" i="2"/>
  <c r="Y584" i="2"/>
  <c r="X584" i="2"/>
  <c r="S584" i="2"/>
  <c r="U584" i="2" s="1"/>
  <c r="T584" i="2" s="1"/>
  <c r="Q584" i="2"/>
  <c r="AE583" i="2"/>
  <c r="AF583" i="2" s="1"/>
  <c r="Z583" i="2"/>
  <c r="Y583" i="2"/>
  <c r="X583" i="2"/>
  <c r="S583" i="2"/>
  <c r="Q583" i="2"/>
  <c r="AE582" i="2"/>
  <c r="AF582" i="2" s="1"/>
  <c r="Z582" i="2"/>
  <c r="Y582" i="2"/>
  <c r="X582" i="2"/>
  <c r="U582" i="2"/>
  <c r="V582" i="2" s="1"/>
  <c r="S582" i="2"/>
  <c r="Q582" i="2"/>
  <c r="AH581" i="2"/>
  <c r="AE581" i="2"/>
  <c r="AF581" i="2" s="1"/>
  <c r="Z581" i="2"/>
  <c r="Y581" i="2"/>
  <c r="X581" i="2"/>
  <c r="S581" i="2"/>
  <c r="Q581" i="2"/>
  <c r="U581" i="2" s="1"/>
  <c r="AE580" i="2"/>
  <c r="AF580" i="2" s="1"/>
  <c r="Z580" i="2"/>
  <c r="Y580" i="2"/>
  <c r="X580" i="2"/>
  <c r="S580" i="2"/>
  <c r="Q580" i="2"/>
  <c r="AF579" i="2"/>
  <c r="AH579" i="2" s="1"/>
  <c r="AE579" i="2"/>
  <c r="Z579" i="2"/>
  <c r="Y579" i="2"/>
  <c r="X579" i="2"/>
  <c r="S579" i="2"/>
  <c r="Q579" i="2"/>
  <c r="AE578" i="2"/>
  <c r="AF578" i="2" s="1"/>
  <c r="Z578" i="2"/>
  <c r="Y578" i="2"/>
  <c r="X578" i="2"/>
  <c r="S578" i="2"/>
  <c r="Q578" i="2"/>
  <c r="U578" i="2" s="1"/>
  <c r="V578" i="2" s="1"/>
  <c r="AE577" i="2"/>
  <c r="AF577" i="2" s="1"/>
  <c r="Z577" i="2"/>
  <c r="Y577" i="2"/>
  <c r="X577" i="2"/>
  <c r="S577" i="2"/>
  <c r="Q577" i="2"/>
  <c r="U577" i="2" s="1"/>
  <c r="AF576" i="2"/>
  <c r="AH576" i="2" s="1"/>
  <c r="AE576" i="2"/>
  <c r="Z576" i="2"/>
  <c r="Y576" i="2"/>
  <c r="X576" i="2"/>
  <c r="S576" i="2"/>
  <c r="U576" i="2" s="1"/>
  <c r="Q576" i="2"/>
  <c r="AF575" i="2"/>
  <c r="AG575" i="2" s="1"/>
  <c r="AE575" i="2"/>
  <c r="Z575" i="2"/>
  <c r="Y575" i="2"/>
  <c r="X575" i="2"/>
  <c r="S575" i="2"/>
  <c r="Q575" i="2"/>
  <c r="AE574" i="2"/>
  <c r="AF574" i="2" s="1"/>
  <c r="Z574" i="2"/>
  <c r="Y574" i="2"/>
  <c r="X574" i="2"/>
  <c r="S574" i="2"/>
  <c r="Q574" i="2"/>
  <c r="U574" i="2" s="1"/>
  <c r="V574" i="2" s="1"/>
  <c r="AM573" i="2"/>
  <c r="AE573" i="2"/>
  <c r="AF573" i="2" s="1"/>
  <c r="AG573" i="2" s="1"/>
  <c r="Z573" i="2"/>
  <c r="Y573" i="2"/>
  <c r="X573" i="2"/>
  <c r="S573" i="2"/>
  <c r="Q573" i="2"/>
  <c r="AE572" i="2"/>
  <c r="AF572" i="2" s="1"/>
  <c r="Z572" i="2"/>
  <c r="Y572" i="2"/>
  <c r="X572" i="2"/>
  <c r="S572" i="2"/>
  <c r="Q572" i="2"/>
  <c r="U572" i="2" s="1"/>
  <c r="AF571" i="2"/>
  <c r="AH571" i="2" s="1"/>
  <c r="AE571" i="2"/>
  <c r="Z571" i="2"/>
  <c r="Y571" i="2"/>
  <c r="X571" i="2"/>
  <c r="S571" i="2"/>
  <c r="U571" i="2" s="1"/>
  <c r="Q571" i="2"/>
  <c r="AE570" i="2"/>
  <c r="AF570" i="2" s="1"/>
  <c r="Z570" i="2"/>
  <c r="Y570" i="2"/>
  <c r="X570" i="2"/>
  <c r="S570" i="2"/>
  <c r="U570" i="2" s="1"/>
  <c r="Q570" i="2"/>
  <c r="AE569" i="2"/>
  <c r="AF569" i="2" s="1"/>
  <c r="Z569" i="2"/>
  <c r="Y569" i="2"/>
  <c r="X569" i="2"/>
  <c r="S569" i="2"/>
  <c r="Q569" i="2"/>
  <c r="AE568" i="2"/>
  <c r="AF568" i="2" s="1"/>
  <c r="Z568" i="2"/>
  <c r="Y568" i="2"/>
  <c r="X568" i="2"/>
  <c r="S568" i="2"/>
  <c r="U568" i="2" s="1"/>
  <c r="T568" i="2" s="1"/>
  <c r="Q568" i="2"/>
  <c r="AF567" i="2"/>
  <c r="AE567" i="2"/>
  <c r="Z567" i="2"/>
  <c r="Y567" i="2"/>
  <c r="X567" i="2"/>
  <c r="S567" i="2"/>
  <c r="Q567" i="2"/>
  <c r="AE566" i="2"/>
  <c r="AF566" i="2" s="1"/>
  <c r="Z566" i="2"/>
  <c r="Y566" i="2"/>
  <c r="X566" i="2"/>
  <c r="S566" i="2"/>
  <c r="Q566" i="2"/>
  <c r="U566" i="2" s="1"/>
  <c r="V566" i="2" s="1"/>
  <c r="AH565" i="2"/>
  <c r="AE565" i="2"/>
  <c r="AF565" i="2" s="1"/>
  <c r="AG565" i="2" s="1"/>
  <c r="Z565" i="2"/>
  <c r="Y565" i="2"/>
  <c r="X565" i="2"/>
  <c r="U565" i="2"/>
  <c r="S565" i="2"/>
  <c r="Q565" i="2"/>
  <c r="AF564" i="2"/>
  <c r="AE564" i="2"/>
  <c r="Z564" i="2"/>
  <c r="Y564" i="2"/>
  <c r="X564" i="2"/>
  <c r="S564" i="2"/>
  <c r="Q564" i="2"/>
  <c r="AE563" i="2"/>
  <c r="AF563" i="2" s="1"/>
  <c r="Z563" i="2"/>
  <c r="Y563" i="2"/>
  <c r="X563" i="2"/>
  <c r="S563" i="2"/>
  <c r="Q563" i="2"/>
  <c r="AF562" i="2"/>
  <c r="AM562" i="2" s="1"/>
  <c r="AE562" i="2"/>
  <c r="Z562" i="2"/>
  <c r="Y562" i="2"/>
  <c r="X562" i="2"/>
  <c r="U562" i="2"/>
  <c r="V562" i="2" s="1"/>
  <c r="S562" i="2"/>
  <c r="Q562" i="2"/>
  <c r="AE561" i="2"/>
  <c r="AF561" i="2" s="1"/>
  <c r="Z561" i="2"/>
  <c r="Y561" i="2"/>
  <c r="X561" i="2"/>
  <c r="S561" i="2"/>
  <c r="Q561" i="2"/>
  <c r="U561" i="2" s="1"/>
  <c r="AE560" i="2"/>
  <c r="AF560" i="2" s="1"/>
  <c r="Z560" i="2"/>
  <c r="Y560" i="2"/>
  <c r="X560" i="2"/>
  <c r="S560" i="2"/>
  <c r="U560" i="2" s="1"/>
  <c r="T560" i="2" s="1"/>
  <c r="Q560" i="2"/>
  <c r="AF559" i="2"/>
  <c r="AG559" i="2" s="1"/>
  <c r="AE559" i="2"/>
  <c r="Z559" i="2"/>
  <c r="Y559" i="2"/>
  <c r="X559" i="2"/>
  <c r="S559" i="2"/>
  <c r="Q559" i="2"/>
  <c r="AE558" i="2"/>
  <c r="AF558" i="2" s="1"/>
  <c r="Z558" i="2"/>
  <c r="Y558" i="2"/>
  <c r="X558" i="2"/>
  <c r="U558" i="2"/>
  <c r="V558" i="2" s="1"/>
  <c r="S558" i="2"/>
  <c r="Q558" i="2"/>
  <c r="AM557" i="2"/>
  <c r="AE557" i="2"/>
  <c r="AF557" i="2" s="1"/>
  <c r="AG557" i="2" s="1"/>
  <c r="Z557" i="2"/>
  <c r="Y557" i="2"/>
  <c r="X557" i="2"/>
  <c r="S557" i="2"/>
  <c r="Q557" i="2"/>
  <c r="U557" i="2" s="1"/>
  <c r="AE556" i="2"/>
  <c r="AF556" i="2" s="1"/>
  <c r="Z556" i="2"/>
  <c r="Y556" i="2"/>
  <c r="X556" i="2"/>
  <c r="S556" i="2"/>
  <c r="Q556" i="2"/>
  <c r="U556" i="2" s="1"/>
  <c r="AF555" i="2"/>
  <c r="AH555" i="2" s="1"/>
  <c r="AE555" i="2"/>
  <c r="Z555" i="2"/>
  <c r="Y555" i="2"/>
  <c r="X555" i="2"/>
  <c r="S555" i="2"/>
  <c r="U555" i="2" s="1"/>
  <c r="Q555" i="2"/>
  <c r="AG554" i="2"/>
  <c r="AF554" i="2"/>
  <c r="AM554" i="2" s="1"/>
  <c r="AE554" i="2"/>
  <c r="Z554" i="2"/>
  <c r="Y554" i="2"/>
  <c r="X554" i="2"/>
  <c r="S554" i="2"/>
  <c r="Q554" i="2"/>
  <c r="U554" i="2" s="1"/>
  <c r="AE553" i="2"/>
  <c r="AF553" i="2" s="1"/>
  <c r="AM553" i="2" s="1"/>
  <c r="Z553" i="2"/>
  <c r="Y553" i="2"/>
  <c r="X553" i="2"/>
  <c r="S553" i="2"/>
  <c r="Q553" i="2"/>
  <c r="U553" i="2" s="1"/>
  <c r="T553" i="2" s="1"/>
  <c r="AF552" i="2"/>
  <c r="AM552" i="2" s="1"/>
  <c r="AE552" i="2"/>
  <c r="Z552" i="2"/>
  <c r="Y552" i="2"/>
  <c r="X552" i="2"/>
  <c r="S552" i="2"/>
  <c r="U552" i="2" s="1"/>
  <c r="T552" i="2" s="1"/>
  <c r="Q552" i="2"/>
  <c r="AF551" i="2"/>
  <c r="AG551" i="2" s="1"/>
  <c r="AE551" i="2"/>
  <c r="Z551" i="2"/>
  <c r="Y551" i="2"/>
  <c r="X551" i="2"/>
  <c r="S551" i="2"/>
  <c r="Q551" i="2"/>
  <c r="AE550" i="2"/>
  <c r="AF550" i="2" s="1"/>
  <c r="Z550" i="2"/>
  <c r="Y550" i="2"/>
  <c r="X550" i="2"/>
  <c r="U550" i="2"/>
  <c r="S550" i="2"/>
  <c r="Q550" i="2"/>
  <c r="AH549" i="2"/>
  <c r="AE549" i="2"/>
  <c r="AF549" i="2" s="1"/>
  <c r="AG549" i="2" s="1"/>
  <c r="Z549" i="2"/>
  <c r="Y549" i="2"/>
  <c r="X549" i="2"/>
  <c r="S549" i="2"/>
  <c r="Q549" i="2"/>
  <c r="AE548" i="2"/>
  <c r="AF548" i="2" s="1"/>
  <c r="Z548" i="2"/>
  <c r="Y548" i="2"/>
  <c r="X548" i="2"/>
  <c r="S548" i="2"/>
  <c r="Q548" i="2"/>
  <c r="AM547" i="2"/>
  <c r="AF547" i="2"/>
  <c r="AH547" i="2" s="1"/>
  <c r="AE547" i="2"/>
  <c r="Z547" i="2"/>
  <c r="Y547" i="2"/>
  <c r="X547" i="2"/>
  <c r="S547" i="2"/>
  <c r="Q547" i="2"/>
  <c r="AF546" i="2"/>
  <c r="AM546" i="2" s="1"/>
  <c r="AE546" i="2"/>
  <c r="Z546" i="2"/>
  <c r="Y546" i="2"/>
  <c r="X546" i="2"/>
  <c r="S546" i="2"/>
  <c r="U546" i="2" s="1"/>
  <c r="Q546" i="2"/>
  <c r="AE545" i="2"/>
  <c r="AF545" i="2" s="1"/>
  <c r="AM545" i="2" s="1"/>
  <c r="Z545" i="2"/>
  <c r="Y545" i="2"/>
  <c r="X545" i="2"/>
  <c r="S545" i="2"/>
  <c r="Q545" i="2"/>
  <c r="AF544" i="2"/>
  <c r="AG544" i="2" s="1"/>
  <c r="AE544" i="2"/>
  <c r="Z544" i="2"/>
  <c r="Y544" i="2"/>
  <c r="X544" i="2"/>
  <c r="U544" i="2"/>
  <c r="S544" i="2"/>
  <c r="Q544" i="2"/>
  <c r="AE543" i="2"/>
  <c r="AF543" i="2" s="1"/>
  <c r="Z543" i="2"/>
  <c r="Y543" i="2"/>
  <c r="X543" i="2"/>
  <c r="S543" i="2"/>
  <c r="Q543" i="2"/>
  <c r="AE542" i="2"/>
  <c r="AF542" i="2" s="1"/>
  <c r="Z542" i="2"/>
  <c r="Y542" i="2"/>
  <c r="X542" i="2"/>
  <c r="S542" i="2"/>
  <c r="U542" i="2" s="1"/>
  <c r="Q542" i="2"/>
  <c r="AE541" i="2"/>
  <c r="AF541" i="2" s="1"/>
  <c r="AM541" i="2" s="1"/>
  <c r="Z541" i="2"/>
  <c r="Y541" i="2"/>
  <c r="X541" i="2"/>
  <c r="S541" i="2"/>
  <c r="Q541" i="2"/>
  <c r="U541" i="2" s="1"/>
  <c r="AF540" i="2"/>
  <c r="AE540" i="2"/>
  <c r="Z540" i="2"/>
  <c r="Y540" i="2"/>
  <c r="X540" i="2"/>
  <c r="S540" i="2"/>
  <c r="Q540" i="2"/>
  <c r="AE539" i="2"/>
  <c r="AF539" i="2" s="1"/>
  <c r="Z539" i="2"/>
  <c r="Y539" i="2"/>
  <c r="X539" i="2"/>
  <c r="S539" i="2"/>
  <c r="Q539" i="2"/>
  <c r="AE538" i="2"/>
  <c r="AF538" i="2" s="1"/>
  <c r="Z538" i="2"/>
  <c r="Y538" i="2"/>
  <c r="X538" i="2"/>
  <c r="S538" i="2"/>
  <c r="Q538" i="2"/>
  <c r="AF537" i="2"/>
  <c r="AE537" i="2"/>
  <c r="Z537" i="2"/>
  <c r="Y537" i="2"/>
  <c r="X537" i="2"/>
  <c r="S537" i="2"/>
  <c r="Q537" i="2"/>
  <c r="AF536" i="2"/>
  <c r="AG536" i="2" s="1"/>
  <c r="AE536" i="2"/>
  <c r="Z536" i="2"/>
  <c r="Y536" i="2"/>
  <c r="X536" i="2"/>
  <c r="U536" i="2"/>
  <c r="S536" i="2"/>
  <c r="Q536" i="2"/>
  <c r="AF535" i="2"/>
  <c r="AM535" i="2" s="1"/>
  <c r="AE535" i="2"/>
  <c r="Z535" i="2"/>
  <c r="Y535" i="2"/>
  <c r="X535" i="2"/>
  <c r="U535" i="2"/>
  <c r="V535" i="2" s="1"/>
  <c r="S535" i="2"/>
  <c r="Q535" i="2"/>
  <c r="AH534" i="2"/>
  <c r="AE534" i="2"/>
  <c r="AF534" i="2" s="1"/>
  <c r="Z534" i="2"/>
  <c r="Y534" i="2"/>
  <c r="X534" i="2"/>
  <c r="S534" i="2"/>
  <c r="Q534" i="2"/>
  <c r="AE533" i="2"/>
  <c r="Z533" i="2"/>
  <c r="W533" i="2"/>
  <c r="V533" i="2"/>
  <c r="U533" i="2"/>
  <c r="T533" i="2" s="1"/>
  <c r="S533" i="2"/>
  <c r="Q533" i="2"/>
  <c r="AE532" i="2"/>
  <c r="Z532" i="2"/>
  <c r="Y532" i="2"/>
  <c r="W532" i="2"/>
  <c r="X532" i="2" s="1"/>
  <c r="V532" i="2"/>
  <c r="U532" i="2"/>
  <c r="T532" i="2" s="1"/>
  <c r="S532" i="2"/>
  <c r="Q532" i="2"/>
  <c r="AE531" i="2"/>
  <c r="Z531" i="2"/>
  <c r="W531" i="2"/>
  <c r="X531" i="2" s="1"/>
  <c r="S531" i="2"/>
  <c r="U531" i="2" s="1"/>
  <c r="Q531" i="2"/>
  <c r="AE530" i="2"/>
  <c r="Z530" i="2"/>
  <c r="W530" i="2"/>
  <c r="X530" i="2" s="1"/>
  <c r="S530" i="2"/>
  <c r="Q530" i="2"/>
  <c r="U530" i="2" s="1"/>
  <c r="AE529" i="2"/>
  <c r="Z529" i="2"/>
  <c r="X529" i="2"/>
  <c r="W529" i="2"/>
  <c r="Y529" i="2" s="1"/>
  <c r="S529" i="2"/>
  <c r="Q529" i="2"/>
  <c r="U529" i="2" s="1"/>
  <c r="AE528" i="2"/>
  <c r="AF528" i="2" s="1"/>
  <c r="Z528" i="2"/>
  <c r="X528" i="2"/>
  <c r="W528" i="2"/>
  <c r="Y528" i="2" s="1"/>
  <c r="U528" i="2"/>
  <c r="S528" i="2"/>
  <c r="Q528" i="2"/>
  <c r="AE527" i="2"/>
  <c r="Z527" i="2"/>
  <c r="Y527" i="2"/>
  <c r="W527" i="2"/>
  <c r="X527" i="2" s="1"/>
  <c r="S527" i="2"/>
  <c r="Q527" i="2"/>
  <c r="AE526" i="2"/>
  <c r="Z526" i="2"/>
  <c r="Y526" i="2"/>
  <c r="W526" i="2"/>
  <c r="X526" i="2" s="1"/>
  <c r="S526" i="2"/>
  <c r="U526" i="2" s="1"/>
  <c r="Q526" i="2"/>
  <c r="AE525" i="2"/>
  <c r="Z525" i="2"/>
  <c r="W525" i="2"/>
  <c r="S525" i="2"/>
  <c r="Q525" i="2"/>
  <c r="U525" i="2" s="1"/>
  <c r="V525" i="2" s="1"/>
  <c r="AG524" i="2"/>
  <c r="AE524" i="2"/>
  <c r="AF524" i="2" s="1"/>
  <c r="Z524" i="2"/>
  <c r="W524" i="2"/>
  <c r="Y524" i="2" s="1"/>
  <c r="S524" i="2"/>
  <c r="Q524" i="2"/>
  <c r="U524" i="2" s="1"/>
  <c r="AE523" i="2"/>
  <c r="Z523" i="2"/>
  <c r="W523" i="2"/>
  <c r="X523" i="2" s="1"/>
  <c r="S523" i="2"/>
  <c r="Q523" i="2"/>
  <c r="AE522" i="2"/>
  <c r="Z522" i="2"/>
  <c r="Y522" i="2"/>
  <c r="W522" i="2"/>
  <c r="X522" i="2" s="1"/>
  <c r="S522" i="2"/>
  <c r="Q522" i="2"/>
  <c r="AE521" i="2"/>
  <c r="Z521" i="2"/>
  <c r="W521" i="2"/>
  <c r="S521" i="2"/>
  <c r="Q521" i="2"/>
  <c r="U521" i="2" s="1"/>
  <c r="V521" i="2" s="1"/>
  <c r="AE520" i="2"/>
  <c r="Z520" i="2"/>
  <c r="W520" i="2"/>
  <c r="AF520" i="2" s="1"/>
  <c r="U520" i="2"/>
  <c r="S520" i="2"/>
  <c r="Q520" i="2"/>
  <c r="AE519" i="2"/>
  <c r="Z519" i="2"/>
  <c r="Y519" i="2"/>
  <c r="W519" i="2"/>
  <c r="X519" i="2" s="1"/>
  <c r="S519" i="2"/>
  <c r="Q519" i="2"/>
  <c r="U519" i="2" s="1"/>
  <c r="AE518" i="2"/>
  <c r="Z518" i="2"/>
  <c r="Y518" i="2"/>
  <c r="W518" i="2"/>
  <c r="X518" i="2" s="1"/>
  <c r="S518" i="2"/>
  <c r="U518" i="2" s="1"/>
  <c r="Q518" i="2"/>
  <c r="AE517" i="2"/>
  <c r="Z517" i="2"/>
  <c r="W517" i="2"/>
  <c r="U517" i="2"/>
  <c r="S517" i="2"/>
  <c r="Q517" i="2"/>
  <c r="AE516" i="2"/>
  <c r="Z516" i="2"/>
  <c r="W516" i="2"/>
  <c r="Y516" i="2" s="1"/>
  <c r="S516" i="2"/>
  <c r="Q516" i="2"/>
  <c r="U516" i="2" s="1"/>
  <c r="AE515" i="2"/>
  <c r="Z515" i="2"/>
  <c r="W515" i="2"/>
  <c r="X515" i="2" s="1"/>
  <c r="S515" i="2"/>
  <c r="Q515" i="2"/>
  <c r="AE514" i="2"/>
  <c r="Z514" i="2"/>
  <c r="W514" i="2"/>
  <c r="Y514" i="2" s="1"/>
  <c r="S514" i="2"/>
  <c r="Q514" i="2"/>
  <c r="AE513" i="2"/>
  <c r="Z513" i="2"/>
  <c r="W513" i="2"/>
  <c r="U513" i="2"/>
  <c r="S513" i="2"/>
  <c r="Q513" i="2"/>
  <c r="AE512" i="2"/>
  <c r="Z512" i="2"/>
  <c r="W512" i="2"/>
  <c r="U512" i="2"/>
  <c r="S512" i="2"/>
  <c r="Q512" i="2"/>
  <c r="AE511" i="2"/>
  <c r="Z511" i="2"/>
  <c r="Y511" i="2"/>
  <c r="W511" i="2"/>
  <c r="X511" i="2" s="1"/>
  <c r="S511" i="2"/>
  <c r="Q511" i="2"/>
  <c r="AE510" i="2"/>
  <c r="Z510" i="2"/>
  <c r="W510" i="2"/>
  <c r="S510" i="2"/>
  <c r="Q510" i="2"/>
  <c r="AE509" i="2"/>
  <c r="Z509" i="2"/>
  <c r="W509" i="2"/>
  <c r="S509" i="2"/>
  <c r="Q509" i="2"/>
  <c r="U509" i="2" s="1"/>
  <c r="AE508" i="2"/>
  <c r="AF508" i="2" s="1"/>
  <c r="AG508" i="2" s="1"/>
  <c r="Z508" i="2"/>
  <c r="X508" i="2"/>
  <c r="W508" i="2"/>
  <c r="Y508" i="2" s="1"/>
  <c r="S508" i="2"/>
  <c r="Q508" i="2"/>
  <c r="U508" i="2" s="1"/>
  <c r="AE507" i="2"/>
  <c r="Z507" i="2"/>
  <c r="W507" i="2"/>
  <c r="S507" i="2"/>
  <c r="Q507" i="2"/>
  <c r="AE506" i="2"/>
  <c r="Z506" i="2"/>
  <c r="W506" i="2"/>
  <c r="Y506" i="2" s="1"/>
  <c r="S506" i="2"/>
  <c r="Q506" i="2"/>
  <c r="AE505" i="2"/>
  <c r="Z505" i="2"/>
  <c r="W505" i="2"/>
  <c r="S505" i="2"/>
  <c r="Q505" i="2"/>
  <c r="U505" i="2" s="1"/>
  <c r="AE504" i="2"/>
  <c r="AF504" i="2" s="1"/>
  <c r="AG504" i="2" s="1"/>
  <c r="Z504" i="2"/>
  <c r="W504" i="2"/>
  <c r="Y504" i="2" s="1"/>
  <c r="S504" i="2"/>
  <c r="Q504" i="2"/>
  <c r="AE503" i="2"/>
  <c r="Z503" i="2"/>
  <c r="Y503" i="2"/>
  <c r="W503" i="2"/>
  <c r="X503" i="2" s="1"/>
  <c r="S503" i="2"/>
  <c r="Q503" i="2"/>
  <c r="AE502" i="2"/>
  <c r="Z502" i="2"/>
  <c r="W502" i="2"/>
  <c r="S502" i="2"/>
  <c r="Q502" i="2"/>
  <c r="AE501" i="2"/>
  <c r="Z501" i="2"/>
  <c r="W501" i="2"/>
  <c r="S501" i="2"/>
  <c r="Q501" i="2"/>
  <c r="U501" i="2" s="1"/>
  <c r="AE500" i="2"/>
  <c r="AF500" i="2" s="1"/>
  <c r="Z500" i="2"/>
  <c r="X500" i="2"/>
  <c r="W500" i="2"/>
  <c r="Y500" i="2" s="1"/>
  <c r="U500" i="2"/>
  <c r="S500" i="2"/>
  <c r="Q500" i="2"/>
  <c r="AE499" i="2"/>
  <c r="Z499" i="2"/>
  <c r="Y499" i="2"/>
  <c r="W499" i="2"/>
  <c r="X499" i="2" s="1"/>
  <c r="S499" i="2"/>
  <c r="Q499" i="2"/>
  <c r="U499" i="2" s="1"/>
  <c r="AE498" i="2"/>
  <c r="Z498" i="2"/>
  <c r="W498" i="2"/>
  <c r="Y498" i="2" s="1"/>
  <c r="S498" i="2"/>
  <c r="U498" i="2" s="1"/>
  <c r="Q498" i="2"/>
  <c r="AE497" i="2"/>
  <c r="Z497" i="2"/>
  <c r="W497" i="2"/>
  <c r="S497" i="2"/>
  <c r="Q497" i="2"/>
  <c r="U497" i="2" s="1"/>
  <c r="AG496" i="2"/>
  <c r="AE496" i="2"/>
  <c r="AF496" i="2" s="1"/>
  <c r="Z496" i="2"/>
  <c r="X496" i="2"/>
  <c r="W496" i="2"/>
  <c r="Y496" i="2" s="1"/>
  <c r="S496" i="2"/>
  <c r="Q496" i="2"/>
  <c r="AE495" i="2"/>
  <c r="Z495" i="2"/>
  <c r="Y495" i="2"/>
  <c r="W495" i="2"/>
  <c r="X495" i="2" s="1"/>
  <c r="S495" i="2"/>
  <c r="Q495" i="2"/>
  <c r="AE494" i="2"/>
  <c r="AF494" i="2" s="1"/>
  <c r="AM494" i="2" s="1"/>
  <c r="Z494" i="2"/>
  <c r="Y494" i="2"/>
  <c r="W494" i="2"/>
  <c r="X494" i="2" s="1"/>
  <c r="S494" i="2"/>
  <c r="Q494" i="2"/>
  <c r="AE493" i="2"/>
  <c r="Z493" i="2"/>
  <c r="W493" i="2"/>
  <c r="U493" i="2"/>
  <c r="S493" i="2"/>
  <c r="Q493" i="2"/>
  <c r="AE492" i="2"/>
  <c r="Z492" i="2"/>
  <c r="W492" i="2"/>
  <c r="Y492" i="2" s="1"/>
  <c r="U492" i="2"/>
  <c r="S492" i="2"/>
  <c r="Q492" i="2"/>
  <c r="AE491" i="2"/>
  <c r="Z491" i="2"/>
  <c r="W491" i="2"/>
  <c r="X491" i="2" s="1"/>
  <c r="S491" i="2"/>
  <c r="Q491" i="2"/>
  <c r="AE490" i="2"/>
  <c r="Z490" i="2"/>
  <c r="W490" i="2"/>
  <c r="S490" i="2"/>
  <c r="U490" i="2" s="1"/>
  <c r="V490" i="2" s="1"/>
  <c r="Q490" i="2"/>
  <c r="AE489" i="2"/>
  <c r="Z489" i="2"/>
  <c r="W489" i="2"/>
  <c r="S489" i="2"/>
  <c r="Q489" i="2"/>
  <c r="U489" i="2" s="1"/>
  <c r="AG488" i="2"/>
  <c r="AF488" i="2"/>
  <c r="AE488" i="2"/>
  <c r="Z488" i="2"/>
  <c r="W488" i="2"/>
  <c r="Y488" i="2" s="1"/>
  <c r="S488" i="2"/>
  <c r="Q488" i="2"/>
  <c r="AE487" i="2"/>
  <c r="Z487" i="2"/>
  <c r="W487" i="2"/>
  <c r="X487" i="2" s="1"/>
  <c r="S487" i="2"/>
  <c r="Q487" i="2"/>
  <c r="AE486" i="2"/>
  <c r="Z486" i="2"/>
  <c r="X486" i="2"/>
  <c r="W486" i="2"/>
  <c r="AF486" i="2" s="1"/>
  <c r="S486" i="2"/>
  <c r="U486" i="2" s="1"/>
  <c r="V486" i="2" s="1"/>
  <c r="Q486" i="2"/>
  <c r="AE485" i="2"/>
  <c r="Z485" i="2"/>
  <c r="W485" i="2"/>
  <c r="U485" i="2"/>
  <c r="T485" i="2" s="1"/>
  <c r="S485" i="2"/>
  <c r="Q485" i="2"/>
  <c r="AE484" i="2"/>
  <c r="Z484" i="2"/>
  <c r="W484" i="2"/>
  <c r="S484" i="2"/>
  <c r="Q484" i="2"/>
  <c r="AE483" i="2"/>
  <c r="Z483" i="2"/>
  <c r="W483" i="2"/>
  <c r="X483" i="2" s="1"/>
  <c r="S483" i="2"/>
  <c r="Q483" i="2"/>
  <c r="AE482" i="2"/>
  <c r="AF482" i="2" s="1"/>
  <c r="Z482" i="2"/>
  <c r="Y482" i="2"/>
  <c r="W482" i="2"/>
  <c r="X482" i="2" s="1"/>
  <c r="S482" i="2"/>
  <c r="U482" i="2" s="1"/>
  <c r="V482" i="2" s="1"/>
  <c r="Q482" i="2"/>
  <c r="AE481" i="2"/>
  <c r="Z481" i="2"/>
  <c r="W481" i="2"/>
  <c r="S481" i="2"/>
  <c r="Q481" i="2"/>
  <c r="AE480" i="2"/>
  <c r="Z480" i="2"/>
  <c r="W480" i="2"/>
  <c r="S480" i="2"/>
  <c r="Q480" i="2"/>
  <c r="U480" i="2" s="1"/>
  <c r="V480" i="2" s="1"/>
  <c r="AE479" i="2"/>
  <c r="Z479" i="2"/>
  <c r="Y479" i="2"/>
  <c r="W479" i="2"/>
  <c r="X479" i="2" s="1"/>
  <c r="S479" i="2"/>
  <c r="Q479" i="2"/>
  <c r="U479" i="2" s="1"/>
  <c r="AE478" i="2"/>
  <c r="Z478" i="2"/>
  <c r="W478" i="2"/>
  <c r="S478" i="2"/>
  <c r="Q478" i="2"/>
  <c r="AE477" i="2"/>
  <c r="Z477" i="2"/>
  <c r="W477" i="2"/>
  <c r="S477" i="2"/>
  <c r="Q477" i="2"/>
  <c r="AE476" i="2"/>
  <c r="Z476" i="2"/>
  <c r="W476" i="2"/>
  <c r="AF476" i="2" s="1"/>
  <c r="AH476" i="2" s="1"/>
  <c r="V476" i="2"/>
  <c r="U476" i="2"/>
  <c r="T476" i="2" s="1"/>
  <c r="S476" i="2"/>
  <c r="Q476" i="2"/>
  <c r="AE475" i="2"/>
  <c r="Z475" i="2"/>
  <c r="W475" i="2"/>
  <c r="U475" i="2"/>
  <c r="S475" i="2"/>
  <c r="Q475" i="2"/>
  <c r="AE474" i="2"/>
  <c r="Z474" i="2"/>
  <c r="W474" i="2"/>
  <c r="AF474" i="2" s="1"/>
  <c r="U474" i="2"/>
  <c r="V474" i="2" s="1"/>
  <c r="S474" i="2"/>
  <c r="Q474" i="2"/>
  <c r="AE473" i="2"/>
  <c r="Z473" i="2"/>
  <c r="W473" i="2"/>
  <c r="S473" i="2"/>
  <c r="Q473" i="2"/>
  <c r="U473" i="2" s="1"/>
  <c r="AE472" i="2"/>
  <c r="Z472" i="2"/>
  <c r="W472" i="2"/>
  <c r="Y472" i="2" s="1"/>
  <c r="S472" i="2"/>
  <c r="Q472" i="2"/>
  <c r="U472" i="2" s="1"/>
  <c r="AE471" i="2"/>
  <c r="Z471" i="2"/>
  <c r="W471" i="2"/>
  <c r="Y471" i="2" s="1"/>
  <c r="S471" i="2"/>
  <c r="Q471" i="2"/>
  <c r="AE470" i="2"/>
  <c r="Z470" i="2"/>
  <c r="W470" i="2"/>
  <c r="S470" i="2"/>
  <c r="Q470" i="2"/>
  <c r="U470" i="2" s="1"/>
  <c r="AE469" i="2"/>
  <c r="Z469" i="2"/>
  <c r="W469" i="2"/>
  <c r="U469" i="2"/>
  <c r="S469" i="2"/>
  <c r="Q469" i="2"/>
  <c r="AE468" i="2"/>
  <c r="Z468" i="2"/>
  <c r="X468" i="2"/>
  <c r="W468" i="2"/>
  <c r="Y468" i="2" s="1"/>
  <c r="U468" i="2"/>
  <c r="S468" i="2"/>
  <c r="Q468" i="2"/>
  <c r="AE467" i="2"/>
  <c r="Z467" i="2"/>
  <c r="X467" i="2"/>
  <c r="W467" i="2"/>
  <c r="Y467" i="2" s="1"/>
  <c r="S467" i="2"/>
  <c r="Q467" i="2"/>
  <c r="AE466" i="2"/>
  <c r="Z466" i="2"/>
  <c r="W466" i="2"/>
  <c r="Y466" i="2" s="1"/>
  <c r="V466" i="2"/>
  <c r="U466" i="2"/>
  <c r="T466" i="2" s="1"/>
  <c r="S466" i="2"/>
  <c r="Q466" i="2"/>
  <c r="AE465" i="2"/>
  <c r="Z465" i="2"/>
  <c r="W465" i="2"/>
  <c r="S465" i="2"/>
  <c r="Q465" i="2"/>
  <c r="AE464" i="2"/>
  <c r="Z464" i="2"/>
  <c r="W464" i="2"/>
  <c r="Y464" i="2" s="1"/>
  <c r="S464" i="2"/>
  <c r="U464" i="2" s="1"/>
  <c r="Q464" i="2"/>
  <c r="AE463" i="2"/>
  <c r="Z463" i="2"/>
  <c r="X463" i="2"/>
  <c r="W463" i="2"/>
  <c r="AF463" i="2" s="1"/>
  <c r="S463" i="2"/>
  <c r="Q463" i="2"/>
  <c r="U463" i="2" s="1"/>
  <c r="AE462" i="2"/>
  <c r="Z462" i="2"/>
  <c r="W462" i="2"/>
  <c r="S462" i="2"/>
  <c r="Q462" i="2"/>
  <c r="U462" i="2" s="1"/>
  <c r="AE461" i="2"/>
  <c r="Z461" i="2"/>
  <c r="W461" i="2"/>
  <c r="S461" i="2"/>
  <c r="Q461" i="2"/>
  <c r="U461" i="2" s="1"/>
  <c r="AE460" i="2"/>
  <c r="AF460" i="2" s="1"/>
  <c r="Z460" i="2"/>
  <c r="Y460" i="2"/>
  <c r="X460" i="2"/>
  <c r="W460" i="2"/>
  <c r="S460" i="2"/>
  <c r="U460" i="2" s="1"/>
  <c r="Q460" i="2"/>
  <c r="AE459" i="2"/>
  <c r="Z459" i="2"/>
  <c r="X459" i="2"/>
  <c r="W459" i="2"/>
  <c r="Y459" i="2" s="1"/>
  <c r="S459" i="2"/>
  <c r="Q459" i="2"/>
  <c r="AE458" i="2"/>
  <c r="Z458" i="2"/>
  <c r="W458" i="2"/>
  <c r="Y458" i="2" s="1"/>
  <c r="V458" i="2"/>
  <c r="U458" i="2"/>
  <c r="T458" i="2" s="1"/>
  <c r="S458" i="2"/>
  <c r="Q458" i="2"/>
  <c r="AE457" i="2"/>
  <c r="Z457" i="2"/>
  <c r="W457" i="2"/>
  <c r="S457" i="2"/>
  <c r="U457" i="2" s="1"/>
  <c r="Q457" i="2"/>
  <c r="AE456" i="2"/>
  <c r="Z456" i="2"/>
  <c r="W456" i="2"/>
  <c r="Y456" i="2" s="1"/>
  <c r="U456" i="2"/>
  <c r="S456" i="2"/>
  <c r="Q456" i="2"/>
  <c r="AE455" i="2"/>
  <c r="Z455" i="2"/>
  <c r="W455" i="2"/>
  <c r="Y455" i="2" s="1"/>
  <c r="S455" i="2"/>
  <c r="Q455" i="2"/>
  <c r="AE454" i="2"/>
  <c r="Z454" i="2"/>
  <c r="W454" i="2"/>
  <c r="Y454" i="2" s="1"/>
  <c r="S454" i="2"/>
  <c r="U454" i="2" s="1"/>
  <c r="Q454" i="2"/>
  <c r="AE453" i="2"/>
  <c r="Z453" i="2"/>
  <c r="W453" i="2"/>
  <c r="S453" i="2"/>
  <c r="Q453" i="2"/>
  <c r="U453" i="2" s="1"/>
  <c r="AE452" i="2"/>
  <c r="Z452" i="2"/>
  <c r="X452" i="2"/>
  <c r="W452" i="2"/>
  <c r="S452" i="2"/>
  <c r="U452" i="2" s="1"/>
  <c r="Q452" i="2"/>
  <c r="AE451" i="2"/>
  <c r="Z451" i="2"/>
  <c r="Y451" i="2"/>
  <c r="W451" i="2"/>
  <c r="S451" i="2"/>
  <c r="Q451" i="2"/>
  <c r="U451" i="2" s="1"/>
  <c r="AE450" i="2"/>
  <c r="Z450" i="2"/>
  <c r="W450" i="2"/>
  <c r="S450" i="2"/>
  <c r="Q450" i="2"/>
  <c r="U450" i="2" s="1"/>
  <c r="AE449" i="2"/>
  <c r="Z449" i="2"/>
  <c r="W449" i="2"/>
  <c r="U449" i="2"/>
  <c r="S449" i="2"/>
  <c r="Q449" i="2"/>
  <c r="AE448" i="2"/>
  <c r="Z448" i="2"/>
  <c r="W448" i="2"/>
  <c r="Y448" i="2" s="1"/>
  <c r="S448" i="2"/>
  <c r="Q448" i="2"/>
  <c r="AE447" i="2"/>
  <c r="Z447" i="2"/>
  <c r="W447" i="2"/>
  <c r="S447" i="2"/>
  <c r="Q447" i="2"/>
  <c r="U447" i="2" s="1"/>
  <c r="AE446" i="2"/>
  <c r="Z446" i="2"/>
  <c r="W446" i="2"/>
  <c r="S446" i="2"/>
  <c r="Q446" i="2"/>
  <c r="U446" i="2" s="1"/>
  <c r="AE445" i="2"/>
  <c r="Z445" i="2"/>
  <c r="W445" i="2"/>
  <c r="U445" i="2"/>
  <c r="S445" i="2"/>
  <c r="Q445" i="2"/>
  <c r="AE444" i="2"/>
  <c r="Z444" i="2"/>
  <c r="W444" i="2"/>
  <c r="Y444" i="2" s="1"/>
  <c r="U444" i="2"/>
  <c r="S444" i="2"/>
  <c r="Q444" i="2"/>
  <c r="AE443" i="2"/>
  <c r="Z443" i="2"/>
  <c r="W443" i="2"/>
  <c r="AF443" i="2" s="1"/>
  <c r="S443" i="2"/>
  <c r="Q443" i="2"/>
  <c r="AE442" i="2"/>
  <c r="Z442" i="2"/>
  <c r="W442" i="2"/>
  <c r="S442" i="2"/>
  <c r="Q442" i="2"/>
  <c r="U442" i="2" s="1"/>
  <c r="AE441" i="2"/>
  <c r="Z441" i="2"/>
  <c r="W441" i="2"/>
  <c r="S441" i="2"/>
  <c r="Q441" i="2"/>
  <c r="U441" i="2" s="1"/>
  <c r="AE440" i="2"/>
  <c r="Z440" i="2"/>
  <c r="W440" i="2"/>
  <c r="S440" i="2"/>
  <c r="U440" i="2" s="1"/>
  <c r="Q440" i="2"/>
  <c r="AE439" i="2"/>
  <c r="Z439" i="2"/>
  <c r="W439" i="2"/>
  <c r="AF439" i="2" s="1"/>
  <c r="S439" i="2"/>
  <c r="Q439" i="2"/>
  <c r="AE438" i="2"/>
  <c r="Z438" i="2"/>
  <c r="W438" i="2"/>
  <c r="S438" i="2"/>
  <c r="Q438" i="2"/>
  <c r="U438" i="2" s="1"/>
  <c r="AE437" i="2"/>
  <c r="Z437" i="2"/>
  <c r="W437" i="2"/>
  <c r="S437" i="2"/>
  <c r="Q437" i="2"/>
  <c r="U437" i="2" s="1"/>
  <c r="AE436" i="2"/>
  <c r="Z436" i="2"/>
  <c r="W436" i="2"/>
  <c r="Y436" i="2" s="1"/>
  <c r="S436" i="2"/>
  <c r="U436" i="2" s="1"/>
  <c r="Q436" i="2"/>
  <c r="AE435" i="2"/>
  <c r="Z435" i="2"/>
  <c r="W435" i="2"/>
  <c r="AF435" i="2" s="1"/>
  <c r="S435" i="2"/>
  <c r="Q435" i="2"/>
  <c r="U435" i="2" s="1"/>
  <c r="AE434" i="2"/>
  <c r="Z434" i="2"/>
  <c r="W434" i="2"/>
  <c r="Y434" i="2" s="1"/>
  <c r="S434" i="2"/>
  <c r="Q434" i="2"/>
  <c r="U434" i="2" s="1"/>
  <c r="AE433" i="2"/>
  <c r="Z433" i="2"/>
  <c r="W433" i="2"/>
  <c r="S433" i="2"/>
  <c r="Q433" i="2"/>
  <c r="U433" i="2" s="1"/>
  <c r="AE432" i="2"/>
  <c r="AF432" i="2" s="1"/>
  <c r="AG432" i="2" s="1"/>
  <c r="Z432" i="2"/>
  <c r="Y432" i="2"/>
  <c r="X432" i="2"/>
  <c r="W432" i="2"/>
  <c r="S432" i="2"/>
  <c r="Q432" i="2"/>
  <c r="U432" i="2" s="1"/>
  <c r="AE431" i="2"/>
  <c r="Z431" i="2"/>
  <c r="Y431" i="2"/>
  <c r="X431" i="2"/>
  <c r="W431" i="2"/>
  <c r="S431" i="2"/>
  <c r="Q431" i="2"/>
  <c r="AE430" i="2"/>
  <c r="Z430" i="2"/>
  <c r="W430" i="2"/>
  <c r="S430" i="2"/>
  <c r="Q430" i="2"/>
  <c r="AE429" i="2"/>
  <c r="Z429" i="2"/>
  <c r="W429" i="2"/>
  <c r="S429" i="2"/>
  <c r="Q429" i="2"/>
  <c r="U429" i="2" s="1"/>
  <c r="AE428" i="2"/>
  <c r="Z428" i="2"/>
  <c r="W428" i="2"/>
  <c r="Y428" i="2" s="1"/>
  <c r="S428" i="2"/>
  <c r="Q428" i="2"/>
  <c r="U428" i="2" s="1"/>
  <c r="AE427" i="2"/>
  <c r="Z427" i="2"/>
  <c r="Y427" i="2"/>
  <c r="W427" i="2"/>
  <c r="S427" i="2"/>
  <c r="Q427" i="2"/>
  <c r="AE426" i="2"/>
  <c r="Z426" i="2"/>
  <c r="Y426" i="2"/>
  <c r="W426" i="2"/>
  <c r="S426" i="2"/>
  <c r="Q426" i="2"/>
  <c r="U426" i="2" s="1"/>
  <c r="AE425" i="2"/>
  <c r="Z425" i="2"/>
  <c r="W425" i="2"/>
  <c r="S425" i="2"/>
  <c r="U425" i="2" s="1"/>
  <c r="Q425" i="2"/>
  <c r="AE424" i="2"/>
  <c r="Z424" i="2"/>
  <c r="W424" i="2"/>
  <c r="Y424" i="2" s="1"/>
  <c r="S424" i="2"/>
  <c r="Q424" i="2"/>
  <c r="AE423" i="2"/>
  <c r="Z423" i="2"/>
  <c r="Y423" i="2"/>
  <c r="W423" i="2"/>
  <c r="X423" i="2" s="1"/>
  <c r="S423" i="2"/>
  <c r="Q423" i="2"/>
  <c r="U423" i="2" s="1"/>
  <c r="AE422" i="2"/>
  <c r="Z422" i="2"/>
  <c r="W422" i="2"/>
  <c r="Y422" i="2" s="1"/>
  <c r="S422" i="2"/>
  <c r="Q422" i="2"/>
  <c r="U422" i="2" s="1"/>
  <c r="AE421" i="2"/>
  <c r="Z421" i="2"/>
  <c r="W421" i="2"/>
  <c r="U421" i="2"/>
  <c r="S421" i="2"/>
  <c r="Q421" i="2"/>
  <c r="AE420" i="2"/>
  <c r="AF420" i="2" s="1"/>
  <c r="AG420" i="2" s="1"/>
  <c r="Z420" i="2"/>
  <c r="Y420" i="2"/>
  <c r="W420" i="2"/>
  <c r="X420" i="2" s="1"/>
  <c r="S420" i="2"/>
  <c r="Q420" i="2"/>
  <c r="U420" i="2" s="1"/>
  <c r="AE419" i="2"/>
  <c r="Z419" i="2"/>
  <c r="Y419" i="2"/>
  <c r="W419" i="2"/>
  <c r="S419" i="2"/>
  <c r="Q419" i="2"/>
  <c r="AE418" i="2"/>
  <c r="Z418" i="2"/>
  <c r="Y418" i="2"/>
  <c r="W418" i="2"/>
  <c r="S418" i="2"/>
  <c r="Q418" i="2"/>
  <c r="U418" i="2" s="1"/>
  <c r="AE417" i="2"/>
  <c r="Z417" i="2"/>
  <c r="W417" i="2"/>
  <c r="S417" i="2"/>
  <c r="Q417" i="2"/>
  <c r="U417" i="2" s="1"/>
  <c r="AE416" i="2"/>
  <c r="Z416" i="2"/>
  <c r="W416" i="2"/>
  <c r="S416" i="2"/>
  <c r="U416" i="2" s="1"/>
  <c r="Q416" i="2"/>
  <c r="AE415" i="2"/>
  <c r="Z415" i="2"/>
  <c r="W415" i="2"/>
  <c r="AF415" i="2" s="1"/>
  <c r="S415" i="2"/>
  <c r="U415" i="2" s="1"/>
  <c r="Q415" i="2"/>
  <c r="AE414" i="2"/>
  <c r="Z414" i="2"/>
  <c r="W414" i="2"/>
  <c r="S414" i="2"/>
  <c r="Q414" i="2"/>
  <c r="AE413" i="2"/>
  <c r="Z413" i="2"/>
  <c r="W413" i="2"/>
  <c r="S413" i="2"/>
  <c r="Q413" i="2"/>
  <c r="U413" i="2" s="1"/>
  <c r="AE412" i="2"/>
  <c r="Z412" i="2"/>
  <c r="W412" i="2"/>
  <c r="S412" i="2"/>
  <c r="U412" i="2" s="1"/>
  <c r="Q412" i="2"/>
  <c r="AE411" i="2"/>
  <c r="Z411" i="2"/>
  <c r="W411" i="2"/>
  <c r="Y411" i="2" s="1"/>
  <c r="S411" i="2"/>
  <c r="U411" i="2" s="1"/>
  <c r="Q411" i="2"/>
  <c r="AE410" i="2"/>
  <c r="Z410" i="2"/>
  <c r="W410" i="2"/>
  <c r="Y410" i="2" s="1"/>
  <c r="S410" i="2"/>
  <c r="Q410" i="2"/>
  <c r="AE409" i="2"/>
  <c r="Z409" i="2"/>
  <c r="W409" i="2"/>
  <c r="U409" i="2"/>
  <c r="S409" i="2"/>
  <c r="Q409" i="2"/>
  <c r="AE408" i="2"/>
  <c r="Z408" i="2"/>
  <c r="X408" i="2"/>
  <c r="W408" i="2"/>
  <c r="Y408" i="2" s="1"/>
  <c r="S408" i="2"/>
  <c r="Q408" i="2"/>
  <c r="AE407" i="2"/>
  <c r="Z407" i="2"/>
  <c r="W407" i="2"/>
  <c r="S407" i="2"/>
  <c r="U407" i="2" s="1"/>
  <c r="Q407" i="2"/>
  <c r="AE406" i="2"/>
  <c r="Z406" i="2"/>
  <c r="W406" i="2"/>
  <c r="S406" i="2"/>
  <c r="Q406" i="2"/>
  <c r="U406" i="2" s="1"/>
  <c r="AE405" i="2"/>
  <c r="Z405" i="2"/>
  <c r="W405" i="2"/>
  <c r="U405" i="2"/>
  <c r="S405" i="2"/>
  <c r="Q405" i="2"/>
  <c r="AE404" i="2"/>
  <c r="Z404" i="2"/>
  <c r="X404" i="2"/>
  <c r="W404" i="2"/>
  <c r="Y404" i="2" s="1"/>
  <c r="S404" i="2"/>
  <c r="Q404" i="2"/>
  <c r="AE403" i="2"/>
  <c r="Z403" i="2"/>
  <c r="W403" i="2"/>
  <c r="S403" i="2"/>
  <c r="U403" i="2" s="1"/>
  <c r="Q403" i="2"/>
  <c r="AE402" i="2"/>
  <c r="Z402" i="2"/>
  <c r="W402" i="2"/>
  <c r="Y402" i="2" s="1"/>
  <c r="S402" i="2"/>
  <c r="Q402" i="2"/>
  <c r="U402" i="2" s="1"/>
  <c r="AE401" i="2"/>
  <c r="Z401" i="2"/>
  <c r="W401" i="2"/>
  <c r="S401" i="2"/>
  <c r="Q401" i="2"/>
  <c r="U401" i="2" s="1"/>
  <c r="AE400" i="2"/>
  <c r="Z400" i="2"/>
  <c r="X400" i="2"/>
  <c r="W400" i="2"/>
  <c r="Y400" i="2" s="1"/>
  <c r="S400" i="2"/>
  <c r="U400" i="2" s="1"/>
  <c r="Q400" i="2"/>
  <c r="AE399" i="2"/>
  <c r="Z399" i="2"/>
  <c r="Y399" i="2"/>
  <c r="X399" i="2"/>
  <c r="W399" i="2"/>
  <c r="AF399" i="2" s="1"/>
  <c r="S399" i="2"/>
  <c r="Q399" i="2"/>
  <c r="AE398" i="2"/>
  <c r="Z398" i="2"/>
  <c r="W398" i="2"/>
  <c r="S398" i="2"/>
  <c r="Q398" i="2"/>
  <c r="U398" i="2" s="1"/>
  <c r="AE397" i="2"/>
  <c r="Z397" i="2"/>
  <c r="W397" i="2"/>
  <c r="S397" i="2"/>
  <c r="Q397" i="2"/>
  <c r="U397" i="2" s="1"/>
  <c r="AE396" i="2"/>
  <c r="Z396" i="2"/>
  <c r="X396" i="2"/>
  <c r="W396" i="2"/>
  <c r="Y396" i="2" s="1"/>
  <c r="S396" i="2"/>
  <c r="U396" i="2" s="1"/>
  <c r="Q396" i="2"/>
  <c r="AE395" i="2"/>
  <c r="Z395" i="2"/>
  <c r="X395" i="2"/>
  <c r="W395" i="2"/>
  <c r="Y395" i="2" s="1"/>
  <c r="S395" i="2"/>
  <c r="Q395" i="2"/>
  <c r="AE394" i="2"/>
  <c r="Z394" i="2"/>
  <c r="W394" i="2"/>
  <c r="S394" i="2"/>
  <c r="Q394" i="2"/>
  <c r="AE393" i="2"/>
  <c r="Z393" i="2"/>
  <c r="W393" i="2"/>
  <c r="AF393" i="2" s="1"/>
  <c r="AH393" i="2" s="1"/>
  <c r="S393" i="2"/>
  <c r="Q393" i="2"/>
  <c r="U393" i="2" s="1"/>
  <c r="AE392" i="2"/>
  <c r="Z392" i="2"/>
  <c r="X392" i="2"/>
  <c r="W392" i="2"/>
  <c r="Y392" i="2" s="1"/>
  <c r="S392" i="2"/>
  <c r="Q392" i="2"/>
  <c r="U392" i="2" s="1"/>
  <c r="AE391" i="2"/>
  <c r="AF391" i="2" s="1"/>
  <c r="Z391" i="2"/>
  <c r="Y391" i="2"/>
  <c r="W391" i="2"/>
  <c r="X391" i="2" s="1"/>
  <c r="S391" i="2"/>
  <c r="Q391" i="2"/>
  <c r="AE390" i="2"/>
  <c r="Z390" i="2"/>
  <c r="W390" i="2"/>
  <c r="S390" i="2"/>
  <c r="Q390" i="2"/>
  <c r="AE389" i="2"/>
  <c r="Z389" i="2"/>
  <c r="W389" i="2"/>
  <c r="AF389" i="2" s="1"/>
  <c r="U389" i="2"/>
  <c r="V389" i="2" s="1"/>
  <c r="S389" i="2"/>
  <c r="Q389" i="2"/>
  <c r="AE388" i="2"/>
  <c r="Z388" i="2"/>
  <c r="W388" i="2"/>
  <c r="Y388" i="2" s="1"/>
  <c r="S388" i="2"/>
  <c r="Q388" i="2"/>
  <c r="AE387" i="2"/>
  <c r="AF387" i="2" s="1"/>
  <c r="Z387" i="2"/>
  <c r="W387" i="2"/>
  <c r="Y387" i="2" s="1"/>
  <c r="S387" i="2"/>
  <c r="Q387" i="2"/>
  <c r="U387" i="2" s="1"/>
  <c r="T387" i="2" s="1"/>
  <c r="AE386" i="2"/>
  <c r="Z386" i="2"/>
  <c r="W386" i="2"/>
  <c r="X386" i="2" s="1"/>
  <c r="S386" i="2"/>
  <c r="Q386" i="2"/>
  <c r="AF385" i="2"/>
  <c r="AE385" i="2"/>
  <c r="Z385" i="2"/>
  <c r="W385" i="2"/>
  <c r="Y385" i="2" s="1"/>
  <c r="S385" i="2"/>
  <c r="Q385" i="2"/>
  <c r="U385" i="2" s="1"/>
  <c r="V385" i="2" s="1"/>
  <c r="AE384" i="2"/>
  <c r="Z384" i="2"/>
  <c r="W384" i="2"/>
  <c r="S384" i="2"/>
  <c r="Q384" i="2"/>
  <c r="U384" i="2" s="1"/>
  <c r="AE383" i="2"/>
  <c r="AF383" i="2" s="1"/>
  <c r="Z383" i="2"/>
  <c r="Y383" i="2"/>
  <c r="X383" i="2"/>
  <c r="W383" i="2"/>
  <c r="S383" i="2"/>
  <c r="Q383" i="2"/>
  <c r="U383" i="2" s="1"/>
  <c r="V383" i="2" s="1"/>
  <c r="AE382" i="2"/>
  <c r="Z382" i="2"/>
  <c r="X382" i="2"/>
  <c r="W382" i="2"/>
  <c r="AF382" i="2" s="1"/>
  <c r="S382" i="2"/>
  <c r="Q382" i="2"/>
  <c r="AE381" i="2"/>
  <c r="Z381" i="2"/>
  <c r="W381" i="2"/>
  <c r="Y381" i="2" s="1"/>
  <c r="S381" i="2"/>
  <c r="U381" i="2" s="1"/>
  <c r="V381" i="2" s="1"/>
  <c r="Q381" i="2"/>
  <c r="AE380" i="2"/>
  <c r="Z380" i="2"/>
  <c r="W380" i="2"/>
  <c r="Y380" i="2" s="1"/>
  <c r="S380" i="2"/>
  <c r="Q380" i="2"/>
  <c r="U380" i="2" s="1"/>
  <c r="AE379" i="2"/>
  <c r="Z379" i="2"/>
  <c r="W379" i="2"/>
  <c r="AF379" i="2" s="1"/>
  <c r="U379" i="2"/>
  <c r="S379" i="2"/>
  <c r="Q379" i="2"/>
  <c r="AE378" i="2"/>
  <c r="AF378" i="2" s="1"/>
  <c r="Z378" i="2"/>
  <c r="Y378" i="2"/>
  <c r="X378" i="2"/>
  <c r="S378" i="2"/>
  <c r="Q378" i="2"/>
  <c r="U378" i="2" s="1"/>
  <c r="AF377" i="2"/>
  <c r="AM377" i="2" s="1"/>
  <c r="AE377" i="2"/>
  <c r="Z377" i="2"/>
  <c r="Y377" i="2"/>
  <c r="X377" i="2"/>
  <c r="S377" i="2"/>
  <c r="Q377" i="2"/>
  <c r="AM376" i="2"/>
  <c r="AE376" i="2"/>
  <c r="AF376" i="2" s="1"/>
  <c r="Z376" i="2"/>
  <c r="Y376" i="2"/>
  <c r="X376" i="2"/>
  <c r="V376" i="2"/>
  <c r="U376" i="2"/>
  <c r="T376" i="2" s="1"/>
  <c r="S376" i="2"/>
  <c r="Q376" i="2"/>
  <c r="AE375" i="2"/>
  <c r="AF375" i="2" s="1"/>
  <c r="Z375" i="2"/>
  <c r="Y375" i="2"/>
  <c r="X375" i="2"/>
  <c r="S375" i="2"/>
  <c r="Q375" i="2"/>
  <c r="U375" i="2" s="1"/>
  <c r="V375" i="2" s="1"/>
  <c r="AE374" i="2"/>
  <c r="AF374" i="2" s="1"/>
  <c r="Z374" i="2"/>
  <c r="Y374" i="2"/>
  <c r="X374" i="2"/>
  <c r="S374" i="2"/>
  <c r="Q374" i="2"/>
  <c r="U374" i="2" s="1"/>
  <c r="T374" i="2" s="1"/>
  <c r="AE373" i="2"/>
  <c r="AF373" i="2" s="1"/>
  <c r="Z373" i="2"/>
  <c r="Y373" i="2"/>
  <c r="X373" i="2"/>
  <c r="S373" i="2"/>
  <c r="U373" i="2" s="1"/>
  <c r="Q373" i="2"/>
  <c r="AE372" i="2"/>
  <c r="AF372" i="2" s="1"/>
  <c r="Z372" i="2"/>
  <c r="Y372" i="2"/>
  <c r="X372" i="2"/>
  <c r="S372" i="2"/>
  <c r="Q372" i="2"/>
  <c r="AE371" i="2"/>
  <c r="AF371" i="2" s="1"/>
  <c r="Z371" i="2"/>
  <c r="Y371" i="2"/>
  <c r="X371" i="2"/>
  <c r="S371" i="2"/>
  <c r="Q371" i="2"/>
  <c r="U371" i="2" s="1"/>
  <c r="AE370" i="2"/>
  <c r="AF370" i="2" s="1"/>
  <c r="Z370" i="2"/>
  <c r="Y370" i="2"/>
  <c r="X370" i="2"/>
  <c r="S370" i="2"/>
  <c r="Q370" i="2"/>
  <c r="U370" i="2" s="1"/>
  <c r="AE369" i="2"/>
  <c r="AF369" i="2" s="1"/>
  <c r="AM369" i="2" s="1"/>
  <c r="Z369" i="2"/>
  <c r="Y369" i="2"/>
  <c r="X369" i="2"/>
  <c r="S369" i="2"/>
  <c r="Q369" i="2"/>
  <c r="AH368" i="2"/>
  <c r="AG368" i="2"/>
  <c r="AF368" i="2"/>
  <c r="AM368" i="2" s="1"/>
  <c r="AE368" i="2"/>
  <c r="Z368" i="2"/>
  <c r="Y368" i="2"/>
  <c r="X368" i="2"/>
  <c r="U368" i="2"/>
  <c r="V368" i="2" s="1"/>
  <c r="T368" i="2"/>
  <c r="S368" i="2"/>
  <c r="Q368" i="2"/>
  <c r="AE367" i="2"/>
  <c r="AF367" i="2" s="1"/>
  <c r="Z367" i="2"/>
  <c r="Y367" i="2"/>
  <c r="X367" i="2"/>
  <c r="U367" i="2"/>
  <c r="V367" i="2" s="1"/>
  <c r="S367" i="2"/>
  <c r="Q367" i="2"/>
  <c r="AE366" i="2"/>
  <c r="AF366" i="2" s="1"/>
  <c r="Z366" i="2"/>
  <c r="Y366" i="2"/>
  <c r="X366" i="2"/>
  <c r="S366" i="2"/>
  <c r="Q366" i="2"/>
  <c r="AF365" i="2"/>
  <c r="AE365" i="2"/>
  <c r="Z365" i="2"/>
  <c r="Y365" i="2"/>
  <c r="X365" i="2"/>
  <c r="S365" i="2"/>
  <c r="U365" i="2" s="1"/>
  <c r="Q365" i="2"/>
  <c r="AE364" i="2"/>
  <c r="AF364" i="2" s="1"/>
  <c r="Z364" i="2"/>
  <c r="Y364" i="2"/>
  <c r="X364" i="2"/>
  <c r="S364" i="2"/>
  <c r="Q364" i="2"/>
  <c r="U364" i="2" s="1"/>
  <c r="AH363" i="2"/>
  <c r="AE363" i="2"/>
  <c r="AF363" i="2" s="1"/>
  <c r="Z363" i="2"/>
  <c r="Y363" i="2"/>
  <c r="X363" i="2"/>
  <c r="S363" i="2"/>
  <c r="Q363" i="2"/>
  <c r="U363" i="2" s="1"/>
  <c r="AE362" i="2"/>
  <c r="AF362" i="2" s="1"/>
  <c r="Z362" i="2"/>
  <c r="Y362" i="2"/>
  <c r="X362" i="2"/>
  <c r="S362" i="2"/>
  <c r="Q362" i="2"/>
  <c r="U362" i="2" s="1"/>
  <c r="AE361" i="2"/>
  <c r="AF361" i="2" s="1"/>
  <c r="AM361" i="2" s="1"/>
  <c r="Z361" i="2"/>
  <c r="Y361" i="2"/>
  <c r="X361" i="2"/>
  <c r="S361" i="2"/>
  <c r="U361" i="2" s="1"/>
  <c r="Q361" i="2"/>
  <c r="AF360" i="2"/>
  <c r="AE360" i="2"/>
  <c r="Z360" i="2"/>
  <c r="Y360" i="2"/>
  <c r="X360" i="2"/>
  <c r="S360" i="2"/>
  <c r="Q360" i="2"/>
  <c r="U360" i="2" s="1"/>
  <c r="AH359" i="2"/>
  <c r="AF359" i="2"/>
  <c r="AM359" i="2" s="1"/>
  <c r="AE359" i="2"/>
  <c r="Z359" i="2"/>
  <c r="Y359" i="2"/>
  <c r="X359" i="2"/>
  <c r="U359" i="2"/>
  <c r="V359" i="2" s="1"/>
  <c r="S359" i="2"/>
  <c r="Q359" i="2"/>
  <c r="AE358" i="2"/>
  <c r="AF358" i="2" s="1"/>
  <c r="Z358" i="2"/>
  <c r="Y358" i="2"/>
  <c r="X358" i="2"/>
  <c r="S358" i="2"/>
  <c r="Q358" i="2"/>
  <c r="AF357" i="2"/>
  <c r="AE357" i="2"/>
  <c r="Z357" i="2"/>
  <c r="Y357" i="2"/>
  <c r="X357" i="2"/>
  <c r="S357" i="2"/>
  <c r="Q357" i="2"/>
  <c r="AE356" i="2"/>
  <c r="AF356" i="2" s="1"/>
  <c r="Z356" i="2"/>
  <c r="Y356" i="2"/>
  <c r="X356" i="2"/>
  <c r="S356" i="2"/>
  <c r="Q356" i="2"/>
  <c r="AE355" i="2"/>
  <c r="AF355" i="2" s="1"/>
  <c r="AH355" i="2" s="1"/>
  <c r="Z355" i="2"/>
  <c r="Y355" i="2"/>
  <c r="X355" i="2"/>
  <c r="S355" i="2"/>
  <c r="Q355" i="2"/>
  <c r="U355" i="2" s="1"/>
  <c r="AE354" i="2"/>
  <c r="AF354" i="2" s="1"/>
  <c r="Z354" i="2"/>
  <c r="Y354" i="2"/>
  <c r="X354" i="2"/>
  <c r="S354" i="2"/>
  <c r="Q354" i="2"/>
  <c r="U354" i="2" s="1"/>
  <c r="AF353" i="2"/>
  <c r="AM353" i="2" s="1"/>
  <c r="AE353" i="2"/>
  <c r="Z353" i="2"/>
  <c r="Y353" i="2"/>
  <c r="X353" i="2"/>
  <c r="S353" i="2"/>
  <c r="U353" i="2" s="1"/>
  <c r="Q353" i="2"/>
  <c r="AE352" i="2"/>
  <c r="AF352" i="2" s="1"/>
  <c r="Z352" i="2"/>
  <c r="Y352" i="2"/>
  <c r="X352" i="2"/>
  <c r="S352" i="2"/>
  <c r="Q352" i="2"/>
  <c r="U352" i="2" s="1"/>
  <c r="AH351" i="2"/>
  <c r="AF351" i="2"/>
  <c r="AM351" i="2" s="1"/>
  <c r="AE351" i="2"/>
  <c r="Z351" i="2"/>
  <c r="Y351" i="2"/>
  <c r="X351" i="2"/>
  <c r="S351" i="2"/>
  <c r="U351" i="2" s="1"/>
  <c r="V351" i="2" s="1"/>
  <c r="Q351" i="2"/>
  <c r="AE350" i="2"/>
  <c r="AF350" i="2" s="1"/>
  <c r="Z350" i="2"/>
  <c r="Y350" i="2"/>
  <c r="X350" i="2"/>
  <c r="S350" i="2"/>
  <c r="Q350" i="2"/>
  <c r="U350" i="2" s="1"/>
  <c r="AF349" i="2"/>
  <c r="AE349" i="2"/>
  <c r="Z349" i="2"/>
  <c r="Y349" i="2"/>
  <c r="X349" i="2"/>
  <c r="S349" i="2"/>
  <c r="Q349" i="2"/>
  <c r="AE348" i="2"/>
  <c r="AF348" i="2" s="1"/>
  <c r="Z348" i="2"/>
  <c r="Y348" i="2"/>
  <c r="X348" i="2"/>
  <c r="S348" i="2"/>
  <c r="Q348" i="2"/>
  <c r="U348" i="2" s="1"/>
  <c r="AE347" i="2"/>
  <c r="AF347" i="2" s="1"/>
  <c r="AH347" i="2" s="1"/>
  <c r="Z347" i="2"/>
  <c r="Y347" i="2"/>
  <c r="X347" i="2"/>
  <c r="S347" i="2"/>
  <c r="Q347" i="2"/>
  <c r="U347" i="2" s="1"/>
  <c r="AE346" i="2"/>
  <c r="AF346" i="2" s="1"/>
  <c r="Z346" i="2"/>
  <c r="Y346" i="2"/>
  <c r="X346" i="2"/>
  <c r="S346" i="2"/>
  <c r="Q346" i="2"/>
  <c r="U346" i="2" s="1"/>
  <c r="AE345" i="2"/>
  <c r="AF345" i="2" s="1"/>
  <c r="AM345" i="2" s="1"/>
  <c r="Z345" i="2"/>
  <c r="Y345" i="2"/>
  <c r="X345" i="2"/>
  <c r="S345" i="2"/>
  <c r="U345" i="2" s="1"/>
  <c r="Q345" i="2"/>
  <c r="AE344" i="2"/>
  <c r="AF344" i="2" s="1"/>
  <c r="Z344" i="2"/>
  <c r="Y344" i="2"/>
  <c r="X344" i="2"/>
  <c r="S344" i="2"/>
  <c r="Q344" i="2"/>
  <c r="U344" i="2" s="1"/>
  <c r="AH343" i="2"/>
  <c r="AF343" i="2"/>
  <c r="AM343" i="2" s="1"/>
  <c r="AE343" i="2"/>
  <c r="Z343" i="2"/>
  <c r="Y343" i="2"/>
  <c r="X343" i="2"/>
  <c r="S343" i="2"/>
  <c r="Q343" i="2"/>
  <c r="U343" i="2" s="1"/>
  <c r="V343" i="2" s="1"/>
  <c r="AE342" i="2"/>
  <c r="AF342" i="2" s="1"/>
  <c r="Z342" i="2"/>
  <c r="Y342" i="2"/>
  <c r="X342" i="2"/>
  <c r="S342" i="2"/>
  <c r="Q342" i="2"/>
  <c r="U342" i="2" s="1"/>
  <c r="T342" i="2" s="1"/>
  <c r="AF341" i="2"/>
  <c r="AE341" i="2"/>
  <c r="Z341" i="2"/>
  <c r="Y341" i="2"/>
  <c r="X341" i="2"/>
  <c r="S341" i="2"/>
  <c r="U341" i="2" s="1"/>
  <c r="Q341" i="2"/>
  <c r="AE340" i="2"/>
  <c r="AF340" i="2" s="1"/>
  <c r="Z340" i="2"/>
  <c r="Y340" i="2"/>
  <c r="X340" i="2"/>
  <c r="S340" i="2"/>
  <c r="Q340" i="2"/>
  <c r="AH339" i="2"/>
  <c r="AE339" i="2"/>
  <c r="AF339" i="2" s="1"/>
  <c r="Z339" i="2"/>
  <c r="Y339" i="2"/>
  <c r="X339" i="2"/>
  <c r="U339" i="2"/>
  <c r="S339" i="2"/>
  <c r="Q339" i="2"/>
  <c r="AE338" i="2"/>
  <c r="AF338" i="2" s="1"/>
  <c r="Z338" i="2"/>
  <c r="Y338" i="2"/>
  <c r="X338" i="2"/>
  <c r="S338" i="2"/>
  <c r="Q338" i="2"/>
  <c r="AF337" i="2"/>
  <c r="AM337" i="2" s="1"/>
  <c r="AE337" i="2"/>
  <c r="Z337" i="2"/>
  <c r="Y337" i="2"/>
  <c r="X337" i="2"/>
  <c r="S337" i="2"/>
  <c r="U337" i="2" s="1"/>
  <c r="Q337" i="2"/>
  <c r="AM336" i="2"/>
  <c r="AH336" i="2"/>
  <c r="AF336" i="2"/>
  <c r="AG336" i="2" s="1"/>
  <c r="AE336" i="2"/>
  <c r="Z336" i="2"/>
  <c r="Y336" i="2"/>
  <c r="X336" i="2"/>
  <c r="V336" i="2"/>
  <c r="U336" i="2"/>
  <c r="T336" i="2" s="1"/>
  <c r="S336" i="2"/>
  <c r="Q336" i="2"/>
  <c r="AF335" i="2"/>
  <c r="AE335" i="2"/>
  <c r="Z335" i="2"/>
  <c r="Y335" i="2"/>
  <c r="X335" i="2"/>
  <c r="S335" i="2"/>
  <c r="Q335" i="2"/>
  <c r="U335" i="2" s="1"/>
  <c r="V335" i="2" s="1"/>
  <c r="AE334" i="2"/>
  <c r="AF334" i="2" s="1"/>
  <c r="Z334" i="2"/>
  <c r="Y334" i="2"/>
  <c r="X334" i="2"/>
  <c r="S334" i="2"/>
  <c r="Q334" i="2"/>
  <c r="AE333" i="2"/>
  <c r="AF333" i="2" s="1"/>
  <c r="Z333" i="2"/>
  <c r="Y333" i="2"/>
  <c r="X333" i="2"/>
  <c r="S333" i="2"/>
  <c r="Q333" i="2"/>
  <c r="AE332" i="2"/>
  <c r="AF332" i="2" s="1"/>
  <c r="Z332" i="2"/>
  <c r="Y332" i="2"/>
  <c r="X332" i="2"/>
  <c r="S332" i="2"/>
  <c r="Q332" i="2"/>
  <c r="AE331" i="2"/>
  <c r="AF331" i="2" s="1"/>
  <c r="AH331" i="2" s="1"/>
  <c r="Z331" i="2"/>
  <c r="Y331" i="2"/>
  <c r="X331" i="2"/>
  <c r="U331" i="2"/>
  <c r="S331" i="2"/>
  <c r="Q331" i="2"/>
  <c r="AE330" i="2"/>
  <c r="AF330" i="2" s="1"/>
  <c r="Z330" i="2"/>
  <c r="Y330" i="2"/>
  <c r="X330" i="2"/>
  <c r="S330" i="2"/>
  <c r="Q330" i="2"/>
  <c r="AF329" i="2"/>
  <c r="AM329" i="2" s="1"/>
  <c r="AE329" i="2"/>
  <c r="Z329" i="2"/>
  <c r="Y329" i="2"/>
  <c r="X329" i="2"/>
  <c r="S329" i="2"/>
  <c r="Q329" i="2"/>
  <c r="AE328" i="2"/>
  <c r="AF328" i="2" s="1"/>
  <c r="Z328" i="2"/>
  <c r="Y328" i="2"/>
  <c r="X328" i="2"/>
  <c r="V328" i="2"/>
  <c r="U328" i="2"/>
  <c r="T328" i="2" s="1"/>
  <c r="S328" i="2"/>
  <c r="Q328" i="2"/>
  <c r="AE327" i="2"/>
  <c r="AF327" i="2" s="1"/>
  <c r="Z327" i="2"/>
  <c r="Y327" i="2"/>
  <c r="X327" i="2"/>
  <c r="S327" i="2"/>
  <c r="Q327" i="2"/>
  <c r="U327" i="2" s="1"/>
  <c r="V327" i="2" s="1"/>
  <c r="AE326" i="2"/>
  <c r="AF326" i="2" s="1"/>
  <c r="Z326" i="2"/>
  <c r="Y326" i="2"/>
  <c r="X326" i="2"/>
  <c r="S326" i="2"/>
  <c r="Q326" i="2"/>
  <c r="U326" i="2" s="1"/>
  <c r="T326" i="2" s="1"/>
  <c r="AE325" i="2"/>
  <c r="AF325" i="2" s="1"/>
  <c r="Z325" i="2"/>
  <c r="Y325" i="2"/>
  <c r="X325" i="2"/>
  <c r="S325" i="2"/>
  <c r="U325" i="2" s="1"/>
  <c r="Q325" i="2"/>
  <c r="AE324" i="2"/>
  <c r="AF324" i="2" s="1"/>
  <c r="Z324" i="2"/>
  <c r="Y324" i="2"/>
  <c r="X324" i="2"/>
  <c r="S324" i="2"/>
  <c r="Q324" i="2"/>
  <c r="AH323" i="2"/>
  <c r="AE323" i="2"/>
  <c r="AF323" i="2" s="1"/>
  <c r="Z323" i="2"/>
  <c r="Y323" i="2"/>
  <c r="X323" i="2"/>
  <c r="U323" i="2"/>
  <c r="S323" i="2"/>
  <c r="Q323" i="2"/>
  <c r="AE322" i="2"/>
  <c r="AF322" i="2" s="1"/>
  <c r="Z322" i="2"/>
  <c r="Y322" i="2"/>
  <c r="X322" i="2"/>
  <c r="S322" i="2"/>
  <c r="Q322" i="2"/>
  <c r="U322" i="2" s="1"/>
  <c r="AF321" i="2"/>
  <c r="AM321" i="2" s="1"/>
  <c r="AE321" i="2"/>
  <c r="Z321" i="2"/>
  <c r="Y321" i="2"/>
  <c r="X321" i="2"/>
  <c r="S321" i="2"/>
  <c r="Q321" i="2"/>
  <c r="AM320" i="2"/>
  <c r="AH320" i="2"/>
  <c r="AG320" i="2"/>
  <c r="AF320" i="2"/>
  <c r="AE320" i="2"/>
  <c r="Z320" i="2"/>
  <c r="Y320" i="2"/>
  <c r="X320" i="2"/>
  <c r="V320" i="2"/>
  <c r="U320" i="2"/>
  <c r="T320" i="2" s="1"/>
  <c r="S320" i="2"/>
  <c r="Q320" i="2"/>
  <c r="AE319" i="2"/>
  <c r="AF319" i="2" s="1"/>
  <c r="Z319" i="2"/>
  <c r="Y319" i="2"/>
  <c r="X319" i="2"/>
  <c r="S319" i="2"/>
  <c r="Q319" i="2"/>
  <c r="U319" i="2" s="1"/>
  <c r="V319" i="2" s="1"/>
  <c r="AE318" i="2"/>
  <c r="AF318" i="2" s="1"/>
  <c r="Z318" i="2"/>
  <c r="Y318" i="2"/>
  <c r="X318" i="2"/>
  <c r="S318" i="2"/>
  <c r="Q318" i="2"/>
  <c r="AF317" i="2"/>
  <c r="AE317" i="2"/>
  <c r="Z317" i="2"/>
  <c r="Y317" i="2"/>
  <c r="X317" i="2"/>
  <c r="S317" i="2"/>
  <c r="U317" i="2" s="1"/>
  <c r="Q317" i="2"/>
  <c r="AE316" i="2"/>
  <c r="AF316" i="2" s="1"/>
  <c r="Z316" i="2"/>
  <c r="Y316" i="2"/>
  <c r="X316" i="2"/>
  <c r="S316" i="2"/>
  <c r="Q316" i="2"/>
  <c r="AH315" i="2"/>
  <c r="AE315" i="2"/>
  <c r="AF315" i="2" s="1"/>
  <c r="Z315" i="2"/>
  <c r="Y315" i="2"/>
  <c r="X315" i="2"/>
  <c r="U315" i="2"/>
  <c r="S315" i="2"/>
  <c r="Q315" i="2"/>
  <c r="AE314" i="2"/>
  <c r="AF314" i="2" s="1"/>
  <c r="Z314" i="2"/>
  <c r="Y314" i="2"/>
  <c r="X314" i="2"/>
  <c r="S314" i="2"/>
  <c r="Q314" i="2"/>
  <c r="U314" i="2" s="1"/>
  <c r="AF313" i="2"/>
  <c r="AM313" i="2" s="1"/>
  <c r="AE313" i="2"/>
  <c r="Z313" i="2"/>
  <c r="Y313" i="2"/>
  <c r="X313" i="2"/>
  <c r="S313" i="2"/>
  <c r="U313" i="2" s="1"/>
  <c r="Q313" i="2"/>
  <c r="AM312" i="2"/>
  <c r="AH312" i="2"/>
  <c r="AG312" i="2"/>
  <c r="AF312" i="2"/>
  <c r="AE312" i="2"/>
  <c r="Z312" i="2"/>
  <c r="Y312" i="2"/>
  <c r="X312" i="2"/>
  <c r="V312" i="2"/>
  <c r="U312" i="2"/>
  <c r="T312" i="2" s="1"/>
  <c r="S312" i="2"/>
  <c r="Q312" i="2"/>
  <c r="AF311" i="2"/>
  <c r="AM311" i="2" s="1"/>
  <c r="AE311" i="2"/>
  <c r="Z311" i="2"/>
  <c r="Y311" i="2"/>
  <c r="X311" i="2"/>
  <c r="S311" i="2"/>
  <c r="Q311" i="2"/>
  <c r="U311" i="2" s="1"/>
  <c r="V311" i="2" s="1"/>
  <c r="AE310" i="2"/>
  <c r="AF310" i="2" s="1"/>
  <c r="Z310" i="2"/>
  <c r="Y310" i="2"/>
  <c r="X310" i="2"/>
  <c r="V310" i="2"/>
  <c r="S310" i="2"/>
  <c r="Q310" i="2"/>
  <c r="U310" i="2" s="1"/>
  <c r="T310" i="2" s="1"/>
  <c r="AE309" i="2"/>
  <c r="AF309" i="2" s="1"/>
  <c r="Z309" i="2"/>
  <c r="Y309" i="2"/>
  <c r="X309" i="2"/>
  <c r="S309" i="2"/>
  <c r="U309" i="2" s="1"/>
  <c r="Q309" i="2"/>
  <c r="AE308" i="2"/>
  <c r="AF308" i="2" s="1"/>
  <c r="Z308" i="2"/>
  <c r="Y308" i="2"/>
  <c r="X308" i="2"/>
  <c r="S308" i="2"/>
  <c r="Q308" i="2"/>
  <c r="U308" i="2" s="1"/>
  <c r="AH307" i="2"/>
  <c r="AE307" i="2"/>
  <c r="AF307" i="2" s="1"/>
  <c r="Z307" i="2"/>
  <c r="Y307" i="2"/>
  <c r="X307" i="2"/>
  <c r="S307" i="2"/>
  <c r="Q307" i="2"/>
  <c r="U307" i="2" s="1"/>
  <c r="AE306" i="2"/>
  <c r="AF306" i="2" s="1"/>
  <c r="Z306" i="2"/>
  <c r="Y306" i="2"/>
  <c r="X306" i="2"/>
  <c r="S306" i="2"/>
  <c r="Q306" i="2"/>
  <c r="AE305" i="2"/>
  <c r="AF305" i="2" s="1"/>
  <c r="AM305" i="2" s="1"/>
  <c r="Z305" i="2"/>
  <c r="Y305" i="2"/>
  <c r="X305" i="2"/>
  <c r="S305" i="2"/>
  <c r="Q305" i="2"/>
  <c r="AF304" i="2"/>
  <c r="AM304" i="2" s="1"/>
  <c r="AE304" i="2"/>
  <c r="Z304" i="2"/>
  <c r="Y304" i="2"/>
  <c r="X304" i="2"/>
  <c r="S304" i="2"/>
  <c r="U304" i="2" s="1"/>
  <c r="Q304" i="2"/>
  <c r="AE303" i="2"/>
  <c r="AF303" i="2" s="1"/>
  <c r="Z303" i="2"/>
  <c r="Y303" i="2"/>
  <c r="X303" i="2"/>
  <c r="U303" i="2"/>
  <c r="V303" i="2" s="1"/>
  <c r="S303" i="2"/>
  <c r="Q303" i="2"/>
  <c r="AE302" i="2"/>
  <c r="AF302" i="2" s="1"/>
  <c r="Z302" i="2"/>
  <c r="Y302" i="2"/>
  <c r="X302" i="2"/>
  <c r="S302" i="2"/>
  <c r="Q302" i="2"/>
  <c r="AF301" i="2"/>
  <c r="AE301" i="2"/>
  <c r="Z301" i="2"/>
  <c r="Y301" i="2"/>
  <c r="X301" i="2"/>
  <c r="S301" i="2"/>
  <c r="U301" i="2" s="1"/>
  <c r="Q301" i="2"/>
  <c r="AE300" i="2"/>
  <c r="AF300" i="2" s="1"/>
  <c r="Z300" i="2"/>
  <c r="Y300" i="2"/>
  <c r="X300" i="2"/>
  <c r="S300" i="2"/>
  <c r="Q300" i="2"/>
  <c r="U300" i="2" s="1"/>
  <c r="AH299" i="2"/>
  <c r="AE299" i="2"/>
  <c r="AF299" i="2" s="1"/>
  <c r="Z299" i="2"/>
  <c r="Y299" i="2"/>
  <c r="X299" i="2"/>
  <c r="S299" i="2"/>
  <c r="Q299" i="2"/>
  <c r="U299" i="2" s="1"/>
  <c r="AE298" i="2"/>
  <c r="AF298" i="2" s="1"/>
  <c r="Z298" i="2"/>
  <c r="Y298" i="2"/>
  <c r="X298" i="2"/>
  <c r="S298" i="2"/>
  <c r="Q298" i="2"/>
  <c r="U298" i="2" s="1"/>
  <c r="AE297" i="2"/>
  <c r="AF297" i="2" s="1"/>
  <c r="AM297" i="2" s="1"/>
  <c r="Z297" i="2"/>
  <c r="Y297" i="2"/>
  <c r="X297" i="2"/>
  <c r="S297" i="2"/>
  <c r="U297" i="2" s="1"/>
  <c r="Q297" i="2"/>
  <c r="AF296" i="2"/>
  <c r="AE296" i="2"/>
  <c r="Z296" i="2"/>
  <c r="Y296" i="2"/>
  <c r="X296" i="2"/>
  <c r="S296" i="2"/>
  <c r="Q296" i="2"/>
  <c r="U296" i="2" s="1"/>
  <c r="V296" i="2" s="1"/>
  <c r="AF295" i="2"/>
  <c r="AM295" i="2" s="1"/>
  <c r="AE295" i="2"/>
  <c r="Z295" i="2"/>
  <c r="Y295" i="2"/>
  <c r="X295" i="2"/>
  <c r="U295" i="2"/>
  <c r="V295" i="2" s="1"/>
  <c r="S295" i="2"/>
  <c r="Q295" i="2"/>
  <c r="AE294" i="2"/>
  <c r="AF294" i="2" s="1"/>
  <c r="Z294" i="2"/>
  <c r="Y294" i="2"/>
  <c r="X294" i="2"/>
  <c r="S294" i="2"/>
  <c r="Q294" i="2"/>
  <c r="AE293" i="2"/>
  <c r="AF293" i="2" s="1"/>
  <c r="Z293" i="2"/>
  <c r="Y293" i="2"/>
  <c r="X293" i="2"/>
  <c r="S293" i="2"/>
  <c r="Q293" i="2"/>
  <c r="AE292" i="2"/>
  <c r="AF292" i="2" s="1"/>
  <c r="Z292" i="2"/>
  <c r="Y292" i="2"/>
  <c r="X292" i="2"/>
  <c r="S292" i="2"/>
  <c r="Q292" i="2"/>
  <c r="AE291" i="2"/>
  <c r="AF291" i="2" s="1"/>
  <c r="AH291" i="2" s="1"/>
  <c r="Z291" i="2"/>
  <c r="Y291" i="2"/>
  <c r="X291" i="2"/>
  <c r="S291" i="2"/>
  <c r="U291" i="2" s="1"/>
  <c r="Q291" i="2"/>
  <c r="AE290" i="2"/>
  <c r="AF290" i="2" s="1"/>
  <c r="Z290" i="2"/>
  <c r="Y290" i="2"/>
  <c r="X290" i="2"/>
  <c r="S290" i="2"/>
  <c r="Q290" i="2"/>
  <c r="AF289" i="2"/>
  <c r="AM289" i="2" s="1"/>
  <c r="AE289" i="2"/>
  <c r="Z289" i="2"/>
  <c r="Y289" i="2"/>
  <c r="X289" i="2"/>
  <c r="S289" i="2"/>
  <c r="U289" i="2" s="1"/>
  <c r="Q289" i="2"/>
  <c r="AE288" i="2"/>
  <c r="AF288" i="2" s="1"/>
  <c r="Z288" i="2"/>
  <c r="Y288" i="2"/>
  <c r="X288" i="2"/>
  <c r="S288" i="2"/>
  <c r="Q288" i="2"/>
  <c r="AH287" i="2"/>
  <c r="AF287" i="2"/>
  <c r="AM287" i="2" s="1"/>
  <c r="AE287" i="2"/>
  <c r="Z287" i="2"/>
  <c r="Y287" i="2"/>
  <c r="X287" i="2"/>
  <c r="U287" i="2"/>
  <c r="V287" i="2" s="1"/>
  <c r="S287" i="2"/>
  <c r="Q287" i="2"/>
  <c r="AE286" i="2"/>
  <c r="AF286" i="2" s="1"/>
  <c r="Z286" i="2"/>
  <c r="Y286" i="2"/>
  <c r="X286" i="2"/>
  <c r="S286" i="2"/>
  <c r="Q286" i="2"/>
  <c r="U286" i="2" s="1"/>
  <c r="AF285" i="2"/>
  <c r="AE285" i="2"/>
  <c r="Z285" i="2"/>
  <c r="Y285" i="2"/>
  <c r="X285" i="2"/>
  <c r="S285" i="2"/>
  <c r="Q285" i="2"/>
  <c r="AE284" i="2"/>
  <c r="AF284" i="2" s="1"/>
  <c r="Z284" i="2"/>
  <c r="Y284" i="2"/>
  <c r="X284" i="2"/>
  <c r="S284" i="2"/>
  <c r="Q284" i="2"/>
  <c r="U284" i="2" s="1"/>
  <c r="AE283" i="2"/>
  <c r="AF283" i="2" s="1"/>
  <c r="AH283" i="2" s="1"/>
  <c r="Z283" i="2"/>
  <c r="Y283" i="2"/>
  <c r="X283" i="2"/>
  <c r="U283" i="2"/>
  <c r="S283" i="2"/>
  <c r="Q283" i="2"/>
  <c r="AE282" i="2"/>
  <c r="AF282" i="2" s="1"/>
  <c r="Z282" i="2"/>
  <c r="Y282" i="2"/>
  <c r="X282" i="2"/>
  <c r="S282" i="2"/>
  <c r="Q282" i="2"/>
  <c r="U282" i="2" s="1"/>
  <c r="AE281" i="2"/>
  <c r="AF281" i="2" s="1"/>
  <c r="AM281" i="2" s="1"/>
  <c r="Z281" i="2"/>
  <c r="Y281" i="2"/>
  <c r="X281" i="2"/>
  <c r="S281" i="2"/>
  <c r="U281" i="2" s="1"/>
  <c r="Q281" i="2"/>
  <c r="AM280" i="2"/>
  <c r="AE280" i="2"/>
  <c r="AF280" i="2" s="1"/>
  <c r="AH280" i="2" s="1"/>
  <c r="Z280" i="2"/>
  <c r="Y280" i="2"/>
  <c r="X280" i="2"/>
  <c r="V280" i="2"/>
  <c r="T280" i="2"/>
  <c r="S280" i="2"/>
  <c r="Q280" i="2"/>
  <c r="U280" i="2" s="1"/>
  <c r="AF279" i="2"/>
  <c r="AM279" i="2" s="1"/>
  <c r="AE279" i="2"/>
  <c r="Z279" i="2"/>
  <c r="Y279" i="2"/>
  <c r="X279" i="2"/>
  <c r="S279" i="2"/>
  <c r="Q279" i="2"/>
  <c r="AE278" i="2"/>
  <c r="AF278" i="2" s="1"/>
  <c r="Z278" i="2"/>
  <c r="Y278" i="2"/>
  <c r="X278" i="2"/>
  <c r="S278" i="2"/>
  <c r="Q278" i="2"/>
  <c r="U278" i="2" s="1"/>
  <c r="T278" i="2" s="1"/>
  <c r="AE277" i="2"/>
  <c r="AF277" i="2" s="1"/>
  <c r="Z277" i="2"/>
  <c r="Y277" i="2"/>
  <c r="X277" i="2"/>
  <c r="S277" i="2"/>
  <c r="U277" i="2" s="1"/>
  <c r="Q277" i="2"/>
  <c r="AE276" i="2"/>
  <c r="AF276" i="2" s="1"/>
  <c r="Z276" i="2"/>
  <c r="Y276" i="2"/>
  <c r="X276" i="2"/>
  <c r="S276" i="2"/>
  <c r="Q276" i="2"/>
  <c r="AH275" i="2"/>
  <c r="AE275" i="2"/>
  <c r="AF275" i="2" s="1"/>
  <c r="Z275" i="2"/>
  <c r="Y275" i="2"/>
  <c r="X275" i="2"/>
  <c r="U275" i="2"/>
  <c r="S275" i="2"/>
  <c r="Q275" i="2"/>
  <c r="AE274" i="2"/>
  <c r="AF274" i="2" s="1"/>
  <c r="Z274" i="2"/>
  <c r="Y274" i="2"/>
  <c r="X274" i="2"/>
  <c r="S274" i="2"/>
  <c r="Q274" i="2"/>
  <c r="U274" i="2" s="1"/>
  <c r="AF273" i="2"/>
  <c r="AM273" i="2" s="1"/>
  <c r="AE273" i="2"/>
  <c r="Z273" i="2"/>
  <c r="Y273" i="2"/>
  <c r="X273" i="2"/>
  <c r="S273" i="2"/>
  <c r="U273" i="2" s="1"/>
  <c r="Q273" i="2"/>
  <c r="AF272" i="2"/>
  <c r="AG272" i="2" s="1"/>
  <c r="AE272" i="2"/>
  <c r="Z272" i="2"/>
  <c r="Y272" i="2"/>
  <c r="X272" i="2"/>
  <c r="U272" i="2"/>
  <c r="T272" i="2" s="1"/>
  <c r="S272" i="2"/>
  <c r="Q272" i="2"/>
  <c r="AF271" i="2"/>
  <c r="AE271" i="2"/>
  <c r="Z271" i="2"/>
  <c r="Y271" i="2"/>
  <c r="X271" i="2"/>
  <c r="U271" i="2"/>
  <c r="V271" i="2" s="1"/>
  <c r="S271" i="2"/>
  <c r="Q271" i="2"/>
  <c r="AE270" i="2"/>
  <c r="AF270" i="2" s="1"/>
  <c r="Z270" i="2"/>
  <c r="Y270" i="2"/>
  <c r="X270" i="2"/>
  <c r="S270" i="2"/>
  <c r="Q270" i="2"/>
  <c r="AE269" i="2"/>
  <c r="AF269" i="2" s="1"/>
  <c r="Z269" i="2"/>
  <c r="Y269" i="2"/>
  <c r="X269" i="2"/>
  <c r="S269" i="2"/>
  <c r="U269" i="2" s="1"/>
  <c r="Q269" i="2"/>
  <c r="AE268" i="2"/>
  <c r="AF268" i="2" s="1"/>
  <c r="Z268" i="2"/>
  <c r="Y268" i="2"/>
  <c r="X268" i="2"/>
  <c r="S268" i="2"/>
  <c r="Q268" i="2"/>
  <c r="U268" i="2" s="1"/>
  <c r="V268" i="2" s="1"/>
  <c r="AE267" i="2"/>
  <c r="AF267" i="2" s="1"/>
  <c r="Z267" i="2"/>
  <c r="Y267" i="2"/>
  <c r="X267" i="2"/>
  <c r="U267" i="2"/>
  <c r="S267" i="2"/>
  <c r="Q267" i="2"/>
  <c r="AE266" i="2"/>
  <c r="AF266" i="2" s="1"/>
  <c r="AH266" i="2" s="1"/>
  <c r="Z266" i="2"/>
  <c r="Y266" i="2"/>
  <c r="X266" i="2"/>
  <c r="S266" i="2"/>
  <c r="Q266" i="2"/>
  <c r="AE265" i="2"/>
  <c r="AF265" i="2" s="1"/>
  <c r="Z265" i="2"/>
  <c r="Y265" i="2"/>
  <c r="X265" i="2"/>
  <c r="S265" i="2"/>
  <c r="U265" i="2" s="1"/>
  <c r="Q265" i="2"/>
  <c r="AF264" i="2"/>
  <c r="AM264" i="2" s="1"/>
  <c r="AE264" i="2"/>
  <c r="Z264" i="2"/>
  <c r="Y264" i="2"/>
  <c r="X264" i="2"/>
  <c r="S264" i="2"/>
  <c r="Q264" i="2"/>
  <c r="U264" i="2" s="1"/>
  <c r="AF263" i="2"/>
  <c r="AH263" i="2" s="1"/>
  <c r="AE263" i="2"/>
  <c r="Z263" i="2"/>
  <c r="Y263" i="2"/>
  <c r="X263" i="2"/>
  <c r="U263" i="2"/>
  <c r="S263" i="2"/>
  <c r="Q263" i="2"/>
  <c r="AM262" i="2"/>
  <c r="AE262" i="2"/>
  <c r="AF262" i="2" s="1"/>
  <c r="Z262" i="2"/>
  <c r="Y262" i="2"/>
  <c r="X262" i="2"/>
  <c r="S262" i="2"/>
  <c r="Q262" i="2"/>
  <c r="AH261" i="2"/>
  <c r="AF261" i="2"/>
  <c r="AE261" i="2"/>
  <c r="Z261" i="2"/>
  <c r="Y261" i="2"/>
  <c r="X261" i="2"/>
  <c r="S261" i="2"/>
  <c r="U261" i="2" s="1"/>
  <c r="Q261" i="2"/>
  <c r="AE260" i="2"/>
  <c r="AF260" i="2" s="1"/>
  <c r="Z260" i="2"/>
  <c r="Y260" i="2"/>
  <c r="X260" i="2"/>
  <c r="S260" i="2"/>
  <c r="Q260" i="2"/>
  <c r="AE259" i="2"/>
  <c r="AF259" i="2" s="1"/>
  <c r="Z259" i="2"/>
  <c r="Y259" i="2"/>
  <c r="X259" i="2"/>
  <c r="U259" i="2"/>
  <c r="T259" i="2" s="1"/>
  <c r="S259" i="2"/>
  <c r="Q259" i="2"/>
  <c r="AG258" i="2"/>
  <c r="AF258" i="2"/>
  <c r="AH258" i="2" s="1"/>
  <c r="AE258" i="2"/>
  <c r="Z258" i="2"/>
  <c r="Y258" i="2"/>
  <c r="X258" i="2"/>
  <c r="S258" i="2"/>
  <c r="Q258" i="2"/>
  <c r="AF257" i="2"/>
  <c r="AE257" i="2"/>
  <c r="Z257" i="2"/>
  <c r="Y257" i="2"/>
  <c r="X257" i="2"/>
  <c r="S257" i="2"/>
  <c r="U257" i="2" s="1"/>
  <c r="Q257" i="2"/>
  <c r="AH256" i="2"/>
  <c r="AG256" i="2"/>
  <c r="AF256" i="2"/>
  <c r="AM256" i="2" s="1"/>
  <c r="AE256" i="2"/>
  <c r="Z256" i="2"/>
  <c r="Y256" i="2"/>
  <c r="X256" i="2"/>
  <c r="U256" i="2"/>
  <c r="S256" i="2"/>
  <c r="Q256" i="2"/>
  <c r="AE255" i="2"/>
  <c r="AF255" i="2" s="1"/>
  <c r="Z255" i="2"/>
  <c r="Y255" i="2"/>
  <c r="X255" i="2"/>
  <c r="S255" i="2"/>
  <c r="Q255" i="2"/>
  <c r="AE254" i="2"/>
  <c r="AF254" i="2" s="1"/>
  <c r="AM254" i="2" s="1"/>
  <c r="Z254" i="2"/>
  <c r="Y254" i="2"/>
  <c r="X254" i="2"/>
  <c r="U254" i="2"/>
  <c r="S254" i="2"/>
  <c r="Q254" i="2"/>
  <c r="AE253" i="2"/>
  <c r="AF253" i="2" s="1"/>
  <c r="AM253" i="2" s="1"/>
  <c r="Z253" i="2"/>
  <c r="Y253" i="2"/>
  <c r="X253" i="2"/>
  <c r="S253" i="2"/>
  <c r="Q253" i="2"/>
  <c r="AE252" i="2"/>
  <c r="AF252" i="2" s="1"/>
  <c r="AM252" i="2" s="1"/>
  <c r="Z252" i="2"/>
  <c r="Y252" i="2"/>
  <c r="X252" i="2"/>
  <c r="V252" i="2"/>
  <c r="U252" i="2"/>
  <c r="T252" i="2" s="1"/>
  <c r="S252" i="2"/>
  <c r="Q252" i="2"/>
  <c r="AE251" i="2"/>
  <c r="AF251" i="2" s="1"/>
  <c r="Z251" i="2"/>
  <c r="Y251" i="2"/>
  <c r="X251" i="2"/>
  <c r="S251" i="2"/>
  <c r="Q251" i="2"/>
  <c r="AE250" i="2"/>
  <c r="AF250" i="2" s="1"/>
  <c r="Z250" i="2"/>
  <c r="Y250" i="2"/>
  <c r="X250" i="2"/>
  <c r="S250" i="2"/>
  <c r="Q250" i="2"/>
  <c r="U250" i="2" s="1"/>
  <c r="AH249" i="2"/>
  <c r="AF249" i="2"/>
  <c r="AG249" i="2" s="1"/>
  <c r="AE249" i="2"/>
  <c r="Z249" i="2"/>
  <c r="Y249" i="2"/>
  <c r="X249" i="2"/>
  <c r="S249" i="2"/>
  <c r="Q249" i="2"/>
  <c r="U249" i="2" s="1"/>
  <c r="AE248" i="2"/>
  <c r="AF248" i="2" s="1"/>
  <c r="Z248" i="2"/>
  <c r="Y248" i="2"/>
  <c r="X248" i="2"/>
  <c r="S248" i="2"/>
  <c r="Q248" i="2"/>
  <c r="AM247" i="2"/>
  <c r="AF247" i="2"/>
  <c r="AH247" i="2" s="1"/>
  <c r="AE247" i="2"/>
  <c r="Z247" i="2"/>
  <c r="Y247" i="2"/>
  <c r="X247" i="2"/>
  <c r="S247" i="2"/>
  <c r="U247" i="2" s="1"/>
  <c r="Q247" i="2"/>
  <c r="AG246" i="2"/>
  <c r="AF246" i="2"/>
  <c r="AM246" i="2" s="1"/>
  <c r="AE246" i="2"/>
  <c r="Z246" i="2"/>
  <c r="Y246" i="2"/>
  <c r="X246" i="2"/>
  <c r="S246" i="2"/>
  <c r="Q246" i="2"/>
  <c r="AF245" i="2"/>
  <c r="AM245" i="2" s="1"/>
  <c r="AE245" i="2"/>
  <c r="Z245" i="2"/>
  <c r="Y245" i="2"/>
  <c r="X245" i="2"/>
  <c r="S245" i="2"/>
  <c r="Q245" i="2"/>
  <c r="AH244" i="2"/>
  <c r="AF244" i="2"/>
  <c r="AG244" i="2" s="1"/>
  <c r="AE244" i="2"/>
  <c r="Z244" i="2"/>
  <c r="Y244" i="2"/>
  <c r="X244" i="2"/>
  <c r="S244" i="2"/>
  <c r="Q244" i="2"/>
  <c r="U244" i="2" s="1"/>
  <c r="AE243" i="2"/>
  <c r="AF243" i="2" s="1"/>
  <c r="Z243" i="2"/>
  <c r="Y243" i="2"/>
  <c r="X243" i="2"/>
  <c r="S243" i="2"/>
  <c r="Q243" i="2"/>
  <c r="AE242" i="2"/>
  <c r="AF242" i="2" s="1"/>
  <c r="Z242" i="2"/>
  <c r="Y242" i="2"/>
  <c r="X242" i="2"/>
  <c r="S242" i="2"/>
  <c r="Q242" i="2"/>
  <c r="U242" i="2" s="1"/>
  <c r="AF241" i="2"/>
  <c r="AE241" i="2"/>
  <c r="Z241" i="2"/>
  <c r="Y241" i="2"/>
  <c r="X241" i="2"/>
  <c r="S241" i="2"/>
  <c r="U241" i="2" s="1"/>
  <c r="Q241" i="2"/>
  <c r="AE240" i="2"/>
  <c r="AF240" i="2" s="1"/>
  <c r="Z240" i="2"/>
  <c r="Y240" i="2"/>
  <c r="X240" i="2"/>
  <c r="S240" i="2"/>
  <c r="Q240" i="2"/>
  <c r="AE239" i="2"/>
  <c r="AF239" i="2" s="1"/>
  <c r="Z239" i="2"/>
  <c r="Y239" i="2"/>
  <c r="X239" i="2"/>
  <c r="S239" i="2"/>
  <c r="U239" i="2" s="1"/>
  <c r="Q239" i="2"/>
  <c r="AE238" i="2"/>
  <c r="AF238" i="2" s="1"/>
  <c r="Z238" i="2"/>
  <c r="Y238" i="2"/>
  <c r="X238" i="2"/>
  <c r="S238" i="2"/>
  <c r="Q238" i="2"/>
  <c r="U238" i="2" s="1"/>
  <c r="V238" i="2" s="1"/>
  <c r="AE237" i="2"/>
  <c r="AF237" i="2" s="1"/>
  <c r="AM237" i="2" s="1"/>
  <c r="Z237" i="2"/>
  <c r="Y237" i="2"/>
  <c r="X237" i="2"/>
  <c r="S237" i="2"/>
  <c r="U237" i="2" s="1"/>
  <c r="Q237" i="2"/>
  <c r="AF236" i="2"/>
  <c r="AE236" i="2"/>
  <c r="Z236" i="2"/>
  <c r="Y236" i="2"/>
  <c r="X236" i="2"/>
  <c r="S236" i="2"/>
  <c r="Q236" i="2"/>
  <c r="U236" i="2" s="1"/>
  <c r="AF235" i="2"/>
  <c r="AE235" i="2"/>
  <c r="Z235" i="2"/>
  <c r="Y235" i="2"/>
  <c r="X235" i="2"/>
  <c r="S235" i="2"/>
  <c r="Q235" i="2"/>
  <c r="AE234" i="2"/>
  <c r="AF234" i="2" s="1"/>
  <c r="Z234" i="2"/>
  <c r="Y234" i="2"/>
  <c r="X234" i="2"/>
  <c r="S234" i="2"/>
  <c r="Q234" i="2"/>
  <c r="AF233" i="2"/>
  <c r="AE233" i="2"/>
  <c r="Z233" i="2"/>
  <c r="Y233" i="2"/>
  <c r="X233" i="2"/>
  <c r="S233" i="2"/>
  <c r="U233" i="2" s="1"/>
  <c r="Q233" i="2"/>
  <c r="AE232" i="2"/>
  <c r="AF232" i="2" s="1"/>
  <c r="Z232" i="2"/>
  <c r="Y232" i="2"/>
  <c r="X232" i="2"/>
  <c r="S232" i="2"/>
  <c r="Q232" i="2"/>
  <c r="AE231" i="2"/>
  <c r="AF231" i="2" s="1"/>
  <c r="Z231" i="2"/>
  <c r="Y231" i="2"/>
  <c r="X231" i="2"/>
  <c r="S231" i="2"/>
  <c r="U231" i="2" s="1"/>
  <c r="Q231" i="2"/>
  <c r="AE230" i="2"/>
  <c r="AF230" i="2" s="1"/>
  <c r="Z230" i="2"/>
  <c r="Y230" i="2"/>
  <c r="X230" i="2"/>
  <c r="S230" i="2"/>
  <c r="Q230" i="2"/>
  <c r="U230" i="2" s="1"/>
  <c r="V230" i="2" s="1"/>
  <c r="AF229" i="2"/>
  <c r="AE229" i="2"/>
  <c r="Z229" i="2"/>
  <c r="Y229" i="2"/>
  <c r="X229" i="2"/>
  <c r="S229" i="2"/>
  <c r="Q229" i="2"/>
  <c r="AH228" i="2"/>
  <c r="AF228" i="2"/>
  <c r="AG228" i="2" s="1"/>
  <c r="AE228" i="2"/>
  <c r="Z228" i="2"/>
  <c r="Y228" i="2"/>
  <c r="X228" i="2"/>
  <c r="S228" i="2"/>
  <c r="Q228" i="2"/>
  <c r="AF227" i="2"/>
  <c r="AE227" i="2"/>
  <c r="Z227" i="2"/>
  <c r="Y227" i="2"/>
  <c r="X227" i="2"/>
  <c r="S227" i="2"/>
  <c r="Q227" i="2"/>
  <c r="AE226" i="2"/>
  <c r="AF226" i="2" s="1"/>
  <c r="Z226" i="2"/>
  <c r="Y226" i="2"/>
  <c r="X226" i="2"/>
  <c r="S226" i="2"/>
  <c r="U226" i="2" s="1"/>
  <c r="V226" i="2" s="1"/>
  <c r="Q226" i="2"/>
  <c r="AE225" i="2"/>
  <c r="AF225" i="2" s="1"/>
  <c r="Z225" i="2"/>
  <c r="Y225" i="2"/>
  <c r="X225" i="2"/>
  <c r="U225" i="2"/>
  <c r="S225" i="2"/>
  <c r="Q225" i="2"/>
  <c r="AE224" i="2"/>
  <c r="AF224" i="2" s="1"/>
  <c r="Z224" i="2"/>
  <c r="Y224" i="2"/>
  <c r="X224" i="2"/>
  <c r="S224" i="2"/>
  <c r="Q224" i="2"/>
  <c r="U224" i="2" s="1"/>
  <c r="AF223" i="2"/>
  <c r="AH223" i="2" s="1"/>
  <c r="AE223" i="2"/>
  <c r="Z223" i="2"/>
  <c r="Y223" i="2"/>
  <c r="X223" i="2"/>
  <c r="S223" i="2"/>
  <c r="Q223" i="2"/>
  <c r="AF222" i="2"/>
  <c r="AM222" i="2" s="1"/>
  <c r="AE222" i="2"/>
  <c r="Z222" i="2"/>
  <c r="Y222" i="2"/>
  <c r="X222" i="2"/>
  <c r="S222" i="2"/>
  <c r="Q222" i="2"/>
  <c r="U222" i="2" s="1"/>
  <c r="V222" i="2" s="1"/>
  <c r="AF221" i="2"/>
  <c r="AH221" i="2" s="1"/>
  <c r="AE221" i="2"/>
  <c r="Z221" i="2"/>
  <c r="Y221" i="2"/>
  <c r="X221" i="2"/>
  <c r="S221" i="2"/>
  <c r="Q221" i="2"/>
  <c r="AE220" i="2"/>
  <c r="AF220" i="2" s="1"/>
  <c r="Z220" i="2"/>
  <c r="Y220" i="2"/>
  <c r="X220" i="2"/>
  <c r="S220" i="2"/>
  <c r="U220" i="2" s="1"/>
  <c r="Q220" i="2"/>
  <c r="AF219" i="2"/>
  <c r="AE219" i="2"/>
  <c r="Z219" i="2"/>
  <c r="Y219" i="2"/>
  <c r="X219" i="2"/>
  <c r="S219" i="2"/>
  <c r="Q219" i="2"/>
  <c r="AE218" i="2"/>
  <c r="AF218" i="2" s="1"/>
  <c r="Z218" i="2"/>
  <c r="Y218" i="2"/>
  <c r="X218" i="2"/>
  <c r="S218" i="2"/>
  <c r="U218" i="2" s="1"/>
  <c r="V218" i="2" s="1"/>
  <c r="Q218" i="2"/>
  <c r="AE217" i="2"/>
  <c r="AF217" i="2" s="1"/>
  <c r="Z217" i="2"/>
  <c r="Y217" i="2"/>
  <c r="X217" i="2"/>
  <c r="U217" i="2"/>
  <c r="S217" i="2"/>
  <c r="Q217" i="2"/>
  <c r="AE216" i="2"/>
  <c r="AF216" i="2" s="1"/>
  <c r="Z216" i="2"/>
  <c r="Y216" i="2"/>
  <c r="X216" i="2"/>
  <c r="S216" i="2"/>
  <c r="Q216" i="2"/>
  <c r="AF215" i="2"/>
  <c r="AH215" i="2" s="1"/>
  <c r="AE215" i="2"/>
  <c r="Z215" i="2"/>
  <c r="Y215" i="2"/>
  <c r="X215" i="2"/>
  <c r="S215" i="2"/>
  <c r="U215" i="2" s="1"/>
  <c r="Q215" i="2"/>
  <c r="AF214" i="2"/>
  <c r="AM214" i="2" s="1"/>
  <c r="AE214" i="2"/>
  <c r="Z214" i="2"/>
  <c r="Y214" i="2"/>
  <c r="X214" i="2"/>
  <c r="S214" i="2"/>
  <c r="Q214" i="2"/>
  <c r="AF213" i="2"/>
  <c r="AH213" i="2" s="1"/>
  <c r="AE213" i="2"/>
  <c r="Z213" i="2"/>
  <c r="Y213" i="2"/>
  <c r="X213" i="2"/>
  <c r="S213" i="2"/>
  <c r="U213" i="2" s="1"/>
  <c r="Q213" i="2"/>
  <c r="AE212" i="2"/>
  <c r="AF212" i="2" s="1"/>
  <c r="Z212" i="2"/>
  <c r="Y212" i="2"/>
  <c r="X212" i="2"/>
  <c r="S212" i="2"/>
  <c r="U212" i="2" s="1"/>
  <c r="Q212" i="2"/>
  <c r="AF211" i="2"/>
  <c r="AE211" i="2"/>
  <c r="Z211" i="2"/>
  <c r="Y211" i="2"/>
  <c r="X211" i="2"/>
  <c r="S211" i="2"/>
  <c r="Q211" i="2"/>
  <c r="AE210" i="2"/>
  <c r="AF210" i="2" s="1"/>
  <c r="Z210" i="2"/>
  <c r="Y210" i="2"/>
  <c r="X210" i="2"/>
  <c r="U210" i="2"/>
  <c r="V210" i="2" s="1"/>
  <c r="S210" i="2"/>
  <c r="Q210" i="2"/>
  <c r="AE209" i="2"/>
  <c r="AF209" i="2" s="1"/>
  <c r="Z209" i="2"/>
  <c r="Y209" i="2"/>
  <c r="X209" i="2"/>
  <c r="U209" i="2"/>
  <c r="S209" i="2"/>
  <c r="Q209" i="2"/>
  <c r="AE208" i="2"/>
  <c r="AF208" i="2" s="1"/>
  <c r="Z208" i="2"/>
  <c r="Y208" i="2"/>
  <c r="X208" i="2"/>
  <c r="S208" i="2"/>
  <c r="Q208" i="2"/>
  <c r="U208" i="2" s="1"/>
  <c r="AE207" i="2"/>
  <c r="AF207" i="2" s="1"/>
  <c r="Z207" i="2"/>
  <c r="Y207" i="2"/>
  <c r="X207" i="2"/>
  <c r="S207" i="2"/>
  <c r="U207" i="2" s="1"/>
  <c r="Q207" i="2"/>
  <c r="AE206" i="2"/>
  <c r="AF206" i="2" s="1"/>
  <c r="Z206" i="2"/>
  <c r="Y206" i="2"/>
  <c r="X206" i="2"/>
  <c r="S206" i="2"/>
  <c r="Q206" i="2"/>
  <c r="AE205" i="2"/>
  <c r="AF205" i="2" s="1"/>
  <c r="Z205" i="2"/>
  <c r="Y205" i="2"/>
  <c r="X205" i="2"/>
  <c r="S205" i="2"/>
  <c r="U205" i="2" s="1"/>
  <c r="Q205" i="2"/>
  <c r="AE204" i="2"/>
  <c r="AF204" i="2" s="1"/>
  <c r="Z204" i="2"/>
  <c r="Y204" i="2"/>
  <c r="X204" i="2"/>
  <c r="V204" i="2"/>
  <c r="U204" i="2"/>
  <c r="T204" i="2" s="1"/>
  <c r="S204" i="2"/>
  <c r="Q204" i="2"/>
  <c r="AE203" i="2"/>
  <c r="AF203" i="2" s="1"/>
  <c r="Z203" i="2"/>
  <c r="Y203" i="2"/>
  <c r="X203" i="2"/>
  <c r="S203" i="2"/>
  <c r="Q203" i="2"/>
  <c r="AE202" i="2"/>
  <c r="AF202" i="2" s="1"/>
  <c r="Z202" i="2"/>
  <c r="Y202" i="2"/>
  <c r="X202" i="2"/>
  <c r="U202" i="2"/>
  <c r="V202" i="2" s="1"/>
  <c r="S202" i="2"/>
  <c r="Q202" i="2"/>
  <c r="AE201" i="2"/>
  <c r="AF201" i="2" s="1"/>
  <c r="AH201" i="2" s="1"/>
  <c r="Z201" i="2"/>
  <c r="Y201" i="2"/>
  <c r="X201" i="2"/>
  <c r="S201" i="2"/>
  <c r="Q201" i="2"/>
  <c r="AE200" i="2"/>
  <c r="AF200" i="2" s="1"/>
  <c r="Z200" i="2"/>
  <c r="Y200" i="2"/>
  <c r="X200" i="2"/>
  <c r="S200" i="2"/>
  <c r="Q200" i="2"/>
  <c r="AM199" i="2"/>
  <c r="AG199" i="2"/>
  <c r="AF199" i="2"/>
  <c r="AH199" i="2" s="1"/>
  <c r="AE199" i="2"/>
  <c r="Z199" i="2"/>
  <c r="Y199" i="2"/>
  <c r="X199" i="2"/>
  <c r="S199" i="2"/>
  <c r="Q199" i="2"/>
  <c r="AG198" i="2"/>
  <c r="AF198" i="2"/>
  <c r="AM198" i="2" s="1"/>
  <c r="AE198" i="2"/>
  <c r="Z198" i="2"/>
  <c r="Y198" i="2"/>
  <c r="X198" i="2"/>
  <c r="S198" i="2"/>
  <c r="Q198" i="2"/>
  <c r="U198" i="2" s="1"/>
  <c r="V198" i="2" s="1"/>
  <c r="AM197" i="2"/>
  <c r="AF197" i="2"/>
  <c r="AH197" i="2" s="1"/>
  <c r="AE197" i="2"/>
  <c r="Z197" i="2"/>
  <c r="Y197" i="2"/>
  <c r="X197" i="2"/>
  <c r="S197" i="2"/>
  <c r="Q197" i="2"/>
  <c r="AE196" i="2"/>
  <c r="AF196" i="2" s="1"/>
  <c r="Z196" i="2"/>
  <c r="Y196" i="2"/>
  <c r="X196" i="2"/>
  <c r="V196" i="2"/>
  <c r="U196" i="2"/>
  <c r="T196" i="2" s="1"/>
  <c r="S196" i="2"/>
  <c r="Q196" i="2"/>
  <c r="AF195" i="2"/>
  <c r="AE195" i="2"/>
  <c r="Z195" i="2"/>
  <c r="Y195" i="2"/>
  <c r="X195" i="2"/>
  <c r="S195" i="2"/>
  <c r="Q195" i="2"/>
  <c r="AE194" i="2"/>
  <c r="AF194" i="2" s="1"/>
  <c r="Z194" i="2"/>
  <c r="Y194" i="2"/>
  <c r="X194" i="2"/>
  <c r="S194" i="2"/>
  <c r="Q194" i="2"/>
  <c r="U194" i="2" s="1"/>
  <c r="V194" i="2" s="1"/>
  <c r="AE193" i="2"/>
  <c r="AF193" i="2" s="1"/>
  <c r="AH193" i="2" s="1"/>
  <c r="Z193" i="2"/>
  <c r="Y193" i="2"/>
  <c r="X193" i="2"/>
  <c r="S193" i="2"/>
  <c r="Q193" i="2"/>
  <c r="U193" i="2" s="1"/>
  <c r="AE192" i="2"/>
  <c r="AF192" i="2" s="1"/>
  <c r="Z192" i="2"/>
  <c r="Y192" i="2"/>
  <c r="X192" i="2"/>
  <c r="S192" i="2"/>
  <c r="Q192" i="2"/>
  <c r="AE191" i="2"/>
  <c r="AF191" i="2" s="1"/>
  <c r="Z191" i="2"/>
  <c r="Y191" i="2"/>
  <c r="X191" i="2"/>
  <c r="S191" i="2"/>
  <c r="U191" i="2" s="1"/>
  <c r="Q191" i="2"/>
  <c r="AE190" i="2"/>
  <c r="AF190" i="2" s="1"/>
  <c r="Z190" i="2"/>
  <c r="Y190" i="2"/>
  <c r="X190" i="2"/>
  <c r="S190" i="2"/>
  <c r="Q190" i="2"/>
  <c r="U190" i="2" s="1"/>
  <c r="V190" i="2" s="1"/>
  <c r="AF189" i="2"/>
  <c r="AH189" i="2" s="1"/>
  <c r="AE189" i="2"/>
  <c r="Z189" i="2"/>
  <c r="Y189" i="2"/>
  <c r="X189" i="2"/>
  <c r="S189" i="2"/>
  <c r="Q189" i="2"/>
  <c r="AE188" i="2"/>
  <c r="AF188" i="2" s="1"/>
  <c r="Z188" i="2"/>
  <c r="Y188" i="2"/>
  <c r="X188" i="2"/>
  <c r="S188" i="2"/>
  <c r="U188" i="2" s="1"/>
  <c r="Q188" i="2"/>
  <c r="AF187" i="2"/>
  <c r="AE187" i="2"/>
  <c r="Z187" i="2"/>
  <c r="Y187" i="2"/>
  <c r="X187" i="2"/>
  <c r="S187" i="2"/>
  <c r="Q187" i="2"/>
  <c r="AH186" i="2"/>
  <c r="AF186" i="2"/>
  <c r="AG186" i="2" s="1"/>
  <c r="AE186" i="2"/>
  <c r="Z186" i="2"/>
  <c r="Y186" i="2"/>
  <c r="X186" i="2"/>
  <c r="S186" i="2"/>
  <c r="Q186" i="2"/>
  <c r="U186" i="2" s="1"/>
  <c r="V186" i="2" s="1"/>
  <c r="AE185" i="2"/>
  <c r="AF185" i="2" s="1"/>
  <c r="AH185" i="2" s="1"/>
  <c r="Z185" i="2"/>
  <c r="Y185" i="2"/>
  <c r="X185" i="2"/>
  <c r="S185" i="2"/>
  <c r="U185" i="2" s="1"/>
  <c r="Q185" i="2"/>
  <c r="AE184" i="2"/>
  <c r="AF184" i="2" s="1"/>
  <c r="Z184" i="2"/>
  <c r="Y184" i="2"/>
  <c r="X184" i="2"/>
  <c r="S184" i="2"/>
  <c r="Q184" i="2"/>
  <c r="AG183" i="2"/>
  <c r="AF183" i="2"/>
  <c r="AM183" i="2" s="1"/>
  <c r="AE183" i="2"/>
  <c r="Z183" i="2"/>
  <c r="Y183" i="2"/>
  <c r="X183" i="2"/>
  <c r="S183" i="2"/>
  <c r="U183" i="2" s="1"/>
  <c r="Q183" i="2"/>
  <c r="AG182" i="2"/>
  <c r="AF182" i="2"/>
  <c r="AM182" i="2" s="1"/>
  <c r="AE182" i="2"/>
  <c r="Z182" i="2"/>
  <c r="Y182" i="2"/>
  <c r="X182" i="2"/>
  <c r="S182" i="2"/>
  <c r="Q182" i="2"/>
  <c r="AM181" i="2"/>
  <c r="AF181" i="2"/>
  <c r="AH181" i="2" s="1"/>
  <c r="AE181" i="2"/>
  <c r="Z181" i="2"/>
  <c r="Y181" i="2"/>
  <c r="X181" i="2"/>
  <c r="S181" i="2"/>
  <c r="U181" i="2" s="1"/>
  <c r="Q181" i="2"/>
  <c r="AM180" i="2"/>
  <c r="AH180" i="2"/>
  <c r="AF180" i="2"/>
  <c r="AG180" i="2" s="1"/>
  <c r="AE180" i="2"/>
  <c r="Z180" i="2"/>
  <c r="Y180" i="2"/>
  <c r="X180" i="2"/>
  <c r="U180" i="2"/>
  <c r="S180" i="2"/>
  <c r="Q180" i="2"/>
  <c r="AE179" i="2"/>
  <c r="AF179" i="2" s="1"/>
  <c r="Z179" i="2"/>
  <c r="Y179" i="2"/>
  <c r="X179" i="2"/>
  <c r="S179" i="2"/>
  <c r="Q179" i="2"/>
  <c r="AF178" i="2"/>
  <c r="AG178" i="2" s="1"/>
  <c r="AE178" i="2"/>
  <c r="Z178" i="2"/>
  <c r="Y178" i="2"/>
  <c r="X178" i="2"/>
  <c r="U178" i="2"/>
  <c r="V178" i="2" s="1"/>
  <c r="S178" i="2"/>
  <c r="Q178" i="2"/>
  <c r="AE177" i="2"/>
  <c r="AF177" i="2" s="1"/>
  <c r="Z177" i="2"/>
  <c r="Y177" i="2"/>
  <c r="X177" i="2"/>
  <c r="U177" i="2"/>
  <c r="S177" i="2"/>
  <c r="Q177" i="2"/>
  <c r="AE176" i="2"/>
  <c r="AF176" i="2" s="1"/>
  <c r="Z176" i="2"/>
  <c r="Y176" i="2"/>
  <c r="X176" i="2"/>
  <c r="S176" i="2"/>
  <c r="Q176" i="2"/>
  <c r="U176" i="2" s="1"/>
  <c r="AM175" i="2"/>
  <c r="AF175" i="2"/>
  <c r="AH175" i="2" s="1"/>
  <c r="AE175" i="2"/>
  <c r="Z175" i="2"/>
  <c r="Y175" i="2"/>
  <c r="X175" i="2"/>
  <c r="S175" i="2"/>
  <c r="Q175" i="2"/>
  <c r="U175" i="2" s="1"/>
  <c r="AE174" i="2"/>
  <c r="AF174" i="2" s="1"/>
  <c r="Z174" i="2"/>
  <c r="Y174" i="2"/>
  <c r="X174" i="2"/>
  <c r="S174" i="2"/>
  <c r="Q174" i="2"/>
  <c r="AF173" i="2"/>
  <c r="AE173" i="2"/>
  <c r="Z173" i="2"/>
  <c r="Y173" i="2"/>
  <c r="X173" i="2"/>
  <c r="S173" i="2"/>
  <c r="Q173" i="2"/>
  <c r="AH172" i="2"/>
  <c r="AF172" i="2"/>
  <c r="AG172" i="2" s="1"/>
  <c r="AE172" i="2"/>
  <c r="Z172" i="2"/>
  <c r="Y172" i="2"/>
  <c r="X172" i="2"/>
  <c r="S172" i="2"/>
  <c r="Q172" i="2"/>
  <c r="AF171" i="2"/>
  <c r="AE171" i="2"/>
  <c r="Z171" i="2"/>
  <c r="Y171" i="2"/>
  <c r="X171" i="2"/>
  <c r="S171" i="2"/>
  <c r="Q171" i="2"/>
  <c r="AE170" i="2"/>
  <c r="AF170" i="2" s="1"/>
  <c r="Z170" i="2"/>
  <c r="Y170" i="2"/>
  <c r="X170" i="2"/>
  <c r="U170" i="2"/>
  <c r="V170" i="2" s="1"/>
  <c r="S170" i="2"/>
  <c r="Q170" i="2"/>
  <c r="AE169" i="2"/>
  <c r="AF169" i="2" s="1"/>
  <c r="Z169" i="2"/>
  <c r="Y169" i="2"/>
  <c r="X169" i="2"/>
  <c r="S169" i="2"/>
  <c r="Q169" i="2"/>
  <c r="U169" i="2" s="1"/>
  <c r="AE168" i="2"/>
  <c r="AF168" i="2" s="1"/>
  <c r="Z168" i="2"/>
  <c r="Y168" i="2"/>
  <c r="X168" i="2"/>
  <c r="S168" i="2"/>
  <c r="Q168" i="2"/>
  <c r="AE167" i="2"/>
  <c r="AF167" i="2" s="1"/>
  <c r="Z167" i="2"/>
  <c r="Y167" i="2"/>
  <c r="X167" i="2"/>
  <c r="V167" i="2"/>
  <c r="U167" i="2"/>
  <c r="T167" i="2" s="1"/>
  <c r="S167" i="2"/>
  <c r="Q167" i="2"/>
  <c r="AF166" i="2"/>
  <c r="AM166" i="2" s="1"/>
  <c r="AE166" i="2"/>
  <c r="Z166" i="2"/>
  <c r="Y166" i="2"/>
  <c r="X166" i="2"/>
  <c r="S166" i="2"/>
  <c r="Q166" i="2"/>
  <c r="U166" i="2" s="1"/>
  <c r="V166" i="2" s="1"/>
  <c r="AE165" i="2"/>
  <c r="AF165" i="2" s="1"/>
  <c r="Z165" i="2"/>
  <c r="Y165" i="2"/>
  <c r="X165" i="2"/>
  <c r="S165" i="2"/>
  <c r="U165" i="2" s="1"/>
  <c r="Q165" i="2"/>
  <c r="AM164" i="2"/>
  <c r="AE164" i="2"/>
  <c r="AF164" i="2" s="1"/>
  <c r="Z164" i="2"/>
  <c r="Y164" i="2"/>
  <c r="X164" i="2"/>
  <c r="S164" i="2"/>
  <c r="U164" i="2" s="1"/>
  <c r="Q164" i="2"/>
  <c r="AE163" i="2"/>
  <c r="AF163" i="2" s="1"/>
  <c r="Z163" i="2"/>
  <c r="Y163" i="2"/>
  <c r="X163" i="2"/>
  <c r="S163" i="2"/>
  <c r="Q163" i="2"/>
  <c r="AE162" i="2"/>
  <c r="AF162" i="2" s="1"/>
  <c r="Z162" i="2"/>
  <c r="Y162" i="2"/>
  <c r="X162" i="2"/>
  <c r="U162" i="2"/>
  <c r="V162" i="2" s="1"/>
  <c r="S162" i="2"/>
  <c r="Q162" i="2"/>
  <c r="AE161" i="2"/>
  <c r="AF161" i="2" s="1"/>
  <c r="AH161" i="2" s="1"/>
  <c r="Z161" i="2"/>
  <c r="Y161" i="2"/>
  <c r="X161" i="2"/>
  <c r="S161" i="2"/>
  <c r="Q161" i="2"/>
  <c r="AE160" i="2"/>
  <c r="AF160" i="2" s="1"/>
  <c r="Z160" i="2"/>
  <c r="Y160" i="2"/>
  <c r="X160" i="2"/>
  <c r="S160" i="2"/>
  <c r="Q160" i="2"/>
  <c r="AM159" i="2"/>
  <c r="AE159" i="2"/>
  <c r="AF159" i="2" s="1"/>
  <c r="Z159" i="2"/>
  <c r="Y159" i="2"/>
  <c r="X159" i="2"/>
  <c r="V159" i="2"/>
  <c r="S159" i="2"/>
  <c r="Q159" i="2"/>
  <c r="U159" i="2" s="1"/>
  <c r="T159" i="2" s="1"/>
  <c r="AF158" i="2"/>
  <c r="AM158" i="2" s="1"/>
  <c r="AE158" i="2"/>
  <c r="Z158" i="2"/>
  <c r="Y158" i="2"/>
  <c r="X158" i="2"/>
  <c r="S158" i="2"/>
  <c r="Q158" i="2"/>
  <c r="AF157" i="2"/>
  <c r="AE157" i="2"/>
  <c r="Z157" i="2"/>
  <c r="Y157" i="2"/>
  <c r="X157" i="2"/>
  <c r="S157" i="2"/>
  <c r="Q157" i="2"/>
  <c r="U157" i="2" s="1"/>
  <c r="AE156" i="2"/>
  <c r="AF156" i="2" s="1"/>
  <c r="Z156" i="2"/>
  <c r="Y156" i="2"/>
  <c r="X156" i="2"/>
  <c r="V156" i="2"/>
  <c r="U156" i="2"/>
  <c r="T156" i="2" s="1"/>
  <c r="S156" i="2"/>
  <c r="Q156" i="2"/>
  <c r="AF155" i="2"/>
  <c r="AE155" i="2"/>
  <c r="Z155" i="2"/>
  <c r="Y155" i="2"/>
  <c r="X155" i="2"/>
  <c r="S155" i="2"/>
  <c r="Q155" i="2"/>
  <c r="AE154" i="2"/>
  <c r="AF154" i="2" s="1"/>
  <c r="Z154" i="2"/>
  <c r="Y154" i="2"/>
  <c r="X154" i="2"/>
  <c r="S154" i="2"/>
  <c r="Q154" i="2"/>
  <c r="U154" i="2" s="1"/>
  <c r="V154" i="2" s="1"/>
  <c r="AE153" i="2"/>
  <c r="AF153" i="2" s="1"/>
  <c r="Z153" i="2"/>
  <c r="Y153" i="2"/>
  <c r="X153" i="2"/>
  <c r="U153" i="2"/>
  <c r="S153" i="2"/>
  <c r="Q153" i="2"/>
  <c r="AE152" i="2"/>
  <c r="AF152" i="2" s="1"/>
  <c r="Z152" i="2"/>
  <c r="Y152" i="2"/>
  <c r="X152" i="2"/>
  <c r="S152" i="2"/>
  <c r="Q152" i="2"/>
  <c r="AE151" i="2"/>
  <c r="AF151" i="2" s="1"/>
  <c r="Z151" i="2"/>
  <c r="Y151" i="2"/>
  <c r="X151" i="2"/>
  <c r="S151" i="2"/>
  <c r="Q151" i="2"/>
  <c r="U151" i="2" s="1"/>
  <c r="AF150" i="2"/>
  <c r="AE150" i="2"/>
  <c r="Z150" i="2"/>
  <c r="Y150" i="2"/>
  <c r="X150" i="2"/>
  <c r="S150" i="2"/>
  <c r="Q150" i="2"/>
  <c r="U150" i="2" s="1"/>
  <c r="V150" i="2" s="1"/>
  <c r="AH149" i="2"/>
  <c r="AF149" i="2"/>
  <c r="AG149" i="2" s="1"/>
  <c r="AE149" i="2"/>
  <c r="Z149" i="2"/>
  <c r="Y149" i="2"/>
  <c r="X149" i="2"/>
  <c r="S149" i="2"/>
  <c r="Q149" i="2"/>
  <c r="U149" i="2" s="1"/>
  <c r="AF148" i="2"/>
  <c r="AG148" i="2" s="1"/>
  <c r="AE148" i="2"/>
  <c r="Z148" i="2"/>
  <c r="Y148" i="2"/>
  <c r="X148" i="2"/>
  <c r="S148" i="2"/>
  <c r="Q148" i="2"/>
  <c r="U148" i="2" s="1"/>
  <c r="AE147" i="2"/>
  <c r="AF147" i="2" s="1"/>
  <c r="Z147" i="2"/>
  <c r="Y147" i="2"/>
  <c r="X147" i="2"/>
  <c r="S147" i="2"/>
  <c r="Q147" i="2"/>
  <c r="AF146" i="2"/>
  <c r="AG146" i="2" s="1"/>
  <c r="AE146" i="2"/>
  <c r="Z146" i="2"/>
  <c r="Y146" i="2"/>
  <c r="X146" i="2"/>
  <c r="S146" i="2"/>
  <c r="Q146" i="2"/>
  <c r="U146" i="2" s="1"/>
  <c r="V146" i="2" s="1"/>
  <c r="AH145" i="2"/>
  <c r="AE145" i="2"/>
  <c r="AF145" i="2" s="1"/>
  <c r="Z145" i="2"/>
  <c r="Y145" i="2"/>
  <c r="X145" i="2"/>
  <c r="S145" i="2"/>
  <c r="Q145" i="2"/>
  <c r="U145" i="2" s="1"/>
  <c r="AE144" i="2"/>
  <c r="AF144" i="2" s="1"/>
  <c r="Z144" i="2"/>
  <c r="Y144" i="2"/>
  <c r="X144" i="2"/>
  <c r="S144" i="2"/>
  <c r="Q144" i="2"/>
  <c r="U144" i="2" s="1"/>
  <c r="AE143" i="2"/>
  <c r="AF143" i="2" s="1"/>
  <c r="Z143" i="2"/>
  <c r="Y143" i="2"/>
  <c r="X143" i="2"/>
  <c r="S143" i="2"/>
  <c r="Q143" i="2"/>
  <c r="U143" i="2" s="1"/>
  <c r="AE142" i="2"/>
  <c r="AF142" i="2" s="1"/>
  <c r="Z142" i="2"/>
  <c r="Y142" i="2"/>
  <c r="X142" i="2"/>
  <c r="S142" i="2"/>
  <c r="Q142" i="2"/>
  <c r="U142" i="2" s="1"/>
  <c r="V142" i="2" s="1"/>
  <c r="AE141" i="2"/>
  <c r="AF141" i="2" s="1"/>
  <c r="Z141" i="2"/>
  <c r="Y141" i="2"/>
  <c r="X141" i="2"/>
  <c r="V141" i="2"/>
  <c r="U141" i="2"/>
  <c r="T141" i="2" s="1"/>
  <c r="S141" i="2"/>
  <c r="Q141" i="2"/>
  <c r="AM140" i="2"/>
  <c r="AF140" i="2"/>
  <c r="AG140" i="2" s="1"/>
  <c r="AE140" i="2"/>
  <c r="Z140" i="2"/>
  <c r="Y140" i="2"/>
  <c r="X140" i="2"/>
  <c r="U140" i="2"/>
  <c r="T140" i="2" s="1"/>
  <c r="S140" i="2"/>
  <c r="Q140" i="2"/>
  <c r="AE139" i="2"/>
  <c r="AF139" i="2" s="1"/>
  <c r="Z139" i="2"/>
  <c r="Y139" i="2"/>
  <c r="X139" i="2"/>
  <c r="S139" i="2"/>
  <c r="Q139" i="2"/>
  <c r="AF138" i="2"/>
  <c r="AE138" i="2"/>
  <c r="Z138" i="2"/>
  <c r="Y138" i="2"/>
  <c r="X138" i="2"/>
  <c r="S138" i="2"/>
  <c r="U138" i="2" s="1"/>
  <c r="V138" i="2" s="1"/>
  <c r="Q138" i="2"/>
  <c r="AH137" i="2"/>
  <c r="AE137" i="2"/>
  <c r="AF137" i="2" s="1"/>
  <c r="Z137" i="2"/>
  <c r="Y137" i="2"/>
  <c r="X137" i="2"/>
  <c r="S137" i="2"/>
  <c r="U137" i="2" s="1"/>
  <c r="Q137" i="2"/>
  <c r="AE136" i="2"/>
  <c r="AF136" i="2" s="1"/>
  <c r="Z136" i="2"/>
  <c r="Y136" i="2"/>
  <c r="X136" i="2"/>
  <c r="S136" i="2"/>
  <c r="Q136" i="2"/>
  <c r="AG135" i="2"/>
  <c r="AF135" i="2"/>
  <c r="AM135" i="2" s="1"/>
  <c r="AE135" i="2"/>
  <c r="Z135" i="2"/>
  <c r="Y135" i="2"/>
  <c r="X135" i="2"/>
  <c r="S135" i="2"/>
  <c r="Q135" i="2"/>
  <c r="U135" i="2" s="1"/>
  <c r="V135" i="2" s="1"/>
  <c r="AF134" i="2"/>
  <c r="AM134" i="2" s="1"/>
  <c r="AE134" i="2"/>
  <c r="Z134" i="2"/>
  <c r="Y134" i="2"/>
  <c r="X134" i="2"/>
  <c r="S134" i="2"/>
  <c r="Q134" i="2"/>
  <c r="AF133" i="2"/>
  <c r="AG133" i="2" s="1"/>
  <c r="AE133" i="2"/>
  <c r="Z133" i="2"/>
  <c r="Y133" i="2"/>
  <c r="X133" i="2"/>
  <c r="S133" i="2"/>
  <c r="Q133" i="2"/>
  <c r="U133" i="2" s="1"/>
  <c r="AH132" i="2"/>
  <c r="AF132" i="2"/>
  <c r="AG132" i="2" s="1"/>
  <c r="AE132" i="2"/>
  <c r="Z132" i="2"/>
  <c r="Y132" i="2"/>
  <c r="X132" i="2"/>
  <c r="S132" i="2"/>
  <c r="Q132" i="2"/>
  <c r="AE131" i="2"/>
  <c r="AF131" i="2" s="1"/>
  <c r="Z131" i="2"/>
  <c r="Y131" i="2"/>
  <c r="X131" i="2"/>
  <c r="S131" i="2"/>
  <c r="Q131" i="2"/>
  <c r="U131" i="2" s="1"/>
  <c r="AE130" i="2"/>
  <c r="AF130" i="2" s="1"/>
  <c r="Z130" i="2"/>
  <c r="Y130" i="2"/>
  <c r="X130" i="2"/>
  <c r="U130" i="2"/>
  <c r="V130" i="2" s="1"/>
  <c r="S130" i="2"/>
  <c r="Q130" i="2"/>
  <c r="AE129" i="2"/>
  <c r="AF129" i="2" s="1"/>
  <c r="AH129" i="2" s="1"/>
  <c r="Z129" i="2"/>
  <c r="Y129" i="2"/>
  <c r="X129" i="2"/>
  <c r="U129" i="2"/>
  <c r="S129" i="2"/>
  <c r="Q129" i="2"/>
  <c r="AE128" i="2"/>
  <c r="AF128" i="2" s="1"/>
  <c r="Z128" i="2"/>
  <c r="Y128" i="2"/>
  <c r="X128" i="2"/>
  <c r="S128" i="2"/>
  <c r="Q128" i="2"/>
  <c r="U128" i="2" s="1"/>
  <c r="AF127" i="2"/>
  <c r="AM127" i="2" s="1"/>
  <c r="AE127" i="2"/>
  <c r="Z127" i="2"/>
  <c r="Y127" i="2"/>
  <c r="X127" i="2"/>
  <c r="S127" i="2"/>
  <c r="Q127" i="2"/>
  <c r="U127" i="2" s="1"/>
  <c r="AE126" i="2"/>
  <c r="AF126" i="2" s="1"/>
  <c r="Z126" i="2"/>
  <c r="Y126" i="2"/>
  <c r="X126" i="2"/>
  <c r="S126" i="2"/>
  <c r="Q126" i="2"/>
  <c r="AF125" i="2"/>
  <c r="AE125" i="2"/>
  <c r="Z125" i="2"/>
  <c r="Y125" i="2"/>
  <c r="X125" i="2"/>
  <c r="S125" i="2"/>
  <c r="Q125" i="2"/>
  <c r="AH124" i="2"/>
  <c r="AF124" i="2"/>
  <c r="AG124" i="2" s="1"/>
  <c r="AE124" i="2"/>
  <c r="Z124" i="2"/>
  <c r="Y124" i="2"/>
  <c r="X124" i="2"/>
  <c r="S124" i="2"/>
  <c r="Q124" i="2"/>
  <c r="AE123" i="2"/>
  <c r="AF123" i="2" s="1"/>
  <c r="Z123" i="2"/>
  <c r="Y123" i="2"/>
  <c r="X123" i="2"/>
  <c r="S123" i="2"/>
  <c r="Q123" i="2"/>
  <c r="AE122" i="2"/>
  <c r="AF122" i="2" s="1"/>
  <c r="Z122" i="2"/>
  <c r="Y122" i="2"/>
  <c r="X122" i="2"/>
  <c r="U122" i="2"/>
  <c r="V122" i="2" s="1"/>
  <c r="S122" i="2"/>
  <c r="Q122" i="2"/>
  <c r="AE121" i="2"/>
  <c r="AF121" i="2" s="1"/>
  <c r="Z121" i="2"/>
  <c r="Y121" i="2"/>
  <c r="X121" i="2"/>
  <c r="S121" i="2"/>
  <c r="Q121" i="2"/>
  <c r="U121" i="2" s="1"/>
  <c r="AE120" i="2"/>
  <c r="AF120" i="2" s="1"/>
  <c r="Z120" i="2"/>
  <c r="Y120" i="2"/>
  <c r="X120" i="2"/>
  <c r="S120" i="2"/>
  <c r="Q120" i="2"/>
  <c r="AE119" i="2"/>
  <c r="AF119" i="2" s="1"/>
  <c r="Z119" i="2"/>
  <c r="Y119" i="2"/>
  <c r="X119" i="2"/>
  <c r="V119" i="2"/>
  <c r="S119" i="2"/>
  <c r="Q119" i="2"/>
  <c r="U119" i="2" s="1"/>
  <c r="T119" i="2" s="1"/>
  <c r="AG118" i="2"/>
  <c r="AF118" i="2"/>
  <c r="AM118" i="2" s="1"/>
  <c r="AE118" i="2"/>
  <c r="Z118" i="2"/>
  <c r="Y118" i="2"/>
  <c r="X118" i="2"/>
  <c r="S118" i="2"/>
  <c r="Q118" i="2"/>
  <c r="AF117" i="2"/>
  <c r="AE117" i="2"/>
  <c r="Z117" i="2"/>
  <c r="Y117" i="2"/>
  <c r="X117" i="2"/>
  <c r="S117" i="2"/>
  <c r="U117" i="2" s="1"/>
  <c r="Q117" i="2"/>
  <c r="AH116" i="2"/>
  <c r="AF116" i="2"/>
  <c r="AG116" i="2" s="1"/>
  <c r="AE116" i="2"/>
  <c r="Z116" i="2"/>
  <c r="Y116" i="2"/>
  <c r="X116" i="2"/>
  <c r="S116" i="2"/>
  <c r="Q116" i="2"/>
  <c r="AE115" i="2"/>
  <c r="AF115" i="2" s="1"/>
  <c r="Z115" i="2"/>
  <c r="Y115" i="2"/>
  <c r="X115" i="2"/>
  <c r="S115" i="2"/>
  <c r="Q115" i="2"/>
  <c r="AE114" i="2"/>
  <c r="AF114" i="2" s="1"/>
  <c r="Z114" i="2"/>
  <c r="Y114" i="2"/>
  <c r="X114" i="2"/>
  <c r="U114" i="2"/>
  <c r="V114" i="2" s="1"/>
  <c r="S114" i="2"/>
  <c r="Q114" i="2"/>
  <c r="AE113" i="2"/>
  <c r="AF113" i="2" s="1"/>
  <c r="AH113" i="2" s="1"/>
  <c r="Z113" i="2"/>
  <c r="Y113" i="2"/>
  <c r="X113" i="2"/>
  <c r="U113" i="2"/>
  <c r="S113" i="2"/>
  <c r="Q113" i="2"/>
  <c r="AE112" i="2"/>
  <c r="AF112" i="2" s="1"/>
  <c r="Z112" i="2"/>
  <c r="Y112" i="2"/>
  <c r="X112" i="2"/>
  <c r="S112" i="2"/>
  <c r="Q112" i="2"/>
  <c r="U112" i="2" s="1"/>
  <c r="AE111" i="2"/>
  <c r="Z111" i="2"/>
  <c r="U111" i="2"/>
  <c r="V111" i="2" s="1"/>
  <c r="W111" i="2" s="1"/>
  <c r="X111" i="2" s="1"/>
  <c r="S111" i="2"/>
  <c r="Q111" i="2"/>
  <c r="AE110" i="2"/>
  <c r="AF110" i="2" s="1"/>
  <c r="AH110" i="2" s="1"/>
  <c r="Z110" i="2"/>
  <c r="W110" i="2"/>
  <c r="Y110" i="2" s="1"/>
  <c r="S110" i="2"/>
  <c r="Q110" i="2"/>
  <c r="U110" i="2" s="1"/>
  <c r="AE109" i="2"/>
  <c r="Z109" i="2"/>
  <c r="S109" i="2"/>
  <c r="Q109" i="2"/>
  <c r="U109" i="2" s="1"/>
  <c r="V109" i="2" s="1"/>
  <c r="W109" i="2" s="1"/>
  <c r="AE108" i="2"/>
  <c r="Z108" i="2"/>
  <c r="S108" i="2"/>
  <c r="Q108" i="2"/>
  <c r="U108" i="2" s="1"/>
  <c r="AF107" i="2"/>
  <c r="AM107" i="2" s="1"/>
  <c r="AE107" i="2"/>
  <c r="Z107" i="2"/>
  <c r="Y107" i="2"/>
  <c r="X107" i="2"/>
  <c r="S107" i="2"/>
  <c r="Q107" i="2"/>
  <c r="U107" i="2" s="1"/>
  <c r="AG106" i="2"/>
  <c r="AF106" i="2"/>
  <c r="AM106" i="2" s="1"/>
  <c r="AE106" i="2"/>
  <c r="Z106" i="2"/>
  <c r="Y106" i="2"/>
  <c r="X106" i="2"/>
  <c r="S106" i="2"/>
  <c r="Q106" i="2"/>
  <c r="U106" i="2" s="1"/>
  <c r="V106" i="2" s="1"/>
  <c r="AE105" i="2"/>
  <c r="Z105" i="2"/>
  <c r="W105" i="2"/>
  <c r="S105" i="2"/>
  <c r="Q105" i="2"/>
  <c r="AE104" i="2"/>
  <c r="Z104" i="2"/>
  <c r="X104" i="2"/>
  <c r="W104" i="2"/>
  <c r="S104" i="2"/>
  <c r="Q104" i="2"/>
  <c r="U104" i="2" s="1"/>
  <c r="AE103" i="2"/>
  <c r="Z103" i="2"/>
  <c r="S103" i="2"/>
  <c r="Q103" i="2"/>
  <c r="U103" i="2" s="1"/>
  <c r="T103" i="2" s="1"/>
  <c r="AE102" i="2"/>
  <c r="Z102" i="2"/>
  <c r="S102" i="2"/>
  <c r="Q102" i="2"/>
  <c r="AE101" i="2"/>
  <c r="AF101" i="2" s="1"/>
  <c r="AM101" i="2" s="1"/>
  <c r="Z101" i="2"/>
  <c r="Y101" i="2"/>
  <c r="X101" i="2"/>
  <c r="S101" i="2"/>
  <c r="U101" i="2" s="1"/>
  <c r="T101" i="2" s="1"/>
  <c r="Q101" i="2"/>
  <c r="AF100" i="2"/>
  <c r="AM100" i="2" s="1"/>
  <c r="AE100" i="2"/>
  <c r="Z100" i="2"/>
  <c r="Y100" i="2"/>
  <c r="X100" i="2"/>
  <c r="S100" i="2"/>
  <c r="Q100" i="2"/>
  <c r="U100" i="2" s="1"/>
  <c r="AE99" i="2"/>
  <c r="Z99" i="2"/>
  <c r="S99" i="2"/>
  <c r="Q99" i="2"/>
  <c r="AM98" i="2"/>
  <c r="AF98" i="2"/>
  <c r="AE98" i="2"/>
  <c r="Z98" i="2"/>
  <c r="Y98" i="2"/>
  <c r="X98" i="2"/>
  <c r="S98" i="2"/>
  <c r="U98" i="2" s="1"/>
  <c r="T98" i="2" s="1"/>
  <c r="Q98" i="2"/>
  <c r="AE97" i="2"/>
  <c r="Z97" i="2"/>
  <c r="S97" i="2"/>
  <c r="U97" i="2" s="1"/>
  <c r="Q97" i="2"/>
  <c r="AF96" i="2"/>
  <c r="AH96" i="2" s="1"/>
  <c r="AE96" i="2"/>
  <c r="Z96" i="2"/>
  <c r="Y96" i="2"/>
  <c r="X96" i="2"/>
  <c r="S96" i="2"/>
  <c r="Q96" i="2"/>
  <c r="U96" i="2" s="1"/>
  <c r="V96" i="2" s="1"/>
  <c r="AE95" i="2"/>
  <c r="Z95" i="2"/>
  <c r="S95" i="2"/>
  <c r="Q95" i="2"/>
  <c r="AE94" i="2"/>
  <c r="Z94" i="2"/>
  <c r="S94" i="2"/>
  <c r="Q94" i="2"/>
  <c r="AE93" i="2"/>
  <c r="Z93" i="2"/>
  <c r="S93" i="2"/>
  <c r="Q93" i="2"/>
  <c r="AE92" i="2"/>
  <c r="Z92" i="2"/>
  <c r="S92" i="2"/>
  <c r="Q92" i="2"/>
  <c r="AE91" i="2"/>
  <c r="Z91" i="2"/>
  <c r="S91" i="2"/>
  <c r="Q91" i="2"/>
  <c r="AE90" i="2"/>
  <c r="Z90" i="2"/>
  <c r="S90" i="2"/>
  <c r="Q90" i="2"/>
  <c r="U90" i="2" s="1"/>
  <c r="AF89" i="2"/>
  <c r="AE89" i="2"/>
  <c r="Z89" i="2"/>
  <c r="Y89" i="2"/>
  <c r="X89" i="2"/>
  <c r="S89" i="2"/>
  <c r="Q89" i="2"/>
  <c r="AE88" i="2"/>
  <c r="Z88" i="2"/>
  <c r="U88" i="2"/>
  <c r="T88" i="2" s="1"/>
  <c r="S88" i="2"/>
  <c r="Q88" i="2"/>
  <c r="AF87" i="2"/>
  <c r="AE87" i="2"/>
  <c r="Z87" i="2"/>
  <c r="Y87" i="2"/>
  <c r="X87" i="2"/>
  <c r="U87" i="2"/>
  <c r="T87" i="2" s="1"/>
  <c r="S87" i="2"/>
  <c r="Q87" i="2"/>
  <c r="AE86" i="2"/>
  <c r="AF86" i="2" s="1"/>
  <c r="Z86" i="2"/>
  <c r="Y86" i="2"/>
  <c r="X86" i="2"/>
  <c r="U86" i="2"/>
  <c r="V86" i="2" s="1"/>
  <c r="S86" i="2"/>
  <c r="Q86" i="2"/>
  <c r="AE85" i="2"/>
  <c r="AF85" i="2" s="1"/>
  <c r="Z85" i="2"/>
  <c r="Y85" i="2"/>
  <c r="X85" i="2"/>
  <c r="S85" i="2"/>
  <c r="Q85" i="2"/>
  <c r="AE84" i="2"/>
  <c r="AF84" i="2" s="1"/>
  <c r="Z84" i="2"/>
  <c r="Y84" i="2"/>
  <c r="X84" i="2"/>
  <c r="S84" i="2"/>
  <c r="Q84" i="2"/>
  <c r="U84" i="2" s="1"/>
  <c r="AE83" i="2"/>
  <c r="AF83" i="2" s="1"/>
  <c r="Z83" i="2"/>
  <c r="Y83" i="2"/>
  <c r="X83" i="2"/>
  <c r="S83" i="2"/>
  <c r="Q83" i="2"/>
  <c r="U83" i="2" s="1"/>
  <c r="V83" i="2" s="1"/>
  <c r="AF82" i="2"/>
  <c r="AE82" i="2"/>
  <c r="Z82" i="2"/>
  <c r="Y82" i="2"/>
  <c r="X82" i="2"/>
  <c r="S82" i="2"/>
  <c r="Q82" i="2"/>
  <c r="U82" i="2" s="1"/>
  <c r="AM81" i="2"/>
  <c r="AF81" i="2"/>
  <c r="AH81" i="2" s="1"/>
  <c r="AE81" i="2"/>
  <c r="Z81" i="2"/>
  <c r="Y81" i="2"/>
  <c r="X81" i="2"/>
  <c r="S81" i="2"/>
  <c r="Q81" i="2"/>
  <c r="U81" i="2" s="1"/>
  <c r="AE80" i="2"/>
  <c r="AF80" i="2" s="1"/>
  <c r="Z80" i="2"/>
  <c r="Y80" i="2"/>
  <c r="X80" i="2"/>
  <c r="S80" i="2"/>
  <c r="Q80" i="2"/>
  <c r="U80" i="2" s="1"/>
  <c r="AF79" i="2"/>
  <c r="AH79" i="2" s="1"/>
  <c r="AE79" i="2"/>
  <c r="Z79" i="2"/>
  <c r="Y79" i="2"/>
  <c r="X79" i="2"/>
  <c r="S79" i="2"/>
  <c r="Q79" i="2"/>
  <c r="U79" i="2" s="1"/>
  <c r="AE78" i="2"/>
  <c r="AF78" i="2" s="1"/>
  <c r="AM78" i="2" s="1"/>
  <c r="Z78" i="2"/>
  <c r="Y78" i="2"/>
  <c r="X78" i="2"/>
  <c r="S78" i="2"/>
  <c r="Q78" i="2"/>
  <c r="AM77" i="2"/>
  <c r="AF77" i="2"/>
  <c r="AG77" i="2" s="1"/>
  <c r="AE77" i="2"/>
  <c r="Z77" i="2"/>
  <c r="Y77" i="2"/>
  <c r="X77" i="2"/>
  <c r="U77" i="2"/>
  <c r="S77" i="2"/>
  <c r="Q77" i="2"/>
  <c r="AF76" i="2"/>
  <c r="AG76" i="2" s="1"/>
  <c r="AE76" i="2"/>
  <c r="Z76" i="2"/>
  <c r="Y76" i="2"/>
  <c r="X76" i="2"/>
  <c r="S76" i="2"/>
  <c r="U76" i="2" s="1"/>
  <c r="T76" i="2" s="1"/>
  <c r="Q76" i="2"/>
  <c r="AE75" i="2"/>
  <c r="AF75" i="2" s="1"/>
  <c r="Z75" i="2"/>
  <c r="Y75" i="2"/>
  <c r="X75" i="2"/>
  <c r="S75" i="2"/>
  <c r="Q75" i="2"/>
  <c r="AE74" i="2"/>
  <c r="AF74" i="2" s="1"/>
  <c r="Z74" i="2"/>
  <c r="Y74" i="2"/>
  <c r="X74" i="2"/>
  <c r="U74" i="2"/>
  <c r="V74" i="2" s="1"/>
  <c r="S74" i="2"/>
  <c r="Q74" i="2"/>
  <c r="AE73" i="2"/>
  <c r="AF73" i="2" s="1"/>
  <c r="Z73" i="2"/>
  <c r="Y73" i="2"/>
  <c r="X73" i="2"/>
  <c r="S73" i="2"/>
  <c r="Q73" i="2"/>
  <c r="U73" i="2" s="1"/>
  <c r="AE72" i="2"/>
  <c r="AF72" i="2" s="1"/>
  <c r="Z72" i="2"/>
  <c r="Y72" i="2"/>
  <c r="X72" i="2"/>
  <c r="S72" i="2"/>
  <c r="Q72" i="2"/>
  <c r="U72" i="2" s="1"/>
  <c r="AF71" i="2"/>
  <c r="AH71" i="2" s="1"/>
  <c r="AE71" i="2"/>
  <c r="Z71" i="2"/>
  <c r="Y71" i="2"/>
  <c r="X71" i="2"/>
  <c r="S71" i="2"/>
  <c r="Q71" i="2"/>
  <c r="U71" i="2" s="1"/>
  <c r="AE70" i="2"/>
  <c r="AF70" i="2" s="1"/>
  <c r="AM70" i="2" s="1"/>
  <c r="Z70" i="2"/>
  <c r="Y70" i="2"/>
  <c r="X70" i="2"/>
  <c r="S70" i="2"/>
  <c r="Q70" i="2"/>
  <c r="AM69" i="2"/>
  <c r="AE69" i="2"/>
  <c r="AF69" i="2" s="1"/>
  <c r="Z69" i="2"/>
  <c r="Y69" i="2"/>
  <c r="X69" i="2"/>
  <c r="S69" i="2"/>
  <c r="U69" i="2" s="1"/>
  <c r="T69" i="2" s="1"/>
  <c r="Q69" i="2"/>
  <c r="AH68" i="2"/>
  <c r="AF68" i="2"/>
  <c r="AG68" i="2" s="1"/>
  <c r="AE68" i="2"/>
  <c r="Z68" i="2"/>
  <c r="Y68" i="2"/>
  <c r="X68" i="2"/>
  <c r="S68" i="2"/>
  <c r="Q68" i="2"/>
  <c r="U68" i="2" s="1"/>
  <c r="T68" i="2" s="1"/>
  <c r="AE67" i="2"/>
  <c r="AF67" i="2" s="1"/>
  <c r="Z67" i="2"/>
  <c r="Y67" i="2"/>
  <c r="X67" i="2"/>
  <c r="S67" i="2"/>
  <c r="Q67" i="2"/>
  <c r="U67" i="2" s="1"/>
  <c r="AF66" i="2"/>
  <c r="AM66" i="2" s="1"/>
  <c r="AE66" i="2"/>
  <c r="Z66" i="2"/>
  <c r="Y66" i="2"/>
  <c r="X66" i="2"/>
  <c r="S66" i="2"/>
  <c r="U66" i="2" s="1"/>
  <c r="V66" i="2" s="1"/>
  <c r="Q66" i="2"/>
  <c r="AE65" i="2"/>
  <c r="AF65" i="2" s="1"/>
  <c r="Z65" i="2"/>
  <c r="Y65" i="2"/>
  <c r="X65" i="2"/>
  <c r="S65" i="2"/>
  <c r="Q65" i="2"/>
  <c r="AE64" i="2"/>
  <c r="AF64" i="2" s="1"/>
  <c r="Z64" i="2"/>
  <c r="Y64" i="2"/>
  <c r="X64" i="2"/>
  <c r="S64" i="2"/>
  <c r="Q64" i="2"/>
  <c r="U64" i="2" s="1"/>
  <c r="V64" i="2" s="1"/>
  <c r="AE63" i="2"/>
  <c r="AF63" i="2" s="1"/>
  <c r="Z63" i="2"/>
  <c r="Y63" i="2"/>
  <c r="X63" i="2"/>
  <c r="S63" i="2"/>
  <c r="Q63" i="2"/>
  <c r="AE62" i="2"/>
  <c r="AF62" i="2" s="1"/>
  <c r="AM62" i="2" s="1"/>
  <c r="Z62" i="2"/>
  <c r="Y62" i="2"/>
  <c r="X62" i="2"/>
  <c r="S62" i="2"/>
  <c r="Q62" i="2"/>
  <c r="AE61" i="2"/>
  <c r="AF61" i="2" s="1"/>
  <c r="AG61" i="2" s="1"/>
  <c r="Z61" i="2"/>
  <c r="Y61" i="2"/>
  <c r="X61" i="2"/>
  <c r="S61" i="2"/>
  <c r="Q61" i="2"/>
  <c r="U61" i="2" s="1"/>
  <c r="AE60" i="2"/>
  <c r="AF60" i="2" s="1"/>
  <c r="Z60" i="2"/>
  <c r="Y60" i="2"/>
  <c r="X60" i="2"/>
  <c r="U60" i="2"/>
  <c r="T60" i="2" s="1"/>
  <c r="S60" i="2"/>
  <c r="Q60" i="2"/>
  <c r="AE59" i="2"/>
  <c r="AF59" i="2" s="1"/>
  <c r="Z59" i="2"/>
  <c r="Y59" i="2"/>
  <c r="X59" i="2"/>
  <c r="S59" i="2"/>
  <c r="Q59" i="2"/>
  <c r="U59" i="2" s="1"/>
  <c r="AF58" i="2"/>
  <c r="AM58" i="2" s="1"/>
  <c r="AE58" i="2"/>
  <c r="Z58" i="2"/>
  <c r="Y58" i="2"/>
  <c r="X58" i="2"/>
  <c r="S58" i="2"/>
  <c r="Q58" i="2"/>
  <c r="AE57" i="2"/>
  <c r="AF57" i="2" s="1"/>
  <c r="Z57" i="2"/>
  <c r="Y57" i="2"/>
  <c r="X57" i="2"/>
  <c r="S57" i="2"/>
  <c r="Q57" i="2"/>
  <c r="AE56" i="2"/>
  <c r="AF56" i="2" s="1"/>
  <c r="Z56" i="2"/>
  <c r="Y56" i="2"/>
  <c r="X56" i="2"/>
  <c r="U56" i="2"/>
  <c r="V56" i="2" s="1"/>
  <c r="S56" i="2"/>
  <c r="Q56" i="2"/>
  <c r="AE55" i="2"/>
  <c r="AF55" i="2" s="1"/>
  <c r="Z55" i="2"/>
  <c r="Y55" i="2"/>
  <c r="X55" i="2"/>
  <c r="S55" i="2"/>
  <c r="Q55" i="2"/>
  <c r="U55" i="2" s="1"/>
  <c r="AF54" i="2"/>
  <c r="AM54" i="2" s="1"/>
  <c r="AE54" i="2"/>
  <c r="Z54" i="2"/>
  <c r="Y54" i="2"/>
  <c r="X54" i="2"/>
  <c r="S54" i="2"/>
  <c r="Q54" i="2"/>
  <c r="AM53" i="2"/>
  <c r="AG53" i="2"/>
  <c r="AF53" i="2"/>
  <c r="AH53" i="2" s="1"/>
  <c r="AE53" i="2"/>
  <c r="Z53" i="2"/>
  <c r="Y53" i="2"/>
  <c r="X53" i="2"/>
  <c r="S53" i="2"/>
  <c r="Q53" i="2"/>
  <c r="AH52" i="2"/>
  <c r="AF52" i="2"/>
  <c r="AG52" i="2" s="1"/>
  <c r="AE52" i="2"/>
  <c r="Z52" i="2"/>
  <c r="Y52" i="2"/>
  <c r="X52" i="2"/>
  <c r="S52" i="2"/>
  <c r="Q52" i="2"/>
  <c r="U52" i="2" s="1"/>
  <c r="T52" i="2" s="1"/>
  <c r="AE51" i="2"/>
  <c r="AF51" i="2" s="1"/>
  <c r="Z51" i="2"/>
  <c r="Y51" i="2"/>
  <c r="X51" i="2"/>
  <c r="S51" i="2"/>
  <c r="Q51" i="2"/>
  <c r="AF50" i="2"/>
  <c r="AM50" i="2" s="1"/>
  <c r="AE50" i="2"/>
  <c r="Z50" i="2"/>
  <c r="Y50" i="2"/>
  <c r="X50" i="2"/>
  <c r="S50" i="2"/>
  <c r="Q50" i="2"/>
  <c r="U50" i="2" s="1"/>
  <c r="V50" i="2" s="1"/>
  <c r="AE49" i="2"/>
  <c r="AF49" i="2" s="1"/>
  <c r="Z49" i="2"/>
  <c r="Y49" i="2"/>
  <c r="X49" i="2"/>
  <c r="S49" i="2"/>
  <c r="Q49" i="2"/>
  <c r="U49" i="2" s="1"/>
  <c r="AE48" i="2"/>
  <c r="AF48" i="2" s="1"/>
  <c r="Z48" i="2"/>
  <c r="Y48" i="2"/>
  <c r="X48" i="2"/>
  <c r="S48" i="2"/>
  <c r="Q48" i="2"/>
  <c r="AE47" i="2"/>
  <c r="AF47" i="2" s="1"/>
  <c r="Z47" i="2"/>
  <c r="Y47" i="2"/>
  <c r="X47" i="2"/>
  <c r="S47" i="2"/>
  <c r="Q47" i="2"/>
  <c r="AF46" i="2"/>
  <c r="AM46" i="2" s="1"/>
  <c r="AE46" i="2"/>
  <c r="Z46" i="2"/>
  <c r="Y46" i="2"/>
  <c r="X46" i="2"/>
  <c r="S46" i="2"/>
  <c r="Q46" i="2"/>
  <c r="AE45" i="2"/>
  <c r="AF45" i="2" s="1"/>
  <c r="Z45" i="2"/>
  <c r="Y45" i="2"/>
  <c r="X45" i="2"/>
  <c r="S45" i="2"/>
  <c r="U45" i="2" s="1"/>
  <c r="Q45" i="2"/>
  <c r="AE44" i="2"/>
  <c r="AF44" i="2" s="1"/>
  <c r="AG44" i="2" s="1"/>
  <c r="Z44" i="2"/>
  <c r="Y44" i="2"/>
  <c r="X44" i="2"/>
  <c r="S44" i="2"/>
  <c r="Q44" i="2"/>
  <c r="U44" i="2" s="1"/>
  <c r="T44" i="2" s="1"/>
  <c r="AE43" i="2"/>
  <c r="AF43" i="2" s="1"/>
  <c r="Z43" i="2"/>
  <c r="Y43" i="2"/>
  <c r="X43" i="2"/>
  <c r="S43" i="2"/>
  <c r="Q43" i="2"/>
  <c r="AF42" i="2"/>
  <c r="AE42" i="2"/>
  <c r="Z42" i="2"/>
  <c r="Y42" i="2"/>
  <c r="X42" i="2"/>
  <c r="U42" i="2"/>
  <c r="V42" i="2" s="1"/>
  <c r="S42" i="2"/>
  <c r="Q42" i="2"/>
  <c r="AE41" i="2"/>
  <c r="AF41" i="2" s="1"/>
  <c r="Z41" i="2"/>
  <c r="Y41" i="2"/>
  <c r="X41" i="2"/>
  <c r="S41" i="2"/>
  <c r="Q41" i="2"/>
  <c r="U41" i="2" s="1"/>
  <c r="AE40" i="2"/>
  <c r="AF40" i="2" s="1"/>
  <c r="Z40" i="2"/>
  <c r="Y40" i="2"/>
  <c r="X40" i="2"/>
  <c r="S40" i="2"/>
  <c r="Q40" i="2"/>
  <c r="U40" i="2" s="1"/>
  <c r="V40" i="2" s="1"/>
  <c r="AE39" i="2"/>
  <c r="AF39" i="2" s="1"/>
  <c r="Z39" i="2"/>
  <c r="Y39" i="2"/>
  <c r="X39" i="2"/>
  <c r="S39" i="2"/>
  <c r="Q39" i="2"/>
  <c r="U39" i="2" s="1"/>
  <c r="AE38" i="2"/>
  <c r="AF38" i="2" s="1"/>
  <c r="AM38" i="2" s="1"/>
  <c r="Z38" i="2"/>
  <c r="Y38" i="2"/>
  <c r="X38" i="2"/>
  <c r="S38" i="2"/>
  <c r="Q38" i="2"/>
  <c r="AF37" i="2"/>
  <c r="AE37" i="2"/>
  <c r="Z37" i="2"/>
  <c r="Y37" i="2"/>
  <c r="X37" i="2"/>
  <c r="S37" i="2"/>
  <c r="Q37" i="2"/>
  <c r="AE36" i="2"/>
  <c r="AF36" i="2" s="1"/>
  <c r="Z36" i="2"/>
  <c r="Y36" i="2"/>
  <c r="X36" i="2"/>
  <c r="S36" i="2"/>
  <c r="Q36" i="2"/>
  <c r="AE35" i="2"/>
  <c r="AF35" i="2" s="1"/>
  <c r="Z35" i="2"/>
  <c r="Y35" i="2"/>
  <c r="X35" i="2"/>
  <c r="S35" i="2"/>
  <c r="Q35" i="2"/>
  <c r="AH34" i="2"/>
  <c r="AE34" i="2"/>
  <c r="AF34" i="2" s="1"/>
  <c r="AM34" i="2" s="1"/>
  <c r="Z34" i="2"/>
  <c r="Y34" i="2"/>
  <c r="X34" i="2"/>
  <c r="S34" i="2"/>
  <c r="Q34" i="2"/>
  <c r="U34" i="2" s="1"/>
  <c r="V34" i="2" s="1"/>
  <c r="AE33" i="2"/>
  <c r="AF33" i="2" s="1"/>
  <c r="Z33" i="2"/>
  <c r="Y33" i="2"/>
  <c r="X33" i="2"/>
  <c r="S33" i="2"/>
  <c r="Q33" i="2"/>
  <c r="U33" i="2" s="1"/>
  <c r="AF32" i="2"/>
  <c r="AE32" i="2"/>
  <c r="Z32" i="2"/>
  <c r="Y32" i="2"/>
  <c r="X32" i="2"/>
  <c r="S32" i="2"/>
  <c r="Q32" i="2"/>
  <c r="AE31" i="2"/>
  <c r="AF31" i="2" s="1"/>
  <c r="Z31" i="2"/>
  <c r="Y31" i="2"/>
  <c r="X31" i="2"/>
  <c r="S31" i="2"/>
  <c r="Q31" i="2"/>
  <c r="AF30" i="2"/>
  <c r="AM30" i="2" s="1"/>
  <c r="AE30" i="2"/>
  <c r="Z30" i="2"/>
  <c r="Y30" i="2"/>
  <c r="X30" i="2"/>
  <c r="S30" i="2"/>
  <c r="Q30" i="2"/>
  <c r="U30" i="2" s="1"/>
  <c r="AF29" i="2"/>
  <c r="AE29" i="2"/>
  <c r="Z29" i="2"/>
  <c r="Y29" i="2"/>
  <c r="X29" i="2"/>
  <c r="S29" i="2"/>
  <c r="U29" i="2" s="1"/>
  <c r="Q29" i="2"/>
  <c r="AF28" i="2"/>
  <c r="AG28" i="2" s="1"/>
  <c r="AE28" i="2"/>
  <c r="Z28" i="2"/>
  <c r="Y28" i="2"/>
  <c r="X28" i="2"/>
  <c r="U28" i="2"/>
  <c r="T28" i="2" s="1"/>
  <c r="S28" i="2"/>
  <c r="Q28" i="2"/>
  <c r="AE27" i="2"/>
  <c r="AF27" i="2" s="1"/>
  <c r="Z27" i="2"/>
  <c r="Y27" i="2"/>
  <c r="X27" i="2"/>
  <c r="S27" i="2"/>
  <c r="Q27" i="2"/>
  <c r="U27" i="2" s="1"/>
  <c r="AF26" i="2"/>
  <c r="AE26" i="2"/>
  <c r="Z26" i="2"/>
  <c r="Y26" i="2"/>
  <c r="X26" i="2"/>
  <c r="S26" i="2"/>
  <c r="Q26" i="2"/>
  <c r="AE25" i="2"/>
  <c r="AF25" i="2" s="1"/>
  <c r="Z25" i="2"/>
  <c r="Y25" i="2"/>
  <c r="X25" i="2"/>
  <c r="S25" i="2"/>
  <c r="Q25" i="2"/>
  <c r="AE24" i="2"/>
  <c r="AF24" i="2" s="1"/>
  <c r="Z24" i="2"/>
  <c r="Y24" i="2"/>
  <c r="X24" i="2"/>
  <c r="S24" i="2"/>
  <c r="Q24" i="2"/>
  <c r="U24" i="2" s="1"/>
  <c r="V24" i="2" s="1"/>
  <c r="AE23" i="2"/>
  <c r="AF23" i="2" s="1"/>
  <c r="Z23" i="2"/>
  <c r="Y23" i="2"/>
  <c r="X23" i="2"/>
  <c r="S23" i="2"/>
  <c r="Q23" i="2"/>
  <c r="AE22" i="2"/>
  <c r="AF22" i="2" s="1"/>
  <c r="AM22" i="2" s="1"/>
  <c r="Z22" i="2"/>
  <c r="Y22" i="2"/>
  <c r="X22" i="2"/>
  <c r="S22" i="2"/>
  <c r="Q22" i="2"/>
  <c r="U22" i="2" s="1"/>
  <c r="AF21" i="2"/>
  <c r="AH21" i="2" s="1"/>
  <c r="AE21" i="2"/>
  <c r="Z21" i="2"/>
  <c r="Y21" i="2"/>
  <c r="X21" i="2"/>
  <c r="S21" i="2"/>
  <c r="U21" i="2" s="1"/>
  <c r="Q21" i="2"/>
  <c r="AF20" i="2"/>
  <c r="AG20" i="2" s="1"/>
  <c r="AE20" i="2"/>
  <c r="Z20" i="2"/>
  <c r="Y20" i="2"/>
  <c r="X20" i="2"/>
  <c r="U20" i="2"/>
  <c r="T20" i="2" s="1"/>
  <c r="S20" i="2"/>
  <c r="Q20" i="2"/>
  <c r="AE19" i="2"/>
  <c r="AF19" i="2" s="1"/>
  <c r="Z19" i="2"/>
  <c r="Y19" i="2"/>
  <c r="X19" i="2"/>
  <c r="S19" i="2"/>
  <c r="Q19" i="2"/>
  <c r="U19" i="2" s="1"/>
  <c r="AE18" i="2"/>
  <c r="AF18" i="2" s="1"/>
  <c r="Z18" i="2"/>
  <c r="Y18" i="2"/>
  <c r="X18" i="2"/>
  <c r="S18" i="2"/>
  <c r="U18" i="2" s="1"/>
  <c r="V18" i="2" s="1"/>
  <c r="Q18" i="2"/>
  <c r="AE17" i="2"/>
  <c r="AF17" i="2" s="1"/>
  <c r="Z17" i="2"/>
  <c r="Y17" i="2"/>
  <c r="X17" i="2"/>
  <c r="S17" i="2"/>
  <c r="Q17" i="2"/>
  <c r="AE16" i="2"/>
  <c r="AF16" i="2" s="1"/>
  <c r="Z16" i="2"/>
  <c r="Y16" i="2"/>
  <c r="X16" i="2"/>
  <c r="S16" i="2"/>
  <c r="Q16" i="2"/>
  <c r="U16" i="2" s="1"/>
  <c r="V16" i="2" s="1"/>
  <c r="AE15" i="2"/>
  <c r="AF15" i="2" s="1"/>
  <c r="Z15" i="2"/>
  <c r="Y15" i="2"/>
  <c r="X15" i="2"/>
  <c r="S15" i="2"/>
  <c r="Q15" i="2"/>
  <c r="AE14" i="2"/>
  <c r="AF14" i="2" s="1"/>
  <c r="AM14" i="2" s="1"/>
  <c r="Z14" i="2"/>
  <c r="Y14" i="2"/>
  <c r="X14" i="2"/>
  <c r="S14" i="2"/>
  <c r="Q14" i="2"/>
  <c r="U14" i="2" s="1"/>
  <c r="AE13" i="2"/>
  <c r="AF13" i="2" s="1"/>
  <c r="Z13" i="2"/>
  <c r="Y13" i="2"/>
  <c r="X13" i="2"/>
  <c r="S13" i="2"/>
  <c r="U13" i="2" s="1"/>
  <c r="Q13" i="2"/>
  <c r="AE12" i="2"/>
  <c r="AF12" i="2" s="1"/>
  <c r="Z12" i="2"/>
  <c r="Y12" i="2"/>
  <c r="X12" i="2"/>
  <c r="S12" i="2"/>
  <c r="Q12" i="2"/>
  <c r="U12" i="2" s="1"/>
  <c r="T12" i="2" s="1"/>
  <c r="AE11" i="2"/>
  <c r="Z11" i="2"/>
  <c r="Y11" i="2"/>
  <c r="X11" i="2"/>
  <c r="S11" i="2"/>
  <c r="Q11" i="2"/>
  <c r="AE10" i="2"/>
  <c r="AF10" i="2" s="1"/>
  <c r="Z10" i="2"/>
  <c r="Y10" i="2"/>
  <c r="X10" i="2"/>
  <c r="S10" i="2"/>
  <c r="U10" i="2" s="1"/>
  <c r="V10" i="2" s="1"/>
  <c r="Q10" i="2"/>
  <c r="AE9" i="2"/>
  <c r="AF9" i="2" s="1"/>
  <c r="Z9" i="2"/>
  <c r="Y9" i="2"/>
  <c r="X9" i="2"/>
  <c r="S9" i="2"/>
  <c r="Q9" i="2"/>
  <c r="AE3" i="2" a="1"/>
  <c r="AE3" i="2" s="1"/>
  <c r="AE2" i="2"/>
  <c r="O1" i="2"/>
  <c r="AD105" i="1"/>
  <c r="R105" i="1"/>
  <c r="P105" i="1"/>
  <c r="AD104" i="1"/>
  <c r="AE104" i="1" s="1"/>
  <c r="AG104" i="1" s="1"/>
  <c r="X104" i="1"/>
  <c r="W104" i="1"/>
  <c r="R104" i="1"/>
  <c r="P104" i="1"/>
  <c r="AD103" i="1"/>
  <c r="AE103" i="1" s="1"/>
  <c r="X103" i="1"/>
  <c r="W103" i="1"/>
  <c r="R103" i="1"/>
  <c r="P103" i="1"/>
  <c r="AD102" i="1"/>
  <c r="R102" i="1"/>
  <c r="P102" i="1"/>
  <c r="AD101" i="1"/>
  <c r="R101" i="1"/>
  <c r="P101" i="1"/>
  <c r="AD69" i="1"/>
  <c r="R69" i="1"/>
  <c r="P69" i="1"/>
  <c r="AD68" i="1"/>
  <c r="R68" i="1"/>
  <c r="P68" i="1"/>
  <c r="AD67" i="1"/>
  <c r="R67" i="1"/>
  <c r="P67" i="1"/>
  <c r="AD66" i="1"/>
  <c r="R66" i="1"/>
  <c r="P66" i="1"/>
  <c r="AD65" i="1"/>
  <c r="R65" i="1"/>
  <c r="P65" i="1"/>
  <c r="AD64" i="1"/>
  <c r="AE64" i="1" s="1"/>
  <c r="X64" i="1"/>
  <c r="W64" i="1"/>
  <c r="R64" i="1"/>
  <c r="P64" i="1"/>
  <c r="AD63" i="1"/>
  <c r="AE63" i="1" s="1"/>
  <c r="X63" i="1"/>
  <c r="W63" i="1"/>
  <c r="R63" i="1"/>
  <c r="P63" i="1"/>
  <c r="AD62" i="1"/>
  <c r="AE62" i="1" s="1"/>
  <c r="AG62" i="1" s="1"/>
  <c r="X62" i="1"/>
  <c r="W62" i="1"/>
  <c r="R62" i="1"/>
  <c r="P62" i="1"/>
  <c r="AD61" i="1"/>
  <c r="AE61" i="1" s="1"/>
  <c r="X61" i="1"/>
  <c r="W61" i="1"/>
  <c r="R61" i="1"/>
  <c r="P61" i="1"/>
  <c r="AD60" i="1"/>
  <c r="AE60" i="1" s="1"/>
  <c r="X60" i="1"/>
  <c r="W60" i="1"/>
  <c r="R60" i="1"/>
  <c r="P60" i="1"/>
  <c r="AD59" i="1"/>
  <c r="AE59" i="1" s="1"/>
  <c r="X59" i="1"/>
  <c r="W59" i="1"/>
  <c r="R59" i="1"/>
  <c r="P59" i="1"/>
  <c r="AD58" i="1"/>
  <c r="AE58" i="1" s="1"/>
  <c r="X58" i="1"/>
  <c r="W58" i="1"/>
  <c r="R58" i="1"/>
  <c r="P58" i="1"/>
  <c r="AD57" i="1"/>
  <c r="AE57" i="1" s="1"/>
  <c r="AG57" i="1" s="1"/>
  <c r="X57" i="1"/>
  <c r="W57" i="1"/>
  <c r="R57" i="1"/>
  <c r="P57" i="1"/>
  <c r="AD56" i="1"/>
  <c r="AE56" i="1" s="1"/>
  <c r="X56" i="1"/>
  <c r="W56" i="1"/>
  <c r="R56" i="1"/>
  <c r="P56" i="1"/>
  <c r="AD55" i="1"/>
  <c r="AE55" i="1" s="1"/>
  <c r="AL55" i="1" s="1"/>
  <c r="X55" i="1"/>
  <c r="W55" i="1"/>
  <c r="R55" i="1"/>
  <c r="P55" i="1"/>
  <c r="AD54" i="1"/>
  <c r="AE54" i="1" s="1"/>
  <c r="X54" i="1"/>
  <c r="W54" i="1"/>
  <c r="R54" i="1"/>
  <c r="P54" i="1"/>
  <c r="AD53" i="1"/>
  <c r="AE53" i="1" s="1"/>
  <c r="X53" i="1"/>
  <c r="W53" i="1"/>
  <c r="R53" i="1"/>
  <c r="P53" i="1"/>
  <c r="AD52" i="1"/>
  <c r="AE52" i="1" s="1"/>
  <c r="X52" i="1"/>
  <c r="W52" i="1"/>
  <c r="R52" i="1"/>
  <c r="P52" i="1"/>
  <c r="AD51" i="1"/>
  <c r="R51" i="1"/>
  <c r="P51" i="1"/>
  <c r="AD50" i="1"/>
  <c r="V50" i="1"/>
  <c r="W50" i="1" s="1"/>
  <c r="R50" i="1"/>
  <c r="P50" i="1"/>
  <c r="AD49" i="1"/>
  <c r="AE49" i="1" s="1"/>
  <c r="AL49" i="1" s="1"/>
  <c r="X49" i="1"/>
  <c r="W49" i="1"/>
  <c r="R49" i="1"/>
  <c r="P49" i="1"/>
  <c r="AD48" i="1"/>
  <c r="AE48" i="1" s="1"/>
  <c r="AG48" i="1" s="1"/>
  <c r="X48" i="1"/>
  <c r="W48" i="1"/>
  <c r="R48" i="1"/>
  <c r="P48" i="1"/>
  <c r="AD47" i="1"/>
  <c r="AE47" i="1" s="1"/>
  <c r="X47" i="1"/>
  <c r="W47" i="1"/>
  <c r="R47" i="1"/>
  <c r="P47" i="1"/>
  <c r="AD46" i="1"/>
  <c r="V46" i="1"/>
  <c r="R46" i="1"/>
  <c r="P46" i="1"/>
  <c r="AD45" i="1"/>
  <c r="AE45" i="1" s="1"/>
  <c r="X45" i="1"/>
  <c r="W45" i="1"/>
  <c r="R45" i="1"/>
  <c r="P45" i="1"/>
  <c r="AD44" i="1"/>
  <c r="R44" i="1"/>
  <c r="P44" i="1"/>
  <c r="AD43" i="1"/>
  <c r="V43" i="1"/>
  <c r="R43" i="1"/>
  <c r="P43" i="1"/>
  <c r="AD42" i="1"/>
  <c r="AE42" i="1" s="1"/>
  <c r="AG42" i="1" s="1"/>
  <c r="X42" i="1"/>
  <c r="W42" i="1"/>
  <c r="R42" i="1"/>
  <c r="P42" i="1"/>
  <c r="AD41" i="1"/>
  <c r="AE41" i="1" s="1"/>
  <c r="X41" i="1"/>
  <c r="W41" i="1"/>
  <c r="R41" i="1"/>
  <c r="P41" i="1"/>
  <c r="AD40" i="1"/>
  <c r="AE40" i="1" s="1"/>
  <c r="AL40" i="1" s="1"/>
  <c r="X40" i="1"/>
  <c r="W40" i="1"/>
  <c r="R40" i="1"/>
  <c r="P40" i="1"/>
  <c r="AD39" i="1"/>
  <c r="AE39" i="1" s="1"/>
  <c r="X39" i="1"/>
  <c r="W39" i="1"/>
  <c r="R39" i="1"/>
  <c r="P39" i="1"/>
  <c r="AD38" i="1"/>
  <c r="AE38" i="1" s="1"/>
  <c r="AF38" i="1" s="1"/>
  <c r="X38" i="1"/>
  <c r="W38" i="1"/>
  <c r="R38" i="1"/>
  <c r="P38" i="1"/>
  <c r="AD37" i="1"/>
  <c r="AE37" i="1" s="1"/>
  <c r="AL37" i="1" s="1"/>
  <c r="X37" i="1"/>
  <c r="W37" i="1"/>
  <c r="R37" i="1"/>
  <c r="P37" i="1"/>
  <c r="AD36" i="1"/>
  <c r="AE36" i="1" s="1"/>
  <c r="AG36" i="1" s="1"/>
  <c r="X36" i="1"/>
  <c r="W36" i="1"/>
  <c r="R36" i="1"/>
  <c r="P36" i="1"/>
  <c r="AD35" i="1"/>
  <c r="AE35" i="1" s="1"/>
  <c r="X35" i="1"/>
  <c r="W35" i="1"/>
  <c r="R35" i="1"/>
  <c r="P35" i="1"/>
  <c r="AD34" i="1"/>
  <c r="AE34" i="1" s="1"/>
  <c r="X34" i="1"/>
  <c r="W34" i="1"/>
  <c r="R34" i="1"/>
  <c r="P34" i="1"/>
  <c r="AD33" i="1"/>
  <c r="AE33" i="1" s="1"/>
  <c r="X33" i="1"/>
  <c r="W33" i="1"/>
  <c r="R33" i="1"/>
  <c r="P33" i="1"/>
  <c r="AD32" i="1"/>
  <c r="AE32" i="1" s="1"/>
  <c r="X32" i="1"/>
  <c r="W32" i="1"/>
  <c r="R32" i="1"/>
  <c r="P32" i="1"/>
  <c r="AD31" i="1"/>
  <c r="AE31" i="1" s="1"/>
  <c r="X31" i="1"/>
  <c r="W31" i="1"/>
  <c r="R31" i="1"/>
  <c r="P31" i="1"/>
  <c r="AD30" i="1"/>
  <c r="AE30" i="1" s="1"/>
  <c r="AF30" i="1" s="1"/>
  <c r="X30" i="1"/>
  <c r="W30" i="1"/>
  <c r="R30" i="1"/>
  <c r="P30" i="1"/>
  <c r="AD29" i="1"/>
  <c r="AE29" i="1" s="1"/>
  <c r="AL29" i="1" s="1"/>
  <c r="X29" i="1"/>
  <c r="W29" i="1"/>
  <c r="R29" i="1"/>
  <c r="P29" i="1"/>
  <c r="AD28" i="1"/>
  <c r="AE28" i="1" s="1"/>
  <c r="AG28" i="1" s="1"/>
  <c r="X28" i="1"/>
  <c r="W28" i="1"/>
  <c r="R28" i="1"/>
  <c r="P28" i="1"/>
  <c r="AD27" i="1"/>
  <c r="AE27" i="1" s="1"/>
  <c r="X27" i="1"/>
  <c r="W27" i="1"/>
  <c r="R27" i="1"/>
  <c r="P27" i="1"/>
  <c r="AD26" i="1"/>
  <c r="AE26" i="1" s="1"/>
  <c r="X26" i="1"/>
  <c r="W26" i="1"/>
  <c r="R26" i="1"/>
  <c r="P26" i="1"/>
  <c r="AD25" i="1"/>
  <c r="AE25" i="1" s="1"/>
  <c r="AG25" i="1" s="1"/>
  <c r="X25" i="1"/>
  <c r="W25" i="1"/>
  <c r="R25" i="1"/>
  <c r="P25" i="1"/>
  <c r="AD24" i="1"/>
  <c r="AE24" i="1" s="1"/>
  <c r="X24" i="1"/>
  <c r="W24" i="1"/>
  <c r="R24" i="1"/>
  <c r="P24" i="1"/>
  <c r="AD23" i="1"/>
  <c r="AE23" i="1" s="1"/>
  <c r="X23" i="1"/>
  <c r="W23" i="1"/>
  <c r="R23" i="1"/>
  <c r="P23" i="1"/>
  <c r="AD22" i="1"/>
  <c r="R22" i="1"/>
  <c r="P22" i="1"/>
  <c r="AD21" i="1"/>
  <c r="R21" i="1"/>
  <c r="P21" i="1"/>
  <c r="AD20" i="1"/>
  <c r="R20" i="1"/>
  <c r="P20" i="1"/>
  <c r="AD19" i="1"/>
  <c r="R19" i="1"/>
  <c r="P19" i="1"/>
  <c r="AD18" i="1"/>
  <c r="R18" i="1"/>
  <c r="P18" i="1"/>
  <c r="AD17" i="1"/>
  <c r="AE17" i="1" s="1"/>
  <c r="X17" i="1"/>
  <c r="W17" i="1"/>
  <c r="R17" i="1"/>
  <c r="P17" i="1"/>
  <c r="AD16" i="1"/>
  <c r="AE16" i="1" s="1"/>
  <c r="X16" i="1"/>
  <c r="W16" i="1"/>
  <c r="R16" i="1"/>
  <c r="P16" i="1"/>
  <c r="AD15" i="1"/>
  <c r="AE15" i="1" s="1"/>
  <c r="X15" i="1"/>
  <c r="W15" i="1"/>
  <c r="R15" i="1"/>
  <c r="P15" i="1"/>
  <c r="AD14" i="1"/>
  <c r="AE14" i="1" s="1"/>
  <c r="AL14" i="1" s="1"/>
  <c r="X14" i="1"/>
  <c r="W14" i="1"/>
  <c r="R14" i="1"/>
  <c r="P14" i="1"/>
  <c r="AD13" i="1"/>
  <c r="AE13" i="1" s="1"/>
  <c r="X13" i="1"/>
  <c r="W13" i="1"/>
  <c r="R13" i="1"/>
  <c r="P13" i="1"/>
  <c r="AD12" i="1"/>
  <c r="AE12" i="1" s="1"/>
  <c r="X12" i="1"/>
  <c r="W12" i="1"/>
  <c r="R12" i="1"/>
  <c r="P12" i="1"/>
  <c r="AD11" i="1"/>
  <c r="AE11" i="1" s="1"/>
  <c r="X11" i="1"/>
  <c r="W11" i="1"/>
  <c r="R11" i="1"/>
  <c r="P11" i="1"/>
  <c r="AD10" i="1"/>
  <c r="AE10" i="1" s="1"/>
  <c r="X10" i="1"/>
  <c r="W10" i="1"/>
  <c r="R10" i="1"/>
  <c r="P10" i="1"/>
  <c r="AD9" i="1"/>
  <c r="AE9" i="1" s="1"/>
  <c r="AG9" i="1" s="1"/>
  <c r="X9" i="1"/>
  <c r="W9" i="1"/>
  <c r="R9" i="1"/>
  <c r="P9" i="1"/>
  <c r="AD8" i="1"/>
  <c r="AE8" i="1" s="1"/>
  <c r="AL8" i="1" s="1"/>
  <c r="X8" i="1"/>
  <c r="W8" i="1"/>
  <c r="R8" i="1"/>
  <c r="P8" i="1"/>
  <c r="AD7" i="1"/>
  <c r="AE7" i="1" s="1"/>
  <c r="X7" i="1"/>
  <c r="W7" i="1"/>
  <c r="R7" i="1"/>
  <c r="P7" i="1"/>
  <c r="AD6" i="1"/>
  <c r="AE6" i="1" s="1"/>
  <c r="X6" i="1"/>
  <c r="W6" i="1"/>
  <c r="R6" i="1"/>
  <c r="P6" i="1"/>
  <c r="AD5" i="1"/>
  <c r="AE5" i="1" s="1"/>
  <c r="AL5" i="1" s="1"/>
  <c r="X5" i="1"/>
  <c r="W5" i="1"/>
  <c r="R5" i="1"/>
  <c r="P5" i="1"/>
  <c r="AD4" i="1"/>
  <c r="AE4" i="1" s="1"/>
  <c r="X4" i="1"/>
  <c r="W4" i="1"/>
  <c r="R4" i="1"/>
  <c r="P4" i="1"/>
  <c r="AD3" i="1"/>
  <c r="AE3" i="1" s="1"/>
  <c r="AL3" i="1" s="1"/>
  <c r="X3" i="1"/>
  <c r="W3" i="1"/>
  <c r="R3" i="1"/>
  <c r="P3" i="1"/>
  <c r="AD2" i="1"/>
  <c r="X2" i="1"/>
  <c r="R2" i="1"/>
  <c r="P2" i="1"/>
  <c r="AH13" i="2" l="1"/>
  <c r="AM13" i="2"/>
  <c r="AG13" i="2"/>
  <c r="AG12" i="2"/>
  <c r="AH12" i="2"/>
  <c r="AG36" i="2"/>
  <c r="AH36" i="2"/>
  <c r="AM10" i="2"/>
  <c r="AH10" i="2"/>
  <c r="AM18" i="2"/>
  <c r="AH18" i="2"/>
  <c r="T212" i="2"/>
  <c r="V212" i="2"/>
  <c r="V554" i="2"/>
  <c r="T554" i="2"/>
  <c r="W2" i="2"/>
  <c r="U17" i="2"/>
  <c r="U36" i="2"/>
  <c r="T36" i="2" s="1"/>
  <c r="V69" i="2"/>
  <c r="X105" i="2"/>
  <c r="Y105" i="2"/>
  <c r="AG157" i="2"/>
  <c r="AM157" i="2"/>
  <c r="AH157" i="2"/>
  <c r="AG170" i="2"/>
  <c r="AM170" i="2"/>
  <c r="AH170" i="2"/>
  <c r="U172" i="2"/>
  <c r="AG204" i="2"/>
  <c r="AM204" i="2"/>
  <c r="AH204" i="2"/>
  <c r="AG220" i="2"/>
  <c r="AM220" i="2"/>
  <c r="AH220" i="2"/>
  <c r="U228" i="2"/>
  <c r="V264" i="2"/>
  <c r="T264" i="2"/>
  <c r="AM288" i="2"/>
  <c r="AH288" i="2"/>
  <c r="AG288" i="2"/>
  <c r="AM233" i="2"/>
  <c r="AH233" i="2"/>
  <c r="AG233" i="2"/>
  <c r="T244" i="2"/>
  <c r="V244" i="2"/>
  <c r="U26" i="2"/>
  <c r="V26" i="2" s="1"/>
  <c r="U48" i="2"/>
  <c r="V48" i="2" s="1"/>
  <c r="AG60" i="2"/>
  <c r="AH60" i="2"/>
  <c r="T80" i="2"/>
  <c r="V80" i="2"/>
  <c r="AM143" i="2"/>
  <c r="AH143" i="2"/>
  <c r="AG143" i="2"/>
  <c r="AM150" i="2"/>
  <c r="AG150" i="2"/>
  <c r="AG156" i="2"/>
  <c r="AM156" i="2"/>
  <c r="AH156" i="2"/>
  <c r="T165" i="2"/>
  <c r="V165" i="2"/>
  <c r="AH385" i="2"/>
  <c r="AM385" i="2"/>
  <c r="AF403" i="2"/>
  <c r="AM403" i="2" s="1"/>
  <c r="Y403" i="2"/>
  <c r="X403" i="2"/>
  <c r="Y440" i="2"/>
  <c r="X440" i="2"/>
  <c r="AM32" i="2"/>
  <c r="AG32" i="2"/>
  <c r="AH45" i="2"/>
  <c r="AM45" i="2"/>
  <c r="T61" i="2"/>
  <c r="V61" i="2"/>
  <c r="AM89" i="2"/>
  <c r="AH89" i="2"/>
  <c r="T110" i="2"/>
  <c r="V110" i="2"/>
  <c r="AM126" i="2"/>
  <c r="AG126" i="2"/>
  <c r="V151" i="2"/>
  <c r="T151" i="2"/>
  <c r="AG154" i="2"/>
  <c r="AM154" i="2"/>
  <c r="AH154" i="2"/>
  <c r="T157" i="2"/>
  <c r="V157" i="2"/>
  <c r="AG162" i="2"/>
  <c r="AM162" i="2"/>
  <c r="AH162" i="2"/>
  <c r="T164" i="2"/>
  <c r="V164" i="2"/>
  <c r="T180" i="2"/>
  <c r="V180" i="2"/>
  <c r="AG188" i="2"/>
  <c r="AM188" i="2"/>
  <c r="AH188" i="2"/>
  <c r="AH207" i="2"/>
  <c r="AM207" i="2"/>
  <c r="AG207" i="2"/>
  <c r="AH231" i="2"/>
  <c r="AM231" i="2"/>
  <c r="AG241" i="2"/>
  <c r="AH241" i="2"/>
  <c r="AG259" i="2"/>
  <c r="AH259" i="2"/>
  <c r="AM26" i="2"/>
  <c r="AH26" i="2"/>
  <c r="AM42" i="2"/>
  <c r="AH42" i="2"/>
  <c r="AM61" i="2"/>
  <c r="AH61" i="2"/>
  <c r="AH32" i="2"/>
  <c r="AG45" i="2"/>
  <c r="T72" i="2"/>
  <c r="V72" i="2"/>
  <c r="V90" i="2"/>
  <c r="W90" i="2" s="1"/>
  <c r="Y90" i="2" s="1"/>
  <c r="T90" i="2"/>
  <c r="V97" i="2"/>
  <c r="W97" i="2" s="1"/>
  <c r="T97" i="2"/>
  <c r="V100" i="2"/>
  <c r="T100" i="2"/>
  <c r="T107" i="2"/>
  <c r="V107" i="2"/>
  <c r="AH119" i="2"/>
  <c r="AG119" i="2"/>
  <c r="V127" i="2"/>
  <c r="T127" i="2"/>
  <c r="AM142" i="2"/>
  <c r="AG142" i="2"/>
  <c r="T149" i="2"/>
  <c r="V149" i="2"/>
  <c r="AG212" i="2"/>
  <c r="AM212" i="2"/>
  <c r="AH212" i="2"/>
  <c r="AG236" i="2"/>
  <c r="AM236" i="2"/>
  <c r="AH236" i="2"/>
  <c r="V344" i="2"/>
  <c r="T344" i="2"/>
  <c r="AM352" i="2"/>
  <c r="AH352" i="2"/>
  <c r="AG352" i="2"/>
  <c r="V360" i="2"/>
  <c r="T360" i="2"/>
  <c r="AM151" i="2"/>
  <c r="AH151" i="2"/>
  <c r="AG151" i="2"/>
  <c r="U32" i="2"/>
  <c r="V32" i="2" s="1"/>
  <c r="AH44" i="2"/>
  <c r="AH50" i="2"/>
  <c r="AH69" i="2"/>
  <c r="AG69" i="2"/>
  <c r="T84" i="2"/>
  <c r="V84" i="2"/>
  <c r="AG117" i="2"/>
  <c r="AM117" i="2"/>
  <c r="AH117" i="2"/>
  <c r="AM119" i="2"/>
  <c r="AG125" i="2"/>
  <c r="AM125" i="2"/>
  <c r="AH125" i="2"/>
  <c r="U132" i="2"/>
  <c r="T133" i="2"/>
  <c r="V133" i="2"/>
  <c r="T135" i="2"/>
  <c r="V143" i="2"/>
  <c r="T143" i="2"/>
  <c r="T148" i="2"/>
  <c r="V148" i="2"/>
  <c r="AH167" i="2"/>
  <c r="AG167" i="2"/>
  <c r="AM174" i="2"/>
  <c r="AG174" i="2"/>
  <c r="AM206" i="2"/>
  <c r="AG206" i="2"/>
  <c r="T220" i="2"/>
  <c r="V220" i="2"/>
  <c r="AM230" i="2"/>
  <c r="AG230" i="2"/>
  <c r="AM271" i="2"/>
  <c r="AH271" i="2"/>
  <c r="T286" i="2"/>
  <c r="V286" i="2"/>
  <c r="AG85" i="2"/>
  <c r="AH85" i="2"/>
  <c r="AG114" i="2"/>
  <c r="AM114" i="2"/>
  <c r="AH114" i="2"/>
  <c r="AG122" i="2"/>
  <c r="AM122" i="2"/>
  <c r="AH122" i="2"/>
  <c r="AM190" i="2"/>
  <c r="AG190" i="2"/>
  <c r="AG194" i="2"/>
  <c r="AM194" i="2"/>
  <c r="AH194" i="2"/>
  <c r="AM238" i="2"/>
  <c r="AG238" i="2"/>
  <c r="AM74" i="2"/>
  <c r="AH74" i="2"/>
  <c r="T77" i="2"/>
  <c r="V77" i="2"/>
  <c r="AM82" i="2"/>
  <c r="AH82" i="2"/>
  <c r="AG82" i="2"/>
  <c r="AG130" i="2"/>
  <c r="AM130" i="2"/>
  <c r="AH130" i="2"/>
  <c r="AG141" i="2"/>
  <c r="AM141" i="2"/>
  <c r="AH141" i="2"/>
  <c r="AG165" i="2"/>
  <c r="AM165" i="2"/>
  <c r="AH165" i="2"/>
  <c r="AM167" i="2"/>
  <c r="V175" i="2"/>
  <c r="T175" i="2"/>
  <c r="AH191" i="2"/>
  <c r="AM191" i="2"/>
  <c r="AG191" i="2"/>
  <c r="T236" i="2"/>
  <c r="V236" i="2"/>
  <c r="AH239" i="2"/>
  <c r="AM239" i="2"/>
  <c r="T256" i="2"/>
  <c r="V256" i="2"/>
  <c r="V304" i="2"/>
  <c r="T304" i="2"/>
  <c r="T82" i="2"/>
  <c r="V82" i="2"/>
  <c r="AE4" i="2"/>
  <c r="AE5" i="2" s="1"/>
  <c r="AH20" i="2"/>
  <c r="AG21" i="2"/>
  <c r="AH29" i="2"/>
  <c r="AM29" i="2"/>
  <c r="AH37" i="2"/>
  <c r="AG37" i="2"/>
  <c r="U11" i="2"/>
  <c r="V11" i="2" s="1"/>
  <c r="W3" i="2"/>
  <c r="AM21" i="2"/>
  <c r="U23" i="2"/>
  <c r="AH28" i="2"/>
  <c r="AG29" i="2"/>
  <c r="AM37" i="2"/>
  <c r="U58" i="2"/>
  <c r="V58" i="2" s="1"/>
  <c r="AG87" i="2"/>
  <c r="AH87" i="2"/>
  <c r="U116" i="2"/>
  <c r="U124" i="2"/>
  <c r="AG138" i="2"/>
  <c r="AM138" i="2"/>
  <c r="AH138" i="2"/>
  <c r="AH159" i="2"/>
  <c r="AG159" i="2"/>
  <c r="U161" i="2"/>
  <c r="AG164" i="2"/>
  <c r="AH164" i="2"/>
  <c r="AG173" i="2"/>
  <c r="AM173" i="2"/>
  <c r="AH173" i="2"/>
  <c r="T188" i="2"/>
  <c r="V188" i="2"/>
  <c r="AG196" i="2"/>
  <c r="AM196" i="2"/>
  <c r="AH196" i="2"/>
  <c r="U201" i="2"/>
  <c r="AH205" i="2"/>
  <c r="AM205" i="2"/>
  <c r="AH229" i="2"/>
  <c r="AM229" i="2"/>
  <c r="U15" i="2"/>
  <c r="T15" i="2" s="1"/>
  <c r="U25" i="2"/>
  <c r="U47" i="2"/>
  <c r="U57" i="2"/>
  <c r="U70" i="2"/>
  <c r="U78" i="2"/>
  <c r="AM116" i="2"/>
  <c r="U120" i="2"/>
  <c r="V120" i="2" s="1"/>
  <c r="AM124" i="2"/>
  <c r="AM132" i="2"/>
  <c r="AH135" i="2"/>
  <c r="AM149" i="2"/>
  <c r="U160" i="2"/>
  <c r="U168" i="2"/>
  <c r="AM172" i="2"/>
  <c r="U182" i="2"/>
  <c r="V182" i="2" s="1"/>
  <c r="AH183" i="2"/>
  <c r="AM186" i="2"/>
  <c r="U197" i="2"/>
  <c r="U199" i="2"/>
  <c r="U200" i="2"/>
  <c r="AM228" i="2"/>
  <c r="U235" i="2"/>
  <c r="AM244" i="2"/>
  <c r="U246" i="2"/>
  <c r="V246" i="2" s="1"/>
  <c r="U248" i="2"/>
  <c r="U262" i="2"/>
  <c r="V278" i="2"/>
  <c r="U293" i="2"/>
  <c r="AM375" i="2"/>
  <c r="AH375" i="2"/>
  <c r="AH376" i="2"/>
  <c r="AG376" i="2"/>
  <c r="Y412" i="2"/>
  <c r="X412" i="2"/>
  <c r="AH539" i="2"/>
  <c r="AM539" i="2"/>
  <c r="AG539" i="2"/>
  <c r="V541" i="2"/>
  <c r="T541" i="2"/>
  <c r="AM570" i="2"/>
  <c r="AH570" i="2"/>
  <c r="AG570" i="2"/>
  <c r="U43" i="2"/>
  <c r="U46" i="2"/>
  <c r="U63" i="2"/>
  <c r="U89" i="2"/>
  <c r="U91" i="2"/>
  <c r="U260" i="2"/>
  <c r="T454" i="2"/>
  <c r="V454" i="2"/>
  <c r="V492" i="2"/>
  <c r="T492" i="2"/>
  <c r="U62" i="2"/>
  <c r="U85" i="2"/>
  <c r="U93" i="2"/>
  <c r="T93" i="2" s="1"/>
  <c r="U95" i="2"/>
  <c r="U118" i="2"/>
  <c r="U125" i="2"/>
  <c r="U126" i="2"/>
  <c r="V126" i="2" s="1"/>
  <c r="AH133" i="2"/>
  <c r="U136" i="2"/>
  <c r="U139" i="2"/>
  <c r="AH140" i="2"/>
  <c r="AH146" i="2"/>
  <c r="U158" i="2"/>
  <c r="AG158" i="2"/>
  <c r="AG166" i="2"/>
  <c r="U173" i="2"/>
  <c r="U174" i="2"/>
  <c r="V174" i="2" s="1"/>
  <c r="U184" i="2"/>
  <c r="AM189" i="2"/>
  <c r="AM221" i="2"/>
  <c r="AG222" i="2"/>
  <c r="AM223" i="2"/>
  <c r="U229" i="2"/>
  <c r="U232" i="2"/>
  <c r="U234" i="2"/>
  <c r="U240" i="2"/>
  <c r="U245" i="2"/>
  <c r="V245" i="2" s="1"/>
  <c r="AH272" i="2"/>
  <c r="AM303" i="2"/>
  <c r="AH303" i="2"/>
  <c r="V352" i="2"/>
  <c r="T352" i="2"/>
  <c r="AM379" i="2"/>
  <c r="AG379" i="2"/>
  <c r="AH389" i="2"/>
  <c r="AM389" i="2"/>
  <c r="T450" i="2"/>
  <c r="V450" i="2"/>
  <c r="X475" i="2"/>
  <c r="AF475" i="2"/>
  <c r="Y475" i="2"/>
  <c r="Y512" i="2"/>
  <c r="X512" i="2"/>
  <c r="AH538" i="2"/>
  <c r="AM538" i="2"/>
  <c r="AH563" i="2"/>
  <c r="AM563" i="2"/>
  <c r="AG563" i="2"/>
  <c r="AM133" i="2"/>
  <c r="AM146" i="2"/>
  <c r="T230" i="2"/>
  <c r="T238" i="2"/>
  <c r="V259" i="2"/>
  <c r="AG264" i="2"/>
  <c r="AM272" i="2"/>
  <c r="AM296" i="2"/>
  <c r="AH296" i="2"/>
  <c r="AM335" i="2"/>
  <c r="AH335" i="2"/>
  <c r="AM367" i="2"/>
  <c r="AH367" i="2"/>
  <c r="U51" i="2"/>
  <c r="U53" i="2"/>
  <c r="U54" i="2"/>
  <c r="AH66" i="2"/>
  <c r="AH76" i="2"/>
  <c r="V88" i="2"/>
  <c r="W88" i="2" s="1"/>
  <c r="U99" i="2"/>
  <c r="AG100" i="2"/>
  <c r="AG107" i="2"/>
  <c r="X110" i="2"/>
  <c r="AG127" i="2"/>
  <c r="U134" i="2"/>
  <c r="AG134" i="2"/>
  <c r="V140" i="2"/>
  <c r="AH148" i="2"/>
  <c r="AG175" i="2"/>
  <c r="AH178" i="2"/>
  <c r="U189" i="2"/>
  <c r="AM213" i="2"/>
  <c r="AG214" i="2"/>
  <c r="AM215" i="2"/>
  <c r="U221" i="2"/>
  <c r="T221" i="2" s="1"/>
  <c r="U223" i="2"/>
  <c r="AH264" i="2"/>
  <c r="V272" i="2"/>
  <c r="AH279" i="2"/>
  <c r="AG296" i="2"/>
  <c r="AG304" i="2"/>
  <c r="AM344" i="2"/>
  <c r="AH344" i="2"/>
  <c r="AG344" i="2"/>
  <c r="T350" i="2"/>
  <c r="V350" i="2"/>
  <c r="Y416" i="2"/>
  <c r="X416" i="2"/>
  <c r="V418" i="2"/>
  <c r="T418" i="2"/>
  <c r="T422" i="2"/>
  <c r="V422" i="2"/>
  <c r="T557" i="2"/>
  <c r="V557" i="2"/>
  <c r="AH568" i="2"/>
  <c r="AM568" i="2"/>
  <c r="V570" i="2"/>
  <c r="T570" i="2"/>
  <c r="AM578" i="2"/>
  <c r="AH578" i="2"/>
  <c r="AG578" i="2"/>
  <c r="T83" i="2"/>
  <c r="AH100" i="2"/>
  <c r="U105" i="2"/>
  <c r="AH107" i="2"/>
  <c r="AH127" i="2"/>
  <c r="AM148" i="2"/>
  <c r="U155" i="2"/>
  <c r="AM178" i="2"/>
  <c r="T190" i="2"/>
  <c r="U192" i="2"/>
  <c r="U195" i="2"/>
  <c r="U214" i="2"/>
  <c r="V214" i="2" s="1"/>
  <c r="U216" i="2"/>
  <c r="U251" i="2"/>
  <c r="V251" i="2" s="1"/>
  <c r="U253" i="2"/>
  <c r="U255" i="2"/>
  <c r="U266" i="2"/>
  <c r="T268" i="2"/>
  <c r="U279" i="2"/>
  <c r="V279" i="2" s="1"/>
  <c r="AG280" i="2"/>
  <c r="U294" i="2"/>
  <c r="AH304" i="2"/>
  <c r="AM319" i="2"/>
  <c r="AH319" i="2"/>
  <c r="AM360" i="2"/>
  <c r="AH360" i="2"/>
  <c r="AG360" i="2"/>
  <c r="AH379" i="2"/>
  <c r="Y407" i="2"/>
  <c r="X407" i="2"/>
  <c r="T446" i="2"/>
  <c r="V446" i="2"/>
  <c r="T470" i="2"/>
  <c r="V470" i="2"/>
  <c r="U31" i="2"/>
  <c r="U35" i="2"/>
  <c r="U37" i="2"/>
  <c r="U38" i="2"/>
  <c r="V38" i="2" s="1"/>
  <c r="AH58" i="2"/>
  <c r="U65" i="2"/>
  <c r="AM71" i="2"/>
  <c r="U75" i="2"/>
  <c r="AH77" i="2"/>
  <c r="AM79" i="2"/>
  <c r="U94" i="2"/>
  <c r="U102" i="2"/>
  <c r="V102" i="2" s="1"/>
  <c r="W102" i="2" s="1"/>
  <c r="X102" i="2" s="1"/>
  <c r="U152" i="2"/>
  <c r="V152" i="2" s="1"/>
  <c r="U206" i="2"/>
  <c r="V206" i="2" s="1"/>
  <c r="U288" i="2"/>
  <c r="T296" i="2"/>
  <c r="AM327" i="2"/>
  <c r="AH327" i="2"/>
  <c r="AM328" i="2"/>
  <c r="AH328" i="2"/>
  <c r="AG328" i="2"/>
  <c r="T462" i="2"/>
  <c r="V462" i="2"/>
  <c r="U465" i="2"/>
  <c r="Y477" i="2"/>
  <c r="X477" i="2"/>
  <c r="AF490" i="2"/>
  <c r="Y490" i="2"/>
  <c r="X490" i="2"/>
  <c r="X507" i="2"/>
  <c r="Y507" i="2"/>
  <c r="AH560" i="2"/>
  <c r="AM560" i="2"/>
  <c r="U329" i="2"/>
  <c r="U357" i="2"/>
  <c r="U388" i="2"/>
  <c r="V388" i="2" s="1"/>
  <c r="U424" i="2"/>
  <c r="U448" i="2"/>
  <c r="U502" i="2"/>
  <c r="U506" i="2"/>
  <c r="U515" i="2"/>
  <c r="Y531" i="2"/>
  <c r="U575" i="2"/>
  <c r="AM579" i="2"/>
  <c r="T581" i="2"/>
  <c r="V581" i="2"/>
  <c r="U599" i="2"/>
  <c r="V659" i="2"/>
  <c r="T659" i="2"/>
  <c r="AG670" i="2"/>
  <c r="AM670" i="2"/>
  <c r="AH670" i="2"/>
  <c r="AG712" i="2"/>
  <c r="AM712" i="2"/>
  <c r="AH712" i="2"/>
  <c r="AM749" i="2"/>
  <c r="AG749" i="2"/>
  <c r="T755" i="2"/>
  <c r="V755" i="2"/>
  <c r="AG762" i="2"/>
  <c r="AM762" i="2"/>
  <c r="AH762" i="2"/>
  <c r="AH796" i="2"/>
  <c r="AM796" i="2"/>
  <c r="AG796" i="2"/>
  <c r="AH804" i="2"/>
  <c r="AM804" i="2"/>
  <c r="AG804" i="2"/>
  <c r="AH844" i="2"/>
  <c r="AM844" i="2"/>
  <c r="AG844" i="2"/>
  <c r="U270" i="2"/>
  <c r="U285" i="2"/>
  <c r="U292" i="2"/>
  <c r="U306" i="2"/>
  <c r="U321" i="2"/>
  <c r="V321" i="2" s="1"/>
  <c r="U334" i="2"/>
  <c r="U349" i="2"/>
  <c r="U356" i="2"/>
  <c r="U377" i="2"/>
  <c r="X379" i="2"/>
  <c r="U410" i="2"/>
  <c r="X411" i="2"/>
  <c r="X415" i="2"/>
  <c r="X439" i="2"/>
  <c r="X443" i="2"/>
  <c r="X455" i="2"/>
  <c r="X456" i="2"/>
  <c r="X464" i="2"/>
  <c r="X474" i="2"/>
  <c r="X476" i="2"/>
  <c r="U484" i="2"/>
  <c r="V484" i="2" s="1"/>
  <c r="U488" i="2"/>
  <c r="Y491" i="2"/>
  <c r="X492" i="2"/>
  <c r="T576" i="2"/>
  <c r="V576" i="2"/>
  <c r="AM586" i="2"/>
  <c r="AH586" i="2"/>
  <c r="AH587" i="2"/>
  <c r="AM587" i="2"/>
  <c r="AG587" i="2"/>
  <c r="AH595" i="2"/>
  <c r="AM595" i="2"/>
  <c r="AG595" i="2"/>
  <c r="AM614" i="2"/>
  <c r="AG614" i="2"/>
  <c r="AH614" i="2"/>
  <c r="AM627" i="2"/>
  <c r="AG627" i="2"/>
  <c r="AH627" i="2"/>
  <c r="T641" i="2"/>
  <c r="V641" i="2"/>
  <c r="V667" i="2"/>
  <c r="T667" i="2"/>
  <c r="V713" i="2"/>
  <c r="T713" i="2"/>
  <c r="AH740" i="2"/>
  <c r="AM740" i="2"/>
  <c r="AH778" i="2"/>
  <c r="AM778" i="2"/>
  <c r="V805" i="2"/>
  <c r="T805" i="2"/>
  <c r="AH852" i="2"/>
  <c r="AM852" i="2"/>
  <c r="AG852" i="2"/>
  <c r="V342" i="2"/>
  <c r="Y379" i="2"/>
  <c r="X388" i="2"/>
  <c r="U414" i="2"/>
  <c r="Y415" i="2"/>
  <c r="X424" i="2"/>
  <c r="X435" i="2"/>
  <c r="Y439" i="2"/>
  <c r="Y443" i="2"/>
  <c r="AF447" i="2"/>
  <c r="X448" i="2"/>
  <c r="AF468" i="2"/>
  <c r="U496" i="2"/>
  <c r="U510" i="2"/>
  <c r="V510" i="2" s="1"/>
  <c r="AF512" i="2"/>
  <c r="AG512" i="2" s="1"/>
  <c r="X516" i="2"/>
  <c r="AF531" i="2"/>
  <c r="AM536" i="2"/>
  <c r="AG541" i="2"/>
  <c r="AM544" i="2"/>
  <c r="AG546" i="2"/>
  <c r="AH554" i="2"/>
  <c r="AG555" i="2"/>
  <c r="AG562" i="2"/>
  <c r="U567" i="2"/>
  <c r="U569" i="2"/>
  <c r="AG571" i="2"/>
  <c r="AG586" i="2"/>
  <c r="U596" i="2"/>
  <c r="T609" i="2"/>
  <c r="V609" i="2"/>
  <c r="AM638" i="2"/>
  <c r="AH638" i="2"/>
  <c r="AG638" i="2"/>
  <c r="T657" i="2"/>
  <c r="V657" i="2"/>
  <c r="AG665" i="2"/>
  <c r="AM665" i="2"/>
  <c r="AH665" i="2"/>
  <c r="AH674" i="2"/>
  <c r="AM674" i="2"/>
  <c r="AG674" i="2"/>
  <c r="AG728" i="2"/>
  <c r="AH728" i="2"/>
  <c r="AM728" i="2"/>
  <c r="AH748" i="2"/>
  <c r="AM748" i="2"/>
  <c r="U276" i="2"/>
  <c r="U290" i="2"/>
  <c r="U305" i="2"/>
  <c r="AH311" i="2"/>
  <c r="U318" i="2"/>
  <c r="U333" i="2"/>
  <c r="U340" i="2"/>
  <c r="V340" i="2" s="1"/>
  <c r="U369" i="2"/>
  <c r="V369" i="2" s="1"/>
  <c r="X380" i="2"/>
  <c r="X387" i="2"/>
  <c r="U391" i="2"/>
  <c r="Y435" i="2"/>
  <c r="X447" i="2"/>
  <c r="AF452" i="2"/>
  <c r="Y463" i="2"/>
  <c r="X471" i="2"/>
  <c r="X472" i="2"/>
  <c r="U483" i="2"/>
  <c r="X488" i="2"/>
  <c r="AF492" i="2"/>
  <c r="U494" i="2"/>
  <c r="U504" i="2"/>
  <c r="U514" i="2"/>
  <c r="V514" i="2" s="1"/>
  <c r="Y515" i="2"/>
  <c r="X520" i="2"/>
  <c r="AF532" i="2"/>
  <c r="U534" i="2"/>
  <c r="U538" i="2"/>
  <c r="U539" i="2"/>
  <c r="AH541" i="2"/>
  <c r="U545" i="2"/>
  <c r="AH546" i="2"/>
  <c r="V553" i="2"/>
  <c r="AM555" i="2"/>
  <c r="U559" i="2"/>
  <c r="AH562" i="2"/>
  <c r="AM571" i="2"/>
  <c r="U573" i="2"/>
  <c r="V586" i="2"/>
  <c r="T586" i="2"/>
  <c r="AM594" i="2"/>
  <c r="AH594" i="2"/>
  <c r="AG594" i="2"/>
  <c r="T597" i="2"/>
  <c r="V597" i="2"/>
  <c r="V651" i="2"/>
  <c r="T651" i="2"/>
  <c r="V729" i="2"/>
  <c r="T729" i="2"/>
  <c r="AM789" i="2"/>
  <c r="AH789" i="2"/>
  <c r="AG789" i="2"/>
  <c r="V821" i="2"/>
  <c r="T821" i="2"/>
  <c r="V326" i="2"/>
  <c r="U332" i="2"/>
  <c r="V332" i="2" s="1"/>
  <c r="X385" i="2"/>
  <c r="Y386" i="2"/>
  <c r="AF419" i="2"/>
  <c r="AF427" i="2"/>
  <c r="Y447" i="2"/>
  <c r="AF451" i="2"/>
  <c r="AF456" i="2"/>
  <c r="AG456" i="2" s="1"/>
  <c r="U459" i="2"/>
  <c r="AF464" i="2"/>
  <c r="AG464" i="2" s="1"/>
  <c r="AF516" i="2"/>
  <c r="X524" i="2"/>
  <c r="AM584" i="2"/>
  <c r="AM659" i="2"/>
  <c r="AG659" i="2"/>
  <c r="AH659" i="2"/>
  <c r="V681" i="2"/>
  <c r="T681" i="2"/>
  <c r="AG755" i="2"/>
  <c r="AM755" i="2"/>
  <c r="AH755" i="2"/>
  <c r="AH794" i="2"/>
  <c r="AM794" i="2"/>
  <c r="V813" i="2"/>
  <c r="T813" i="2"/>
  <c r="AH842" i="2"/>
  <c r="AM842" i="2"/>
  <c r="AH295" i="2"/>
  <c r="U302" i="2"/>
  <c r="U324" i="2"/>
  <c r="U338" i="2"/>
  <c r="U366" i="2"/>
  <c r="V374" i="2"/>
  <c r="U390" i="2"/>
  <c r="T390" i="2" s="1"/>
  <c r="U395" i="2"/>
  <c r="U399" i="2"/>
  <c r="U404" i="2"/>
  <c r="U408" i="2"/>
  <c r="X419" i="2"/>
  <c r="AF424" i="2"/>
  <c r="AG424" i="2" s="1"/>
  <c r="X427" i="2"/>
  <c r="X428" i="2"/>
  <c r="X451" i="2"/>
  <c r="Y452" i="2"/>
  <c r="U477" i="2"/>
  <c r="U478" i="2"/>
  <c r="V478" i="2" s="1"/>
  <c r="U481" i="2"/>
  <c r="Y483" i="2"/>
  <c r="T486" i="2"/>
  <c r="Y487" i="2"/>
  <c r="U491" i="2"/>
  <c r="X504" i="2"/>
  <c r="U507" i="2"/>
  <c r="U522" i="2"/>
  <c r="Y523" i="2"/>
  <c r="U547" i="2"/>
  <c r="AG547" i="2"/>
  <c r="U549" i="2"/>
  <c r="V560" i="2"/>
  <c r="U563" i="2"/>
  <c r="U564" i="2"/>
  <c r="AG581" i="2"/>
  <c r="AM581" i="2"/>
  <c r="AH592" i="2"/>
  <c r="AM592" i="2"/>
  <c r="AH606" i="2"/>
  <c r="AM606" i="2"/>
  <c r="AG606" i="2"/>
  <c r="T665" i="2"/>
  <c r="V665" i="2"/>
  <c r="AG672" i="2"/>
  <c r="AM672" i="2"/>
  <c r="AH672" i="2"/>
  <c r="AG720" i="2"/>
  <c r="AM720" i="2"/>
  <c r="AH720" i="2"/>
  <c r="T728" i="2"/>
  <c r="V728" i="2"/>
  <c r="AM732" i="2"/>
  <c r="AH732" i="2"/>
  <c r="AG732" i="2"/>
  <c r="T739" i="2"/>
  <c r="V739" i="2"/>
  <c r="AM781" i="2"/>
  <c r="AH781" i="2"/>
  <c r="AG781" i="2"/>
  <c r="AH810" i="2"/>
  <c r="AM810" i="2"/>
  <c r="AH850" i="2"/>
  <c r="AM850" i="2"/>
  <c r="U316" i="2"/>
  <c r="U330" i="2"/>
  <c r="U358" i="2"/>
  <c r="U372" i="2"/>
  <c r="U394" i="2"/>
  <c r="U430" i="2"/>
  <c r="V430" i="2" s="1"/>
  <c r="U439" i="2"/>
  <c r="AF472" i="2"/>
  <c r="T565" i="2"/>
  <c r="V565" i="2"/>
  <c r="T625" i="2"/>
  <c r="V625" i="2"/>
  <c r="V643" i="2"/>
  <c r="T643" i="2"/>
  <c r="AM667" i="2"/>
  <c r="AH667" i="2"/>
  <c r="AG667" i="2"/>
  <c r="AM689" i="2"/>
  <c r="AH689" i="2"/>
  <c r="AG689" i="2"/>
  <c r="AM697" i="2"/>
  <c r="AH697" i="2"/>
  <c r="AG697" i="2"/>
  <c r="V705" i="2"/>
  <c r="T705" i="2"/>
  <c r="AM713" i="2"/>
  <c r="AH713" i="2"/>
  <c r="AG713" i="2"/>
  <c r="T747" i="2"/>
  <c r="V747" i="2"/>
  <c r="AM759" i="2"/>
  <c r="AG759" i="2"/>
  <c r="AM805" i="2"/>
  <c r="AH805" i="2"/>
  <c r="AG805" i="2"/>
  <c r="AH826" i="2"/>
  <c r="AM826" i="2"/>
  <c r="AM576" i="2"/>
  <c r="AG579" i="2"/>
  <c r="AM622" i="2"/>
  <c r="AH622" i="2"/>
  <c r="AG622" i="2"/>
  <c r="T630" i="2"/>
  <c r="V630" i="2"/>
  <c r="T649" i="2"/>
  <c r="V649" i="2"/>
  <c r="AM662" i="2"/>
  <c r="AH662" i="2"/>
  <c r="AG662" i="2"/>
  <c r="V721" i="2"/>
  <c r="T721" i="2"/>
  <c r="AM741" i="2"/>
  <c r="AG741" i="2"/>
  <c r="AG775" i="2"/>
  <c r="AH775" i="2"/>
  <c r="AH836" i="2"/>
  <c r="AM836" i="2"/>
  <c r="AG836" i="2"/>
  <c r="AG646" i="2"/>
  <c r="AG651" i="2"/>
  <c r="U653" i="2"/>
  <c r="AM654" i="2"/>
  <c r="U658" i="2"/>
  <c r="AH676" i="2"/>
  <c r="V683" i="2"/>
  <c r="U699" i="2"/>
  <c r="U704" i="2"/>
  <c r="AG705" i="2"/>
  <c r="U715" i="2"/>
  <c r="U718" i="2"/>
  <c r="V718" i="2" s="1"/>
  <c r="AG721" i="2"/>
  <c r="AH725" i="2"/>
  <c r="T730" i="2"/>
  <c r="AG733" i="2"/>
  <c r="AH747" i="2"/>
  <c r="U757" i="2"/>
  <c r="V757" i="2" s="1"/>
  <c r="U769" i="2"/>
  <c r="V770" i="2"/>
  <c r="U840" i="2"/>
  <c r="U579" i="2"/>
  <c r="U580" i="2"/>
  <c r="U583" i="2"/>
  <c r="U585" i="2"/>
  <c r="U610" i="2"/>
  <c r="AM617" i="2"/>
  <c r="U628" i="2"/>
  <c r="T628" i="2" s="1"/>
  <c r="AG630" i="2"/>
  <c r="AH646" i="2"/>
  <c r="U650" i="2"/>
  <c r="AH651" i="2"/>
  <c r="U660" i="2"/>
  <c r="U669" i="2"/>
  <c r="AM676" i="2"/>
  <c r="T701" i="2"/>
  <c r="U734" i="2"/>
  <c r="AM747" i="2"/>
  <c r="U751" i="2"/>
  <c r="U768" i="2"/>
  <c r="U778" i="2"/>
  <c r="U779" i="2"/>
  <c r="AH783" i="2"/>
  <c r="U785" i="2"/>
  <c r="T785" i="2" s="1"/>
  <c r="AM802" i="2"/>
  <c r="U804" i="2"/>
  <c r="V804" i="2" s="1"/>
  <c r="U811" i="2"/>
  <c r="AM818" i="2"/>
  <c r="U820" i="2"/>
  <c r="U822" i="2"/>
  <c r="U587" i="2"/>
  <c r="U591" i="2"/>
  <c r="V591" i="2" s="1"/>
  <c r="AH630" i="2"/>
  <c r="U849" i="2"/>
  <c r="V850" i="2"/>
  <c r="T852" i="2"/>
  <c r="U588" i="2"/>
  <c r="U593" i="2"/>
  <c r="U595" i="2"/>
  <c r="AM600" i="2"/>
  <c r="V615" i="2"/>
  <c r="U632" i="2"/>
  <c r="AG635" i="2"/>
  <c r="U637" i="2"/>
  <c r="U642" i="2"/>
  <c r="AH643" i="2"/>
  <c r="U671" i="2"/>
  <c r="V672" i="2"/>
  <c r="AH678" i="2"/>
  <c r="AH681" i="2"/>
  <c r="AH692" i="2"/>
  <c r="AH693" i="2"/>
  <c r="V712" i="2"/>
  <c r="AG729" i="2"/>
  <c r="AH739" i="2"/>
  <c r="U749" i="2"/>
  <c r="U795" i="2"/>
  <c r="U802" i="2"/>
  <c r="T802" i="2" s="1"/>
  <c r="U809" i="2"/>
  <c r="AG813" i="2"/>
  <c r="U817" i="2"/>
  <c r="V818" i="2"/>
  <c r="AM834" i="2"/>
  <c r="U634" i="2"/>
  <c r="V634" i="2" s="1"/>
  <c r="T635" i="2"/>
  <c r="AH635" i="2"/>
  <c r="U644" i="2"/>
  <c r="U673" i="2"/>
  <c r="U678" i="2"/>
  <c r="AH684" i="2"/>
  <c r="U687" i="2"/>
  <c r="U688" i="2"/>
  <c r="V688" i="2" s="1"/>
  <c r="T689" i="2"/>
  <c r="U706" i="2"/>
  <c r="V706" i="2" s="1"/>
  <c r="U710" i="2"/>
  <c r="U722" i="2"/>
  <c r="U723" i="2"/>
  <c r="T723" i="2" s="1"/>
  <c r="AH729" i="2"/>
  <c r="AM739" i="2"/>
  <c r="U767" i="2"/>
  <c r="U774" i="2"/>
  <c r="T796" i="2"/>
  <c r="U808" i="2"/>
  <c r="AH813" i="2"/>
  <c r="U816" i="2"/>
  <c r="U826" i="2"/>
  <c r="T826" i="2" s="1"/>
  <c r="T828" i="2"/>
  <c r="U834" i="2"/>
  <c r="U835" i="2"/>
  <c r="U837" i="2"/>
  <c r="U800" i="2"/>
  <c r="U621" i="2"/>
  <c r="U624" i="2"/>
  <c r="V633" i="2"/>
  <c r="AG654" i="2"/>
  <c r="U685" i="2"/>
  <c r="V685" i="2" s="1"/>
  <c r="U691" i="2"/>
  <c r="AG730" i="2"/>
  <c r="U741" i="2"/>
  <c r="AM756" i="2"/>
  <c r="AG757" i="2"/>
  <c r="U759" i="2"/>
  <c r="V759" i="2" s="1"/>
  <c r="U763" i="2"/>
  <c r="U766" i="2"/>
  <c r="T766" i="2" s="1"/>
  <c r="AM770" i="2"/>
  <c r="U772" i="2"/>
  <c r="U824" i="2"/>
  <c r="U842" i="2"/>
  <c r="U605" i="2"/>
  <c r="U613" i="2"/>
  <c r="U626" i="2"/>
  <c r="V760" i="2"/>
  <c r="T761" i="2"/>
  <c r="V765" i="2"/>
  <c r="U787" i="2"/>
  <c r="U790" i="2"/>
  <c r="V797" i="2"/>
  <c r="U806" i="2"/>
  <c r="AG812" i="2"/>
  <c r="U841" i="2"/>
  <c r="T844" i="2"/>
  <c r="U845" i="2"/>
  <c r="T56" i="1"/>
  <c r="T25" i="1"/>
  <c r="U25" i="1" s="1"/>
  <c r="T33" i="1"/>
  <c r="T40" i="1"/>
  <c r="S40" i="1" s="1"/>
  <c r="Y40" i="1" s="1"/>
  <c r="AW40" i="1" s="1"/>
  <c r="T19" i="1"/>
  <c r="T42" i="1"/>
  <c r="S42" i="1" s="1"/>
  <c r="Y42" i="1" s="1"/>
  <c r="AW42" i="1" s="1"/>
  <c r="T48" i="1"/>
  <c r="U48" i="1" s="1"/>
  <c r="T63" i="1"/>
  <c r="S63" i="1" s="1"/>
  <c r="Y63" i="1" s="1"/>
  <c r="AW63" i="1" s="1"/>
  <c r="T67" i="1"/>
  <c r="S67" i="1" s="1"/>
  <c r="Y67" i="1" s="1"/>
  <c r="T64" i="1"/>
  <c r="U64" i="1" s="1"/>
  <c r="T69" i="1"/>
  <c r="U69" i="1" s="1"/>
  <c r="V69" i="1" s="1"/>
  <c r="AE69" i="1" s="1"/>
  <c r="T18" i="1"/>
  <c r="U18" i="1" s="1"/>
  <c r="V18" i="1" s="1"/>
  <c r="T20" i="1"/>
  <c r="S20" i="1" s="1"/>
  <c r="Y20" i="1" s="1"/>
  <c r="T26" i="1"/>
  <c r="S26" i="1" s="1"/>
  <c r="Y26" i="1" s="1"/>
  <c r="AW26" i="1" s="1"/>
  <c r="AE46" i="1"/>
  <c r="AG46" i="1" s="1"/>
  <c r="T60" i="1"/>
  <c r="U60" i="1" s="1"/>
  <c r="T105" i="1"/>
  <c r="U105" i="1" s="1"/>
  <c r="V105" i="1" s="1"/>
  <c r="T23" i="1"/>
  <c r="S23" i="1" s="1"/>
  <c r="Y23" i="1" s="1"/>
  <c r="AW23" i="1" s="1"/>
  <c r="T43" i="1"/>
  <c r="S43" i="1" s="1"/>
  <c r="Y43" i="1" s="1"/>
  <c r="AE50" i="1"/>
  <c r="AL50" i="1" s="1"/>
  <c r="T11" i="1"/>
  <c r="T57" i="1"/>
  <c r="U57" i="1" s="1"/>
  <c r="T12" i="1"/>
  <c r="U12" i="1" s="1"/>
  <c r="T8" i="1"/>
  <c r="S8" i="1" s="1"/>
  <c r="Y8" i="1" s="1"/>
  <c r="AW8" i="1" s="1"/>
  <c r="T58" i="1"/>
  <c r="S58" i="1" s="1"/>
  <c r="Y58" i="1" s="1"/>
  <c r="AW58" i="1" s="1"/>
  <c r="T16" i="1"/>
  <c r="S16" i="1" s="1"/>
  <c r="Y16" i="1" s="1"/>
  <c r="AW16" i="1" s="1"/>
  <c r="T52" i="1"/>
  <c r="S52" i="1" s="1"/>
  <c r="Y52" i="1" s="1"/>
  <c r="AW52" i="1" s="1"/>
  <c r="T7" i="1"/>
  <c r="S7" i="1" s="1"/>
  <c r="Y7" i="1" s="1"/>
  <c r="AW7" i="1" s="1"/>
  <c r="T15" i="1"/>
  <c r="T39" i="1"/>
  <c r="S39" i="1" s="1"/>
  <c r="Y39" i="1" s="1"/>
  <c r="AW39" i="1" s="1"/>
  <c r="T41" i="1"/>
  <c r="U41" i="1" s="1"/>
  <c r="T45" i="1"/>
  <c r="U45" i="1" s="1"/>
  <c r="T14" i="1"/>
  <c r="U14" i="1" s="1"/>
  <c r="T17" i="1"/>
  <c r="S17" i="1" s="1"/>
  <c r="Y17" i="1" s="1"/>
  <c r="AW17" i="1" s="1"/>
  <c r="T30" i="1"/>
  <c r="U30" i="1" s="1"/>
  <c r="T38" i="1"/>
  <c r="U38" i="1" s="1"/>
  <c r="AG4" i="1"/>
  <c r="AL4" i="1"/>
  <c r="AF42" i="1"/>
  <c r="T13" i="1"/>
  <c r="S13" i="1" s="1"/>
  <c r="Y13" i="1" s="1"/>
  <c r="AW13" i="1" s="1"/>
  <c r="AL42" i="1"/>
  <c r="T101" i="1"/>
  <c r="T4" i="1"/>
  <c r="U4" i="1" s="1"/>
  <c r="T10" i="1"/>
  <c r="S10" i="1" s="1"/>
  <c r="Y10" i="1" s="1"/>
  <c r="AW10" i="1" s="1"/>
  <c r="T32" i="1"/>
  <c r="U32" i="1" s="1"/>
  <c r="T50" i="1"/>
  <c r="U50" i="1" s="1"/>
  <c r="T65" i="1"/>
  <c r="U65" i="1" s="1"/>
  <c r="V65" i="1" s="1"/>
  <c r="AE65" i="1" s="1"/>
  <c r="AL65" i="1" s="1"/>
  <c r="T34" i="1"/>
  <c r="S34" i="1" s="1"/>
  <c r="Y34" i="1" s="1"/>
  <c r="AW34" i="1" s="1"/>
  <c r="T49" i="1"/>
  <c r="S49" i="1" s="1"/>
  <c r="Y49" i="1" s="1"/>
  <c r="AW49" i="1" s="1"/>
  <c r="T102" i="1"/>
  <c r="U102" i="1" s="1"/>
  <c r="V102" i="1" s="1"/>
  <c r="T104" i="1"/>
  <c r="U104" i="1" s="1"/>
  <c r="T9" i="1"/>
  <c r="U9" i="1" s="1"/>
  <c r="T28" i="1"/>
  <c r="U28" i="1" s="1"/>
  <c r="T31" i="1"/>
  <c r="S31" i="1" s="1"/>
  <c r="Y31" i="1" s="1"/>
  <c r="AW31" i="1" s="1"/>
  <c r="T51" i="1"/>
  <c r="U51" i="1" s="1"/>
  <c r="V51" i="1" s="1"/>
  <c r="T53" i="1"/>
  <c r="S53" i="1" s="1"/>
  <c r="Y53" i="1" s="1"/>
  <c r="AW53" i="1" s="1"/>
  <c r="T61" i="1"/>
  <c r="S61" i="1" s="1"/>
  <c r="Y61" i="1" s="1"/>
  <c r="AW61" i="1" s="1"/>
  <c r="T66" i="1"/>
  <c r="S66" i="1" s="1"/>
  <c r="Y66" i="1" s="1"/>
  <c r="AF23" i="1"/>
  <c r="AG23" i="1"/>
  <c r="AF31" i="1"/>
  <c r="AG31" i="1"/>
  <c r="AF39" i="1"/>
  <c r="AG39" i="1"/>
  <c r="AF52" i="1"/>
  <c r="AG52" i="1"/>
  <c r="AF60" i="1"/>
  <c r="AG60" i="1"/>
  <c r="AG13" i="1"/>
  <c r="AL13" i="1"/>
  <c r="AF13" i="1"/>
  <c r="AL16" i="1"/>
  <c r="AF16" i="1"/>
  <c r="AG16" i="1"/>
  <c r="T5" i="1"/>
  <c r="S5" i="1" s="1"/>
  <c r="Y5" i="1" s="1"/>
  <c r="AW5" i="1" s="1"/>
  <c r="T21" i="1"/>
  <c r="S21" i="1" s="1"/>
  <c r="Y21" i="1" s="1"/>
  <c r="AL36" i="1"/>
  <c r="W46" i="1"/>
  <c r="T54" i="1"/>
  <c r="U54" i="1" s="1"/>
  <c r="T62" i="1"/>
  <c r="U62" i="1" s="1"/>
  <c r="T27" i="1"/>
  <c r="U27" i="1" s="1"/>
  <c r="T36" i="1"/>
  <c r="T37" i="1"/>
  <c r="U37" i="1" s="1"/>
  <c r="X46" i="1"/>
  <c r="AF36" i="1"/>
  <c r="T3" i="1"/>
  <c r="T22" i="1"/>
  <c r="U22" i="1" s="1"/>
  <c r="V22" i="1" s="1"/>
  <c r="T35" i="1"/>
  <c r="U35" i="1" s="1"/>
  <c r="T44" i="1"/>
  <c r="U44" i="1" s="1"/>
  <c r="V44" i="1" s="1"/>
  <c r="X50" i="1"/>
  <c r="T59" i="1"/>
  <c r="T2" i="1"/>
  <c r="U2" i="1" s="1"/>
  <c r="T6" i="1"/>
  <c r="S6" i="1" s="1"/>
  <c r="Y6" i="1" s="1"/>
  <c r="AW6" i="1" s="1"/>
  <c r="T24" i="1"/>
  <c r="U24" i="1" s="1"/>
  <c r="T29" i="1"/>
  <c r="S29" i="1" s="1"/>
  <c r="Y29" i="1" s="1"/>
  <c r="AW29" i="1" s="1"/>
  <c r="T46" i="1"/>
  <c r="S46" i="1" s="1"/>
  <c r="Y46" i="1" s="1"/>
  <c r="T47" i="1"/>
  <c r="U47" i="1" s="1"/>
  <c r="T55" i="1"/>
  <c r="T68" i="1"/>
  <c r="U68" i="1" s="1"/>
  <c r="V68" i="1" s="1"/>
  <c r="AE68" i="1" s="1"/>
  <c r="AG68" i="1" s="1"/>
  <c r="T103" i="1"/>
  <c r="U103" i="1" s="1"/>
  <c r="V93" i="2"/>
  <c r="W93" i="2" s="1"/>
  <c r="T23" i="2"/>
  <c r="V23" i="2"/>
  <c r="AH31" i="2"/>
  <c r="AG31" i="2"/>
  <c r="AM31" i="2"/>
  <c r="AM35" i="2"/>
  <c r="AH35" i="2"/>
  <c r="AG35" i="2"/>
  <c r="T55" i="2"/>
  <c r="V55" i="2"/>
  <c r="AG65" i="2"/>
  <c r="AM65" i="2"/>
  <c r="AH65" i="2"/>
  <c r="AM75" i="2"/>
  <c r="AH75" i="2"/>
  <c r="AG75" i="2"/>
  <c r="V14" i="2"/>
  <c r="T14" i="2"/>
  <c r="AM19" i="2"/>
  <c r="AH19" i="2"/>
  <c r="AG19" i="2"/>
  <c r="AM40" i="2"/>
  <c r="AH40" i="2"/>
  <c r="AG40" i="2"/>
  <c r="V45" i="2"/>
  <c r="T45" i="2"/>
  <c r="AM51" i="2"/>
  <c r="AH51" i="2"/>
  <c r="AG51" i="2"/>
  <c r="T63" i="2"/>
  <c r="V63" i="2"/>
  <c r="AM84" i="2"/>
  <c r="AH84" i="2"/>
  <c r="AG84" i="2"/>
  <c r="AH39" i="2"/>
  <c r="AG39" i="2"/>
  <c r="AM39" i="2"/>
  <c r="AM67" i="2"/>
  <c r="AH67" i="2"/>
  <c r="AG67" i="2"/>
  <c r="AM16" i="2"/>
  <c r="AH16" i="2"/>
  <c r="AG16" i="2"/>
  <c r="V19" i="2"/>
  <c r="T19" i="2"/>
  <c r="V21" i="2"/>
  <c r="T21" i="2"/>
  <c r="V22" i="2"/>
  <c r="T22" i="2"/>
  <c r="AM27" i="2"/>
  <c r="AH27" i="2"/>
  <c r="AG27" i="2"/>
  <c r="AG33" i="2"/>
  <c r="AM33" i="2"/>
  <c r="AH33" i="2"/>
  <c r="AM48" i="2"/>
  <c r="AH48" i="2"/>
  <c r="AG48" i="2"/>
  <c r="V51" i="2"/>
  <c r="T51" i="2"/>
  <c r="V53" i="2"/>
  <c r="T53" i="2"/>
  <c r="V54" i="2"/>
  <c r="T54" i="2"/>
  <c r="AM59" i="2"/>
  <c r="AH59" i="2"/>
  <c r="AG59" i="2"/>
  <c r="AG73" i="2"/>
  <c r="AM73" i="2"/>
  <c r="AH73" i="2"/>
  <c r="AG49" i="2"/>
  <c r="AM49" i="2"/>
  <c r="AH49" i="2"/>
  <c r="AH15" i="2"/>
  <c r="AG15" i="2"/>
  <c r="AM15" i="2"/>
  <c r="V17" i="2"/>
  <c r="T17" i="2"/>
  <c r="AG25" i="2"/>
  <c r="AM25" i="2"/>
  <c r="AH25" i="2"/>
  <c r="T39" i="2"/>
  <c r="V39" i="2"/>
  <c r="AH47" i="2"/>
  <c r="AG47" i="2"/>
  <c r="AM47" i="2"/>
  <c r="T49" i="2"/>
  <c r="V49" i="2"/>
  <c r="AG57" i="2"/>
  <c r="AM57" i="2"/>
  <c r="AH57" i="2"/>
  <c r="AM64" i="2"/>
  <c r="AH64" i="2"/>
  <c r="AG64" i="2"/>
  <c r="V67" i="2"/>
  <c r="T67" i="2"/>
  <c r="T31" i="2"/>
  <c r="V31" i="2"/>
  <c r="V35" i="2"/>
  <c r="T35" i="2"/>
  <c r="V37" i="2"/>
  <c r="T37" i="2"/>
  <c r="T38" i="2"/>
  <c r="AM43" i="2"/>
  <c r="AH43" i="2"/>
  <c r="AG43" i="2"/>
  <c r="AH63" i="2"/>
  <c r="AG63" i="2"/>
  <c r="AM63" i="2"/>
  <c r="T65" i="2"/>
  <c r="V65" i="2"/>
  <c r="AM72" i="2"/>
  <c r="AH72" i="2"/>
  <c r="AG72" i="2"/>
  <c r="V75" i="2"/>
  <c r="T75" i="2"/>
  <c r="AG80" i="2"/>
  <c r="AM80" i="2"/>
  <c r="AH80" i="2"/>
  <c r="V94" i="2"/>
  <c r="W94" i="2" s="1"/>
  <c r="T94" i="2"/>
  <c r="AG17" i="2"/>
  <c r="AM17" i="2"/>
  <c r="AH17" i="2"/>
  <c r="T41" i="2"/>
  <c r="V41" i="2"/>
  <c r="V62" i="2"/>
  <c r="T62" i="2"/>
  <c r="AG9" i="2"/>
  <c r="AM9" i="2"/>
  <c r="AH9" i="2"/>
  <c r="AM24" i="2"/>
  <c r="AH24" i="2"/>
  <c r="AG24" i="2"/>
  <c r="V27" i="2"/>
  <c r="T27" i="2"/>
  <c r="V29" i="2"/>
  <c r="T29" i="2"/>
  <c r="V30" i="2"/>
  <c r="T30" i="2"/>
  <c r="T33" i="2"/>
  <c r="V33" i="2"/>
  <c r="AG41" i="2"/>
  <c r="AM41" i="2"/>
  <c r="AH41" i="2"/>
  <c r="AM56" i="2"/>
  <c r="AH56" i="2"/>
  <c r="AG56" i="2"/>
  <c r="V59" i="2"/>
  <c r="T59" i="2"/>
  <c r="T71" i="2"/>
  <c r="V71" i="2"/>
  <c r="V73" i="2"/>
  <c r="T73" i="2"/>
  <c r="T79" i="2"/>
  <c r="V79" i="2"/>
  <c r="T81" i="2"/>
  <c r="V81" i="2"/>
  <c r="AM86" i="2"/>
  <c r="AH86" i="2"/>
  <c r="AG86" i="2"/>
  <c r="V13" i="2"/>
  <c r="T13" i="2"/>
  <c r="V43" i="2"/>
  <c r="T43" i="2"/>
  <c r="V46" i="2"/>
  <c r="T46" i="2"/>
  <c r="AH83" i="2"/>
  <c r="AG83" i="2"/>
  <c r="AM83" i="2"/>
  <c r="V89" i="2"/>
  <c r="T89" i="2"/>
  <c r="X97" i="2"/>
  <c r="AF97" i="2"/>
  <c r="Y97" i="2"/>
  <c r="T85" i="2"/>
  <c r="V85" i="2"/>
  <c r="AH23" i="2"/>
  <c r="AG23" i="2"/>
  <c r="AM23" i="2"/>
  <c r="T25" i="2"/>
  <c r="V25" i="2"/>
  <c r="T47" i="2"/>
  <c r="V47" i="2"/>
  <c r="AH55" i="2"/>
  <c r="AG55" i="2"/>
  <c r="AM55" i="2"/>
  <c r="T57" i="2"/>
  <c r="V57" i="2"/>
  <c r="V70" i="2"/>
  <c r="T70" i="2"/>
  <c r="V78" i="2"/>
  <c r="T78" i="2"/>
  <c r="Y109" i="2"/>
  <c r="X109" i="2"/>
  <c r="U9" i="2"/>
  <c r="AF11" i="2"/>
  <c r="V12" i="2"/>
  <c r="AM12" i="2"/>
  <c r="AG14" i="2"/>
  <c r="V20" i="2"/>
  <c r="AM20" i="2"/>
  <c r="AG22" i="2"/>
  <c r="V28" i="2"/>
  <c r="AM28" i="2"/>
  <c r="AG30" i="2"/>
  <c r="V36" i="2"/>
  <c r="AM36" i="2"/>
  <c r="AG38" i="2"/>
  <c r="V44" i="2"/>
  <c r="AM44" i="2"/>
  <c r="AG46" i="2"/>
  <c r="V52" i="2"/>
  <c r="AM52" i="2"/>
  <c r="AG54" i="2"/>
  <c r="V60" i="2"/>
  <c r="AM60" i="2"/>
  <c r="AG62" i="2"/>
  <c r="V68" i="2"/>
  <c r="AM68" i="2"/>
  <c r="AG70" i="2"/>
  <c r="V76" i="2"/>
  <c r="AM76" i="2"/>
  <c r="AG78" i="2"/>
  <c r="AM85" i="2"/>
  <c r="V87" i="2"/>
  <c r="AM87" i="2"/>
  <c r="AG96" i="2"/>
  <c r="V101" i="2"/>
  <c r="V105" i="2"/>
  <c r="T105" i="2"/>
  <c r="T106" i="2"/>
  <c r="V117" i="2"/>
  <c r="T117" i="2"/>
  <c r="AM139" i="2"/>
  <c r="AH139" i="2"/>
  <c r="AG139" i="2"/>
  <c r="T153" i="2"/>
  <c r="V153" i="2"/>
  <c r="V155" i="2"/>
  <c r="T155" i="2"/>
  <c r="AM160" i="2"/>
  <c r="AH160" i="2"/>
  <c r="AG160" i="2"/>
  <c r="V173" i="2"/>
  <c r="T173" i="2"/>
  <c r="AM184" i="2"/>
  <c r="AH184" i="2"/>
  <c r="AG184" i="2"/>
  <c r="AM200" i="2"/>
  <c r="AH200" i="2"/>
  <c r="AG200" i="2"/>
  <c r="U203" i="2"/>
  <c r="AG209" i="2"/>
  <c r="AM209" i="2"/>
  <c r="AM210" i="2"/>
  <c r="AH210" i="2"/>
  <c r="AG210" i="2"/>
  <c r="AG217" i="2"/>
  <c r="AM217" i="2"/>
  <c r="AM218" i="2"/>
  <c r="AH218" i="2"/>
  <c r="AG218" i="2"/>
  <c r="AG225" i="2"/>
  <c r="AM225" i="2"/>
  <c r="AM226" i="2"/>
  <c r="AH226" i="2"/>
  <c r="AG226" i="2"/>
  <c r="AM235" i="2"/>
  <c r="AH235" i="2"/>
  <c r="AG235" i="2"/>
  <c r="AM242" i="2"/>
  <c r="AH242" i="2"/>
  <c r="AG242" i="2"/>
  <c r="AM248" i="2"/>
  <c r="AH248" i="2"/>
  <c r="AG248" i="2"/>
  <c r="V253" i="2"/>
  <c r="T253" i="2"/>
  <c r="T255" i="2"/>
  <c r="V255" i="2"/>
  <c r="V274" i="2"/>
  <c r="T274" i="2"/>
  <c r="T275" i="2"/>
  <c r="V275" i="2"/>
  <c r="V338" i="2"/>
  <c r="T338" i="2"/>
  <c r="T339" i="2"/>
  <c r="V339" i="2"/>
  <c r="V191" i="2"/>
  <c r="T191" i="2"/>
  <c r="AM202" i="2"/>
  <c r="AH202" i="2"/>
  <c r="AG202" i="2"/>
  <c r="V282" i="2"/>
  <c r="T282" i="2"/>
  <c r="T347" i="2"/>
  <c r="V347" i="2"/>
  <c r="AH14" i="2"/>
  <c r="AH22" i="2"/>
  <c r="AH30" i="2"/>
  <c r="AH38" i="2"/>
  <c r="AH46" i="2"/>
  <c r="AH54" i="2"/>
  <c r="AH62" i="2"/>
  <c r="AH70" i="2"/>
  <c r="AH78" i="2"/>
  <c r="AF90" i="2"/>
  <c r="U92" i="2"/>
  <c r="T96" i="2"/>
  <c r="AM96" i="2"/>
  <c r="V98" i="2"/>
  <c r="V104" i="2"/>
  <c r="T104" i="2"/>
  <c r="T109" i="2"/>
  <c r="AF111" i="2"/>
  <c r="Y111" i="2"/>
  <c r="AG113" i="2"/>
  <c r="AM113" i="2"/>
  <c r="V125" i="2"/>
  <c r="T125" i="2"/>
  <c r="T142" i="2"/>
  <c r="AG145" i="2"/>
  <c r="AM145" i="2"/>
  <c r="AM163" i="2"/>
  <c r="AH163" i="2"/>
  <c r="AG163" i="2"/>
  <c r="T166" i="2"/>
  <c r="AG169" i="2"/>
  <c r="AM169" i="2"/>
  <c r="V181" i="2"/>
  <c r="T181" i="2"/>
  <c r="AM187" i="2"/>
  <c r="AH187" i="2"/>
  <c r="AG187" i="2"/>
  <c r="AM208" i="2"/>
  <c r="AH208" i="2"/>
  <c r="AG208" i="2"/>
  <c r="AH209" i="2"/>
  <c r="U211" i="2"/>
  <c r="AM216" i="2"/>
  <c r="AH216" i="2"/>
  <c r="AG216" i="2"/>
  <c r="AH217" i="2"/>
  <c r="U219" i="2"/>
  <c r="AM224" i="2"/>
  <c r="AH224" i="2"/>
  <c r="AG224" i="2"/>
  <c r="AH225" i="2"/>
  <c r="U227" i="2"/>
  <c r="AM232" i="2"/>
  <c r="AH232" i="2"/>
  <c r="AG232" i="2"/>
  <c r="AM234" i="2"/>
  <c r="AH234" i="2"/>
  <c r="AG234" i="2"/>
  <c r="AM240" i="2"/>
  <c r="AH240" i="2"/>
  <c r="AG240" i="2"/>
  <c r="U243" i="2"/>
  <c r="T254" i="2"/>
  <c r="V254" i="2"/>
  <c r="V330" i="2"/>
  <c r="T330" i="2"/>
  <c r="T331" i="2"/>
  <c r="V331" i="2"/>
  <c r="AG382" i="2"/>
  <c r="AH382" i="2"/>
  <c r="AM382" i="2"/>
  <c r="V128" i="2"/>
  <c r="T128" i="2"/>
  <c r="V131" i="2"/>
  <c r="T131" i="2"/>
  <c r="AM136" i="2"/>
  <c r="AH136" i="2"/>
  <c r="AG136" i="2"/>
  <c r="AG185" i="2"/>
  <c r="AM185" i="2"/>
  <c r="T193" i="2"/>
  <c r="V193" i="2"/>
  <c r="AM243" i="2"/>
  <c r="AH243" i="2"/>
  <c r="AG243" i="2"/>
  <c r="AM250" i="2"/>
  <c r="AH250" i="2"/>
  <c r="AG250" i="2"/>
  <c r="T283" i="2"/>
  <c r="V283" i="2"/>
  <c r="V346" i="2"/>
  <c r="T346" i="2"/>
  <c r="T16" i="2"/>
  <c r="T24" i="2"/>
  <c r="T32" i="2"/>
  <c r="T40" i="2"/>
  <c r="T48" i="2"/>
  <c r="T56" i="2"/>
  <c r="T64" i="2"/>
  <c r="AM112" i="2"/>
  <c r="AH112" i="2"/>
  <c r="AG112" i="2"/>
  <c r="AG121" i="2"/>
  <c r="AM121" i="2"/>
  <c r="V136" i="2"/>
  <c r="T136" i="2"/>
  <c r="T137" i="2"/>
  <c r="V137" i="2"/>
  <c r="V139" i="2"/>
  <c r="T139" i="2"/>
  <c r="AM144" i="2"/>
  <c r="AH144" i="2"/>
  <c r="AG144" i="2"/>
  <c r="AM168" i="2"/>
  <c r="AH168" i="2"/>
  <c r="AG168" i="2"/>
  <c r="AH169" i="2"/>
  <c r="T174" i="2"/>
  <c r="AG177" i="2"/>
  <c r="AM177" i="2"/>
  <c r="V183" i="2"/>
  <c r="T183" i="2"/>
  <c r="V197" i="2"/>
  <c r="T197" i="2"/>
  <c r="V235" i="2"/>
  <c r="T235" i="2"/>
  <c r="V250" i="2"/>
  <c r="T250" i="2"/>
  <c r="V322" i="2"/>
  <c r="T322" i="2"/>
  <c r="T323" i="2"/>
  <c r="V323" i="2"/>
  <c r="V378" i="2"/>
  <c r="T378" i="2"/>
  <c r="T379" i="2"/>
  <c r="V379" i="2"/>
  <c r="T129" i="2"/>
  <c r="V129" i="2"/>
  <c r="AM219" i="2"/>
  <c r="AH219" i="2"/>
  <c r="AG219" i="2"/>
  <c r="AM227" i="2"/>
  <c r="AH227" i="2"/>
  <c r="AG227" i="2"/>
  <c r="T86" i="2"/>
  <c r="V103" i="2"/>
  <c r="W103" i="2" s="1"/>
  <c r="AF104" i="2"/>
  <c r="Y104" i="2"/>
  <c r="V108" i="2"/>
  <c r="W108" i="2" s="1"/>
  <c r="T108" i="2"/>
  <c r="AM115" i="2"/>
  <c r="AH115" i="2"/>
  <c r="AG115" i="2"/>
  <c r="AM120" i="2"/>
  <c r="AH120" i="2"/>
  <c r="AG120" i="2"/>
  <c r="AH121" i="2"/>
  <c r="T126" i="2"/>
  <c r="AG129" i="2"/>
  <c r="AM129" i="2"/>
  <c r="AM147" i="2"/>
  <c r="AH147" i="2"/>
  <c r="AG147" i="2"/>
  <c r="V160" i="2"/>
  <c r="T160" i="2"/>
  <c r="T161" i="2"/>
  <c r="V161" i="2"/>
  <c r="U163" i="2"/>
  <c r="AM171" i="2"/>
  <c r="AH171" i="2"/>
  <c r="AG171" i="2"/>
  <c r="AM176" i="2"/>
  <c r="AH176" i="2"/>
  <c r="AG176" i="2"/>
  <c r="AH177" i="2"/>
  <c r="V184" i="2"/>
  <c r="T184" i="2"/>
  <c r="T185" i="2"/>
  <c r="V185" i="2"/>
  <c r="U187" i="2"/>
  <c r="AG193" i="2"/>
  <c r="AM193" i="2"/>
  <c r="T198" i="2"/>
  <c r="V199" i="2"/>
  <c r="T199" i="2"/>
  <c r="V200" i="2"/>
  <c r="T200" i="2"/>
  <c r="T201" i="2"/>
  <c r="V201" i="2"/>
  <c r="V205" i="2"/>
  <c r="T205" i="2"/>
  <c r="V242" i="2"/>
  <c r="T242" i="2"/>
  <c r="V248" i="2"/>
  <c r="T248" i="2"/>
  <c r="T249" i="2"/>
  <c r="V249" i="2"/>
  <c r="V314" i="2"/>
  <c r="T314" i="2"/>
  <c r="T315" i="2"/>
  <c r="V315" i="2"/>
  <c r="V444" i="2"/>
  <c r="T444" i="2"/>
  <c r="V456" i="2"/>
  <c r="T456" i="2"/>
  <c r="T10" i="2"/>
  <c r="AG10" i="2"/>
  <c r="T18" i="2"/>
  <c r="AG18" i="2"/>
  <c r="T26" i="2"/>
  <c r="AG26" i="2"/>
  <c r="T34" i="2"/>
  <c r="AG34" i="2"/>
  <c r="T42" i="2"/>
  <c r="AG42" i="2"/>
  <c r="T50" i="2"/>
  <c r="AG50" i="2"/>
  <c r="T58" i="2"/>
  <c r="AG58" i="2"/>
  <c r="T66" i="2"/>
  <c r="AG66" i="2"/>
  <c r="T74" i="2"/>
  <c r="AG74" i="2"/>
  <c r="AF109" i="2"/>
  <c r="AM123" i="2"/>
  <c r="AH123" i="2"/>
  <c r="AG123" i="2"/>
  <c r="AM128" i="2"/>
  <c r="AH128" i="2"/>
  <c r="AG128" i="2"/>
  <c r="T150" i="2"/>
  <c r="AG153" i="2"/>
  <c r="AM153" i="2"/>
  <c r="AM179" i="2"/>
  <c r="AH179" i="2"/>
  <c r="AG179" i="2"/>
  <c r="AM192" i="2"/>
  <c r="AH192" i="2"/>
  <c r="AG192" i="2"/>
  <c r="T206" i="2"/>
  <c r="V207" i="2"/>
  <c r="T207" i="2"/>
  <c r="V208" i="2"/>
  <c r="T208" i="2"/>
  <c r="T209" i="2"/>
  <c r="V209" i="2"/>
  <c r="V213" i="2"/>
  <c r="T213" i="2"/>
  <c r="V216" i="2"/>
  <c r="T216" i="2"/>
  <c r="T217" i="2"/>
  <c r="V217" i="2"/>
  <c r="V221" i="2"/>
  <c r="V224" i="2"/>
  <c r="T224" i="2"/>
  <c r="T225" i="2"/>
  <c r="V225" i="2"/>
  <c r="V229" i="2"/>
  <c r="T229" i="2"/>
  <c r="V232" i="2"/>
  <c r="T232" i="2"/>
  <c r="T233" i="2"/>
  <c r="V233" i="2"/>
  <c r="V234" i="2"/>
  <c r="T234" i="2"/>
  <c r="V240" i="2"/>
  <c r="T240" i="2"/>
  <c r="T241" i="2"/>
  <c r="V241" i="2"/>
  <c r="V247" i="2"/>
  <c r="T247" i="2"/>
  <c r="V261" i="2"/>
  <c r="T261" i="2"/>
  <c r="V306" i="2"/>
  <c r="T306" i="2"/>
  <c r="T307" i="2"/>
  <c r="V307" i="2"/>
  <c r="V370" i="2"/>
  <c r="T370" i="2"/>
  <c r="T371" i="2"/>
  <c r="V371" i="2"/>
  <c r="AG161" i="2"/>
  <c r="AM161" i="2"/>
  <c r="V192" i="2"/>
  <c r="T192" i="2"/>
  <c r="V195" i="2"/>
  <c r="T195" i="2"/>
  <c r="AG201" i="2"/>
  <c r="AM201" i="2"/>
  <c r="AM211" i="2"/>
  <c r="AH211" i="2"/>
  <c r="AG211" i="2"/>
  <c r="AG71" i="2"/>
  <c r="AG79" i="2"/>
  <c r="AG81" i="2"/>
  <c r="AH101" i="2"/>
  <c r="AG101" i="2"/>
  <c r="AG110" i="2"/>
  <c r="AM110" i="2"/>
  <c r="V112" i="2"/>
  <c r="T112" i="2"/>
  <c r="T113" i="2"/>
  <c r="V113" i="2"/>
  <c r="U115" i="2"/>
  <c r="AM131" i="2"/>
  <c r="AH131" i="2"/>
  <c r="AG131" i="2"/>
  <c r="V144" i="2"/>
  <c r="T144" i="2"/>
  <c r="T145" i="2"/>
  <c r="V145" i="2"/>
  <c r="U147" i="2"/>
  <c r="AM152" i="2"/>
  <c r="AH152" i="2"/>
  <c r="AG152" i="2"/>
  <c r="AH153" i="2"/>
  <c r="V168" i="2"/>
  <c r="T168" i="2"/>
  <c r="T169" i="2"/>
  <c r="V169" i="2"/>
  <c r="U171" i="2"/>
  <c r="AM195" i="2"/>
  <c r="AH195" i="2"/>
  <c r="AG195" i="2"/>
  <c r="T214" i="2"/>
  <c r="V215" i="2"/>
  <c r="T215" i="2"/>
  <c r="T222" i="2"/>
  <c r="V223" i="2"/>
  <c r="T223" i="2"/>
  <c r="V231" i="2"/>
  <c r="T231" i="2"/>
  <c r="V237" i="2"/>
  <c r="T237" i="2"/>
  <c r="V239" i="2"/>
  <c r="T239" i="2"/>
  <c r="V298" i="2"/>
  <c r="T298" i="2"/>
  <c r="T299" i="2"/>
  <c r="V299" i="2"/>
  <c r="V362" i="2"/>
  <c r="T362" i="2"/>
  <c r="T363" i="2"/>
  <c r="V363" i="2"/>
  <c r="X88" i="2"/>
  <c r="AG89" i="2"/>
  <c r="X90" i="2"/>
  <c r="AH98" i="2"/>
  <c r="AG98" i="2"/>
  <c r="T121" i="2"/>
  <c r="V121" i="2"/>
  <c r="U123" i="2"/>
  <c r="AG137" i="2"/>
  <c r="AM137" i="2"/>
  <c r="AM155" i="2"/>
  <c r="AH155" i="2"/>
  <c r="AG155" i="2"/>
  <c r="V176" i="2"/>
  <c r="T176" i="2"/>
  <c r="T177" i="2"/>
  <c r="V177" i="2"/>
  <c r="U179" i="2"/>
  <c r="V189" i="2"/>
  <c r="T189" i="2"/>
  <c r="AM203" i="2"/>
  <c r="AH203" i="2"/>
  <c r="AG203" i="2"/>
  <c r="AM251" i="2"/>
  <c r="AH251" i="2"/>
  <c r="AG251" i="2"/>
  <c r="AH252" i="2"/>
  <c r="AG252" i="2"/>
  <c r="AG255" i="2"/>
  <c r="AM255" i="2"/>
  <c r="AH255" i="2"/>
  <c r="V290" i="2"/>
  <c r="T290" i="2"/>
  <c r="T291" i="2"/>
  <c r="V291" i="2"/>
  <c r="V354" i="2"/>
  <c r="T354" i="2"/>
  <c r="T355" i="2"/>
  <c r="V355" i="2"/>
  <c r="AH106" i="2"/>
  <c r="AH118" i="2"/>
  <c r="AH126" i="2"/>
  <c r="AH134" i="2"/>
  <c r="AH142" i="2"/>
  <c r="AH150" i="2"/>
  <c r="AH158" i="2"/>
  <c r="AH166" i="2"/>
  <c r="AH174" i="2"/>
  <c r="AH182" i="2"/>
  <c r="AH190" i="2"/>
  <c r="AH198" i="2"/>
  <c r="AH206" i="2"/>
  <c r="AH214" i="2"/>
  <c r="AH222" i="2"/>
  <c r="AH230" i="2"/>
  <c r="AH238" i="2"/>
  <c r="AM241" i="2"/>
  <c r="AH246" i="2"/>
  <c r="AM249" i="2"/>
  <c r="V257" i="2"/>
  <c r="T257" i="2"/>
  <c r="AM258" i="2"/>
  <c r="AM265" i="2"/>
  <c r="AH265" i="2"/>
  <c r="AG265" i="2"/>
  <c r="AH270" i="2"/>
  <c r="AG270" i="2"/>
  <c r="AH278" i="2"/>
  <c r="AG278" i="2"/>
  <c r="AH286" i="2"/>
  <c r="AG286" i="2"/>
  <c r="AH294" i="2"/>
  <c r="AG294" i="2"/>
  <c r="AH302" i="2"/>
  <c r="AG302" i="2"/>
  <c r="AH310" i="2"/>
  <c r="AG310" i="2"/>
  <c r="AH318" i="2"/>
  <c r="AG318" i="2"/>
  <c r="AH326" i="2"/>
  <c r="AG326" i="2"/>
  <c r="AH334" i="2"/>
  <c r="AG334" i="2"/>
  <c r="AH342" i="2"/>
  <c r="AG342" i="2"/>
  <c r="AH350" i="2"/>
  <c r="AG350" i="2"/>
  <c r="AH358" i="2"/>
  <c r="AG358" i="2"/>
  <c r="AH366" i="2"/>
  <c r="AG366" i="2"/>
  <c r="AH374" i="2"/>
  <c r="AG374" i="2"/>
  <c r="V380" i="2"/>
  <c r="T380" i="2"/>
  <c r="V396" i="2"/>
  <c r="T396" i="2"/>
  <c r="V400" i="2"/>
  <c r="T400" i="2"/>
  <c r="AF401" i="2"/>
  <c r="Y401" i="2"/>
  <c r="X401" i="2"/>
  <c r="V414" i="2"/>
  <c r="T414" i="2"/>
  <c r="T429" i="2"/>
  <c r="V429" i="2"/>
  <c r="V448" i="2"/>
  <c r="T448" i="2"/>
  <c r="AF449" i="2"/>
  <c r="Y449" i="2"/>
  <c r="X449" i="2"/>
  <c r="V464" i="2"/>
  <c r="T464" i="2"/>
  <c r="X510" i="2"/>
  <c r="AF510" i="2"/>
  <c r="Y510" i="2"/>
  <c r="AF105" i="2"/>
  <c r="AM260" i="2"/>
  <c r="AH260" i="2"/>
  <c r="AG266" i="2"/>
  <c r="AG267" i="2"/>
  <c r="AM267" i="2"/>
  <c r="AM268" i="2"/>
  <c r="AH268" i="2"/>
  <c r="AM269" i="2"/>
  <c r="AH269" i="2"/>
  <c r="AG269" i="2"/>
  <c r="AM270" i="2"/>
  <c r="V273" i="2"/>
  <c r="T273" i="2"/>
  <c r="AM277" i="2"/>
  <c r="AH277" i="2"/>
  <c r="AG277" i="2"/>
  <c r="AM278" i="2"/>
  <c r="V281" i="2"/>
  <c r="T281" i="2"/>
  <c r="AM285" i="2"/>
  <c r="AH285" i="2"/>
  <c r="AG285" i="2"/>
  <c r="AM286" i="2"/>
  <c r="V289" i="2"/>
  <c r="T289" i="2"/>
  <c r="AM293" i="2"/>
  <c r="AH293" i="2"/>
  <c r="AG293" i="2"/>
  <c r="AM294" i="2"/>
  <c r="V297" i="2"/>
  <c r="T297" i="2"/>
  <c r="AM301" i="2"/>
  <c r="AH301" i="2"/>
  <c r="AG301" i="2"/>
  <c r="AM302" i="2"/>
  <c r="V305" i="2"/>
  <c r="T305" i="2"/>
  <c r="AM309" i="2"/>
  <c r="AH309" i="2"/>
  <c r="AG309" i="2"/>
  <c r="AM310" i="2"/>
  <c r="V313" i="2"/>
  <c r="T313" i="2"/>
  <c r="AM317" i="2"/>
  <c r="AH317" i="2"/>
  <c r="AG317" i="2"/>
  <c r="AM318" i="2"/>
  <c r="AM325" i="2"/>
  <c r="AH325" i="2"/>
  <c r="AG325" i="2"/>
  <c r="AM326" i="2"/>
  <c r="V329" i="2"/>
  <c r="T329" i="2"/>
  <c r="AM333" i="2"/>
  <c r="AH333" i="2"/>
  <c r="AG333" i="2"/>
  <c r="AM334" i="2"/>
  <c r="V337" i="2"/>
  <c r="T337" i="2"/>
  <c r="AM341" i="2"/>
  <c r="AH341" i="2"/>
  <c r="AG341" i="2"/>
  <c r="AM342" i="2"/>
  <c r="V345" i="2"/>
  <c r="T345" i="2"/>
  <c r="AM349" i="2"/>
  <c r="AH349" i="2"/>
  <c r="AG349" i="2"/>
  <c r="AM350" i="2"/>
  <c r="V353" i="2"/>
  <c r="T353" i="2"/>
  <c r="AM357" i="2"/>
  <c r="AH357" i="2"/>
  <c r="AG357" i="2"/>
  <c r="AM358" i="2"/>
  <c r="V361" i="2"/>
  <c r="T361" i="2"/>
  <c r="AM365" i="2"/>
  <c r="AH365" i="2"/>
  <c r="AG365" i="2"/>
  <c r="AM366" i="2"/>
  <c r="AM373" i="2"/>
  <c r="AH373" i="2"/>
  <c r="AG373" i="2"/>
  <c r="AM374" i="2"/>
  <c r="V377" i="2"/>
  <c r="T377" i="2"/>
  <c r="V404" i="2"/>
  <c r="T404" i="2"/>
  <c r="V408" i="2"/>
  <c r="T408" i="2"/>
  <c r="V420" i="2"/>
  <c r="T420" i="2"/>
  <c r="V428" i="2"/>
  <c r="T428" i="2"/>
  <c r="V442" i="2"/>
  <c r="T442" i="2"/>
  <c r="V499" i="2"/>
  <c r="T499" i="2"/>
  <c r="T500" i="2"/>
  <c r="V500" i="2"/>
  <c r="AG181" i="2"/>
  <c r="AG189" i="2"/>
  <c r="AG197" i="2"/>
  <c r="AG205" i="2"/>
  <c r="AG213" i="2"/>
  <c r="AG221" i="2"/>
  <c r="AG229" i="2"/>
  <c r="AG237" i="2"/>
  <c r="AG245" i="2"/>
  <c r="AG253" i="2"/>
  <c r="AM259" i="2"/>
  <c r="AG260" i="2"/>
  <c r="AM261" i="2"/>
  <c r="AG261" i="2"/>
  <c r="AH262" i="2"/>
  <c r="AG262" i="2"/>
  <c r="AM266" i="2"/>
  <c r="AH267" i="2"/>
  <c r="AG268" i="2"/>
  <c r="AM276" i="2"/>
  <c r="AH276" i="2"/>
  <c r="AG276" i="2"/>
  <c r="AM284" i="2"/>
  <c r="AH284" i="2"/>
  <c r="AG284" i="2"/>
  <c r="AM292" i="2"/>
  <c r="AH292" i="2"/>
  <c r="AG292" i="2"/>
  <c r="AM300" i="2"/>
  <c r="AH300" i="2"/>
  <c r="AG300" i="2"/>
  <c r="AM308" i="2"/>
  <c r="AH308" i="2"/>
  <c r="AG308" i="2"/>
  <c r="AM316" i="2"/>
  <c r="AH316" i="2"/>
  <c r="AG316" i="2"/>
  <c r="AM324" i="2"/>
  <c r="AH324" i="2"/>
  <c r="AG324" i="2"/>
  <c r="AM332" i="2"/>
  <c r="AH332" i="2"/>
  <c r="AG332" i="2"/>
  <c r="AM340" i="2"/>
  <c r="AH340" i="2"/>
  <c r="AG340" i="2"/>
  <c r="AM348" i="2"/>
  <c r="AH348" i="2"/>
  <c r="AG348" i="2"/>
  <c r="AM356" i="2"/>
  <c r="AH356" i="2"/>
  <c r="AG356" i="2"/>
  <c r="AM364" i="2"/>
  <c r="AH364" i="2"/>
  <c r="AG364" i="2"/>
  <c r="AM372" i="2"/>
  <c r="AH372" i="2"/>
  <c r="AG372" i="2"/>
  <c r="AM387" i="2"/>
  <c r="AH387" i="2"/>
  <c r="AG387" i="2"/>
  <c r="AM399" i="2"/>
  <c r="AH399" i="2"/>
  <c r="AG399" i="2"/>
  <c r="V426" i="2"/>
  <c r="T426" i="2"/>
  <c r="AM447" i="2"/>
  <c r="AH447" i="2"/>
  <c r="AG447" i="2"/>
  <c r="V452" i="2"/>
  <c r="T452" i="2"/>
  <c r="T453" i="2"/>
  <c r="V453" i="2"/>
  <c r="T111" i="2"/>
  <c r="T114" i="2"/>
  <c r="T122" i="2"/>
  <c r="T130" i="2"/>
  <c r="T138" i="2"/>
  <c r="T146" i="2"/>
  <c r="T154" i="2"/>
  <c r="T162" i="2"/>
  <c r="T170" i="2"/>
  <c r="T178" i="2"/>
  <c r="T186" i="2"/>
  <c r="T194" i="2"/>
  <c r="T202" i="2"/>
  <c r="T210" i="2"/>
  <c r="T218" i="2"/>
  <c r="T226" i="2"/>
  <c r="AH237" i="2"/>
  <c r="AH245" i="2"/>
  <c r="AH253" i="2"/>
  <c r="AM263" i="2"/>
  <c r="AG263" i="2"/>
  <c r="V265" i="2"/>
  <c r="T265" i="2"/>
  <c r="AG275" i="2"/>
  <c r="AM275" i="2"/>
  <c r="AG283" i="2"/>
  <c r="AM283" i="2"/>
  <c r="AG291" i="2"/>
  <c r="AM291" i="2"/>
  <c r="AG299" i="2"/>
  <c r="AM299" i="2"/>
  <c r="AG307" i="2"/>
  <c r="AM307" i="2"/>
  <c r="AG315" i="2"/>
  <c r="AM315" i="2"/>
  <c r="AG323" i="2"/>
  <c r="AM323" i="2"/>
  <c r="AG331" i="2"/>
  <c r="AM331" i="2"/>
  <c r="AG339" i="2"/>
  <c r="AM339" i="2"/>
  <c r="AG347" i="2"/>
  <c r="AM347" i="2"/>
  <c r="AG355" i="2"/>
  <c r="AM355" i="2"/>
  <c r="AG363" i="2"/>
  <c r="AM363" i="2"/>
  <c r="AG371" i="2"/>
  <c r="AM371" i="2"/>
  <c r="AM383" i="2"/>
  <c r="AH383" i="2"/>
  <c r="AG383" i="2"/>
  <c r="AF390" i="2"/>
  <c r="X390" i="2"/>
  <c r="Y390" i="2"/>
  <c r="AM452" i="2"/>
  <c r="AH452" i="2"/>
  <c r="AG452" i="2"/>
  <c r="T493" i="2"/>
  <c r="V493" i="2"/>
  <c r="AG215" i="2"/>
  <c r="AG223" i="2"/>
  <c r="AG231" i="2"/>
  <c r="AG239" i="2"/>
  <c r="AG247" i="2"/>
  <c r="V269" i="2"/>
  <c r="T269" i="2"/>
  <c r="AM274" i="2"/>
  <c r="AH274" i="2"/>
  <c r="AG274" i="2"/>
  <c r="V277" i="2"/>
  <c r="T277" i="2"/>
  <c r="AM282" i="2"/>
  <c r="AH282" i="2"/>
  <c r="AG282" i="2"/>
  <c r="V285" i="2"/>
  <c r="T285" i="2"/>
  <c r="AM290" i="2"/>
  <c r="AH290" i="2"/>
  <c r="AG290" i="2"/>
  <c r="V293" i="2"/>
  <c r="T293" i="2"/>
  <c r="AM298" i="2"/>
  <c r="AH298" i="2"/>
  <c r="AG298" i="2"/>
  <c r="V301" i="2"/>
  <c r="T301" i="2"/>
  <c r="AM306" i="2"/>
  <c r="AH306" i="2"/>
  <c r="AG306" i="2"/>
  <c r="V309" i="2"/>
  <c r="T309" i="2"/>
  <c r="AM314" i="2"/>
  <c r="AH314" i="2"/>
  <c r="AG314" i="2"/>
  <c r="V317" i="2"/>
  <c r="T317" i="2"/>
  <c r="AM322" i="2"/>
  <c r="AH322" i="2"/>
  <c r="AG322" i="2"/>
  <c r="V325" i="2"/>
  <c r="T325" i="2"/>
  <c r="AM330" i="2"/>
  <c r="AH330" i="2"/>
  <c r="AG330" i="2"/>
  <c r="V333" i="2"/>
  <c r="T333" i="2"/>
  <c r="AM338" i="2"/>
  <c r="AH338" i="2"/>
  <c r="AG338" i="2"/>
  <c r="V341" i="2"/>
  <c r="T341" i="2"/>
  <c r="AM346" i="2"/>
  <c r="AH346" i="2"/>
  <c r="AG346" i="2"/>
  <c r="V349" i="2"/>
  <c r="T349" i="2"/>
  <c r="AM354" i="2"/>
  <c r="AH354" i="2"/>
  <c r="AG354" i="2"/>
  <c r="V357" i="2"/>
  <c r="T357" i="2"/>
  <c r="AM362" i="2"/>
  <c r="AH362" i="2"/>
  <c r="AG362" i="2"/>
  <c r="V365" i="2"/>
  <c r="T365" i="2"/>
  <c r="AM370" i="2"/>
  <c r="AH370" i="2"/>
  <c r="AG370" i="2"/>
  <c r="AH371" i="2"/>
  <c r="V373" i="2"/>
  <c r="T373" i="2"/>
  <c r="AM378" i="2"/>
  <c r="AH378" i="2"/>
  <c r="AG378" i="2"/>
  <c r="V412" i="2"/>
  <c r="T412" i="2"/>
  <c r="V416" i="2"/>
  <c r="T416" i="2"/>
  <c r="AF417" i="2"/>
  <c r="Y417" i="2"/>
  <c r="X417" i="2"/>
  <c r="AF433" i="2"/>
  <c r="Y433" i="2"/>
  <c r="X433" i="2"/>
  <c r="AM451" i="2"/>
  <c r="AH451" i="2"/>
  <c r="AG451" i="2"/>
  <c r="V459" i="2"/>
  <c r="T459" i="2"/>
  <c r="V460" i="2"/>
  <c r="T460" i="2"/>
  <c r="AM468" i="2"/>
  <c r="AH468" i="2"/>
  <c r="AG468" i="2"/>
  <c r="AH254" i="2"/>
  <c r="AG254" i="2"/>
  <c r="AM257" i="2"/>
  <c r="AH257" i="2"/>
  <c r="AG257" i="2"/>
  <c r="T267" i="2"/>
  <c r="V267" i="2"/>
  <c r="V276" i="2"/>
  <c r="T276" i="2"/>
  <c r="V284" i="2"/>
  <c r="T284" i="2"/>
  <c r="V292" i="2"/>
  <c r="T292" i="2"/>
  <c r="V300" i="2"/>
  <c r="T300" i="2"/>
  <c r="V308" i="2"/>
  <c r="T308" i="2"/>
  <c r="V316" i="2"/>
  <c r="T316" i="2"/>
  <c r="V324" i="2"/>
  <c r="T324" i="2"/>
  <c r="V348" i="2"/>
  <c r="T348" i="2"/>
  <c r="V356" i="2"/>
  <c r="T356" i="2"/>
  <c r="V364" i="2"/>
  <c r="T364" i="2"/>
  <c r="V372" i="2"/>
  <c r="T372" i="2"/>
  <c r="V392" i="2"/>
  <c r="T392" i="2"/>
  <c r="V393" i="2"/>
  <c r="T393" i="2"/>
  <c r="V436" i="2"/>
  <c r="T436" i="2"/>
  <c r="T489" i="2"/>
  <c r="V489" i="2"/>
  <c r="U258" i="2"/>
  <c r="V263" i="2"/>
  <c r="T263" i="2"/>
  <c r="T384" i="2"/>
  <c r="V384" i="2"/>
  <c r="AM415" i="2"/>
  <c r="AH415" i="2"/>
  <c r="AG415" i="2"/>
  <c r="V423" i="2"/>
  <c r="T423" i="2"/>
  <c r="V424" i="2"/>
  <c r="T424" i="2"/>
  <c r="AF430" i="2"/>
  <c r="X430" i="2"/>
  <c r="Y430" i="2"/>
  <c r="V440" i="2"/>
  <c r="T440" i="2"/>
  <c r="AF445" i="2"/>
  <c r="Y445" i="2"/>
  <c r="X445" i="2"/>
  <c r="V488" i="2"/>
  <c r="T488" i="2"/>
  <c r="T381" i="2"/>
  <c r="AF381" i="2"/>
  <c r="Y393" i="2"/>
  <c r="X393" i="2"/>
  <c r="V395" i="2"/>
  <c r="T395" i="2"/>
  <c r="T397" i="2"/>
  <c r="V397" i="2"/>
  <c r="AF398" i="2"/>
  <c r="X398" i="2"/>
  <c r="V411" i="2"/>
  <c r="T411" i="2"/>
  <c r="T413" i="2"/>
  <c r="V413" i="2"/>
  <c r="AF414" i="2"/>
  <c r="X414" i="2"/>
  <c r="AM419" i="2"/>
  <c r="AH419" i="2"/>
  <c r="AG419" i="2"/>
  <c r="T421" i="2"/>
  <c r="V421" i="2"/>
  <c r="AM427" i="2"/>
  <c r="AH427" i="2"/>
  <c r="AG427" i="2"/>
  <c r="AF429" i="2"/>
  <c r="Y429" i="2"/>
  <c r="X429" i="2"/>
  <c r="V439" i="2"/>
  <c r="T439" i="2"/>
  <c r="AM443" i="2"/>
  <c r="AH443" i="2"/>
  <c r="AG443" i="2"/>
  <c r="AF446" i="2"/>
  <c r="X446" i="2"/>
  <c r="AF450" i="2"/>
  <c r="X450" i="2"/>
  <c r="AF453" i="2"/>
  <c r="Y453" i="2"/>
  <c r="X453" i="2"/>
  <c r="AF455" i="2"/>
  <c r="T457" i="2"/>
  <c r="V457" i="2"/>
  <c r="V463" i="2"/>
  <c r="T463" i="2"/>
  <c r="AM472" i="2"/>
  <c r="AH472" i="2"/>
  <c r="AM475" i="2"/>
  <c r="AG475" i="2"/>
  <c r="AF493" i="2"/>
  <c r="Y493" i="2"/>
  <c r="X493" i="2"/>
  <c r="AM516" i="2"/>
  <c r="AH516" i="2"/>
  <c r="AG516" i="2"/>
  <c r="AM550" i="2"/>
  <c r="AG550" i="2"/>
  <c r="AH550" i="2"/>
  <c r="V627" i="2"/>
  <c r="T627" i="2"/>
  <c r="AH675" i="2"/>
  <c r="AM675" i="2"/>
  <c r="AG675" i="2"/>
  <c r="AH679" i="2"/>
  <c r="AG679" i="2"/>
  <c r="AM679" i="2"/>
  <c r="Y384" i="2"/>
  <c r="AF384" i="2"/>
  <c r="AF394" i="2"/>
  <c r="X394" i="2"/>
  <c r="AF395" i="2"/>
  <c r="AF397" i="2"/>
  <c r="Y397" i="2"/>
  <c r="X397" i="2"/>
  <c r="Y398" i="2"/>
  <c r="V410" i="2"/>
  <c r="T410" i="2"/>
  <c r="AF411" i="2"/>
  <c r="AF413" i="2"/>
  <c r="Y413" i="2"/>
  <c r="X413" i="2"/>
  <c r="Y414" i="2"/>
  <c r="AF418" i="2"/>
  <c r="X418" i="2"/>
  <c r="AF421" i="2"/>
  <c r="Y421" i="2"/>
  <c r="X421" i="2"/>
  <c r="AF423" i="2"/>
  <c r="T425" i="2"/>
  <c r="V425" i="2"/>
  <c r="AF426" i="2"/>
  <c r="X426" i="2"/>
  <c r="V438" i="2"/>
  <c r="T438" i="2"/>
  <c r="T441" i="2"/>
  <c r="V441" i="2"/>
  <c r="AF442" i="2"/>
  <c r="X442" i="2"/>
  <c r="Y446" i="2"/>
  <c r="Y450" i="2"/>
  <c r="AF454" i="2"/>
  <c r="X454" i="2"/>
  <c r="AF457" i="2"/>
  <c r="Y457" i="2"/>
  <c r="X457" i="2"/>
  <c r="AF459" i="2"/>
  <c r="T461" i="2"/>
  <c r="V461" i="2"/>
  <c r="U467" i="2"/>
  <c r="AG472" i="2"/>
  <c r="AH475" i="2"/>
  <c r="T479" i="2"/>
  <c r="V479" i="2"/>
  <c r="V507" i="2"/>
  <c r="T507" i="2"/>
  <c r="T508" i="2"/>
  <c r="V508" i="2"/>
  <c r="V509" i="2"/>
  <c r="T509" i="2"/>
  <c r="V534" i="2"/>
  <c r="T534" i="2"/>
  <c r="V538" i="2"/>
  <c r="T538" i="2"/>
  <c r="V539" i="2"/>
  <c r="T539" i="2"/>
  <c r="T271" i="2"/>
  <c r="AG271" i="2"/>
  <c r="T279" i="2"/>
  <c r="AG279" i="2"/>
  <c r="T287" i="2"/>
  <c r="AG287" i="2"/>
  <c r="T295" i="2"/>
  <c r="AG295" i="2"/>
  <c r="T303" i="2"/>
  <c r="AG303" i="2"/>
  <c r="T311" i="2"/>
  <c r="AG311" i="2"/>
  <c r="T319" i="2"/>
  <c r="AG319" i="2"/>
  <c r="T327" i="2"/>
  <c r="AG327" i="2"/>
  <c r="T335" i="2"/>
  <c r="AG335" i="2"/>
  <c r="T343" i="2"/>
  <c r="AG343" i="2"/>
  <c r="T351" i="2"/>
  <c r="AG351" i="2"/>
  <c r="T359" i="2"/>
  <c r="AG359" i="2"/>
  <c r="T367" i="2"/>
  <c r="AG367" i="2"/>
  <c r="T375" i="2"/>
  <c r="AG375" i="2"/>
  <c r="AF380" i="2"/>
  <c r="Y382" i="2"/>
  <c r="T383" i="2"/>
  <c r="X384" i="2"/>
  <c r="T385" i="2"/>
  <c r="AG385" i="2"/>
  <c r="V387" i="2"/>
  <c r="AG389" i="2"/>
  <c r="Y394" i="2"/>
  <c r="V406" i="2"/>
  <c r="T406" i="2"/>
  <c r="V407" i="2"/>
  <c r="T407" i="2"/>
  <c r="T409" i="2"/>
  <c r="V409" i="2"/>
  <c r="AF410" i="2"/>
  <c r="X410" i="2"/>
  <c r="AF422" i="2"/>
  <c r="X422" i="2"/>
  <c r="AF425" i="2"/>
  <c r="Y425" i="2"/>
  <c r="X425" i="2"/>
  <c r="AM432" i="2"/>
  <c r="AH432" i="2"/>
  <c r="AM439" i="2"/>
  <c r="AH439" i="2"/>
  <c r="AG439" i="2"/>
  <c r="AF441" i="2"/>
  <c r="Y441" i="2"/>
  <c r="X441" i="2"/>
  <c r="Y442" i="2"/>
  <c r="AF458" i="2"/>
  <c r="X458" i="2"/>
  <c r="AF461" i="2"/>
  <c r="Y461" i="2"/>
  <c r="X461" i="2"/>
  <c r="AM463" i="2"/>
  <c r="AH463" i="2"/>
  <c r="AG463" i="2"/>
  <c r="T465" i="2"/>
  <c r="V465" i="2"/>
  <c r="V468" i="2"/>
  <c r="T468" i="2"/>
  <c r="U471" i="2"/>
  <c r="V498" i="2"/>
  <c r="T498" i="2"/>
  <c r="V588" i="2"/>
  <c r="T588" i="2"/>
  <c r="T617" i="2"/>
  <c r="V617" i="2"/>
  <c r="AM621" i="2"/>
  <c r="AG621" i="2"/>
  <c r="AH621" i="2"/>
  <c r="AM391" i="2"/>
  <c r="AH391" i="2"/>
  <c r="AG391" i="2"/>
  <c r="AF407" i="2"/>
  <c r="AF409" i="2"/>
  <c r="Y409" i="2"/>
  <c r="X409" i="2"/>
  <c r="V435" i="2"/>
  <c r="T435" i="2"/>
  <c r="T437" i="2"/>
  <c r="V437" i="2"/>
  <c r="AF438" i="2"/>
  <c r="X438" i="2"/>
  <c r="AF462" i="2"/>
  <c r="X462" i="2"/>
  <c r="AF465" i="2"/>
  <c r="Y465" i="2"/>
  <c r="X465" i="2"/>
  <c r="AF467" i="2"/>
  <c r="T469" i="2"/>
  <c r="V469" i="2"/>
  <c r="V472" i="2"/>
  <c r="T472" i="2"/>
  <c r="V475" i="2"/>
  <c r="T475" i="2"/>
  <c r="T477" i="2"/>
  <c r="V477" i="2"/>
  <c r="Y480" i="2"/>
  <c r="AF480" i="2"/>
  <c r="X480" i="2"/>
  <c r="AH482" i="2"/>
  <c r="AG482" i="2"/>
  <c r="AM482" i="2"/>
  <c r="AH486" i="2"/>
  <c r="AG486" i="2"/>
  <c r="AM486" i="2"/>
  <c r="AF513" i="2"/>
  <c r="Y513" i="2"/>
  <c r="X513" i="2"/>
  <c r="V549" i="2"/>
  <c r="T549" i="2"/>
  <c r="AG273" i="2"/>
  <c r="AG281" i="2"/>
  <c r="AG289" i="2"/>
  <c r="AG297" i="2"/>
  <c r="AG305" i="2"/>
  <c r="AG313" i="2"/>
  <c r="AG321" i="2"/>
  <c r="AG329" i="2"/>
  <c r="AG337" i="2"/>
  <c r="AG345" i="2"/>
  <c r="AG353" i="2"/>
  <c r="AG361" i="2"/>
  <c r="AG369" i="2"/>
  <c r="AG377" i="2"/>
  <c r="X381" i="2"/>
  <c r="U382" i="2"/>
  <c r="U386" i="2"/>
  <c r="AF386" i="2"/>
  <c r="T389" i="2"/>
  <c r="AG393" i="2"/>
  <c r="V402" i="2"/>
  <c r="T402" i="2"/>
  <c r="V403" i="2"/>
  <c r="T403" i="2"/>
  <c r="T405" i="2"/>
  <c r="V405" i="2"/>
  <c r="AF406" i="2"/>
  <c r="X406" i="2"/>
  <c r="AM420" i="2"/>
  <c r="AH420" i="2"/>
  <c r="U431" i="2"/>
  <c r="V434" i="2"/>
  <c r="T434" i="2"/>
  <c r="AF437" i="2"/>
  <c r="Y437" i="2"/>
  <c r="X437" i="2"/>
  <c r="Y438" i="2"/>
  <c r="Y462" i="2"/>
  <c r="AF466" i="2"/>
  <c r="X466" i="2"/>
  <c r="AF469" i="2"/>
  <c r="Y469" i="2"/>
  <c r="X469" i="2"/>
  <c r="AF471" i="2"/>
  <c r="T473" i="2"/>
  <c r="V473" i="2"/>
  <c r="T478" i="2"/>
  <c r="AM492" i="2"/>
  <c r="AH492" i="2"/>
  <c r="AG492" i="2"/>
  <c r="T496" i="2"/>
  <c r="V496" i="2"/>
  <c r="X502" i="2"/>
  <c r="AF502" i="2"/>
  <c r="Y502" i="2"/>
  <c r="V530" i="2"/>
  <c r="T530" i="2"/>
  <c r="V531" i="2"/>
  <c r="T531" i="2"/>
  <c r="AH273" i="2"/>
  <c r="AH281" i="2"/>
  <c r="AH289" i="2"/>
  <c r="AH297" i="2"/>
  <c r="AH305" i="2"/>
  <c r="AH313" i="2"/>
  <c r="AH321" i="2"/>
  <c r="AH329" i="2"/>
  <c r="AH337" i="2"/>
  <c r="AH345" i="2"/>
  <c r="AH353" i="2"/>
  <c r="AH361" i="2"/>
  <c r="AH369" i="2"/>
  <c r="AH377" i="2"/>
  <c r="AM393" i="2"/>
  <c r="AF405" i="2"/>
  <c r="Y405" i="2"/>
  <c r="X405" i="2"/>
  <c r="Y406" i="2"/>
  <c r="V432" i="2"/>
  <c r="T432" i="2"/>
  <c r="AM435" i="2"/>
  <c r="AH435" i="2"/>
  <c r="AG435" i="2"/>
  <c r="V447" i="2"/>
  <c r="T447" i="2"/>
  <c r="V451" i="2"/>
  <c r="T451" i="2"/>
  <c r="AM460" i="2"/>
  <c r="AH460" i="2"/>
  <c r="AF470" i="2"/>
  <c r="X470" i="2"/>
  <c r="AF473" i="2"/>
  <c r="Y473" i="2"/>
  <c r="X473" i="2"/>
  <c r="AH474" i="2"/>
  <c r="AM474" i="2"/>
  <c r="AG474" i="2"/>
  <c r="AF478" i="2"/>
  <c r="Y478" i="2"/>
  <c r="X478" i="2"/>
  <c r="T483" i="2"/>
  <c r="V483" i="2"/>
  <c r="Y484" i="2"/>
  <c r="AF484" i="2"/>
  <c r="X484" i="2"/>
  <c r="AH490" i="2"/>
  <c r="AG490" i="2"/>
  <c r="AM490" i="2"/>
  <c r="AM528" i="2"/>
  <c r="AH528" i="2"/>
  <c r="AG528" i="2"/>
  <c r="Y389" i="2"/>
  <c r="X389" i="2"/>
  <c r="V390" i="2"/>
  <c r="V391" i="2"/>
  <c r="T391" i="2"/>
  <c r="V398" i="2"/>
  <c r="T398" i="2"/>
  <c r="V399" i="2"/>
  <c r="T399" i="2"/>
  <c r="T401" i="2"/>
  <c r="V401" i="2"/>
  <c r="AF402" i="2"/>
  <c r="X402" i="2"/>
  <c r="V415" i="2"/>
  <c r="T415" i="2"/>
  <c r="T417" i="2"/>
  <c r="V417" i="2"/>
  <c r="U419" i="2"/>
  <c r="U427" i="2"/>
  <c r="AF431" i="2"/>
  <c r="T433" i="2"/>
  <c r="V433" i="2"/>
  <c r="AF434" i="2"/>
  <c r="X434" i="2"/>
  <c r="U443" i="2"/>
  <c r="T445" i="2"/>
  <c r="V445" i="2"/>
  <c r="T449" i="2"/>
  <c r="V449" i="2"/>
  <c r="U455" i="2"/>
  <c r="AG460" i="2"/>
  <c r="AM464" i="2"/>
  <c r="AH464" i="2"/>
  <c r="Y470" i="2"/>
  <c r="AG476" i="2"/>
  <c r="AM476" i="2"/>
  <c r="V501" i="2"/>
  <c r="T501" i="2"/>
  <c r="T504" i="2"/>
  <c r="V504" i="2"/>
  <c r="V519" i="2"/>
  <c r="T519" i="2"/>
  <c r="T520" i="2"/>
  <c r="V520" i="2"/>
  <c r="V702" i="2"/>
  <c r="T702" i="2"/>
  <c r="AF388" i="2"/>
  <c r="AF392" i="2"/>
  <c r="AF396" i="2"/>
  <c r="AF400" i="2"/>
  <c r="AF404" i="2"/>
  <c r="AF408" i="2"/>
  <c r="AF412" i="2"/>
  <c r="AF416" i="2"/>
  <c r="AF428" i="2"/>
  <c r="AF436" i="2"/>
  <c r="AF440" i="2"/>
  <c r="AF444" i="2"/>
  <c r="AF448" i="2"/>
  <c r="Y474" i="2"/>
  <c r="Y486" i="2"/>
  <c r="U495" i="2"/>
  <c r="AF501" i="2"/>
  <c r="Y501" i="2"/>
  <c r="X501" i="2"/>
  <c r="AM504" i="2"/>
  <c r="AH504" i="2"/>
  <c r="AM520" i="2"/>
  <c r="AH520" i="2"/>
  <c r="AF521" i="2"/>
  <c r="Y521" i="2"/>
  <c r="X521" i="2"/>
  <c r="V526" i="2"/>
  <c r="T526" i="2"/>
  <c r="T536" i="2"/>
  <c r="V536" i="2"/>
  <c r="T544" i="2"/>
  <c r="V544" i="2"/>
  <c r="V546" i="2"/>
  <c r="T546" i="2"/>
  <c r="AM548" i="2"/>
  <c r="AH548" i="2"/>
  <c r="AG548" i="2"/>
  <c r="Y476" i="2"/>
  <c r="AF481" i="2"/>
  <c r="X481" i="2"/>
  <c r="V497" i="2"/>
  <c r="T497" i="2"/>
  <c r="X498" i="2"/>
  <c r="AF498" i="2"/>
  <c r="AF509" i="2"/>
  <c r="Y509" i="2"/>
  <c r="X509" i="2"/>
  <c r="AM512" i="2"/>
  <c r="AH512" i="2"/>
  <c r="V518" i="2"/>
  <c r="T518" i="2"/>
  <c r="U523" i="2"/>
  <c r="T524" i="2"/>
  <c r="V524" i="2"/>
  <c r="Y481" i="2"/>
  <c r="T482" i="2"/>
  <c r="V485" i="2"/>
  <c r="AF489" i="2"/>
  <c r="Y489" i="2"/>
  <c r="X489" i="2"/>
  <c r="T490" i="2"/>
  <c r="AF497" i="2"/>
  <c r="Y497" i="2"/>
  <c r="X497" i="2"/>
  <c r="AM500" i="2"/>
  <c r="AH500" i="2"/>
  <c r="V506" i="2"/>
  <c r="T506" i="2"/>
  <c r="V515" i="2"/>
  <c r="T515" i="2"/>
  <c r="T516" i="2"/>
  <c r="V516" i="2"/>
  <c r="V517" i="2"/>
  <c r="T517" i="2"/>
  <c r="AF525" i="2"/>
  <c r="Y525" i="2"/>
  <c r="X525" i="2"/>
  <c r="T529" i="2"/>
  <c r="V529" i="2"/>
  <c r="V559" i="2"/>
  <c r="T559" i="2"/>
  <c r="X436" i="2"/>
  <c r="X444" i="2"/>
  <c r="T474" i="2"/>
  <c r="AF485" i="2"/>
  <c r="X485" i="2"/>
  <c r="AG500" i="2"/>
  <c r="U503" i="2"/>
  <c r="V505" i="2"/>
  <c r="T505" i="2"/>
  <c r="X506" i="2"/>
  <c r="AF506" i="2"/>
  <c r="AF517" i="2"/>
  <c r="Y517" i="2"/>
  <c r="X517" i="2"/>
  <c r="AG520" i="2"/>
  <c r="V555" i="2"/>
  <c r="T555" i="2"/>
  <c r="V556" i="2"/>
  <c r="T556" i="2"/>
  <c r="AF477" i="2"/>
  <c r="T480" i="2"/>
  <c r="Y485" i="2"/>
  <c r="U487" i="2"/>
  <c r="AM488" i="2"/>
  <c r="AH488" i="2"/>
  <c r="AF505" i="2"/>
  <c r="Y505" i="2"/>
  <c r="X505" i="2"/>
  <c r="AM508" i="2"/>
  <c r="AH508" i="2"/>
  <c r="V522" i="2"/>
  <c r="T522" i="2"/>
  <c r="U527" i="2"/>
  <c r="T528" i="2"/>
  <c r="V528" i="2"/>
  <c r="AH531" i="2"/>
  <c r="AM531" i="2"/>
  <c r="AG531" i="2"/>
  <c r="AH537" i="2"/>
  <c r="AG537" i="2"/>
  <c r="AM537" i="2"/>
  <c r="AM540" i="2"/>
  <c r="AH540" i="2"/>
  <c r="AG540" i="2"/>
  <c r="AM543" i="2"/>
  <c r="AH543" i="2"/>
  <c r="AG543" i="2"/>
  <c r="V575" i="2"/>
  <c r="T575" i="2"/>
  <c r="AH494" i="2"/>
  <c r="AG494" i="2"/>
  <c r="AM496" i="2"/>
  <c r="AH496" i="2"/>
  <c r="V502" i="2"/>
  <c r="T502" i="2"/>
  <c r="U511" i="2"/>
  <c r="T512" i="2"/>
  <c r="V512" i="2"/>
  <c r="V513" i="2"/>
  <c r="T513" i="2"/>
  <c r="X514" i="2"/>
  <c r="AF514" i="2"/>
  <c r="AM524" i="2"/>
  <c r="AH524" i="2"/>
  <c r="AM532" i="2"/>
  <c r="AH532" i="2"/>
  <c r="AG532" i="2"/>
  <c r="V571" i="2"/>
  <c r="T571" i="2"/>
  <c r="V572" i="2"/>
  <c r="T572" i="2"/>
  <c r="AF479" i="2"/>
  <c r="AF483" i="2"/>
  <c r="AF487" i="2"/>
  <c r="AF491" i="2"/>
  <c r="AF495" i="2"/>
  <c r="AF499" i="2"/>
  <c r="AF503" i="2"/>
  <c r="AF507" i="2"/>
  <c r="AF511" i="2"/>
  <c r="AF515" i="2"/>
  <c r="AF519" i="2"/>
  <c r="AF523" i="2"/>
  <c r="AF527" i="2"/>
  <c r="AM534" i="2"/>
  <c r="AG534" i="2"/>
  <c r="U537" i="2"/>
  <c r="AM549" i="2"/>
  <c r="AM551" i="2"/>
  <c r="AH551" i="2"/>
  <c r="AG605" i="2"/>
  <c r="AM605" i="2"/>
  <c r="T652" i="2"/>
  <c r="V652" i="2"/>
  <c r="T655" i="2"/>
  <c r="V655" i="2"/>
  <c r="V666" i="2"/>
  <c r="T666" i="2"/>
  <c r="T676" i="2"/>
  <c r="V676" i="2"/>
  <c r="T680" i="2"/>
  <c r="V680" i="2"/>
  <c r="AH687" i="2"/>
  <c r="AG687" i="2"/>
  <c r="AM687" i="2"/>
  <c r="AM709" i="2"/>
  <c r="AH709" i="2"/>
  <c r="AG709" i="2"/>
  <c r="V726" i="2"/>
  <c r="T726" i="2"/>
  <c r="AF530" i="2"/>
  <c r="U540" i="2"/>
  <c r="U551" i="2"/>
  <c r="AH552" i="2"/>
  <c r="AG552" i="2"/>
  <c r="AH553" i="2"/>
  <c r="AG553" i="2"/>
  <c r="V561" i="2"/>
  <c r="T561" i="2"/>
  <c r="T562" i="2"/>
  <c r="AM564" i="2"/>
  <c r="AH564" i="2"/>
  <c r="AG564" i="2"/>
  <c r="V577" i="2"/>
  <c r="T577" i="2"/>
  <c r="T578" i="2"/>
  <c r="AM580" i="2"/>
  <c r="AH580" i="2"/>
  <c r="AG580" i="2"/>
  <c r="V593" i="2"/>
  <c r="T593" i="2"/>
  <c r="T594" i="2"/>
  <c r="AM596" i="2"/>
  <c r="AH596" i="2"/>
  <c r="AG596" i="2"/>
  <c r="AM603" i="2"/>
  <c r="AH603" i="2"/>
  <c r="AG603" i="2"/>
  <c r="AH608" i="2"/>
  <c r="AM608" i="2"/>
  <c r="AG608" i="2"/>
  <c r="AM611" i="2"/>
  <c r="AH611" i="2"/>
  <c r="AH624" i="2"/>
  <c r="AM624" i="2"/>
  <c r="AG624" i="2"/>
  <c r="V637" i="2"/>
  <c r="T637" i="2"/>
  <c r="V638" i="2"/>
  <c r="T638" i="2"/>
  <c r="U640" i="2"/>
  <c r="V642" i="2"/>
  <c r="T642" i="2"/>
  <c r="T668" i="2"/>
  <c r="V668" i="2"/>
  <c r="T671" i="2"/>
  <c r="V671" i="2"/>
  <c r="AF518" i="2"/>
  <c r="AF522" i="2"/>
  <c r="AF526" i="2"/>
  <c r="AM542" i="2"/>
  <c r="AG542" i="2"/>
  <c r="AM566" i="2"/>
  <c r="AH566" i="2"/>
  <c r="AG566" i="2"/>
  <c r="AM567" i="2"/>
  <c r="AH567" i="2"/>
  <c r="AM569" i="2"/>
  <c r="AH569" i="2"/>
  <c r="AG569" i="2"/>
  <c r="AM582" i="2"/>
  <c r="AH582" i="2"/>
  <c r="AG582" i="2"/>
  <c r="AM583" i="2"/>
  <c r="AH583" i="2"/>
  <c r="AM585" i="2"/>
  <c r="AH585" i="2"/>
  <c r="AG585" i="2"/>
  <c r="V595" i="2"/>
  <c r="T595" i="2"/>
  <c r="AM598" i="2"/>
  <c r="AH598" i="2"/>
  <c r="AG598" i="2"/>
  <c r="AM599" i="2"/>
  <c r="AH599" i="2"/>
  <c r="AM601" i="2"/>
  <c r="AH601" i="2"/>
  <c r="AG601" i="2"/>
  <c r="AM602" i="2"/>
  <c r="AG602" i="2"/>
  <c r="T605" i="2"/>
  <c r="V605" i="2"/>
  <c r="V613" i="2"/>
  <c r="T613" i="2"/>
  <c r="V621" i="2"/>
  <c r="T621" i="2"/>
  <c r="AH623" i="2"/>
  <c r="AG623" i="2"/>
  <c r="AM623" i="2"/>
  <c r="T644" i="2"/>
  <c r="V644" i="2"/>
  <c r="T647" i="2"/>
  <c r="V647" i="2"/>
  <c r="Y520" i="2"/>
  <c r="Y530" i="2"/>
  <c r="AF533" i="2"/>
  <c r="Y533" i="2"/>
  <c r="AG535" i="2"/>
  <c r="AG538" i="2"/>
  <c r="AH542" i="2"/>
  <c r="V550" i="2"/>
  <c r="T550" i="2"/>
  <c r="V563" i="2"/>
  <c r="T563" i="2"/>
  <c r="V564" i="2"/>
  <c r="T564" i="2"/>
  <c r="AM565" i="2"/>
  <c r="AG567" i="2"/>
  <c r="V579" i="2"/>
  <c r="T579" i="2"/>
  <c r="V580" i="2"/>
  <c r="T580" i="2"/>
  <c r="AG583" i="2"/>
  <c r="V596" i="2"/>
  <c r="T596" i="2"/>
  <c r="AG599" i="2"/>
  <c r="AH602" i="2"/>
  <c r="V606" i="2"/>
  <c r="T606" i="2"/>
  <c r="T607" i="2"/>
  <c r="V607" i="2"/>
  <c r="V608" i="2"/>
  <c r="T608" i="2"/>
  <c r="V611" i="2"/>
  <c r="T611" i="2"/>
  <c r="AM619" i="2"/>
  <c r="AH619" i="2"/>
  <c r="AG619" i="2"/>
  <c r="V622" i="2"/>
  <c r="V624" i="2"/>
  <c r="T624" i="2"/>
  <c r="T521" i="2"/>
  <c r="T525" i="2"/>
  <c r="X533" i="2"/>
  <c r="T535" i="2"/>
  <c r="AH535" i="2"/>
  <c r="U543" i="2"/>
  <c r="V552" i="2"/>
  <c r="V603" i="2"/>
  <c r="T603" i="2"/>
  <c r="V604" i="2"/>
  <c r="V610" i="2"/>
  <c r="T610" i="2"/>
  <c r="T614" i="2"/>
  <c r="AM629" i="2"/>
  <c r="AG629" i="2"/>
  <c r="AM556" i="2"/>
  <c r="AH556" i="2"/>
  <c r="AG556" i="2"/>
  <c r="V569" i="2"/>
  <c r="T569" i="2"/>
  <c r="AM572" i="2"/>
  <c r="AH572" i="2"/>
  <c r="AG572" i="2"/>
  <c r="V585" i="2"/>
  <c r="T585" i="2"/>
  <c r="AM588" i="2"/>
  <c r="AH588" i="2"/>
  <c r="AG588" i="2"/>
  <c r="V601" i="2"/>
  <c r="T601" i="2"/>
  <c r="AF529" i="2"/>
  <c r="AH536" i="2"/>
  <c r="V542" i="2"/>
  <c r="T542" i="2"/>
  <c r="AH544" i="2"/>
  <c r="AH545" i="2"/>
  <c r="AG545" i="2"/>
  <c r="U548" i="2"/>
  <c r="AH557" i="2"/>
  <c r="AM558" i="2"/>
  <c r="AH558" i="2"/>
  <c r="AG558" i="2"/>
  <c r="AM559" i="2"/>
  <c r="AH559" i="2"/>
  <c r="AM561" i="2"/>
  <c r="AH561" i="2"/>
  <c r="AG561" i="2"/>
  <c r="V568" i="2"/>
  <c r="AH573" i="2"/>
  <c r="AM574" i="2"/>
  <c r="AH574" i="2"/>
  <c r="AG574" i="2"/>
  <c r="AM575" i="2"/>
  <c r="AH575" i="2"/>
  <c r="AM577" i="2"/>
  <c r="AH577" i="2"/>
  <c r="AG577" i="2"/>
  <c r="V584" i="2"/>
  <c r="V587" i="2"/>
  <c r="T587" i="2"/>
  <c r="AH589" i="2"/>
  <c r="AM590" i="2"/>
  <c r="AH590" i="2"/>
  <c r="AG590" i="2"/>
  <c r="AM591" i="2"/>
  <c r="AH591" i="2"/>
  <c r="AM593" i="2"/>
  <c r="AH593" i="2"/>
  <c r="AG593" i="2"/>
  <c r="V600" i="2"/>
  <c r="V618" i="2"/>
  <c r="T618" i="2"/>
  <c r="V619" i="2"/>
  <c r="T619" i="2"/>
  <c r="V629" i="2"/>
  <c r="T629" i="2"/>
  <c r="AH615" i="2"/>
  <c r="AG615" i="2"/>
  <c r="AG620" i="2"/>
  <c r="AH620" i="2"/>
  <c r="T636" i="2"/>
  <c r="V636" i="2"/>
  <c r="T639" i="2"/>
  <c r="V639" i="2"/>
  <c r="AM661" i="2"/>
  <c r="AH661" i="2"/>
  <c r="AG661" i="2"/>
  <c r="V673" i="2"/>
  <c r="T673" i="2"/>
  <c r="V675" i="2"/>
  <c r="T675" i="2"/>
  <c r="AM685" i="2"/>
  <c r="AH685" i="2"/>
  <c r="AG685" i="2"/>
  <c r="T695" i="2"/>
  <c r="V695" i="2"/>
  <c r="AH719" i="2"/>
  <c r="AG719" i="2"/>
  <c r="AM719" i="2"/>
  <c r="V725" i="2"/>
  <c r="T725" i="2"/>
  <c r="AM793" i="2"/>
  <c r="AH793" i="2"/>
  <c r="AG793" i="2"/>
  <c r="AM825" i="2"/>
  <c r="AH825" i="2"/>
  <c r="AG825" i="2"/>
  <c r="AH612" i="2"/>
  <c r="AM615" i="2"/>
  <c r="AM620" i="2"/>
  <c r="T623" i="2"/>
  <c r="V623" i="2"/>
  <c r="AM653" i="2"/>
  <c r="AH653" i="2"/>
  <c r="AG653" i="2"/>
  <c r="AM658" i="2"/>
  <c r="AH658" i="2"/>
  <c r="AG658" i="2"/>
  <c r="AM664" i="2"/>
  <c r="AH664" i="2"/>
  <c r="AG664" i="2"/>
  <c r="V677" i="2"/>
  <c r="T677" i="2"/>
  <c r="V678" i="2"/>
  <c r="T678" i="2"/>
  <c r="AH683" i="2"/>
  <c r="AG683" i="2"/>
  <c r="AM683" i="2"/>
  <c r="T688" i="2"/>
  <c r="AH691" i="2"/>
  <c r="AM691" i="2"/>
  <c r="AG691" i="2"/>
  <c r="T558" i="2"/>
  <c r="T566" i="2"/>
  <c r="T574" i="2"/>
  <c r="T582" i="2"/>
  <c r="T590" i="2"/>
  <c r="T598" i="2"/>
  <c r="AM612" i="2"/>
  <c r="AM613" i="2"/>
  <c r="AG613" i="2"/>
  <c r="U616" i="2"/>
  <c r="AM626" i="2"/>
  <c r="AH626" i="2"/>
  <c r="AH631" i="2"/>
  <c r="AG631" i="2"/>
  <c r="AM631" i="2"/>
  <c r="AM645" i="2"/>
  <c r="AH645" i="2"/>
  <c r="AG645" i="2"/>
  <c r="AM650" i="2"/>
  <c r="AH650" i="2"/>
  <c r="AG650" i="2"/>
  <c r="AM656" i="2"/>
  <c r="AH656" i="2"/>
  <c r="AG656" i="2"/>
  <c r="AH657" i="2"/>
  <c r="AG657" i="2"/>
  <c r="AG660" i="2"/>
  <c r="AM660" i="2"/>
  <c r="AH660" i="2"/>
  <c r="AM669" i="2"/>
  <c r="AH669" i="2"/>
  <c r="AG669" i="2"/>
  <c r="T692" i="2"/>
  <c r="V692" i="2"/>
  <c r="V694" i="2"/>
  <c r="T694" i="2"/>
  <c r="AG704" i="2"/>
  <c r="AM704" i="2"/>
  <c r="AH704" i="2"/>
  <c r="AM727" i="2"/>
  <c r="AH727" i="2"/>
  <c r="AG727" i="2"/>
  <c r="AM753" i="2"/>
  <c r="AH753" i="2"/>
  <c r="AG753" i="2"/>
  <c r="AM637" i="2"/>
  <c r="AH637" i="2"/>
  <c r="AG637" i="2"/>
  <c r="AM642" i="2"/>
  <c r="AH642" i="2"/>
  <c r="AG642" i="2"/>
  <c r="AM648" i="2"/>
  <c r="AH648" i="2"/>
  <c r="AG648" i="2"/>
  <c r="AH649" i="2"/>
  <c r="AG649" i="2"/>
  <c r="AG652" i="2"/>
  <c r="AM652" i="2"/>
  <c r="AH652" i="2"/>
  <c r="V661" i="2"/>
  <c r="T661" i="2"/>
  <c r="V662" i="2"/>
  <c r="T662" i="2"/>
  <c r="V664" i="2"/>
  <c r="T664" i="2"/>
  <c r="AM666" i="2"/>
  <c r="AH666" i="2"/>
  <c r="AG666" i="2"/>
  <c r="AG671" i="2"/>
  <c r="AM671" i="2"/>
  <c r="AH671" i="2"/>
  <c r="V691" i="2"/>
  <c r="T691" i="2"/>
  <c r="V693" i="2"/>
  <c r="T693" i="2"/>
  <c r="T720" i="2"/>
  <c r="V720" i="2"/>
  <c r="V742" i="2"/>
  <c r="T742" i="2"/>
  <c r="AG752" i="2"/>
  <c r="AM752" i="2"/>
  <c r="AH752" i="2"/>
  <c r="AG560" i="2"/>
  <c r="AG568" i="2"/>
  <c r="AG576" i="2"/>
  <c r="AG584" i="2"/>
  <c r="AG592" i="2"/>
  <c r="AG600" i="2"/>
  <c r="AH604" i="2"/>
  <c r="AM610" i="2"/>
  <c r="AH610" i="2"/>
  <c r="V612" i="2"/>
  <c r="AM616" i="2"/>
  <c r="V620" i="2"/>
  <c r="AG632" i="2"/>
  <c r="AM634" i="2"/>
  <c r="AH634" i="2"/>
  <c r="AG634" i="2"/>
  <c r="AM640" i="2"/>
  <c r="AH640" i="2"/>
  <c r="AG640" i="2"/>
  <c r="AH641" i="2"/>
  <c r="AG641" i="2"/>
  <c r="AG644" i="2"/>
  <c r="AM644" i="2"/>
  <c r="AH644" i="2"/>
  <c r="AM649" i="2"/>
  <c r="V653" i="2"/>
  <c r="T653" i="2"/>
  <c r="V654" i="2"/>
  <c r="T654" i="2"/>
  <c r="U656" i="2"/>
  <c r="V658" i="2"/>
  <c r="T658" i="2"/>
  <c r="AG668" i="2"/>
  <c r="AM668" i="2"/>
  <c r="AH668" i="2"/>
  <c r="AM698" i="2"/>
  <c r="AH698" i="2"/>
  <c r="AG698" i="2"/>
  <c r="AH711" i="2"/>
  <c r="AG711" i="2"/>
  <c r="AM711" i="2"/>
  <c r="V741" i="2"/>
  <c r="T741" i="2"/>
  <c r="AM604" i="2"/>
  <c r="AH607" i="2"/>
  <c r="AG607" i="2"/>
  <c r="AM618" i="2"/>
  <c r="AH618" i="2"/>
  <c r="AG628" i="2"/>
  <c r="AH628" i="2"/>
  <c r="T631" i="2"/>
  <c r="V631" i="2"/>
  <c r="AM632" i="2"/>
  <c r="AH633" i="2"/>
  <c r="AG633" i="2"/>
  <c r="AG636" i="2"/>
  <c r="AM636" i="2"/>
  <c r="AH636" i="2"/>
  <c r="V645" i="2"/>
  <c r="T645" i="2"/>
  <c r="V646" i="2"/>
  <c r="T646" i="2"/>
  <c r="U648" i="2"/>
  <c r="V650" i="2"/>
  <c r="T650" i="2"/>
  <c r="T660" i="2"/>
  <c r="V660" i="2"/>
  <c r="T663" i="2"/>
  <c r="V663" i="2"/>
  <c r="V669" i="2"/>
  <c r="T669" i="2"/>
  <c r="V670" i="2"/>
  <c r="T670" i="2"/>
  <c r="AG688" i="2"/>
  <c r="AM688" i="2"/>
  <c r="AH695" i="2"/>
  <c r="AG695" i="2"/>
  <c r="T704" i="2"/>
  <c r="V704" i="2"/>
  <c r="V735" i="2"/>
  <c r="T735" i="2"/>
  <c r="T736" i="2"/>
  <c r="V736" i="2"/>
  <c r="AM639" i="2"/>
  <c r="AM647" i="2"/>
  <c r="AM655" i="2"/>
  <c r="AM663" i="2"/>
  <c r="AM690" i="2"/>
  <c r="AH690" i="2"/>
  <c r="AM694" i="2"/>
  <c r="AG694" i="2"/>
  <c r="V700" i="2"/>
  <c r="T700" i="2"/>
  <c r="AH703" i="2"/>
  <c r="AG703" i="2"/>
  <c r="V716" i="2"/>
  <c r="T716" i="2"/>
  <c r="T717" i="2"/>
  <c r="U727" i="2"/>
  <c r="V731" i="2"/>
  <c r="W731" i="2" s="1"/>
  <c r="T731" i="2"/>
  <c r="V743" i="2"/>
  <c r="T743" i="2"/>
  <c r="T744" i="2"/>
  <c r="V744" i="2"/>
  <c r="V750" i="2"/>
  <c r="T750" i="2"/>
  <c r="V840" i="2"/>
  <c r="T840" i="2"/>
  <c r="AM848" i="2"/>
  <c r="AH848" i="2"/>
  <c r="AG848" i="2"/>
  <c r="U690" i="2"/>
  <c r="AG690" i="2"/>
  <c r="AH694" i="2"/>
  <c r="U703" i="2"/>
  <c r="AM703" i="2"/>
  <c r="AM706" i="2"/>
  <c r="AH706" i="2"/>
  <c r="AH707" i="2"/>
  <c r="AG707" i="2"/>
  <c r="AM708" i="2"/>
  <c r="AG708" i="2"/>
  <c r="V724" i="2"/>
  <c r="T724" i="2"/>
  <c r="AM734" i="2"/>
  <c r="AH734" i="2"/>
  <c r="AG734" i="2"/>
  <c r="V740" i="2"/>
  <c r="T740" i="2"/>
  <c r="AM754" i="2"/>
  <c r="AH754" i="2"/>
  <c r="AG754" i="2"/>
  <c r="AM710" i="2"/>
  <c r="AH710" i="2"/>
  <c r="AG710" i="2"/>
  <c r="V723" i="2"/>
  <c r="AM746" i="2"/>
  <c r="AH746" i="2"/>
  <c r="AG746" i="2"/>
  <c r="AM751" i="2"/>
  <c r="AH751" i="2"/>
  <c r="AG751" i="2"/>
  <c r="V754" i="2"/>
  <c r="T754" i="2"/>
  <c r="AM758" i="2"/>
  <c r="AH758" i="2"/>
  <c r="AG758" i="2"/>
  <c r="AM788" i="2"/>
  <c r="AH788" i="2"/>
  <c r="AG788" i="2"/>
  <c r="AM814" i="2"/>
  <c r="AH814" i="2"/>
  <c r="AG814" i="2"/>
  <c r="V817" i="2"/>
  <c r="T817" i="2"/>
  <c r="AG673" i="2"/>
  <c r="U679" i="2"/>
  <c r="AM682" i="2"/>
  <c r="AH682" i="2"/>
  <c r="V684" i="2"/>
  <c r="AH696" i="2"/>
  <c r="AG699" i="2"/>
  <c r="AM700" i="2"/>
  <c r="AG700" i="2"/>
  <c r="T706" i="2"/>
  <c r="U711" i="2"/>
  <c r="AM714" i="2"/>
  <c r="AH714" i="2"/>
  <c r="AH715" i="2"/>
  <c r="AG715" i="2"/>
  <c r="AM716" i="2"/>
  <c r="AG716" i="2"/>
  <c r="V734" i="2"/>
  <c r="T734" i="2"/>
  <c r="AG744" i="2"/>
  <c r="AM744" i="2"/>
  <c r="AM745" i="2"/>
  <c r="AH745" i="2"/>
  <c r="AG745" i="2"/>
  <c r="AH673" i="2"/>
  <c r="AM699" i="2"/>
  <c r="V708" i="2"/>
  <c r="T708" i="2"/>
  <c r="AM738" i="2"/>
  <c r="AH738" i="2"/>
  <c r="AG738" i="2"/>
  <c r="AM743" i="2"/>
  <c r="AH743" i="2"/>
  <c r="AG743" i="2"/>
  <c r="V746" i="2"/>
  <c r="T746" i="2"/>
  <c r="AM750" i="2"/>
  <c r="AH750" i="2"/>
  <c r="AG750" i="2"/>
  <c r="V756" i="2"/>
  <c r="T756" i="2"/>
  <c r="AG639" i="2"/>
  <c r="AG647" i="2"/>
  <c r="AG655" i="2"/>
  <c r="AG663" i="2"/>
  <c r="AH680" i="2"/>
  <c r="AG686" i="2"/>
  <c r="AM692" i="2"/>
  <c r="V696" i="2"/>
  <c r="AG701" i="2"/>
  <c r="V710" i="2"/>
  <c r="T710" i="2"/>
  <c r="AG717" i="2"/>
  <c r="AM718" i="2"/>
  <c r="AH718" i="2"/>
  <c r="AG718" i="2"/>
  <c r="AM724" i="2"/>
  <c r="AH724" i="2"/>
  <c r="AG724" i="2"/>
  <c r="AG736" i="2"/>
  <c r="AM736" i="2"/>
  <c r="AM737" i="2"/>
  <c r="AH737" i="2"/>
  <c r="AG737" i="2"/>
  <c r="V751" i="2"/>
  <c r="T751" i="2"/>
  <c r="T752" i="2"/>
  <c r="V752" i="2"/>
  <c r="V758" i="2"/>
  <c r="T758" i="2"/>
  <c r="T759" i="2"/>
  <c r="AM768" i="2"/>
  <c r="AH768" i="2"/>
  <c r="AG768" i="2"/>
  <c r="V772" i="2"/>
  <c r="T772" i="2"/>
  <c r="U674" i="2"/>
  <c r="AM680" i="2"/>
  <c r="T682" i="2"/>
  <c r="T686" i="2"/>
  <c r="AH686" i="2"/>
  <c r="AG693" i="2"/>
  <c r="AH701" i="2"/>
  <c r="AM702" i="2"/>
  <c r="AG702" i="2"/>
  <c r="T714" i="2"/>
  <c r="AH717" i="2"/>
  <c r="U719" i="2"/>
  <c r="AM722" i="2"/>
  <c r="AH722" i="2"/>
  <c r="AH723" i="2"/>
  <c r="AG723" i="2"/>
  <c r="AG725" i="2"/>
  <c r="AM735" i="2"/>
  <c r="AH735" i="2"/>
  <c r="AG735" i="2"/>
  <c r="AH736" i="2"/>
  <c r="U738" i="2"/>
  <c r="AM742" i="2"/>
  <c r="AH742" i="2"/>
  <c r="AG742" i="2"/>
  <c r="V748" i="2"/>
  <c r="T748" i="2"/>
  <c r="T757" i="2"/>
  <c r="AH730" i="2"/>
  <c r="AH733" i="2"/>
  <c r="AH741" i="2"/>
  <c r="AH749" i="2"/>
  <c r="AH757" i="2"/>
  <c r="AH759" i="2"/>
  <c r="V771" i="2"/>
  <c r="T771" i="2"/>
  <c r="AM780" i="2"/>
  <c r="AH780" i="2"/>
  <c r="AM785" i="2"/>
  <c r="AH785" i="2"/>
  <c r="AG785" i="2"/>
  <c r="AM792" i="2"/>
  <c r="AH792" i="2"/>
  <c r="AG792" i="2"/>
  <c r="AM801" i="2"/>
  <c r="AH801" i="2"/>
  <c r="AG801" i="2"/>
  <c r="V806" i="2"/>
  <c r="T806" i="2"/>
  <c r="T807" i="2"/>
  <c r="V807" i="2"/>
  <c r="V816" i="2"/>
  <c r="T816" i="2"/>
  <c r="AM824" i="2"/>
  <c r="AH824" i="2"/>
  <c r="AG824" i="2"/>
  <c r="V829" i="2"/>
  <c r="T829" i="2"/>
  <c r="AM833" i="2"/>
  <c r="AH833" i="2"/>
  <c r="AG833" i="2"/>
  <c r="AM837" i="2"/>
  <c r="AH837" i="2"/>
  <c r="AG837" i="2"/>
  <c r="AG847" i="2"/>
  <c r="AM847" i="2"/>
  <c r="V851" i="2"/>
  <c r="T851" i="2"/>
  <c r="AM760" i="2"/>
  <c r="AH760" i="2"/>
  <c r="AG760" i="2"/>
  <c r="V769" i="2"/>
  <c r="T769" i="2"/>
  <c r="AM777" i="2"/>
  <c r="AH777" i="2"/>
  <c r="AG777" i="2"/>
  <c r="AM784" i="2"/>
  <c r="AH784" i="2"/>
  <c r="AG784" i="2"/>
  <c r="AM790" i="2"/>
  <c r="AH790" i="2"/>
  <c r="AG790" i="2"/>
  <c r="V795" i="2"/>
  <c r="T795" i="2"/>
  <c r="AM800" i="2"/>
  <c r="AH800" i="2"/>
  <c r="AG800" i="2"/>
  <c r="AG823" i="2"/>
  <c r="AM823" i="2"/>
  <c r="V827" i="2"/>
  <c r="T827" i="2"/>
  <c r="AM832" i="2"/>
  <c r="AH832" i="2"/>
  <c r="AG832" i="2"/>
  <c r="V838" i="2"/>
  <c r="T838" i="2"/>
  <c r="T839" i="2"/>
  <c r="V839" i="2"/>
  <c r="AM846" i="2"/>
  <c r="AH846" i="2"/>
  <c r="AG846" i="2"/>
  <c r="V849" i="2"/>
  <c r="T849" i="2"/>
  <c r="V853" i="2"/>
  <c r="T853" i="2"/>
  <c r="AG740" i="2"/>
  <c r="AG748" i="2"/>
  <c r="AG756" i="2"/>
  <c r="AG761" i="2"/>
  <c r="V768" i="2"/>
  <c r="T768" i="2"/>
  <c r="AM776" i="2"/>
  <c r="AH776" i="2"/>
  <c r="AG776" i="2"/>
  <c r="AM782" i="2"/>
  <c r="AH782" i="2"/>
  <c r="AG782" i="2"/>
  <c r="V787" i="2"/>
  <c r="T787" i="2"/>
  <c r="V793" i="2"/>
  <c r="T793" i="2"/>
  <c r="V794" i="2"/>
  <c r="AG799" i="2"/>
  <c r="AM799" i="2"/>
  <c r="V803" i="2"/>
  <c r="T803" i="2"/>
  <c r="AM809" i="2"/>
  <c r="AH809" i="2"/>
  <c r="AG809" i="2"/>
  <c r="V814" i="2"/>
  <c r="T814" i="2"/>
  <c r="T815" i="2"/>
  <c r="V815" i="2"/>
  <c r="AM822" i="2"/>
  <c r="AH822" i="2"/>
  <c r="AG822" i="2"/>
  <c r="AH823" i="2"/>
  <c r="V825" i="2"/>
  <c r="T825" i="2"/>
  <c r="V826" i="2"/>
  <c r="AG831" i="2"/>
  <c r="AM831" i="2"/>
  <c r="V835" i="2"/>
  <c r="T835" i="2"/>
  <c r="V848" i="2"/>
  <c r="T848" i="2"/>
  <c r="AG726" i="2"/>
  <c r="T737" i="2"/>
  <c r="T745" i="2"/>
  <c r="T753" i="2"/>
  <c r="AM761" i="2"/>
  <c r="AM763" i="2"/>
  <c r="AH763" i="2"/>
  <c r="AG763" i="2"/>
  <c r="AG764" i="2"/>
  <c r="AM764" i="2"/>
  <c r="AH765" i="2"/>
  <c r="AG765" i="2"/>
  <c r="AM766" i="2"/>
  <c r="AH766" i="2"/>
  <c r="AG766" i="2"/>
  <c r="AM774" i="2"/>
  <c r="AH774" i="2"/>
  <c r="AG774" i="2"/>
  <c r="V779" i="2"/>
  <c r="T779" i="2"/>
  <c r="V785" i="2"/>
  <c r="V786" i="2"/>
  <c r="T788" i="2"/>
  <c r="V792" i="2"/>
  <c r="T792" i="2"/>
  <c r="AM798" i="2"/>
  <c r="AH798" i="2"/>
  <c r="AG798" i="2"/>
  <c r="AH799" i="2"/>
  <c r="V801" i="2"/>
  <c r="T801" i="2"/>
  <c r="V802" i="2"/>
  <c r="T804" i="2"/>
  <c r="AM808" i="2"/>
  <c r="AH808" i="2"/>
  <c r="AG808" i="2"/>
  <c r="AM820" i="2"/>
  <c r="AH820" i="2"/>
  <c r="V824" i="2"/>
  <c r="T824" i="2"/>
  <c r="AM830" i="2"/>
  <c r="AH830" i="2"/>
  <c r="AG830" i="2"/>
  <c r="V833" i="2"/>
  <c r="T833" i="2"/>
  <c r="T836" i="2"/>
  <c r="V837" i="2"/>
  <c r="T837" i="2"/>
  <c r="AM841" i="2"/>
  <c r="AH841" i="2"/>
  <c r="AG841" i="2"/>
  <c r="AM845" i="2"/>
  <c r="AH845" i="2"/>
  <c r="AG845" i="2"/>
  <c r="AH726" i="2"/>
  <c r="V777" i="2"/>
  <c r="T777" i="2"/>
  <c r="V784" i="2"/>
  <c r="T784" i="2"/>
  <c r="V790" i="2"/>
  <c r="T790" i="2"/>
  <c r="T791" i="2"/>
  <c r="V791" i="2"/>
  <c r="V800" i="2"/>
  <c r="T800" i="2"/>
  <c r="AG807" i="2"/>
  <c r="AM807" i="2"/>
  <c r="V811" i="2"/>
  <c r="T811" i="2"/>
  <c r="AM817" i="2"/>
  <c r="AH817" i="2"/>
  <c r="AG817" i="2"/>
  <c r="AM821" i="2"/>
  <c r="AH821" i="2"/>
  <c r="AG821" i="2"/>
  <c r="V832" i="2"/>
  <c r="T832" i="2"/>
  <c r="AM840" i="2"/>
  <c r="AH840" i="2"/>
  <c r="AG840" i="2"/>
  <c r="V846" i="2"/>
  <c r="T846" i="2"/>
  <c r="T847" i="2"/>
  <c r="V847" i="2"/>
  <c r="AM772" i="2"/>
  <c r="AH772" i="2"/>
  <c r="AM773" i="2"/>
  <c r="AH773" i="2"/>
  <c r="AG773" i="2"/>
  <c r="V776" i="2"/>
  <c r="T776" i="2"/>
  <c r="V782" i="2"/>
  <c r="T782" i="2"/>
  <c r="T783" i="2"/>
  <c r="V783" i="2"/>
  <c r="AM806" i="2"/>
  <c r="AH806" i="2"/>
  <c r="AG806" i="2"/>
  <c r="AH807" i="2"/>
  <c r="V809" i="2"/>
  <c r="T809" i="2"/>
  <c r="V810" i="2"/>
  <c r="T812" i="2"/>
  <c r="AM816" i="2"/>
  <c r="AH816" i="2"/>
  <c r="AG816" i="2"/>
  <c r="V822" i="2"/>
  <c r="T822" i="2"/>
  <c r="T823" i="2"/>
  <c r="V823" i="2"/>
  <c r="AM829" i="2"/>
  <c r="AH829" i="2"/>
  <c r="AG829" i="2"/>
  <c r="AG839" i="2"/>
  <c r="AM839" i="2"/>
  <c r="V843" i="2"/>
  <c r="T843" i="2"/>
  <c r="V762" i="2"/>
  <c r="T762" i="2"/>
  <c r="V763" i="2"/>
  <c r="T763" i="2"/>
  <c r="T764" i="2"/>
  <c r="V764" i="2"/>
  <c r="V766" i="2"/>
  <c r="AM769" i="2"/>
  <c r="AH769" i="2"/>
  <c r="AG769" i="2"/>
  <c r="V774" i="2"/>
  <c r="T774" i="2"/>
  <c r="T775" i="2"/>
  <c r="V775" i="2"/>
  <c r="V798" i="2"/>
  <c r="T798" i="2"/>
  <c r="T799" i="2"/>
  <c r="V799" i="2"/>
  <c r="V808" i="2"/>
  <c r="T808" i="2"/>
  <c r="AG815" i="2"/>
  <c r="AM815" i="2"/>
  <c r="V819" i="2"/>
  <c r="T819" i="2"/>
  <c r="AM828" i="2"/>
  <c r="AH828" i="2"/>
  <c r="V830" i="2"/>
  <c r="T830" i="2"/>
  <c r="T831" i="2"/>
  <c r="V831" i="2"/>
  <c r="AM838" i="2"/>
  <c r="AH838" i="2"/>
  <c r="AG838" i="2"/>
  <c r="V841" i="2"/>
  <c r="T841" i="2"/>
  <c r="V845" i="2"/>
  <c r="T845" i="2"/>
  <c r="AM849" i="2"/>
  <c r="AH849" i="2"/>
  <c r="AG849" i="2"/>
  <c r="AM853" i="2"/>
  <c r="AH853" i="2"/>
  <c r="AG853" i="2"/>
  <c r="AM775" i="2"/>
  <c r="AM783" i="2"/>
  <c r="AM791" i="2"/>
  <c r="AG771" i="2"/>
  <c r="AG779" i="2"/>
  <c r="AG787" i="2"/>
  <c r="AG795" i="2"/>
  <c r="AG803" i="2"/>
  <c r="AG811" i="2"/>
  <c r="AG819" i="2"/>
  <c r="AG827" i="2"/>
  <c r="AG835" i="2"/>
  <c r="AG843" i="2"/>
  <c r="AG851" i="2"/>
  <c r="AH771" i="2"/>
  <c r="AH779" i="2"/>
  <c r="AH787" i="2"/>
  <c r="AH795" i="2"/>
  <c r="AH803" i="2"/>
  <c r="AH811" i="2"/>
  <c r="AH819" i="2"/>
  <c r="AH827" i="2"/>
  <c r="AH835" i="2"/>
  <c r="AH843" i="2"/>
  <c r="AH851" i="2"/>
  <c r="T773" i="2"/>
  <c r="T781" i="2"/>
  <c r="T789" i="2"/>
  <c r="AG770" i="2"/>
  <c r="AG778" i="2"/>
  <c r="AG786" i="2"/>
  <c r="AG794" i="2"/>
  <c r="AG802" i="2"/>
  <c r="AG810" i="2"/>
  <c r="AG818" i="2"/>
  <c r="AG826" i="2"/>
  <c r="AG834" i="2"/>
  <c r="AG842" i="2"/>
  <c r="AG850" i="2"/>
  <c r="AF10" i="1"/>
  <c r="AL10" i="1"/>
  <c r="AG10" i="1"/>
  <c r="AL6" i="1"/>
  <c r="AF6" i="1"/>
  <c r="AG6" i="1"/>
  <c r="AL7" i="1"/>
  <c r="AF7" i="1"/>
  <c r="AG7" i="1"/>
  <c r="AE43" i="1"/>
  <c r="W43" i="1"/>
  <c r="AL58" i="1"/>
  <c r="AG58" i="1"/>
  <c r="AF58" i="1"/>
  <c r="AF3" i="1"/>
  <c r="AF8" i="1"/>
  <c r="AL30" i="1"/>
  <c r="AG30" i="1"/>
  <c r="U40" i="1"/>
  <c r="X43" i="1"/>
  <c r="AG55" i="1"/>
  <c r="AF55" i="1"/>
  <c r="AL56" i="1"/>
  <c r="AG56" i="1"/>
  <c r="AF56" i="1"/>
  <c r="AF57" i="1"/>
  <c r="AF104" i="1"/>
  <c r="AL104" i="1"/>
  <c r="AG3" i="1"/>
  <c r="U33" i="1"/>
  <c r="S33" i="1"/>
  <c r="Y33" i="1" s="1"/>
  <c r="AW33" i="1" s="1"/>
  <c r="AL54" i="1"/>
  <c r="AF54" i="1"/>
  <c r="AL57" i="1"/>
  <c r="AG63" i="1"/>
  <c r="AF63" i="1"/>
  <c r="AL64" i="1"/>
  <c r="AG64" i="1"/>
  <c r="AF64" i="1"/>
  <c r="AL103" i="1"/>
  <c r="AG103" i="1"/>
  <c r="AF9" i="1"/>
  <c r="AG26" i="1"/>
  <c r="AF26" i="1"/>
  <c r="AL27" i="1"/>
  <c r="AG27" i="1"/>
  <c r="AF27" i="1"/>
  <c r="AF28" i="1"/>
  <c r="AL38" i="1"/>
  <c r="AG38" i="1"/>
  <c r="AG49" i="1"/>
  <c r="AF49" i="1"/>
  <c r="AL53" i="1"/>
  <c r="AG53" i="1"/>
  <c r="AF53" i="1"/>
  <c r="AG54" i="1"/>
  <c r="AL62" i="1"/>
  <c r="AF62" i="1"/>
  <c r="AL63" i="1"/>
  <c r="AF103" i="1"/>
  <c r="AE2" i="1"/>
  <c r="AF5" i="1"/>
  <c r="AG5" i="1"/>
  <c r="AL9" i="1"/>
  <c r="AL25" i="1"/>
  <c r="AF25" i="1"/>
  <c r="AL26" i="1"/>
  <c r="AL28" i="1"/>
  <c r="AG40" i="1"/>
  <c r="AF40" i="1"/>
  <c r="AL41" i="1"/>
  <c r="AG41" i="1"/>
  <c r="AF41" i="1"/>
  <c r="AL48" i="1"/>
  <c r="AF48" i="1"/>
  <c r="U56" i="1"/>
  <c r="S56" i="1"/>
  <c r="Y56" i="1" s="1"/>
  <c r="AW56" i="1" s="1"/>
  <c r="AL61" i="1"/>
  <c r="AG61" i="1"/>
  <c r="AF61" i="1"/>
  <c r="AL17" i="1"/>
  <c r="AG17" i="1"/>
  <c r="AF17" i="1"/>
  <c r="S19" i="1"/>
  <c r="Y19" i="1" s="1"/>
  <c r="U19" i="1"/>
  <c r="V19" i="1" s="1"/>
  <c r="AG34" i="1"/>
  <c r="AF34" i="1"/>
  <c r="AL35" i="1"/>
  <c r="AG35" i="1"/>
  <c r="AF35" i="1"/>
  <c r="AL47" i="1"/>
  <c r="AG47" i="1"/>
  <c r="AF47" i="1"/>
  <c r="AF4" i="1"/>
  <c r="AL33" i="1"/>
  <c r="AF33" i="1"/>
  <c r="AL34" i="1"/>
  <c r="AL45" i="1"/>
  <c r="AF45" i="1"/>
  <c r="AL59" i="1"/>
  <c r="AG59" i="1"/>
  <c r="AG8" i="1"/>
  <c r="AG11" i="1"/>
  <c r="AF11" i="1"/>
  <c r="AL24" i="1"/>
  <c r="AG24" i="1"/>
  <c r="AF24" i="1"/>
  <c r="AL11" i="1"/>
  <c r="AL12" i="1"/>
  <c r="AF12" i="1"/>
  <c r="AL15" i="1"/>
  <c r="AG15" i="1"/>
  <c r="AG12" i="1"/>
  <c r="AF15" i="1"/>
  <c r="AL32" i="1"/>
  <c r="AG32" i="1"/>
  <c r="AF32" i="1"/>
  <c r="AG33" i="1"/>
  <c r="AG45" i="1"/>
  <c r="AF59" i="1"/>
  <c r="AL23" i="1"/>
  <c r="AL31" i="1"/>
  <c r="AL39" i="1"/>
  <c r="AL52" i="1"/>
  <c r="AL60" i="1"/>
  <c r="AF14" i="1"/>
  <c r="AF29" i="1"/>
  <c r="AF37" i="1"/>
  <c r="AG14" i="1"/>
  <c r="AG29" i="1"/>
  <c r="AG37" i="1"/>
  <c r="T767" i="2" l="1"/>
  <c r="V767" i="2"/>
  <c r="W767" i="2" s="1"/>
  <c r="V749" i="2"/>
  <c r="T749" i="2"/>
  <c r="AF88" i="2"/>
  <c r="Y88" i="2"/>
  <c r="T484" i="2"/>
  <c r="T340" i="2"/>
  <c r="T321" i="2"/>
  <c r="T182" i="2"/>
  <c r="T251" i="2"/>
  <c r="V15" i="2"/>
  <c r="V626" i="2"/>
  <c r="T626" i="2"/>
  <c r="T687" i="2"/>
  <c r="V687" i="2"/>
  <c r="T715" i="2"/>
  <c r="V715" i="2"/>
  <c r="T394" i="2"/>
  <c r="V394" i="2"/>
  <c r="T481" i="2"/>
  <c r="V481" i="2"/>
  <c r="T573" i="2"/>
  <c r="V573" i="2"/>
  <c r="T294" i="2"/>
  <c r="V294" i="2"/>
  <c r="T591" i="2"/>
  <c r="T120" i="2"/>
  <c r="V494" i="2"/>
  <c r="T494" i="2"/>
  <c r="T318" i="2"/>
  <c r="V318" i="2"/>
  <c r="V134" i="2"/>
  <c r="T134" i="2"/>
  <c r="V547" i="2"/>
  <c r="T547" i="2"/>
  <c r="T718" i="2"/>
  <c r="T685" i="2"/>
  <c r="T634" i="2"/>
  <c r="T430" i="2"/>
  <c r="AG403" i="2"/>
  <c r="T332" i="2"/>
  <c r="T152" i="2"/>
  <c r="Y102" i="2"/>
  <c r="V820" i="2"/>
  <c r="T820" i="2"/>
  <c r="T778" i="2"/>
  <c r="V778" i="2"/>
  <c r="T358" i="2"/>
  <c r="V358" i="2"/>
  <c r="T302" i="2"/>
  <c r="V302" i="2"/>
  <c r="T834" i="2"/>
  <c r="V834" i="2"/>
  <c r="T366" i="2"/>
  <c r="V366" i="2"/>
  <c r="T510" i="2"/>
  <c r="AH403" i="2"/>
  <c r="AH456" i="2"/>
  <c r="T246" i="2"/>
  <c r="AF102" i="2"/>
  <c r="T842" i="2"/>
  <c r="V842" i="2"/>
  <c r="V722" i="2"/>
  <c r="T722" i="2"/>
  <c r="V583" i="2"/>
  <c r="T583" i="2"/>
  <c r="V699" i="2"/>
  <c r="T699" i="2"/>
  <c r="T270" i="2"/>
  <c r="V270" i="2"/>
  <c r="T172" i="2"/>
  <c r="V172" i="2"/>
  <c r="AH424" i="2"/>
  <c r="AM456" i="2"/>
  <c r="T369" i="2"/>
  <c r="T245" i="2"/>
  <c r="T102" i="2"/>
  <c r="T491" i="2"/>
  <c r="V491" i="2"/>
  <c r="V567" i="2"/>
  <c r="T567" i="2"/>
  <c r="V599" i="2"/>
  <c r="T599" i="2"/>
  <c r="V288" i="2"/>
  <c r="T288" i="2"/>
  <c r="T266" i="2"/>
  <c r="V266" i="2"/>
  <c r="T262" i="2"/>
  <c r="V262" i="2"/>
  <c r="T124" i="2"/>
  <c r="V124" i="2"/>
  <c r="T132" i="2"/>
  <c r="V132" i="2"/>
  <c r="T228" i="2"/>
  <c r="V228" i="2"/>
  <c r="T545" i="2"/>
  <c r="V545" i="2"/>
  <c r="V91" i="2"/>
  <c r="W91" i="2" s="1"/>
  <c r="T91" i="2"/>
  <c r="T514" i="2"/>
  <c r="AM424" i="2"/>
  <c r="V628" i="2"/>
  <c r="T388" i="2"/>
  <c r="T11" i="2"/>
  <c r="T632" i="2"/>
  <c r="V632" i="2"/>
  <c r="V158" i="2"/>
  <c r="T158" i="2"/>
  <c r="V118" i="2"/>
  <c r="T118" i="2"/>
  <c r="T116" i="2"/>
  <c r="V116" i="2"/>
  <c r="T334" i="2"/>
  <c r="V334" i="2"/>
  <c r="T99" i="2"/>
  <c r="V99" i="2"/>
  <c r="W99" i="2" s="1"/>
  <c r="V95" i="2"/>
  <c r="W95" i="2" s="1"/>
  <c r="T95" i="2"/>
  <c r="V260" i="2"/>
  <c r="T260" i="2"/>
  <c r="S25" i="1"/>
  <c r="Y25" i="1" s="1"/>
  <c r="AW25" i="1" s="1"/>
  <c r="S48" i="1"/>
  <c r="Y48" i="1" s="1"/>
  <c r="AW48" i="1" s="1"/>
  <c r="U42" i="1"/>
  <c r="C11" i="6"/>
  <c r="C10" i="6"/>
  <c r="F10" i="6" s="1"/>
  <c r="X69" i="1"/>
  <c r="U67" i="1"/>
  <c r="V67" i="1" s="1"/>
  <c r="AE67" i="1" s="1"/>
  <c r="S64" i="1"/>
  <c r="Y64" i="1" s="1"/>
  <c r="AW64" i="1" s="1"/>
  <c r="W69" i="1"/>
  <c r="S69" i="1"/>
  <c r="Y69" i="1" s="1"/>
  <c r="U63" i="1"/>
  <c r="U53" i="1"/>
  <c r="U58" i="1"/>
  <c r="U34" i="1"/>
  <c r="S18" i="1"/>
  <c r="Y18" i="1" s="1"/>
  <c r="U43" i="1"/>
  <c r="U26" i="1"/>
  <c r="AG69" i="1"/>
  <c r="AF69" i="1"/>
  <c r="AL69" i="1"/>
  <c r="U20" i="1"/>
  <c r="V20" i="1" s="1"/>
  <c r="AE20" i="1" s="1"/>
  <c r="AF46" i="1"/>
  <c r="U7" i="1"/>
  <c r="AL46" i="1"/>
  <c r="U16" i="1"/>
  <c r="U17" i="1"/>
  <c r="U3" i="1"/>
  <c r="S3" i="1"/>
  <c r="Y3" i="1" s="1"/>
  <c r="AW3" i="1" s="1"/>
  <c r="S37" i="1"/>
  <c r="Y37" i="1" s="1"/>
  <c r="AW37" i="1" s="1"/>
  <c r="AF50" i="1"/>
  <c r="AG65" i="1"/>
  <c r="AG50" i="1"/>
  <c r="S103" i="1"/>
  <c r="Y103" i="1" s="1"/>
  <c r="AW103" i="1" s="1"/>
  <c r="S11" i="1"/>
  <c r="Y11" i="1" s="1"/>
  <c r="AW11" i="1" s="1"/>
  <c r="S101" i="1"/>
  <c r="Y101" i="1" s="1"/>
  <c r="U21" i="1"/>
  <c r="V21" i="1" s="1"/>
  <c r="W21" i="1" s="1"/>
  <c r="S2" i="1"/>
  <c r="Y2" i="1" s="1"/>
  <c r="AW2" i="1" s="1"/>
  <c r="S4" i="1"/>
  <c r="Y4" i="1" s="1"/>
  <c r="AW4" i="1" s="1"/>
  <c r="U66" i="1"/>
  <c r="V66" i="1" s="1"/>
  <c r="X66" i="1" s="1"/>
  <c r="AW66" i="1" s="1"/>
  <c r="U11" i="1"/>
  <c r="S38" i="1"/>
  <c r="Y38" i="1" s="1"/>
  <c r="AW38" i="1" s="1"/>
  <c r="S102" i="1"/>
  <c r="Y102" i="1" s="1"/>
  <c r="S105" i="1"/>
  <c r="Y105" i="1" s="1"/>
  <c r="S32" i="1"/>
  <c r="Y32" i="1" s="1"/>
  <c r="AW32" i="1" s="1"/>
  <c r="S60" i="1"/>
  <c r="Y60" i="1" s="1"/>
  <c r="AW60" i="1" s="1"/>
  <c r="S9" i="1"/>
  <c r="Y9" i="1" s="1"/>
  <c r="AW9" i="1" s="1"/>
  <c r="S104" i="1"/>
  <c r="Y104" i="1" s="1"/>
  <c r="AW104" i="1" s="1"/>
  <c r="U39" i="1"/>
  <c r="S54" i="1"/>
  <c r="Y54" i="1" s="1"/>
  <c r="AW54" i="1" s="1"/>
  <c r="S12" i="1"/>
  <c r="Y12" i="1" s="1"/>
  <c r="AW12" i="1" s="1"/>
  <c r="U29" i="1"/>
  <c r="U10" i="1"/>
  <c r="U13" i="1"/>
  <c r="X65" i="1"/>
  <c r="U31" i="1"/>
  <c r="S27" i="1"/>
  <c r="Y27" i="1" s="1"/>
  <c r="AW27" i="1" s="1"/>
  <c r="AW43" i="1"/>
  <c r="U23" i="1"/>
  <c r="S45" i="1"/>
  <c r="Y45" i="1" s="1"/>
  <c r="AW45" i="1" s="1"/>
  <c r="AF65" i="1"/>
  <c r="W65" i="1"/>
  <c r="S14" i="1"/>
  <c r="Y14" i="1" s="1"/>
  <c r="AW14" i="1" s="1"/>
  <c r="U61" i="1"/>
  <c r="S57" i="1"/>
  <c r="Y57" i="1" s="1"/>
  <c r="AW57" i="1" s="1"/>
  <c r="U5" i="1"/>
  <c r="S44" i="1"/>
  <c r="Y44" i="1" s="1"/>
  <c r="U8" i="1"/>
  <c r="S41" i="1"/>
  <c r="Y41" i="1" s="1"/>
  <c r="AW41" i="1" s="1"/>
  <c r="AW46" i="1"/>
  <c r="S50" i="1"/>
  <c r="Y50" i="1" s="1"/>
  <c r="AW50" i="1" s="1"/>
  <c r="U49" i="1"/>
  <c r="AL68" i="1"/>
  <c r="S68" i="1"/>
  <c r="Y68" i="1" s="1"/>
  <c r="S35" i="1"/>
  <c r="Y35" i="1" s="1"/>
  <c r="AW35" i="1" s="1"/>
  <c r="W68" i="1"/>
  <c r="AF68" i="1"/>
  <c r="U6" i="1"/>
  <c r="X68" i="1"/>
  <c r="S30" i="1"/>
  <c r="Y30" i="1" s="1"/>
  <c r="AW30" i="1" s="1"/>
  <c r="U52" i="1"/>
  <c r="S65" i="1"/>
  <c r="Y65" i="1" s="1"/>
  <c r="U101" i="1"/>
  <c r="V101" i="1" s="1"/>
  <c r="W101" i="1" s="1"/>
  <c r="S51" i="1"/>
  <c r="Y51" i="1" s="1"/>
  <c r="U15" i="1"/>
  <c r="S15" i="1"/>
  <c r="Y15" i="1" s="1"/>
  <c r="AW15" i="1" s="1"/>
  <c r="S28" i="1"/>
  <c r="Y28" i="1" s="1"/>
  <c r="AW28" i="1" s="1"/>
  <c r="S62" i="1"/>
  <c r="Y62" i="1" s="1"/>
  <c r="AW62" i="1" s="1"/>
  <c r="U36" i="1"/>
  <c r="S36" i="1"/>
  <c r="Y36" i="1" s="1"/>
  <c r="AW36" i="1" s="1"/>
  <c r="S24" i="1"/>
  <c r="Y24" i="1" s="1"/>
  <c r="AW24" i="1" s="1"/>
  <c r="S47" i="1"/>
  <c r="Y47" i="1" s="1"/>
  <c r="AW47" i="1" s="1"/>
  <c r="S22" i="1"/>
  <c r="Y22" i="1" s="1"/>
  <c r="U46" i="1"/>
  <c r="S55" i="1"/>
  <c r="Y55" i="1" s="1"/>
  <c r="AW55" i="1" s="1"/>
  <c r="U55" i="1"/>
  <c r="U59" i="1"/>
  <c r="S59" i="1"/>
  <c r="Y59" i="1" s="1"/>
  <c r="AW59" i="1" s="1"/>
  <c r="AM522" i="2"/>
  <c r="AH522" i="2"/>
  <c r="AG522" i="2"/>
  <c r="AG489" i="2"/>
  <c r="AM489" i="2"/>
  <c r="AH489" i="2"/>
  <c r="AH441" i="2"/>
  <c r="AM441" i="2"/>
  <c r="AG441" i="2"/>
  <c r="V179" i="2"/>
  <c r="T179" i="2"/>
  <c r="AM102" i="2"/>
  <c r="AG102" i="2"/>
  <c r="AH102" i="2"/>
  <c r="AM518" i="2"/>
  <c r="AH518" i="2"/>
  <c r="AG518" i="2"/>
  <c r="AM503" i="2"/>
  <c r="AH503" i="2"/>
  <c r="AG503" i="2"/>
  <c r="AH514" i="2"/>
  <c r="AG514" i="2"/>
  <c r="AM514" i="2"/>
  <c r="AM448" i="2"/>
  <c r="AH448" i="2"/>
  <c r="AG448" i="2"/>
  <c r="AM404" i="2"/>
  <c r="AH404" i="2"/>
  <c r="AG404" i="2"/>
  <c r="V427" i="2"/>
  <c r="T427" i="2"/>
  <c r="AH402" i="2"/>
  <c r="AG402" i="2"/>
  <c r="AM402" i="2"/>
  <c r="AH462" i="2"/>
  <c r="AG462" i="2"/>
  <c r="AM462" i="2"/>
  <c r="AH384" i="2"/>
  <c r="AG384" i="2"/>
  <c r="AM384" i="2"/>
  <c r="AH453" i="2"/>
  <c r="AM453" i="2"/>
  <c r="AG453" i="2"/>
  <c r="AH433" i="2"/>
  <c r="AM433" i="2"/>
  <c r="AG433" i="2"/>
  <c r="V163" i="2"/>
  <c r="T163" i="2"/>
  <c r="T9" i="2"/>
  <c r="V9" i="2"/>
  <c r="AH425" i="2"/>
  <c r="AM425" i="2"/>
  <c r="AG425" i="2"/>
  <c r="V243" i="2"/>
  <c r="T243" i="2"/>
  <c r="T711" i="2"/>
  <c r="V711" i="2"/>
  <c r="V690" i="2"/>
  <c r="T690" i="2"/>
  <c r="AM499" i="2"/>
  <c r="AH499" i="2"/>
  <c r="AG499" i="2"/>
  <c r="T487" i="2"/>
  <c r="V487" i="2"/>
  <c r="V503" i="2"/>
  <c r="T503" i="2"/>
  <c r="AM444" i="2"/>
  <c r="AH444" i="2"/>
  <c r="AG444" i="2"/>
  <c r="AM400" i="2"/>
  <c r="AH400" i="2"/>
  <c r="AG400" i="2"/>
  <c r="AH478" i="2"/>
  <c r="AM478" i="2"/>
  <c r="AG478" i="2"/>
  <c r="AH470" i="2"/>
  <c r="AG470" i="2"/>
  <c r="AM470" i="2"/>
  <c r="AH513" i="2"/>
  <c r="AM513" i="2"/>
  <c r="AG513" i="2"/>
  <c r="AH480" i="2"/>
  <c r="AM480" i="2"/>
  <c r="AG480" i="2"/>
  <c r="AH409" i="2"/>
  <c r="AG409" i="2"/>
  <c r="AM409" i="2"/>
  <c r="AH461" i="2"/>
  <c r="AM461" i="2"/>
  <c r="AG461" i="2"/>
  <c r="AH422" i="2"/>
  <c r="AG422" i="2"/>
  <c r="AM422" i="2"/>
  <c r="AH426" i="2"/>
  <c r="AG426" i="2"/>
  <c r="AM426" i="2"/>
  <c r="AH418" i="2"/>
  <c r="AG418" i="2"/>
  <c r="AM418" i="2"/>
  <c r="AH445" i="2"/>
  <c r="AM445" i="2"/>
  <c r="AG445" i="2"/>
  <c r="V123" i="2"/>
  <c r="T123" i="2"/>
  <c r="V227" i="2"/>
  <c r="T227" i="2"/>
  <c r="AM97" i="2"/>
  <c r="AH97" i="2"/>
  <c r="AG97" i="2"/>
  <c r="V727" i="2"/>
  <c r="T727" i="2"/>
  <c r="V738" i="2"/>
  <c r="T738" i="2"/>
  <c r="T679" i="2"/>
  <c r="V679" i="2"/>
  <c r="AM527" i="2"/>
  <c r="AH527" i="2"/>
  <c r="AG527" i="2"/>
  <c r="AM495" i="2"/>
  <c r="AG495" i="2"/>
  <c r="AH495" i="2"/>
  <c r="AG481" i="2"/>
  <c r="AM481" i="2"/>
  <c r="AH481" i="2"/>
  <c r="AM440" i="2"/>
  <c r="AH440" i="2"/>
  <c r="AG440" i="2"/>
  <c r="AM396" i="2"/>
  <c r="AH396" i="2"/>
  <c r="AG396" i="2"/>
  <c r="V443" i="2"/>
  <c r="T443" i="2"/>
  <c r="V419" i="2"/>
  <c r="T419" i="2"/>
  <c r="AH469" i="2"/>
  <c r="AM469" i="2"/>
  <c r="AG469" i="2"/>
  <c r="AH406" i="2"/>
  <c r="AG406" i="2"/>
  <c r="AM406" i="2"/>
  <c r="AH438" i="2"/>
  <c r="AG438" i="2"/>
  <c r="AM438" i="2"/>
  <c r="AM407" i="2"/>
  <c r="AH407" i="2"/>
  <c r="AG407" i="2"/>
  <c r="AM380" i="2"/>
  <c r="AH380" i="2"/>
  <c r="AG380" i="2"/>
  <c r="AM459" i="2"/>
  <c r="AH459" i="2"/>
  <c r="AG459" i="2"/>
  <c r="AH450" i="2"/>
  <c r="AG450" i="2"/>
  <c r="AM450" i="2"/>
  <c r="V258" i="2"/>
  <c r="T258" i="2"/>
  <c r="V171" i="2"/>
  <c r="T171" i="2"/>
  <c r="Y94" i="2"/>
  <c r="X94" i="2"/>
  <c r="AF94" i="2"/>
  <c r="AM507" i="2"/>
  <c r="AH507" i="2"/>
  <c r="AG507" i="2"/>
  <c r="AM408" i="2"/>
  <c r="AH408" i="2"/>
  <c r="AG408" i="2"/>
  <c r="AH473" i="2"/>
  <c r="AM473" i="2"/>
  <c r="AG473" i="2"/>
  <c r="AH454" i="2"/>
  <c r="AG454" i="2"/>
  <c r="AM454" i="2"/>
  <c r="AG394" i="2"/>
  <c r="AM394" i="2"/>
  <c r="AH394" i="2"/>
  <c r="V648" i="2"/>
  <c r="T648" i="2"/>
  <c r="AM523" i="2"/>
  <c r="AH523" i="2"/>
  <c r="AG523" i="2"/>
  <c r="AM491" i="2"/>
  <c r="AG491" i="2"/>
  <c r="AH491" i="2"/>
  <c r="AH497" i="2"/>
  <c r="AG497" i="2"/>
  <c r="AM497" i="2"/>
  <c r="AH521" i="2"/>
  <c r="AG521" i="2"/>
  <c r="AM521" i="2"/>
  <c r="AM436" i="2"/>
  <c r="AH436" i="2"/>
  <c r="AG436" i="2"/>
  <c r="AM392" i="2"/>
  <c r="AH392" i="2"/>
  <c r="AG392" i="2"/>
  <c r="AH484" i="2"/>
  <c r="AG484" i="2"/>
  <c r="AM484" i="2"/>
  <c r="AH437" i="2"/>
  <c r="AM437" i="2"/>
  <c r="AG437" i="2"/>
  <c r="AG386" i="2"/>
  <c r="AM386" i="2"/>
  <c r="AH386" i="2"/>
  <c r="AM467" i="2"/>
  <c r="AH467" i="2"/>
  <c r="AG467" i="2"/>
  <c r="AH458" i="2"/>
  <c r="AG458" i="2"/>
  <c r="AM458" i="2"/>
  <c r="AH410" i="2"/>
  <c r="AG410" i="2"/>
  <c r="AM410" i="2"/>
  <c r="AH442" i="2"/>
  <c r="AG442" i="2"/>
  <c r="AM442" i="2"/>
  <c r="AM381" i="2"/>
  <c r="AH381" i="2"/>
  <c r="AG381" i="2"/>
  <c r="AH417" i="2"/>
  <c r="AM417" i="2"/>
  <c r="AG417" i="2"/>
  <c r="V147" i="2"/>
  <c r="T147" i="2"/>
  <c r="V115" i="2"/>
  <c r="T115" i="2"/>
  <c r="Y108" i="2"/>
  <c r="X108" i="2"/>
  <c r="AF108" i="2"/>
  <c r="V211" i="2"/>
  <c r="T211" i="2"/>
  <c r="AM111" i="2"/>
  <c r="AH111" i="2"/>
  <c r="AG111" i="2"/>
  <c r="V92" i="2"/>
  <c r="W92" i="2" s="1"/>
  <c r="T92" i="2"/>
  <c r="AM11" i="2"/>
  <c r="AH11" i="2"/>
  <c r="AG11" i="2"/>
  <c r="T719" i="2"/>
  <c r="V719" i="2"/>
  <c r="V656" i="2"/>
  <c r="T656" i="2"/>
  <c r="V616" i="2"/>
  <c r="T616" i="2"/>
  <c r="AM529" i="2"/>
  <c r="AH529" i="2"/>
  <c r="AG529" i="2"/>
  <c r="AM519" i="2"/>
  <c r="AH519" i="2"/>
  <c r="AG519" i="2"/>
  <c r="AM487" i="2"/>
  <c r="AG487" i="2"/>
  <c r="AH487" i="2"/>
  <c r="AM477" i="2"/>
  <c r="AH477" i="2"/>
  <c r="AG477" i="2"/>
  <c r="AH517" i="2"/>
  <c r="AM517" i="2"/>
  <c r="AG517" i="2"/>
  <c r="AM485" i="2"/>
  <c r="AG485" i="2"/>
  <c r="AH485" i="2"/>
  <c r="AH509" i="2"/>
  <c r="AM509" i="2"/>
  <c r="AG509" i="2"/>
  <c r="AH501" i="2"/>
  <c r="AM501" i="2"/>
  <c r="AG501" i="2"/>
  <c r="AM428" i="2"/>
  <c r="AH428" i="2"/>
  <c r="AG428" i="2"/>
  <c r="AM388" i="2"/>
  <c r="AH388" i="2"/>
  <c r="AG388" i="2"/>
  <c r="AH434" i="2"/>
  <c r="AG434" i="2"/>
  <c r="AM434" i="2"/>
  <c r="AH405" i="2"/>
  <c r="AM405" i="2"/>
  <c r="AG405" i="2"/>
  <c r="AH502" i="2"/>
  <c r="AG502" i="2"/>
  <c r="AM502" i="2"/>
  <c r="AH466" i="2"/>
  <c r="AG466" i="2"/>
  <c r="AM466" i="2"/>
  <c r="T386" i="2"/>
  <c r="V386" i="2"/>
  <c r="AM423" i="2"/>
  <c r="AH423" i="2"/>
  <c r="AG423" i="2"/>
  <c r="AH397" i="2"/>
  <c r="AM397" i="2"/>
  <c r="AG397" i="2"/>
  <c r="AM493" i="2"/>
  <c r="AH493" i="2"/>
  <c r="AG493" i="2"/>
  <c r="AH446" i="2"/>
  <c r="AG446" i="2"/>
  <c r="AM446" i="2"/>
  <c r="AH429" i="2"/>
  <c r="AM429" i="2"/>
  <c r="AG429" i="2"/>
  <c r="AH398" i="2"/>
  <c r="AG398" i="2"/>
  <c r="AM398" i="2"/>
  <c r="AM105" i="2"/>
  <c r="AH105" i="2"/>
  <c r="AG105" i="2"/>
  <c r="AH449" i="2"/>
  <c r="AM449" i="2"/>
  <c r="AG449" i="2"/>
  <c r="V187" i="2"/>
  <c r="T187" i="2"/>
  <c r="AM90" i="2"/>
  <c r="AH90" i="2"/>
  <c r="AG90" i="2"/>
  <c r="V467" i="2"/>
  <c r="T467" i="2"/>
  <c r="AH421" i="2"/>
  <c r="AM421" i="2"/>
  <c r="AG421" i="2"/>
  <c r="AM109" i="2"/>
  <c r="AH109" i="2"/>
  <c r="AG109" i="2"/>
  <c r="V548" i="2"/>
  <c r="T548" i="2"/>
  <c r="V543" i="2"/>
  <c r="T543" i="2"/>
  <c r="V551" i="2"/>
  <c r="T551" i="2"/>
  <c r="AM515" i="2"/>
  <c r="AH515" i="2"/>
  <c r="AG515" i="2"/>
  <c r="AM483" i="2"/>
  <c r="AH483" i="2"/>
  <c r="AG483" i="2"/>
  <c r="V527" i="2"/>
  <c r="T527" i="2"/>
  <c r="AH506" i="2"/>
  <c r="AG506" i="2"/>
  <c r="AM506" i="2"/>
  <c r="V523" i="2"/>
  <c r="T523" i="2"/>
  <c r="AH498" i="2"/>
  <c r="AG498" i="2"/>
  <c r="AM498" i="2"/>
  <c r="T495" i="2"/>
  <c r="V495" i="2"/>
  <c r="AM416" i="2"/>
  <c r="AH416" i="2"/>
  <c r="AG416" i="2"/>
  <c r="V455" i="2"/>
  <c r="T455" i="2"/>
  <c r="T382" i="2"/>
  <c r="V382" i="2"/>
  <c r="AH457" i="2"/>
  <c r="AM457" i="2"/>
  <c r="AG457" i="2"/>
  <c r="AH413" i="2"/>
  <c r="AM413" i="2"/>
  <c r="AG413" i="2"/>
  <c r="AM395" i="2"/>
  <c r="AH395" i="2"/>
  <c r="AG395" i="2"/>
  <c r="AM455" i="2"/>
  <c r="AH455" i="2"/>
  <c r="AG455" i="2"/>
  <c r="AG390" i="2"/>
  <c r="AM390" i="2"/>
  <c r="AH390" i="2"/>
  <c r="AH401" i="2"/>
  <c r="AM401" i="2"/>
  <c r="AG401" i="2"/>
  <c r="AH104" i="2"/>
  <c r="AG104" i="2"/>
  <c r="AM104" i="2"/>
  <c r="V203" i="2"/>
  <c r="T203" i="2"/>
  <c r="Y93" i="2"/>
  <c r="AF93" i="2"/>
  <c r="X93" i="2"/>
  <c r="T674" i="2"/>
  <c r="V674" i="2"/>
  <c r="V640" i="2"/>
  <c r="T640" i="2"/>
  <c r="AH530" i="2"/>
  <c r="AG530" i="2"/>
  <c r="AM530" i="2"/>
  <c r="T537" i="2"/>
  <c r="V537" i="2"/>
  <c r="AM431" i="2"/>
  <c r="AH431" i="2"/>
  <c r="AG431" i="2"/>
  <c r="AM471" i="2"/>
  <c r="AH471" i="2"/>
  <c r="AG471" i="2"/>
  <c r="V471" i="2"/>
  <c r="T471" i="2"/>
  <c r="T703" i="2"/>
  <c r="V703" i="2"/>
  <c r="AF731" i="2"/>
  <c r="Y731" i="2"/>
  <c r="X731" i="2"/>
  <c r="AM533" i="2"/>
  <c r="AH533" i="2"/>
  <c r="AG533" i="2"/>
  <c r="AM526" i="2"/>
  <c r="AH526" i="2"/>
  <c r="AG526" i="2"/>
  <c r="V540" i="2"/>
  <c r="T540" i="2"/>
  <c r="AM511" i="2"/>
  <c r="AH511" i="2"/>
  <c r="AG511" i="2"/>
  <c r="AM479" i="2"/>
  <c r="AH479" i="2"/>
  <c r="AG479" i="2"/>
  <c r="V511" i="2"/>
  <c r="T511" i="2"/>
  <c r="AH505" i="2"/>
  <c r="AG505" i="2"/>
  <c r="AM505" i="2"/>
  <c r="AH525" i="2"/>
  <c r="AG525" i="2"/>
  <c r="AM525" i="2"/>
  <c r="AM412" i="2"/>
  <c r="AH412" i="2"/>
  <c r="AG412" i="2"/>
  <c r="V431" i="2"/>
  <c r="T431" i="2"/>
  <c r="AH465" i="2"/>
  <c r="AG465" i="2"/>
  <c r="AM465" i="2"/>
  <c r="AM411" i="2"/>
  <c r="AH411" i="2"/>
  <c r="AG411" i="2"/>
  <c r="AH414" i="2"/>
  <c r="AG414" i="2"/>
  <c r="AM414" i="2"/>
  <c r="AH430" i="2"/>
  <c r="AG430" i="2"/>
  <c r="AM430" i="2"/>
  <c r="AH510" i="2"/>
  <c r="AG510" i="2"/>
  <c r="AM510" i="2"/>
  <c r="AF103" i="2"/>
  <c r="Y103" i="2"/>
  <c r="X103" i="2"/>
  <c r="V219" i="2"/>
  <c r="T219" i="2"/>
  <c r="AG43" i="1"/>
  <c r="AF43" i="1"/>
  <c r="AL43" i="1"/>
  <c r="AE102" i="1"/>
  <c r="X102" i="1"/>
  <c r="W102" i="1"/>
  <c r="X18" i="1"/>
  <c r="W18" i="1"/>
  <c r="AE18" i="1"/>
  <c r="X22" i="1"/>
  <c r="W22" i="1"/>
  <c r="AE22" i="1"/>
  <c r="AE19" i="1"/>
  <c r="X19" i="1"/>
  <c r="AW19" i="1" s="1"/>
  <c r="W19" i="1"/>
  <c r="X51" i="1"/>
  <c r="W51" i="1"/>
  <c r="AE51" i="1"/>
  <c r="AL2" i="1"/>
  <c r="AG2" i="1"/>
  <c r="AF2" i="1"/>
  <c r="AE105" i="1"/>
  <c r="X105" i="1"/>
  <c r="W105" i="1"/>
  <c r="W44" i="1"/>
  <c r="AE44" i="1"/>
  <c r="X44" i="1"/>
  <c r="X95" i="2" l="1"/>
  <c r="Y95" i="2"/>
  <c r="AF95" i="2"/>
  <c r="X99" i="2"/>
  <c r="AF99" i="2"/>
  <c r="Y99" i="2"/>
  <c r="AM88" i="2"/>
  <c r="AG88" i="2"/>
  <c r="AH88" i="2"/>
  <c r="AF91" i="2"/>
  <c r="Y91" i="2"/>
  <c r="X91" i="2"/>
  <c r="AF767" i="2"/>
  <c r="Y767" i="2"/>
  <c r="X767" i="2"/>
  <c r="W67" i="1"/>
  <c r="AW69" i="1"/>
  <c r="X20" i="1"/>
  <c r="AW20" i="1" s="1"/>
  <c r="C13" i="6"/>
  <c r="W20" i="1"/>
  <c r="E11" i="6" s="1"/>
  <c r="F11" i="6" s="1"/>
  <c r="X67" i="1"/>
  <c r="AW67" i="1" s="1"/>
  <c r="AE66" i="1"/>
  <c r="AF66" i="1" s="1"/>
  <c r="W66" i="1"/>
  <c r="X21" i="1"/>
  <c r="AW21" i="1" s="1"/>
  <c r="AE21" i="1"/>
  <c r="AG21" i="1" s="1"/>
  <c r="AW18" i="1"/>
  <c r="AW44" i="1"/>
  <c r="AW102" i="1"/>
  <c r="AE101" i="1"/>
  <c r="AF101" i="1" s="1"/>
  <c r="AW105" i="1"/>
  <c r="X101" i="1"/>
  <c r="AW101" i="1" s="1"/>
  <c r="AW68" i="1"/>
  <c r="AW65" i="1"/>
  <c r="AW22" i="1"/>
  <c r="AW51" i="1"/>
  <c r="AH731" i="2"/>
  <c r="AG731" i="2"/>
  <c r="AM731" i="2"/>
  <c r="AM94" i="2"/>
  <c r="AH94" i="2"/>
  <c r="AG94" i="2"/>
  <c r="Y92" i="2"/>
  <c r="X92" i="2"/>
  <c r="AF92" i="2"/>
  <c r="AM108" i="2"/>
  <c r="AH108" i="2"/>
  <c r="AG108" i="2"/>
  <c r="AM103" i="2"/>
  <c r="AG103" i="2"/>
  <c r="AH103" i="2"/>
  <c r="AM93" i="2"/>
  <c r="AH93" i="2"/>
  <c r="AG93" i="2"/>
  <c r="AL22" i="1"/>
  <c r="AG22" i="1"/>
  <c r="AF22" i="1"/>
  <c r="AL102" i="1"/>
  <c r="AG102" i="1"/>
  <c r="AF102" i="1"/>
  <c r="AL51" i="1"/>
  <c r="AG51" i="1"/>
  <c r="AF51" i="1"/>
  <c r="AL105" i="1"/>
  <c r="AG105" i="1"/>
  <c r="AF105" i="1"/>
  <c r="AG19" i="1"/>
  <c r="AF19" i="1"/>
  <c r="AL19" i="1"/>
  <c r="AL18" i="1"/>
  <c r="AG18" i="1"/>
  <c r="AF18" i="1"/>
  <c r="AG20" i="1"/>
  <c r="AF20" i="1"/>
  <c r="AL20" i="1"/>
  <c r="AL67" i="1"/>
  <c r="AG67" i="1"/>
  <c r="AF67" i="1"/>
  <c r="AL44" i="1"/>
  <c r="AG44" i="1"/>
  <c r="AF44" i="1"/>
  <c r="AH99" i="2" l="1"/>
  <c r="AG99" i="2"/>
  <c r="AM99" i="2"/>
  <c r="AG767" i="2"/>
  <c r="AM767" i="2"/>
  <c r="AH767" i="2"/>
  <c r="AG95" i="2"/>
  <c r="AM95" i="2"/>
  <c r="AH95" i="2"/>
  <c r="AG91" i="2"/>
  <c r="AH91" i="2"/>
  <c r="AM91" i="2"/>
  <c r="AG66" i="1"/>
  <c r="AL66" i="1"/>
  <c r="D11" i="6"/>
  <c r="AL21" i="1"/>
  <c r="AF21" i="1"/>
  <c r="AG101" i="1"/>
  <c r="AL101" i="1"/>
  <c r="W4" i="2"/>
  <c r="W1" i="2"/>
  <c r="AM92" i="2"/>
  <c r="AG92" i="2"/>
  <c r="AH92" i="2"/>
  <c r="X4" i="2" l="1"/>
  <c r="W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tc={C8ADA101-ED2D-4F3B-91F0-E90A5BB240F6}</author>
  </authors>
  <commentList>
    <comment ref="I15" authorId="0" shapeId="0" xr:uid="{C8ADA101-ED2D-4F3B-91F0-E90A5BB240F6}">
      <text>
        <t>[线程批注]
你的Excel版本可读取此线程批注; 但如果在更新版本的Excel中打开文件，则对批注所作的任何改动都将被删除。了解详细信息: https://go.microsoft.com/fwlink/?linkid=870924
注释:
    去掉Band 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L1" authorId="0" shapeId="0" xr:uid="{1A4A8057-31F2-4A5B-92E2-384F683CB873}">
      <text>
        <r>
          <rPr>
            <b/>
            <sz val="9"/>
            <color indexed="81"/>
            <rFont val="Tahoma"/>
            <family val="2"/>
          </rPr>
          <t>1 GE3/Band D
2 Workplan
3 Sales+Livestreaming
4 CS Group 2/3
5 CS technican+telesales
6 Blue collar
7 Consellor</t>
        </r>
      </text>
    </comment>
    <comment ref="AN1" authorId="1" shapeId="0" xr:uid="{8B003378-E197-4CB2-AB1F-E2CAAD93D76D}">
      <text>
        <r>
          <rPr>
            <b/>
            <sz val="9"/>
            <color indexed="81"/>
            <rFont val="宋体"/>
            <charset val="1"/>
          </rPr>
          <t>Period:202503-202605</t>
        </r>
        <r>
          <rPr>
            <sz val="9"/>
            <color indexed="81"/>
            <rFont val="宋体"/>
            <charset val="1"/>
          </rPr>
          <t xml:space="preserve">
</t>
        </r>
      </text>
    </comment>
    <comment ref="V40" authorId="2" shapeId="0" xr:uid="{BF00C047-F749-4AB7-ADF3-F96A47E6E33B}">
      <text>
        <r>
          <rPr>
            <b/>
            <sz val="9"/>
            <color indexed="81"/>
            <rFont val="宋体"/>
            <charset val="1"/>
          </rPr>
          <t>备注调整原因</t>
        </r>
      </text>
    </comment>
    <comment ref="AO46" authorId="2" shapeId="0" xr:uid="{4BF8D19D-D70E-4821-AB58-5DD828028E0B}">
      <text>
        <r>
          <rPr>
            <b/>
            <sz val="9"/>
            <color indexed="81"/>
            <rFont val="宋体"/>
            <charset val="1"/>
          </rPr>
          <t>1. balance
2. performaer
3. scepe enlarge
4. lowest
5. risk
6. 稀缺性
7. promote</t>
        </r>
      </text>
    </comment>
    <comment ref="V60" authorId="2" shapeId="0" xr:uid="{BEA6847F-2B80-45C5-9781-C772D3133494}">
      <text>
        <r>
          <rPr>
            <b/>
            <sz val="9"/>
            <color indexed="81"/>
            <rFont val="宋体"/>
            <charset val="1"/>
          </rPr>
          <t>再看看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L2" authorId="0" shapeId="0" xr:uid="{ED1C5A51-7840-440F-A89B-5F4AD946ED0F}">
      <text>
        <r>
          <rPr>
            <b/>
            <sz val="9"/>
            <color indexed="81"/>
            <rFont val="Tahoma"/>
            <family val="2"/>
          </rPr>
          <t>1 GE3/Band D
2 Workplan
3 Sales+Livestreaming
4 CS Group 2/3
5 CS technican+telesales
6 Blue collar
7 Consellor</t>
        </r>
      </text>
    </comment>
    <comment ref="AN2" authorId="1" shapeId="0" xr:uid="{AC1D908B-3F1C-4198-B7C5-565AA86BED0E}">
      <text>
        <r>
          <rPr>
            <b/>
            <sz val="9"/>
            <color indexed="81"/>
            <rFont val="宋体"/>
            <charset val="1"/>
          </rPr>
          <t>Period:202503-202605</t>
        </r>
        <r>
          <rPr>
            <sz val="9"/>
            <color indexed="81"/>
            <rFont val="宋体"/>
            <charset val="1"/>
          </rPr>
          <t xml:space="preserve">
</t>
        </r>
      </text>
    </comment>
    <comment ref="AO22" authorId="2" shapeId="0" xr:uid="{454D69F4-CD38-456A-83F5-999338393898}">
      <text>
        <r>
          <rPr>
            <b/>
            <sz val="9"/>
            <color indexed="81"/>
            <rFont val="宋体"/>
            <charset val="1"/>
          </rPr>
          <t>1. balance
2. performaer
3. scepe enlarge
4. lowest
5. risk
6. 稀缺性
7. promote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Hu Jun (BSH FLCCh-PD)</author>
  </authors>
  <commentList>
    <comment ref="M1" authorId="0" shapeId="0" xr:uid="{C020A1FA-ECAD-4033-BA1A-C8A387D3E150}">
      <text>
        <r>
          <rPr>
            <b/>
            <sz val="9"/>
            <color indexed="81"/>
            <rFont val="Tahoma"/>
            <family val="2"/>
          </rPr>
          <t>1 GE3/Band D
2 Workplan
3 Sales+Livestreaming
4 CS Group 2/3
5 CS technican+telesales
6 Blue collar
7 Consellor</t>
        </r>
      </text>
    </comment>
    <comment ref="AO1" authorId="1" shapeId="0" xr:uid="{848B5315-BF1C-45BD-93C7-E77057E3FACE}">
      <text>
        <r>
          <rPr>
            <b/>
            <sz val="9"/>
            <color indexed="81"/>
            <rFont val="宋体"/>
            <charset val="1"/>
          </rPr>
          <t>Period:202503-202605</t>
        </r>
        <r>
          <rPr>
            <sz val="9"/>
            <color indexed="81"/>
            <rFont val="宋体"/>
            <charset val="1"/>
          </rPr>
          <t xml:space="preserve">
</t>
        </r>
      </text>
    </comment>
    <comment ref="W61" authorId="2" shapeId="0" xr:uid="{3B375249-6B26-4C9F-8FF3-6B7F4242A2B2}">
      <text>
        <r>
          <rPr>
            <b/>
            <sz val="9"/>
            <color indexed="81"/>
            <rFont val="宋体"/>
            <charset val="1"/>
          </rPr>
          <t>再看看</t>
        </r>
      </text>
    </comment>
    <comment ref="AP108" authorId="2" shapeId="0" xr:uid="{8A8D85D0-E7C8-4D8A-ACD2-59BC73F22437}">
      <text>
        <r>
          <rPr>
            <b/>
            <sz val="9"/>
            <color indexed="81"/>
            <rFont val="宋体"/>
            <charset val="1"/>
          </rPr>
          <t>1. balance
2. performaer
3. scepe enlarge
4. lowest
5. risk
6. 稀缺性
7. promote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Zhang, Huifen (RGC/AD-HRSP2)</author>
    <author>Ji Wen (BSH GHR-PXCP2)</author>
  </authors>
  <commentList>
    <comment ref="M8" authorId="0" shapeId="0" xr:uid="{69E3F94E-704D-4A84-B68F-3DA40390F291}">
      <text>
        <r>
          <rPr>
            <b/>
            <sz val="9"/>
            <color indexed="81"/>
            <rFont val="Tahoma"/>
            <family val="2"/>
          </rPr>
          <t>1 GE3/Band D
2 Workplan
3 Sales+Livestreaming
4 CS Group 2/3
5 CS technican+telesales
6 Blue collar
7 Consellor</t>
        </r>
      </text>
    </comment>
    <comment ref="AO8" authorId="1" shapeId="0" xr:uid="{56BC0118-FB96-4860-A7A5-44F24384F07C}">
      <text>
        <r>
          <rPr>
            <b/>
            <sz val="9"/>
            <color indexed="81"/>
            <rFont val="宋体"/>
            <charset val="1"/>
          </rPr>
          <t>Period:202503-202605</t>
        </r>
        <r>
          <rPr>
            <sz val="9"/>
            <color indexed="81"/>
            <rFont val="宋体"/>
            <charset val="1"/>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<sst xmlns="http://schemas.openxmlformats.org/spreadsheetml/2006/main" count="33852" uniqueCount="3145">
  <si>
    <t>Current:202606</t>
  </si>
  <si>
    <t>New: 202607</t>
  </si>
  <si>
    <t>Pers.no.</t>
  </si>
  <si>
    <t>Name_C</t>
  </si>
  <si>
    <t>Subgroup</t>
  </si>
  <si>
    <t>Area</t>
  </si>
  <si>
    <t>Subarea</t>
  </si>
  <si>
    <t>Dept.</t>
  </si>
  <si>
    <t>Cost ctr</t>
  </si>
  <si>
    <t xml:space="preserve">Join date </t>
  </si>
  <si>
    <t>Job</t>
  </si>
  <si>
    <t>Position</t>
  </si>
  <si>
    <t>Band Level</t>
  </si>
  <si>
    <t>Workplan type</t>
  </si>
  <si>
    <t>2025 Performance Level</t>
  </si>
  <si>
    <t xml:space="preserve"> Basic salary </t>
  </si>
  <si>
    <t>①
Merit increase %</t>
  </si>
  <si>
    <t>Merit Increase amount</t>
  </si>
  <si>
    <t xml:space="preserve">② 
Equity Increase%
</t>
  </si>
  <si>
    <t>Equity Increase
amount</t>
  </si>
  <si>
    <r>
      <t>Total recommended Increase % 
(</t>
    </r>
    <r>
      <rPr>
        <sz val="12"/>
        <color theme="1"/>
        <rFont val="宋体"/>
        <family val="3"/>
        <charset val="134"/>
      </rPr>
      <t>①</t>
    </r>
    <r>
      <rPr>
        <sz val="12"/>
        <color theme="1"/>
        <rFont val="Arial"/>
        <family val="2"/>
      </rPr>
      <t>+</t>
    </r>
    <r>
      <rPr>
        <sz val="12"/>
        <color theme="1"/>
        <rFont val="宋体"/>
        <family val="3"/>
        <charset val="134"/>
      </rPr>
      <t>②</t>
    </r>
    <r>
      <rPr>
        <sz val="12"/>
        <color theme="1"/>
        <rFont val="Arial"/>
        <family val="2"/>
      </rPr>
      <t>)</t>
    </r>
  </si>
  <si>
    <t>Total Recommended Increase amount</t>
  </si>
  <si>
    <t>Recommended new basic salary</t>
  </si>
  <si>
    <r>
      <t xml:space="preserve">Adjutsed basic salary
</t>
    </r>
    <r>
      <rPr>
        <b/>
        <u val="singleAccounting"/>
        <sz val="12"/>
        <color theme="9"/>
        <rFont val="Arial"/>
        <family val="2"/>
      </rPr>
      <t>(input by DH)</t>
    </r>
  </si>
  <si>
    <t>Adjutsed increased/decreased basic salary by DH</t>
  </si>
  <si>
    <t xml:space="preserve">Adjusted basic increase/decreased % by DH </t>
  </si>
  <si>
    <t xml:space="preserve">Adjustment range reference </t>
  </si>
  <si>
    <t>Promotion or demotion</t>
  </si>
  <si>
    <t>New position title</t>
  </si>
  <si>
    <t>New band</t>
  </si>
  <si>
    <t>③
Promotion increase/Demotion decrease %
(±5%-±20%)</t>
  </si>
  <si>
    <t>Promotion increase/Demotion decrease amount</t>
  </si>
  <si>
    <t xml:space="preserve">Final new basic salary 
</t>
  </si>
  <si>
    <t>Final increase/decrease amount</t>
  </si>
  <si>
    <t>Final increase/decrease rate</t>
  </si>
  <si>
    <t>Pay months</t>
  </si>
  <si>
    <t>Monthly allowance/bonus</t>
  </si>
  <si>
    <t>Monthly Car Allowance</t>
  </si>
  <si>
    <t xml:space="preserve">Other income(e.g.:festival bonus)
</t>
  </si>
  <si>
    <t>Annual target cash</t>
  </si>
  <si>
    <t>2024 Performance Level</t>
  </si>
  <si>
    <t>Disciplinary Records</t>
  </si>
  <si>
    <t>Justifications by DH</t>
  </si>
  <si>
    <t>HR Remark</t>
  </si>
  <si>
    <t>Responsible ASR Manager</t>
  </si>
  <si>
    <t>Responsible ASR HRBP</t>
  </si>
  <si>
    <t>PY</t>
  </si>
  <si>
    <t>85% of LMW (for Technician/Counsellor)</t>
  </si>
  <si>
    <t>Editable column 1</t>
  </si>
  <si>
    <t>Editable column 2</t>
  </si>
  <si>
    <t>Editable column 3</t>
  </si>
  <si>
    <t>Indirect Active</t>
  </si>
  <si>
    <t>OP</t>
  </si>
  <si>
    <t>SNa-PS</t>
  </si>
  <si>
    <t>390400</t>
  </si>
  <si>
    <t>Expert (CN)</t>
  </si>
  <si>
    <t>BAND B</t>
  </si>
  <si>
    <t>Wang Ning（15001553）</t>
  </si>
  <si>
    <t>Li Mingzhe（15018080）</t>
  </si>
  <si>
    <t>Zhao Chujun</t>
  </si>
  <si>
    <t>Functional Specialist</t>
  </si>
  <si>
    <t>BAND A6</t>
  </si>
  <si>
    <t>SNa</t>
  </si>
  <si>
    <t>FCGNa</t>
  </si>
  <si>
    <t>FCGNa-VVP</t>
  </si>
  <si>
    <t>330404</t>
  </si>
  <si>
    <t>Workshop Leader</t>
  </si>
  <si>
    <t>Head of FCGNa-VVP</t>
  </si>
  <si>
    <t>Miao Siyuan（15005811）</t>
  </si>
  <si>
    <t>Zhu Qianqian（11016705）</t>
  </si>
  <si>
    <t>FCGNa-VVE</t>
  </si>
  <si>
    <t>Supervisor</t>
  </si>
  <si>
    <t>Head of Engineering Ventilation</t>
  </si>
  <si>
    <t>Project Manager</t>
  </si>
  <si>
    <t>Senior Engineer</t>
  </si>
  <si>
    <t>Senior Electrical Engineer</t>
  </si>
  <si>
    <t>BAND A5</t>
  </si>
  <si>
    <t>330408</t>
  </si>
  <si>
    <t>Painting Functional Specialist</t>
  </si>
  <si>
    <t>FCGNa-VVM</t>
  </si>
  <si>
    <t>330204</t>
  </si>
  <si>
    <t>Head of FCGNa-VVM</t>
  </si>
  <si>
    <t>Engineer</t>
  </si>
  <si>
    <t>Project Engineer</t>
  </si>
  <si>
    <t>BAND A4</t>
  </si>
  <si>
    <t>Senior Specialist</t>
  </si>
  <si>
    <t>Senior IE Specialist</t>
  </si>
  <si>
    <t>Promotion</t>
  </si>
  <si>
    <t>Function specialist</t>
  </si>
  <si>
    <t>A6</t>
  </si>
  <si>
    <t>Good performance and high competence</t>
  </si>
  <si>
    <t>FCGNa-VCP</t>
  </si>
  <si>
    <t>330405</t>
  </si>
  <si>
    <t>Head of FCGNa-VCP</t>
  </si>
  <si>
    <t>Liu Haigang（15013255）</t>
  </si>
  <si>
    <t>FCGNa-VCE</t>
  </si>
  <si>
    <t>Only focus on route tasks, lack of innovation and new product maturity improvement</t>
  </si>
  <si>
    <t>Less responsibility compare with job level</t>
  </si>
  <si>
    <t xml:space="preserve"> recommend increasing but propose zero increase</t>
  </si>
  <si>
    <t>Head of FCGNa-VCE</t>
  </si>
  <si>
    <t>1. In 2025, he achieved an 11% reduction in cooker SPC and cut silicone usage by 50%.
2. As a supervisor, his salary is the lowest in the team, so I need to catch up appropriately.</t>
  </si>
  <si>
    <t>Good performers with relatively lower salary</t>
  </si>
  <si>
    <t xml:space="preserve"> exceed +/-20% adjustment</t>
  </si>
  <si>
    <t>&gt;20</t>
  </si>
  <si>
    <t>FCGNa-VCM</t>
  </si>
  <si>
    <t>Head of FCGNa-VCM</t>
  </si>
  <si>
    <t>Low performance as supervisor</t>
  </si>
  <si>
    <t>Low performer</t>
  </si>
  <si>
    <t>330401</t>
  </si>
  <si>
    <t>Press Senior Engineer</t>
  </si>
  <si>
    <t>330100</t>
  </si>
  <si>
    <t>Manager</t>
  </si>
  <si>
    <t>Chen Chao（15005032）</t>
  </si>
  <si>
    <t>FCGNa-VC</t>
  </si>
  <si>
    <t>Head of Value Stream Cooktop</t>
  </si>
  <si>
    <t>C</t>
  </si>
  <si>
    <t>FCGNa-VV</t>
  </si>
  <si>
    <t>Head of Value Stream Ventilation</t>
  </si>
  <si>
    <t>Senior Testing and Programming Engineer</t>
  </si>
  <si>
    <t>FEDNa</t>
  </si>
  <si>
    <t>FEDNa-MEP</t>
  </si>
  <si>
    <t>370200</t>
  </si>
  <si>
    <t>Process Engineer</t>
  </si>
  <si>
    <t>Ding Xudong（15000307）</t>
  </si>
  <si>
    <t>Xu Lan（11013544）</t>
  </si>
  <si>
    <t>FEDNa-MEM</t>
  </si>
  <si>
    <t>370201</t>
  </si>
  <si>
    <t>Head of Mechanical Support</t>
  </si>
  <si>
    <t>Internal balance</t>
  </si>
  <si>
    <t>&lt;20</t>
  </si>
  <si>
    <t>FEDNa-V2</t>
  </si>
  <si>
    <t>370400</t>
  </si>
  <si>
    <t>Head of FEDNa-V2</t>
  </si>
  <si>
    <t>FEDNa-ME</t>
  </si>
  <si>
    <t>Head of Manufacturing Engineering</t>
  </si>
  <si>
    <t>Senior Process Engineer</t>
  </si>
  <si>
    <t>Rounding</t>
  </si>
  <si>
    <t>Electrical Engineer</t>
  </si>
  <si>
    <t>senior engineer</t>
  </si>
  <si>
    <t>A5</t>
  </si>
  <si>
    <t>Associate Expert (CN)</t>
  </si>
  <si>
    <t>Associate Expert (C)</t>
  </si>
  <si>
    <t>Senior Equipment Engineer</t>
  </si>
  <si>
    <t>370404</t>
  </si>
  <si>
    <t>Production Engineer</t>
  </si>
  <si>
    <t>FEDNa-FS</t>
  </si>
  <si>
    <t>370100</t>
  </si>
  <si>
    <t>Coordinator</t>
  </si>
  <si>
    <t>TPM Coordinator</t>
  </si>
  <si>
    <t>Left/will leave/retire soon</t>
  </si>
  <si>
    <t>Head of FEDNa-MEP</t>
  </si>
  <si>
    <t>Good performance/talent</t>
  </si>
  <si>
    <t>FEDNa-V1</t>
  </si>
  <si>
    <t>370402</t>
  </si>
  <si>
    <t>SNa-ES</t>
  </si>
  <si>
    <t>290125</t>
  </si>
  <si>
    <t>Senior EHS Engineer</t>
  </si>
  <si>
    <t>Yao Da (15022352)</t>
  </si>
  <si>
    <t>EHS Engineer</t>
  </si>
  <si>
    <t>FLCNa</t>
  </si>
  <si>
    <t>FLCNa-MEA</t>
  </si>
  <si>
    <t>340200</t>
  </si>
  <si>
    <t>Injection Functional Specialist</t>
  </si>
  <si>
    <t>Hu Jun（51202067）</t>
  </si>
  <si>
    <t>Mo Xiaohong（11005372）</t>
  </si>
  <si>
    <t>FLCNa-MEF</t>
  </si>
  <si>
    <t>very professional PLC engineer, lower salary</t>
  </si>
  <si>
    <t>Less responsibility compare with job level with relative low performance</t>
  </si>
  <si>
    <t>Head of Assembly</t>
  </si>
  <si>
    <t>FLCNa-ME</t>
  </si>
  <si>
    <t>Assembly Process Engineer</t>
  </si>
  <si>
    <t>Senior Assembly Process Engineer</t>
  </si>
  <si>
    <t>Very positive feedback from VS and high potential in assembly team，combined with promotion</t>
  </si>
  <si>
    <t>Combined with promotion</t>
  </si>
  <si>
    <t>Junior Engineer</t>
  </si>
  <si>
    <t>BAND A3</t>
  </si>
  <si>
    <t>NA</t>
  </si>
  <si>
    <t>Senior Manufacturing Engineer</t>
  </si>
  <si>
    <t>Excellent performance in laser welding relocation。同时兼任FLCNa,FLCCh 两家工厂的内筒激光焊接</t>
  </si>
  <si>
    <t>Significantly enlarged responsibilities with proven performance</t>
  </si>
  <si>
    <t>FLCNa-MEM</t>
  </si>
  <si>
    <t>340433</t>
  </si>
  <si>
    <t>Automation Engineer</t>
  </si>
  <si>
    <t>Senior Automation Engineer</t>
  </si>
  <si>
    <t>Testing expert: critical and urgently needed in the factory, combined with promotion.</t>
  </si>
  <si>
    <t>Senior Injection Engineer</t>
  </si>
  <si>
    <t>Senior Mould Managment Engineer</t>
  </si>
  <si>
    <t>Testing Engineer</t>
  </si>
  <si>
    <t>Leave BSH in July</t>
  </si>
  <si>
    <t>Head of Pre-Fabrication</t>
  </si>
  <si>
    <t>张 健</t>
  </si>
  <si>
    <t>Head of Maintenance</t>
  </si>
  <si>
    <t>Tooling Engineer</t>
  </si>
  <si>
    <t>critical position in Mold with excellence performance in localization</t>
  </si>
  <si>
    <t>Top critical position/player</t>
  </si>
  <si>
    <t>Senior Assembly Engineer</t>
  </si>
  <si>
    <t>Excellent performance in India SKD project and new line rampup</t>
  </si>
  <si>
    <t>340100</t>
  </si>
  <si>
    <t>Director</t>
  </si>
  <si>
    <t>BAND C</t>
  </si>
  <si>
    <t>higher salary within same level in the factory</t>
  </si>
  <si>
    <t>Jiang Xiujuan（11012739）</t>
  </si>
  <si>
    <t>FLCNa-V2</t>
  </si>
  <si>
    <t>Head of FLCNa-V2</t>
  </si>
  <si>
    <t xml:space="preserve">lead new VS with proven performance </t>
  </si>
  <si>
    <t>Enlarged responsibilities with proven performance</t>
  </si>
  <si>
    <t>Senior Production Engineer</t>
  </si>
  <si>
    <t>FLCNa-VF</t>
  </si>
  <si>
    <t>Head of FLCNa-VF</t>
  </si>
  <si>
    <t>enlarged responsibilities with CP management</t>
  </si>
  <si>
    <t>enlarged responsibilities, add BPS management</t>
  </si>
  <si>
    <t>FLCNa-V1</t>
  </si>
  <si>
    <t>Head of FLCNa-V1</t>
  </si>
  <si>
    <t>took VS head with excellent performance. Lower salary.</t>
  </si>
  <si>
    <t>CN/OP-RMNG</t>
  </si>
  <si>
    <t>290104</t>
  </si>
  <si>
    <t>6.96%-10.44%</t>
  </si>
  <si>
    <t>Chen Lianrong（15022534）</t>
  </si>
  <si>
    <t>Wu Ellen</t>
  </si>
  <si>
    <t>CN/OP-RMNF</t>
  </si>
  <si>
    <t>290300</t>
  </si>
  <si>
    <t>MEP Engineer</t>
  </si>
  <si>
    <t>4.24%-6.36%</t>
  </si>
  <si>
    <t>Shift Leader</t>
  </si>
  <si>
    <t>Security Shift Leader</t>
  </si>
  <si>
    <t>0.00%-0.00%</t>
  </si>
  <si>
    <t>Specialist</t>
  </si>
  <si>
    <t>2.99%-4.49%</t>
  </si>
  <si>
    <t>1.Optimized RMN internal purchasing process
2.Frame contract utility rate is top 3
3.SC order follow up professionally.</t>
  </si>
  <si>
    <t>Good performers with extremely lower salary</t>
  </si>
  <si>
    <t>Civil Engineer</t>
  </si>
  <si>
    <t>DDC Engineer</t>
  </si>
  <si>
    <t>2.00%-3.00%</t>
  </si>
  <si>
    <t>2.40%-3.60%</t>
  </si>
  <si>
    <t>1.Took over additional management work for special equipment, with excellent on-site management and implementation.</t>
  </si>
  <si>
    <t>Senior Civil Engineer</t>
  </si>
  <si>
    <t>Senior Facility Engineer</t>
  </si>
  <si>
    <t>6.16%-9.24%</t>
  </si>
  <si>
    <t>Functional specialist</t>
  </si>
  <si>
    <t>Good performance and high potential</t>
  </si>
  <si>
    <t>SNa-SC4</t>
  </si>
  <si>
    <t>SNa-SC4MP</t>
  </si>
  <si>
    <t>390501</t>
  </si>
  <si>
    <t>Planner</t>
  </si>
  <si>
    <t>Material Planner</t>
  </si>
  <si>
    <t>Zhou Chuancui（1520041）</t>
  </si>
  <si>
    <t>Shao Xiao（11018043）</t>
  </si>
  <si>
    <t>Cheng Cheng</t>
  </si>
  <si>
    <t>SNa-SC4MS</t>
  </si>
  <si>
    <t>SNa-SC4ME</t>
  </si>
  <si>
    <t>Senior Planner</t>
  </si>
  <si>
    <t>Senior Material Planner</t>
  </si>
  <si>
    <t>2.40%-3.61%</t>
  </si>
  <si>
    <t>SNa-SC4MX</t>
  </si>
  <si>
    <t>Head of SNa-SC4MX</t>
  </si>
  <si>
    <t>SNa-SC4MM</t>
  </si>
  <si>
    <t>Material planner</t>
  </si>
  <si>
    <t>Senior Material Specialist</t>
  </si>
  <si>
    <t>1.	Excellent in managing e-mechanics suppliers, with significant contributions following the MP group consolidation.
2.	Leading SAP solutions in MP – Key deliverables:
	Resolved inaccuracies in FCGNa chemical parts BOM. Collaborated with IT to adjust MRP (excluding stock of 100) to ensure smooth production. This solution is expected to be rolled out to other factories.
	Set up automated email reminders for planners to change MRP controllers from "Series One" to "Phase-out" or "CS" MRP controllers.
3.	Backup speaker role in FEDNa:
	Served as SC MP lead for all new product projects in FEDNa, responsible for parts ordering and risk control.
	Acted as backup for Weiwei, handling all MP-related issues in FEDNa.</t>
  </si>
  <si>
    <t>Material Planning Specialist</t>
  </si>
  <si>
    <t>Head of SNa-SC4MM</t>
  </si>
  <si>
    <t>3.20%-4.80%</t>
  </si>
  <si>
    <t>390500</t>
  </si>
  <si>
    <t>Project Management</t>
  </si>
  <si>
    <t>6.97%-10.45%</t>
  </si>
  <si>
    <t>Cao Xuelian（15020877）</t>
  </si>
  <si>
    <t>Senior Project Manager</t>
  </si>
  <si>
    <t>Pastirmaci Ali Kaan（1600047）</t>
  </si>
  <si>
    <t>SNa-SC4L</t>
  </si>
  <si>
    <t>390503</t>
  </si>
  <si>
    <t>Head of SNa-SC4L</t>
  </si>
  <si>
    <t>SNa-SC4P</t>
  </si>
  <si>
    <t>390502</t>
  </si>
  <si>
    <t>Head of Supply Fulfillment</t>
  </si>
  <si>
    <t>SNa-SC4L2</t>
  </si>
  <si>
    <t>Head of Log. Value Stream FCGNa</t>
  </si>
  <si>
    <t>Jiang Rebecca（15022628）</t>
  </si>
  <si>
    <t>SNa-SC4LS</t>
  </si>
  <si>
    <t>390505</t>
  </si>
  <si>
    <t>Team Leader</t>
  </si>
  <si>
    <t>Scrapping Management</t>
  </si>
  <si>
    <t>Discipline issue</t>
  </si>
  <si>
    <t>SNa-SC4L1</t>
  </si>
  <si>
    <t>Head of SNa-SC4L1</t>
  </si>
  <si>
    <t>Zhou Zongshang（51202404）</t>
  </si>
  <si>
    <t>2.00%-3.01%</t>
  </si>
  <si>
    <t>Production Planner</t>
  </si>
  <si>
    <t>6.98%-10.46%</t>
  </si>
  <si>
    <t>SNa-SC4S</t>
  </si>
  <si>
    <t>390504</t>
  </si>
  <si>
    <t>Ma Ruiming（11007900）</t>
  </si>
  <si>
    <t>6.97%-10.46%</t>
  </si>
  <si>
    <t>Senior Director</t>
  </si>
  <si>
    <t>Head of Factory Electr. Drives Nanjing</t>
  </si>
  <si>
    <t>BAND D</t>
  </si>
  <si>
    <t>Chen Zhijian（11022209）</t>
  </si>
  <si>
    <t>110900</t>
  </si>
  <si>
    <t>Assistant</t>
  </si>
  <si>
    <t>SNa-ME</t>
  </si>
  <si>
    <t>390000</t>
  </si>
  <si>
    <t>Head of Site Production System Nanjing</t>
  </si>
  <si>
    <t>Head of Environment and Safety</t>
  </si>
  <si>
    <t>BSH RGC Salary Review Year 2026</t>
  </si>
  <si>
    <t>HC% with salary increase</t>
  </si>
  <si>
    <t>Merit budget</t>
  </si>
  <si>
    <t>Promotion HC (&lt;20%)</t>
  </si>
  <si>
    <t>Equity budget</t>
  </si>
  <si>
    <t>Promotion budget_for whole 2026</t>
  </si>
  <si>
    <t>Budget Used</t>
  </si>
  <si>
    <t>Promotion used_July</t>
  </si>
  <si>
    <t>Budget left</t>
  </si>
  <si>
    <t>Promotion budget left</t>
  </si>
  <si>
    <t>For salary decrease/demotion, decreased cost cannot be used to other individuals of the department.</t>
  </si>
  <si>
    <t>Company code</t>
  </si>
  <si>
    <t>Job</t>
    <phoneticPr fontId="0" type="noConversion"/>
  </si>
  <si>
    <t>Final increase/decrease amount</t>
    <phoneticPr fontId="0" type="noConversion"/>
  </si>
  <si>
    <t>Final increase/decrease rate</t>
    <phoneticPr fontId="0" type="noConversion"/>
  </si>
  <si>
    <t>Disciplinary Records</t>
    <phoneticPr fontId="0" type="noConversion"/>
  </si>
  <si>
    <t>CN15</t>
  </si>
  <si>
    <t>SC</t>
  </si>
  <si>
    <t>刘 剑</t>
  </si>
  <si>
    <t>Direct Active</t>
  </si>
  <si>
    <t>370902</t>
  </si>
  <si>
    <t>Hancho</t>
  </si>
  <si>
    <t>BAND A</t>
  </si>
  <si>
    <t>6B</t>
  </si>
  <si>
    <t>张 智建</t>
  </si>
  <si>
    <t>陈 发龙</t>
  </si>
  <si>
    <t>370904</t>
  </si>
  <si>
    <t>6A</t>
  </si>
  <si>
    <t>韦 岗</t>
  </si>
  <si>
    <t>370905</t>
  </si>
  <si>
    <t>杨 磊</t>
  </si>
  <si>
    <t>Setup</t>
  </si>
  <si>
    <t>5B</t>
  </si>
  <si>
    <t>陈 星星</t>
  </si>
  <si>
    <t>Worker</t>
  </si>
  <si>
    <t>3C</t>
  </si>
  <si>
    <t>高 和涛</t>
  </si>
  <si>
    <t>low performer</t>
  </si>
  <si>
    <t>5D</t>
  </si>
  <si>
    <t>李 宁</t>
  </si>
  <si>
    <t>5C</t>
  </si>
  <si>
    <t>马 良彪</t>
  </si>
  <si>
    <t>潘 峰</t>
  </si>
  <si>
    <t>付 磊</t>
  </si>
  <si>
    <t>彭 攀</t>
  </si>
  <si>
    <t>catch up</t>
  </si>
  <si>
    <t>沈 传佳</t>
  </si>
  <si>
    <t>沈 国军</t>
  </si>
  <si>
    <t>徐 浩</t>
  </si>
  <si>
    <t>杨 勇</t>
  </si>
  <si>
    <t>5A</t>
  </si>
  <si>
    <t>叶 方增</t>
  </si>
  <si>
    <t>郭 杰</t>
  </si>
  <si>
    <t>team leader</t>
  </si>
  <si>
    <t>赵 道永</t>
  </si>
  <si>
    <t>周 义刚</t>
  </si>
  <si>
    <t>刘 祥</t>
  </si>
  <si>
    <t>翟 德丽</t>
  </si>
  <si>
    <t>Indirect Blue</t>
  </si>
  <si>
    <t>Clerk</t>
  </si>
  <si>
    <t>钱 先平</t>
  </si>
  <si>
    <t>370903</t>
  </si>
  <si>
    <t>Written Warningx1</t>
  </si>
  <si>
    <t>吴 敏</t>
  </si>
  <si>
    <t>Data Process</t>
  </si>
  <si>
    <t>王 磊</t>
  </si>
  <si>
    <t>余 永金</t>
  </si>
  <si>
    <t>吉 艳锋</t>
  </si>
  <si>
    <t>张 春冬</t>
  </si>
  <si>
    <t>张 英</t>
  </si>
  <si>
    <t>史 文震</t>
  </si>
  <si>
    <t>Senior Technician</t>
  </si>
  <si>
    <t>朱 标</t>
  </si>
  <si>
    <t>6C</t>
  </si>
  <si>
    <t>鲁 楷文</t>
  </si>
  <si>
    <t>Technician</t>
  </si>
  <si>
    <t>钱 秦潇</t>
  </si>
  <si>
    <t>须 锋</t>
  </si>
  <si>
    <t>Mechatronics Technician</t>
  </si>
  <si>
    <t>张 厚坤</t>
  </si>
  <si>
    <t>4C</t>
  </si>
  <si>
    <t>Equipment Management</t>
  </si>
  <si>
    <t>Equipment Keeper</t>
  </si>
  <si>
    <t>李 文翠</t>
  </si>
  <si>
    <t>陈 美玲</t>
  </si>
  <si>
    <t>Lathe</t>
  </si>
  <si>
    <t>3D</t>
  </si>
  <si>
    <t>陈 晓红</t>
  </si>
  <si>
    <t>3B</t>
  </si>
  <si>
    <t>陈 玉</t>
  </si>
  <si>
    <t>郭 勇勇</t>
  </si>
  <si>
    <t>侯 艳艳</t>
  </si>
  <si>
    <t>Jumper</t>
  </si>
  <si>
    <t>胡 永涛</t>
  </si>
  <si>
    <t>黄 树风</t>
  </si>
  <si>
    <t>黄 永娣</t>
  </si>
  <si>
    <t>李 建</t>
  </si>
  <si>
    <t>李 丽</t>
  </si>
  <si>
    <t>李 明强</t>
  </si>
  <si>
    <t>凌 敏</t>
  </si>
  <si>
    <t>370906</t>
  </si>
  <si>
    <t>孟 继开</t>
  </si>
  <si>
    <t>潘 镇宁</t>
  </si>
  <si>
    <t>权 亚平</t>
  </si>
  <si>
    <t>尚 成健</t>
  </si>
  <si>
    <t>3A</t>
  </si>
  <si>
    <t>施 礼洪</t>
  </si>
  <si>
    <t>苏 鼎</t>
  </si>
  <si>
    <t>王 强</t>
  </si>
  <si>
    <t>王 燕</t>
  </si>
  <si>
    <t>薛 帅</t>
  </si>
  <si>
    <t>杨 壮</t>
  </si>
  <si>
    <t>于 通艳</t>
  </si>
  <si>
    <t>朱 爱兵</t>
  </si>
  <si>
    <t>储 茂云</t>
  </si>
  <si>
    <t>胡 国娟</t>
  </si>
  <si>
    <t>金 正花</t>
  </si>
  <si>
    <t>刘 雨</t>
  </si>
  <si>
    <t>刘 正娟</t>
  </si>
  <si>
    <t>4B</t>
  </si>
  <si>
    <t>卢 玲玲</t>
  </si>
  <si>
    <t>陆 永宏</t>
  </si>
  <si>
    <t>秦 秉</t>
  </si>
  <si>
    <t>田 友丽</t>
  </si>
  <si>
    <t>王 红梅</t>
  </si>
  <si>
    <t>王 丽丽</t>
  </si>
  <si>
    <t>王 云梅</t>
  </si>
  <si>
    <t>武 港</t>
  </si>
  <si>
    <t>夏 晓培</t>
  </si>
  <si>
    <t>郑 伏美</t>
  </si>
  <si>
    <t>周 敏</t>
  </si>
  <si>
    <t>周 超</t>
  </si>
  <si>
    <t>Medium Technician</t>
  </si>
  <si>
    <t>Intermediate Technician</t>
  </si>
  <si>
    <t>居 定宝</t>
  </si>
  <si>
    <t>王 荣</t>
  </si>
  <si>
    <t>聂 祥健</t>
  </si>
  <si>
    <t>A3</t>
  </si>
  <si>
    <t>李 云翔</t>
  </si>
  <si>
    <t>丁 山</t>
  </si>
  <si>
    <t>吕 家才</t>
  </si>
  <si>
    <t>余 广韬</t>
  </si>
  <si>
    <t>高 铭隆</t>
  </si>
  <si>
    <t>李 大金</t>
  </si>
  <si>
    <t>Tool Maker</t>
  </si>
  <si>
    <t>李 琳力</t>
  </si>
  <si>
    <t>孙 宝夏</t>
  </si>
  <si>
    <t>Mechanician</t>
  </si>
  <si>
    <t>韦 月林</t>
  </si>
  <si>
    <t>吴 明兵</t>
  </si>
  <si>
    <t>殷 菠</t>
  </si>
  <si>
    <t>陈 天</t>
  </si>
  <si>
    <t>仝 德</t>
  </si>
  <si>
    <t>高 祥</t>
  </si>
  <si>
    <t>Electrician</t>
  </si>
  <si>
    <t>刘 陈</t>
  </si>
  <si>
    <t>吕 国柱</t>
  </si>
  <si>
    <t>秦 嘉鸿</t>
  </si>
  <si>
    <t>汤 连连</t>
  </si>
  <si>
    <t>徐 宇航</t>
  </si>
  <si>
    <t>张 能柏</t>
  </si>
  <si>
    <t>曹 军</t>
  </si>
  <si>
    <t>340943</t>
  </si>
  <si>
    <t/>
  </si>
  <si>
    <t>Lang Li（15002547）</t>
  </si>
  <si>
    <t>蒋 恒飞</t>
  </si>
  <si>
    <t>Junior Hancho</t>
  </si>
  <si>
    <t>李 骏超</t>
  </si>
  <si>
    <t>Good performance ,TPT activity to stable OEE 97% in ALS1 IN 2025</t>
  </si>
  <si>
    <t>李 宽童</t>
  </si>
  <si>
    <t>job adjustment</t>
  </si>
  <si>
    <t>缪 庆成</t>
  </si>
  <si>
    <t>盛 彬</t>
  </si>
  <si>
    <t>张 克云</t>
  </si>
  <si>
    <t>赵 侠</t>
  </si>
  <si>
    <t>岗位调整</t>
  </si>
  <si>
    <t>朱 曦</t>
  </si>
  <si>
    <t>陆 文元</t>
  </si>
  <si>
    <t>Line Leader</t>
  </si>
  <si>
    <t>叶 骏</t>
  </si>
  <si>
    <t>张 文庆</t>
  </si>
  <si>
    <t>good performance, OEE reach to target in 6month</t>
  </si>
  <si>
    <t>陈 岗</t>
  </si>
  <si>
    <t>狄 万能</t>
  </si>
  <si>
    <t>葛 俊男</t>
  </si>
  <si>
    <t>sick leave over 80h</t>
  </si>
  <si>
    <t>胡 海丹</t>
  </si>
  <si>
    <t>胡 永兵</t>
  </si>
  <si>
    <t>Verbal Warningx1</t>
  </si>
  <si>
    <t>黄 正梅</t>
  </si>
  <si>
    <t>蒋 伟</t>
  </si>
  <si>
    <t>孔 德金</t>
  </si>
  <si>
    <t>孔 祥磊</t>
  </si>
  <si>
    <t>李 锦鹏</t>
  </si>
  <si>
    <t>Long absence (e.g.: long leave)</t>
  </si>
  <si>
    <t>刘 文亮</t>
  </si>
  <si>
    <t>孙 桂明</t>
  </si>
  <si>
    <t>吴 俊</t>
  </si>
  <si>
    <t>吴 有浩</t>
  </si>
  <si>
    <t>夏 军</t>
  </si>
  <si>
    <t>谢 俊杰</t>
  </si>
  <si>
    <t xml:space="preserve">转马达 </t>
  </si>
  <si>
    <t>徐 金鹏</t>
  </si>
  <si>
    <t>张 皓</t>
  </si>
  <si>
    <t>张 华生</t>
  </si>
  <si>
    <t>张 志超</t>
  </si>
  <si>
    <t>WRITTENWAR</t>
  </si>
  <si>
    <t>朱 明</t>
  </si>
  <si>
    <t>蔡 飞</t>
  </si>
  <si>
    <t>Production Worker</t>
  </si>
  <si>
    <t>蔡 广财</t>
  </si>
  <si>
    <t xml:space="preserve">约谈 </t>
  </si>
  <si>
    <t>蔡 远敏</t>
  </si>
  <si>
    <t>曹 有福</t>
  </si>
  <si>
    <t>曹 在飞</t>
  </si>
  <si>
    <t>陈 菲菲</t>
  </si>
  <si>
    <t>陈 刚</t>
  </si>
  <si>
    <t>陈 光明</t>
  </si>
  <si>
    <t>陈 海兰</t>
  </si>
  <si>
    <t>陈 亮</t>
  </si>
  <si>
    <t>陈 琴</t>
  </si>
  <si>
    <t>陈 小燕</t>
  </si>
  <si>
    <t>陈 小羊</t>
  </si>
  <si>
    <t>team leader deputy</t>
  </si>
  <si>
    <t>陈 晓林</t>
  </si>
  <si>
    <t>陈 艳飞</t>
  </si>
  <si>
    <t>陈 永金</t>
  </si>
  <si>
    <t>陈 远</t>
  </si>
  <si>
    <t>陈 云徽</t>
  </si>
  <si>
    <t>成 凯</t>
  </si>
  <si>
    <t>仇 志强</t>
  </si>
  <si>
    <t>戴 军</t>
  </si>
  <si>
    <t>戴 伟</t>
  </si>
  <si>
    <t>戴 宗燕</t>
  </si>
  <si>
    <t>翟 忠锁</t>
  </si>
  <si>
    <t>丁 海荣</t>
  </si>
  <si>
    <t>董 维强</t>
  </si>
  <si>
    <t>董 艳艳</t>
  </si>
  <si>
    <t>董 玉余</t>
  </si>
  <si>
    <t>方 丽</t>
  </si>
  <si>
    <t>方 万友</t>
  </si>
  <si>
    <t>傅 大念</t>
  </si>
  <si>
    <t>高 建凯</t>
  </si>
  <si>
    <t>高 敏</t>
  </si>
  <si>
    <t>高 先燕</t>
  </si>
  <si>
    <t>高 艳</t>
  </si>
  <si>
    <t>Line Inspector</t>
  </si>
  <si>
    <t>高 迎迎</t>
  </si>
  <si>
    <t>葛 永盛</t>
  </si>
  <si>
    <t>龚 贵芝</t>
  </si>
  <si>
    <t>郭 领</t>
  </si>
  <si>
    <t>韩 仕波</t>
  </si>
  <si>
    <t>何 卫</t>
  </si>
  <si>
    <t>何 永飞</t>
  </si>
  <si>
    <t>何 中云</t>
  </si>
  <si>
    <t>贺 福荣</t>
  </si>
  <si>
    <t>胡 春香</t>
  </si>
  <si>
    <t>胡 平</t>
  </si>
  <si>
    <t>黄 培艳</t>
  </si>
  <si>
    <t>黄 宗洲</t>
  </si>
  <si>
    <t>姜 飞艳</t>
  </si>
  <si>
    <t>蒋 媛媛</t>
  </si>
  <si>
    <t>金 秀梅</t>
  </si>
  <si>
    <t>靳 尔琴</t>
  </si>
  <si>
    <t>经 冬冬</t>
  </si>
  <si>
    <t>居 智霞</t>
  </si>
  <si>
    <t>李 丹</t>
  </si>
  <si>
    <t>李 国文</t>
  </si>
  <si>
    <t>李 欢</t>
  </si>
  <si>
    <t>李 慧</t>
  </si>
  <si>
    <t>李 静薇</t>
  </si>
  <si>
    <t>李 丽珍</t>
  </si>
  <si>
    <t>李 毛旦</t>
  </si>
  <si>
    <t>李 世勇</t>
  </si>
  <si>
    <t>李 顺凯</t>
  </si>
  <si>
    <t>李 文志</t>
  </si>
  <si>
    <t>李 侠</t>
  </si>
  <si>
    <t>李 现芝</t>
  </si>
  <si>
    <t>李 晓龙</t>
  </si>
  <si>
    <t>李 孝荣</t>
  </si>
  <si>
    <t>李 勇</t>
  </si>
  <si>
    <t>梁 欢</t>
  </si>
  <si>
    <t>梁 晓霞</t>
  </si>
  <si>
    <t>廖 凯</t>
  </si>
  <si>
    <t>刘 葛俊</t>
  </si>
  <si>
    <t>刘 杰</t>
  </si>
  <si>
    <t>刘 美林</t>
  </si>
  <si>
    <t>刘 芹</t>
  </si>
  <si>
    <t>刘 伟</t>
  </si>
  <si>
    <t>刘 雪勤</t>
  </si>
  <si>
    <t>刘 玉美</t>
  </si>
  <si>
    <t>刘 月云</t>
  </si>
  <si>
    <t>刘 震</t>
  </si>
  <si>
    <t>刘 志超</t>
  </si>
  <si>
    <t>柳 梅香</t>
  </si>
  <si>
    <t>柳 敏</t>
  </si>
  <si>
    <t>陆 俊</t>
  </si>
  <si>
    <t>罗 文</t>
  </si>
  <si>
    <t>罗 艳</t>
  </si>
  <si>
    <t>马 平</t>
  </si>
  <si>
    <t>梅 从俊</t>
  </si>
  <si>
    <t>孟 继花</t>
  </si>
  <si>
    <t>孟 继萍</t>
  </si>
  <si>
    <t>缪 军</t>
  </si>
  <si>
    <t>潘 永顺</t>
  </si>
  <si>
    <t>裴 洋举</t>
  </si>
  <si>
    <t>祁 庆玲</t>
  </si>
  <si>
    <t>钱 宸</t>
  </si>
  <si>
    <t>邵 义康</t>
  </si>
  <si>
    <t>沈 军</t>
  </si>
  <si>
    <t>石 磊</t>
  </si>
  <si>
    <t>史 进</t>
  </si>
  <si>
    <t>宋 久香</t>
  </si>
  <si>
    <t>孙 立俊</t>
  </si>
  <si>
    <t>孙 立庆</t>
  </si>
  <si>
    <t>孙 威</t>
  </si>
  <si>
    <t>孙 业康</t>
  </si>
  <si>
    <t>Discipline issue, long absence</t>
  </si>
  <si>
    <t>孙 云</t>
  </si>
  <si>
    <t>孙 中华</t>
  </si>
  <si>
    <t>汤 无城</t>
  </si>
  <si>
    <t>唐 二香</t>
  </si>
  <si>
    <t>唐 银梅</t>
  </si>
  <si>
    <t>田 丽</t>
  </si>
  <si>
    <t>田 亚玲</t>
  </si>
  <si>
    <t>万 才</t>
  </si>
  <si>
    <t>万 春梅</t>
  </si>
  <si>
    <t>汪 仕军</t>
  </si>
  <si>
    <t>王 爱霞</t>
  </si>
  <si>
    <t>王 德为</t>
  </si>
  <si>
    <t>王 东</t>
  </si>
  <si>
    <t>王 海利</t>
  </si>
  <si>
    <t>王 海深</t>
  </si>
  <si>
    <t>王 华</t>
  </si>
  <si>
    <t>王 进</t>
  </si>
  <si>
    <t>王 进花</t>
  </si>
  <si>
    <t>王 昆</t>
  </si>
  <si>
    <t>王 雷</t>
  </si>
  <si>
    <t>王 礼龙</t>
  </si>
  <si>
    <t>张 立</t>
  </si>
  <si>
    <t>王 玲</t>
  </si>
  <si>
    <t>王 露</t>
  </si>
  <si>
    <t>王 敏</t>
  </si>
  <si>
    <t>王 敏红</t>
  </si>
  <si>
    <t>王 芹</t>
  </si>
  <si>
    <t>王 涛</t>
  </si>
  <si>
    <t>Repair Worker</t>
  </si>
  <si>
    <t>王 相干</t>
  </si>
  <si>
    <t>王 欣</t>
  </si>
  <si>
    <t>王 玉玲</t>
  </si>
  <si>
    <t>王 云</t>
  </si>
  <si>
    <t>王 兆勤</t>
  </si>
  <si>
    <t>王 正乐</t>
  </si>
  <si>
    <t>teamleader</t>
  </si>
  <si>
    <t>took team leader responsibilities with proven performance</t>
  </si>
  <si>
    <t>王 政</t>
  </si>
  <si>
    <t>王 祖权</t>
  </si>
  <si>
    <t>韦 广珍</t>
  </si>
  <si>
    <t>翁 宁</t>
  </si>
  <si>
    <t>吴 爱花</t>
  </si>
  <si>
    <t>吴 含</t>
  </si>
  <si>
    <t>吴 兰</t>
  </si>
  <si>
    <t>吴 燕</t>
  </si>
  <si>
    <t>吴 赟</t>
  </si>
  <si>
    <t>武 霞</t>
  </si>
  <si>
    <t>夏 红霞</t>
  </si>
  <si>
    <t>夏 伟朋</t>
  </si>
  <si>
    <t>肖 少军</t>
  </si>
  <si>
    <t>谢 艳</t>
  </si>
  <si>
    <t>谢 长州</t>
  </si>
  <si>
    <t>徐 兵</t>
  </si>
  <si>
    <t>徐 成勤</t>
  </si>
  <si>
    <t>徐 翠琴</t>
  </si>
  <si>
    <t>徐 冬冬</t>
  </si>
  <si>
    <t>徐 风梅</t>
  </si>
  <si>
    <t>徐 风芹</t>
  </si>
  <si>
    <t>徐 国忠</t>
  </si>
  <si>
    <t>徐 君</t>
  </si>
  <si>
    <t>徐 岚</t>
  </si>
  <si>
    <t>徐 磊</t>
  </si>
  <si>
    <t>徐 圣益</t>
  </si>
  <si>
    <t>徐 文静</t>
  </si>
  <si>
    <t>徐 正梅</t>
  </si>
  <si>
    <t>许 美霞</t>
  </si>
  <si>
    <t>许 农洁</t>
  </si>
  <si>
    <t>许 勇</t>
  </si>
  <si>
    <t>薛 龙</t>
  </si>
  <si>
    <t>颜 厚中</t>
  </si>
  <si>
    <t>杨 步花</t>
  </si>
  <si>
    <t>杨 翠玲</t>
  </si>
  <si>
    <t>杨 大卫</t>
  </si>
  <si>
    <t>杨 加兵</t>
  </si>
  <si>
    <t>杨 萍</t>
  </si>
  <si>
    <t>杨 涛</t>
  </si>
  <si>
    <t>杨 亭亭</t>
  </si>
  <si>
    <t>杨 艳</t>
  </si>
  <si>
    <t>杨 燕</t>
  </si>
  <si>
    <t>杨 梓杰</t>
  </si>
  <si>
    <t>姚 惠玉</t>
  </si>
  <si>
    <t>叶 林友</t>
  </si>
  <si>
    <t>叶 晓林</t>
  </si>
  <si>
    <t>尹 丁兰</t>
  </si>
  <si>
    <t>尹 玉玲</t>
  </si>
  <si>
    <t>印 才龙</t>
  </si>
  <si>
    <t>余 守伟</t>
  </si>
  <si>
    <t>岳 潇</t>
  </si>
  <si>
    <t>张 彩霞</t>
  </si>
  <si>
    <t>张 超</t>
  </si>
  <si>
    <t>张 慧芳</t>
  </si>
  <si>
    <t>张 家敏</t>
  </si>
  <si>
    <t>张 杰</t>
  </si>
  <si>
    <t>张 雷</t>
  </si>
  <si>
    <t>张 淼</t>
  </si>
  <si>
    <t>张 星文</t>
  </si>
  <si>
    <t>张 杨杨</t>
  </si>
  <si>
    <t>张 玉东</t>
  </si>
  <si>
    <t>张 志勇</t>
  </si>
  <si>
    <t>张 梓娟</t>
  </si>
  <si>
    <t>赵 复芹</t>
  </si>
  <si>
    <t>赵 金林</t>
  </si>
  <si>
    <t>赵 良翠</t>
  </si>
  <si>
    <t>赵 敏</t>
  </si>
  <si>
    <t>赵 伟</t>
  </si>
  <si>
    <t>赵 小青</t>
  </si>
  <si>
    <t>赵 勇杰</t>
  </si>
  <si>
    <t>郑 杰</t>
  </si>
  <si>
    <t>郑 礼贵</t>
  </si>
  <si>
    <t>郑 陆军</t>
  </si>
  <si>
    <t>郑 伟伟</t>
  </si>
  <si>
    <t>钟 大兵</t>
  </si>
  <si>
    <t>钟 小丽</t>
  </si>
  <si>
    <t>周 春花</t>
  </si>
  <si>
    <t>周 凤</t>
  </si>
  <si>
    <t>周 国祥</t>
  </si>
  <si>
    <t>周 洪静</t>
  </si>
  <si>
    <t>周 洁</t>
  </si>
  <si>
    <t>周 菊</t>
  </si>
  <si>
    <t>周 娟</t>
  </si>
  <si>
    <t>周 奇</t>
  </si>
  <si>
    <t>周 如兵</t>
  </si>
  <si>
    <t>朱 聪</t>
  </si>
  <si>
    <t>朱 凯</t>
  </si>
  <si>
    <t>朱 敏</t>
  </si>
  <si>
    <t>祝 经梅</t>
  </si>
  <si>
    <t>邹 荣国</t>
  </si>
  <si>
    <t>邹 志兵</t>
  </si>
  <si>
    <t>左 亭亭</t>
  </si>
  <si>
    <t>张 荣政</t>
  </si>
  <si>
    <t>343941</t>
  </si>
  <si>
    <t>Yao Leilei（15000580）</t>
  </si>
  <si>
    <t>杨 海</t>
  </si>
  <si>
    <t>340941</t>
  </si>
  <si>
    <t>毕 波</t>
  </si>
  <si>
    <t>蔡 宁星</t>
  </si>
  <si>
    <t>林 敏</t>
  </si>
  <si>
    <t>曹 文浩</t>
  </si>
  <si>
    <t>董 桃凯</t>
  </si>
  <si>
    <t>华 重皓</t>
  </si>
  <si>
    <t>贾 桂胜</t>
  </si>
  <si>
    <t>李 二凯</t>
  </si>
  <si>
    <t>梁 云</t>
  </si>
  <si>
    <t>林 成</t>
  </si>
  <si>
    <t>刘 忠海</t>
  </si>
  <si>
    <t>欧 双利</t>
  </si>
  <si>
    <t>Machine Operator</t>
  </si>
  <si>
    <t>汤 伯声</t>
  </si>
  <si>
    <t>王 国刘</t>
  </si>
  <si>
    <t>薛 礼银</t>
  </si>
  <si>
    <t>薛 宣金</t>
  </si>
  <si>
    <t>闫 茂光</t>
  </si>
  <si>
    <t>杨 曹</t>
  </si>
  <si>
    <t>赵 锐</t>
  </si>
  <si>
    <t>李 强</t>
  </si>
  <si>
    <t>周 光奎</t>
  </si>
  <si>
    <t>苗 宇</t>
  </si>
  <si>
    <t>朱 恺</t>
  </si>
  <si>
    <t>曹 双</t>
  </si>
  <si>
    <t>曹 永春</t>
  </si>
  <si>
    <t>王 国伟</t>
  </si>
  <si>
    <t>陈 福标</t>
  </si>
  <si>
    <t>陈 红余</t>
  </si>
  <si>
    <t>陈 露露</t>
  </si>
  <si>
    <t>陈 院</t>
  </si>
  <si>
    <t>崔 家恒</t>
  </si>
  <si>
    <t>代 兄</t>
  </si>
  <si>
    <t>丁 强</t>
  </si>
  <si>
    <t>董 洪青</t>
  </si>
  <si>
    <t>董 苏荣</t>
  </si>
  <si>
    <t>樊 贵文</t>
  </si>
  <si>
    <t>伏 莲</t>
  </si>
  <si>
    <t>Painting Machine Operator</t>
  </si>
  <si>
    <t>顾 春芹</t>
  </si>
  <si>
    <t>管 红梅</t>
  </si>
  <si>
    <t>管 华</t>
  </si>
  <si>
    <t>郭 慧</t>
  </si>
  <si>
    <t>郭 其升</t>
  </si>
  <si>
    <t>韩 继红</t>
  </si>
  <si>
    <t>韩 兢</t>
  </si>
  <si>
    <t>何 萍</t>
  </si>
  <si>
    <t>黄 烨</t>
  </si>
  <si>
    <t>居 阳</t>
  </si>
  <si>
    <t>Forklift Driver</t>
  </si>
  <si>
    <t>陈 欣瑞</t>
  </si>
  <si>
    <t>李 爱军</t>
  </si>
  <si>
    <t>成 小娟</t>
  </si>
  <si>
    <t>翟 学文</t>
  </si>
  <si>
    <t>段 小玲</t>
  </si>
  <si>
    <t>冯 伟聪</t>
  </si>
  <si>
    <t>李 林</t>
  </si>
  <si>
    <t>李 明亮</t>
  </si>
  <si>
    <t>李 瑞桐</t>
  </si>
  <si>
    <t>郭 艳红</t>
  </si>
  <si>
    <t>简 磊</t>
  </si>
  <si>
    <t>李 芹</t>
  </si>
  <si>
    <t>梁 国丽</t>
  </si>
  <si>
    <t>李 正丽</t>
  </si>
  <si>
    <t>李 作勇</t>
  </si>
  <si>
    <t>林 春</t>
  </si>
  <si>
    <t>刘 道联</t>
  </si>
  <si>
    <t>刘 建华</t>
  </si>
  <si>
    <t>卢 兰华</t>
  </si>
  <si>
    <t>乔 翠云</t>
  </si>
  <si>
    <t>宋 翠</t>
  </si>
  <si>
    <t>刘 辉</t>
  </si>
  <si>
    <t>刘 健</t>
  </si>
  <si>
    <t>刘 金春</t>
  </si>
  <si>
    <t>唐 步新</t>
  </si>
  <si>
    <t>刘 配</t>
  </si>
  <si>
    <t>刘 巧云</t>
  </si>
  <si>
    <t>汪 传新</t>
  </si>
  <si>
    <t>王 翠珍</t>
  </si>
  <si>
    <t>刘 威</t>
  </si>
  <si>
    <t>刘 巍伟</t>
  </si>
  <si>
    <t>王 逗逗</t>
  </si>
  <si>
    <t>王 余刚</t>
  </si>
  <si>
    <t>Production Clerk</t>
  </si>
  <si>
    <t>王 建明</t>
  </si>
  <si>
    <t>High Skilled Worker</t>
  </si>
  <si>
    <t>吴 高峰</t>
  </si>
  <si>
    <t>卢 贵川</t>
  </si>
  <si>
    <t>陆 牛</t>
  </si>
  <si>
    <t>马 辉</t>
  </si>
  <si>
    <t>毛 勇平</t>
  </si>
  <si>
    <t>熊 兰英</t>
  </si>
  <si>
    <t>尹 武</t>
  </si>
  <si>
    <t>彭 俊</t>
  </si>
  <si>
    <t>张 维</t>
  </si>
  <si>
    <t>秦 冬梅</t>
  </si>
  <si>
    <t>赵 盈利</t>
  </si>
  <si>
    <t>郑 波云</t>
  </si>
  <si>
    <t>朱 仙亮</t>
  </si>
  <si>
    <t>朱 晓刚</t>
  </si>
  <si>
    <t>石 高举</t>
  </si>
  <si>
    <t>宋 永乐</t>
  </si>
  <si>
    <t>孙 宝平</t>
  </si>
  <si>
    <t>孙 大明</t>
  </si>
  <si>
    <t>孙 康</t>
  </si>
  <si>
    <t>孙 友飞</t>
  </si>
  <si>
    <t>谈 春庆</t>
  </si>
  <si>
    <t>谭 成玉</t>
  </si>
  <si>
    <t>陶 宝峰</t>
  </si>
  <si>
    <t>田 锋</t>
  </si>
  <si>
    <t>万 宏伟</t>
  </si>
  <si>
    <t>王 成</t>
  </si>
  <si>
    <t>王 福祥</t>
  </si>
  <si>
    <t>王 立</t>
  </si>
  <si>
    <t>王 明兵</t>
  </si>
  <si>
    <t>王 朋加</t>
  </si>
  <si>
    <t>王 平</t>
  </si>
  <si>
    <t>王 瑞</t>
  </si>
  <si>
    <t>王 士凤</t>
  </si>
  <si>
    <t>王 伟</t>
  </si>
  <si>
    <t>吴 本庆</t>
  </si>
  <si>
    <t>夏 汪洋</t>
  </si>
  <si>
    <t>谢 桂玲</t>
  </si>
  <si>
    <t>谢 静红</t>
  </si>
  <si>
    <t>谢 宗雷</t>
  </si>
  <si>
    <t>熊 作全</t>
  </si>
  <si>
    <t>徐 金</t>
  </si>
  <si>
    <t>徐 其鹏</t>
  </si>
  <si>
    <t>许 俊</t>
  </si>
  <si>
    <t>许 炎</t>
  </si>
  <si>
    <t>许 振伟</t>
  </si>
  <si>
    <t>严 庆亮</t>
  </si>
  <si>
    <t>杨 帆</t>
  </si>
  <si>
    <t>杨 俊平</t>
  </si>
  <si>
    <t>杨 永飞</t>
  </si>
  <si>
    <t>姚 明建</t>
  </si>
  <si>
    <t>余 德银</t>
  </si>
  <si>
    <t>袁 博</t>
  </si>
  <si>
    <t>袁 雷芹</t>
  </si>
  <si>
    <t>占 红玲</t>
  </si>
  <si>
    <t>张 诚</t>
  </si>
  <si>
    <t>张 峰</t>
  </si>
  <si>
    <t>张 建</t>
  </si>
  <si>
    <t>张 露</t>
  </si>
  <si>
    <t>张 清华</t>
  </si>
  <si>
    <t>张 庆虎</t>
  </si>
  <si>
    <t>赵 刚强</t>
  </si>
  <si>
    <t>赵 高飞</t>
  </si>
  <si>
    <t>赵 倩</t>
  </si>
  <si>
    <t>周 飞鹏</t>
  </si>
  <si>
    <t>周 松</t>
  </si>
  <si>
    <t>周 宗亮</t>
  </si>
  <si>
    <t>朱 道兴</t>
  </si>
  <si>
    <t>朱 军</t>
  </si>
  <si>
    <t>庄 治立</t>
  </si>
  <si>
    <t>丁 盛群</t>
  </si>
  <si>
    <t>340942</t>
  </si>
  <si>
    <t>Job adjustment</t>
  </si>
  <si>
    <t>Zhang Huiyu（15006800）</t>
  </si>
  <si>
    <t>章 剑松</t>
  </si>
  <si>
    <t>高 昌超</t>
  </si>
  <si>
    <t>何 家乐</t>
  </si>
  <si>
    <t>何 其明</t>
  </si>
  <si>
    <t>鲁 雪飞</t>
  </si>
  <si>
    <t>戎 成兵</t>
  </si>
  <si>
    <t>沈 春雷</t>
  </si>
  <si>
    <t>沈 永坤</t>
  </si>
  <si>
    <t>汪 良健</t>
  </si>
  <si>
    <t>王 义飞</t>
  </si>
  <si>
    <t>张 贵平</t>
  </si>
  <si>
    <t>朱 林</t>
  </si>
  <si>
    <t>柏 宇航</t>
  </si>
  <si>
    <t>曹 浩</t>
  </si>
  <si>
    <t>曹 威</t>
  </si>
  <si>
    <t>陈 保平</t>
  </si>
  <si>
    <t>陈 兵</t>
  </si>
  <si>
    <t>陈 后芳</t>
  </si>
  <si>
    <t>陈 秀海</t>
  </si>
  <si>
    <t>陈 志雄</t>
  </si>
  <si>
    <t>程 四妹</t>
  </si>
  <si>
    <t>丁 传银</t>
  </si>
  <si>
    <t>丁 纬</t>
  </si>
  <si>
    <t>董 善春</t>
  </si>
  <si>
    <t>杜 敏</t>
  </si>
  <si>
    <t>丰 保国</t>
  </si>
  <si>
    <t>冯 桂枫</t>
  </si>
  <si>
    <t>高 峰</t>
  </si>
  <si>
    <t>高 建</t>
  </si>
  <si>
    <t>高 立勇</t>
  </si>
  <si>
    <t>高 翔</t>
  </si>
  <si>
    <t>龚 金红</t>
  </si>
  <si>
    <t>郭 小娟</t>
  </si>
  <si>
    <t>郭 智光</t>
  </si>
  <si>
    <t>何 青</t>
  </si>
  <si>
    <t>和 萧雪</t>
  </si>
  <si>
    <t>洪 强</t>
  </si>
  <si>
    <t>胡 勤</t>
  </si>
  <si>
    <t>黄 慧</t>
  </si>
  <si>
    <t>蒋 维</t>
  </si>
  <si>
    <t>李 翠翠</t>
  </si>
  <si>
    <t>李 东津</t>
  </si>
  <si>
    <t>李 杰</t>
  </si>
  <si>
    <t>李 军月</t>
  </si>
  <si>
    <t>李 明春</t>
  </si>
  <si>
    <t>李 士民</t>
  </si>
  <si>
    <t>厉 承如</t>
  </si>
  <si>
    <t>林 雪路</t>
  </si>
  <si>
    <t>刘 成美</t>
  </si>
  <si>
    <t>刘 花</t>
  </si>
  <si>
    <t>刘 青</t>
  </si>
  <si>
    <t>刘 上阳</t>
  </si>
  <si>
    <t>刘 雪雪</t>
  </si>
  <si>
    <t>吕 兴旺</t>
  </si>
  <si>
    <t>马 学雷</t>
  </si>
  <si>
    <t>马 义红</t>
  </si>
  <si>
    <t>马 智宇</t>
  </si>
  <si>
    <t>孟 芳</t>
  </si>
  <si>
    <t>苗 其艮</t>
  </si>
  <si>
    <t>穆 光会</t>
  </si>
  <si>
    <t>倪 凤</t>
  </si>
  <si>
    <t>牛 丽红</t>
  </si>
  <si>
    <t>潘 琳</t>
  </si>
  <si>
    <t>潘 学风</t>
  </si>
  <si>
    <t>戚 亚坤</t>
  </si>
  <si>
    <t>屈 杰</t>
  </si>
  <si>
    <t>冉 影</t>
  </si>
  <si>
    <t>任 海东</t>
  </si>
  <si>
    <t>邵 小辉</t>
  </si>
  <si>
    <t>佘 长燕</t>
  </si>
  <si>
    <t>石 彩梅</t>
  </si>
  <si>
    <t>孙 加香</t>
  </si>
  <si>
    <t>孙 思斌</t>
  </si>
  <si>
    <t>孙 涛</t>
  </si>
  <si>
    <t>唐 明生</t>
  </si>
  <si>
    <t>唐 自梅</t>
  </si>
  <si>
    <t>童 伏平</t>
  </si>
  <si>
    <t>汪 晓红</t>
  </si>
  <si>
    <t>王 爱民</t>
  </si>
  <si>
    <t>王 海燕</t>
  </si>
  <si>
    <t>王 金锁</t>
  </si>
  <si>
    <t>王 立升</t>
  </si>
  <si>
    <t>王 良蓉</t>
  </si>
  <si>
    <t>顾 荣</t>
  </si>
  <si>
    <t>王 桃花</t>
  </si>
  <si>
    <t>王 文庆</t>
  </si>
  <si>
    <t>王 习庆</t>
  </si>
  <si>
    <t>王 宪林</t>
  </si>
  <si>
    <t>王 义峰</t>
  </si>
  <si>
    <t>王 永静</t>
  </si>
  <si>
    <t>王 玉峰</t>
  </si>
  <si>
    <t>魏 泽英</t>
  </si>
  <si>
    <t>翁 惠香</t>
  </si>
  <si>
    <t>吴 蝶</t>
  </si>
  <si>
    <t>奚 腊花</t>
  </si>
  <si>
    <t>夏 秋平</t>
  </si>
  <si>
    <t>谢 成龙</t>
  </si>
  <si>
    <t>谢 承明</t>
  </si>
  <si>
    <t>谢 敏</t>
  </si>
  <si>
    <t>谢 小标</t>
  </si>
  <si>
    <t>谢 嫄嫄</t>
  </si>
  <si>
    <t>谢 仔俊</t>
  </si>
  <si>
    <t>徐 春华</t>
  </si>
  <si>
    <t>徐 翠霞</t>
  </si>
  <si>
    <t>徐 清风</t>
  </si>
  <si>
    <t>徐 玉春</t>
  </si>
  <si>
    <t>许 金花</t>
  </si>
  <si>
    <t>杨 林</t>
  </si>
  <si>
    <t>杨 学智</t>
  </si>
  <si>
    <t>叶 金凤</t>
  </si>
  <si>
    <t>叶 学伟</t>
  </si>
  <si>
    <t>尹 小慧</t>
  </si>
  <si>
    <t>雍 太伟</t>
  </si>
  <si>
    <t>张 丹</t>
  </si>
  <si>
    <t>张 国林</t>
  </si>
  <si>
    <t>张 华芳</t>
  </si>
  <si>
    <t>张 慧</t>
  </si>
  <si>
    <t>张 素雯</t>
  </si>
  <si>
    <t>张 涛</t>
  </si>
  <si>
    <t>张 心曾</t>
  </si>
  <si>
    <t>张 勇</t>
  </si>
  <si>
    <t>赵 继序</t>
  </si>
  <si>
    <t>赵 娟</t>
  </si>
  <si>
    <t>郑 亮</t>
  </si>
  <si>
    <t>郑 圣伟</t>
  </si>
  <si>
    <t>钟 克平</t>
  </si>
  <si>
    <t>周 飞</t>
  </si>
  <si>
    <t>周 海燕</t>
  </si>
  <si>
    <t>周 荣辉</t>
  </si>
  <si>
    <t>周 孝玉</t>
  </si>
  <si>
    <t>朱 梅</t>
  </si>
  <si>
    <t>朱 明玺</t>
  </si>
  <si>
    <t>竺 馨青</t>
  </si>
  <si>
    <t>孔 进虎</t>
  </si>
  <si>
    <t>330904</t>
  </si>
  <si>
    <t>Rating 5</t>
  </si>
  <si>
    <t>高 欣</t>
  </si>
  <si>
    <t>330903</t>
  </si>
  <si>
    <t>Rating 2</t>
  </si>
  <si>
    <t>郭 厚勇</t>
  </si>
  <si>
    <t>330908</t>
  </si>
  <si>
    <t>金 鑫</t>
  </si>
  <si>
    <t>Rating 4</t>
  </si>
  <si>
    <t>Rating 3</t>
  </si>
  <si>
    <t>李 靖</t>
  </si>
  <si>
    <t>李 康洋</t>
  </si>
  <si>
    <t>王 跃青</t>
  </si>
  <si>
    <t>于 海霞</t>
  </si>
  <si>
    <t>赵 保明</t>
  </si>
  <si>
    <t>朱 华锋</t>
  </si>
  <si>
    <t>周 心宏</t>
  </si>
  <si>
    <t>蔡 梅</t>
  </si>
  <si>
    <t>曹 当全</t>
  </si>
  <si>
    <t>曹 杰</t>
  </si>
  <si>
    <t>陈 怀明</t>
  </si>
  <si>
    <t>陈 昆杰</t>
  </si>
  <si>
    <t>陈 磊</t>
  </si>
  <si>
    <t>朱 立松</t>
  </si>
  <si>
    <t>陈 瑶</t>
  </si>
  <si>
    <t>陈 义平</t>
  </si>
  <si>
    <t>陈 晨</t>
  </si>
  <si>
    <t>成 季月</t>
  </si>
  <si>
    <t>程 伟</t>
  </si>
  <si>
    <t>韩 强</t>
  </si>
  <si>
    <t>Mechanical Technician</t>
  </si>
  <si>
    <t>董 知竹</t>
  </si>
  <si>
    <t>杜 志豪</t>
  </si>
  <si>
    <t>耿 道玲</t>
  </si>
  <si>
    <t>辜 朝阳</t>
  </si>
  <si>
    <t>谷 胜奇</t>
  </si>
  <si>
    <t>韩 延峰</t>
  </si>
  <si>
    <t>嵇 建华</t>
  </si>
  <si>
    <t>郎 小飞</t>
  </si>
  <si>
    <t>李 德杰</t>
  </si>
  <si>
    <t>李 红霞</t>
  </si>
  <si>
    <t>李 义佳</t>
  </si>
  <si>
    <t>李 自兵</t>
  </si>
  <si>
    <t>刘 春华</t>
  </si>
  <si>
    <t>刘 海</t>
  </si>
  <si>
    <t>刘 素桃</t>
  </si>
  <si>
    <t>刘 旭</t>
  </si>
  <si>
    <t>陆 同章</t>
  </si>
  <si>
    <t>罗 海林</t>
  </si>
  <si>
    <t>刘 梨</t>
  </si>
  <si>
    <t>Rating 1</t>
  </si>
  <si>
    <t>马 旺秀</t>
  </si>
  <si>
    <t>茆 龙云</t>
  </si>
  <si>
    <t>茅 宗飞</t>
  </si>
  <si>
    <t>梅 继良</t>
  </si>
  <si>
    <t>孟 思月</t>
  </si>
  <si>
    <t>牛 子亮</t>
  </si>
  <si>
    <t>潘 文美</t>
  </si>
  <si>
    <t>钱 家琴</t>
  </si>
  <si>
    <t>秦 辉</t>
  </si>
  <si>
    <t>任 东</t>
  </si>
  <si>
    <t>戎 兵</t>
  </si>
  <si>
    <t>史 冬梅</t>
  </si>
  <si>
    <t>苏 尔春</t>
  </si>
  <si>
    <t>施 金秀</t>
  </si>
  <si>
    <t>苏 衍磊</t>
  </si>
  <si>
    <t>孙 建超</t>
  </si>
  <si>
    <t>孙 万宝</t>
  </si>
  <si>
    <t>陶 欣</t>
  </si>
  <si>
    <t>万 邦顺</t>
  </si>
  <si>
    <t>万 洪柱</t>
  </si>
  <si>
    <t>王 斌</t>
  </si>
  <si>
    <t>王 怀君</t>
  </si>
  <si>
    <t>王 久梅</t>
  </si>
  <si>
    <t>王 武胜</t>
  </si>
  <si>
    <t>王 小芹</t>
  </si>
  <si>
    <t>王 晓萍</t>
  </si>
  <si>
    <t>王 芸</t>
  </si>
  <si>
    <t>王 振亚</t>
  </si>
  <si>
    <t>魏 毅</t>
  </si>
  <si>
    <t>吴 冲</t>
  </si>
  <si>
    <t>吴 红红</t>
  </si>
  <si>
    <t>夏 昌建</t>
  </si>
  <si>
    <t>谢 文风</t>
  </si>
  <si>
    <t>邢 小盼</t>
  </si>
  <si>
    <t>徐 芳</t>
  </si>
  <si>
    <t>徐 贞龙</t>
  </si>
  <si>
    <t>杨 超</t>
  </si>
  <si>
    <t>许 庆红</t>
  </si>
  <si>
    <t>许 佐琴</t>
  </si>
  <si>
    <t>杨 冬梅</t>
  </si>
  <si>
    <t>杨 梅</t>
  </si>
  <si>
    <t>杨 明军</t>
  </si>
  <si>
    <t>Long sick leave</t>
  </si>
  <si>
    <t>杨 相燕</t>
  </si>
  <si>
    <t>叶 会</t>
  </si>
  <si>
    <t>余 承珊</t>
  </si>
  <si>
    <t>张 登新</t>
  </si>
  <si>
    <t>张 华</t>
  </si>
  <si>
    <t>张 雨</t>
  </si>
  <si>
    <t>张 中辉</t>
  </si>
  <si>
    <t>赵 贤黄</t>
  </si>
  <si>
    <t>郑 英</t>
  </si>
  <si>
    <t>朱 丁香</t>
  </si>
  <si>
    <t>朱 继银</t>
  </si>
  <si>
    <t>朱 家明</t>
  </si>
  <si>
    <t>朱 志健</t>
  </si>
  <si>
    <t>李 广宇</t>
  </si>
  <si>
    <t>330901</t>
  </si>
  <si>
    <t>汪 学林</t>
  </si>
  <si>
    <t>330905</t>
  </si>
  <si>
    <t>陈 九敏</t>
  </si>
  <si>
    <t>何 玉苗</t>
  </si>
  <si>
    <t>330202</t>
  </si>
  <si>
    <t>王 阳</t>
  </si>
  <si>
    <t>330205</t>
  </si>
  <si>
    <t>王 靖</t>
  </si>
  <si>
    <t>蒋 仲林</t>
  </si>
  <si>
    <t>吴 丰燕</t>
  </si>
  <si>
    <t>朱 文忠</t>
  </si>
  <si>
    <t>徐 后喜</t>
  </si>
  <si>
    <t>李 伟</t>
  </si>
  <si>
    <t>Mold Repairman</t>
  </si>
  <si>
    <t>Rating 1+Verbal warning</t>
  </si>
  <si>
    <t>杨 成</t>
  </si>
  <si>
    <t>叶 玉琼</t>
  </si>
  <si>
    <t>刘 彦波</t>
  </si>
  <si>
    <t>陆 海林</t>
  </si>
  <si>
    <t>孙 发喜</t>
  </si>
  <si>
    <t>郑 学祥</t>
  </si>
  <si>
    <t>余 波</t>
  </si>
  <si>
    <t>Mechanical</t>
  </si>
  <si>
    <t>陈 广银</t>
  </si>
  <si>
    <t>陈 永生</t>
  </si>
  <si>
    <t>崔 传琴</t>
  </si>
  <si>
    <t>330906</t>
  </si>
  <si>
    <t>崔 欢欢</t>
  </si>
  <si>
    <t>戴 有红</t>
  </si>
  <si>
    <t>戴 宇</t>
  </si>
  <si>
    <t>胡 艳艳</t>
  </si>
  <si>
    <t>黄 白</t>
  </si>
  <si>
    <t>黄 传肖</t>
  </si>
  <si>
    <t>黄 万民</t>
  </si>
  <si>
    <t>寇 昌明</t>
  </si>
  <si>
    <t>李 琼</t>
  </si>
  <si>
    <t>李 庭超</t>
  </si>
  <si>
    <t>李 霞</t>
  </si>
  <si>
    <t>刘 如生</t>
  </si>
  <si>
    <t>龙 叶胜</t>
  </si>
  <si>
    <t>米 长君</t>
  </si>
  <si>
    <t>倪 宇轩</t>
  </si>
  <si>
    <t>钱 枝林</t>
  </si>
  <si>
    <t>秦 西行</t>
  </si>
  <si>
    <t>史 存良</t>
  </si>
  <si>
    <t>孙 董丽</t>
  </si>
  <si>
    <t>陶 忠红</t>
  </si>
  <si>
    <t>万 玉霞</t>
  </si>
  <si>
    <t>Rating 3+Sharing staff</t>
  </si>
  <si>
    <t>万 治金</t>
  </si>
  <si>
    <t>汪 超</t>
  </si>
  <si>
    <t>汪 长江</t>
  </si>
  <si>
    <t>王 诚忠</t>
  </si>
  <si>
    <t>王 井平</t>
  </si>
  <si>
    <t>王 久萍</t>
  </si>
  <si>
    <t>王 明文</t>
  </si>
  <si>
    <t>王 萍</t>
  </si>
  <si>
    <t>王 其永</t>
  </si>
  <si>
    <t>王 庭锁</t>
  </si>
  <si>
    <t>王 小国</t>
  </si>
  <si>
    <t>Verbal warning</t>
  </si>
  <si>
    <t>王 志亮</t>
  </si>
  <si>
    <t>吴 丹丹</t>
  </si>
  <si>
    <t>吴 芳</t>
  </si>
  <si>
    <t>吴 绍兰</t>
  </si>
  <si>
    <t>吴 迎利</t>
  </si>
  <si>
    <t>徐 进杰</t>
  </si>
  <si>
    <t>徐 宏琴</t>
  </si>
  <si>
    <t>许 永祥</t>
  </si>
  <si>
    <t>薛 俊</t>
  </si>
  <si>
    <t>杨 国凤</t>
  </si>
  <si>
    <t>杭 程</t>
  </si>
  <si>
    <t>杨 文平</t>
  </si>
  <si>
    <t>姚 家红</t>
  </si>
  <si>
    <t>余 春磊</t>
  </si>
  <si>
    <t>钱 伟国</t>
  </si>
  <si>
    <t>余 忠孟</t>
  </si>
  <si>
    <t>张 红梅</t>
  </si>
  <si>
    <t>张 双喜</t>
  </si>
  <si>
    <t>张 珍珍</t>
  </si>
  <si>
    <t>赵 苏林</t>
  </si>
  <si>
    <t>郑 露露</t>
  </si>
  <si>
    <t>周 大全</t>
  </si>
  <si>
    <t>周 仕元</t>
  </si>
  <si>
    <t>Rating 2+Sharing staff</t>
  </si>
  <si>
    <t>祝 小芹</t>
  </si>
  <si>
    <t>邹 岂</t>
  </si>
  <si>
    <t>程 丽</t>
  </si>
  <si>
    <t>330951</t>
  </si>
  <si>
    <t>0.00%-8.40%</t>
  </si>
  <si>
    <t>刘 小红</t>
  </si>
  <si>
    <t>SNa-SC4L3</t>
  </si>
  <si>
    <t>370951</t>
  </si>
  <si>
    <t>孟 庆余</t>
  </si>
  <si>
    <t>340951</t>
  </si>
  <si>
    <t>杨 罡</t>
  </si>
  <si>
    <t>390905</t>
  </si>
  <si>
    <t>吴 爱萍</t>
  </si>
  <si>
    <t>390903</t>
  </si>
  <si>
    <t>夏 冰</t>
  </si>
  <si>
    <t>郑 雷</t>
  </si>
  <si>
    <t>周 道强</t>
  </si>
  <si>
    <t>蔡 道康</t>
  </si>
  <si>
    <t>刘 爱兵</t>
  </si>
  <si>
    <t>曹 世发</t>
  </si>
  <si>
    <t>黄 勇</t>
  </si>
  <si>
    <t>谢 正华</t>
  </si>
  <si>
    <t>王 杰</t>
  </si>
  <si>
    <t>房 华</t>
  </si>
  <si>
    <t>龚 林</t>
  </si>
  <si>
    <t>吴 德静</t>
  </si>
  <si>
    <t>许 超</t>
  </si>
  <si>
    <t>叶 治国</t>
  </si>
  <si>
    <t>唐 志权</t>
  </si>
  <si>
    <t>曹 宁</t>
  </si>
  <si>
    <t>Goods Mover</t>
  </si>
  <si>
    <t>戴 静</t>
  </si>
  <si>
    <t>戴 敏勇</t>
  </si>
  <si>
    <t>戴 玉琼</t>
  </si>
  <si>
    <t>戴 智荣</t>
  </si>
  <si>
    <t>段 小龙</t>
  </si>
  <si>
    <t>樊 翔</t>
  </si>
  <si>
    <t>韩 永金</t>
  </si>
  <si>
    <t>胡 丰</t>
  </si>
  <si>
    <t>胡 磊</t>
  </si>
  <si>
    <t>华 祥</t>
  </si>
  <si>
    <t>孔 丽丽</t>
  </si>
  <si>
    <t>梁 学仙</t>
  </si>
  <si>
    <t>刘 佳佳</t>
  </si>
  <si>
    <t>刘 金凤</t>
  </si>
  <si>
    <t>刘 玉伟</t>
  </si>
  <si>
    <t>陆 同双</t>
  </si>
  <si>
    <t>吕 传华</t>
  </si>
  <si>
    <t>邱 国祥</t>
  </si>
  <si>
    <t>宋 达兵</t>
  </si>
  <si>
    <t>孙 荣铮</t>
  </si>
  <si>
    <t>孙 书国</t>
  </si>
  <si>
    <t>孙 行军</t>
  </si>
  <si>
    <t>陶 金</t>
  </si>
  <si>
    <t>陶 忠林</t>
  </si>
  <si>
    <t>王 春成</t>
  </si>
  <si>
    <t>王 增旸</t>
  </si>
  <si>
    <t>王 志良</t>
  </si>
  <si>
    <t>吴 启辉</t>
  </si>
  <si>
    <t>夏 国柱</t>
  </si>
  <si>
    <t>徐 沛成</t>
  </si>
  <si>
    <t>徐 云春</t>
  </si>
  <si>
    <t>于 萍</t>
  </si>
  <si>
    <t>林 玲</t>
  </si>
  <si>
    <t>张 飞</t>
  </si>
  <si>
    <t>赵 成龙</t>
  </si>
  <si>
    <t>甄 宗玺</t>
  </si>
  <si>
    <t>周 本华</t>
  </si>
  <si>
    <t>周 华彪</t>
  </si>
  <si>
    <t>周 强</t>
  </si>
  <si>
    <t>周 向荣</t>
  </si>
  <si>
    <t>周 兴旺</t>
  </si>
  <si>
    <t>朱 君</t>
  </si>
  <si>
    <t>陈 杰</t>
  </si>
  <si>
    <t>陈 伟亮</t>
  </si>
  <si>
    <t>陈 长红</t>
  </si>
  <si>
    <t>戴 子清</t>
  </si>
  <si>
    <t>董 维发</t>
  </si>
  <si>
    <t>高 登琴</t>
  </si>
  <si>
    <t>胡 耀兰</t>
  </si>
  <si>
    <t>黄 金平</t>
  </si>
  <si>
    <t>黄 荣俊</t>
  </si>
  <si>
    <t>嵇 尚生</t>
  </si>
  <si>
    <t>蒋 明</t>
  </si>
  <si>
    <t>蒋 印</t>
  </si>
  <si>
    <t>瞿 成平</t>
  </si>
  <si>
    <t>Material Keeper</t>
  </si>
  <si>
    <t>束 常宾</t>
  </si>
  <si>
    <t>邰 财富</t>
  </si>
  <si>
    <t>王 小定</t>
  </si>
  <si>
    <t>魏 星</t>
  </si>
  <si>
    <t>谢 红梅</t>
  </si>
  <si>
    <t>闫 家鹏</t>
  </si>
  <si>
    <t>严 昌花</t>
  </si>
  <si>
    <t>张 从从</t>
  </si>
  <si>
    <t>张 伏华</t>
  </si>
  <si>
    <t>张 霁</t>
  </si>
  <si>
    <t>朱 荣</t>
  </si>
  <si>
    <t>陈 实</t>
  </si>
  <si>
    <t>胡 兆春</t>
  </si>
  <si>
    <t>李 家保</t>
  </si>
  <si>
    <t>宋 云开</t>
  </si>
  <si>
    <t>孙 正国</t>
  </si>
  <si>
    <t>王 志龙</t>
  </si>
  <si>
    <t>胥 文斌</t>
  </si>
  <si>
    <t>殷 宝松</t>
  </si>
  <si>
    <t>曾 兵</t>
  </si>
  <si>
    <t>陈 家兵</t>
  </si>
  <si>
    <t>陈 玉清</t>
  </si>
  <si>
    <t>陈 云红</t>
  </si>
  <si>
    <t>陈 正海</t>
  </si>
  <si>
    <t>仇 春</t>
  </si>
  <si>
    <t>戴 友萍</t>
  </si>
  <si>
    <t>杜 茂武</t>
  </si>
  <si>
    <t>葛 志刚</t>
  </si>
  <si>
    <t>顾 正</t>
  </si>
  <si>
    <t>韩 坤</t>
  </si>
  <si>
    <t>何 劲光</t>
  </si>
  <si>
    <t>胡 平原</t>
  </si>
  <si>
    <t>胡 夕林</t>
  </si>
  <si>
    <t>黄 杰</t>
  </si>
  <si>
    <t>吉 庆明</t>
  </si>
  <si>
    <t>李 瑞露</t>
  </si>
  <si>
    <t>李 胜春</t>
  </si>
  <si>
    <t>李 希文</t>
  </si>
  <si>
    <t>林 子文</t>
  </si>
  <si>
    <t>马 腾</t>
  </si>
  <si>
    <t>彭 彦明</t>
  </si>
  <si>
    <t>秦 宏宇</t>
  </si>
  <si>
    <t>石 泉</t>
  </si>
  <si>
    <t>孙 珍艳</t>
  </si>
  <si>
    <t>吴 端祥</t>
  </si>
  <si>
    <t>吴 欣</t>
  </si>
  <si>
    <t>徐 平</t>
  </si>
  <si>
    <t>徐 志伟</t>
  </si>
  <si>
    <t>杨 娟</t>
  </si>
  <si>
    <t>叶 涛</t>
  </si>
  <si>
    <t>叶 晓丽</t>
  </si>
  <si>
    <t>殷 义和</t>
  </si>
  <si>
    <t>张 炜</t>
  </si>
  <si>
    <t>张 玉峰</t>
  </si>
  <si>
    <t>朱 国军</t>
  </si>
  <si>
    <t>朱 剑</t>
  </si>
  <si>
    <t>朱 万明</t>
  </si>
  <si>
    <t>吉 安兵</t>
  </si>
  <si>
    <t>江 万宝</t>
  </si>
  <si>
    <t>Logistics Worker</t>
  </si>
  <si>
    <t>姜 宁</t>
  </si>
  <si>
    <t>李 晓康</t>
  </si>
  <si>
    <t>刘 金标</t>
  </si>
  <si>
    <t>刘 俊</t>
  </si>
  <si>
    <t>吕 召才</t>
  </si>
  <si>
    <t>亓 培清</t>
  </si>
  <si>
    <t>宋 伟</t>
  </si>
  <si>
    <t>王 国庆</t>
  </si>
  <si>
    <t>王 翔</t>
  </si>
  <si>
    <t>王 勇</t>
  </si>
  <si>
    <t>张 家育</t>
  </si>
  <si>
    <t>SAP Operator</t>
  </si>
  <si>
    <t>张 军</t>
  </si>
  <si>
    <t>卢 刚</t>
  </si>
  <si>
    <t>朱 云刚</t>
  </si>
  <si>
    <t>朱 正月</t>
  </si>
  <si>
    <t>CN/OP-RMH</t>
  </si>
  <si>
    <t>121054</t>
  </si>
  <si>
    <t>Shen Fendi-Siyuan（11021165）</t>
  </si>
  <si>
    <t>Senior specialist</t>
  </si>
  <si>
    <t>Since May 2025, Zheng Han has served as RM TA alongside her core role, supporting the RM Head and team in delivering multiple workshops, events, and meetings — all on target. She demonstrates strong learning agility, proactive ownership, and creative thinking, with exceptional potential.</t>
  </si>
  <si>
    <t>Disp_Indirect Active</t>
  </si>
  <si>
    <t xml:space="preserve">Since H2 2025, Anna has served as Headquarters Digital Project Lead alongside her core role, partnering with the RME team to launch multiple Finvis digital initiatives at HQ. She demonstrates strong learning agility and seamless team collaboration.
</t>
  </si>
  <si>
    <t>CN/OP-RMS</t>
  </si>
  <si>
    <t>121053</t>
  </si>
  <si>
    <t>Fu Gang（1320032）</t>
  </si>
  <si>
    <t>CN/OP-RM</t>
  </si>
  <si>
    <t>CN/OP-RMCF</t>
  </si>
  <si>
    <t>Specialist of Firefighting</t>
  </si>
  <si>
    <t>Engineer of Electrical</t>
  </si>
  <si>
    <t>Engineer of Anti-Explosion Management</t>
  </si>
  <si>
    <t>Senior Engineer of Electrical</t>
  </si>
  <si>
    <t>CN/OP-RMCG</t>
  </si>
  <si>
    <t>290113</t>
  </si>
  <si>
    <t>Supervisor of Food Service</t>
  </si>
  <si>
    <t>Senior Engineer of Facility</t>
  </si>
  <si>
    <t>Supervisor of Security Management</t>
  </si>
  <si>
    <t>Specialist of Shuttle Bus Management</t>
  </si>
  <si>
    <t>Security System Management</t>
  </si>
  <si>
    <t>Head of CN/OP-RMCF</t>
  </si>
  <si>
    <t>Head of CN/OP-RMCG</t>
  </si>
  <si>
    <t>Recognition of Performance</t>
  </si>
  <si>
    <t>COS-SY</t>
  </si>
  <si>
    <t>Head of Corporate Security</t>
  </si>
  <si>
    <t>朱 斌</t>
  </si>
  <si>
    <t>CN/OP-RME</t>
  </si>
  <si>
    <t>Song Qing (11015244)</t>
  </si>
  <si>
    <t>Head of CN/OP-RME</t>
  </si>
  <si>
    <t>Head of CN/OP-RMH</t>
  </si>
  <si>
    <t>HQ ES</t>
  </si>
  <si>
    <t>CN/OP-RMC</t>
  </si>
  <si>
    <t>Head of Real Estate Management Site CZ</t>
  </si>
  <si>
    <t>GQM-SRC</t>
  </si>
  <si>
    <t>GQM-SRCA</t>
  </si>
  <si>
    <t>190601</t>
  </si>
  <si>
    <t>Head of Quality System, Calibration</t>
  </si>
  <si>
    <t>Subasi Gonca（15022750）</t>
  </si>
  <si>
    <t>GQM-SRCM</t>
  </si>
  <si>
    <t>Senior Quality Engineer</t>
  </si>
  <si>
    <t>Senior Quality System Engineer</t>
  </si>
  <si>
    <t>Head of Quality Management Methodology</t>
  </si>
  <si>
    <t>GQM-CLC</t>
  </si>
  <si>
    <t>110600</t>
  </si>
  <si>
    <t>Head of Pro. Qua. Lifecycle Cooling</t>
  </si>
  <si>
    <t>GQM-EDC</t>
  </si>
  <si>
    <t>170600</t>
  </si>
  <si>
    <t>Head of Electronics&amp;Drives Quality Manag</t>
  </si>
  <si>
    <t>GQM-CGC</t>
  </si>
  <si>
    <t>130600</t>
  </si>
  <si>
    <t>Head of Pro. Qua. Lifecycle Cooking</t>
  </si>
  <si>
    <t>in-direct PS coaching and suppot FLCNa PS to develop PS expert competence and overal cost saving more than 1M RMB.</t>
  </si>
  <si>
    <t>Head of Shared Services</t>
  </si>
  <si>
    <t>DPRC relations and CoNC ownership</t>
  </si>
  <si>
    <t>GQM-DSC</t>
  </si>
  <si>
    <t>190604</t>
  </si>
  <si>
    <t>Digital Quality Engineer</t>
  </si>
  <si>
    <t>190602</t>
  </si>
  <si>
    <t>Senior engineer</t>
  </si>
  <si>
    <t>Has made outstanding contributions to the digital transformation of quality, personal skills and capabilities also got continuously developed and improved. At the same time, actively supported cross-departmental coordination work.</t>
  </si>
  <si>
    <t>GQM-PS</t>
  </si>
  <si>
    <t>190605</t>
  </si>
  <si>
    <t>Engineer of Product Safety</t>
  </si>
  <si>
    <t xml:space="preserve">Joined BSH more than 6 years and participate GQM-PS from 2023 , professional on CTS investigation, NoTI and Nicrs testing, coordinating with internal and external for high market risk CTS and support the team to handle the case to avoid the potential risk. </t>
  </si>
  <si>
    <t>Calibration Engineer</t>
  </si>
  <si>
    <t>GQM-SRCC</t>
  </si>
  <si>
    <t>Head of Data Analysis</t>
  </si>
  <si>
    <t>Head of GQM-DSC</t>
  </si>
  <si>
    <t>GQM-LCC</t>
  </si>
  <si>
    <t>140600</t>
  </si>
  <si>
    <t>Head of Pro. Qua. Lifecycle Laundry Care</t>
  </si>
  <si>
    <t>SCh-QM</t>
  </si>
  <si>
    <t>FDCCh-QM</t>
  </si>
  <si>
    <t>320600</t>
  </si>
  <si>
    <t>Engineer of Lifecyc Quality</t>
  </si>
  <si>
    <t>Engineer of Calibration</t>
  </si>
  <si>
    <t xml:space="preserve">Worked in BSH more than 20 years and professional in internal &amp; external calibration, total cost saving more than 2M RMB for BSH. She is supporting Qingbo for calibration strategy project from 2026, total saving arrived 330K RMB. </t>
  </si>
  <si>
    <t>GQM-DCC</t>
  </si>
  <si>
    <t>120600</t>
  </si>
  <si>
    <t>Head of Pro. Qua. Lifecycle Dish Care</t>
  </si>
  <si>
    <t>KPI achievement of Dish Category and CoNC CS benchmark initiatives like *installation finding" in PQM</t>
  </si>
  <si>
    <t>Product Safety Engineer</t>
  </si>
  <si>
    <t>GQM-DCCT</t>
  </si>
  <si>
    <t>Guo Yuwei （15014438）</t>
  </si>
  <si>
    <t>Head of GQM-DCCT</t>
  </si>
  <si>
    <t>Project Quality Engineer</t>
  </si>
  <si>
    <t>Promote from engineer to senior engineer. 1. Act as Q lead of GV650AX.3CN &amp; GV650AX.6CN projects to achieve very good quality KPI and launch performance. 2. Act as Q lead of dishwasher Taiwan project, first export product,  5 months ealier than normal VAVO project.</t>
  </si>
  <si>
    <t>FDCCh-QMS</t>
  </si>
  <si>
    <t>320601</t>
  </si>
  <si>
    <t>Senior Engineer of Quality</t>
  </si>
  <si>
    <t>Head of FDCCh-QMS</t>
  </si>
  <si>
    <t>Good performance but with lower salary. 2025Q3 Excellent Employee. Lead 8D problem solving for Zeolite fog issue with maturity 22.</t>
  </si>
  <si>
    <t>FDCCh-QMP</t>
  </si>
  <si>
    <t>Transfer from shift leader to junior engineer in 2025. Performance in 22025: 1. lead pss problem solving for outer door scratch with maturity 21. 2. build up standard for AEA testing auto judgement. 3.lead 2 times inhouse process release with KPI (Q,C,D) achievement.</t>
  </si>
  <si>
    <t>GQM-CLCD</t>
  </si>
  <si>
    <t>Quality Planning Engineer</t>
  </si>
  <si>
    <t>1. As Q-lead in MD85 0 gap project, earlier detection, good cooperation and collaboration to contribute project launch; 2. As project lead, successful handled appliance release in TCNG, good driver in QM and DE between local and global. 3. As CBA Architecture local Q-lead (Additionally tasks), well handled the lessons learn, engineering release for each SWG.4. As MCC local QM driver (Additionally tasks), good arrangement within QM each functions to ensure MCC project quality under high pressure and limited cap.</t>
  </si>
  <si>
    <t>Li Chaozi （1211022）</t>
  </si>
  <si>
    <t>Head of Project Quality</t>
  </si>
  <si>
    <t>Both workload (Addtionally workload responsible for MCC &amp; CBA) and performance alsp very good level of 2025.</t>
  </si>
  <si>
    <t>GQM-CLCL</t>
  </si>
  <si>
    <t>Engineer of Quality</t>
  </si>
  <si>
    <t>GQM-CLCT</t>
  </si>
  <si>
    <t>Quality Engineer</t>
  </si>
  <si>
    <t>Electronic &amp; Electrical Quality Engineer</t>
  </si>
  <si>
    <t>Current salary already much higher than other similar position in CLCT</t>
  </si>
  <si>
    <t>Quality engineer</t>
  </si>
  <si>
    <t>Head of Testing &amp; Laboratory Cooling</t>
  </si>
  <si>
    <t>Additional workload to lead lab synergy project  and V&amp;V implemenation in RGC with very good deliverable.</t>
  </si>
  <si>
    <t>Head of GQM-CLCL</t>
  </si>
  <si>
    <t>Additional workload for RNA night meeting</t>
  </si>
  <si>
    <t>Cooling Test Engineer</t>
  </si>
  <si>
    <t>Contribution and workload is less than other similar position colleauges</t>
  </si>
  <si>
    <t>Chemical Engineer</t>
  </si>
  <si>
    <t>Only for Chemical inspection &amp; analysis, also the salar level is higher than similar level position</t>
  </si>
  <si>
    <t>1.5 times overload for project quality management tasks and with very good delivery like EP85 project</t>
  </si>
  <si>
    <t>Basic salary is much higher than same position</t>
  </si>
  <si>
    <t>Engineer of 3D Testing</t>
  </si>
  <si>
    <t>Overload in 2025 with very good deliverable</t>
  </si>
  <si>
    <t>Junior Engineer of Quality</t>
  </si>
  <si>
    <t>FCLCh-QMS</t>
  </si>
  <si>
    <t>310601</t>
  </si>
  <si>
    <t>FCLCh-QMP</t>
  </si>
  <si>
    <t>310604</t>
  </si>
  <si>
    <t>Head of FCLCh-QMS</t>
  </si>
  <si>
    <t>Less contribution and workload than same position</t>
  </si>
  <si>
    <t>Head of Products Quality Management</t>
  </si>
  <si>
    <t>Take additional workload support factory QM role</t>
  </si>
  <si>
    <t>Workload and performace not comprable with similar postion colleagues</t>
  </si>
  <si>
    <t>Low basic salary and in 2025 take big additional task of SKD project with very good performance</t>
  </si>
  <si>
    <t>GQM-EDCS2</t>
  </si>
  <si>
    <t>Li Chen（15022148）</t>
  </si>
  <si>
    <t>GQM-EDCS1</t>
  </si>
  <si>
    <t>GQM-EDCD</t>
  </si>
  <si>
    <t>Take dual role of QMD and QML with high efficiency, actively contribute in strategic project.</t>
  </si>
  <si>
    <t>GQM-EDCL</t>
  </si>
  <si>
    <t>Use promotion budget</t>
  </si>
  <si>
    <t>Head of 1Tier Supplier</t>
  </si>
  <si>
    <t>Head of Supplier Production</t>
  </si>
  <si>
    <t>Head of Lifecycle Quality</t>
  </si>
  <si>
    <t>Head of Development</t>
  </si>
  <si>
    <t>Lead team to fulfill QMD work under 135% utilization rate. Lead strategic projects globally and locally. Handle critical topics with high dedication and strategic precision.</t>
  </si>
  <si>
    <t>FEDNa-QMP</t>
  </si>
  <si>
    <t>370600</t>
  </si>
  <si>
    <t>QMP Engineer</t>
  </si>
  <si>
    <t>AI talent, 2025 performance is not assessable due to offically join BSH in last Nov.. Strong performance in GQM-CN AI development team, visible achievement of digitalization project in FLCCh. Take the new role of RGC AI ambessor. At the same time, effectively perform the role of FEDNa QMP Engineer.</t>
  </si>
  <si>
    <t>FEDNa-QMS</t>
  </si>
  <si>
    <t>Head of Incoming Inspection</t>
  </si>
  <si>
    <t>Supplier Quality Engineer</t>
  </si>
  <si>
    <t>Head of Product Quality</t>
  </si>
  <si>
    <t>FLCNa-QM</t>
  </si>
  <si>
    <t>340600</t>
  </si>
  <si>
    <t>Zhu Chen (15010791)</t>
  </si>
  <si>
    <t>1. High perfomer, overqualify current position, ranking5
2. Young talent in FLCNa factory QM team, EDSP box3
3. T-shape with multiple skill in Problem solving, Manufacturing engineering, Training vedio filming&amp;producing
4. Fullfil capability required for Senior QMP Enginner and show high potential to be further developed to QMP functional specialist in coming 1-3 years.</t>
  </si>
  <si>
    <t>FLCNa-QMP</t>
  </si>
  <si>
    <t>Senior QM Engineer</t>
  </si>
  <si>
    <t>FLCNa-QMS</t>
  </si>
  <si>
    <t>340601</t>
  </si>
  <si>
    <t>Incoming Quality Engineer</t>
  </si>
  <si>
    <t>1. High perfomer, overqualify current position, ranking4
3. T-shape with multiple skill in Problem solving, Supplier quality management and Digital inspection technology.
4. Fullfil capability required for Senior QMS Enginner and show high potential to be further developed to QMS functional specialist in coming 3-5 years.</t>
  </si>
  <si>
    <t>FLCCh-QMP</t>
  </si>
  <si>
    <t>Head of FLCCh-QMP</t>
  </si>
  <si>
    <t>FLCCh-QMS</t>
  </si>
  <si>
    <t>Head of FLCCh-QMS</t>
  </si>
  <si>
    <t>Engineer of Measurement</t>
  </si>
  <si>
    <t>1. High perfomer, overqualify current position, ranking5, EDSP box2
3. T-shape with multiple skill in Problem solving, Supplier quality management, Digital inspection technology and Labor Union activities management
4. Fullfil capability required for Senior QMS Enginner and show high potential to be further developed to QMS functional specialist in coming 1-3 years</t>
  </si>
  <si>
    <t>GQM-LCCT</t>
  </si>
  <si>
    <t>Quality Test Engineer</t>
  </si>
  <si>
    <t>Senior Test Engineer</t>
  </si>
  <si>
    <t>1. High perfomer, overqualify current position, ranking4
2. Virtual leader of WM/WD validation working team, key contrbutor for Modena/Napoli/Slim product time to market
3. T-shape with multiple skill in Validation design, Risk assessment, Problem solving and Product connectivity&amp;analytics
4. Fullfil capability required for Senior Test Enginner and show high potential to be further developed to Test functional specialist in coming 1-3 years</t>
  </si>
  <si>
    <t>Indirect Blue_NP</t>
  </si>
  <si>
    <t>Junior Test Engineer</t>
  </si>
  <si>
    <t>1. High perfomer, overqualify current position
2. Top young talent in Technicians, successor of Mr. Lan Guojin to take over TD validation engineer works
3. T-shape with multiple skill in Lifetime test management, Lean-Lab managment,CMM measurement,  Lab digital transition and Training vedio filming&amp;producing
4. Fullfil capability required for Junior Test Enginner and show high potential to be further developed to Test enginner in coming 1-3 years.</t>
  </si>
  <si>
    <t>GQM-LCCL</t>
  </si>
  <si>
    <t>Senior Measurement Engineer</t>
  </si>
  <si>
    <t>GQM-LCCD</t>
  </si>
  <si>
    <t>Head of Testing&amp;Laboratory Laundry Care</t>
  </si>
  <si>
    <t>Test Engineer</t>
  </si>
  <si>
    <t>Head of Quality Management</t>
  </si>
  <si>
    <t>FLCCh-QM</t>
  </si>
  <si>
    <t>FCGNa-QMS</t>
  </si>
  <si>
    <t>330604</t>
  </si>
  <si>
    <t>Liu Baocui （15002216）</t>
  </si>
  <si>
    <t xml:space="preserve">-Balance the salary level, he works equically with another QMS engineer, in addition, he was internally certified as E-analyzer and takes ESD coordinator role in factory, strong willingness to learn and change.
</t>
  </si>
  <si>
    <t>FCGNa-QMP</t>
  </si>
  <si>
    <t>330602</t>
  </si>
  <si>
    <t>Head of Products</t>
  </si>
  <si>
    <t>Head of FCGNa-QMS</t>
  </si>
  <si>
    <t>FCGNa-QM</t>
  </si>
  <si>
    <t>GQM-CGCL</t>
  </si>
  <si>
    <t>GQM-CGCD</t>
  </si>
  <si>
    <t>Measurement Engineer</t>
  </si>
  <si>
    <t>Head of GQM-CGCL</t>
  </si>
  <si>
    <t xml:space="preserve">-EDSP BOX2 and EDD as driver; Workplan 5;
- Work as metrology LPO and very active in CG global specialist cycle, also in local cross-categrory quality measurement club. 
- With profound knowledge about GD&amp;T and measurement, he proactively collabrates with DE to optimize drawing, coach and align with supplier on meansurement approach.
- He is very dedicated to work and managed all measurement demands without any delay, rated as 2025 star employee in CG RCT </t>
  </si>
  <si>
    <t>GQM-CGCT</t>
  </si>
  <si>
    <t>Head of Testing &amp; Laboratory Cooking</t>
  </si>
  <si>
    <t>Test Technician</t>
  </si>
  <si>
    <t>GQM</t>
  </si>
  <si>
    <t>秦 红飞</t>
  </si>
  <si>
    <t>320961</t>
  </si>
  <si>
    <t>Inspector</t>
  </si>
  <si>
    <t>Quality Inspector</t>
  </si>
  <si>
    <t>李 仁善</t>
  </si>
  <si>
    <t>孙 美</t>
  </si>
  <si>
    <t>李 正萍</t>
  </si>
  <si>
    <t>任 英</t>
  </si>
  <si>
    <t>应 忠豪</t>
  </si>
  <si>
    <t>李 爽</t>
  </si>
  <si>
    <t>王 一</t>
  </si>
  <si>
    <t>黄 成</t>
  </si>
  <si>
    <t>祝 丽丽</t>
  </si>
  <si>
    <t>胡 继遥</t>
  </si>
  <si>
    <t>Quality Auditor</t>
  </si>
  <si>
    <t>曹 强</t>
  </si>
  <si>
    <t>王 正山</t>
  </si>
  <si>
    <t>王 胜勇</t>
  </si>
  <si>
    <t>310961</t>
  </si>
  <si>
    <t>卓 士军</t>
  </si>
  <si>
    <t>陶 然</t>
  </si>
  <si>
    <t>杜 永多</t>
  </si>
  <si>
    <t>钟 光龙</t>
  </si>
  <si>
    <t>肖 雷</t>
  </si>
  <si>
    <t>魏 然</t>
  </si>
  <si>
    <t>孙 刚</t>
  </si>
  <si>
    <t>陈 全喜</t>
  </si>
  <si>
    <t>刘 海进</t>
  </si>
  <si>
    <t>黄 菊</t>
  </si>
  <si>
    <t>张 振</t>
  </si>
  <si>
    <t>Junior engineer</t>
  </si>
  <si>
    <t>Took engineer responsibilities with proven performance: 1. System Development: JDY Cloud Platform Implementation; 2. System Maintenance: FCLCh-QMP Power BI Dashboard Optimization; 3. Efficiency Improvement: 2025Y Product Audit Optimization; 4. On-site Improvement &amp; Skill Expansion: L24 Value Stream Quality Owner</t>
  </si>
  <si>
    <t>徐 盼盼</t>
  </si>
  <si>
    <t>江 艳</t>
  </si>
  <si>
    <t>Inspector of Incoming Parts</t>
  </si>
  <si>
    <t>贾 旭</t>
  </si>
  <si>
    <t>朱 贤宁</t>
  </si>
  <si>
    <t>樊 龙盛</t>
  </si>
  <si>
    <t>宋 雨薇</t>
  </si>
  <si>
    <t>葛 雅倩</t>
  </si>
  <si>
    <t>王 芝红</t>
  </si>
  <si>
    <t>杨 洋</t>
  </si>
  <si>
    <t>钱 旭</t>
  </si>
  <si>
    <t>李 岳骏</t>
  </si>
  <si>
    <t>鲍 旭东</t>
  </si>
  <si>
    <t>370961</t>
  </si>
  <si>
    <t>刘 文霞</t>
  </si>
  <si>
    <t>孙 旺</t>
  </si>
  <si>
    <t>叶 玲玲</t>
  </si>
  <si>
    <t>丁 锐</t>
  </si>
  <si>
    <t>王 春蕾</t>
  </si>
  <si>
    <t>郭 玉梅</t>
  </si>
  <si>
    <t>穆 守凤</t>
  </si>
  <si>
    <t>Incoming Inspector</t>
  </si>
  <si>
    <t>方 玉红</t>
  </si>
  <si>
    <t>330961</t>
  </si>
  <si>
    <t>冯 长梅</t>
  </si>
  <si>
    <t>高 素霞</t>
  </si>
  <si>
    <t>胡 华丽</t>
  </si>
  <si>
    <t>林 晓丽</t>
  </si>
  <si>
    <t>周 庆坤</t>
  </si>
  <si>
    <t>谢 宇昊</t>
  </si>
  <si>
    <t>杨 润</t>
  </si>
  <si>
    <t>周 国阳</t>
  </si>
  <si>
    <t>Team leader</t>
  </si>
  <si>
    <t>A (for area without sub-level)</t>
  </si>
  <si>
    <t>Top 1 performance within inspectors, take partly team leader role during the past 6 months</t>
  </si>
  <si>
    <t>何 亮亮</t>
  </si>
  <si>
    <t>李 冬宁</t>
  </si>
  <si>
    <t>许 晖</t>
  </si>
  <si>
    <t>段 昌菊</t>
  </si>
  <si>
    <t>340961</t>
  </si>
  <si>
    <t>郭 娇娇</t>
  </si>
  <si>
    <t>还 咸梁</t>
  </si>
  <si>
    <t>韩 复磊</t>
  </si>
  <si>
    <t>胡 枫</t>
  </si>
  <si>
    <t>黄 祖伟</t>
  </si>
  <si>
    <t>金 嗣刚</t>
  </si>
  <si>
    <t>李 丹虹</t>
  </si>
  <si>
    <t>梁 林</t>
  </si>
  <si>
    <t>阮 玲玉</t>
  </si>
  <si>
    <t>王 莉</t>
  </si>
  <si>
    <t>王 先子</t>
  </si>
  <si>
    <t>王 智琴</t>
  </si>
  <si>
    <t>温 祥红</t>
  </si>
  <si>
    <t>姚 允琴</t>
  </si>
  <si>
    <t>张 玉玲</t>
  </si>
  <si>
    <t>张 德海</t>
  </si>
  <si>
    <t>郑 红英</t>
  </si>
  <si>
    <t>张 小娟</t>
  </si>
  <si>
    <t>朱 海燕</t>
  </si>
  <si>
    <t>甘 亮</t>
  </si>
  <si>
    <t>郭 颖钦</t>
  </si>
  <si>
    <t>梅 红刚</t>
  </si>
  <si>
    <t>史 金方</t>
  </si>
  <si>
    <t>杨 奇</t>
  </si>
  <si>
    <t>孟 维维</t>
  </si>
  <si>
    <t>莫 家由</t>
  </si>
  <si>
    <t>王 蓉</t>
  </si>
  <si>
    <t>李 长平</t>
  </si>
  <si>
    <t>詹 飞</t>
  </si>
  <si>
    <t>李 静波</t>
  </si>
  <si>
    <t>黄 被月</t>
  </si>
  <si>
    <t>李 连杰</t>
  </si>
  <si>
    <t>孟 亚娟</t>
  </si>
  <si>
    <t>李 晓波</t>
  </si>
  <si>
    <t>Measurement Technician</t>
  </si>
  <si>
    <t>沐 小菊</t>
  </si>
  <si>
    <t>韩 玉莲</t>
  </si>
  <si>
    <t>唐 纪铖</t>
  </si>
  <si>
    <t>潘 振坤</t>
  </si>
  <si>
    <t>黄 采凤</t>
  </si>
  <si>
    <t>Junior Quality Engineer</t>
  </si>
  <si>
    <t>1. High perfomer, overqualify current position
2. Top young talent in Technicians
3. T-shape with multiple skill in problem solving, document management and new inspection technology application 
4. Fullfil capability required for Junior Quality Enginner and show high potential to be further developed to QMP enginner in coming 1-3 years.</t>
  </si>
  <si>
    <t>沈 伟龙</t>
  </si>
  <si>
    <t>刘 停停</t>
  </si>
  <si>
    <t>Special budget already approved by Oliver in Feb. 2026</t>
  </si>
  <si>
    <t>GOM-CLC</t>
  </si>
  <si>
    <t>222010</t>
  </si>
  <si>
    <t>He Jin（1220095）</t>
  </si>
  <si>
    <t>GOM-CLCL</t>
  </si>
  <si>
    <t>222030</t>
  </si>
  <si>
    <t>Function Manager</t>
  </si>
  <si>
    <t>Professional</t>
  </si>
  <si>
    <t>Product Manager</t>
  </si>
  <si>
    <t>110710</t>
  </si>
  <si>
    <t>GOM-CLCP</t>
  </si>
  <si>
    <t>SO</t>
  </si>
  <si>
    <t>Team Assistant</t>
  </si>
  <si>
    <t>110901</t>
  </si>
  <si>
    <t>Project Director</t>
  </si>
  <si>
    <t>Head of Projects Greater China</t>
  </si>
  <si>
    <t>BSH-PRC HQ</t>
  </si>
  <si>
    <t>GPL-SC8</t>
  </si>
  <si>
    <t>210150</t>
  </si>
  <si>
    <t>Head of Demand Fulfillment</t>
  </si>
  <si>
    <t>Kalak Ahmet（11018931）</t>
  </si>
  <si>
    <t>GPL-LO8</t>
  </si>
  <si>
    <t>120010</t>
  </si>
  <si>
    <t>Head of Logistics</t>
  </si>
  <si>
    <t>GPL-SC8P</t>
  </si>
  <si>
    <t>Head of Demand Planning</t>
  </si>
  <si>
    <t>GPL-SC8X</t>
  </si>
  <si>
    <t>210152</t>
  </si>
  <si>
    <t>Head of Order Fulfillment Center</t>
  </si>
  <si>
    <t>GPL-SCS8</t>
  </si>
  <si>
    <t>210151</t>
  </si>
  <si>
    <t>Head of Standards, Processes</t>
  </si>
  <si>
    <t>GPL-CN</t>
  </si>
  <si>
    <t>110910</t>
  </si>
  <si>
    <t>Senior Team Assistant</t>
  </si>
  <si>
    <t>陆 正曹</t>
  </si>
  <si>
    <t>Disp_Direct</t>
  </si>
  <si>
    <t>GPL-LO8WF</t>
  </si>
  <si>
    <t>Temporary Worker</t>
  </si>
  <si>
    <t>Temporary Worker of WH CZ</t>
  </si>
  <si>
    <t>Li Xiaochun（11008077）</t>
  </si>
  <si>
    <t>佘 明</t>
  </si>
  <si>
    <t>李 存林</t>
  </si>
  <si>
    <t>牛 红兵</t>
  </si>
  <si>
    <t>潘 祥</t>
  </si>
  <si>
    <t>吴 厚勇</t>
  </si>
  <si>
    <t>陈 玉龙</t>
  </si>
  <si>
    <t>李 顶成</t>
  </si>
  <si>
    <t>刘 瑞兵</t>
  </si>
  <si>
    <t>单 其勇</t>
  </si>
  <si>
    <t>王 道德</t>
  </si>
  <si>
    <t>王 志勇</t>
  </si>
  <si>
    <t>张 立智</t>
  </si>
  <si>
    <t>袁 伯柱</t>
  </si>
  <si>
    <t>刘 全俊</t>
  </si>
  <si>
    <t>范 万隆</t>
  </si>
  <si>
    <t>Guard of CDC</t>
  </si>
  <si>
    <t>王 俊</t>
  </si>
  <si>
    <t>钟 友胜</t>
  </si>
  <si>
    <t>关 陈开</t>
  </si>
  <si>
    <t>闫 凤法</t>
  </si>
  <si>
    <t>陈 延安</t>
  </si>
  <si>
    <t>卢 德银</t>
  </si>
  <si>
    <t>Temporary Worker of CZ CDC</t>
  </si>
  <si>
    <t>朱 一兵</t>
  </si>
  <si>
    <t>陈 志文</t>
  </si>
  <si>
    <t>时 聪</t>
  </si>
  <si>
    <t>吴 雪峰</t>
  </si>
  <si>
    <t>徐 品文</t>
  </si>
  <si>
    <t>贺 维广</t>
  </si>
  <si>
    <t>李 明</t>
  </si>
  <si>
    <t>贺 东升</t>
  </si>
  <si>
    <t>Temporary Worker of WH CZ CDC</t>
  </si>
  <si>
    <t>王 震</t>
  </si>
  <si>
    <t>徐 义成</t>
  </si>
  <si>
    <t>祝 君</t>
  </si>
  <si>
    <t>徐 洋</t>
  </si>
  <si>
    <t>姚 大马</t>
  </si>
  <si>
    <t>郑 金堂</t>
  </si>
  <si>
    <t>戴 亮</t>
  </si>
  <si>
    <t>徐 雪花</t>
  </si>
  <si>
    <t>陈 凯</t>
  </si>
  <si>
    <t>翟 杨辉</t>
  </si>
  <si>
    <t>王 官洋</t>
  </si>
  <si>
    <t>Warehouse Supervisor of WH CZ</t>
  </si>
  <si>
    <t>章 红霞</t>
  </si>
  <si>
    <t>童 玉涛</t>
  </si>
  <si>
    <t>WMS Key User</t>
  </si>
  <si>
    <t>WMS Key User of WH CZ</t>
  </si>
  <si>
    <t>Transport Coordinator of WH CZ</t>
  </si>
  <si>
    <t>夏 斯岭</t>
  </si>
  <si>
    <t>Warehouse Keeper of WH CZ</t>
  </si>
  <si>
    <t>沈 浩</t>
  </si>
  <si>
    <t>程 华柱</t>
  </si>
  <si>
    <t>张 开源</t>
  </si>
  <si>
    <t>Warehouse Keeper</t>
  </si>
  <si>
    <t>Material Keeper of WH CZ</t>
  </si>
  <si>
    <t>宛 海艇</t>
  </si>
  <si>
    <t>张 洋</t>
  </si>
  <si>
    <t>宋 晨</t>
  </si>
  <si>
    <t>李 梓曦</t>
  </si>
  <si>
    <t>CDC Chuzhou</t>
  </si>
  <si>
    <t>120020</t>
  </si>
  <si>
    <t>GPL-LO8N</t>
  </si>
  <si>
    <t>GPL-LO8WC</t>
  </si>
  <si>
    <t>120040</t>
  </si>
  <si>
    <t>Administrator of WH CZ</t>
  </si>
  <si>
    <t>Head of CDC Chuzhou Fanya</t>
  </si>
  <si>
    <t>GPL-LO8WN</t>
  </si>
  <si>
    <t>120050</t>
  </si>
  <si>
    <t>Supervisor of WH-NJ</t>
  </si>
  <si>
    <t>GPL-LO8LR</t>
  </si>
  <si>
    <t>Head of Regional Logistics Management</t>
  </si>
  <si>
    <t>Administrator</t>
  </si>
  <si>
    <t>Administrator of WH NJ</t>
  </si>
  <si>
    <t>GPL-LO8W</t>
  </si>
  <si>
    <t>Head of Warehousing</t>
  </si>
  <si>
    <t>GPL-LO8G</t>
  </si>
  <si>
    <t>Head of Global Distribution</t>
  </si>
  <si>
    <t>Project and Flow Admin Supervisor of CZ</t>
  </si>
  <si>
    <t>Head of CDC Chuzhou Chengdong</t>
  </si>
  <si>
    <t>Work independantly and proactively to ensure the delivery to customer</t>
  </si>
  <si>
    <t>GPL-LO8L</t>
  </si>
  <si>
    <t>Warehouse Management</t>
  </si>
  <si>
    <t>Data Support of WH CZ</t>
  </si>
  <si>
    <t>Head of GPL-LO8L</t>
  </si>
  <si>
    <t xml:space="preserve">Roll out BPS concept in GPL area, contributed in TPM_Lean SC pillar RGC strategical project </t>
  </si>
  <si>
    <t>Head of Network Development</t>
  </si>
  <si>
    <t>GPL-LO8R</t>
  </si>
  <si>
    <t>190201</t>
  </si>
  <si>
    <t>Zero work accident in LO8R for many years, actively support for GGN and other BU</t>
  </si>
  <si>
    <t>Head of GPL-LO8R</t>
  </si>
  <si>
    <t>GPL-SC8PS</t>
  </si>
  <si>
    <t>Chen Meng（11007521）</t>
  </si>
  <si>
    <t>GPL-SCMTC</t>
  </si>
  <si>
    <t>260010</t>
  </si>
  <si>
    <t>Head of OEM</t>
  </si>
  <si>
    <t>GPL-SC8PM</t>
  </si>
  <si>
    <t>Head of Laundry Care, Cooling</t>
  </si>
  <si>
    <t>GPL-SC8XA</t>
  </si>
  <si>
    <t>232230</t>
  </si>
  <si>
    <t>Channel FCST &amp; Fulfillment</t>
  </si>
  <si>
    <t>GPL-SC8XN</t>
  </si>
  <si>
    <t>231130</t>
  </si>
  <si>
    <t>RDC Operations</t>
  </si>
  <si>
    <t>RDC Operations &amp; Delivery Execution</t>
  </si>
  <si>
    <t>GPL-SC8X2</t>
  </si>
  <si>
    <t>GPL-SC8XH</t>
  </si>
  <si>
    <t>231230</t>
  </si>
  <si>
    <t>Reverse &amp; Sample Orders</t>
  </si>
  <si>
    <t>Delivery Execution</t>
  </si>
  <si>
    <t>GPL-SC8XEO</t>
  </si>
  <si>
    <t>234330</t>
  </si>
  <si>
    <t>Head of SC Cluster North (Beijing)</t>
  </si>
  <si>
    <t>GPL-SC8XX</t>
  </si>
  <si>
    <t>234630</t>
  </si>
  <si>
    <t>SC Cluster Management</t>
  </si>
  <si>
    <t>Head of SC Cluster Northwest (Xi’an)</t>
  </si>
  <si>
    <t>GPL-SC8XWO</t>
  </si>
  <si>
    <t>233630</t>
  </si>
  <si>
    <t>Head of GPL-SC8XWO</t>
  </si>
  <si>
    <t>GPL-SC8XC</t>
  </si>
  <si>
    <t>231430</t>
  </si>
  <si>
    <t>GPL-SC8X1</t>
  </si>
  <si>
    <t>GPL-SC8XS</t>
  </si>
  <si>
    <t>233330</t>
  </si>
  <si>
    <t>Senior Delivery Execution</t>
  </si>
  <si>
    <t>GPL-SC8XHD</t>
  </si>
  <si>
    <t>Head of SC Cluster Southeast (Hangzhou)</t>
  </si>
  <si>
    <t>Head of GPL-SC8XEO</t>
  </si>
  <si>
    <t>GPL-SC8XE</t>
  </si>
  <si>
    <t>Head of SC Cluster East (Nanjing)</t>
  </si>
  <si>
    <t>Head of SC Cluster South (Guangzhou)</t>
  </si>
  <si>
    <t>GPL-SC8X3</t>
  </si>
  <si>
    <t>Head of Delivery Execution</t>
  </si>
  <si>
    <t>Head of Goods Allocation, Optimization</t>
  </si>
  <si>
    <t>Senior Channel FCST &amp; Fulfillment</t>
  </si>
  <si>
    <t>Goods Allocation &amp; Optimization</t>
  </si>
  <si>
    <t>GPL-SC8XW</t>
  </si>
  <si>
    <t>Head of SC Cluster Southwest (Chengdu)</t>
  </si>
  <si>
    <t>Senior Delivery Execution Specialist</t>
  </si>
  <si>
    <t>GOM-DCC</t>
  </si>
  <si>
    <t>224011</t>
  </si>
  <si>
    <t>Pan Jian（15013507）</t>
  </si>
  <si>
    <t>The NWL and glass accessory door projects have been very successful</t>
  </si>
  <si>
    <t>Senior Product Specialist</t>
  </si>
  <si>
    <t>Product Specialist</t>
  </si>
  <si>
    <t>Senior Professional</t>
  </si>
  <si>
    <t>Senior Product Manager</t>
  </si>
  <si>
    <t>The successful progress of complexity reduction and portfolio optimization</t>
  </si>
  <si>
    <t>120710</t>
  </si>
  <si>
    <t>The successful progress of 6CN and Venus Projects to support MK share gain</t>
  </si>
  <si>
    <t>The comprehensive consideration results of the past three years</t>
  </si>
  <si>
    <t>GOM-CGC</t>
  </si>
  <si>
    <t>221010</t>
  </si>
  <si>
    <t>Tao Song（15000036）</t>
  </si>
  <si>
    <t>GOM-CGCO</t>
  </si>
  <si>
    <t>221012</t>
  </si>
  <si>
    <t>GOM-CGCH</t>
  </si>
  <si>
    <t>Head of Product Line Mgt&amp;Lifecy,Hood,Hob</t>
  </si>
  <si>
    <t>good performance and competence enhanced in last 2 years</t>
  </si>
  <si>
    <t>Digital Product Manager</t>
  </si>
  <si>
    <t>GOM-CGCP</t>
  </si>
  <si>
    <t>130711</t>
  </si>
  <si>
    <t>Head of Project Management</t>
  </si>
  <si>
    <t>GOM-LCCI</t>
  </si>
  <si>
    <t>223010</t>
  </si>
  <si>
    <t>Zhou Yan（15001209）</t>
  </si>
  <si>
    <t>GOM-LCCL</t>
  </si>
  <si>
    <t>Head of Product Line WD &amp; Lifecycle</t>
  </si>
  <si>
    <t>B</t>
  </si>
  <si>
    <t>Under the G2M target, she has leveraged the collaboration with DE and redefined the lifecycle process, enabling the fulfillment for high complexity requirements in short time—such as new CMF and new BT in the lifecycle loop. Meanwhile, she taken on the role of MPO for the Monaco project, driving the product realization for slim depth dryer on T27L.IPE result:BandB</t>
  </si>
  <si>
    <t>Ye Ping is leading two high complexity task: Monza project MPO and RGC dryer product owner marketing</t>
  </si>
  <si>
    <t>Head of Product Portfolio &amp; Innovation</t>
  </si>
  <si>
    <t>GOM-LCC</t>
  </si>
  <si>
    <t>Senior Innovation Specialist</t>
  </si>
  <si>
    <t>Working competence and performance fully fulfill current job requirement, driving RGC innovation push forward and global innovation strategy landing with high quality.IPE result:BandA6</t>
  </si>
  <si>
    <t>Lingwen started her MPO role by end of this year (A6) while she stays as A5 until next promotion window</t>
  </si>
  <si>
    <t>140711</t>
  </si>
  <si>
    <t>GOM-LCCPM</t>
  </si>
  <si>
    <t>GOM-LCCP</t>
  </si>
  <si>
    <t>GOM-LCCPX</t>
  </si>
  <si>
    <t>Project Support Engineer</t>
  </si>
  <si>
    <t>Technical Project Manager</t>
  </si>
  <si>
    <t>Head of Project Excellence</t>
  </si>
  <si>
    <t>PCP-BAUS</t>
  </si>
  <si>
    <t>270004</t>
  </si>
  <si>
    <t>Li Huihua（15000253）</t>
  </si>
  <si>
    <t>PCP-OPGU</t>
  </si>
  <si>
    <t>Head of Purchasing, Quality GreaterChina</t>
  </si>
  <si>
    <t>PCP-BVTG</t>
  </si>
  <si>
    <t>270001</t>
  </si>
  <si>
    <t>M</t>
  </si>
  <si>
    <t>131065</t>
  </si>
  <si>
    <t>PCP-OPG</t>
  </si>
  <si>
    <t>PCP-BAUQGP</t>
  </si>
  <si>
    <t>270005</t>
  </si>
  <si>
    <t>P</t>
  </si>
  <si>
    <t>PCP-BAUOG</t>
  </si>
  <si>
    <t>270002</t>
  </si>
  <si>
    <t>Head of OEM Purchasing China</t>
  </si>
  <si>
    <t>PCP-OPGEE</t>
  </si>
  <si>
    <t>270006</t>
  </si>
  <si>
    <t>Electronics Engineer</t>
  </si>
  <si>
    <t>PCP-SMD</t>
  </si>
  <si>
    <t>PCP-OPGEV</t>
  </si>
  <si>
    <t>Head of Verification &amp; Validation</t>
  </si>
  <si>
    <t>PCP-BAUQG</t>
  </si>
  <si>
    <t>131067</t>
  </si>
  <si>
    <t>Quality Technician</t>
  </si>
  <si>
    <t>PCP-BAUQGO</t>
  </si>
  <si>
    <t>- Proactively takes on all kinds of testing assignments;
- Strong sense of accountability with steady work deliverables;
- Salary level is relatively low</t>
  </si>
  <si>
    <t>PCP-FDTG</t>
  </si>
  <si>
    <t>PCP-OPGE</t>
  </si>
  <si>
    <t>Head of Engineering Hub</t>
  </si>
  <si>
    <t>PCP-OPGEX</t>
  </si>
  <si>
    <t>PCP-HCTG</t>
  </si>
  <si>
    <t>- Switched from Test Technician to Packaging Engineer; fast role adaptation &amp; on-time project delivery
- Proactive optimization initiatives achieved cost savings RMB 200k+
- Salary below new role band level</t>
  </si>
  <si>
    <t>131066</t>
  </si>
  <si>
    <t>150800</t>
  </si>
  <si>
    <t>150700</t>
  </si>
  <si>
    <t>Lab Test Engineer</t>
  </si>
  <si>
    <t>Junior Lab Engineer</t>
  </si>
  <si>
    <t>Approbation Engineer</t>
  </si>
  <si>
    <t>Key position and high performance but with low basic salary, need to catch up</t>
  </si>
  <si>
    <t>Structural Engineer</t>
  </si>
  <si>
    <t>Senior Packing Engineer</t>
  </si>
  <si>
    <t>Head of Engineering</t>
  </si>
  <si>
    <t>Head of Series Support</t>
  </si>
  <si>
    <t>Deliveravles over expectation, dual PMO role</t>
  </si>
  <si>
    <t>Senior Laboratory Engineer</t>
  </si>
  <si>
    <t>Head of Construction</t>
  </si>
  <si>
    <t>A4</t>
  </si>
  <si>
    <t>Product Engineer</t>
  </si>
  <si>
    <t>Senior Constructing Engineer</t>
  </si>
  <si>
    <t>Mechanical Engineer</t>
  </si>
  <si>
    <t>Head of Laboratory</t>
  </si>
  <si>
    <t>Performance Consistently exceeded expectations + rate 3 due to company promotion policy</t>
  </si>
  <si>
    <t>Nutrition Engineer</t>
  </si>
  <si>
    <t>935119</t>
  </si>
  <si>
    <t>PCP</t>
  </si>
  <si>
    <t xml:space="preserve"> -   </t>
  </si>
  <si>
    <t>行标签</t>
  </si>
  <si>
    <t>总计</t>
  </si>
  <si>
    <t>Number of eligibility</t>
  </si>
  <si>
    <t>Person of increase</t>
  </si>
  <si>
    <t>Merit budget Balance</t>
  </si>
  <si>
    <t>Promotion Budget</t>
  </si>
  <si>
    <t>Promotion budget usage</t>
  </si>
  <si>
    <t>Number of promotion</t>
  </si>
  <si>
    <t>Promotion budget balance</t>
  </si>
  <si>
    <t>Total Salary Increase budget</t>
  </si>
  <si>
    <t>Salary Increase budget used</t>
  </si>
  <si>
    <t>求和项:Total Recommended Increase amount</t>
  </si>
  <si>
    <t>求和项:Adjutsed increased/decreased basic salary by DH</t>
  </si>
  <si>
    <t xml:space="preserve">1. From 2025.09.01, took energy management platform tasks in EA and HA. 2. Lead energy efficiency project in EA and HA 3. As RM energy officer in RGC
</t>
  </si>
  <si>
    <t>1.持续学习和成长，被评为问题解决specialist，成为部门内的问题解决专家。
2.勇于担当，主动承担电气安全管理工作，主动寻找解决方案，减少工厂隐患；在光伏项目及特种设备管理工作中也发挥了关键作用</t>
  </si>
  <si>
    <t>Less responsibility compared with the same level's</t>
  </si>
  <si>
    <t>1. Take additional task as Sna Location Electrical Safety officer
2. From 2025.09.01, he took fire fighting system, air condition system in SCh ,and deliver good performance.</t>
  </si>
  <si>
    <t>CN/OP-TEM</t>
  </si>
  <si>
    <t>131020</t>
  </si>
  <si>
    <t>Head of Technical Market Access</t>
  </si>
  <si>
    <t>Zhang Rui（11000448）</t>
  </si>
  <si>
    <t>CN/OP-TEE</t>
  </si>
  <si>
    <t>131030</t>
  </si>
  <si>
    <t>CN/OP-TEB</t>
  </si>
  <si>
    <t>130000</t>
  </si>
  <si>
    <t>CN/OP-TE</t>
  </si>
  <si>
    <t>CN/OP-TEI</t>
  </si>
  <si>
    <t>131050</t>
  </si>
  <si>
    <t>Machine Safety Expert (CN)</t>
  </si>
  <si>
    <t>OP-TE</t>
  </si>
  <si>
    <r>
      <t>Total recommended Increase % 
(</t>
    </r>
    <r>
      <rPr>
        <b/>
        <sz val="12"/>
        <color theme="0"/>
        <rFont val="宋体"/>
        <family val="3"/>
        <charset val="134"/>
      </rPr>
      <t>①</t>
    </r>
    <r>
      <rPr>
        <b/>
        <sz val="12"/>
        <color theme="0"/>
        <rFont val="Arial"/>
        <family val="2"/>
      </rPr>
      <t>+</t>
    </r>
    <r>
      <rPr>
        <b/>
        <sz val="12"/>
        <color theme="0"/>
        <rFont val="宋体"/>
        <family val="3"/>
        <charset val="134"/>
      </rPr>
      <t>②</t>
    </r>
    <r>
      <rPr>
        <b/>
        <sz val="12"/>
        <color theme="0"/>
        <rFont val="Arial"/>
        <family val="2"/>
      </rPr>
      <t>)</t>
    </r>
  </si>
  <si>
    <t>Surpus</t>
  </si>
  <si>
    <t>SCh</t>
  </si>
  <si>
    <t>计数项:Pers.no.</t>
  </si>
  <si>
    <t>No</t>
  </si>
  <si>
    <t>Person of Increase</t>
  </si>
  <si>
    <t>(多项)</t>
  </si>
  <si>
    <t xml:space="preserve">求和项: Basic salary </t>
  </si>
  <si>
    <t>Basic Salary</t>
  </si>
  <si>
    <t>Promotion Budget Used</t>
  </si>
  <si>
    <t>No of Promoted</t>
  </si>
  <si>
    <t>FCLCh</t>
  </si>
  <si>
    <t>310110</t>
  </si>
  <si>
    <t>Head of Factory Cooling Chuzhou</t>
  </si>
  <si>
    <t>Tan Tyler（11015792）</t>
  </si>
  <si>
    <t>Wan Changju（15007713）</t>
  </si>
  <si>
    <t>FLCCh</t>
  </si>
  <si>
    <t>Head of Factory Laundry Care Chuzhou</t>
  </si>
  <si>
    <t>390100</t>
  </si>
  <si>
    <t>GPD-LCTC</t>
  </si>
  <si>
    <t>140200</t>
  </si>
  <si>
    <t>Head of Laundry Care Technology China</t>
  </si>
  <si>
    <t>SCh-ME</t>
  </si>
  <si>
    <t>290140</t>
  </si>
  <si>
    <t>New joined/transferred employee (less than12 months)</t>
  </si>
  <si>
    <t>Labor Union Chairman</t>
  </si>
  <si>
    <t>Head of Labor Union</t>
  </si>
  <si>
    <t>SCh-PS</t>
  </si>
  <si>
    <t>290143</t>
  </si>
  <si>
    <t>Supervisor of PS</t>
  </si>
  <si>
    <t>SCh-RC</t>
  </si>
  <si>
    <t>190101</t>
  </si>
  <si>
    <t>Head of Return Management Center</t>
  </si>
  <si>
    <t>SCh-ES</t>
  </si>
  <si>
    <t>290135</t>
  </si>
  <si>
    <t>Head of Work Safety Management</t>
  </si>
  <si>
    <t>Senior Engineer of Safety</t>
  </si>
  <si>
    <t>Safety Engineer</t>
  </si>
  <si>
    <t>FCLCh-VBR</t>
  </si>
  <si>
    <t>310400</t>
  </si>
  <si>
    <t>Head of FCLCh-VBR</t>
  </si>
  <si>
    <t>Zhao Biao（1150001）</t>
  </si>
  <si>
    <t>Cao Wei（1114141）</t>
  </si>
  <si>
    <t>FCLCh-VB1</t>
  </si>
  <si>
    <t>Head of FCLCh-VB1</t>
  </si>
  <si>
    <t>FCLCh-VB3</t>
  </si>
  <si>
    <t>Head of FCLCh-VB3</t>
  </si>
  <si>
    <t>High performer and responsible for a big production line with more than 350 direct employees, even can be promote to Band B</t>
  </si>
  <si>
    <t>FCLCh-VB</t>
  </si>
  <si>
    <t>Head of FCLCh-VB</t>
  </si>
  <si>
    <t>FCLCh-VB2</t>
  </si>
  <si>
    <t>Head of FCLCh-VB2</t>
  </si>
  <si>
    <t>High performer and responsible for a big production line with more than 200 direct employees, promote to Band B</t>
  </si>
  <si>
    <t>TPM Senior Engineer</t>
  </si>
  <si>
    <t>FCLCh-ME</t>
  </si>
  <si>
    <t>FCLCh-NP</t>
  </si>
  <si>
    <t>310206</t>
  </si>
  <si>
    <t>Senior Engineer of IE</t>
  </si>
  <si>
    <t>Head of FCLCh-NP</t>
  </si>
  <si>
    <t>Junior Engineer of IE</t>
  </si>
  <si>
    <t>FCLCh-VF</t>
  </si>
  <si>
    <t>310401</t>
  </si>
  <si>
    <t>Head of FCLCh-VF</t>
  </si>
  <si>
    <t>FCLCh-VFC</t>
  </si>
  <si>
    <t>Head of FCLCh-VFC</t>
  </si>
  <si>
    <t>FCLCh-VFF</t>
  </si>
  <si>
    <t>Head of FCLCh-VFF</t>
  </si>
  <si>
    <t>FCLCh-VFM</t>
  </si>
  <si>
    <t>310203</t>
  </si>
  <si>
    <t>FCLCh-VS1</t>
  </si>
  <si>
    <t>Head of FCLCh-VS1</t>
  </si>
  <si>
    <t>Head of FCLCh-VFM</t>
  </si>
  <si>
    <t>Engineer of Electric Program (SbS)</t>
  </si>
  <si>
    <t>Funcation specialist</t>
  </si>
  <si>
    <t>FCLCh-MEA</t>
  </si>
  <si>
    <t>310201</t>
  </si>
  <si>
    <t>Head of FCLCh-MEA</t>
  </si>
  <si>
    <t>FCLCh-MET</t>
  </si>
  <si>
    <t>310204</t>
  </si>
  <si>
    <t>Head of FCLCh-MET</t>
  </si>
  <si>
    <t>FCLCh-MEI</t>
  </si>
  <si>
    <t>290134</t>
  </si>
  <si>
    <t>Head of FCLCh-MEI</t>
  </si>
  <si>
    <t>FCLCh-MEW</t>
  </si>
  <si>
    <t>290301</t>
  </si>
  <si>
    <t>Head of FCLCh-MEW</t>
  </si>
  <si>
    <t>High performer, global project, promotion and new step</t>
  </si>
  <si>
    <t>GPD-CLA</t>
  </si>
  <si>
    <t>190401</t>
  </si>
  <si>
    <t>Senior Engineer of NPI</t>
  </si>
  <si>
    <t>Discussed with global CLA head due to global responsibilites of team member</t>
  </si>
  <si>
    <t>Senior Industrial Engineer</t>
  </si>
  <si>
    <t>Senior IE Engineer</t>
  </si>
  <si>
    <t>Consider basic salary</t>
    <phoneticPr fontId="0" type="noConversion"/>
  </si>
  <si>
    <t>IE Engineer</t>
  </si>
  <si>
    <t>Future potential functional specialist</t>
  </si>
  <si>
    <t>Performance fell short of expactations</t>
  </si>
  <si>
    <t>High performance</t>
  </si>
  <si>
    <t>Low basic salary and high performance in new role</t>
  </si>
  <si>
    <t>EDSP box 7 and PL 3, not recommend to increace</t>
  </si>
  <si>
    <t>Junior Time Management Engineer</t>
  </si>
  <si>
    <t>Mould Engineer</t>
  </si>
  <si>
    <t>Engineer of Foaming</t>
  </si>
  <si>
    <t>Demotion</t>
  </si>
  <si>
    <t>Mould make technician</t>
  </si>
  <si>
    <t>Rank 44</t>
  </si>
  <si>
    <t>Salary adjustment letter already signed</t>
  </si>
  <si>
    <t>Good performance, salary adjustment to better level</t>
  </si>
  <si>
    <t>MES Senior Engineer</t>
  </si>
  <si>
    <t>Role in organization</t>
  </si>
  <si>
    <t>Good performance but not critcal processes, a little reduced</t>
  </si>
  <si>
    <t>Thermoforming Engineer</t>
  </si>
  <si>
    <t>High performer, recognized in CL</t>
  </si>
  <si>
    <t xml:space="preserve">EDSP box 7 and PL 3, increace less than recommend </t>
  </si>
  <si>
    <t>Senior Engineer of Foaming</t>
  </si>
  <si>
    <t>Senior Punching, Laser Cutting Engineer</t>
  </si>
  <si>
    <t>Senior Injection Molding Engineer</t>
  </si>
  <si>
    <t>Senior Metal Mold Engineer</t>
  </si>
  <si>
    <t>Low/middle performer EDSP2025</t>
  </si>
  <si>
    <t>Senior Foaming Engineer</t>
  </si>
  <si>
    <t>Middle performer, budget better alocation to high performers</t>
  </si>
  <si>
    <t>Critical expert for CL</t>
  </si>
  <si>
    <t>Middle performer, budget better alocation to high performers, overcapacity</t>
  </si>
  <si>
    <t>Senior Mould Engineer</t>
  </si>
  <si>
    <t>Senior Foaming Mould Engineer</t>
  </si>
  <si>
    <t>Injection Engineer</t>
  </si>
  <si>
    <t>Senior Door Gasket Extrusion  Engineer</t>
  </si>
  <si>
    <t>functional specialist</t>
  </si>
  <si>
    <t>Recognition in CL, act as informal GPO</t>
  </si>
  <si>
    <t>SCh-RCP</t>
  </si>
  <si>
    <t>Head of SCh-RCP</t>
  </si>
  <si>
    <t>Fei Zhongxi（1120003）</t>
  </si>
  <si>
    <t>SCh-RCE</t>
  </si>
  <si>
    <t>Head of SCh-RCE</t>
  </si>
  <si>
    <t>SCh-RCQ</t>
  </si>
  <si>
    <t>SCh-RCL</t>
  </si>
  <si>
    <t>FDCCh-ME</t>
  </si>
  <si>
    <t>FDCCh-MEA</t>
  </si>
  <si>
    <t>320200</t>
  </si>
  <si>
    <t>Lin Xianzhong（1132204）</t>
  </si>
  <si>
    <t>FDCCh</t>
  </si>
  <si>
    <t>320100</t>
  </si>
  <si>
    <t>Cross factory Kyoben and Dragon boat with good performance</t>
  </si>
  <si>
    <t>Head of MEA</t>
  </si>
  <si>
    <t>Blance with promotion budget</t>
  </si>
  <si>
    <t>FDCCh-MEF</t>
  </si>
  <si>
    <t>Head of FDCCh-MEF</t>
  </si>
  <si>
    <t>Senior Expert (CN)</t>
  </si>
  <si>
    <t>Workplan 2025 Preliminary PL4</t>
  </si>
  <si>
    <t>Engineer of IE</t>
  </si>
  <si>
    <t>Engineer of Project Support</t>
  </si>
  <si>
    <t>Salary low in the role, blance slary
Extra role in DT with good performance</t>
  </si>
  <si>
    <t>Salary low in the role, blance slary
Excellent performance in tool maintenance, and HPT Star individually ranking 2 in SCh</t>
  </si>
  <si>
    <t>FDCCh-MEM</t>
  </si>
  <si>
    <t>320201</t>
  </si>
  <si>
    <t>Head of FDCCh-MEM</t>
  </si>
  <si>
    <t>FDCCh-PD</t>
  </si>
  <si>
    <t>FDCCh-PDF</t>
  </si>
  <si>
    <t>Head of FDCCh-PDF</t>
  </si>
  <si>
    <t>BOSCH Problem solving Expert certified</t>
  </si>
  <si>
    <t>FDCCh-PDA</t>
  </si>
  <si>
    <t>Head of FDCCh-PDA</t>
  </si>
  <si>
    <t>External Tool Specialist</t>
  </si>
  <si>
    <t>Junior Production Engineer</t>
  </si>
  <si>
    <t>Junior Engineer of Assembly</t>
  </si>
  <si>
    <t>Head of FDCCh-PD</t>
  </si>
  <si>
    <t>FLCCh-V2</t>
  </si>
  <si>
    <t>Head of FLCCh-V2</t>
  </si>
  <si>
    <t>Gu Yinhua（51200135）</t>
  </si>
  <si>
    <t>Fan Ivy-Linlin（11022356）</t>
  </si>
  <si>
    <t>FLCCh-MT</t>
  </si>
  <si>
    <t>340406</t>
  </si>
  <si>
    <t>Maintenance Engineer</t>
  </si>
  <si>
    <t>FLCCh-ME</t>
  </si>
  <si>
    <t>FLCCh-MEA</t>
  </si>
  <si>
    <t>Engineer of Testing</t>
  </si>
  <si>
    <t>Senior Engineer of Testing</t>
  </si>
  <si>
    <t>EDSP Box 7, rating 3, no increase</t>
  </si>
  <si>
    <t>Engineer of Assembly</t>
  </si>
  <si>
    <t>Project Support and External Tool Engine</t>
  </si>
  <si>
    <t>Supervisor of Production System Coordina</t>
  </si>
  <si>
    <t>FLCCh-MEF</t>
  </si>
  <si>
    <t>High performer,2025Rating affected by promotion</t>
  </si>
  <si>
    <t>Engineer of Process Planning</t>
  </si>
  <si>
    <t>Head of Fabrication Engineering</t>
  </si>
  <si>
    <t>20260701 transfer to FLCCh-V1 head，BOX5</t>
  </si>
  <si>
    <t>Head of FLCCh-MEA</t>
  </si>
  <si>
    <t>Prefabrication Engineer</t>
  </si>
  <si>
    <t>High Performer,2025Rating affected by promotion</t>
  </si>
  <si>
    <t>SCh-SC2</t>
  </si>
  <si>
    <t>SCh-SC2MX</t>
  </si>
  <si>
    <t>290153</t>
  </si>
  <si>
    <t>SCh-SC2ME</t>
  </si>
  <si>
    <t>SCh-SC2MS</t>
  </si>
  <si>
    <t>SCh-SC2MP</t>
  </si>
  <si>
    <t xml:space="preserve">funcational specialist </t>
  </si>
  <si>
    <t>She is the candidate in future MM OPEX study1 and She can be also candidate for expert role after Step-2 either in MM or GPL-SCS MM LPO.	
1.Excellent in managing electronic suppliers, with significant contributions following the MP group consolidation.
2.	Drove the following key and complex projects from the supply chain side:
	Resolution of TFT bottleneck and contribution to ratio (through local source introduction).
	Key leading role in supply and demand management during the Delta factory relocation (over 10 months), ensuring demand supply with no OB risk.
3.	MP digitalization pioneer; subject matter expert in Power BI and Quick BI. Key deliverables include inventory and OB stock Quick BI reports in MP.</t>
  </si>
  <si>
    <t>SCh-SC2MM</t>
  </si>
  <si>
    <t>Head of SCh-SC2MS</t>
  </si>
  <si>
    <t>She was promoted in 2025, demonstrating exceptional 
performance—particularly in taking on the dual role of Materials Group Head and FDCCh Speaker</t>
  </si>
  <si>
    <t>Head of SCh-SC2ME</t>
  </si>
  <si>
    <t>Head of SCh-SC2MP</t>
  </si>
  <si>
    <t>Performance is average but potential is low,internal balance needed too.</t>
  </si>
  <si>
    <t xml:space="preserve">Need to Apply IPE </t>
  </si>
  <si>
    <t>1. Very experienced materials planner in materials planning for plastic parts management
2. Manage &gt; 1,400 parts (the highest volume among all planners) in materials planning
3.  Introduce JIT material (&gt; 130 Parts ) to optimize material stock for both value &amp; volume
4. Good performance in material management （PIPO）
5. Actively solve material delivery bottlenecks
6. Willing to share experience in plastic material area and support colleagues</t>
  </si>
  <si>
    <t>290150</t>
  </si>
  <si>
    <t>SCh-SC2L</t>
  </si>
  <si>
    <t>Head of Internal Logistics</t>
  </si>
  <si>
    <t>SCh-SC2P</t>
  </si>
  <si>
    <t>290154</t>
  </si>
  <si>
    <t>Good contribution</t>
  </si>
  <si>
    <t>SCh-SC2M</t>
  </si>
  <si>
    <t>Head of SCh-SC2M</t>
  </si>
  <si>
    <t>SCh-SC2L11</t>
  </si>
  <si>
    <t>290155</t>
  </si>
  <si>
    <t>Head of SCh-SC2L11</t>
  </si>
  <si>
    <t>Wang Xiaoqing（1120031）</t>
  </si>
  <si>
    <t>SCh-SC2L3</t>
  </si>
  <si>
    <t>Head of SCh-SC2L3</t>
  </si>
  <si>
    <t>at least 15% increase by consider the merit, he already work as the experts in the logistics automation.</t>
  </si>
  <si>
    <t>SCh-SC2L12</t>
  </si>
  <si>
    <t>Head of SCh-SC2L12</t>
  </si>
  <si>
    <t xml:space="preserve">Not recommend for increase, but you can propose based on actual performance. </t>
  </si>
  <si>
    <t>SCh-SC2L4</t>
  </si>
  <si>
    <t>Head of SCh-SC2L4</t>
  </si>
  <si>
    <t>SCh-SC2LSW</t>
  </si>
  <si>
    <t>290152</t>
  </si>
  <si>
    <t>Head of SCh-SC2LSW</t>
  </si>
  <si>
    <t>SC2LS head</t>
  </si>
  <si>
    <t>Can give more budget considering B balance,Proposed 15%-20%</t>
  </si>
  <si>
    <t>SCh-SC2LS</t>
  </si>
  <si>
    <t>Safety Functional Specialist</t>
  </si>
  <si>
    <t>Yang Fangfang（1421065）</t>
  </si>
  <si>
    <t>Senior Production Planner</t>
  </si>
  <si>
    <t>1.Proficient in SAP systems
2.Be proficient in lean manufacturing and continuous improvement methodologies, and fully utilize digital, AI - related statistical and analytical capabilities. 
3. She is leading the LC Inhouse Production Planning and coverage optimization project. After the completion of this project, standardization will be achieved and introduced to other EA and HA factories.</t>
  </si>
  <si>
    <t>budget need to be discussed, need consider internal balance with Dawei</t>
  </si>
  <si>
    <t>SCh-SC2S</t>
  </si>
  <si>
    <t>290151</t>
  </si>
  <si>
    <t>Supervisor of SCh-SC2S</t>
  </si>
  <si>
    <t>Senior Engineer of Logistics</t>
  </si>
  <si>
    <t>Senior Packaging Engineer</t>
  </si>
  <si>
    <t>Engineer of Logistics</t>
  </si>
  <si>
    <t>No use of salary increase budget, only use promotion budget.Not reasonable,proposed rate VS benchmark:10%</t>
  </si>
  <si>
    <t>Engineer of Logistics Planning</t>
  </si>
  <si>
    <t>Overall</t>
  </si>
  <si>
    <t>PL5</t>
  </si>
  <si>
    <t>Band A</t>
  </si>
  <si>
    <t>Band B</t>
  </si>
  <si>
    <t>Band C</t>
  </si>
  <si>
    <t>Band D</t>
  </si>
  <si>
    <t>PL1</t>
  </si>
  <si>
    <t>PL2</t>
  </si>
  <si>
    <t>PL3</t>
  </si>
  <si>
    <t>PL4</t>
  </si>
  <si>
    <t>Usage</t>
  </si>
  <si>
    <t>ALL</t>
  </si>
  <si>
    <t>Thereof Special</t>
  </si>
  <si>
    <t xml:space="preserve">平均值项:Adjusted basic increase/decreased % by DH </t>
  </si>
  <si>
    <t>demotion</t>
  </si>
  <si>
    <t>Remark</t>
  </si>
  <si>
    <t>1 new comer, 4 newly promoted</t>
  </si>
  <si>
    <t>due to a great porportion of Band D below CR85%</t>
  </si>
  <si>
    <t>OK</t>
  </si>
  <si>
    <t>3.00%-4.50%</t>
  </si>
  <si>
    <t>0 increase</t>
  </si>
  <si>
    <t>11.03%-16.54%</t>
  </si>
  <si>
    <t>4.24%-6.37%</t>
  </si>
  <si>
    <t>11.02%-16.54%</t>
  </si>
  <si>
    <t>1.80%-2.70%</t>
  </si>
  <si>
    <t>1.60%-2.40%</t>
  </si>
  <si>
    <t>2.40%-3.59%</t>
  </si>
  <si>
    <t>4.84%-7.26%</t>
  </si>
  <si>
    <t>6.16%-9.23%</t>
  </si>
  <si>
    <t>3.20%-4.79%</t>
  </si>
  <si>
    <t>4.23%-6.35%</t>
  </si>
  <si>
    <t>4.24%-6.35%</t>
  </si>
  <si>
    <t>4.00%-6.00%</t>
  </si>
  <si>
    <t>6.96%-10.45%</t>
  </si>
  <si>
    <t>Special</t>
  </si>
  <si>
    <t>Pending</t>
  </si>
  <si>
    <r>
      <t>Total recommended Increase % 
(</t>
    </r>
    <r>
      <rPr>
        <b/>
        <sz val="12"/>
        <color theme="1"/>
        <rFont val="宋体"/>
        <family val="3"/>
        <charset val="134"/>
      </rPr>
      <t>①</t>
    </r>
    <r>
      <rPr>
        <b/>
        <sz val="12"/>
        <color theme="1"/>
        <rFont val="Arial"/>
        <family val="2"/>
      </rPr>
      <t>+</t>
    </r>
    <r>
      <rPr>
        <b/>
        <sz val="12"/>
        <color theme="1"/>
        <rFont val="宋体"/>
        <family val="3"/>
        <charset val="134"/>
      </rPr>
      <t>②</t>
    </r>
    <r>
      <rPr>
        <b/>
        <sz val="12"/>
        <color theme="1"/>
        <rFont val="Arial"/>
        <family val="2"/>
      </rPr>
      <t>)</t>
    </r>
  </si>
  <si>
    <r>
      <t xml:space="preserve">Adjutsed basic salary
</t>
    </r>
    <r>
      <rPr>
        <b/>
        <u val="singleAccounting"/>
        <sz val="12"/>
        <color theme="1"/>
        <rFont val="Arial"/>
        <family val="2"/>
      </rPr>
      <t>(input by DH)</t>
    </r>
  </si>
  <si>
    <t>2.31%-3.46%</t>
  </si>
  <si>
    <t>2.80%-4.20%</t>
  </si>
  <si>
    <t>2.00%-2.99%</t>
  </si>
  <si>
    <t>1.20%-1.80%</t>
  </si>
  <si>
    <t>2.80%-4.21%</t>
  </si>
  <si>
    <t>3.60%-5.40%</t>
  </si>
  <si>
    <t>7.57%-11.35%</t>
  </si>
  <si>
    <t>6.96%-10.43%</t>
  </si>
  <si>
    <t>2.81%-4.21%</t>
  </si>
  <si>
    <t>recommend increasing but propose zero increase</t>
  </si>
  <si>
    <t>20% higher than suggested range</t>
  </si>
  <si>
    <t>20% lower than suggested range</t>
  </si>
  <si>
    <t>Great Gap</t>
  </si>
  <si>
    <t>Good performers and talent with relative low salary</t>
  </si>
  <si>
    <t>Attention</t>
  </si>
  <si>
    <t>Special Type</t>
  </si>
  <si>
    <t>Service Year</t>
  </si>
  <si>
    <t>15000447</t>
  </si>
  <si>
    <t>15014416</t>
  </si>
  <si>
    <t>15014868</t>
  </si>
  <si>
    <t>15022166</t>
  </si>
  <si>
    <t>15016337</t>
  </si>
  <si>
    <t>15022630</t>
  </si>
  <si>
    <t>15007556</t>
  </si>
  <si>
    <t>1120246</t>
  </si>
  <si>
    <t>15000219</t>
  </si>
  <si>
    <t>15014810</t>
  </si>
  <si>
    <t>15000226</t>
  </si>
  <si>
    <t>15000166</t>
  </si>
  <si>
    <t>15007522</t>
  </si>
  <si>
    <t>15001471</t>
  </si>
  <si>
    <t>15022189</t>
  </si>
  <si>
    <t>15017481</t>
  </si>
  <si>
    <t>15014900</t>
  </si>
  <si>
    <t>15013255</t>
  </si>
  <si>
    <t>15005811</t>
  </si>
  <si>
    <t>15022316</t>
  </si>
  <si>
    <t>15001764</t>
  </si>
  <si>
    <t>15022180</t>
  </si>
  <si>
    <t>15003790</t>
  </si>
  <si>
    <t>15016330</t>
  </si>
  <si>
    <t>15001485</t>
  </si>
  <si>
    <t>1020358</t>
  </si>
  <si>
    <t>15021547</t>
  </si>
  <si>
    <t>15012913</t>
  </si>
  <si>
    <t>15001306</t>
  </si>
  <si>
    <t>15021548</t>
  </si>
  <si>
    <t>15021979</t>
  </si>
  <si>
    <t>15000525</t>
  </si>
  <si>
    <t>15020089</t>
  </si>
  <si>
    <t>15000550</t>
  </si>
  <si>
    <t>15015967</t>
  </si>
  <si>
    <t>15001287</t>
  </si>
  <si>
    <t>15016938</t>
  </si>
  <si>
    <t>15000503</t>
  </si>
  <si>
    <t>15013780</t>
  </si>
  <si>
    <t>15004180</t>
  </si>
  <si>
    <t>15022173</t>
  </si>
  <si>
    <t>15017727</t>
  </si>
  <si>
    <t>51200268</t>
  </si>
  <si>
    <t>15014437</t>
  </si>
  <si>
    <t>15022075</t>
  </si>
  <si>
    <t>15001880</t>
  </si>
  <si>
    <t>15001698</t>
  </si>
  <si>
    <t>15003323</t>
  </si>
  <si>
    <t>15021416</t>
  </si>
  <si>
    <t>15020868</t>
  </si>
  <si>
    <t>15004889</t>
  </si>
  <si>
    <t>15022143</t>
  </si>
  <si>
    <t>51200356</t>
  </si>
  <si>
    <t>15021286</t>
  </si>
  <si>
    <t>15001700</t>
  </si>
  <si>
    <t>15015379</t>
  </si>
  <si>
    <t>15015653</t>
  </si>
  <si>
    <t>15020094</t>
  </si>
  <si>
    <t>15022179</t>
  </si>
  <si>
    <t>15022342</t>
  </si>
  <si>
    <t>15001449</t>
  </si>
  <si>
    <t>51202067</t>
  </si>
  <si>
    <t>15002547</t>
  </si>
  <si>
    <t>15001516</t>
  </si>
  <si>
    <t>15001801</t>
  </si>
  <si>
    <t>15000580</t>
  </si>
  <si>
    <t>15003586</t>
  </si>
  <si>
    <t>15006800</t>
  </si>
  <si>
    <t>11000452</t>
  </si>
  <si>
    <t>15021389</t>
  </si>
  <si>
    <t>15013869</t>
  </si>
  <si>
    <t>15018916</t>
  </si>
  <si>
    <t>15022000</t>
  </si>
  <si>
    <t>15006182</t>
  </si>
  <si>
    <t>15003608</t>
  </si>
  <si>
    <t>15016766</t>
  </si>
  <si>
    <t>15000227</t>
  </si>
  <si>
    <t>1120274</t>
  </si>
  <si>
    <t>15002550</t>
  </si>
  <si>
    <t>15001696</t>
  </si>
  <si>
    <t>15020877</t>
  </si>
  <si>
    <t>15022628</t>
  </si>
  <si>
    <t>51202404</t>
  </si>
  <si>
    <t>15000475</t>
  </si>
  <si>
    <t>15001515</t>
  </si>
  <si>
    <t>15003602</t>
  </si>
  <si>
    <t>15002964</t>
  </si>
  <si>
    <t>15014268</t>
  </si>
  <si>
    <t>15021808</t>
  </si>
  <si>
    <t>15000708</t>
  </si>
  <si>
    <t>11011058</t>
  </si>
  <si>
    <t>15000449</t>
  </si>
  <si>
    <t>15005122</t>
  </si>
  <si>
    <t>15001412</t>
  </si>
  <si>
    <t>11009910</t>
  </si>
  <si>
    <t>15002411</t>
  </si>
  <si>
    <t>15016940</t>
  </si>
  <si>
    <t>15014058</t>
  </si>
  <si>
    <t>15021285</t>
  </si>
  <si>
    <t>15000307</t>
  </si>
  <si>
    <t>11013657</t>
  </si>
  <si>
    <t>15001437</t>
  </si>
  <si>
    <t>15001553</t>
  </si>
  <si>
    <t>15022352</t>
  </si>
  <si>
    <t>1110055</t>
  </si>
  <si>
    <t>15014470</t>
  </si>
  <si>
    <t>15021980</t>
  </si>
  <si>
    <t>15016338</t>
  </si>
  <si>
    <t>15022227</t>
  </si>
  <si>
    <t>1211022</t>
  </si>
  <si>
    <t>15022148</t>
  </si>
  <si>
    <t>15002216</t>
  </si>
  <si>
    <t>15014543</t>
  </si>
  <si>
    <t>15015270</t>
  </si>
  <si>
    <t>15022317</t>
  </si>
  <si>
    <t>15007283</t>
  </si>
  <si>
    <t>1705052</t>
  </si>
  <si>
    <t>1120271</t>
  </si>
  <si>
    <t>1705030</t>
  </si>
  <si>
    <t>15022704</t>
  </si>
  <si>
    <t>15014271</t>
  </si>
  <si>
    <t>1220053</t>
  </si>
  <si>
    <t>15010791</t>
  </si>
  <si>
    <t>1120294</t>
  </si>
  <si>
    <t>1120363</t>
  </si>
  <si>
    <t>1211016</t>
  </si>
  <si>
    <t>15014438</t>
  </si>
  <si>
    <t>15022724</t>
  </si>
  <si>
    <t>1120205</t>
  </si>
  <si>
    <t>1711036</t>
  </si>
  <si>
    <t>15021061</t>
  </si>
  <si>
    <t>15021228</t>
  </si>
  <si>
    <t>1112092</t>
  </si>
  <si>
    <t>1120096</t>
  </si>
  <si>
    <t>1120315</t>
  </si>
  <si>
    <t>1706001</t>
  </si>
  <si>
    <t>1707005</t>
  </si>
  <si>
    <t>1710052</t>
  </si>
  <si>
    <t>1711024</t>
  </si>
  <si>
    <t>1714007</t>
  </si>
  <si>
    <t>1213149</t>
  </si>
  <si>
    <t>15017484</t>
  </si>
  <si>
    <t>1213096</t>
  </si>
  <si>
    <t>1112104</t>
  </si>
  <si>
    <t>1120398</t>
  </si>
  <si>
    <t>1212025</t>
  </si>
  <si>
    <t>1213101</t>
  </si>
  <si>
    <t>1213114</t>
  </si>
  <si>
    <t>1213116</t>
  </si>
  <si>
    <t>1213127</t>
  </si>
  <si>
    <t>1220060</t>
  </si>
  <si>
    <t>1220093</t>
  </si>
  <si>
    <t>1220096</t>
  </si>
  <si>
    <t>1220097</t>
  </si>
  <si>
    <t>1705001</t>
  </si>
  <si>
    <t>1707039</t>
  </si>
  <si>
    <t>1710053</t>
  </si>
  <si>
    <t>1714009</t>
  </si>
  <si>
    <t>1714016</t>
  </si>
  <si>
    <t>1212018</t>
  </si>
  <si>
    <t>1213111</t>
  </si>
  <si>
    <t>1213120</t>
  </si>
  <si>
    <t>1213125</t>
  </si>
  <si>
    <t>1220061</t>
  </si>
  <si>
    <t>1220066</t>
  </si>
  <si>
    <t>1705032</t>
  </si>
  <si>
    <t>1706022</t>
  </si>
  <si>
    <t>1706037</t>
  </si>
  <si>
    <t>1710006</t>
  </si>
  <si>
    <t>1717017</t>
  </si>
  <si>
    <t>15013562</t>
  </si>
  <si>
    <t>15020881</t>
  </si>
  <si>
    <t>15017323</t>
  </si>
  <si>
    <t>15021373</t>
  </si>
  <si>
    <t>15019480</t>
  </si>
  <si>
    <t>15015204</t>
  </si>
  <si>
    <t>15020887</t>
  </si>
  <si>
    <t>15019461</t>
  </si>
  <si>
    <t>15021707</t>
  </si>
  <si>
    <t>15007669</t>
  </si>
  <si>
    <t>15019479</t>
  </si>
  <si>
    <t>15022188</t>
  </si>
  <si>
    <t>15011556</t>
  </si>
  <si>
    <t>15002160</t>
  </si>
  <si>
    <t>15022410</t>
  </si>
  <si>
    <t>15006324</t>
  </si>
  <si>
    <t>15005392</t>
  </si>
  <si>
    <t>11018344</t>
  </si>
  <si>
    <t>15022537</t>
  </si>
  <si>
    <t>15012475</t>
  </si>
  <si>
    <t>15001578</t>
  </si>
  <si>
    <t>15007338</t>
  </si>
  <si>
    <t>15022532</t>
  </si>
  <si>
    <t>15002061</t>
  </si>
  <si>
    <t>15003047</t>
  </si>
  <si>
    <t>15001872</t>
  </si>
  <si>
    <t>15007383</t>
  </si>
  <si>
    <t>15002626</t>
  </si>
  <si>
    <t>15022340</t>
  </si>
  <si>
    <t>1120285</t>
  </si>
  <si>
    <t>15020110</t>
  </si>
  <si>
    <t>1114068</t>
  </si>
  <si>
    <t>1120200</t>
  </si>
  <si>
    <t>1120254</t>
  </si>
  <si>
    <t>1120323</t>
  </si>
  <si>
    <t>1120337</t>
  </si>
  <si>
    <t>1708021</t>
  </si>
  <si>
    <t>15003277</t>
  </si>
  <si>
    <t>15020957</t>
  </si>
  <si>
    <t>15001424</t>
  </si>
  <si>
    <t>15020450</t>
  </si>
  <si>
    <t>15001438</t>
  </si>
  <si>
    <t>15022174</t>
  </si>
  <si>
    <t>51200074</t>
  </si>
  <si>
    <t>15013414</t>
  </si>
  <si>
    <t>15020453</t>
  </si>
  <si>
    <t>1120311</t>
  </si>
  <si>
    <t>15018149</t>
  </si>
  <si>
    <t>15008830</t>
  </si>
  <si>
    <t>15013561</t>
  </si>
  <si>
    <t>15000551</t>
  </si>
  <si>
    <t>15008516</t>
  </si>
  <si>
    <t>11018976</t>
  </si>
  <si>
    <t>15014456</t>
  </si>
  <si>
    <t>15002771</t>
  </si>
  <si>
    <t>15020070</t>
  </si>
  <si>
    <t>15000026</t>
  </si>
  <si>
    <t>15004616</t>
  </si>
  <si>
    <t>15022538</t>
  </si>
  <si>
    <t>15001041</t>
  </si>
  <si>
    <t>15006261</t>
  </si>
  <si>
    <t>15014983</t>
  </si>
  <si>
    <t>15020890</t>
  </si>
  <si>
    <t>15014369</t>
  </si>
  <si>
    <t>1212031</t>
  </si>
  <si>
    <t>15004179</t>
  </si>
  <si>
    <t>15004574</t>
  </si>
  <si>
    <t>15014467</t>
  </si>
  <si>
    <t>15010343</t>
  </si>
  <si>
    <t>11013617</t>
  </si>
  <si>
    <t>15000257</t>
  </si>
  <si>
    <t>15008564</t>
  </si>
  <si>
    <t>15021791</t>
  </si>
  <si>
    <t>15003788</t>
  </si>
  <si>
    <t>1120211</t>
  </si>
  <si>
    <t>1017080</t>
  </si>
  <si>
    <t>15014854</t>
  </si>
  <si>
    <t>15014804</t>
  </si>
  <si>
    <t>15022098</t>
  </si>
  <si>
    <t>15001923</t>
  </si>
  <si>
    <t>15017986</t>
  </si>
  <si>
    <t>15009709</t>
  </si>
  <si>
    <t>15001070</t>
  </si>
  <si>
    <t>15017219</t>
  </si>
  <si>
    <t>15018789</t>
  </si>
  <si>
    <t>1230001</t>
  </si>
  <si>
    <t>11007295</t>
  </si>
  <si>
    <t>11009678</t>
  </si>
  <si>
    <t>11010128</t>
  </si>
  <si>
    <t>11017596</t>
  </si>
  <si>
    <t>11018892</t>
  </si>
  <si>
    <t>15022109</t>
  </si>
  <si>
    <t>1211029</t>
  </si>
  <si>
    <t>15005181</t>
  </si>
  <si>
    <t>85886180</t>
  </si>
  <si>
    <t>1120234</t>
  </si>
  <si>
    <t>1214052</t>
  </si>
  <si>
    <t>1705023</t>
  </si>
  <si>
    <t>11009405</t>
  </si>
  <si>
    <t>11013450</t>
  </si>
  <si>
    <t>11007521</t>
  </si>
  <si>
    <t>11008077</t>
  </si>
  <si>
    <t>11004118</t>
  </si>
  <si>
    <t>11006020</t>
  </si>
  <si>
    <t>11007900</t>
  </si>
  <si>
    <t>11017844</t>
  </si>
  <si>
    <t>11002608</t>
  </si>
  <si>
    <t>11003290</t>
  </si>
  <si>
    <t>11007155</t>
  </si>
  <si>
    <t>11010769</t>
  </si>
  <si>
    <t>11018858</t>
  </si>
  <si>
    <t>11019453</t>
  </si>
  <si>
    <t>15001281</t>
  </si>
  <si>
    <t>1421190</t>
  </si>
  <si>
    <t>11000092</t>
  </si>
  <si>
    <t>11000229</t>
  </si>
  <si>
    <t>11000550</t>
  </si>
  <si>
    <t>11000559</t>
  </si>
  <si>
    <t>11000560</t>
  </si>
  <si>
    <t>11000567</t>
  </si>
  <si>
    <t>11002745</t>
  </si>
  <si>
    <t>11002829</t>
  </si>
  <si>
    <t>11002886</t>
  </si>
  <si>
    <t>11003278</t>
  </si>
  <si>
    <t>11004088</t>
  </si>
  <si>
    <t>11004819</t>
  </si>
  <si>
    <t>11004913</t>
  </si>
  <si>
    <t>11005078</t>
  </si>
  <si>
    <t>11005762</t>
  </si>
  <si>
    <t>11006293</t>
  </si>
  <si>
    <t>11006306</t>
  </si>
  <si>
    <t>11007617</t>
  </si>
  <si>
    <t>11007999</t>
  </si>
  <si>
    <t>11008714</t>
  </si>
  <si>
    <t>11009655</t>
  </si>
  <si>
    <t>11009726</t>
  </si>
  <si>
    <t>11010005</t>
  </si>
  <si>
    <t>11010786</t>
  </si>
  <si>
    <t>11011547</t>
  </si>
  <si>
    <t>11011856</t>
  </si>
  <si>
    <t>11012412</t>
  </si>
  <si>
    <t>11013066</t>
  </si>
  <si>
    <t>11013641</t>
  </si>
  <si>
    <t>11016646</t>
  </si>
  <si>
    <t>11018246</t>
  </si>
  <si>
    <t>11018877</t>
  </si>
  <si>
    <t>15000110</t>
  </si>
  <si>
    <t>15000357</t>
  </si>
  <si>
    <t>15001212</t>
  </si>
  <si>
    <t>15003288</t>
  </si>
  <si>
    <t>15003321</t>
  </si>
  <si>
    <t>15012922</t>
  </si>
  <si>
    <t>15005095</t>
  </si>
  <si>
    <t>15014172</t>
  </si>
  <si>
    <t>1212023</t>
  </si>
  <si>
    <t>1421196</t>
  </si>
  <si>
    <t>1520060</t>
  </si>
  <si>
    <t>11009081</t>
  </si>
  <si>
    <t>11011805</t>
  </si>
  <si>
    <t>11012844</t>
  </si>
  <si>
    <t>11015875</t>
  </si>
  <si>
    <t>11016123</t>
  </si>
  <si>
    <t>11016857</t>
  </si>
  <si>
    <t>11018708</t>
  </si>
  <si>
    <t>11018859</t>
  </si>
  <si>
    <t>11019020</t>
  </si>
  <si>
    <t>10064476</t>
  </si>
  <si>
    <t>10069647</t>
  </si>
  <si>
    <t>11000632</t>
  </si>
  <si>
    <t>11000633</t>
  </si>
  <si>
    <t>11001005</t>
  </si>
  <si>
    <t>11001022</t>
  </si>
  <si>
    <t>11002031</t>
  </si>
  <si>
    <t>11002805</t>
  </si>
  <si>
    <t>11003123</t>
  </si>
  <si>
    <t>11004322</t>
  </si>
  <si>
    <t>11004482</t>
  </si>
  <si>
    <t>11006027</t>
  </si>
  <si>
    <t>11006424</t>
  </si>
  <si>
    <t>11006653</t>
  </si>
  <si>
    <t>11006794</t>
  </si>
  <si>
    <t>11006883</t>
  </si>
  <si>
    <t>11006959</t>
  </si>
  <si>
    <t>11006979</t>
  </si>
  <si>
    <t>11007042</t>
  </si>
  <si>
    <t>11007116</t>
  </si>
  <si>
    <t>11007163</t>
  </si>
  <si>
    <t>11007562</t>
  </si>
  <si>
    <t>11007652</t>
  </si>
  <si>
    <t>11007655</t>
  </si>
  <si>
    <t>11007876</t>
  </si>
  <si>
    <t>11008086</t>
  </si>
  <si>
    <t>11008615</t>
  </si>
  <si>
    <t>11008930</t>
  </si>
  <si>
    <t>11009129</t>
  </si>
  <si>
    <t>11009137</t>
  </si>
  <si>
    <t>11009340</t>
  </si>
  <si>
    <t>11009416</t>
  </si>
  <si>
    <t>11009909</t>
  </si>
  <si>
    <t>11010271</t>
  </si>
  <si>
    <t>11010409</t>
  </si>
  <si>
    <t>11010416</t>
  </si>
  <si>
    <t>11010770</t>
  </si>
  <si>
    <t>11010864</t>
  </si>
  <si>
    <t>11011160</t>
  </si>
  <si>
    <t>11011599</t>
  </si>
  <si>
    <t>11011629</t>
  </si>
  <si>
    <t>11012113</t>
  </si>
  <si>
    <t>11012116</t>
  </si>
  <si>
    <t>11012324</t>
  </si>
  <si>
    <t>11012590</t>
  </si>
  <si>
    <t>11012659</t>
  </si>
  <si>
    <t>11012697</t>
  </si>
  <si>
    <t>11012904</t>
  </si>
  <si>
    <t>11012987</t>
  </si>
  <si>
    <t>11013290</t>
  </si>
  <si>
    <t>11013469</t>
  </si>
  <si>
    <t>11013510</t>
  </si>
  <si>
    <t>11013685</t>
  </si>
  <si>
    <t>11013956</t>
  </si>
  <si>
    <t>11014153</t>
  </si>
  <si>
    <t>11015490</t>
  </si>
  <si>
    <t>11015927</t>
  </si>
  <si>
    <t>11016128</t>
  </si>
  <si>
    <t>11016736</t>
  </si>
  <si>
    <t>11017062</t>
  </si>
  <si>
    <t>11017078</t>
  </si>
  <si>
    <t>11017095</t>
  </si>
  <si>
    <t>11017118</t>
  </si>
  <si>
    <t>11017285</t>
  </si>
  <si>
    <t>11017327</t>
  </si>
  <si>
    <t>11017357</t>
  </si>
  <si>
    <t>11017418</t>
  </si>
  <si>
    <t>11017440</t>
  </si>
  <si>
    <t>11017441</t>
  </si>
  <si>
    <t>11017442</t>
  </si>
  <si>
    <t>11017491</t>
  </si>
  <si>
    <t>11017501</t>
  </si>
  <si>
    <t>11017509</t>
  </si>
  <si>
    <t>11017520</t>
  </si>
  <si>
    <t>11017540</t>
  </si>
  <si>
    <t>11017622</t>
  </si>
  <si>
    <t>11017687</t>
  </si>
  <si>
    <t>11017763</t>
  </si>
  <si>
    <t>11018421</t>
  </si>
  <si>
    <t>11018475</t>
  </si>
  <si>
    <t>11018522</t>
  </si>
  <si>
    <t>11018549</t>
  </si>
  <si>
    <t>11018791</t>
  </si>
  <si>
    <t>11018893</t>
  </si>
  <si>
    <t>11019395</t>
  </si>
  <si>
    <t>11019442</t>
  </si>
  <si>
    <t>11000597</t>
  </si>
  <si>
    <t>11010154</t>
  </si>
  <si>
    <t>11010967</t>
  </si>
  <si>
    <t>11017101</t>
  </si>
  <si>
    <t>15003738</t>
  </si>
  <si>
    <t>15004087</t>
  </si>
  <si>
    <t>15013583</t>
  </si>
  <si>
    <t>15007448</t>
  </si>
  <si>
    <t>15004523</t>
  </si>
  <si>
    <t>11010202</t>
  </si>
  <si>
    <t>11011127</t>
  </si>
  <si>
    <t>11012702</t>
  </si>
  <si>
    <t>11013280</t>
  </si>
  <si>
    <t>11013311</t>
  </si>
  <si>
    <t>11015853</t>
  </si>
  <si>
    <t>15002543</t>
  </si>
  <si>
    <t>15004449</t>
  </si>
  <si>
    <t>15012982</t>
  </si>
  <si>
    <t>15013693</t>
  </si>
  <si>
    <t>15017520</t>
  </si>
  <si>
    <t>11004452</t>
  </si>
  <si>
    <t>15000773</t>
  </si>
  <si>
    <t>15017772</t>
  </si>
  <si>
    <t>15013625</t>
  </si>
  <si>
    <t>15014793</t>
  </si>
  <si>
    <t>11009617</t>
  </si>
  <si>
    <t>11009955</t>
  </si>
  <si>
    <t>11010708</t>
  </si>
  <si>
    <t>11011888</t>
  </si>
  <si>
    <t>11014402</t>
  </si>
  <si>
    <t>11015745</t>
  </si>
  <si>
    <t>11016645</t>
  </si>
  <si>
    <t>15000070</t>
  </si>
  <si>
    <t>15004272</t>
  </si>
  <si>
    <t>15005110</t>
  </si>
  <si>
    <t>15005465</t>
  </si>
  <si>
    <t>15020888</t>
  </si>
  <si>
    <t>15021942</t>
  </si>
  <si>
    <t>15000073</t>
  </si>
  <si>
    <t>15009314</t>
  </si>
  <si>
    <t>15009237</t>
  </si>
  <si>
    <t>15016962</t>
  </si>
  <si>
    <t>15022171</t>
  </si>
  <si>
    <t>1120304</t>
  </si>
  <si>
    <t>15021165</t>
  </si>
  <si>
    <t>15004591</t>
  </si>
  <si>
    <t>11013809</t>
  </si>
  <si>
    <t>15002519</t>
  </si>
  <si>
    <t>1110031</t>
  </si>
  <si>
    <t>1112085</t>
  </si>
  <si>
    <t>1120186</t>
  </si>
  <si>
    <t>11005056</t>
  </si>
  <si>
    <t>11008167</t>
  </si>
  <si>
    <t>11008445</t>
  </si>
  <si>
    <t>11009648</t>
  </si>
  <si>
    <t>11011971</t>
  </si>
  <si>
    <t>11013378</t>
  </si>
  <si>
    <t>11013380</t>
  </si>
  <si>
    <t>11013438</t>
  </si>
  <si>
    <t>11016830</t>
  </si>
  <si>
    <t>11018702</t>
  </si>
  <si>
    <t>11021570</t>
  </si>
  <si>
    <t>11021653</t>
  </si>
  <si>
    <t>15000096</t>
  </si>
  <si>
    <t>15000461</t>
  </si>
  <si>
    <t>15000553</t>
  </si>
  <si>
    <t>15000652</t>
  </si>
  <si>
    <t>15000661</t>
  </si>
  <si>
    <t>15001064</t>
  </si>
  <si>
    <t>15001337</t>
  </si>
  <si>
    <t>15001410</t>
  </si>
  <si>
    <t>15001451</t>
  </si>
  <si>
    <t>15001554</t>
  </si>
  <si>
    <t>15001559</t>
  </si>
  <si>
    <t>15001582</t>
  </si>
  <si>
    <t>15001715</t>
  </si>
  <si>
    <t>15001898</t>
  </si>
  <si>
    <t>15002587</t>
  </si>
  <si>
    <t>15002828</t>
  </si>
  <si>
    <t>15004586</t>
  </si>
  <si>
    <t>15004934</t>
  </si>
  <si>
    <t>15006903</t>
  </si>
  <si>
    <t>15007414</t>
  </si>
  <si>
    <t>15009235</t>
  </si>
  <si>
    <t>15009624</t>
  </si>
  <si>
    <t>15010095</t>
  </si>
  <si>
    <t>15010602</t>
  </si>
  <si>
    <t>15012886</t>
  </si>
  <si>
    <t>15016219</t>
  </si>
  <si>
    <t>15016334</t>
  </si>
  <si>
    <t>15021229</t>
  </si>
  <si>
    <t>15021652</t>
  </si>
  <si>
    <t>15022333</t>
  </si>
  <si>
    <t>15000066</t>
  </si>
  <si>
    <t>15001163</t>
  </si>
  <si>
    <t>15014171</t>
  </si>
  <si>
    <t>15000459</t>
  </si>
  <si>
    <t>15014796</t>
  </si>
  <si>
    <t>15021739</t>
  </si>
  <si>
    <t>15022170</t>
  </si>
  <si>
    <t>15001899</t>
  </si>
  <si>
    <t>15014942</t>
  </si>
  <si>
    <t>1220045</t>
  </si>
  <si>
    <t>15000542</t>
  </si>
  <si>
    <t>15005969</t>
  </si>
  <si>
    <t>15000981</t>
  </si>
  <si>
    <t>15014978</t>
  </si>
  <si>
    <t>15001836</t>
  </si>
  <si>
    <t>15003324</t>
  </si>
  <si>
    <t>15003876</t>
  </si>
  <si>
    <t>15010601</t>
  </si>
  <si>
    <t>15021738</t>
  </si>
  <si>
    <t>15013982</t>
  </si>
  <si>
    <t>15005189</t>
  </si>
  <si>
    <t>15007437</t>
  </si>
  <si>
    <t>15001261</t>
  </si>
  <si>
    <t>15022183</t>
  </si>
  <si>
    <t>15020869</t>
  </si>
  <si>
    <t>15000984</t>
  </si>
  <si>
    <t>15021832</t>
  </si>
  <si>
    <t>15001263</t>
  </si>
  <si>
    <t>15021297</t>
  </si>
  <si>
    <t>15005035</t>
  </si>
  <si>
    <t>15002221</t>
  </si>
  <si>
    <t>15020884</t>
  </si>
  <si>
    <t>11020810</t>
  </si>
  <si>
    <t>11020811</t>
  </si>
  <si>
    <t>11020852</t>
  </si>
  <si>
    <t>11020869</t>
  </si>
  <si>
    <t>11017114</t>
  </si>
  <si>
    <t>11018712</t>
  </si>
  <si>
    <t>11015971</t>
  </si>
  <si>
    <t>85713633</t>
  </si>
  <si>
    <t>11021401</t>
  </si>
  <si>
    <t>11007601</t>
  </si>
  <si>
    <t>1211009</t>
  </si>
  <si>
    <t>11007602</t>
  </si>
  <si>
    <t>11007635</t>
  </si>
  <si>
    <t>11008484</t>
  </si>
  <si>
    <t>11014818</t>
  </si>
  <si>
    <t>11015515</t>
  </si>
  <si>
    <t>11015743</t>
  </si>
  <si>
    <t>11018028</t>
  </si>
  <si>
    <t>11022026</t>
  </si>
  <si>
    <t>15001000</t>
  </si>
  <si>
    <t>15010200</t>
  </si>
  <si>
    <t>15012715</t>
  </si>
  <si>
    <t>15018212</t>
  </si>
  <si>
    <t>11011050</t>
  </si>
  <si>
    <t>11016622</t>
  </si>
  <si>
    <t>11021405</t>
  </si>
  <si>
    <t>15021647</t>
  </si>
  <si>
    <t>11000460</t>
  </si>
  <si>
    <t>1120340</t>
  </si>
  <si>
    <t>1120346</t>
  </si>
  <si>
    <t>1120381</t>
  </si>
  <si>
    <t>1132154</t>
  </si>
  <si>
    <t>1132162</t>
  </si>
  <si>
    <t>1133009</t>
  </si>
  <si>
    <t>1320009</t>
  </si>
  <si>
    <t>1332022</t>
  </si>
  <si>
    <t>1334003</t>
  </si>
  <si>
    <t>1700105</t>
  </si>
  <si>
    <t>1710128</t>
  </si>
  <si>
    <t>11021147</t>
  </si>
  <si>
    <t>15000037</t>
  </si>
  <si>
    <t>11011107</t>
  </si>
  <si>
    <t>11011427</t>
  </si>
  <si>
    <t>11012184</t>
  </si>
  <si>
    <t>11015244</t>
  </si>
  <si>
    <t>11018857</t>
  </si>
  <si>
    <t>11021165</t>
  </si>
  <si>
    <t>15012247</t>
  </si>
  <si>
    <t>15014010</t>
  </si>
  <si>
    <t>15015351</t>
  </si>
  <si>
    <t>15022076</t>
  </si>
  <si>
    <t>15001949</t>
  </si>
  <si>
    <t>15018456</t>
  </si>
  <si>
    <t>15022106</t>
  </si>
  <si>
    <t>15000274</t>
  </si>
  <si>
    <t>15018979</t>
  </si>
  <si>
    <t>15004177</t>
  </si>
  <si>
    <t>15013653</t>
  </si>
  <si>
    <t>15013014</t>
  </si>
  <si>
    <t>15016258</t>
  </si>
  <si>
    <t>1320032</t>
  </si>
  <si>
    <t>1150001</t>
  </si>
  <si>
    <t>51200135</t>
  </si>
  <si>
    <t>15010296</t>
  </si>
  <si>
    <t>11017464</t>
  </si>
  <si>
    <t>1120400</t>
  </si>
  <si>
    <t>1115057</t>
  </si>
  <si>
    <t>1119108</t>
  </si>
  <si>
    <t>1120003</t>
  </si>
  <si>
    <t>1120097</t>
  </si>
  <si>
    <t>1120185</t>
  </si>
  <si>
    <t>1120261</t>
  </si>
  <si>
    <t>1120273</t>
  </si>
  <si>
    <t>1120339</t>
  </si>
  <si>
    <t>1120397</t>
  </si>
  <si>
    <t>1120399</t>
  </si>
  <si>
    <t>1610011</t>
  </si>
  <si>
    <t>1708055</t>
  </si>
  <si>
    <t>1714002</t>
  </si>
  <si>
    <t>1110045</t>
  </si>
  <si>
    <t>1118214</t>
  </si>
  <si>
    <t>1118259</t>
  </si>
  <si>
    <t>1120067</t>
  </si>
  <si>
    <t>1213118</t>
  </si>
  <si>
    <t>1110056</t>
  </si>
  <si>
    <t>1120021</t>
  </si>
  <si>
    <t>1120364</t>
  </si>
  <si>
    <t>1120152</t>
  </si>
  <si>
    <t>1120272</t>
  </si>
  <si>
    <t>1705009</t>
  </si>
  <si>
    <t>1705053</t>
  </si>
  <si>
    <t>1706025</t>
  </si>
  <si>
    <t>1712016</t>
  </si>
  <si>
    <t>1117039</t>
  </si>
  <si>
    <t>1118190</t>
  </si>
  <si>
    <t>1120051</t>
  </si>
  <si>
    <t>1120055</t>
  </si>
  <si>
    <t>1120199</t>
  </si>
  <si>
    <t>1132026</t>
  </si>
  <si>
    <t>1132119</t>
  </si>
  <si>
    <t>1132124</t>
  </si>
  <si>
    <t>1132207</t>
  </si>
  <si>
    <t>1705014</t>
  </si>
  <si>
    <t>1705036</t>
  </si>
  <si>
    <t>1110043</t>
  </si>
  <si>
    <t>1120040</t>
  </si>
  <si>
    <t>1120066</t>
  </si>
  <si>
    <t>1120140</t>
  </si>
  <si>
    <t>1214051</t>
  </si>
  <si>
    <t>1120133</t>
  </si>
  <si>
    <t>1132006</t>
  </si>
  <si>
    <t>15006708</t>
  </si>
  <si>
    <t>1120127</t>
  </si>
  <si>
    <t>1120306</t>
  </si>
  <si>
    <t>1120325</t>
  </si>
  <si>
    <t>1120349</t>
  </si>
  <si>
    <t>1120353</t>
  </si>
  <si>
    <t>1120360</t>
  </si>
  <si>
    <t>1120393</t>
  </si>
  <si>
    <t>1706029</t>
  </si>
  <si>
    <t>1707015</t>
  </si>
  <si>
    <t>1708038</t>
  </si>
  <si>
    <t>1709034</t>
  </si>
  <si>
    <t>1710062</t>
  </si>
  <si>
    <t>1120236</t>
  </si>
  <si>
    <t>1132015</t>
  </si>
  <si>
    <t>1132205</t>
  </si>
  <si>
    <t>1120179</t>
  </si>
  <si>
    <t>1120190</t>
  </si>
  <si>
    <t>1120231</t>
  </si>
  <si>
    <t>1120267</t>
  </si>
  <si>
    <t>1211015</t>
  </si>
  <si>
    <t>1711083</t>
  </si>
  <si>
    <t>1116073</t>
  </si>
  <si>
    <t>1120071</t>
  </si>
  <si>
    <t>1120073</t>
  </si>
  <si>
    <t>1120076</t>
  </si>
  <si>
    <t>1120081</t>
  </si>
  <si>
    <t>1120092</t>
  </si>
  <si>
    <t>1120120</t>
  </si>
  <si>
    <t>1120123</t>
  </si>
  <si>
    <t>1120124</t>
  </si>
  <si>
    <t>1120143</t>
  </si>
  <si>
    <t>1120162</t>
  </si>
  <si>
    <t>1120196</t>
  </si>
  <si>
    <t>1120225</t>
  </si>
  <si>
    <t>1120374</t>
  </si>
  <si>
    <t>1132111</t>
  </si>
  <si>
    <t>1132192</t>
  </si>
  <si>
    <t>1132193</t>
  </si>
  <si>
    <t>1132201</t>
  </si>
  <si>
    <t>1132203</t>
  </si>
  <si>
    <t>1213113</t>
  </si>
  <si>
    <t>1320012</t>
  </si>
  <si>
    <t>1705021</t>
  </si>
  <si>
    <t>1120216</t>
  </si>
  <si>
    <t>1140016</t>
  </si>
  <si>
    <t>1213117</t>
  </si>
  <si>
    <t>11009293</t>
  </si>
  <si>
    <t>11009379</t>
  </si>
  <si>
    <t>11011390</t>
  </si>
  <si>
    <t>1110027</t>
  </si>
  <si>
    <t>1120098</t>
  </si>
  <si>
    <t>1120158</t>
  </si>
  <si>
    <t>1120241</t>
  </si>
  <si>
    <t>1120309</t>
  </si>
  <si>
    <t>1120331</t>
  </si>
  <si>
    <t>1120352</t>
  </si>
  <si>
    <t>1120361</t>
  </si>
  <si>
    <t>1120384</t>
  </si>
  <si>
    <t>1132189</t>
  </si>
  <si>
    <t>1320006</t>
  </si>
  <si>
    <t>1320011</t>
  </si>
  <si>
    <t>1320017</t>
  </si>
  <si>
    <t>1707035</t>
  </si>
  <si>
    <t>1709011</t>
  </si>
  <si>
    <t>1710029</t>
  </si>
  <si>
    <t>1711031</t>
  </si>
  <si>
    <t>1712026</t>
  </si>
  <si>
    <t>1716016</t>
  </si>
  <si>
    <t>15005103</t>
  </si>
  <si>
    <t>15000139</t>
  </si>
  <si>
    <t>1120298</t>
  </si>
  <si>
    <t>1114123</t>
  </si>
  <si>
    <t>1120131</t>
  </si>
  <si>
    <t>1120255</t>
  </si>
  <si>
    <t>1120264</t>
  </si>
  <si>
    <t>1120282</t>
  </si>
  <si>
    <t>1120289</t>
  </si>
  <si>
    <t>1120291</t>
  </si>
  <si>
    <t>1120292</t>
  </si>
  <si>
    <t>1120297</t>
  </si>
  <si>
    <t>1120359</t>
  </si>
  <si>
    <t>1709015</t>
  </si>
  <si>
    <t>1710386</t>
  </si>
  <si>
    <t>15001283</t>
  </si>
  <si>
    <t>15003275</t>
  </si>
  <si>
    <t>15013871</t>
  </si>
  <si>
    <t>15014018</t>
  </si>
  <si>
    <t>15019895</t>
  </si>
  <si>
    <t>15022150</t>
  </si>
  <si>
    <t>51202544</t>
  </si>
  <si>
    <t>1120401</t>
  </si>
  <si>
    <t>1120247</t>
  </si>
  <si>
    <t>1120248</t>
  </si>
  <si>
    <t>1120275</t>
  </si>
  <si>
    <t>1120301</t>
  </si>
  <si>
    <t>1120350</t>
  </si>
  <si>
    <t>1230108</t>
  </si>
  <si>
    <t>1421099</t>
  </si>
  <si>
    <t>1421147</t>
  </si>
  <si>
    <t>1421192</t>
  </si>
  <si>
    <t>1421193</t>
  </si>
  <si>
    <t>1421203</t>
  </si>
  <si>
    <t>1520008</t>
  </si>
  <si>
    <t>1520011</t>
  </si>
  <si>
    <t>1520004</t>
  </si>
  <si>
    <t>15009989</t>
  </si>
  <si>
    <t>1009417</t>
  </si>
  <si>
    <t>1120031</t>
  </si>
  <si>
    <t>1421065</t>
  </si>
  <si>
    <t>1520041</t>
  </si>
  <si>
    <t>1007574</t>
  </si>
  <si>
    <t>1007719</t>
  </si>
  <si>
    <t>1119081</t>
  </si>
  <si>
    <t>1421181</t>
  </si>
  <si>
    <t>1706023</t>
  </si>
  <si>
    <t>1707038</t>
  </si>
  <si>
    <t>1709022</t>
  </si>
  <si>
    <t>1002314</t>
  </si>
  <si>
    <t>1007579</t>
  </si>
  <si>
    <t>1007682</t>
  </si>
  <si>
    <t>1117218</t>
  </si>
  <si>
    <t>11008282</t>
  </si>
  <si>
    <t>1007578</t>
  </si>
  <si>
    <t>1118315</t>
  </si>
  <si>
    <t>1120250</t>
  </si>
  <si>
    <t>1120290</t>
  </si>
  <si>
    <t>1120312</t>
  </si>
  <si>
    <t>11016594</t>
  </si>
  <si>
    <t>15022682</t>
  </si>
  <si>
    <t>15020704</t>
  </si>
  <si>
    <t>15022687</t>
  </si>
  <si>
    <t>15020880</t>
  </si>
  <si>
    <t>15022527</t>
  </si>
  <si>
    <t>15022528</t>
  </si>
  <si>
    <t>15021556</t>
  </si>
  <si>
    <t>CR</t>
  </si>
  <si>
    <t>BSH CR</t>
  </si>
  <si>
    <t>Dept CR</t>
  </si>
  <si>
    <t>16-20</t>
  </si>
  <si>
    <t>70-90</t>
  </si>
  <si>
    <t>0-5</t>
  </si>
  <si>
    <t>50-70</t>
  </si>
  <si>
    <t>6-10</t>
  </si>
  <si>
    <t>&gt;90</t>
  </si>
  <si>
    <t>11-15</t>
  </si>
  <si>
    <t>90-110</t>
  </si>
  <si>
    <t>26-30</t>
  </si>
  <si>
    <t>110-130</t>
  </si>
  <si>
    <t>21-25</t>
  </si>
  <si>
    <t>&gt;115%</t>
  </si>
  <si>
    <t>&lt;50</t>
  </si>
  <si>
    <t>130-150</t>
  </si>
  <si>
    <t>&lt;85</t>
  </si>
  <si>
    <t>85-95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</si>
</sst>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_ ;_ * \-#,##0_ ;_ * &quot;-&quot;??_ ;_ @_ "/>
    <numFmt numFmtId="165" formatCode="0.0%"/>
    <numFmt numFmtId="166" formatCode="_(* #,##0_);_(* \(#,##0\);_(* &quot;-&quot;??_);_(@_)"/>
    <numFmt numFmtId="167" formatCode="_ * #,##0.000_ ;_ * \-#,##0.000_ ;_ * &quot;-&quot;???_ ;_ @_ "/>
  </numFmts>
  <fonts count="40">
    <font>
      <sz val="11"/>
      <color theme="1"/>
      <name val="Calibri"/>
      <family val="2"/>
      <scheme val="minor"/>
    </font>
    <font>
      <sz val="11"/>
      <color theme="1"/>
      <name val="Calibri"/>
      <family val="2"/>
      <scheme val="minor"/>
    </font>
    <font>
      <sz val="11"/>
      <color rgb="FFFF0000"/>
      <name val="Calibri"/>
      <family val="2"/>
      <scheme val="minor"/>
    </font>
    <font>
      <b/>
      <sz val="16"/>
      <color theme="1"/>
      <name val="Arial"/>
      <family val="2"/>
    </font>
    <font>
      <sz val="10"/>
      <color theme="1"/>
      <name val="Arial"/>
      <family val="2"/>
      <charset val="134"/>
    </font>
    <font>
      <sz val="12"/>
      <color theme="1"/>
      <name val="Arial"/>
      <family val="2"/>
      <charset val="134"/>
    </font>
    <font>
      <sz val="12"/>
      <color indexed="8"/>
      <name val="Arial"/>
      <family val="2"/>
    </font>
    <font>
      <sz val="12"/>
      <name val="Arial"/>
      <family val="2"/>
    </font>
    <font>
      <b/>
      <sz val="12"/>
      <color theme="4"/>
      <name val="Arial"/>
      <family val="2"/>
    </font>
    <font>
      <sz val="12"/>
      <color theme="1"/>
      <name val="Arial"/>
      <family val="2"/>
    </font>
    <font>
      <sz val="12"/>
      <color theme="1"/>
      <name val="宋体"/>
      <family val="3"/>
      <charset val="134"/>
    </font>
    <font>
      <b/>
      <sz val="12"/>
      <color theme="1"/>
      <name val="Arial"/>
      <family val="2"/>
    </font>
    <font>
      <b/>
      <u val="singleAccounting"/>
      <sz val="12"/>
      <color theme="9"/>
      <name val="Arial"/>
      <family val="2"/>
    </font>
    <font>
      <b/>
      <sz val="11"/>
      <color theme="1"/>
      <name val="Arial"/>
      <family val="2"/>
    </font>
    <font>
      <b/>
      <sz val="9"/>
      <color indexed="81"/>
      <name val="Tahoma"/>
      <family val="2"/>
    </font>
    <font>
      <b/>
      <sz val="9"/>
      <color indexed="81"/>
      <name val="宋体"/>
      <charset val="1"/>
    </font>
    <font>
      <sz val="9"/>
      <color indexed="81"/>
      <name val="宋体"/>
      <charset val="1"/>
    </font>
    <font>
      <sz val="11"/>
      <color theme="1"/>
      <name val="Arial"/>
      <family val="2"/>
      <charset val="134"/>
    </font>
    <font>
      <b/>
      <sz val="16"/>
      <color indexed="8"/>
      <name val="Arial"/>
      <family val="2"/>
    </font>
    <font>
      <b/>
      <sz val="20"/>
      <color indexed="8"/>
      <name val="Arial"/>
      <family val="2"/>
    </font>
    <font>
      <b/>
      <sz val="12"/>
      <color theme="4" tint="0.39997558519241921"/>
      <name val="Arial"/>
      <family val="2"/>
    </font>
    <font>
      <b/>
      <sz val="14"/>
      <color theme="1"/>
      <name val="Arial"/>
      <family val="2"/>
    </font>
    <font>
      <b/>
      <sz val="9"/>
      <color theme="1"/>
      <name val="Arial"/>
      <family val="2"/>
    </font>
    <font>
      <sz val="10"/>
      <color indexed="8"/>
      <name val="Arial"/>
      <family val="2"/>
    </font>
    <font>
      <sz val="12"/>
      <color rgb="FFFF0000"/>
      <name val="Arial"/>
      <family val="2"/>
    </font>
    <font>
      <b/>
      <sz val="12"/>
      <color rgb="FFFF0000"/>
      <name val="Arial"/>
      <family val="2"/>
    </font>
    <font>
      <b/>
      <sz val="10"/>
      <color theme="1"/>
      <name val="Arial"/>
      <family val="2"/>
    </font>
    <font>
      <sz val="12"/>
      <color theme="8"/>
      <name val="Arial"/>
      <family val="2"/>
    </font>
    <font>
      <sz val="8"/>
      <color rgb="FF000000"/>
      <name val="Poppins-Medium"/>
    </font>
    <font>
      <sz val="8"/>
      <name val="Calibri"/>
      <family val="2"/>
      <scheme val="minor"/>
    </font>
    <font>
      <sz val="9"/>
      <color rgb="FF000000"/>
      <name val="Calibri"/>
    </font>
    <font>
      <b/>
      <sz val="11"/>
      <color theme="1"/>
      <name val="Calibri"/>
      <family val="2"/>
      <scheme val="minor"/>
    </font>
    <font>
      <b/>
      <sz val="12"/>
      <color indexed="8"/>
      <name val="Arial"/>
      <family val="2"/>
    </font>
    <font>
      <b/>
      <sz val="12"/>
      <name val="Arial"/>
      <family val="2"/>
    </font>
    <font>
      <b/>
      <sz val="12"/>
      <color theme="0"/>
      <name val="Arial"/>
      <family val="2"/>
    </font>
    <font>
      <b/>
      <sz val="12"/>
      <color theme="0"/>
      <name val="宋体"/>
      <family val="3"/>
      <charset val="134"/>
    </font>
    <font>
      <b/>
      <sz val="12"/>
      <color theme="8"/>
      <name val="Arial"/>
      <family val="2"/>
    </font>
    <font>
      <sz val="10"/>
      <name val="Arial"/>
      <family val="2"/>
    </font>
    <font>
      <b/>
      <sz val="12"/>
      <color theme="1"/>
      <name val="宋体"/>
      <family val="3"/>
      <charset val="134"/>
    </font>
    <font>
      <b/>
      <u val="singleAccounting"/>
      <sz val="12"/>
      <color theme="1"/>
      <name val="Arial"/>
      <family val="2"/>
    </font>
  </fonts>
  <fills count="12">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rgb="FFCCFFCC"/>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s>
  <borders count="3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theme="4" tint="0.39997558519241921"/>
      </right>
      <top style="thin">
        <color indexed="64"/>
      </top>
      <bottom/>
      <diagonal/>
    </border>
    <border>
      <left style="thin">
        <color indexed="64"/>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style="thin">
        <color indexed="64"/>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thin">
        <color indexed="64"/>
      </left>
      <right style="thin">
        <color indexed="64"/>
      </right>
      <top style="thin">
        <color indexed="64"/>
      </top>
      <bottom style="thin">
        <color theme="4" tint="0.39997558519241921"/>
      </bottom>
      <diagonal/>
    </border>
    <border>
      <left style="thin">
        <color indexed="64"/>
      </left>
      <right/>
      <top style="thin">
        <color indexed="64"/>
      </top>
      <bottom style="thin">
        <color theme="4" tint="0.39997558519241921"/>
      </bottom>
      <diagonal/>
    </border>
    <border>
      <left/>
      <right/>
      <top/>
      <bottom style="thin">
        <color theme="4" tint="0.39997558519241921"/>
      </bottom>
      <diagonal/>
    </border>
    <border>
      <left style="thin">
        <color indexed="64"/>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indexed="64"/>
      </bottom>
      <diagonal/>
    </border>
    <border>
      <left/>
      <right style="thin">
        <color indexed="64"/>
      </right>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43" fontId="17" fillId="0" borderId="0" applyFont="0" applyFill="0" applyBorder="0" applyAlignment="0" applyProtection="0">
      <alignment vertical="center"/>
    </xf>
    <xf numFmtId="9" fontId="17" fillId="0" borderId="0" applyFont="0" applyFill="0" applyBorder="0" applyAlignment="0" applyProtection="0">
      <alignment vertical="center"/>
    </xf>
    <xf numFmtId="9" fontId="17" fillId="0" borderId="0" applyFont="0" applyFill="0" applyBorder="0" applyAlignment="0" applyProtection="0">
      <alignment vertical="center"/>
    </xf>
    <xf numFmtId="43" fontId="17" fillId="0" borderId="0" applyFont="0" applyFill="0" applyBorder="0" applyAlignment="0" applyProtection="0">
      <alignment vertical="center"/>
    </xf>
    <xf numFmtId="9" fontId="37" fillId="0" borderId="0" applyFont="0" applyFill="0" applyBorder="0" applyAlignment="0" applyProtection="0"/>
    <xf numFmtId="9" fontId="1" fillId="0" borderId="0" applyFont="0" applyFill="0" applyBorder="0" applyAlignment="0" applyProtection="0"/>
  </cellStyleXfs>
  <cellXfs count="375">
    <xf numFmtId="0" fontId="0" fillId="0" borderId="0" xfId="0"/>
    <xf numFmtId="0" fontId="0" fillId="2" borderId="1" xfId="0" applyFill="1" applyBorder="1"/>
    <xf numFmtId="14" fontId="0" fillId="2" borderId="1" xfId="0" applyNumberFormat="1" applyFill="1" applyBorder="1"/>
    <xf numFmtId="165" fontId="4" fillId="2" borderId="5" xfId="0" applyNumberFormat="1" applyFont="1" applyFill="1" applyBorder="1" applyAlignment="1">
      <alignment vertical="center" wrapText="1"/>
    </xf>
    <xf numFmtId="0" fontId="5" fillId="3" borderId="5" xfId="0" applyFont="1" applyFill="1" applyBorder="1" applyAlignment="1">
      <alignment vertical="center" wrapText="1"/>
    </xf>
    <xf numFmtId="0" fontId="0" fillId="3" borderId="5" xfId="0" applyFill="1" applyBorder="1" applyAlignment="1">
      <alignment horizontal="left" vertical="center"/>
    </xf>
    <xf numFmtId="14" fontId="0" fillId="3" borderId="5" xfId="0" applyNumberFormat="1" applyFill="1" applyBorder="1" applyAlignment="1">
      <alignment horizontal="left" vertical="center"/>
    </xf>
    <xf numFmtId="0" fontId="0" fillId="3" borderId="5" xfId="0" applyFill="1" applyBorder="1" applyAlignment="1">
      <alignment horizontal="center" vertical="center"/>
    </xf>
    <xf numFmtId="164" fontId="0" fillId="3" borderId="5" xfId="3" applyNumberFormat="1" applyFont="1" applyFill="1" applyBorder="1" applyAlignment="1" applyProtection="1">
      <alignment horizontal="left" vertical="center"/>
    </xf>
    <xf numFmtId="10" fontId="0" fillId="3" borderId="5" xfId="2" applyNumberFormat="1" applyFont="1" applyFill="1" applyBorder="1" applyAlignment="1" applyProtection="1">
      <alignment horizontal="center" vertical="center"/>
    </xf>
    <xf numFmtId="164" fontId="0" fillId="3" borderId="5" xfId="3" applyNumberFormat="1" applyFont="1" applyFill="1" applyBorder="1" applyAlignment="1" applyProtection="1">
      <alignment horizontal="center" vertical="center"/>
    </xf>
    <xf numFmtId="37" fontId="13" fillId="4" borderId="5" xfId="3" applyNumberFormat="1" applyFont="1" applyFill="1" applyBorder="1" applyAlignment="1" applyProtection="1">
      <alignment horizontal="center" vertical="center"/>
    </xf>
    <xf numFmtId="166" fontId="0" fillId="3" borderId="5" xfId="3" applyNumberFormat="1" applyFont="1" applyFill="1" applyBorder="1" applyAlignment="1" applyProtection="1">
      <alignment horizontal="center" vertical="center"/>
    </xf>
    <xf numFmtId="10" fontId="0" fillId="3" borderId="5" xfId="2" applyNumberFormat="1" applyFont="1" applyFill="1" applyBorder="1" applyAlignment="1" applyProtection="1">
      <alignment vertical="center"/>
    </xf>
    <xf numFmtId="165" fontId="0" fillId="3" borderId="5" xfId="2" applyNumberFormat="1" applyFont="1" applyFill="1" applyBorder="1" applyAlignment="1" applyProtection="1">
      <alignment horizontal="center" vertical="center"/>
    </xf>
    <xf numFmtId="164" fontId="0" fillId="4" borderId="5" xfId="3" applyNumberFormat="1" applyFont="1" applyFill="1" applyBorder="1" applyAlignment="1" applyProtection="1">
      <alignment horizontal="left" vertical="center"/>
    </xf>
    <xf numFmtId="10" fontId="0" fillId="4" borderId="5" xfId="2" applyNumberFormat="1" applyFont="1" applyFill="1" applyBorder="1" applyAlignment="1" applyProtection="1">
      <alignment horizontal="left" vertical="center"/>
    </xf>
    <xf numFmtId="164" fontId="13" fillId="3" borderId="5" xfId="3" applyNumberFormat="1" applyFont="1" applyFill="1" applyBorder="1" applyAlignment="1" applyProtection="1">
      <alignment horizontal="left" vertical="center"/>
    </xf>
    <xf numFmtId="164" fontId="0" fillId="3" borderId="5" xfId="0" applyNumberFormat="1" applyFill="1" applyBorder="1" applyAlignment="1">
      <alignment horizontal="right" vertical="center"/>
    </xf>
    <xf numFmtId="165" fontId="0" fillId="3" borderId="5" xfId="2" applyNumberFormat="1" applyFont="1" applyFill="1" applyBorder="1" applyAlignment="1" applyProtection="1">
      <alignment horizontal="right" vertical="center"/>
    </xf>
    <xf numFmtId="164" fontId="0" fillId="3" borderId="5" xfId="0" applyNumberFormat="1" applyFill="1" applyBorder="1" applyAlignment="1">
      <alignment horizontal="left" vertical="center"/>
    </xf>
    <xf numFmtId="0" fontId="0" fillId="4" borderId="5" xfId="0" applyFill="1" applyBorder="1" applyAlignment="1">
      <alignment horizontal="left" vertical="center"/>
    </xf>
    <xf numFmtId="0" fontId="0" fillId="4" borderId="5" xfId="0" applyFill="1" applyBorder="1" applyAlignment="1">
      <alignment horizontal="left" vertical="center" wrapText="1"/>
    </xf>
    <xf numFmtId="0" fontId="18" fillId="2" borderId="0" xfId="0" applyFont="1" applyFill="1"/>
    <xf numFmtId="0" fontId="19" fillId="2" borderId="0" xfId="0" applyFont="1" applyFill="1"/>
    <xf numFmtId="0" fontId="6" fillId="2" borderId="0" xfId="0" applyFont="1" applyFill="1" applyAlignment="1">
      <alignment horizontal="center"/>
    </xf>
    <xf numFmtId="0" fontId="6" fillId="2" borderId="0" xfId="0" applyFont="1" applyFill="1"/>
    <xf numFmtId="0" fontId="6" fillId="2" borderId="0" xfId="0" applyFont="1" applyFill="1" applyAlignment="1">
      <alignment wrapText="1"/>
    </xf>
    <xf numFmtId="14" fontId="9" fillId="2" borderId="0" xfId="0" applyNumberFormat="1" applyFont="1" applyFill="1" applyAlignment="1">
      <alignment wrapText="1"/>
    </xf>
    <xf numFmtId="0" fontId="6" fillId="2" borderId="0" xfId="0" applyFont="1" applyFill="1" applyAlignment="1">
      <alignment horizontal="center" wrapText="1"/>
    </xf>
    <xf numFmtId="166" fontId="20" fillId="2" borderId="0" xfId="4" applyNumberFormat="1" applyFont="1" applyFill="1" applyBorder="1" applyAlignment="1" applyProtection="1"/>
    <xf numFmtId="166" fontId="11" fillId="2" borderId="0" xfId="4" applyNumberFormat="1" applyFont="1" applyFill="1" applyBorder="1" applyAlignment="1" applyProtection="1"/>
    <xf numFmtId="0" fontId="11" fillId="2" borderId="0" xfId="0" applyFont="1" applyFill="1"/>
    <xf numFmtId="166" fontId="21" fillId="2" borderId="0" xfId="4" applyNumberFormat="1" applyFont="1" applyFill="1" applyBorder="1" applyAlignment="1" applyProtection="1">
      <alignment horizontal="left"/>
    </xf>
    <xf numFmtId="9" fontId="11" fillId="2" borderId="0" xfId="5" applyFont="1" applyFill="1" applyBorder="1" applyAlignment="1" applyProtection="1"/>
    <xf numFmtId="43" fontId="11" fillId="2" borderId="0" xfId="4" applyFont="1" applyFill="1" applyBorder="1" applyAlignment="1" applyProtection="1"/>
    <xf numFmtId="166" fontId="22" fillId="2" borderId="0" xfId="4" applyNumberFormat="1" applyFont="1" applyFill="1" applyBorder="1" applyAlignment="1" applyProtection="1">
      <alignment horizontal="left"/>
    </xf>
    <xf numFmtId="0" fontId="9" fillId="2" borderId="0" xfId="0" applyFont="1" applyFill="1"/>
    <xf numFmtId="0" fontId="9" fillId="2" borderId="0" xfId="0" applyFont="1" applyFill="1" applyAlignment="1">
      <alignment horizontal="right"/>
    </xf>
    <xf numFmtId="0" fontId="9" fillId="2" borderId="0" xfId="0" applyFont="1" applyFill="1" applyAlignment="1">
      <alignment wrapText="1"/>
    </xf>
    <xf numFmtId="0" fontId="21" fillId="2" borderId="7" xfId="0" applyFont="1" applyFill="1" applyBorder="1"/>
    <xf numFmtId="0" fontId="11" fillId="2" borderId="8" xfId="0" applyFont="1" applyFill="1" applyBorder="1"/>
    <xf numFmtId="43" fontId="11" fillId="2" borderId="9" xfId="4" applyFont="1" applyFill="1" applyBorder="1" applyAlignment="1" applyProtection="1"/>
    <xf numFmtId="9" fontId="11" fillId="2" borderId="9" xfId="5" applyFont="1" applyFill="1" applyBorder="1" applyAlignment="1" applyProtection="1"/>
    <xf numFmtId="14" fontId="18" fillId="2" borderId="0" xfId="0" applyNumberFormat="1" applyFont="1" applyFill="1"/>
    <xf numFmtId="0" fontId="23" fillId="2" borderId="0" xfId="0" applyFont="1" applyFill="1"/>
    <xf numFmtId="0" fontId="23" fillId="2" borderId="0" xfId="0" applyFont="1" applyFill="1" applyAlignment="1">
      <alignment horizontal="center"/>
    </xf>
    <xf numFmtId="0" fontId="0" fillId="2" borderId="0" xfId="0" applyFill="1"/>
    <xf numFmtId="164" fontId="0" fillId="2" borderId="0" xfId="4" applyNumberFormat="1" applyFont="1" applyFill="1" applyBorder="1" applyAlignment="1" applyProtection="1"/>
    <xf numFmtId="165" fontId="0" fillId="2" borderId="0" xfId="0" applyNumberFormat="1" applyFill="1"/>
    <xf numFmtId="0" fontId="21" fillId="2" borderId="10" xfId="0" applyFont="1" applyFill="1" applyBorder="1"/>
    <xf numFmtId="43" fontId="11" fillId="2" borderId="11" xfId="4" applyFont="1" applyFill="1" applyBorder="1" applyAlignment="1" applyProtection="1"/>
    <xf numFmtId="2" fontId="11" fillId="2" borderId="0" xfId="4" applyNumberFormat="1" applyFont="1" applyFill="1" applyBorder="1" applyAlignment="1" applyProtection="1"/>
    <xf numFmtId="43" fontId="0" fillId="2" borderId="0" xfId="0" applyNumberFormat="1" applyFill="1"/>
    <xf numFmtId="0" fontId="0" fillId="2" borderId="0" xfId="0" applyFill="1" applyAlignment="1">
      <alignment horizontal="right"/>
    </xf>
    <xf numFmtId="0" fontId="0" fillId="3" borderId="0" xfId="0" applyFill="1"/>
    <xf numFmtId="0" fontId="24" fillId="2" borderId="0" xfId="0" applyFont="1" applyFill="1" applyAlignment="1">
      <alignment horizontal="left"/>
    </xf>
    <xf numFmtId="0" fontId="6" fillId="2" borderId="0" xfId="5" applyNumberFormat="1" applyFont="1" applyFill="1" applyBorder="1" applyAlignment="1" applyProtection="1"/>
    <xf numFmtId="14" fontId="9" fillId="2" borderId="0" xfId="0" applyNumberFormat="1" applyFont="1" applyFill="1"/>
    <xf numFmtId="0" fontId="21" fillId="2" borderId="12" xfId="0" applyFont="1" applyFill="1" applyBorder="1"/>
    <xf numFmtId="0" fontId="11" fillId="2" borderId="13" xfId="0" applyFont="1" applyFill="1" applyBorder="1"/>
    <xf numFmtId="166" fontId="11" fillId="2" borderId="14" xfId="4" applyNumberFormat="1" applyFont="1" applyFill="1" applyBorder="1" applyAlignment="1" applyProtection="1"/>
    <xf numFmtId="43" fontId="25" fillId="2" borderId="0" xfId="4" applyFont="1" applyFill="1" applyBorder="1" applyAlignment="1" applyProtection="1"/>
    <xf numFmtId="43" fontId="11" fillId="2" borderId="14" xfId="4" applyFont="1" applyFill="1" applyBorder="1" applyAlignment="1" applyProtection="1"/>
    <xf numFmtId="0" fontId="10" fillId="2" borderId="0" xfId="0" applyFont="1" applyFill="1"/>
    <xf numFmtId="0" fontId="21" fillId="2" borderId="0" xfId="0" applyFont="1" applyFill="1"/>
    <xf numFmtId="0" fontId="26" fillId="2" borderId="0" xfId="0" applyFont="1" applyFill="1"/>
    <xf numFmtId="164" fontId="4" fillId="4" borderId="5" xfId="4" applyNumberFormat="1" applyFont="1" applyFill="1" applyBorder="1" applyAlignment="1" applyProtection="1">
      <alignment vertical="center" wrapText="1"/>
    </xf>
    <xf numFmtId="0" fontId="6" fillId="3" borderId="16" xfId="0" applyFont="1" applyFill="1" applyBorder="1" applyAlignment="1">
      <alignment horizontal="left" vertical="top" wrapText="1"/>
    </xf>
    <xf numFmtId="14" fontId="7" fillId="3" borderId="16" xfId="0" applyNumberFormat="1" applyFont="1" applyFill="1" applyBorder="1" applyAlignment="1">
      <alignment horizontal="left" vertical="top" wrapText="1"/>
    </xf>
    <xf numFmtId="0" fontId="6" fillId="3" borderId="16" xfId="0" applyFont="1" applyFill="1" applyBorder="1" applyAlignment="1">
      <alignment horizontal="center" vertical="top" wrapText="1"/>
    </xf>
    <xf numFmtId="0" fontId="7" fillId="3" borderId="16" xfId="0" applyFont="1" applyFill="1" applyBorder="1" applyAlignment="1">
      <alignment horizontal="center" vertical="top" wrapText="1"/>
    </xf>
    <xf numFmtId="0" fontId="7" fillId="3" borderId="16" xfId="0" applyFont="1" applyFill="1" applyBorder="1" applyAlignment="1">
      <alignment horizontal="left" vertical="top" wrapText="1"/>
    </xf>
    <xf numFmtId="164" fontId="8" fillId="2" borderId="16" xfId="4" applyNumberFormat="1" applyFont="1" applyFill="1" applyBorder="1" applyAlignment="1" applyProtection="1">
      <alignment vertical="top" wrapText="1"/>
    </xf>
    <xf numFmtId="164" fontId="9" fillId="2" borderId="16" xfId="4" applyNumberFormat="1" applyFont="1" applyFill="1" applyBorder="1" applyAlignment="1" applyProtection="1">
      <alignment vertical="top" wrapText="1"/>
    </xf>
    <xf numFmtId="164" fontId="9" fillId="2" borderId="17" xfId="4" applyNumberFormat="1" applyFont="1" applyFill="1" applyBorder="1" applyAlignment="1" applyProtection="1">
      <alignment vertical="top" wrapText="1"/>
    </xf>
    <xf numFmtId="164" fontId="11" fillId="4" borderId="16" xfId="4" applyNumberFormat="1" applyFont="1" applyFill="1" applyBorder="1" applyAlignment="1" applyProtection="1">
      <alignment horizontal="left" vertical="top" wrapText="1"/>
    </xf>
    <xf numFmtId="164" fontId="7" fillId="2" borderId="16" xfId="4" applyNumberFormat="1" applyFont="1" applyFill="1" applyBorder="1" applyAlignment="1" applyProtection="1">
      <alignment horizontal="left" vertical="top" wrapText="1"/>
    </xf>
    <xf numFmtId="164" fontId="9" fillId="2" borderId="16" xfId="4" applyNumberFormat="1" applyFont="1" applyFill="1" applyBorder="1" applyAlignment="1" applyProtection="1">
      <alignment horizontal="left" vertical="top" wrapText="1"/>
    </xf>
    <xf numFmtId="0" fontId="9" fillId="4" borderId="16" xfId="4" applyNumberFormat="1" applyFont="1" applyFill="1" applyBorder="1" applyAlignment="1" applyProtection="1">
      <alignment horizontal="left" vertical="top" wrapText="1"/>
    </xf>
    <xf numFmtId="164" fontId="11" fillId="5" borderId="17" xfId="4" applyNumberFormat="1" applyFont="1" applyFill="1" applyBorder="1" applyAlignment="1" applyProtection="1">
      <alignment vertical="top" wrapText="1"/>
    </xf>
    <xf numFmtId="165" fontId="7" fillId="2" borderId="16" xfId="0" applyNumberFormat="1" applyFont="1" applyFill="1" applyBorder="1" applyAlignment="1">
      <alignment vertical="top" wrapText="1"/>
    </xf>
    <xf numFmtId="165" fontId="9" fillId="2" borderId="16" xfId="0" applyNumberFormat="1" applyFont="1" applyFill="1" applyBorder="1" applyAlignment="1">
      <alignment vertical="top" wrapText="1"/>
    </xf>
    <xf numFmtId="164" fontId="9" fillId="4" borderId="16" xfId="4" applyNumberFormat="1" applyFont="1" applyFill="1" applyBorder="1" applyAlignment="1" applyProtection="1">
      <alignment vertical="top" wrapText="1"/>
    </xf>
    <xf numFmtId="0" fontId="9" fillId="3" borderId="16" xfId="0" applyFont="1" applyFill="1" applyBorder="1" applyAlignment="1">
      <alignment vertical="top" wrapText="1"/>
    </xf>
    <xf numFmtId="0" fontId="5" fillId="3" borderId="0" xfId="0" applyFont="1" applyFill="1" applyAlignment="1">
      <alignment vertical="top"/>
    </xf>
    <xf numFmtId="0" fontId="0" fillId="3" borderId="4" xfId="0" applyFill="1" applyBorder="1" applyAlignment="1">
      <alignment horizontal="left" vertical="center"/>
    </xf>
    <xf numFmtId="164" fontId="0" fillId="3" borderId="5" xfId="4" applyNumberFormat="1" applyFont="1" applyFill="1" applyBorder="1" applyAlignment="1" applyProtection="1">
      <alignment horizontal="left" vertical="center"/>
    </xf>
    <xf numFmtId="10" fontId="0" fillId="3" borderId="5" xfId="5" applyNumberFormat="1" applyFont="1" applyFill="1" applyBorder="1" applyAlignment="1" applyProtection="1">
      <alignment horizontal="center" vertical="center"/>
    </xf>
    <xf numFmtId="164" fontId="0" fillId="3" borderId="5" xfId="4" applyNumberFormat="1" applyFont="1" applyFill="1" applyBorder="1" applyAlignment="1" applyProtection="1">
      <alignment horizontal="center" vertical="center"/>
    </xf>
    <xf numFmtId="37" fontId="13" fillId="4" borderId="5" xfId="4" applyNumberFormat="1" applyFont="1" applyFill="1" applyBorder="1" applyAlignment="1" applyProtection="1">
      <alignment horizontal="center" vertical="center"/>
    </xf>
    <xf numFmtId="166" fontId="0" fillId="3" borderId="5" xfId="4" applyNumberFormat="1" applyFont="1" applyFill="1" applyBorder="1" applyAlignment="1" applyProtection="1">
      <alignment horizontal="center" vertical="center"/>
    </xf>
    <xf numFmtId="10" fontId="0" fillId="3" borderId="5" xfId="5" applyNumberFormat="1" applyFont="1" applyFill="1" applyBorder="1" applyAlignment="1" applyProtection="1">
      <alignment vertical="center"/>
    </xf>
    <xf numFmtId="165" fontId="0" fillId="3" borderId="5" xfId="5" applyNumberFormat="1" applyFont="1" applyFill="1" applyBorder="1" applyAlignment="1" applyProtection="1">
      <alignment horizontal="center" vertical="center"/>
    </xf>
    <xf numFmtId="164" fontId="0" fillId="4" borderId="5" xfId="4" applyNumberFormat="1" applyFont="1" applyFill="1" applyBorder="1" applyAlignment="1" applyProtection="1">
      <alignment horizontal="left" vertical="center"/>
    </xf>
    <xf numFmtId="10" fontId="0" fillId="4" borderId="5" xfId="5" applyNumberFormat="1" applyFont="1" applyFill="1" applyBorder="1" applyAlignment="1" applyProtection="1">
      <alignment horizontal="left" vertical="center"/>
    </xf>
    <xf numFmtId="164" fontId="13" fillId="3" borderId="5" xfId="4" applyNumberFormat="1" applyFont="1" applyFill="1" applyBorder="1" applyAlignment="1" applyProtection="1">
      <alignment horizontal="left" vertical="center"/>
    </xf>
    <xf numFmtId="165" fontId="0" fillId="3" borderId="5" xfId="5" applyNumberFormat="1" applyFont="1" applyFill="1" applyBorder="1" applyAlignment="1" applyProtection="1">
      <alignment horizontal="right" vertical="center"/>
    </xf>
    <xf numFmtId="0" fontId="0" fillId="3" borderId="0" xfId="0" applyFill="1" applyAlignment="1">
      <alignment vertical="top"/>
    </xf>
    <xf numFmtId="164" fontId="0" fillId="3" borderId="5" xfId="1" applyNumberFormat="1" applyFont="1" applyFill="1" applyBorder="1" applyAlignment="1" applyProtection="1">
      <alignment horizontal="left" vertical="center"/>
    </xf>
    <xf numFmtId="164" fontId="0" fillId="3" borderId="5" xfId="1" applyNumberFormat="1" applyFont="1" applyFill="1" applyBorder="1" applyAlignment="1" applyProtection="1">
      <alignment horizontal="center" vertical="center"/>
    </xf>
    <xf numFmtId="37" fontId="13" fillId="4" borderId="5" xfId="1" applyNumberFormat="1" applyFont="1" applyFill="1" applyBorder="1" applyAlignment="1" applyProtection="1">
      <alignment horizontal="center" vertical="center"/>
    </xf>
    <xf numFmtId="166" fontId="0" fillId="3" borderId="5" xfId="1" applyNumberFormat="1" applyFont="1" applyFill="1" applyBorder="1" applyAlignment="1" applyProtection="1">
      <alignment horizontal="center" vertical="center"/>
    </xf>
    <xf numFmtId="164" fontId="0" fillId="4" borderId="5" xfId="1" applyNumberFormat="1" applyFont="1" applyFill="1" applyBorder="1" applyAlignment="1" applyProtection="1">
      <alignment horizontal="left" vertical="center"/>
    </xf>
    <xf numFmtId="164" fontId="13" fillId="3" borderId="5" xfId="1" applyNumberFormat="1" applyFont="1" applyFill="1" applyBorder="1" applyAlignment="1" applyProtection="1">
      <alignment horizontal="left" vertical="center"/>
    </xf>
    <xf numFmtId="0" fontId="0" fillId="3" borderId="18" xfId="0" applyFill="1" applyBorder="1" applyAlignment="1">
      <alignment horizontal="left" vertical="center"/>
    </xf>
    <xf numFmtId="0" fontId="0" fillId="3" borderId="6" xfId="0" applyFill="1" applyBorder="1" applyAlignment="1">
      <alignment horizontal="left" vertical="center"/>
    </xf>
    <xf numFmtId="14" fontId="0" fillId="3" borderId="6" xfId="0" applyNumberFormat="1" applyFill="1" applyBorder="1" applyAlignment="1">
      <alignment horizontal="left" vertical="center"/>
    </xf>
    <xf numFmtId="0" fontId="0" fillId="3" borderId="6" xfId="0" applyFill="1" applyBorder="1" applyAlignment="1">
      <alignment horizontal="center" vertical="center"/>
    </xf>
    <xf numFmtId="164" fontId="0" fillId="3" borderId="6" xfId="0" applyNumberFormat="1" applyFill="1" applyBorder="1" applyAlignment="1">
      <alignment horizontal="right" vertical="center"/>
    </xf>
    <xf numFmtId="164" fontId="0" fillId="3" borderId="6" xfId="0" applyNumberFormat="1" applyFill="1" applyBorder="1" applyAlignment="1">
      <alignment horizontal="left" vertical="center"/>
    </xf>
    <xf numFmtId="0" fontId="0" fillId="4" borderId="6" xfId="0" applyFill="1" applyBorder="1" applyAlignment="1">
      <alignment horizontal="left" vertical="center"/>
    </xf>
    <xf numFmtId="14" fontId="0" fillId="3" borderId="0" xfId="0" applyNumberFormat="1" applyFill="1"/>
    <xf numFmtId="0" fontId="0" fillId="3" borderId="0" xfId="0" applyFill="1" applyAlignment="1">
      <alignment horizontal="center"/>
    </xf>
    <xf numFmtId="164" fontId="0" fillId="3" borderId="0" xfId="4" applyNumberFormat="1" applyFont="1" applyFill="1" applyAlignment="1" applyProtection="1"/>
    <xf numFmtId="165" fontId="0" fillId="3" borderId="0" xfId="0" applyNumberFormat="1" applyFill="1"/>
    <xf numFmtId="0" fontId="0" fillId="3" borderId="0" xfId="0" applyFill="1" applyAlignment="1">
      <alignment horizontal="right"/>
    </xf>
    <xf numFmtId="0" fontId="27" fillId="3" borderId="15" xfId="0" applyFont="1" applyFill="1" applyBorder="1" applyAlignment="1">
      <alignment horizontal="left" vertical="top" wrapText="1"/>
    </xf>
    <xf numFmtId="167" fontId="0" fillId="4" borderId="5" xfId="0" applyNumberFormat="1" applyFill="1" applyBorder="1" applyAlignment="1">
      <alignment horizontal="left" vertical="center"/>
    </xf>
    <xf numFmtId="0" fontId="28" fillId="4" borderId="5" xfId="0" applyFont="1" applyFill="1" applyBorder="1" applyAlignment="1">
      <alignment horizontal="left" vertical="center"/>
    </xf>
    <xf numFmtId="0" fontId="0" fillId="4" borderId="5" xfId="0" quotePrefix="1" applyFill="1" applyBorder="1" applyAlignment="1">
      <alignment horizontal="left" vertical="center" wrapText="1"/>
    </xf>
    <xf numFmtId="10" fontId="0" fillId="3" borderId="5" xfId="6" applyNumberFormat="1" applyFont="1" applyFill="1" applyBorder="1" applyAlignment="1" applyProtection="1">
      <alignment horizontal="center" vertical="center"/>
    </xf>
    <xf numFmtId="10" fontId="0" fillId="3" borderId="5" xfId="6" applyNumberFormat="1" applyFont="1" applyFill="1" applyBorder="1" applyAlignment="1" applyProtection="1">
      <alignment vertical="center"/>
    </xf>
    <xf numFmtId="165" fontId="0" fillId="3" borderId="5" xfId="6" applyNumberFormat="1" applyFont="1" applyFill="1" applyBorder="1" applyAlignment="1" applyProtection="1">
      <alignment horizontal="center" vertical="center"/>
    </xf>
    <xf numFmtId="10" fontId="0" fillId="4" borderId="5" xfId="6" applyNumberFormat="1" applyFont="1" applyFill="1" applyBorder="1" applyAlignment="1" applyProtection="1">
      <alignment horizontal="left" vertical="center"/>
    </xf>
    <xf numFmtId="165" fontId="0" fillId="3" borderId="5" xfId="6" applyNumberFormat="1" applyFont="1" applyFill="1" applyBorder="1" applyAlignment="1" applyProtection="1">
      <alignment horizontal="right" vertical="center"/>
    </xf>
    <xf numFmtId="164" fontId="0" fillId="3" borderId="5" xfId="7" applyNumberFormat="1" applyFont="1" applyFill="1" applyBorder="1" applyAlignment="1" applyProtection="1">
      <alignment horizontal="left" vertical="center"/>
    </xf>
    <xf numFmtId="164" fontId="0" fillId="3" borderId="5" xfId="7" applyNumberFormat="1" applyFont="1" applyFill="1" applyBorder="1" applyAlignment="1" applyProtection="1">
      <alignment horizontal="center" vertical="center"/>
    </xf>
    <xf numFmtId="37" fontId="13" fillId="4" borderId="5" xfId="7" applyNumberFormat="1" applyFont="1" applyFill="1" applyBorder="1" applyAlignment="1" applyProtection="1">
      <alignment horizontal="center" vertical="center"/>
    </xf>
    <xf numFmtId="166" fontId="0" fillId="3" borderId="5" xfId="7" applyNumberFormat="1" applyFont="1" applyFill="1" applyBorder="1" applyAlignment="1" applyProtection="1">
      <alignment horizontal="center" vertical="center"/>
    </xf>
    <xf numFmtId="164" fontId="0" fillId="4" borderId="5" xfId="7" applyNumberFormat="1" applyFont="1" applyFill="1" applyBorder="1" applyAlignment="1" applyProtection="1">
      <alignment horizontal="left" vertical="center"/>
    </xf>
    <xf numFmtId="164" fontId="13" fillId="3" borderId="5" xfId="7" applyNumberFormat="1" applyFont="1" applyFill="1" applyBorder="1" applyAlignment="1" applyProtection="1">
      <alignment horizontal="left" vertical="center"/>
    </xf>
    <xf numFmtId="164" fontId="0" fillId="3" borderId="6" xfId="7" applyNumberFormat="1" applyFont="1" applyFill="1" applyBorder="1" applyAlignment="1" applyProtection="1">
      <alignment horizontal="left" vertical="center"/>
    </xf>
    <xf numFmtId="10" fontId="0" fillId="3" borderId="6" xfId="6" applyNumberFormat="1" applyFont="1" applyFill="1" applyBorder="1" applyAlignment="1" applyProtection="1">
      <alignment horizontal="center" vertical="center"/>
    </xf>
    <xf numFmtId="164" fontId="0" fillId="3" borderId="6" xfId="7" applyNumberFormat="1" applyFont="1" applyFill="1" applyBorder="1" applyAlignment="1" applyProtection="1">
      <alignment horizontal="center" vertical="center"/>
    </xf>
    <xf numFmtId="37" fontId="13" fillId="4" borderId="6" xfId="7" applyNumberFormat="1" applyFont="1" applyFill="1" applyBorder="1" applyAlignment="1" applyProtection="1">
      <alignment horizontal="center" vertical="center"/>
    </xf>
    <xf numFmtId="166" fontId="0" fillId="3" borderId="6" xfId="7" applyNumberFormat="1" applyFont="1" applyFill="1" applyBorder="1" applyAlignment="1" applyProtection="1">
      <alignment horizontal="center" vertical="center"/>
    </xf>
    <xf numFmtId="10" fontId="0" fillId="3" borderId="6" xfId="6" applyNumberFormat="1" applyFont="1" applyFill="1" applyBorder="1" applyAlignment="1" applyProtection="1">
      <alignment vertical="center"/>
    </xf>
    <xf numFmtId="165" fontId="0" fillId="3" borderId="6" xfId="6" applyNumberFormat="1" applyFont="1" applyFill="1" applyBorder="1" applyAlignment="1" applyProtection="1">
      <alignment horizontal="center" vertical="center"/>
    </xf>
    <xf numFmtId="164" fontId="0" fillId="4" borderId="6" xfId="7" applyNumberFormat="1" applyFont="1" applyFill="1" applyBorder="1" applyAlignment="1" applyProtection="1">
      <alignment horizontal="left" vertical="center"/>
    </xf>
    <xf numFmtId="10" fontId="0" fillId="4" borderId="6" xfId="6" applyNumberFormat="1" applyFont="1" applyFill="1" applyBorder="1" applyAlignment="1" applyProtection="1">
      <alignment horizontal="left" vertical="center"/>
    </xf>
    <xf numFmtId="164" fontId="13" fillId="3" borderId="6" xfId="7" applyNumberFormat="1" applyFont="1" applyFill="1" applyBorder="1" applyAlignment="1" applyProtection="1">
      <alignment horizontal="left" vertical="center"/>
    </xf>
    <xf numFmtId="165" fontId="0" fillId="3" borderId="6" xfId="6" applyNumberFormat="1" applyFont="1" applyFill="1" applyBorder="1" applyAlignment="1" applyProtection="1">
      <alignment horizontal="right" vertical="center"/>
    </xf>
    <xf numFmtId="165" fontId="0" fillId="0" borderId="0" xfId="0" applyNumberFormat="1"/>
    <xf numFmtId="0" fontId="0" fillId="0" borderId="19" xfId="0" applyBorder="1"/>
    <xf numFmtId="0" fontId="0" fillId="0" borderId="0" xfId="0" pivotButton="1"/>
    <xf numFmtId="0" fontId="0" fillId="0" borderId="0" xfId="0" applyAlignment="1">
      <alignment horizontal="left"/>
    </xf>
    <xf numFmtId="0" fontId="30" fillId="0" borderId="20" xfId="0" applyFont="1" applyBorder="1" applyAlignment="1">
      <alignment horizontal="left" wrapText="1" readingOrder="1"/>
    </xf>
    <xf numFmtId="0" fontId="30" fillId="6" borderId="20" xfId="0" applyFont="1" applyFill="1" applyBorder="1" applyAlignment="1">
      <alignment horizontal="left" wrapText="1" readingOrder="1"/>
    </xf>
    <xf numFmtId="164" fontId="0" fillId="0" borderId="0" xfId="0" applyNumberFormat="1"/>
    <xf numFmtId="166" fontId="0" fillId="0" borderId="0" xfId="0" applyNumberFormat="1"/>
    <xf numFmtId="0" fontId="0" fillId="3" borderId="21" xfId="0" applyFill="1" applyBorder="1" applyAlignment="1">
      <alignment horizontal="left" vertical="center"/>
    </xf>
    <xf numFmtId="14" fontId="0" fillId="3" borderId="21" xfId="0" applyNumberFormat="1" applyFill="1" applyBorder="1" applyAlignment="1">
      <alignment horizontal="left" vertical="center"/>
    </xf>
    <xf numFmtId="0" fontId="0" fillId="3" borderId="21" xfId="0" applyFill="1" applyBorder="1" applyAlignment="1">
      <alignment horizontal="center" vertical="center"/>
    </xf>
    <xf numFmtId="164" fontId="0" fillId="3" borderId="21" xfId="4" applyNumberFormat="1" applyFont="1" applyFill="1" applyBorder="1" applyAlignment="1">
      <alignment horizontal="left" vertical="center"/>
    </xf>
    <xf numFmtId="10" fontId="0" fillId="3" borderId="21" xfId="5" applyNumberFormat="1" applyFont="1" applyFill="1" applyBorder="1" applyAlignment="1">
      <alignment horizontal="center" vertical="center"/>
    </xf>
    <xf numFmtId="164" fontId="0" fillId="3" borderId="21" xfId="4" applyNumberFormat="1" applyFont="1" applyFill="1" applyBorder="1" applyAlignment="1">
      <alignment horizontal="center" vertical="center"/>
    </xf>
    <xf numFmtId="37" fontId="13" fillId="4" borderId="21" xfId="4" applyNumberFormat="1" applyFont="1" applyFill="1" applyBorder="1" applyAlignment="1">
      <alignment horizontal="center" vertical="center"/>
    </xf>
    <xf numFmtId="166" fontId="0" fillId="3" borderId="21" xfId="4" applyNumberFormat="1" applyFont="1" applyFill="1" applyBorder="1" applyAlignment="1">
      <alignment horizontal="center" vertical="center"/>
    </xf>
    <xf numFmtId="10" fontId="0" fillId="3" borderId="21" xfId="5" applyNumberFormat="1" applyFont="1" applyFill="1" applyBorder="1" applyAlignment="1">
      <alignment vertical="center"/>
    </xf>
    <xf numFmtId="165" fontId="0" fillId="3" borderId="21" xfId="5" applyNumberFormat="1" applyFont="1" applyFill="1" applyBorder="1" applyAlignment="1">
      <alignment horizontal="center" vertical="center"/>
    </xf>
    <xf numFmtId="164" fontId="0" fillId="4" borderId="21" xfId="4" applyNumberFormat="1" applyFont="1" applyFill="1" applyBorder="1" applyAlignment="1">
      <alignment horizontal="left" vertical="center"/>
    </xf>
    <xf numFmtId="10" fontId="0" fillId="4" borderId="21" xfId="5" applyNumberFormat="1" applyFont="1" applyFill="1" applyBorder="1" applyAlignment="1">
      <alignment horizontal="left" vertical="center"/>
    </xf>
    <xf numFmtId="164" fontId="13" fillId="3" borderId="21" xfId="4" applyNumberFormat="1" applyFont="1" applyFill="1" applyBorder="1" applyAlignment="1">
      <alignment horizontal="left" vertical="center"/>
    </xf>
    <xf numFmtId="164" fontId="0" fillId="3" borderId="21" xfId="0" applyNumberFormat="1" applyFill="1" applyBorder="1" applyAlignment="1">
      <alignment horizontal="right" vertical="center"/>
    </xf>
    <xf numFmtId="165" fontId="0" fillId="3" borderId="21" xfId="5" applyNumberFormat="1" applyFont="1" applyFill="1" applyBorder="1" applyAlignment="1">
      <alignment horizontal="right" vertical="center"/>
    </xf>
    <xf numFmtId="164" fontId="0" fillId="3" borderId="21" xfId="0" applyNumberFormat="1" applyFill="1" applyBorder="1" applyAlignment="1">
      <alignment horizontal="left" vertical="center"/>
    </xf>
    <xf numFmtId="0" fontId="0" fillId="4" borderId="21" xfId="0" applyFill="1" applyBorder="1" applyAlignment="1">
      <alignment horizontal="left" vertical="center"/>
    </xf>
    <xf numFmtId="0" fontId="0" fillId="7" borderId="24" xfId="0" applyFill="1" applyBorder="1"/>
    <xf numFmtId="0" fontId="0" fillId="0" borderId="25" xfId="0" applyBorder="1"/>
    <xf numFmtId="0" fontId="0" fillId="7" borderId="25" xfId="0" applyFill="1" applyBorder="1"/>
    <xf numFmtId="164" fontId="0" fillId="3" borderId="21" xfId="3" applyNumberFormat="1" applyFont="1" applyFill="1" applyBorder="1" applyAlignment="1">
      <alignment horizontal="left" vertical="center"/>
    </xf>
    <xf numFmtId="164" fontId="0" fillId="3" borderId="21" xfId="3" applyNumberFormat="1" applyFont="1" applyFill="1" applyBorder="1" applyAlignment="1">
      <alignment horizontal="center" vertical="center"/>
    </xf>
    <xf numFmtId="37" fontId="13" fillId="4" borderId="21" xfId="3" applyNumberFormat="1" applyFont="1" applyFill="1" applyBorder="1" applyAlignment="1">
      <alignment horizontal="center" vertical="center"/>
    </xf>
    <xf numFmtId="166" fontId="0" fillId="3" borderId="21" xfId="3" applyNumberFormat="1" applyFont="1" applyFill="1" applyBorder="1" applyAlignment="1">
      <alignment horizontal="center" vertical="center"/>
    </xf>
    <xf numFmtId="164" fontId="0" fillId="4" borderId="21" xfId="3" applyNumberFormat="1" applyFont="1" applyFill="1" applyBorder="1" applyAlignment="1">
      <alignment horizontal="left" vertical="center"/>
    </xf>
    <xf numFmtId="164" fontId="13" fillId="3" borderId="21" xfId="3" applyNumberFormat="1" applyFont="1" applyFill="1" applyBorder="1" applyAlignment="1">
      <alignment horizontal="left" vertical="center"/>
    </xf>
    <xf numFmtId="10" fontId="0" fillId="3" borderId="21" xfId="2" applyNumberFormat="1" applyFont="1" applyFill="1" applyBorder="1" applyAlignment="1">
      <alignment horizontal="center" vertical="center"/>
    </xf>
    <xf numFmtId="10" fontId="0" fillId="3" borderId="21" xfId="2" applyNumberFormat="1" applyFont="1" applyFill="1" applyBorder="1" applyAlignment="1">
      <alignment vertical="center"/>
    </xf>
    <xf numFmtId="165" fontId="0" fillId="3" borderId="21" xfId="2" applyNumberFormat="1" applyFont="1" applyFill="1" applyBorder="1" applyAlignment="1">
      <alignment horizontal="center" vertical="center"/>
    </xf>
    <xf numFmtId="10" fontId="0" fillId="4" borderId="21" xfId="2" applyNumberFormat="1" applyFont="1" applyFill="1" applyBorder="1" applyAlignment="1">
      <alignment horizontal="left" vertical="center"/>
    </xf>
    <xf numFmtId="165" fontId="0" fillId="3" borderId="21" xfId="2" applyNumberFormat="1" applyFont="1" applyFill="1" applyBorder="1" applyAlignment="1">
      <alignment horizontal="right" vertical="center"/>
    </xf>
    <xf numFmtId="0" fontId="0" fillId="3" borderId="21" xfId="0" applyFill="1" applyBorder="1"/>
    <xf numFmtId="0" fontId="0" fillId="3" borderId="27" xfId="0" applyFill="1" applyBorder="1"/>
    <xf numFmtId="164" fontId="0" fillId="3" borderId="21" xfId="1" applyNumberFormat="1" applyFont="1" applyFill="1" applyBorder="1" applyAlignment="1">
      <alignment horizontal="left" vertical="center"/>
    </xf>
    <xf numFmtId="164" fontId="0" fillId="3" borderId="21" xfId="1" applyNumberFormat="1" applyFont="1" applyFill="1" applyBorder="1" applyAlignment="1">
      <alignment horizontal="center" vertical="center"/>
    </xf>
    <xf numFmtId="37" fontId="13" fillId="4" borderId="21" xfId="1" applyNumberFormat="1" applyFont="1" applyFill="1" applyBorder="1" applyAlignment="1">
      <alignment horizontal="center" vertical="center"/>
    </xf>
    <xf numFmtId="166" fontId="0" fillId="3" borderId="21" xfId="1" applyNumberFormat="1" applyFont="1" applyFill="1" applyBorder="1" applyAlignment="1">
      <alignment horizontal="center" vertical="center"/>
    </xf>
    <xf numFmtId="164" fontId="0" fillId="4" borderId="21" xfId="1" applyNumberFormat="1" applyFont="1" applyFill="1" applyBorder="1" applyAlignment="1">
      <alignment horizontal="left" vertical="center"/>
    </xf>
    <xf numFmtId="164" fontId="13" fillId="3" borderId="21" xfId="1" applyNumberFormat="1" applyFont="1" applyFill="1" applyBorder="1" applyAlignment="1">
      <alignment horizontal="left" vertical="center"/>
    </xf>
    <xf numFmtId="0" fontId="0" fillId="3" borderId="22" xfId="0" applyFill="1" applyBorder="1"/>
    <xf numFmtId="0" fontId="0" fillId="0" borderId="28" xfId="0" applyBorder="1"/>
    <xf numFmtId="0" fontId="0" fillId="3" borderId="29" xfId="0" applyFill="1" applyBorder="1"/>
    <xf numFmtId="0" fontId="0" fillId="7" borderId="28" xfId="0" applyFill="1" applyBorder="1"/>
    <xf numFmtId="0" fontId="0" fillId="3" borderId="2" xfId="0" applyFill="1" applyBorder="1" applyAlignment="1">
      <alignment horizontal="left" vertical="center"/>
    </xf>
    <xf numFmtId="14" fontId="0" fillId="3" borderId="2" xfId="0" applyNumberFormat="1" applyFill="1" applyBorder="1" applyAlignment="1">
      <alignment horizontal="left" vertical="center"/>
    </xf>
    <xf numFmtId="0" fontId="0" fillId="3" borderId="2" xfId="0" applyFill="1" applyBorder="1" applyAlignment="1">
      <alignment horizontal="center" vertical="center"/>
    </xf>
    <xf numFmtId="164" fontId="0" fillId="3" borderId="2" xfId="0" applyNumberFormat="1" applyFill="1" applyBorder="1" applyAlignment="1">
      <alignment horizontal="right" vertical="center"/>
    </xf>
    <xf numFmtId="164" fontId="0" fillId="3" borderId="2" xfId="0" applyNumberFormat="1" applyFill="1" applyBorder="1" applyAlignment="1">
      <alignment horizontal="left" vertical="center"/>
    </xf>
    <xf numFmtId="0" fontId="0" fillId="4" borderId="2" xfId="0" applyFill="1" applyBorder="1" applyAlignment="1">
      <alignment horizontal="left" vertical="center"/>
    </xf>
    <xf numFmtId="0" fontId="0" fillId="3" borderId="26" xfId="0" applyFill="1" applyBorder="1"/>
    <xf numFmtId="164" fontId="0" fillId="3" borderId="2" xfId="3" applyNumberFormat="1" applyFont="1" applyFill="1" applyBorder="1" applyAlignment="1">
      <alignment horizontal="left" vertical="center"/>
    </xf>
    <xf numFmtId="10" fontId="0" fillId="3" borderId="2" xfId="5" applyNumberFormat="1" applyFont="1" applyFill="1" applyBorder="1" applyAlignment="1">
      <alignment horizontal="center" vertical="center"/>
    </xf>
    <xf numFmtId="164" fontId="0" fillId="3" borderId="2" xfId="3" applyNumberFormat="1" applyFont="1" applyFill="1" applyBorder="1" applyAlignment="1">
      <alignment horizontal="center" vertical="center"/>
    </xf>
    <xf numFmtId="37" fontId="13" fillId="4" borderId="2" xfId="3" applyNumberFormat="1" applyFont="1" applyFill="1" applyBorder="1" applyAlignment="1">
      <alignment horizontal="center" vertical="center"/>
    </xf>
    <xf numFmtId="166" fontId="0" fillId="3" borderId="2" xfId="3" applyNumberFormat="1" applyFont="1" applyFill="1" applyBorder="1" applyAlignment="1">
      <alignment horizontal="center" vertical="center"/>
    </xf>
    <xf numFmtId="10" fontId="0" fillId="3" borderId="2" xfId="5" applyNumberFormat="1" applyFont="1" applyFill="1" applyBorder="1" applyAlignment="1">
      <alignment vertical="center"/>
    </xf>
    <xf numFmtId="165" fontId="0" fillId="3" borderId="2" xfId="5" applyNumberFormat="1" applyFont="1" applyFill="1" applyBorder="1" applyAlignment="1">
      <alignment horizontal="center" vertical="center"/>
    </xf>
    <xf numFmtId="164" fontId="0" fillId="4" borderId="2" xfId="3" applyNumberFormat="1" applyFont="1" applyFill="1" applyBorder="1" applyAlignment="1">
      <alignment horizontal="left" vertical="center"/>
    </xf>
    <xf numFmtId="10" fontId="0" fillId="4" borderId="2" xfId="5" applyNumberFormat="1" applyFont="1" applyFill="1" applyBorder="1" applyAlignment="1">
      <alignment horizontal="left" vertical="center"/>
    </xf>
    <xf numFmtId="164" fontId="13" fillId="3" borderId="2" xfId="3" applyNumberFormat="1" applyFont="1" applyFill="1" applyBorder="1" applyAlignment="1">
      <alignment horizontal="left" vertical="center"/>
    </xf>
    <xf numFmtId="165" fontId="0" fillId="3" borderId="2" xfId="5" applyNumberFormat="1" applyFont="1" applyFill="1" applyBorder="1" applyAlignment="1">
      <alignment horizontal="right" vertical="center"/>
    </xf>
    <xf numFmtId="0" fontId="32" fillId="3" borderId="23" xfId="0" applyFont="1" applyFill="1" applyBorder="1" applyAlignment="1">
      <alignment horizontal="left" vertical="top" wrapText="1"/>
    </xf>
    <xf numFmtId="14" fontId="33" fillId="3" borderId="23" xfId="0" applyNumberFormat="1" applyFont="1" applyFill="1" applyBorder="1" applyAlignment="1">
      <alignment horizontal="left" vertical="top" wrapText="1"/>
    </xf>
    <xf numFmtId="0" fontId="32" fillId="3" borderId="23" xfId="0" applyFont="1" applyFill="1" applyBorder="1" applyAlignment="1">
      <alignment horizontal="center" vertical="top" wrapText="1"/>
    </xf>
    <xf numFmtId="0" fontId="33" fillId="3" borderId="23" xfId="0" applyFont="1" applyFill="1" applyBorder="1" applyAlignment="1">
      <alignment horizontal="center" vertical="top" wrapText="1"/>
    </xf>
    <xf numFmtId="0" fontId="33" fillId="3" borderId="23" xfId="0" applyFont="1" applyFill="1" applyBorder="1" applyAlignment="1">
      <alignment horizontal="left" vertical="top" wrapText="1"/>
    </xf>
    <xf numFmtId="164" fontId="8" fillId="2" borderId="23" xfId="4" applyNumberFormat="1" applyFont="1" applyFill="1" applyBorder="1" applyAlignment="1">
      <alignment vertical="top" wrapText="1"/>
    </xf>
    <xf numFmtId="164" fontId="34" fillId="2" borderId="23" xfId="4" applyNumberFormat="1" applyFont="1" applyFill="1" applyBorder="1" applyAlignment="1">
      <alignment vertical="top" wrapText="1"/>
    </xf>
    <xf numFmtId="164" fontId="34" fillId="4" borderId="23" xfId="4" applyNumberFormat="1" applyFont="1" applyFill="1" applyBorder="1" applyAlignment="1">
      <alignment horizontal="left" vertical="top" wrapText="1"/>
    </xf>
    <xf numFmtId="164" fontId="33" fillId="2" borderId="23" xfId="4" applyNumberFormat="1" applyFont="1" applyFill="1" applyBorder="1" applyAlignment="1">
      <alignment horizontal="left" vertical="top" wrapText="1"/>
    </xf>
    <xf numFmtId="164" fontId="34" fillId="2" borderId="23" xfId="4" applyNumberFormat="1" applyFont="1" applyFill="1" applyBorder="1" applyAlignment="1">
      <alignment horizontal="left" vertical="top" wrapText="1"/>
    </xf>
    <xf numFmtId="0" fontId="34" fillId="4" borderId="23" xfId="4" applyNumberFormat="1" applyFont="1" applyFill="1" applyBorder="1" applyAlignment="1">
      <alignment horizontal="left" vertical="top" wrapText="1"/>
    </xf>
    <xf numFmtId="164" fontId="34" fillId="5" borderId="23" xfId="4" applyNumberFormat="1" applyFont="1" applyFill="1" applyBorder="1" applyAlignment="1">
      <alignment vertical="top" wrapText="1"/>
    </xf>
    <xf numFmtId="165" fontId="33" fillId="2" borderId="23" xfId="0" applyNumberFormat="1" applyFont="1" applyFill="1" applyBorder="1" applyAlignment="1">
      <alignment vertical="top" wrapText="1"/>
    </xf>
    <xf numFmtId="165" fontId="34" fillId="2" borderId="23" xfId="0" applyNumberFormat="1" applyFont="1" applyFill="1" applyBorder="1" applyAlignment="1">
      <alignment vertical="top" wrapText="1"/>
    </xf>
    <xf numFmtId="164" fontId="34" fillId="4" borderId="23" xfId="4" applyNumberFormat="1" applyFont="1" applyFill="1" applyBorder="1" applyAlignment="1">
      <alignment vertical="top" wrapText="1"/>
    </xf>
    <xf numFmtId="0" fontId="34" fillId="3" borderId="23" xfId="0" applyFont="1" applyFill="1" applyBorder="1" applyAlignment="1">
      <alignment vertical="top" wrapText="1"/>
    </xf>
    <xf numFmtId="164" fontId="34" fillId="4" borderId="17" xfId="4" applyNumberFormat="1" applyFont="1" applyFill="1" applyBorder="1" applyAlignment="1">
      <alignment vertical="top" wrapText="1"/>
    </xf>
    <xf numFmtId="164" fontId="0" fillId="3" borderId="6" xfId="3" applyNumberFormat="1" applyFont="1" applyFill="1" applyBorder="1" applyAlignment="1" applyProtection="1">
      <alignment horizontal="left" vertical="center"/>
    </xf>
    <xf numFmtId="10" fontId="0" fillId="3" borderId="6" xfId="5" applyNumberFormat="1" applyFont="1" applyFill="1" applyBorder="1" applyAlignment="1" applyProtection="1">
      <alignment horizontal="center" vertical="center"/>
    </xf>
    <xf numFmtId="164" fontId="0" fillId="3" borderId="6" xfId="3" applyNumberFormat="1" applyFont="1" applyFill="1" applyBorder="1" applyAlignment="1" applyProtection="1">
      <alignment horizontal="center" vertical="center"/>
    </xf>
    <xf numFmtId="37" fontId="13" fillId="4" borderId="6" xfId="3" applyNumberFormat="1" applyFont="1" applyFill="1" applyBorder="1" applyAlignment="1" applyProtection="1">
      <alignment horizontal="center" vertical="center"/>
    </xf>
    <xf numFmtId="166" fontId="0" fillId="3" borderId="6" xfId="3" applyNumberFormat="1" applyFont="1" applyFill="1" applyBorder="1" applyAlignment="1" applyProtection="1">
      <alignment horizontal="center" vertical="center"/>
    </xf>
    <xf numFmtId="10" fontId="0" fillId="3" borderId="6" xfId="5" applyNumberFormat="1" applyFont="1" applyFill="1" applyBorder="1" applyAlignment="1" applyProtection="1">
      <alignment vertical="center"/>
    </xf>
    <xf numFmtId="165" fontId="0" fillId="3" borderId="6" xfId="5" applyNumberFormat="1" applyFont="1" applyFill="1" applyBorder="1" applyAlignment="1" applyProtection="1">
      <alignment horizontal="center" vertical="center"/>
    </xf>
    <xf numFmtId="164" fontId="0" fillId="4" borderId="6" xfId="3" applyNumberFormat="1" applyFont="1" applyFill="1" applyBorder="1" applyAlignment="1" applyProtection="1">
      <alignment horizontal="left" vertical="center"/>
    </xf>
    <xf numFmtId="10" fontId="0" fillId="4" borderId="6" xfId="5" applyNumberFormat="1" applyFont="1" applyFill="1" applyBorder="1" applyAlignment="1" applyProtection="1">
      <alignment horizontal="left" vertical="center"/>
    </xf>
    <xf numFmtId="164" fontId="13" fillId="3" borderId="6" xfId="3" applyNumberFormat="1" applyFont="1" applyFill="1" applyBorder="1" applyAlignment="1" applyProtection="1">
      <alignment horizontal="left" vertical="center"/>
    </xf>
    <xf numFmtId="165" fontId="0" fillId="3" borderId="6" xfId="5" applyNumberFormat="1" applyFont="1" applyFill="1" applyBorder="1" applyAlignment="1" applyProtection="1">
      <alignment horizontal="right" vertical="center"/>
    </xf>
    <xf numFmtId="0" fontId="31" fillId="7" borderId="29" xfId="0" applyFont="1" applyFill="1" applyBorder="1" applyAlignment="1">
      <alignment horizontal="left"/>
    </xf>
    <xf numFmtId="166" fontId="31" fillId="7" borderId="29" xfId="0" applyNumberFormat="1" applyFont="1" applyFill="1" applyBorder="1"/>
    <xf numFmtId="164" fontId="31" fillId="7" borderId="29" xfId="0" applyNumberFormat="1" applyFont="1" applyFill="1" applyBorder="1"/>
    <xf numFmtId="9" fontId="0" fillId="0" borderId="0" xfId="0" applyNumberFormat="1"/>
    <xf numFmtId="0" fontId="31" fillId="7" borderId="29" xfId="0" applyFont="1" applyFill="1" applyBorder="1"/>
    <xf numFmtId="37" fontId="0" fillId="4" borderId="5" xfId="0" applyNumberFormat="1" applyFill="1" applyBorder="1" applyAlignment="1">
      <alignment horizontal="left" vertical="center"/>
    </xf>
    <xf numFmtId="0" fontId="0" fillId="4" borderId="5" xfId="0" applyFill="1" applyBorder="1" applyAlignment="1" applyProtection="1">
      <alignment horizontal="left" vertical="center"/>
      <protection locked="0"/>
    </xf>
    <xf numFmtId="0" fontId="0" fillId="8" borderId="0" xfId="0" applyFill="1"/>
    <xf numFmtId="0" fontId="31" fillId="0" borderId="32" xfId="0" applyFont="1" applyBorder="1"/>
    <xf numFmtId="10" fontId="0" fillId="0" borderId="0" xfId="0" applyNumberFormat="1"/>
    <xf numFmtId="10" fontId="31" fillId="7" borderId="29" xfId="0" applyNumberFormat="1" applyFont="1" applyFill="1" applyBorder="1"/>
    <xf numFmtId="165" fontId="31" fillId="0" borderId="32" xfId="0" applyNumberFormat="1" applyFont="1" applyBorder="1"/>
    <xf numFmtId="165" fontId="31" fillId="7" borderId="29" xfId="0" applyNumberFormat="1" applyFont="1" applyFill="1" applyBorder="1"/>
    <xf numFmtId="0" fontId="36" fillId="3" borderId="5" xfId="0" applyFont="1" applyFill="1" applyBorder="1" applyAlignment="1">
      <alignment horizontal="left" vertical="top" wrapText="1"/>
    </xf>
    <xf numFmtId="0" fontId="32" fillId="3" borderId="31" xfId="0" applyFont="1" applyFill="1" applyBorder="1" applyAlignment="1">
      <alignment horizontal="left" vertical="top" wrapText="1"/>
    </xf>
    <xf numFmtId="14" fontId="33" fillId="3" borderId="31" xfId="0" applyNumberFormat="1" applyFont="1" applyFill="1" applyBorder="1" applyAlignment="1">
      <alignment horizontal="left" vertical="top" wrapText="1"/>
    </xf>
    <xf numFmtId="0" fontId="32" fillId="3" borderId="31" xfId="0" applyFont="1" applyFill="1" applyBorder="1" applyAlignment="1">
      <alignment horizontal="center" vertical="top" wrapText="1"/>
    </xf>
    <xf numFmtId="0" fontId="33" fillId="3" borderId="31" xfId="0" applyFont="1" applyFill="1" applyBorder="1" applyAlignment="1">
      <alignment horizontal="center" vertical="top" wrapText="1"/>
    </xf>
    <xf numFmtId="0" fontId="33" fillId="3" borderId="31" xfId="0" applyFont="1" applyFill="1" applyBorder="1" applyAlignment="1">
      <alignment horizontal="left" vertical="top" wrapText="1"/>
    </xf>
    <xf numFmtId="164" fontId="8" fillId="2" borderId="31" xfId="4" applyNumberFormat="1" applyFont="1" applyFill="1" applyBorder="1" applyAlignment="1">
      <alignment vertical="top" wrapText="1"/>
    </xf>
    <xf numFmtId="164" fontId="34" fillId="2" borderId="31" xfId="4" applyNumberFormat="1" applyFont="1" applyFill="1" applyBorder="1" applyAlignment="1">
      <alignment vertical="top" wrapText="1"/>
    </xf>
    <xf numFmtId="164" fontId="34" fillId="4" borderId="31" xfId="4" applyNumberFormat="1" applyFont="1" applyFill="1" applyBorder="1" applyAlignment="1">
      <alignment horizontal="left" vertical="top" wrapText="1"/>
    </xf>
    <xf numFmtId="164" fontId="33" fillId="2" borderId="31" xfId="4" applyNumberFormat="1" applyFont="1" applyFill="1" applyBorder="1" applyAlignment="1">
      <alignment horizontal="left" vertical="top" wrapText="1"/>
    </xf>
    <xf numFmtId="164" fontId="34" fillId="2" borderId="31" xfId="4" applyNumberFormat="1" applyFont="1" applyFill="1" applyBorder="1" applyAlignment="1">
      <alignment horizontal="left" vertical="top" wrapText="1"/>
    </xf>
    <xf numFmtId="0" fontId="34" fillId="4" borderId="31" xfId="4" applyNumberFormat="1" applyFont="1" applyFill="1" applyBorder="1" applyAlignment="1">
      <alignment horizontal="left" vertical="top" wrapText="1"/>
    </xf>
    <xf numFmtId="164" fontId="34" fillId="5" borderId="31" xfId="4" applyNumberFormat="1" applyFont="1" applyFill="1" applyBorder="1" applyAlignment="1">
      <alignment vertical="top" wrapText="1"/>
    </xf>
    <xf numFmtId="165" fontId="33" fillId="2" borderId="31" xfId="0" applyNumberFormat="1" applyFont="1" applyFill="1" applyBorder="1" applyAlignment="1">
      <alignment vertical="top" wrapText="1"/>
    </xf>
    <xf numFmtId="165" fontId="34" fillId="2" borderId="31" xfId="0" applyNumberFormat="1" applyFont="1" applyFill="1" applyBorder="1" applyAlignment="1">
      <alignment vertical="top" wrapText="1"/>
    </xf>
    <xf numFmtId="164" fontId="34" fillId="4" borderId="31" xfId="4" applyNumberFormat="1" applyFont="1" applyFill="1" applyBorder="1" applyAlignment="1">
      <alignment vertical="top" wrapText="1"/>
    </xf>
    <xf numFmtId="0" fontId="34" fillId="3" borderId="31" xfId="0" applyFont="1" applyFill="1" applyBorder="1" applyAlignment="1">
      <alignment vertical="top" wrapText="1"/>
    </xf>
    <xf numFmtId="164" fontId="34" fillId="4" borderId="30" xfId="4" applyNumberFormat="1" applyFont="1" applyFill="1" applyBorder="1" applyAlignment="1">
      <alignment vertical="top" wrapText="1"/>
    </xf>
    <xf numFmtId="0" fontId="0" fillId="3" borderId="31" xfId="0" applyFill="1" applyBorder="1" applyAlignment="1">
      <alignment horizontal="left" vertical="center"/>
    </xf>
    <xf numFmtId="14" fontId="0" fillId="3" borderId="31" xfId="0" applyNumberFormat="1" applyFill="1" applyBorder="1" applyAlignment="1">
      <alignment horizontal="left" vertical="center"/>
    </xf>
    <xf numFmtId="0" fontId="0" fillId="3" borderId="31" xfId="0" applyFill="1" applyBorder="1" applyAlignment="1">
      <alignment horizontal="center" vertical="center"/>
    </xf>
    <xf numFmtId="164" fontId="0" fillId="3" borderId="31" xfId="4" applyNumberFormat="1" applyFont="1" applyFill="1" applyBorder="1" applyAlignment="1">
      <alignment horizontal="left" vertical="center"/>
    </xf>
    <xf numFmtId="10" fontId="0" fillId="3" borderId="31" xfId="5" applyNumberFormat="1" applyFont="1" applyFill="1" applyBorder="1" applyAlignment="1">
      <alignment horizontal="center" vertical="center"/>
    </xf>
    <xf numFmtId="164" fontId="0" fillId="3" borderId="31" xfId="4" applyNumberFormat="1" applyFont="1" applyFill="1" applyBorder="1" applyAlignment="1">
      <alignment horizontal="center" vertical="center"/>
    </xf>
    <xf numFmtId="37" fontId="13" fillId="4" borderId="31" xfId="4" applyNumberFormat="1" applyFont="1" applyFill="1" applyBorder="1" applyAlignment="1">
      <alignment horizontal="center" vertical="center"/>
    </xf>
    <xf numFmtId="166" fontId="0" fillId="3" borderId="31" xfId="4" applyNumberFormat="1" applyFont="1" applyFill="1" applyBorder="1" applyAlignment="1">
      <alignment horizontal="center" vertical="center"/>
    </xf>
    <xf numFmtId="10" fontId="0" fillId="3" borderId="31" xfId="5" applyNumberFormat="1" applyFont="1" applyFill="1" applyBorder="1" applyAlignment="1">
      <alignment vertical="center"/>
    </xf>
    <xf numFmtId="165" fontId="0" fillId="3" borderId="31" xfId="5" applyNumberFormat="1" applyFont="1" applyFill="1" applyBorder="1" applyAlignment="1">
      <alignment horizontal="center" vertical="center"/>
    </xf>
    <xf numFmtId="164" fontId="0" fillId="4" borderId="31" xfId="4" applyNumberFormat="1" applyFont="1" applyFill="1" applyBorder="1" applyAlignment="1">
      <alignment horizontal="left" vertical="center"/>
    </xf>
    <xf numFmtId="10" fontId="0" fillId="4" borderId="31" xfId="5" applyNumberFormat="1" applyFont="1" applyFill="1" applyBorder="1" applyAlignment="1">
      <alignment horizontal="left" vertical="center"/>
    </xf>
    <xf numFmtId="164" fontId="13" fillId="3" borderId="31" xfId="4" applyNumberFormat="1" applyFont="1" applyFill="1" applyBorder="1" applyAlignment="1">
      <alignment horizontal="left" vertical="center"/>
    </xf>
    <xf numFmtId="164" fontId="0" fillId="3" borderId="31" xfId="0" applyNumberFormat="1" applyFill="1" applyBorder="1" applyAlignment="1">
      <alignment horizontal="right" vertical="center"/>
    </xf>
    <xf numFmtId="165" fontId="0" fillId="3" borderId="31" xfId="5" applyNumberFormat="1" applyFont="1" applyFill="1" applyBorder="1" applyAlignment="1">
      <alignment horizontal="right" vertical="center"/>
    </xf>
    <xf numFmtId="164" fontId="0" fillId="3" borderId="31" xfId="0" applyNumberFormat="1" applyFill="1" applyBorder="1" applyAlignment="1">
      <alignment horizontal="left" vertical="center"/>
    </xf>
    <xf numFmtId="0" fontId="0" fillId="4" borderId="31" xfId="0" applyFill="1" applyBorder="1" applyAlignment="1">
      <alignment horizontal="left" vertical="center"/>
    </xf>
    <xf numFmtId="0" fontId="0" fillId="7" borderId="33" xfId="0" applyFill="1" applyBorder="1"/>
    <xf numFmtId="0" fontId="0" fillId="0" borderId="33" xfId="0" applyBorder="1"/>
    <xf numFmtId="164" fontId="0" fillId="3" borderId="31" xfId="3" applyNumberFormat="1" applyFont="1" applyFill="1" applyBorder="1" applyAlignment="1">
      <alignment horizontal="left" vertical="center"/>
    </xf>
    <xf numFmtId="164" fontId="0" fillId="3" borderId="31" xfId="3" applyNumberFormat="1" applyFont="1" applyFill="1" applyBorder="1" applyAlignment="1">
      <alignment horizontal="center" vertical="center"/>
    </xf>
    <xf numFmtId="37" fontId="13" fillId="4" borderId="31" xfId="3" applyNumberFormat="1" applyFont="1" applyFill="1" applyBorder="1" applyAlignment="1">
      <alignment horizontal="center" vertical="center"/>
    </xf>
    <xf numFmtId="166" fontId="0" fillId="3" borderId="31" xfId="3" applyNumberFormat="1" applyFont="1" applyFill="1" applyBorder="1" applyAlignment="1">
      <alignment horizontal="center" vertical="center"/>
    </xf>
    <xf numFmtId="164" fontId="0" fillId="4" borderId="31" xfId="3" applyNumberFormat="1" applyFont="1" applyFill="1" applyBorder="1" applyAlignment="1">
      <alignment horizontal="left" vertical="center"/>
    </xf>
    <xf numFmtId="164" fontId="13" fillId="3" borderId="31" xfId="3" applyNumberFormat="1" applyFont="1" applyFill="1" applyBorder="1" applyAlignment="1">
      <alignment horizontal="left" vertical="center"/>
    </xf>
    <xf numFmtId="10" fontId="0" fillId="3" borderId="31" xfId="2" applyNumberFormat="1" applyFont="1" applyFill="1" applyBorder="1" applyAlignment="1">
      <alignment horizontal="center" vertical="center"/>
    </xf>
    <xf numFmtId="10" fontId="0" fillId="3" borderId="31" xfId="2" applyNumberFormat="1" applyFont="1" applyFill="1" applyBorder="1" applyAlignment="1">
      <alignment vertical="center"/>
    </xf>
    <xf numFmtId="165" fontId="0" fillId="3" borderId="31" xfId="2" applyNumberFormat="1" applyFont="1" applyFill="1" applyBorder="1" applyAlignment="1">
      <alignment horizontal="center" vertical="center"/>
    </xf>
    <xf numFmtId="10" fontId="0" fillId="4" borderId="31" xfId="2" applyNumberFormat="1" applyFont="1" applyFill="1" applyBorder="1" applyAlignment="1">
      <alignment horizontal="left" vertical="center"/>
    </xf>
    <xf numFmtId="165" fontId="0" fillId="3" borderId="31" xfId="2" applyNumberFormat="1" applyFont="1" applyFill="1" applyBorder="1" applyAlignment="1">
      <alignment horizontal="right" vertical="center"/>
    </xf>
    <xf numFmtId="164" fontId="0" fillId="3" borderId="31" xfId="1" applyNumberFormat="1" applyFont="1" applyFill="1" applyBorder="1" applyAlignment="1">
      <alignment horizontal="left" vertical="center"/>
    </xf>
    <xf numFmtId="164" fontId="0" fillId="3" borderId="31" xfId="1" applyNumberFormat="1" applyFont="1" applyFill="1" applyBorder="1" applyAlignment="1">
      <alignment horizontal="center" vertical="center"/>
    </xf>
    <xf numFmtId="37" fontId="13" fillId="4" borderId="31" xfId="1" applyNumberFormat="1" applyFont="1" applyFill="1" applyBorder="1" applyAlignment="1">
      <alignment horizontal="center" vertical="center"/>
    </xf>
    <xf numFmtId="166" fontId="0" fillId="3" borderId="31" xfId="1" applyNumberFormat="1" applyFont="1" applyFill="1" applyBorder="1" applyAlignment="1">
      <alignment horizontal="center" vertical="center"/>
    </xf>
    <xf numFmtId="164" fontId="0" fillId="4" borderId="31" xfId="1" applyNumberFormat="1" applyFont="1" applyFill="1" applyBorder="1" applyAlignment="1">
      <alignment horizontal="left" vertical="center"/>
    </xf>
    <xf numFmtId="164" fontId="13" fillId="3" borderId="31" xfId="1" applyNumberFormat="1" applyFont="1" applyFill="1" applyBorder="1" applyAlignment="1">
      <alignment horizontal="left" vertical="center"/>
    </xf>
    <xf numFmtId="0" fontId="0" fillId="7" borderId="19" xfId="0" applyFill="1" applyBorder="1"/>
    <xf numFmtId="164" fontId="0" fillId="3" borderId="5" xfId="3" applyNumberFormat="1" applyFont="1" applyFill="1" applyBorder="1" applyAlignment="1">
      <alignment horizontal="left" vertical="center"/>
    </xf>
    <xf numFmtId="10" fontId="0" fillId="3" borderId="5" xfId="2" applyNumberFormat="1" applyFont="1" applyFill="1" applyBorder="1" applyAlignment="1">
      <alignment horizontal="center" vertical="center"/>
    </xf>
    <xf numFmtId="164" fontId="0" fillId="3" borderId="5" xfId="3" applyNumberFormat="1" applyFont="1" applyFill="1" applyBorder="1" applyAlignment="1">
      <alignment horizontal="center" vertical="center"/>
    </xf>
    <xf numFmtId="37" fontId="13" fillId="4" borderId="5" xfId="3" applyNumberFormat="1" applyFont="1" applyFill="1" applyBorder="1" applyAlignment="1">
      <alignment horizontal="center" vertical="center"/>
    </xf>
    <xf numFmtId="166" fontId="0" fillId="3" borderId="5" xfId="3" applyNumberFormat="1" applyFont="1" applyFill="1" applyBorder="1" applyAlignment="1">
      <alignment horizontal="center" vertical="center"/>
    </xf>
    <xf numFmtId="10" fontId="0" fillId="3" borderId="5" xfId="2" applyNumberFormat="1" applyFont="1" applyFill="1" applyBorder="1" applyAlignment="1">
      <alignment vertical="center"/>
    </xf>
    <xf numFmtId="165" fontId="0" fillId="3" borderId="5" xfId="2" applyNumberFormat="1" applyFont="1" applyFill="1" applyBorder="1" applyAlignment="1">
      <alignment horizontal="center" vertical="center"/>
    </xf>
    <xf numFmtId="164" fontId="0" fillId="4" borderId="5" xfId="3" applyNumberFormat="1" applyFont="1" applyFill="1" applyBorder="1" applyAlignment="1">
      <alignment horizontal="left" vertical="center"/>
    </xf>
    <xf numFmtId="10" fontId="0" fillId="4" borderId="5" xfId="2" applyNumberFormat="1" applyFont="1" applyFill="1" applyBorder="1" applyAlignment="1">
      <alignment horizontal="left" vertical="center"/>
    </xf>
    <xf numFmtId="164" fontId="13" fillId="3" borderId="5" xfId="3" applyNumberFormat="1" applyFont="1" applyFill="1" applyBorder="1" applyAlignment="1">
      <alignment horizontal="left" vertical="center"/>
    </xf>
    <xf numFmtId="165" fontId="0" fillId="3" borderId="5" xfId="2" applyNumberFormat="1" applyFont="1" applyFill="1" applyBorder="1" applyAlignment="1">
      <alignment horizontal="right" vertical="center"/>
    </xf>
    <xf numFmtId="10" fontId="0" fillId="3" borderId="5" xfId="5" applyNumberFormat="1" applyFont="1" applyFill="1" applyBorder="1" applyAlignment="1">
      <alignment horizontal="center" vertical="center"/>
    </xf>
    <xf numFmtId="10" fontId="0" fillId="3" borderId="5" xfId="5" applyNumberFormat="1" applyFont="1" applyFill="1" applyBorder="1" applyAlignment="1">
      <alignment vertical="center"/>
    </xf>
    <xf numFmtId="165" fontId="0" fillId="3" borderId="5" xfId="5" applyNumberFormat="1" applyFont="1" applyFill="1" applyBorder="1" applyAlignment="1">
      <alignment horizontal="center" vertical="center"/>
    </xf>
    <xf numFmtId="10" fontId="0" fillId="4" borderId="5" xfId="5" applyNumberFormat="1" applyFont="1" applyFill="1" applyBorder="1" applyAlignment="1">
      <alignment horizontal="left" vertical="center"/>
    </xf>
    <xf numFmtId="165" fontId="0" fillId="3" borderId="5" xfId="5" applyNumberFormat="1" applyFont="1" applyFill="1" applyBorder="1" applyAlignment="1">
      <alignment horizontal="right" vertical="center"/>
    </xf>
    <xf numFmtId="164" fontId="0" fillId="3" borderId="5" xfId="1" applyNumberFormat="1" applyFont="1" applyFill="1" applyBorder="1" applyAlignment="1">
      <alignment horizontal="left" vertical="center"/>
    </xf>
    <xf numFmtId="164" fontId="0" fillId="3" borderId="5" xfId="1" applyNumberFormat="1" applyFont="1" applyFill="1" applyBorder="1" applyAlignment="1">
      <alignment horizontal="center" vertical="center"/>
    </xf>
    <xf numFmtId="37" fontId="13" fillId="4" borderId="5" xfId="1" applyNumberFormat="1" applyFont="1" applyFill="1" applyBorder="1" applyAlignment="1">
      <alignment horizontal="center" vertical="center"/>
    </xf>
    <xf numFmtId="166" fontId="0" fillId="3" borderId="5" xfId="1" applyNumberFormat="1" applyFont="1" applyFill="1" applyBorder="1" applyAlignment="1">
      <alignment horizontal="center" vertical="center"/>
    </xf>
    <xf numFmtId="164" fontId="0" fillId="4" borderId="5" xfId="1" applyNumberFormat="1" applyFont="1" applyFill="1" applyBorder="1" applyAlignment="1">
      <alignment horizontal="left" vertical="center"/>
    </xf>
    <xf numFmtId="164" fontId="13" fillId="3" borderId="5" xfId="1" applyNumberFormat="1" applyFont="1" applyFill="1" applyBorder="1" applyAlignment="1">
      <alignment horizontal="left" vertical="center"/>
    </xf>
    <xf numFmtId="0" fontId="0" fillId="3" borderId="30" xfId="0" applyFill="1" applyBorder="1" applyAlignment="1">
      <alignment horizontal="left" vertical="center"/>
    </xf>
    <xf numFmtId="0" fontId="0" fillId="7" borderId="34" xfId="0" applyFill="1" applyBorder="1"/>
    <xf numFmtId="0" fontId="11" fillId="3" borderId="31" xfId="0" applyFont="1" applyFill="1" applyBorder="1" applyAlignment="1">
      <alignment horizontal="left" vertical="top" wrapText="1"/>
    </xf>
    <xf numFmtId="0" fontId="11" fillId="3" borderId="31" xfId="0" applyFont="1" applyFill="1" applyBorder="1" applyAlignment="1">
      <alignment horizontal="center" vertical="top" wrapText="1"/>
    </xf>
    <xf numFmtId="164" fontId="11" fillId="2" borderId="31" xfId="4" applyNumberFormat="1" applyFont="1" applyFill="1" applyBorder="1" applyAlignment="1">
      <alignment vertical="top" wrapText="1"/>
    </xf>
    <xf numFmtId="164" fontId="11" fillId="4" borderId="31" xfId="4" applyNumberFormat="1" applyFont="1" applyFill="1" applyBorder="1" applyAlignment="1">
      <alignment horizontal="left" vertical="top" wrapText="1"/>
    </xf>
    <xf numFmtId="164" fontId="11" fillId="2" borderId="31" xfId="4" applyNumberFormat="1" applyFont="1" applyFill="1" applyBorder="1" applyAlignment="1">
      <alignment horizontal="left" vertical="top" wrapText="1"/>
    </xf>
    <xf numFmtId="0" fontId="11" fillId="4" borderId="31" xfId="4" applyNumberFormat="1" applyFont="1" applyFill="1" applyBorder="1" applyAlignment="1">
      <alignment horizontal="left" vertical="top" wrapText="1"/>
    </xf>
    <xf numFmtId="164" fontId="11" fillId="5" borderId="31" xfId="4" applyNumberFormat="1" applyFont="1" applyFill="1" applyBorder="1" applyAlignment="1">
      <alignment vertical="top" wrapText="1"/>
    </xf>
    <xf numFmtId="165" fontId="11" fillId="2" borderId="31" xfId="0" applyNumberFormat="1" applyFont="1" applyFill="1" applyBorder="1" applyAlignment="1">
      <alignment vertical="top" wrapText="1"/>
    </xf>
    <xf numFmtId="164" fontId="11" fillId="4" borderId="31" xfId="4" applyNumberFormat="1" applyFont="1" applyFill="1" applyBorder="1" applyAlignment="1">
      <alignment vertical="top" wrapText="1"/>
    </xf>
    <xf numFmtId="0" fontId="11" fillId="3" borderId="31" xfId="0" applyFont="1" applyFill="1" applyBorder="1" applyAlignment="1">
      <alignment vertical="top" wrapText="1"/>
    </xf>
    <xf numFmtId="164" fontId="11" fillId="4" borderId="30" xfId="4" applyNumberFormat="1" applyFont="1" applyFill="1" applyBorder="1" applyAlignment="1">
      <alignment vertical="top" wrapText="1"/>
    </xf>
    <xf numFmtId="164" fontId="11" fillId="2" borderId="31" xfId="4" applyNumberFormat="1" applyFont="1" applyFill="1" applyBorder="1" applyAlignment="1">
      <alignment vertical="center" wrapText="1"/>
    </xf>
    <xf numFmtId="164" fontId="11" fillId="4" borderId="31" xfId="4" applyNumberFormat="1" applyFont="1" applyFill="1" applyBorder="1" applyAlignment="1">
      <alignment horizontal="left" vertical="center" wrapText="1"/>
    </xf>
    <xf numFmtId="164" fontId="11" fillId="2" borderId="31" xfId="4" applyNumberFormat="1" applyFont="1" applyFill="1" applyBorder="1" applyAlignment="1">
      <alignment horizontal="left" vertical="center" wrapText="1"/>
    </xf>
    <xf numFmtId="0" fontId="0" fillId="0" borderId="34" xfId="0" applyBorder="1"/>
    <xf numFmtId="0" fontId="31" fillId="0" borderId="0" xfId="0" applyFont="1" applyAlignment="1">
      <alignment horizontal="left" vertical="center"/>
    </xf>
    <xf numFmtId="164" fontId="0" fillId="3" borderId="5" xfId="4" applyNumberFormat="1" applyFont="1" applyFill="1" applyBorder="1" applyAlignment="1">
      <alignment horizontal="left" vertical="center"/>
    </xf>
    <xf numFmtId="164" fontId="0" fillId="3" borderId="5" xfId="4" applyNumberFormat="1" applyFont="1" applyFill="1" applyBorder="1" applyAlignment="1">
      <alignment horizontal="center" vertical="center"/>
    </xf>
    <xf numFmtId="37" fontId="13" fillId="4" borderId="5" xfId="4" applyNumberFormat="1" applyFont="1" applyFill="1" applyBorder="1" applyAlignment="1">
      <alignment horizontal="center" vertical="center"/>
    </xf>
    <xf numFmtId="166" fontId="0" fillId="3" borderId="5" xfId="4" applyNumberFormat="1" applyFont="1" applyFill="1" applyBorder="1" applyAlignment="1">
      <alignment horizontal="center" vertical="center"/>
    </xf>
    <xf numFmtId="164" fontId="0" fillId="4" borderId="5" xfId="4" applyNumberFormat="1" applyFont="1" applyFill="1" applyBorder="1" applyAlignment="1">
      <alignment horizontal="left" vertical="center"/>
    </xf>
    <xf numFmtId="164" fontId="13" fillId="3" borderId="5" xfId="4" applyNumberFormat="1" applyFont="1" applyFill="1" applyBorder="1" applyAlignment="1">
      <alignment horizontal="left" vertical="center"/>
    </xf>
    <xf numFmtId="0" fontId="0" fillId="4" borderId="31" xfId="0" applyFill="1" applyBorder="1" applyAlignment="1">
      <alignment horizontal="left" vertical="center" wrapText="1"/>
    </xf>
    <xf numFmtId="0" fontId="0" fillId="4" borderId="31" xfId="0" quotePrefix="1" applyFill="1" applyBorder="1" applyAlignment="1">
      <alignment horizontal="left" vertical="center" wrapText="1"/>
    </xf>
    <xf numFmtId="0" fontId="0" fillId="3" borderId="5" xfId="0" applyFill="1" applyBorder="1"/>
    <xf numFmtId="0" fontId="0" fillId="3" borderId="26" xfId="0" applyFill="1" applyBorder="1" applyAlignment="1">
      <alignment horizontal="left" vertical="center"/>
    </xf>
    <xf numFmtId="0" fontId="0" fillId="3" borderId="31" xfId="0" applyFill="1" applyBorder="1"/>
    <xf numFmtId="0" fontId="0" fillId="4" borderId="26" xfId="0" applyFill="1" applyBorder="1" applyAlignment="1">
      <alignment horizontal="left" vertical="center"/>
    </xf>
    <xf numFmtId="0" fontId="31" fillId="9" borderId="35" xfId="0" applyFont="1" applyFill="1" applyBorder="1" applyAlignment="1">
      <alignment horizontal="left" vertical="center" wrapText="1"/>
    </xf>
    <xf numFmtId="0" fontId="31" fillId="11" borderId="35" xfId="0" applyFont="1" applyFill="1" applyBorder="1" applyAlignment="1">
      <alignment horizontal="left" vertical="center" wrapText="1"/>
    </xf>
    <xf numFmtId="0" fontId="31" fillId="10" borderId="35"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164" fontId="3" fillId="2" borderId="2" xfId="4" applyNumberFormat="1" applyFont="1" applyFill="1" applyBorder="1" applyAlignment="1" applyProtection="1">
      <alignment horizontal="center" vertical="center" wrapText="1"/>
    </xf>
    <xf numFmtId="164" fontId="3" fillId="2" borderId="3" xfId="4" applyNumberFormat="1" applyFont="1" applyFill="1" applyBorder="1" applyAlignment="1" applyProtection="1">
      <alignment horizontal="center" vertical="center" wrapText="1"/>
    </xf>
    <xf numFmtId="164" fontId="3" fillId="2" borderId="4" xfId="4" applyNumberFormat="1" applyFont="1" applyFill="1" applyBorder="1" applyAlignment="1" applyProtection="1">
      <alignment horizontal="center" vertical="center" wrapText="1"/>
    </xf>
    <xf numFmtId="0" fontId="0" fillId="4" borderId="16" xfId="0" applyFill="1" applyBorder="1" applyAlignment="1">
      <alignment horizontal="left" vertical="center"/>
    </xf>
    <xf numFmtId="49" fontId="32" fillId="3" borderId="23" xfId="0" applyNumberFormat="1" applyFont="1" applyFill="1" applyBorder="1" applyAlignment="1">
      <alignment horizontal="left" vertical="top" wrapText="1"/>
    </xf>
    <xf numFmtId="49" fontId="0" fillId="3" borderId="21" xfId="0" applyNumberFormat="1" applyFill="1" applyBorder="1" applyAlignment="1">
      <alignment horizontal="left" vertical="center"/>
    </xf>
    <xf numFmtId="49" fontId="0" fillId="3" borderId="5" xfId="0" applyNumberFormat="1" applyFill="1" applyBorder="1" applyAlignment="1">
      <alignment horizontal="left" vertical="center"/>
    </xf>
    <xf numFmtId="49" fontId="0" fillId="3" borderId="2" xfId="0" applyNumberFormat="1" applyFill="1" applyBorder="1" applyAlignment="1">
      <alignment horizontal="left" vertical="center"/>
    </xf>
    <xf numFmtId="49" fontId="0" fillId="3" borderId="6" xfId="0" applyNumberFormat="1" applyFill="1" applyBorder="1" applyAlignment="1">
      <alignment horizontal="left" vertical="center"/>
    </xf>
  </cellXfs>
  <cellStyles count="10">
    <cellStyle name="Comma" xfId="4" xr:uid="{6B36C555-B324-4539-BE7C-43CA756A84FC}"/>
    <cellStyle name="Percent" xfId="5" xr:uid="{67CAAEB8-F893-4610-A36A-0383ED8EEB60}"/>
    <cellStyle name="Percent 2" xfId="8" xr:uid="{22C0CE95-6CC2-4B03-B429-AFE90FB00517}"/>
    <cellStyle name="Warning Text" xfId="3" xr:uid="{C682AC4C-CF98-49B3-92ED-4AE1878FA5F6}"/>
    <cellStyle name="千位分隔" xfId="1" builtinId="3"/>
    <cellStyle name="千位分隔 8" xfId="7" xr:uid="{8F9EDF85-C6ED-4338-B842-CE720A03254A}"/>
    <cellStyle name="常规" xfId="0" builtinId="0"/>
    <cellStyle name="百分比" xfId="2" builtinId="5"/>
    <cellStyle name="百分比 2 2" xfId="9" xr:uid="{40D007D5-0D50-4401-9250-7D2F33714139}"/>
    <cellStyle name="百分比 6" xfId="6" xr:uid="{45BEEFA0-6BE5-4271-99B0-80B0C7139103}"/>
  </cellStyles>
  <dxfs count="246">
    <dxf>
      <fill>
        <patternFill>
          <bgColor rgb="FFFF0000"/>
        </patternFill>
      </fill>
    </dxf>
    <dxf>
      <font>
        <color theme="5"/>
      </font>
      <fill>
        <patternFill>
          <fgColor theme="5" tint="0.59996337778862885"/>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ill>
        <patternFill>
          <bgColor rgb="FFFF0000"/>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ont>
        <color theme="5"/>
      </font>
      <fill>
        <patternFill>
          <fgColor theme="5" tint="0.39991454817346722"/>
          <bgColor theme="5" tint="0.59996337778862885"/>
        </patternFill>
      </fill>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2"/>
        <color theme="1"/>
        <name val="Arial"/>
        <family val="2"/>
        <scheme val="none"/>
      </font>
      <numFmt numFmtId="164" formatCode="_ * #,##0_ ;_ * \-#,##0_ ;_ * &quot;-&quot;??_ ;_ @_ "/>
      <fill>
        <patternFill patternType="solid">
          <fgColor indexed="64"/>
          <bgColor rgb="FFCCFFCC"/>
        </patternFill>
      </fill>
      <alignment horizontal="general" vertical="top" textRotation="0" wrapText="1" indent="0" justifyLastLine="0" shrinkToFit="0" readingOrder="0"/>
      <border diagonalUp="0" diagonalDown="0" outline="0">
        <left style="thin">
          <color indexed="64"/>
        </left>
        <right style="thin">
          <color indexed="64"/>
        </right>
        <top/>
        <bottom/>
      </border>
      <protection locked="1" hidden="0"/>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numFmt numFmtId="164" formatCode="_ * #,##0_ ;_ * \-#,##0_ ;_ * &quot;-&quot;??_ ;_ @_ "/>
      <fill>
        <patternFill patternType="solid">
          <fgColor indexed="64"/>
          <bgColor theme="0" tint="-0.1499984740745262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Arial"/>
        <family val="2"/>
        <scheme val="none"/>
      </font>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rgb="FFCCFFCC"/>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5" formatCode="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6" formatCode="_(* #,##0_);_(* \(#,##0\);_(* &quot;-&quot;??_);_(@_)"/>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i val="0"/>
        <strike val="0"/>
        <condense val="0"/>
        <extend val="0"/>
        <outline val="0"/>
        <shadow val="0"/>
        <u val="none"/>
        <vertAlign val="baseline"/>
        <sz val="11"/>
        <color theme="1"/>
        <name val="Arial"/>
        <family val="2"/>
        <scheme val="none"/>
      </font>
      <numFmt numFmtId="5" formatCode="#,##0_);\(#,##0\)"/>
      <fill>
        <patternFill patternType="solid">
          <fgColor indexed="64"/>
          <bgColor rgb="FFCCFFCC"/>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_ * #,##0_ ;_ * \-#,##0_ ;_ * &quot;-&quot;??_ ;_ @_ "/>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fill>
        <patternFill patternType="solid">
          <fgColor indexed="64"/>
          <bgColor rgb="FFCCFFCC"/>
        </patternFill>
      </fill>
      <alignment horizontal="left" vertical="center" textRotation="0" wrapText="0" indent="0" justifyLastLine="0" shrinkToFit="0" readingOrder="0"/>
    </dxf>
    <dxf>
      <font>
        <b/>
        <i val="0"/>
        <strike val="0"/>
        <condense val="0"/>
        <extend val="0"/>
        <outline val="0"/>
        <shadow val="0"/>
        <u val="none"/>
        <vertAlign val="baseline"/>
        <sz val="12"/>
        <color theme="0"/>
        <name val="Arial"/>
        <family val="2"/>
        <scheme val="none"/>
      </font>
      <numFmt numFmtId="164" formatCode="_ * #,##0_ ;_ * \-#,##0_ ;_ * &quot;-&quot;??_ ;_ @_ "/>
      <fill>
        <patternFill patternType="solid">
          <fgColor indexed="64"/>
          <bgColor rgb="FFCCFFCC"/>
        </patternFill>
      </fill>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sch-my.sharepoint.com/personal/yal9nj_bosch_com/Documents/Documents/FLCNa/HR/ASR2026/VFVP&#35843;&#34218;&#27719;&#24635;&#34920;.xlsx" TargetMode="External"/><Relationship Id="rId1" Type="http://schemas.openxmlformats.org/officeDocument/2006/relationships/externalLinkPath" Target="https://bosch-my.sharepoint.com/personal/mox1nj_bosch_com/Documents/Desktop/2026/ASR2026/ASR%20Sheet-FLCNa/Feedback/Summary/Molly/VFVP&#35843;&#34218;&#27719;&#24635;&#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调薪汇总表(HR顺序)"/>
      <sheetName val="调薪汇总表 (模拟)"/>
      <sheetName val="调薪计算"/>
      <sheetName val="处分2025"/>
      <sheetName val="VF2025员工星级清单"/>
      <sheetName val="VF2025员工绩效"/>
      <sheetName val="档位"/>
      <sheetName val="优化名单"/>
    </sheetNames>
    <sheetDataSet>
      <sheetData sheetId="0" refreshError="1"/>
      <sheetData sheetId="1" refreshError="1"/>
      <sheetData sheetId="2" refreshError="1">
        <row r="1">
          <cell r="A1" t="str">
            <v>BSH RGC Salary Review Year 2026</v>
          </cell>
        </row>
        <row r="8">
          <cell r="A8" t="str">
            <v>Pers.no.</v>
          </cell>
          <cell r="B8" t="str">
            <v>Name_C</v>
          </cell>
          <cell r="C8" t="str">
            <v>Name_E</v>
          </cell>
          <cell r="D8" t="str">
            <v>星级</v>
          </cell>
          <cell r="E8" t="str">
            <v>星级分</v>
          </cell>
          <cell r="F8" t="str">
            <v>绩效</v>
          </cell>
          <cell r="G8" t="str">
            <v>绩效分</v>
          </cell>
          <cell r="H8" t="str">
            <v>总分</v>
          </cell>
          <cell r="I8" t="str">
            <v>档位</v>
          </cell>
          <cell r="J8" t="str">
            <v>调整%</v>
          </cell>
          <cell r="K8" t="str">
            <v xml:space="preserve"> Basic salary </v>
          </cell>
          <cell r="L8" t="str">
            <v>调整后</v>
          </cell>
          <cell r="M8" t="str">
            <v>特调</v>
          </cell>
        </row>
        <row r="9">
          <cell r="A9">
            <v>15010148</v>
          </cell>
          <cell r="B9" t="str">
            <v>苗 宇</v>
          </cell>
          <cell r="C9" t="str">
            <v>Miao Yu</v>
          </cell>
          <cell r="D9">
            <v>3</v>
          </cell>
          <cell r="E9">
            <v>27</v>
          </cell>
          <cell r="F9" t="e">
            <v>#N/A</v>
          </cell>
          <cell r="G9" t="e">
            <v>#N/A</v>
          </cell>
          <cell r="H9" t="e">
            <v>#N/A</v>
          </cell>
          <cell r="I9">
            <v>3</v>
          </cell>
          <cell r="J9">
            <v>2.5000000000000001E-2</v>
          </cell>
          <cell r="K9">
            <v>7035</v>
          </cell>
          <cell r="L9">
            <v>7210.8749999999991</v>
          </cell>
        </row>
        <row r="10">
          <cell r="A10">
            <v>15002146</v>
          </cell>
          <cell r="B10" t="str">
            <v>王 建明</v>
          </cell>
          <cell r="C10" t="str">
            <v>Wang Jianming</v>
          </cell>
          <cell r="D10">
            <v>2</v>
          </cell>
          <cell r="E10">
            <v>18</v>
          </cell>
          <cell r="F10" t="e">
            <v>#N/A</v>
          </cell>
          <cell r="G10" t="e">
            <v>#N/A</v>
          </cell>
          <cell r="H10" t="e">
            <v>#N/A</v>
          </cell>
          <cell r="I10">
            <v>3</v>
          </cell>
          <cell r="J10">
            <v>2.5000000000000001E-2</v>
          </cell>
          <cell r="K10">
            <v>6800</v>
          </cell>
          <cell r="L10">
            <v>6969.9999999999991</v>
          </cell>
        </row>
        <row r="11">
          <cell r="A11">
            <v>15008819</v>
          </cell>
          <cell r="B11" t="str">
            <v>唐 步新</v>
          </cell>
          <cell r="C11" t="str">
            <v>Tang Buxin</v>
          </cell>
          <cell r="D11">
            <v>2</v>
          </cell>
          <cell r="E11">
            <v>18</v>
          </cell>
          <cell r="F11" t="e">
            <v>#N/A</v>
          </cell>
          <cell r="G11" t="e">
            <v>#N/A</v>
          </cell>
          <cell r="H11" t="e">
            <v>#N/A</v>
          </cell>
          <cell r="I11">
            <v>3</v>
          </cell>
          <cell r="J11">
            <v>0.01</v>
          </cell>
          <cell r="K11">
            <v>5513</v>
          </cell>
          <cell r="L11">
            <v>5568.13</v>
          </cell>
        </row>
        <row r="12">
          <cell r="A12">
            <v>15001555</v>
          </cell>
          <cell r="B12" t="str">
            <v>翟 学文</v>
          </cell>
          <cell r="C12" t="str">
            <v>Zhai Xuewen</v>
          </cell>
          <cell r="D12">
            <v>3</v>
          </cell>
          <cell r="E12">
            <v>27</v>
          </cell>
          <cell r="F12">
            <v>104.16666666666667</v>
          </cell>
          <cell r="G12">
            <v>72.916666666666671</v>
          </cell>
          <cell r="H12">
            <v>99.916666666666671</v>
          </cell>
          <cell r="I12">
            <v>5</v>
          </cell>
          <cell r="J12">
            <v>0.06</v>
          </cell>
          <cell r="K12">
            <v>4984</v>
          </cell>
          <cell r="L12">
            <v>5283.04</v>
          </cell>
        </row>
        <row r="13">
          <cell r="A13">
            <v>15000448</v>
          </cell>
          <cell r="B13" t="str">
            <v>朱 仙亮</v>
          </cell>
          <cell r="C13" t="str">
            <v>Zhu Xianliang</v>
          </cell>
          <cell r="D13">
            <v>3</v>
          </cell>
          <cell r="E13">
            <v>27</v>
          </cell>
          <cell r="F13">
            <v>103.33333333333333</v>
          </cell>
          <cell r="G13">
            <v>72.333333333333329</v>
          </cell>
          <cell r="H13">
            <v>99.333333333333329</v>
          </cell>
          <cell r="I13">
            <v>5</v>
          </cell>
          <cell r="J13">
            <v>0.06</v>
          </cell>
          <cell r="K13">
            <v>5608</v>
          </cell>
          <cell r="L13">
            <v>5944.4800000000005</v>
          </cell>
        </row>
        <row r="14">
          <cell r="A14">
            <v>15014970</v>
          </cell>
          <cell r="B14" t="str">
            <v>刘 忠海</v>
          </cell>
          <cell r="C14" t="str">
            <v>Liu Zhonghai</v>
          </cell>
          <cell r="D14">
            <v>3</v>
          </cell>
          <cell r="E14">
            <v>27</v>
          </cell>
          <cell r="F14">
            <v>102.5</v>
          </cell>
          <cell r="G14">
            <v>71.75</v>
          </cell>
          <cell r="H14">
            <v>98.75</v>
          </cell>
          <cell r="I14">
            <v>5</v>
          </cell>
          <cell r="J14">
            <v>0.06</v>
          </cell>
          <cell r="K14">
            <v>6104</v>
          </cell>
          <cell r="L14">
            <v>6470.2400000000007</v>
          </cell>
        </row>
        <row r="15">
          <cell r="A15">
            <v>15009207</v>
          </cell>
          <cell r="B15" t="str">
            <v>李 强</v>
          </cell>
          <cell r="C15" t="str">
            <v>Li Qiang</v>
          </cell>
          <cell r="D15">
            <v>3</v>
          </cell>
          <cell r="E15">
            <v>27</v>
          </cell>
          <cell r="F15">
            <v>102.08333333333333</v>
          </cell>
          <cell r="G15">
            <v>71.458333333333329</v>
          </cell>
          <cell r="H15">
            <v>98.458333333333329</v>
          </cell>
          <cell r="I15">
            <v>5</v>
          </cell>
          <cell r="J15">
            <v>0.06</v>
          </cell>
          <cell r="K15">
            <v>7272</v>
          </cell>
          <cell r="L15">
            <v>7708.3200000000006</v>
          </cell>
        </row>
        <row r="16">
          <cell r="A16">
            <v>15001955</v>
          </cell>
          <cell r="B16" t="str">
            <v>杨 海</v>
          </cell>
          <cell r="C16" t="str">
            <v>Yang Hai</v>
          </cell>
          <cell r="D16">
            <v>3</v>
          </cell>
          <cell r="E16">
            <v>27</v>
          </cell>
          <cell r="F16">
            <v>102.08333333333333</v>
          </cell>
          <cell r="G16">
            <v>71.458333333333329</v>
          </cell>
          <cell r="H16">
            <v>98.458333333333329</v>
          </cell>
          <cell r="I16">
            <v>5</v>
          </cell>
          <cell r="J16">
            <v>0.06</v>
          </cell>
          <cell r="K16">
            <v>6817</v>
          </cell>
          <cell r="L16">
            <v>7226.02</v>
          </cell>
        </row>
        <row r="17">
          <cell r="A17">
            <v>15016851</v>
          </cell>
          <cell r="B17" t="str">
            <v>何 萍</v>
          </cell>
          <cell r="C17" t="str">
            <v>He Ping</v>
          </cell>
          <cell r="D17">
            <v>3</v>
          </cell>
          <cell r="E17">
            <v>27</v>
          </cell>
          <cell r="F17">
            <v>102.08333333333333</v>
          </cell>
          <cell r="G17">
            <v>71.458333333333329</v>
          </cell>
          <cell r="H17">
            <v>98.458333333333329</v>
          </cell>
          <cell r="I17">
            <v>5</v>
          </cell>
          <cell r="J17">
            <v>0.06</v>
          </cell>
          <cell r="K17">
            <v>5757</v>
          </cell>
          <cell r="L17">
            <v>6102.42</v>
          </cell>
        </row>
        <row r="18">
          <cell r="A18">
            <v>15010998</v>
          </cell>
          <cell r="B18" t="str">
            <v>许 振伟</v>
          </cell>
          <cell r="C18" t="str">
            <v>Xu Zhengwei</v>
          </cell>
          <cell r="D18">
            <v>3</v>
          </cell>
          <cell r="E18">
            <v>27</v>
          </cell>
          <cell r="F18">
            <v>102.08333333333333</v>
          </cell>
          <cell r="G18">
            <v>71.458333333333329</v>
          </cell>
          <cell r="H18">
            <v>98.458333333333329</v>
          </cell>
          <cell r="I18">
            <v>5</v>
          </cell>
          <cell r="J18">
            <v>0.06</v>
          </cell>
          <cell r="K18">
            <v>4623</v>
          </cell>
          <cell r="L18">
            <v>4900.38</v>
          </cell>
        </row>
        <row r="19">
          <cell r="A19">
            <v>15013973</v>
          </cell>
          <cell r="B19" t="str">
            <v>郭 慧</v>
          </cell>
          <cell r="C19" t="str">
            <v>Guo Hui</v>
          </cell>
          <cell r="D19">
            <v>1</v>
          </cell>
          <cell r="E19">
            <v>9</v>
          </cell>
          <cell r="F19">
            <v>102.08333333333333</v>
          </cell>
          <cell r="G19">
            <v>71.458333333333329</v>
          </cell>
          <cell r="H19">
            <v>80.458333333333329</v>
          </cell>
          <cell r="I19">
            <v>3</v>
          </cell>
          <cell r="J19">
            <v>2.5000000000000001E-2</v>
          </cell>
          <cell r="K19">
            <v>4409</v>
          </cell>
          <cell r="L19">
            <v>4519.2249999999995</v>
          </cell>
        </row>
        <row r="20">
          <cell r="A20">
            <v>15001326</v>
          </cell>
          <cell r="B20" t="str">
            <v>林 敏</v>
          </cell>
          <cell r="C20" t="str">
            <v>Lin Min</v>
          </cell>
          <cell r="D20">
            <v>3</v>
          </cell>
          <cell r="E20">
            <v>27</v>
          </cell>
          <cell r="F20">
            <v>101.66666666666667</v>
          </cell>
          <cell r="G20">
            <v>71.166666666666671</v>
          </cell>
          <cell r="H20">
            <v>98.166666666666671</v>
          </cell>
          <cell r="I20">
            <v>5</v>
          </cell>
          <cell r="J20">
            <v>0.08</v>
          </cell>
          <cell r="K20">
            <v>8349</v>
          </cell>
          <cell r="L20">
            <v>9012.92</v>
          </cell>
        </row>
        <row r="21">
          <cell r="A21">
            <v>15001861</v>
          </cell>
          <cell r="B21" t="str">
            <v>杨 曹</v>
          </cell>
          <cell r="C21" t="str">
            <v>Yang Cao</v>
          </cell>
          <cell r="D21">
            <v>3</v>
          </cell>
          <cell r="E21">
            <v>27</v>
          </cell>
          <cell r="F21">
            <v>101.66666666666667</v>
          </cell>
          <cell r="G21">
            <v>71.166666666666671</v>
          </cell>
          <cell r="H21">
            <v>98.166666666666671</v>
          </cell>
          <cell r="I21">
            <v>4</v>
          </cell>
          <cell r="J21">
            <v>4.4999999999999998E-2</v>
          </cell>
          <cell r="K21">
            <v>7864</v>
          </cell>
          <cell r="L21">
            <v>8217.8799999999992</v>
          </cell>
        </row>
        <row r="22">
          <cell r="A22">
            <v>15000141</v>
          </cell>
          <cell r="B22" t="str">
            <v>尹 武</v>
          </cell>
          <cell r="C22" t="str">
            <v>Yin wu</v>
          </cell>
          <cell r="D22">
            <v>3</v>
          </cell>
          <cell r="E22">
            <v>27</v>
          </cell>
          <cell r="F22">
            <v>101.66666666666667</v>
          </cell>
          <cell r="G22">
            <v>71.166666666666671</v>
          </cell>
          <cell r="H22">
            <v>98.166666666666671</v>
          </cell>
          <cell r="I22">
            <v>4</v>
          </cell>
          <cell r="J22">
            <v>4.4999999999999998E-2</v>
          </cell>
          <cell r="K22">
            <v>6460</v>
          </cell>
          <cell r="L22">
            <v>6750.7</v>
          </cell>
        </row>
        <row r="23">
          <cell r="A23">
            <v>15007204</v>
          </cell>
          <cell r="B23" t="str">
            <v>张 维</v>
          </cell>
          <cell r="C23" t="str">
            <v>Zhang Wei</v>
          </cell>
          <cell r="D23">
            <v>3</v>
          </cell>
          <cell r="E23">
            <v>27</v>
          </cell>
          <cell r="F23">
            <v>101.66666666666667</v>
          </cell>
          <cell r="G23">
            <v>71.166666666666671</v>
          </cell>
          <cell r="H23">
            <v>98.166666666666671</v>
          </cell>
          <cell r="I23">
            <v>4</v>
          </cell>
          <cell r="J23">
            <v>4.4999999999999998E-2</v>
          </cell>
          <cell r="K23">
            <v>5362</v>
          </cell>
          <cell r="L23">
            <v>5603.29</v>
          </cell>
        </row>
        <row r="24">
          <cell r="A24">
            <v>15012418</v>
          </cell>
          <cell r="B24" t="str">
            <v>伏 莲</v>
          </cell>
          <cell r="C24" t="str">
            <v>Fu Lian</v>
          </cell>
          <cell r="D24">
            <v>3</v>
          </cell>
          <cell r="E24">
            <v>27</v>
          </cell>
          <cell r="F24">
            <v>101.66666666666667</v>
          </cell>
          <cell r="G24">
            <v>71.166666666666671</v>
          </cell>
          <cell r="H24">
            <v>98.166666666666671</v>
          </cell>
          <cell r="I24">
            <v>4</v>
          </cell>
          <cell r="J24">
            <v>4.4999999999999998E-2</v>
          </cell>
          <cell r="K24">
            <v>5191</v>
          </cell>
          <cell r="L24">
            <v>5424.5949999999993</v>
          </cell>
        </row>
        <row r="25">
          <cell r="A25">
            <v>15016009</v>
          </cell>
          <cell r="B25" t="str">
            <v>孙 大明</v>
          </cell>
          <cell r="C25" t="str">
            <v>Sun Daming</v>
          </cell>
          <cell r="D25">
            <v>3</v>
          </cell>
          <cell r="E25">
            <v>27</v>
          </cell>
          <cell r="F25">
            <v>101.66666666666667</v>
          </cell>
          <cell r="G25">
            <v>71.166666666666671</v>
          </cell>
          <cell r="H25">
            <v>98.166666666666671</v>
          </cell>
          <cell r="I25">
            <v>4</v>
          </cell>
          <cell r="J25">
            <v>4.4999999999999998E-2</v>
          </cell>
          <cell r="K25">
            <v>4981</v>
          </cell>
          <cell r="L25">
            <v>5205.1449999999995</v>
          </cell>
        </row>
        <row r="26">
          <cell r="A26">
            <v>15007741</v>
          </cell>
          <cell r="B26" t="str">
            <v>林 成</v>
          </cell>
          <cell r="C26" t="str">
            <v>Lin Cheng</v>
          </cell>
          <cell r="D26">
            <v>3</v>
          </cell>
          <cell r="E26">
            <v>27</v>
          </cell>
          <cell r="F26">
            <v>101.66666666666667</v>
          </cell>
          <cell r="G26">
            <v>71.166666666666671</v>
          </cell>
          <cell r="H26">
            <v>98.166666666666671</v>
          </cell>
          <cell r="I26">
            <v>3</v>
          </cell>
          <cell r="J26">
            <v>0.01</v>
          </cell>
          <cell r="K26">
            <v>6087</v>
          </cell>
          <cell r="L26">
            <v>6147.87</v>
          </cell>
        </row>
        <row r="27">
          <cell r="A27">
            <v>15000453</v>
          </cell>
          <cell r="B27" t="str">
            <v>贾 桂胜</v>
          </cell>
          <cell r="C27" t="str">
            <v>Jia Guisheng</v>
          </cell>
          <cell r="D27">
            <v>3</v>
          </cell>
          <cell r="E27">
            <v>27</v>
          </cell>
          <cell r="F27">
            <v>101.25</v>
          </cell>
          <cell r="G27">
            <v>70.875</v>
          </cell>
          <cell r="H27">
            <v>97.875</v>
          </cell>
          <cell r="I27">
            <v>4</v>
          </cell>
          <cell r="J27">
            <v>4.4999999999999998E-2</v>
          </cell>
          <cell r="K27">
            <v>6000</v>
          </cell>
          <cell r="L27">
            <v>6270</v>
          </cell>
        </row>
        <row r="28">
          <cell r="A28">
            <v>15008764</v>
          </cell>
          <cell r="B28" t="str">
            <v>张 清华</v>
          </cell>
          <cell r="C28" t="str">
            <v>Zhang Qinghua</v>
          </cell>
          <cell r="D28">
            <v>3</v>
          </cell>
          <cell r="E28">
            <v>27</v>
          </cell>
          <cell r="F28">
            <v>101.25</v>
          </cell>
          <cell r="G28">
            <v>70.875</v>
          </cell>
          <cell r="H28">
            <v>97.875</v>
          </cell>
          <cell r="I28">
            <v>4</v>
          </cell>
          <cell r="J28">
            <v>4.4999999999999998E-2</v>
          </cell>
          <cell r="K28">
            <v>5913</v>
          </cell>
          <cell r="L28">
            <v>6179.0849999999991</v>
          </cell>
        </row>
        <row r="29">
          <cell r="A29">
            <v>15004419</v>
          </cell>
          <cell r="B29" t="str">
            <v>梁 国丽</v>
          </cell>
          <cell r="C29" t="str">
            <v>Liang Guoli</v>
          </cell>
          <cell r="D29">
            <v>3</v>
          </cell>
          <cell r="E29">
            <v>27</v>
          </cell>
          <cell r="F29">
            <v>101.25</v>
          </cell>
          <cell r="G29">
            <v>70.875</v>
          </cell>
          <cell r="H29">
            <v>97.875</v>
          </cell>
          <cell r="I29">
            <v>4</v>
          </cell>
          <cell r="J29">
            <v>4.4999999999999998E-2</v>
          </cell>
          <cell r="K29">
            <v>5710</v>
          </cell>
          <cell r="L29">
            <v>5966.95</v>
          </cell>
        </row>
        <row r="30">
          <cell r="A30">
            <v>15013023</v>
          </cell>
          <cell r="B30" t="str">
            <v>徐 其鹏</v>
          </cell>
          <cell r="C30" t="str">
            <v>Xu Qipeng</v>
          </cell>
          <cell r="D30">
            <v>3</v>
          </cell>
          <cell r="E30">
            <v>27</v>
          </cell>
          <cell r="F30">
            <v>101.25</v>
          </cell>
          <cell r="G30">
            <v>70.875</v>
          </cell>
          <cell r="H30">
            <v>97.875</v>
          </cell>
          <cell r="I30">
            <v>4</v>
          </cell>
          <cell r="J30">
            <v>4.4999999999999998E-2</v>
          </cell>
          <cell r="K30">
            <v>5270</v>
          </cell>
          <cell r="L30">
            <v>5507.15</v>
          </cell>
        </row>
        <row r="31">
          <cell r="A31">
            <v>15001982</v>
          </cell>
          <cell r="B31" t="str">
            <v>韩 兢</v>
          </cell>
          <cell r="C31" t="str">
            <v>Han Jing</v>
          </cell>
          <cell r="D31">
            <v>3</v>
          </cell>
          <cell r="E31">
            <v>27</v>
          </cell>
          <cell r="F31">
            <v>101.25</v>
          </cell>
          <cell r="G31">
            <v>70.875</v>
          </cell>
          <cell r="H31">
            <v>97.875</v>
          </cell>
          <cell r="I31">
            <v>4</v>
          </cell>
          <cell r="J31">
            <v>4.4999999999999998E-2</v>
          </cell>
          <cell r="K31">
            <v>5118</v>
          </cell>
          <cell r="L31">
            <v>5348.3099999999995</v>
          </cell>
        </row>
        <row r="32">
          <cell r="A32">
            <v>15002465</v>
          </cell>
          <cell r="B32" t="str">
            <v>王 明兵</v>
          </cell>
          <cell r="C32" t="str">
            <v>Wang Mingbing</v>
          </cell>
          <cell r="D32">
            <v>3</v>
          </cell>
          <cell r="E32">
            <v>27</v>
          </cell>
          <cell r="F32">
            <v>100.83333333333333</v>
          </cell>
          <cell r="G32">
            <v>70.583333333333329</v>
          </cell>
          <cell r="H32">
            <v>97.583333333333329</v>
          </cell>
          <cell r="I32">
            <v>3</v>
          </cell>
          <cell r="J32">
            <v>2.5000000000000001E-2</v>
          </cell>
          <cell r="K32">
            <v>6098</v>
          </cell>
          <cell r="L32">
            <v>6250.45</v>
          </cell>
        </row>
        <row r="33">
          <cell r="A33">
            <v>15009535</v>
          </cell>
          <cell r="B33" t="str">
            <v>熊 作全</v>
          </cell>
          <cell r="C33" t="str">
            <v>Xiong Zuoquan</v>
          </cell>
          <cell r="D33">
            <v>3</v>
          </cell>
          <cell r="E33">
            <v>27</v>
          </cell>
          <cell r="F33">
            <v>100.83333333333333</v>
          </cell>
          <cell r="G33">
            <v>70.583333333333329</v>
          </cell>
          <cell r="H33">
            <v>97.583333333333329</v>
          </cell>
          <cell r="I33">
            <v>3</v>
          </cell>
          <cell r="J33">
            <v>2.5000000000000001E-2</v>
          </cell>
          <cell r="K33">
            <v>5740</v>
          </cell>
          <cell r="L33">
            <v>5883.4999999999991</v>
          </cell>
        </row>
        <row r="34">
          <cell r="A34">
            <v>15002933</v>
          </cell>
          <cell r="B34" t="str">
            <v>孙 友飞</v>
          </cell>
          <cell r="C34" t="str">
            <v>Sun Youfei</v>
          </cell>
          <cell r="D34">
            <v>3</v>
          </cell>
          <cell r="E34">
            <v>27</v>
          </cell>
          <cell r="F34">
            <v>100.83333333333333</v>
          </cell>
          <cell r="G34">
            <v>70.583333333333329</v>
          </cell>
          <cell r="H34">
            <v>97.583333333333329</v>
          </cell>
          <cell r="I34">
            <v>3</v>
          </cell>
          <cell r="J34">
            <v>2.5000000000000001E-2</v>
          </cell>
          <cell r="K34">
            <v>5032</v>
          </cell>
          <cell r="L34">
            <v>5157.7999999999993</v>
          </cell>
        </row>
        <row r="35">
          <cell r="A35">
            <v>15009138</v>
          </cell>
          <cell r="B35" t="str">
            <v>朱 军</v>
          </cell>
          <cell r="C35" t="str">
            <v>Zhu Jun</v>
          </cell>
          <cell r="D35">
            <v>3</v>
          </cell>
          <cell r="E35">
            <v>27</v>
          </cell>
          <cell r="F35">
            <v>100.83333333333333</v>
          </cell>
          <cell r="G35">
            <v>70.583333333333329</v>
          </cell>
          <cell r="H35">
            <v>97.583333333333329</v>
          </cell>
          <cell r="I35">
            <v>3</v>
          </cell>
          <cell r="J35">
            <v>0.01</v>
          </cell>
          <cell r="K35">
            <v>5021</v>
          </cell>
          <cell r="L35">
            <v>5071.21</v>
          </cell>
        </row>
        <row r="36">
          <cell r="A36">
            <v>15003857</v>
          </cell>
          <cell r="B36" t="str">
            <v>王 翠珍</v>
          </cell>
          <cell r="C36" t="str">
            <v>Wang Cuizhen</v>
          </cell>
          <cell r="D36">
            <v>3</v>
          </cell>
          <cell r="E36">
            <v>27</v>
          </cell>
          <cell r="F36">
            <v>100.83333333333333</v>
          </cell>
          <cell r="G36">
            <v>70.583333333333329</v>
          </cell>
          <cell r="H36">
            <v>97.583333333333329</v>
          </cell>
          <cell r="I36">
            <v>3</v>
          </cell>
          <cell r="J36">
            <v>2.5000000000000001E-2</v>
          </cell>
          <cell r="K36">
            <v>4935</v>
          </cell>
          <cell r="L36">
            <v>5058.375</v>
          </cell>
        </row>
        <row r="37">
          <cell r="A37">
            <v>15007513</v>
          </cell>
          <cell r="B37" t="str">
            <v>赵 锐</v>
          </cell>
          <cell r="C37" t="str">
            <v>Zhao Rui</v>
          </cell>
          <cell r="D37">
            <v>3</v>
          </cell>
          <cell r="E37">
            <v>27</v>
          </cell>
          <cell r="F37">
            <v>100.41666666666667</v>
          </cell>
          <cell r="G37">
            <v>70.291666666666671</v>
          </cell>
          <cell r="H37">
            <v>97.291666666666671</v>
          </cell>
          <cell r="I37">
            <v>3</v>
          </cell>
          <cell r="J37">
            <v>2.5000000000000001E-2</v>
          </cell>
          <cell r="K37">
            <v>5944</v>
          </cell>
          <cell r="L37">
            <v>6092.5999999999995</v>
          </cell>
        </row>
        <row r="38">
          <cell r="A38">
            <v>15018273</v>
          </cell>
          <cell r="B38" t="str">
            <v>袁 博</v>
          </cell>
          <cell r="C38" t="str">
            <v>Yuan Bo</v>
          </cell>
          <cell r="D38">
            <v>3</v>
          </cell>
          <cell r="E38">
            <v>27</v>
          </cell>
          <cell r="F38">
            <v>100.41666666666667</v>
          </cell>
          <cell r="G38">
            <v>70.291666666666671</v>
          </cell>
          <cell r="H38">
            <v>97.291666666666671</v>
          </cell>
          <cell r="I38">
            <v>3</v>
          </cell>
          <cell r="J38">
            <v>2.5000000000000001E-2</v>
          </cell>
          <cell r="K38">
            <v>5906</v>
          </cell>
          <cell r="L38">
            <v>6053.65</v>
          </cell>
        </row>
        <row r="39">
          <cell r="A39">
            <v>15003156</v>
          </cell>
          <cell r="B39" t="str">
            <v>董 桃凯</v>
          </cell>
          <cell r="C39" t="str">
            <v>Dong Taokai</v>
          </cell>
          <cell r="D39">
            <v>3</v>
          </cell>
          <cell r="E39">
            <v>27</v>
          </cell>
          <cell r="F39">
            <v>100.41666666666667</v>
          </cell>
          <cell r="G39">
            <v>70.291666666666671</v>
          </cell>
          <cell r="H39">
            <v>97.291666666666671</v>
          </cell>
          <cell r="I39">
            <v>3</v>
          </cell>
          <cell r="J39">
            <v>0.04</v>
          </cell>
          <cell r="K39">
            <v>5956</v>
          </cell>
          <cell r="L39">
            <v>6194.24</v>
          </cell>
        </row>
        <row r="40">
          <cell r="A40">
            <v>15009699</v>
          </cell>
          <cell r="B40" t="str">
            <v>曹 双</v>
          </cell>
          <cell r="C40" t="str">
            <v>Cao Shuang</v>
          </cell>
          <cell r="D40">
            <v>3</v>
          </cell>
          <cell r="E40">
            <v>27</v>
          </cell>
          <cell r="F40">
            <v>100.41666666666667</v>
          </cell>
          <cell r="G40">
            <v>70.291666666666671</v>
          </cell>
          <cell r="H40">
            <v>97.291666666666671</v>
          </cell>
          <cell r="I40">
            <v>3</v>
          </cell>
          <cell r="J40">
            <v>2.5000000000000001E-2</v>
          </cell>
          <cell r="K40">
            <v>5766</v>
          </cell>
          <cell r="L40">
            <v>5910.15</v>
          </cell>
        </row>
        <row r="41">
          <cell r="A41">
            <v>15006342</v>
          </cell>
          <cell r="B41" t="str">
            <v>周 光奎</v>
          </cell>
          <cell r="C41" t="str">
            <v>Zhou Guangkui</v>
          </cell>
          <cell r="D41">
            <v>3</v>
          </cell>
          <cell r="E41">
            <v>27</v>
          </cell>
          <cell r="F41">
            <v>100.41666666666667</v>
          </cell>
          <cell r="G41">
            <v>70.291666666666671</v>
          </cell>
          <cell r="H41">
            <v>97.291666666666671</v>
          </cell>
          <cell r="I41">
            <v>3</v>
          </cell>
          <cell r="J41">
            <v>0.03</v>
          </cell>
          <cell r="K41">
            <v>5745</v>
          </cell>
          <cell r="L41">
            <v>5917.35</v>
          </cell>
        </row>
        <row r="42">
          <cell r="A42">
            <v>15009170</v>
          </cell>
          <cell r="B42" t="str">
            <v>李 芹</v>
          </cell>
          <cell r="C42" t="str">
            <v>Li Qin</v>
          </cell>
          <cell r="D42">
            <v>3</v>
          </cell>
          <cell r="E42">
            <v>27</v>
          </cell>
          <cell r="F42">
            <v>100.41666666666667</v>
          </cell>
          <cell r="G42">
            <v>70.291666666666671</v>
          </cell>
          <cell r="H42">
            <v>97.291666666666671</v>
          </cell>
          <cell r="I42">
            <v>3</v>
          </cell>
          <cell r="J42">
            <v>2.5000000000000001E-2</v>
          </cell>
          <cell r="K42">
            <v>5460</v>
          </cell>
          <cell r="L42">
            <v>5596.4999999999991</v>
          </cell>
        </row>
        <row r="43">
          <cell r="A43">
            <v>15005133</v>
          </cell>
          <cell r="B43" t="str">
            <v>周 松</v>
          </cell>
          <cell r="C43" t="str">
            <v>Zhou Song</v>
          </cell>
          <cell r="D43">
            <v>3</v>
          </cell>
          <cell r="E43">
            <v>27</v>
          </cell>
          <cell r="F43">
            <v>100.41666666666667</v>
          </cell>
          <cell r="G43">
            <v>70.291666666666671</v>
          </cell>
          <cell r="H43">
            <v>97.291666666666671</v>
          </cell>
          <cell r="I43">
            <v>3</v>
          </cell>
          <cell r="J43">
            <v>2.5000000000000001E-2</v>
          </cell>
          <cell r="K43">
            <v>5222</v>
          </cell>
          <cell r="L43">
            <v>5352.5499999999993</v>
          </cell>
        </row>
        <row r="44">
          <cell r="A44">
            <v>15010377</v>
          </cell>
          <cell r="B44" t="str">
            <v>许 俊</v>
          </cell>
          <cell r="C44" t="str">
            <v>Xu Jun</v>
          </cell>
          <cell r="D44">
            <v>3</v>
          </cell>
          <cell r="E44">
            <v>27</v>
          </cell>
          <cell r="F44">
            <v>100.41666666666667</v>
          </cell>
          <cell r="G44">
            <v>70.291666666666671</v>
          </cell>
          <cell r="H44">
            <v>97.291666666666671</v>
          </cell>
          <cell r="I44">
            <v>3</v>
          </cell>
          <cell r="J44">
            <v>0</v>
          </cell>
          <cell r="K44">
            <v>5167</v>
          </cell>
          <cell r="L44">
            <v>5167</v>
          </cell>
        </row>
        <row r="45">
          <cell r="A45">
            <v>15009717</v>
          </cell>
          <cell r="B45" t="str">
            <v>李 欢</v>
          </cell>
          <cell r="C45" t="str">
            <v>Li Huan</v>
          </cell>
          <cell r="D45">
            <v>3</v>
          </cell>
          <cell r="E45">
            <v>27</v>
          </cell>
          <cell r="F45">
            <v>100.41666666666667</v>
          </cell>
          <cell r="G45">
            <v>70.291666666666671</v>
          </cell>
          <cell r="H45">
            <v>97.291666666666671</v>
          </cell>
          <cell r="I45">
            <v>3</v>
          </cell>
          <cell r="J45">
            <v>0.01</v>
          </cell>
          <cell r="K45">
            <v>5159</v>
          </cell>
          <cell r="L45">
            <v>5210.59</v>
          </cell>
        </row>
        <row r="46">
          <cell r="A46">
            <v>15002466</v>
          </cell>
          <cell r="B46" t="str">
            <v>刘 金春</v>
          </cell>
          <cell r="C46" t="str">
            <v>Liu Jinchun</v>
          </cell>
          <cell r="D46">
            <v>3</v>
          </cell>
          <cell r="E46">
            <v>27</v>
          </cell>
          <cell r="F46">
            <v>100.41666666666667</v>
          </cell>
          <cell r="G46">
            <v>70.291666666666671</v>
          </cell>
          <cell r="H46">
            <v>97.291666666666671</v>
          </cell>
          <cell r="I46">
            <v>3</v>
          </cell>
          <cell r="J46">
            <v>2.5000000000000001E-2</v>
          </cell>
          <cell r="K46">
            <v>5099</v>
          </cell>
          <cell r="L46">
            <v>5226.4749999999995</v>
          </cell>
        </row>
        <row r="47">
          <cell r="A47">
            <v>15010051</v>
          </cell>
          <cell r="B47" t="str">
            <v>谭 成玉</v>
          </cell>
          <cell r="C47" t="str">
            <v>Tan Chengyu</v>
          </cell>
          <cell r="D47">
            <v>3</v>
          </cell>
          <cell r="E47">
            <v>27</v>
          </cell>
          <cell r="F47">
            <v>100.41666666666667</v>
          </cell>
          <cell r="G47">
            <v>70.291666666666671</v>
          </cell>
          <cell r="H47">
            <v>97.291666666666671</v>
          </cell>
          <cell r="I47">
            <v>3</v>
          </cell>
          <cell r="J47">
            <v>0.01</v>
          </cell>
          <cell r="K47">
            <v>5027</v>
          </cell>
          <cell r="L47">
            <v>5077.2700000000004</v>
          </cell>
        </row>
        <row r="48">
          <cell r="A48">
            <v>15014128</v>
          </cell>
          <cell r="B48" t="str">
            <v>夏 汪洋</v>
          </cell>
          <cell r="C48" t="str">
            <v>Xia Wangyang</v>
          </cell>
          <cell r="D48">
            <v>3</v>
          </cell>
          <cell r="E48">
            <v>27</v>
          </cell>
          <cell r="F48">
            <v>100.41666666666667</v>
          </cell>
          <cell r="G48">
            <v>70.291666666666671</v>
          </cell>
          <cell r="H48">
            <v>97.291666666666671</v>
          </cell>
          <cell r="I48">
            <v>3</v>
          </cell>
          <cell r="J48">
            <v>0.01</v>
          </cell>
          <cell r="K48">
            <v>4840</v>
          </cell>
          <cell r="L48">
            <v>4888.3999999999996</v>
          </cell>
        </row>
        <row r="49">
          <cell r="A49">
            <v>15013136</v>
          </cell>
          <cell r="B49" t="str">
            <v>韩 继红</v>
          </cell>
          <cell r="C49" t="str">
            <v>Han Jihong</v>
          </cell>
          <cell r="D49">
            <v>3</v>
          </cell>
          <cell r="E49">
            <v>27</v>
          </cell>
          <cell r="F49">
            <v>100.41666666666667</v>
          </cell>
          <cell r="G49">
            <v>70.291666666666671</v>
          </cell>
          <cell r="H49">
            <v>97.291666666666671</v>
          </cell>
          <cell r="I49">
            <v>3</v>
          </cell>
          <cell r="J49">
            <v>0.01</v>
          </cell>
          <cell r="K49">
            <v>4768</v>
          </cell>
          <cell r="L49">
            <v>4815.68</v>
          </cell>
        </row>
        <row r="50">
          <cell r="A50">
            <v>15018329</v>
          </cell>
          <cell r="B50" t="str">
            <v>陈 院</v>
          </cell>
          <cell r="C50" t="str">
            <v>Chen Yuan</v>
          </cell>
          <cell r="D50">
            <v>3</v>
          </cell>
          <cell r="E50">
            <v>27</v>
          </cell>
          <cell r="F50">
            <v>100.41666666666667</v>
          </cell>
          <cell r="G50">
            <v>70.291666666666671</v>
          </cell>
          <cell r="H50">
            <v>97.291666666666671</v>
          </cell>
          <cell r="I50">
            <v>3</v>
          </cell>
          <cell r="J50">
            <v>0.01</v>
          </cell>
          <cell r="K50">
            <v>4760</v>
          </cell>
          <cell r="L50">
            <v>4807.6000000000004</v>
          </cell>
        </row>
        <row r="51">
          <cell r="A51">
            <v>15006372</v>
          </cell>
          <cell r="B51" t="str">
            <v>郭 艳红</v>
          </cell>
          <cell r="C51" t="str">
            <v>Guo Yanhong</v>
          </cell>
          <cell r="D51">
            <v>3</v>
          </cell>
          <cell r="E51">
            <v>27</v>
          </cell>
          <cell r="F51">
            <v>100.41666666666667</v>
          </cell>
          <cell r="G51">
            <v>70.291666666666671</v>
          </cell>
          <cell r="H51">
            <v>97.291666666666671</v>
          </cell>
          <cell r="I51">
            <v>3</v>
          </cell>
          <cell r="J51">
            <v>2.5000000000000001E-2</v>
          </cell>
          <cell r="K51">
            <v>4755</v>
          </cell>
          <cell r="L51">
            <v>4873.875</v>
          </cell>
        </row>
        <row r="52">
          <cell r="A52">
            <v>15016313</v>
          </cell>
          <cell r="B52" t="str">
            <v>王 士凤</v>
          </cell>
          <cell r="C52" t="str">
            <v>Wang Shifeng</v>
          </cell>
          <cell r="D52">
            <v>3</v>
          </cell>
          <cell r="E52">
            <v>27</v>
          </cell>
          <cell r="F52">
            <v>100.41666666666667</v>
          </cell>
          <cell r="G52">
            <v>70.291666666666671</v>
          </cell>
          <cell r="H52">
            <v>97.291666666666671</v>
          </cell>
          <cell r="I52">
            <v>3</v>
          </cell>
          <cell r="J52">
            <v>2.5000000000000001E-2</v>
          </cell>
          <cell r="K52">
            <v>4755</v>
          </cell>
          <cell r="L52">
            <v>4873.875</v>
          </cell>
        </row>
        <row r="53">
          <cell r="A53">
            <v>15010833</v>
          </cell>
          <cell r="B53" t="str">
            <v>卢 兰华</v>
          </cell>
          <cell r="C53" t="str">
            <v>Lu Lanhua</v>
          </cell>
          <cell r="D53">
            <v>3</v>
          </cell>
          <cell r="E53">
            <v>27</v>
          </cell>
          <cell r="F53">
            <v>100.41666666666667</v>
          </cell>
          <cell r="G53">
            <v>70.291666666666671</v>
          </cell>
          <cell r="H53">
            <v>97.291666666666671</v>
          </cell>
          <cell r="I53">
            <v>3</v>
          </cell>
          <cell r="J53">
            <v>2.5000000000000001E-2</v>
          </cell>
          <cell r="K53">
            <v>4672</v>
          </cell>
          <cell r="L53">
            <v>4788.7999999999993</v>
          </cell>
        </row>
        <row r="54">
          <cell r="A54">
            <v>15009438</v>
          </cell>
          <cell r="B54" t="str">
            <v>乔 翠云</v>
          </cell>
          <cell r="C54" t="str">
            <v>Qiao Cuiyun</v>
          </cell>
          <cell r="D54">
            <v>3</v>
          </cell>
          <cell r="E54">
            <v>27</v>
          </cell>
          <cell r="F54">
            <v>100.41666666666667</v>
          </cell>
          <cell r="G54">
            <v>70.291666666666671</v>
          </cell>
          <cell r="H54">
            <v>97.291666666666671</v>
          </cell>
          <cell r="I54">
            <v>3</v>
          </cell>
          <cell r="J54">
            <v>2.5000000000000001E-2</v>
          </cell>
          <cell r="K54">
            <v>4652</v>
          </cell>
          <cell r="L54">
            <v>4768.2999999999993</v>
          </cell>
        </row>
        <row r="55">
          <cell r="A55">
            <v>15014891</v>
          </cell>
          <cell r="B55" t="str">
            <v>张 诚</v>
          </cell>
          <cell r="C55" t="str">
            <v>Zhang Cheng</v>
          </cell>
          <cell r="D55">
            <v>3</v>
          </cell>
          <cell r="E55">
            <v>27</v>
          </cell>
          <cell r="F55">
            <v>100.41666666666667</v>
          </cell>
          <cell r="G55">
            <v>70.291666666666671</v>
          </cell>
          <cell r="H55">
            <v>97.291666666666671</v>
          </cell>
          <cell r="I55">
            <v>3</v>
          </cell>
          <cell r="J55">
            <v>2.5000000000000001E-2</v>
          </cell>
          <cell r="K55">
            <v>4528</v>
          </cell>
          <cell r="L55">
            <v>4641.2</v>
          </cell>
        </row>
        <row r="56">
          <cell r="A56">
            <v>15001924</v>
          </cell>
          <cell r="B56" t="str">
            <v>蔡 宁星</v>
          </cell>
          <cell r="C56" t="str">
            <v>Cai Ningxing</v>
          </cell>
          <cell r="D56">
            <v>3</v>
          </cell>
          <cell r="E56">
            <v>27</v>
          </cell>
          <cell r="F56">
            <v>100</v>
          </cell>
          <cell r="G56">
            <v>70</v>
          </cell>
          <cell r="H56">
            <v>97</v>
          </cell>
          <cell r="I56">
            <v>5</v>
          </cell>
          <cell r="J56">
            <v>6.5699999999999995E-2</v>
          </cell>
          <cell r="K56">
            <v>8504</v>
          </cell>
          <cell r="L56">
            <v>9062.7128000000012</v>
          </cell>
        </row>
        <row r="57">
          <cell r="A57">
            <v>15018074</v>
          </cell>
          <cell r="B57" t="str">
            <v>汤 伯声</v>
          </cell>
          <cell r="C57" t="str">
            <v>Tang Bosheng</v>
          </cell>
          <cell r="D57">
            <v>3</v>
          </cell>
          <cell r="E57">
            <v>27</v>
          </cell>
          <cell r="F57">
            <v>100</v>
          </cell>
          <cell r="G57">
            <v>70</v>
          </cell>
          <cell r="H57">
            <v>97</v>
          </cell>
          <cell r="I57">
            <v>3</v>
          </cell>
          <cell r="J57">
            <v>2.5000000000000001E-2</v>
          </cell>
          <cell r="K57">
            <v>6003</v>
          </cell>
          <cell r="L57">
            <v>6153.0749999999998</v>
          </cell>
        </row>
        <row r="58">
          <cell r="A58">
            <v>15005336</v>
          </cell>
          <cell r="B58" t="str">
            <v>姚 明建</v>
          </cell>
          <cell r="C58" t="str">
            <v>Yao Mingjian</v>
          </cell>
          <cell r="D58">
            <v>3</v>
          </cell>
          <cell r="E58">
            <v>27</v>
          </cell>
          <cell r="F58">
            <v>100</v>
          </cell>
          <cell r="G58">
            <v>70</v>
          </cell>
          <cell r="H58">
            <v>97</v>
          </cell>
          <cell r="I58">
            <v>3</v>
          </cell>
          <cell r="J58">
            <v>2.5000000000000001E-2</v>
          </cell>
          <cell r="K58">
            <v>5842</v>
          </cell>
          <cell r="L58">
            <v>5988.0499999999993</v>
          </cell>
        </row>
        <row r="59">
          <cell r="A59">
            <v>15009702</v>
          </cell>
          <cell r="B59" t="str">
            <v>陈 福标</v>
          </cell>
          <cell r="C59" t="str">
            <v>Chen Fubiao</v>
          </cell>
          <cell r="D59">
            <v>3</v>
          </cell>
          <cell r="E59">
            <v>27</v>
          </cell>
          <cell r="F59">
            <v>100</v>
          </cell>
          <cell r="G59">
            <v>70</v>
          </cell>
          <cell r="H59">
            <v>97</v>
          </cell>
          <cell r="I59">
            <v>3</v>
          </cell>
          <cell r="J59">
            <v>2.5000000000000001E-2</v>
          </cell>
          <cell r="K59">
            <v>5648</v>
          </cell>
          <cell r="L59">
            <v>5789.2</v>
          </cell>
        </row>
        <row r="60">
          <cell r="A60">
            <v>15001954</v>
          </cell>
          <cell r="B60" t="str">
            <v>王 福祥</v>
          </cell>
          <cell r="C60" t="str">
            <v>Wang Fuxiang</v>
          </cell>
          <cell r="D60">
            <v>3</v>
          </cell>
          <cell r="E60">
            <v>27</v>
          </cell>
          <cell r="F60">
            <v>100</v>
          </cell>
          <cell r="G60">
            <v>70</v>
          </cell>
          <cell r="H60">
            <v>97</v>
          </cell>
          <cell r="I60">
            <v>3</v>
          </cell>
          <cell r="J60">
            <v>2.5000000000000001E-2</v>
          </cell>
          <cell r="K60">
            <v>5590</v>
          </cell>
          <cell r="L60">
            <v>5729.7499999999991</v>
          </cell>
        </row>
        <row r="61">
          <cell r="A61">
            <v>15016813</v>
          </cell>
          <cell r="B61" t="str">
            <v>宋 永乐</v>
          </cell>
          <cell r="C61" t="str">
            <v>Song Yongle</v>
          </cell>
          <cell r="D61">
            <v>3</v>
          </cell>
          <cell r="E61">
            <v>27</v>
          </cell>
          <cell r="F61">
            <v>100</v>
          </cell>
          <cell r="G61">
            <v>70</v>
          </cell>
          <cell r="H61">
            <v>97</v>
          </cell>
          <cell r="I61">
            <v>3</v>
          </cell>
          <cell r="J61">
            <v>2.5000000000000001E-2</v>
          </cell>
          <cell r="K61">
            <v>5402</v>
          </cell>
          <cell r="L61">
            <v>5537.0499999999993</v>
          </cell>
        </row>
        <row r="62">
          <cell r="A62">
            <v>15018350</v>
          </cell>
          <cell r="B62" t="str">
            <v>孙 康</v>
          </cell>
          <cell r="C62" t="str">
            <v>Sun Kang</v>
          </cell>
          <cell r="D62">
            <v>3</v>
          </cell>
          <cell r="E62">
            <v>27</v>
          </cell>
          <cell r="F62">
            <v>100</v>
          </cell>
          <cell r="G62">
            <v>70</v>
          </cell>
          <cell r="H62">
            <v>97</v>
          </cell>
          <cell r="I62">
            <v>3</v>
          </cell>
          <cell r="J62">
            <v>0</v>
          </cell>
          <cell r="K62">
            <v>5259</v>
          </cell>
          <cell r="L62">
            <v>5259</v>
          </cell>
        </row>
        <row r="63">
          <cell r="A63">
            <v>15012930</v>
          </cell>
          <cell r="B63" t="str">
            <v>万 宏伟</v>
          </cell>
          <cell r="C63" t="str">
            <v>Wan Hongwei</v>
          </cell>
          <cell r="D63">
            <v>3</v>
          </cell>
          <cell r="E63">
            <v>27</v>
          </cell>
          <cell r="F63">
            <v>100</v>
          </cell>
          <cell r="G63">
            <v>70</v>
          </cell>
          <cell r="H63">
            <v>97</v>
          </cell>
          <cell r="I63">
            <v>3</v>
          </cell>
          <cell r="J63">
            <v>2.5000000000000001E-2</v>
          </cell>
          <cell r="K63">
            <v>5211</v>
          </cell>
          <cell r="L63">
            <v>5341.2749999999996</v>
          </cell>
        </row>
        <row r="64">
          <cell r="A64">
            <v>15018395</v>
          </cell>
          <cell r="B64" t="str">
            <v>王 朋加</v>
          </cell>
          <cell r="C64" t="str">
            <v>Wang Pengjia</v>
          </cell>
          <cell r="D64">
            <v>3</v>
          </cell>
          <cell r="E64">
            <v>27</v>
          </cell>
          <cell r="F64">
            <v>100</v>
          </cell>
          <cell r="G64">
            <v>70</v>
          </cell>
          <cell r="H64">
            <v>97</v>
          </cell>
          <cell r="I64">
            <v>3</v>
          </cell>
          <cell r="J64">
            <v>0</v>
          </cell>
          <cell r="K64">
            <v>5147</v>
          </cell>
          <cell r="L64">
            <v>5147</v>
          </cell>
        </row>
        <row r="65">
          <cell r="A65">
            <v>15002026</v>
          </cell>
          <cell r="B65" t="str">
            <v>郑 波云</v>
          </cell>
          <cell r="C65" t="str">
            <v>Zheng Boyun</v>
          </cell>
          <cell r="D65">
            <v>3</v>
          </cell>
          <cell r="E65">
            <v>27</v>
          </cell>
          <cell r="F65">
            <v>100</v>
          </cell>
          <cell r="G65">
            <v>70</v>
          </cell>
          <cell r="H65">
            <v>97</v>
          </cell>
          <cell r="I65">
            <v>3</v>
          </cell>
          <cell r="J65">
            <v>2.5000000000000001E-2</v>
          </cell>
          <cell r="K65">
            <v>4942</v>
          </cell>
          <cell r="L65">
            <v>5065.5499999999993</v>
          </cell>
        </row>
        <row r="66">
          <cell r="A66">
            <v>15018040</v>
          </cell>
          <cell r="B66" t="str">
            <v>杨 帆</v>
          </cell>
          <cell r="C66" t="str">
            <v>Yang Fan</v>
          </cell>
          <cell r="D66">
            <v>3</v>
          </cell>
          <cell r="E66">
            <v>27</v>
          </cell>
          <cell r="F66">
            <v>100</v>
          </cell>
          <cell r="G66">
            <v>70</v>
          </cell>
          <cell r="H66">
            <v>97</v>
          </cell>
          <cell r="I66">
            <v>3</v>
          </cell>
          <cell r="J66">
            <v>2.5000000000000001E-2</v>
          </cell>
          <cell r="K66">
            <v>4839</v>
          </cell>
          <cell r="L66">
            <v>4959.9749999999995</v>
          </cell>
        </row>
        <row r="67">
          <cell r="A67">
            <v>15016357</v>
          </cell>
          <cell r="B67" t="str">
            <v>孙 宝平</v>
          </cell>
          <cell r="C67" t="str">
            <v>Sun Baoping</v>
          </cell>
          <cell r="D67">
            <v>3</v>
          </cell>
          <cell r="E67">
            <v>27</v>
          </cell>
          <cell r="F67">
            <v>100</v>
          </cell>
          <cell r="G67">
            <v>70</v>
          </cell>
          <cell r="H67">
            <v>97</v>
          </cell>
          <cell r="I67">
            <v>3</v>
          </cell>
          <cell r="J67">
            <v>0.01</v>
          </cell>
          <cell r="K67">
            <v>4806</v>
          </cell>
          <cell r="L67">
            <v>4854.0600000000004</v>
          </cell>
        </row>
        <row r="68">
          <cell r="A68">
            <v>15016388</v>
          </cell>
          <cell r="B68" t="str">
            <v>宋 翠</v>
          </cell>
          <cell r="C68" t="str">
            <v>Song Cui</v>
          </cell>
          <cell r="D68">
            <v>3</v>
          </cell>
          <cell r="E68">
            <v>27</v>
          </cell>
          <cell r="F68">
            <v>100</v>
          </cell>
          <cell r="G68">
            <v>70</v>
          </cell>
          <cell r="H68">
            <v>97</v>
          </cell>
          <cell r="I68">
            <v>3</v>
          </cell>
          <cell r="J68">
            <v>0.01</v>
          </cell>
          <cell r="K68">
            <v>4760</v>
          </cell>
          <cell r="L68">
            <v>4807.6000000000004</v>
          </cell>
        </row>
        <row r="69">
          <cell r="A69">
            <v>15007550</v>
          </cell>
          <cell r="B69" t="str">
            <v>段 小玲</v>
          </cell>
          <cell r="C69" t="str">
            <v>Duan Xiaolin</v>
          </cell>
          <cell r="D69">
            <v>3</v>
          </cell>
          <cell r="E69">
            <v>27</v>
          </cell>
          <cell r="F69">
            <v>100</v>
          </cell>
          <cell r="G69">
            <v>70</v>
          </cell>
          <cell r="H69">
            <v>97</v>
          </cell>
          <cell r="I69">
            <v>3</v>
          </cell>
          <cell r="J69">
            <v>2.5000000000000001E-2</v>
          </cell>
          <cell r="K69">
            <v>4714</v>
          </cell>
          <cell r="L69">
            <v>4831.8499999999995</v>
          </cell>
        </row>
        <row r="70">
          <cell r="A70">
            <v>15003574</v>
          </cell>
          <cell r="B70" t="str">
            <v>谈 春庆</v>
          </cell>
          <cell r="C70" t="str">
            <v>Tan Chunqing</v>
          </cell>
          <cell r="D70">
            <v>3</v>
          </cell>
          <cell r="E70">
            <v>27</v>
          </cell>
          <cell r="F70">
            <v>100</v>
          </cell>
          <cell r="G70">
            <v>70</v>
          </cell>
          <cell r="H70">
            <v>97</v>
          </cell>
          <cell r="I70">
            <v>3</v>
          </cell>
          <cell r="J70">
            <v>0.01</v>
          </cell>
          <cell r="K70">
            <v>4662</v>
          </cell>
          <cell r="L70">
            <v>4708.62</v>
          </cell>
        </row>
        <row r="71">
          <cell r="A71">
            <v>15009328</v>
          </cell>
          <cell r="B71" t="str">
            <v>管 红梅</v>
          </cell>
          <cell r="C71" t="str">
            <v>Guan Hongmei</v>
          </cell>
          <cell r="D71">
            <v>3</v>
          </cell>
          <cell r="E71">
            <v>27</v>
          </cell>
          <cell r="F71">
            <v>100</v>
          </cell>
          <cell r="G71">
            <v>70</v>
          </cell>
          <cell r="H71">
            <v>97</v>
          </cell>
          <cell r="I71">
            <v>3</v>
          </cell>
          <cell r="J71">
            <v>0.01</v>
          </cell>
          <cell r="K71">
            <v>4582</v>
          </cell>
          <cell r="L71">
            <v>4627.82</v>
          </cell>
        </row>
        <row r="72">
          <cell r="A72">
            <v>15005785</v>
          </cell>
          <cell r="B72" t="str">
            <v>汪 传新</v>
          </cell>
          <cell r="C72" t="str">
            <v>Wang Chuanxin</v>
          </cell>
          <cell r="D72">
            <v>3</v>
          </cell>
          <cell r="E72">
            <v>27</v>
          </cell>
          <cell r="F72">
            <v>100</v>
          </cell>
          <cell r="G72">
            <v>70</v>
          </cell>
          <cell r="H72">
            <v>97</v>
          </cell>
          <cell r="I72">
            <v>3</v>
          </cell>
          <cell r="J72">
            <v>2.5000000000000001E-2</v>
          </cell>
          <cell r="K72">
            <v>4500</v>
          </cell>
          <cell r="L72">
            <v>4612.5</v>
          </cell>
        </row>
        <row r="73">
          <cell r="A73">
            <v>15014361</v>
          </cell>
          <cell r="B73" t="str">
            <v>梁 云</v>
          </cell>
          <cell r="C73" t="str">
            <v>Liang Yun</v>
          </cell>
          <cell r="D73">
            <v>3</v>
          </cell>
          <cell r="E73">
            <v>27</v>
          </cell>
          <cell r="F73">
            <v>99.583333333333329</v>
          </cell>
          <cell r="G73">
            <v>69.708333333333329</v>
          </cell>
          <cell r="H73">
            <v>96.708333333333329</v>
          </cell>
          <cell r="I73">
            <v>5</v>
          </cell>
          <cell r="J73">
            <v>6.0999999999999999E-2</v>
          </cell>
          <cell r="K73">
            <v>5656</v>
          </cell>
          <cell r="L73">
            <v>6001.0159999999996</v>
          </cell>
        </row>
        <row r="74">
          <cell r="A74">
            <v>15014094</v>
          </cell>
          <cell r="B74" t="str">
            <v>华 重皓</v>
          </cell>
          <cell r="C74" t="str">
            <v>Hua Chonghao</v>
          </cell>
          <cell r="D74">
            <v>3</v>
          </cell>
          <cell r="E74">
            <v>27</v>
          </cell>
          <cell r="F74">
            <v>99.583333333333329</v>
          </cell>
          <cell r="G74">
            <v>69.708333333333329</v>
          </cell>
          <cell r="H74">
            <v>96.708333333333329</v>
          </cell>
          <cell r="I74">
            <v>3</v>
          </cell>
          <cell r="J74">
            <v>2.5000000000000001E-2</v>
          </cell>
          <cell r="K74">
            <v>6534</v>
          </cell>
          <cell r="L74">
            <v>6697.3499999999995</v>
          </cell>
        </row>
        <row r="75">
          <cell r="A75">
            <v>15013795</v>
          </cell>
          <cell r="B75" t="str">
            <v>吴 本庆</v>
          </cell>
          <cell r="C75" t="str">
            <v>Wu Benqing</v>
          </cell>
          <cell r="D75">
            <v>3</v>
          </cell>
          <cell r="E75">
            <v>27</v>
          </cell>
          <cell r="F75">
            <v>99.583333333333329</v>
          </cell>
          <cell r="G75">
            <v>69.708333333333329</v>
          </cell>
          <cell r="H75">
            <v>96.708333333333329</v>
          </cell>
          <cell r="I75">
            <v>3</v>
          </cell>
          <cell r="J75">
            <v>2.5000000000000001E-2</v>
          </cell>
          <cell r="K75">
            <v>5804</v>
          </cell>
          <cell r="L75">
            <v>5949.0999999999995</v>
          </cell>
        </row>
        <row r="76">
          <cell r="A76">
            <v>15006540</v>
          </cell>
          <cell r="B76" t="str">
            <v>马 辉</v>
          </cell>
          <cell r="C76" t="str">
            <v>Ma Hui</v>
          </cell>
          <cell r="D76">
            <v>3</v>
          </cell>
          <cell r="E76">
            <v>27</v>
          </cell>
          <cell r="F76">
            <v>99.583333333333329</v>
          </cell>
          <cell r="G76">
            <v>69.708333333333329</v>
          </cell>
          <cell r="H76">
            <v>96.708333333333329</v>
          </cell>
          <cell r="I76">
            <v>3</v>
          </cell>
          <cell r="J76">
            <v>2.5000000000000001E-2</v>
          </cell>
          <cell r="K76">
            <v>5449</v>
          </cell>
          <cell r="L76">
            <v>5585.2249999999995</v>
          </cell>
        </row>
        <row r="77">
          <cell r="A77">
            <v>15002869</v>
          </cell>
          <cell r="B77" t="str">
            <v>成 小娟</v>
          </cell>
          <cell r="C77" t="str">
            <v>Cheng Xiaojuan</v>
          </cell>
          <cell r="D77">
            <v>3</v>
          </cell>
          <cell r="E77">
            <v>27</v>
          </cell>
          <cell r="F77">
            <v>99.583333333333329</v>
          </cell>
          <cell r="G77">
            <v>69.708333333333329</v>
          </cell>
          <cell r="H77">
            <v>96.708333333333329</v>
          </cell>
          <cell r="I77">
            <v>3</v>
          </cell>
          <cell r="J77">
            <v>2.5000000000000001E-2</v>
          </cell>
          <cell r="K77">
            <v>5297</v>
          </cell>
          <cell r="L77">
            <v>5429.4249999999993</v>
          </cell>
        </row>
        <row r="78">
          <cell r="A78">
            <v>15012497</v>
          </cell>
          <cell r="B78" t="str">
            <v>管 华</v>
          </cell>
          <cell r="C78" t="str">
            <v>Guan Hua</v>
          </cell>
          <cell r="D78">
            <v>3</v>
          </cell>
          <cell r="E78">
            <v>27</v>
          </cell>
          <cell r="F78">
            <v>99.583333333333329</v>
          </cell>
          <cell r="G78">
            <v>69.708333333333329</v>
          </cell>
          <cell r="H78">
            <v>96.708333333333329</v>
          </cell>
          <cell r="I78">
            <v>3</v>
          </cell>
          <cell r="J78">
            <v>2.5000000000000001E-2</v>
          </cell>
          <cell r="K78">
            <v>5137</v>
          </cell>
          <cell r="L78">
            <v>5265.4249999999993</v>
          </cell>
        </row>
        <row r="79">
          <cell r="A79">
            <v>15007848</v>
          </cell>
          <cell r="B79" t="str">
            <v>庄 治立</v>
          </cell>
          <cell r="C79" t="str">
            <v>Zhuang Zhili</v>
          </cell>
          <cell r="D79">
            <v>3</v>
          </cell>
          <cell r="E79">
            <v>27</v>
          </cell>
          <cell r="F79">
            <v>99.583333333333329</v>
          </cell>
          <cell r="G79">
            <v>69.708333333333329</v>
          </cell>
          <cell r="H79">
            <v>96.708333333333329</v>
          </cell>
          <cell r="I79">
            <v>3</v>
          </cell>
          <cell r="J79">
            <v>0.01</v>
          </cell>
          <cell r="K79">
            <v>4976</v>
          </cell>
          <cell r="L79">
            <v>5025.76</v>
          </cell>
        </row>
        <row r="80">
          <cell r="A80">
            <v>15013943</v>
          </cell>
          <cell r="B80" t="str">
            <v>刘 健</v>
          </cell>
          <cell r="C80" t="str">
            <v>Liu Jian</v>
          </cell>
          <cell r="D80">
            <v>3</v>
          </cell>
          <cell r="E80">
            <v>27</v>
          </cell>
          <cell r="F80">
            <v>99.583333333333329</v>
          </cell>
          <cell r="G80">
            <v>69.708333333333329</v>
          </cell>
          <cell r="H80">
            <v>96.708333333333329</v>
          </cell>
          <cell r="I80">
            <v>3</v>
          </cell>
          <cell r="J80">
            <v>0.01</v>
          </cell>
          <cell r="K80">
            <v>4898</v>
          </cell>
          <cell r="L80">
            <v>4946.9800000000005</v>
          </cell>
        </row>
        <row r="81">
          <cell r="A81">
            <v>15014393</v>
          </cell>
          <cell r="B81" t="str">
            <v>林 春</v>
          </cell>
          <cell r="C81" t="str">
            <v>Lin Chun</v>
          </cell>
          <cell r="D81">
            <v>3</v>
          </cell>
          <cell r="E81">
            <v>27</v>
          </cell>
          <cell r="F81">
            <v>99.583333333333329</v>
          </cell>
          <cell r="G81">
            <v>69.708333333333329</v>
          </cell>
          <cell r="H81">
            <v>96.708333333333329</v>
          </cell>
          <cell r="I81">
            <v>3</v>
          </cell>
          <cell r="J81">
            <v>2.5000000000000001E-2</v>
          </cell>
          <cell r="K81">
            <v>4804</v>
          </cell>
          <cell r="L81">
            <v>4924.0999999999995</v>
          </cell>
        </row>
        <row r="82">
          <cell r="A82">
            <v>15015062</v>
          </cell>
          <cell r="B82" t="str">
            <v>朱 道兴</v>
          </cell>
          <cell r="C82" t="str">
            <v>Zhu Daoxing</v>
          </cell>
          <cell r="D82">
            <v>3</v>
          </cell>
          <cell r="E82">
            <v>27</v>
          </cell>
          <cell r="F82">
            <v>99.583333333333329</v>
          </cell>
          <cell r="G82">
            <v>69.708333333333329</v>
          </cell>
          <cell r="H82">
            <v>96.708333333333329</v>
          </cell>
          <cell r="I82">
            <v>3</v>
          </cell>
          <cell r="J82">
            <v>0.01</v>
          </cell>
          <cell r="K82">
            <v>4798</v>
          </cell>
          <cell r="L82">
            <v>4845.9800000000005</v>
          </cell>
        </row>
        <row r="83">
          <cell r="A83">
            <v>15014839</v>
          </cell>
          <cell r="B83" t="str">
            <v>王 平</v>
          </cell>
          <cell r="C83" t="str">
            <v>Wang Ping</v>
          </cell>
          <cell r="D83">
            <v>3</v>
          </cell>
          <cell r="E83">
            <v>27</v>
          </cell>
          <cell r="F83">
            <v>99.583333333333329</v>
          </cell>
          <cell r="G83">
            <v>69.708333333333329</v>
          </cell>
          <cell r="H83">
            <v>96.708333333333329</v>
          </cell>
          <cell r="I83">
            <v>3</v>
          </cell>
          <cell r="J83">
            <v>0.01</v>
          </cell>
          <cell r="K83">
            <v>4795</v>
          </cell>
          <cell r="L83">
            <v>4842.95</v>
          </cell>
        </row>
        <row r="84">
          <cell r="A84">
            <v>15009209</v>
          </cell>
          <cell r="B84" t="str">
            <v>董 洪青</v>
          </cell>
          <cell r="C84" t="str">
            <v>Dong Hongqing</v>
          </cell>
          <cell r="D84">
            <v>3</v>
          </cell>
          <cell r="E84">
            <v>27</v>
          </cell>
          <cell r="F84">
            <v>99.583333333333329</v>
          </cell>
          <cell r="G84">
            <v>69.708333333333329</v>
          </cell>
          <cell r="H84">
            <v>96.708333333333329</v>
          </cell>
          <cell r="I84">
            <v>3</v>
          </cell>
          <cell r="J84">
            <v>2.5000000000000001E-2</v>
          </cell>
          <cell r="K84">
            <v>4618</v>
          </cell>
          <cell r="L84">
            <v>4733.45</v>
          </cell>
        </row>
        <row r="85">
          <cell r="A85">
            <v>15016411</v>
          </cell>
          <cell r="B85" t="str">
            <v>谢 静红</v>
          </cell>
          <cell r="C85" t="str">
            <v>Xie Jinghong</v>
          </cell>
          <cell r="D85">
            <v>3</v>
          </cell>
          <cell r="E85">
            <v>27</v>
          </cell>
          <cell r="F85">
            <v>99.583333333333329</v>
          </cell>
          <cell r="G85">
            <v>69.708333333333329</v>
          </cell>
          <cell r="H85">
            <v>96.708333333333329</v>
          </cell>
          <cell r="I85">
            <v>3</v>
          </cell>
          <cell r="J85">
            <v>0.01</v>
          </cell>
          <cell r="K85">
            <v>4611</v>
          </cell>
          <cell r="L85">
            <v>4657.1099999999997</v>
          </cell>
        </row>
        <row r="86">
          <cell r="A86">
            <v>15016380</v>
          </cell>
          <cell r="B86" t="str">
            <v>袁 雷芹</v>
          </cell>
          <cell r="C86" t="str">
            <v>Yuan Leiqin</v>
          </cell>
          <cell r="D86">
            <v>3</v>
          </cell>
          <cell r="E86">
            <v>27</v>
          </cell>
          <cell r="F86">
            <v>99.583333333333329</v>
          </cell>
          <cell r="G86">
            <v>69.708333333333329</v>
          </cell>
          <cell r="H86">
            <v>96.708333333333329</v>
          </cell>
          <cell r="I86">
            <v>3</v>
          </cell>
          <cell r="J86">
            <v>0.01</v>
          </cell>
          <cell r="K86">
            <v>4609</v>
          </cell>
          <cell r="L86">
            <v>4655.09</v>
          </cell>
        </row>
        <row r="87">
          <cell r="A87">
            <v>15012270</v>
          </cell>
          <cell r="B87" t="str">
            <v>熊 兰英</v>
          </cell>
          <cell r="C87" t="str">
            <v>Xiong Lanying</v>
          </cell>
          <cell r="D87">
            <v>3</v>
          </cell>
          <cell r="E87">
            <v>27</v>
          </cell>
          <cell r="F87">
            <v>99.583333333333329</v>
          </cell>
          <cell r="G87">
            <v>69.708333333333329</v>
          </cell>
          <cell r="H87">
            <v>96.708333333333329</v>
          </cell>
          <cell r="I87">
            <v>3</v>
          </cell>
          <cell r="J87">
            <v>2.5000000000000001E-2</v>
          </cell>
          <cell r="K87">
            <v>4504</v>
          </cell>
          <cell r="L87">
            <v>4616.5999999999995</v>
          </cell>
        </row>
        <row r="88">
          <cell r="A88">
            <v>15016588</v>
          </cell>
          <cell r="B88" t="str">
            <v>周 宗亮</v>
          </cell>
          <cell r="C88" t="str">
            <v>Zhou Zongliang</v>
          </cell>
          <cell r="D88">
            <v>3</v>
          </cell>
          <cell r="E88">
            <v>27</v>
          </cell>
          <cell r="F88">
            <v>99.166666666666671</v>
          </cell>
          <cell r="G88">
            <v>69.416666666666671</v>
          </cell>
          <cell r="H88">
            <v>96.416666666666671</v>
          </cell>
          <cell r="I88">
            <v>3</v>
          </cell>
          <cell r="J88">
            <v>2.5000000000000001E-2</v>
          </cell>
          <cell r="K88">
            <v>5849</v>
          </cell>
          <cell r="L88">
            <v>5995.2249999999995</v>
          </cell>
        </row>
        <row r="89">
          <cell r="A89">
            <v>15018308</v>
          </cell>
          <cell r="B89" t="str">
            <v>赵 刚强</v>
          </cell>
          <cell r="C89" t="str">
            <v>Zhao Gangqiang</v>
          </cell>
          <cell r="D89">
            <v>3</v>
          </cell>
          <cell r="E89">
            <v>27</v>
          </cell>
          <cell r="F89">
            <v>99.166666666666671</v>
          </cell>
          <cell r="G89">
            <v>69.416666666666671</v>
          </cell>
          <cell r="H89">
            <v>96.416666666666671</v>
          </cell>
          <cell r="I89">
            <v>3</v>
          </cell>
          <cell r="J89">
            <v>2.5000000000000001E-2</v>
          </cell>
          <cell r="K89">
            <v>5024</v>
          </cell>
          <cell r="L89">
            <v>5149.5999999999995</v>
          </cell>
        </row>
        <row r="90">
          <cell r="A90">
            <v>15012524</v>
          </cell>
          <cell r="B90" t="str">
            <v>陈 红余</v>
          </cell>
          <cell r="C90" t="str">
            <v>Chen Hongyu</v>
          </cell>
          <cell r="D90">
            <v>3</v>
          </cell>
          <cell r="E90">
            <v>27</v>
          </cell>
          <cell r="F90">
            <v>99.166666666666671</v>
          </cell>
          <cell r="G90">
            <v>69.416666666666671</v>
          </cell>
          <cell r="H90">
            <v>96.416666666666671</v>
          </cell>
          <cell r="I90">
            <v>3</v>
          </cell>
          <cell r="J90">
            <v>2.5000000000000001E-2</v>
          </cell>
          <cell r="K90">
            <v>4493</v>
          </cell>
          <cell r="L90">
            <v>4605.3249999999998</v>
          </cell>
        </row>
        <row r="91">
          <cell r="A91">
            <v>15001420</v>
          </cell>
          <cell r="B91" t="str">
            <v>毕 波</v>
          </cell>
          <cell r="C91" t="str">
            <v>Bi Bo</v>
          </cell>
          <cell r="D91">
            <v>3</v>
          </cell>
          <cell r="E91">
            <v>27</v>
          </cell>
          <cell r="F91">
            <v>98.75</v>
          </cell>
          <cell r="G91">
            <v>69.125</v>
          </cell>
          <cell r="H91">
            <v>96.125</v>
          </cell>
          <cell r="I91">
            <v>4</v>
          </cell>
          <cell r="J91">
            <v>0.04</v>
          </cell>
          <cell r="K91">
            <v>9573</v>
          </cell>
          <cell r="L91">
            <v>9955.92</v>
          </cell>
        </row>
        <row r="92">
          <cell r="A92">
            <v>15004870</v>
          </cell>
          <cell r="B92" t="str">
            <v>薛 礼银</v>
          </cell>
          <cell r="C92" t="str">
            <v>Xue Liyin</v>
          </cell>
          <cell r="D92">
            <v>3</v>
          </cell>
          <cell r="E92">
            <v>27</v>
          </cell>
          <cell r="F92">
            <v>98.75</v>
          </cell>
          <cell r="G92">
            <v>69.125</v>
          </cell>
          <cell r="H92">
            <v>96.125</v>
          </cell>
          <cell r="I92">
            <v>3</v>
          </cell>
          <cell r="J92">
            <v>2.5000000000000001E-2</v>
          </cell>
          <cell r="K92">
            <v>5964</v>
          </cell>
          <cell r="L92">
            <v>6113.0999999999995</v>
          </cell>
        </row>
        <row r="93">
          <cell r="A93">
            <v>15008335</v>
          </cell>
          <cell r="B93" t="str">
            <v>王 立</v>
          </cell>
          <cell r="C93" t="str">
            <v>Wang Li</v>
          </cell>
          <cell r="D93">
            <v>3</v>
          </cell>
          <cell r="E93">
            <v>27</v>
          </cell>
          <cell r="F93">
            <v>98.333333333333329</v>
          </cell>
          <cell r="G93">
            <v>68.833333333333329</v>
          </cell>
          <cell r="H93">
            <v>95.833333333333329</v>
          </cell>
          <cell r="I93">
            <v>3</v>
          </cell>
          <cell r="J93">
            <v>2.5000000000000001E-2</v>
          </cell>
          <cell r="K93">
            <v>5170</v>
          </cell>
          <cell r="L93">
            <v>5299.2499999999991</v>
          </cell>
        </row>
        <row r="94">
          <cell r="A94">
            <v>1721010</v>
          </cell>
          <cell r="B94" t="str">
            <v>陈 欣瑞</v>
          </cell>
          <cell r="C94" t="str">
            <v>Chen Xinrui</v>
          </cell>
          <cell r="D94">
            <v>3</v>
          </cell>
          <cell r="E94">
            <v>27</v>
          </cell>
          <cell r="F94">
            <v>97.5</v>
          </cell>
          <cell r="G94">
            <v>68.25</v>
          </cell>
          <cell r="H94">
            <v>95.25</v>
          </cell>
          <cell r="I94">
            <v>3</v>
          </cell>
          <cell r="J94">
            <v>0.03</v>
          </cell>
          <cell r="K94">
            <v>4593</v>
          </cell>
          <cell r="L94">
            <v>4730.79</v>
          </cell>
        </row>
        <row r="95">
          <cell r="A95">
            <v>15002856</v>
          </cell>
          <cell r="B95" t="str">
            <v>朱 恺</v>
          </cell>
          <cell r="C95" t="str">
            <v>Zhu Kai</v>
          </cell>
          <cell r="D95">
            <v>3</v>
          </cell>
          <cell r="E95">
            <v>27</v>
          </cell>
          <cell r="F95">
            <v>96.666666666666671</v>
          </cell>
          <cell r="G95">
            <v>67.666666666666671</v>
          </cell>
          <cell r="H95">
            <v>94.666666666666671</v>
          </cell>
          <cell r="I95">
            <v>3</v>
          </cell>
          <cell r="J95">
            <v>2.5000000000000001E-2</v>
          </cell>
          <cell r="K95">
            <v>6902</v>
          </cell>
          <cell r="L95">
            <v>7074.5499999999993</v>
          </cell>
        </row>
        <row r="96">
          <cell r="A96">
            <v>15001961</v>
          </cell>
          <cell r="B96" t="str">
            <v>李 二凯</v>
          </cell>
          <cell r="C96" t="str">
            <v>Li Erkai</v>
          </cell>
          <cell r="D96">
            <v>3</v>
          </cell>
          <cell r="E96">
            <v>27</v>
          </cell>
          <cell r="F96">
            <v>95.416666666666671</v>
          </cell>
          <cell r="G96">
            <v>66.791666666666671</v>
          </cell>
          <cell r="H96">
            <v>93.791666666666671</v>
          </cell>
          <cell r="I96">
            <v>3</v>
          </cell>
          <cell r="J96">
            <v>0.01</v>
          </cell>
          <cell r="K96">
            <v>6490</v>
          </cell>
          <cell r="L96">
            <v>6554.9</v>
          </cell>
        </row>
        <row r="97">
          <cell r="A97">
            <v>15002906</v>
          </cell>
          <cell r="B97" t="str">
            <v>曹 文浩</v>
          </cell>
          <cell r="C97" t="str">
            <v>Cao Wenhao</v>
          </cell>
          <cell r="D97">
            <v>3</v>
          </cell>
          <cell r="E97">
            <v>27</v>
          </cell>
          <cell r="F97">
            <v>94.166666666666671</v>
          </cell>
          <cell r="G97">
            <v>65.916666666666671</v>
          </cell>
          <cell r="H97">
            <v>92.916666666666671</v>
          </cell>
          <cell r="I97">
            <v>3</v>
          </cell>
          <cell r="J97">
            <v>2.5000000000000001E-2</v>
          </cell>
          <cell r="K97">
            <v>6074</v>
          </cell>
          <cell r="L97">
            <v>6225.8499999999995</v>
          </cell>
        </row>
        <row r="98">
          <cell r="A98">
            <v>15016902</v>
          </cell>
          <cell r="B98" t="str">
            <v>王 瑞</v>
          </cell>
          <cell r="C98" t="str">
            <v>Wang Rui</v>
          </cell>
          <cell r="D98">
            <v>3</v>
          </cell>
          <cell r="E98">
            <v>27</v>
          </cell>
          <cell r="F98">
            <v>92.5</v>
          </cell>
          <cell r="G98">
            <v>64.75</v>
          </cell>
          <cell r="H98">
            <v>91.75</v>
          </cell>
          <cell r="I98">
            <v>3</v>
          </cell>
          <cell r="J98">
            <v>0.01</v>
          </cell>
          <cell r="K98">
            <v>5744</v>
          </cell>
          <cell r="L98">
            <v>5801.44</v>
          </cell>
          <cell r="M98" t="str">
            <v>书面警告</v>
          </cell>
        </row>
        <row r="99">
          <cell r="A99">
            <v>15001454</v>
          </cell>
          <cell r="B99" t="str">
            <v>张 荣政</v>
          </cell>
          <cell r="C99" t="str">
            <v>Zhang Rongzheng</v>
          </cell>
          <cell r="D99">
            <v>2</v>
          </cell>
          <cell r="E99">
            <v>18</v>
          </cell>
          <cell r="F99">
            <v>103.33333333333333</v>
          </cell>
          <cell r="G99">
            <v>72.333333333333329</v>
          </cell>
          <cell r="H99">
            <v>90.333333333333329</v>
          </cell>
          <cell r="I99">
            <v>3</v>
          </cell>
          <cell r="J99">
            <v>2.5000000000000001E-2</v>
          </cell>
          <cell r="K99">
            <v>6750</v>
          </cell>
          <cell r="L99">
            <v>6918.7499999999991</v>
          </cell>
        </row>
        <row r="100">
          <cell r="A100">
            <v>15010149</v>
          </cell>
          <cell r="B100" t="str">
            <v>冯 伟聪</v>
          </cell>
          <cell r="C100" t="str">
            <v>Feng Weicong</v>
          </cell>
          <cell r="D100">
            <v>2</v>
          </cell>
          <cell r="E100">
            <v>18</v>
          </cell>
          <cell r="F100">
            <v>102.91666666666667</v>
          </cell>
          <cell r="G100">
            <v>72.041666666666671</v>
          </cell>
          <cell r="H100">
            <v>90.041666666666671</v>
          </cell>
          <cell r="I100">
            <v>3</v>
          </cell>
          <cell r="J100">
            <v>0.03</v>
          </cell>
          <cell r="K100">
            <v>5730</v>
          </cell>
          <cell r="L100">
            <v>5901.9000000000005</v>
          </cell>
        </row>
        <row r="101">
          <cell r="A101">
            <v>15012435</v>
          </cell>
          <cell r="B101" t="str">
            <v>王 国刘</v>
          </cell>
          <cell r="C101" t="str">
            <v>Wang Guoliu</v>
          </cell>
          <cell r="D101">
            <v>2</v>
          </cell>
          <cell r="E101">
            <v>18</v>
          </cell>
          <cell r="F101">
            <v>102.08333333333333</v>
          </cell>
          <cell r="G101">
            <v>71.458333333333329</v>
          </cell>
          <cell r="H101">
            <v>89.458333333333329</v>
          </cell>
          <cell r="I101">
            <v>4</v>
          </cell>
          <cell r="J101">
            <v>4.4999999999999998E-2</v>
          </cell>
          <cell r="K101">
            <v>6173</v>
          </cell>
          <cell r="L101">
            <v>6450.7849999999999</v>
          </cell>
        </row>
        <row r="102">
          <cell r="A102">
            <v>15013200</v>
          </cell>
          <cell r="B102" t="str">
            <v>赵 倩</v>
          </cell>
          <cell r="C102" t="str">
            <v>Zhao Qian</v>
          </cell>
          <cell r="D102">
            <v>2</v>
          </cell>
          <cell r="E102">
            <v>18</v>
          </cell>
          <cell r="F102">
            <v>101.66666666666667</v>
          </cell>
          <cell r="G102">
            <v>71.166666666666671</v>
          </cell>
          <cell r="H102">
            <v>89.166666666666671</v>
          </cell>
          <cell r="I102">
            <v>3</v>
          </cell>
          <cell r="J102">
            <v>2.5000000000000001E-2</v>
          </cell>
          <cell r="K102">
            <v>4667</v>
          </cell>
          <cell r="L102">
            <v>4783.6749999999993</v>
          </cell>
        </row>
        <row r="103">
          <cell r="A103">
            <v>15014356</v>
          </cell>
          <cell r="B103" t="str">
            <v>严 庆亮</v>
          </cell>
          <cell r="C103" t="str">
            <v>Yan Qingliang</v>
          </cell>
          <cell r="D103">
            <v>2</v>
          </cell>
          <cell r="E103">
            <v>18</v>
          </cell>
          <cell r="F103">
            <v>101.66666666666667</v>
          </cell>
          <cell r="G103">
            <v>71.166666666666671</v>
          </cell>
          <cell r="H103">
            <v>89.166666666666671</v>
          </cell>
          <cell r="I103">
            <v>3</v>
          </cell>
          <cell r="J103">
            <v>2.5000000000000001E-2</v>
          </cell>
          <cell r="K103">
            <v>4649</v>
          </cell>
          <cell r="L103">
            <v>4765.2249999999995</v>
          </cell>
        </row>
        <row r="104">
          <cell r="A104">
            <v>15001312</v>
          </cell>
          <cell r="B104" t="str">
            <v>王 国伟</v>
          </cell>
          <cell r="C104" t="str">
            <v>Wang Guowei</v>
          </cell>
          <cell r="D104">
            <v>2</v>
          </cell>
          <cell r="E104">
            <v>18</v>
          </cell>
          <cell r="F104">
            <v>101.25</v>
          </cell>
          <cell r="G104">
            <v>70.875</v>
          </cell>
          <cell r="H104">
            <v>88.875</v>
          </cell>
          <cell r="I104">
            <v>3</v>
          </cell>
          <cell r="J104">
            <v>2.5000000000000001E-2</v>
          </cell>
          <cell r="K104">
            <v>7911</v>
          </cell>
          <cell r="L104">
            <v>8108.7749999999996</v>
          </cell>
        </row>
        <row r="105">
          <cell r="A105">
            <v>15003349</v>
          </cell>
          <cell r="B105" t="str">
            <v>陆 牛</v>
          </cell>
          <cell r="C105" t="str">
            <v>Lu Niu</v>
          </cell>
          <cell r="D105">
            <v>2</v>
          </cell>
          <cell r="E105">
            <v>18</v>
          </cell>
          <cell r="F105">
            <v>101.25</v>
          </cell>
          <cell r="G105">
            <v>70.875</v>
          </cell>
          <cell r="H105">
            <v>88.875</v>
          </cell>
          <cell r="I105">
            <v>3</v>
          </cell>
          <cell r="J105">
            <v>2.5000000000000001E-2</v>
          </cell>
          <cell r="K105">
            <v>5401</v>
          </cell>
          <cell r="L105">
            <v>5536.0249999999996</v>
          </cell>
        </row>
        <row r="106">
          <cell r="A106">
            <v>15004713</v>
          </cell>
          <cell r="B106" t="str">
            <v>顾 春芹</v>
          </cell>
          <cell r="C106" t="str">
            <v>Gu Chunqin</v>
          </cell>
          <cell r="D106">
            <v>2</v>
          </cell>
          <cell r="E106">
            <v>18</v>
          </cell>
          <cell r="F106">
            <v>101.25</v>
          </cell>
          <cell r="G106">
            <v>70.875</v>
          </cell>
          <cell r="H106">
            <v>88.875</v>
          </cell>
          <cell r="I106">
            <v>3</v>
          </cell>
          <cell r="J106">
            <v>2.5000000000000001E-2</v>
          </cell>
          <cell r="K106">
            <v>4991</v>
          </cell>
          <cell r="L106">
            <v>5115.7749999999996</v>
          </cell>
        </row>
        <row r="107">
          <cell r="A107">
            <v>15008899</v>
          </cell>
          <cell r="B107" t="str">
            <v>刘 巧云</v>
          </cell>
          <cell r="C107" t="str">
            <v>Liu Qiaoyun</v>
          </cell>
          <cell r="D107">
            <v>2</v>
          </cell>
          <cell r="E107">
            <v>18</v>
          </cell>
          <cell r="F107">
            <v>101.25</v>
          </cell>
          <cell r="G107">
            <v>70.875</v>
          </cell>
          <cell r="H107">
            <v>88.875</v>
          </cell>
          <cell r="I107">
            <v>3</v>
          </cell>
          <cell r="J107">
            <v>0.01</v>
          </cell>
          <cell r="K107">
            <v>4668</v>
          </cell>
          <cell r="L107">
            <v>4714.68</v>
          </cell>
        </row>
        <row r="108">
          <cell r="A108">
            <v>15007182</v>
          </cell>
          <cell r="B108" t="str">
            <v>赵 高飞</v>
          </cell>
          <cell r="C108" t="str">
            <v>Zhao Gaofei</v>
          </cell>
          <cell r="D108">
            <v>2</v>
          </cell>
          <cell r="E108">
            <v>18</v>
          </cell>
          <cell r="F108">
            <v>101.25</v>
          </cell>
          <cell r="G108">
            <v>70.875</v>
          </cell>
          <cell r="H108">
            <v>88.875</v>
          </cell>
          <cell r="I108">
            <v>3</v>
          </cell>
          <cell r="J108">
            <v>0</v>
          </cell>
          <cell r="K108">
            <v>4598</v>
          </cell>
          <cell r="L108">
            <v>4598</v>
          </cell>
        </row>
        <row r="109">
          <cell r="A109">
            <v>15012451</v>
          </cell>
          <cell r="B109" t="str">
            <v>陈 露露</v>
          </cell>
          <cell r="C109" t="str">
            <v>Chen Lulu</v>
          </cell>
          <cell r="D109">
            <v>2</v>
          </cell>
          <cell r="E109">
            <v>18</v>
          </cell>
          <cell r="F109">
            <v>101.25</v>
          </cell>
          <cell r="G109">
            <v>70.875</v>
          </cell>
          <cell r="H109">
            <v>88.875</v>
          </cell>
          <cell r="I109">
            <v>3</v>
          </cell>
          <cell r="J109">
            <v>2.5000000000000001E-2</v>
          </cell>
          <cell r="K109">
            <v>4416</v>
          </cell>
          <cell r="L109">
            <v>4526.3999999999996</v>
          </cell>
        </row>
        <row r="110">
          <cell r="A110">
            <v>15016242</v>
          </cell>
          <cell r="B110" t="str">
            <v>李 世勇</v>
          </cell>
          <cell r="C110" t="str">
            <v>Li Shiyong</v>
          </cell>
          <cell r="D110">
            <v>2</v>
          </cell>
          <cell r="E110">
            <v>18</v>
          </cell>
          <cell r="F110">
            <v>100.83333333333333</v>
          </cell>
          <cell r="G110">
            <v>70.583333333333329</v>
          </cell>
          <cell r="H110">
            <v>88.583333333333329</v>
          </cell>
          <cell r="I110">
            <v>3</v>
          </cell>
          <cell r="J110">
            <v>2.5000000000000001E-2</v>
          </cell>
          <cell r="K110">
            <v>5366</v>
          </cell>
          <cell r="L110">
            <v>5500.15</v>
          </cell>
        </row>
        <row r="111">
          <cell r="A111">
            <v>15001392</v>
          </cell>
          <cell r="B111" t="str">
            <v>曹 永春</v>
          </cell>
          <cell r="C111" t="str">
            <v>Cao Yongchun</v>
          </cell>
          <cell r="D111">
            <v>2</v>
          </cell>
          <cell r="E111">
            <v>18</v>
          </cell>
          <cell r="F111">
            <v>100.83333333333333</v>
          </cell>
          <cell r="G111">
            <v>70.583333333333329</v>
          </cell>
          <cell r="H111">
            <v>88.583333333333329</v>
          </cell>
          <cell r="I111">
            <v>3</v>
          </cell>
          <cell r="J111">
            <v>0.01</v>
          </cell>
          <cell r="K111">
            <v>5091</v>
          </cell>
          <cell r="L111">
            <v>5141.91</v>
          </cell>
        </row>
        <row r="112">
          <cell r="A112">
            <v>15020063</v>
          </cell>
          <cell r="B112" t="str">
            <v>石 高举</v>
          </cell>
          <cell r="C112" t="str">
            <v>Shi Gaoju</v>
          </cell>
          <cell r="D112">
            <v>2</v>
          </cell>
          <cell r="E112">
            <v>18</v>
          </cell>
          <cell r="F112">
            <v>100.83333333333333</v>
          </cell>
          <cell r="G112">
            <v>70.583333333333329</v>
          </cell>
          <cell r="H112">
            <v>88.583333333333329</v>
          </cell>
          <cell r="I112">
            <v>3</v>
          </cell>
          <cell r="J112">
            <v>2.5000000000000001E-2</v>
          </cell>
          <cell r="K112">
            <v>5010</v>
          </cell>
          <cell r="L112">
            <v>5135.25</v>
          </cell>
        </row>
        <row r="113">
          <cell r="A113">
            <v>15018376</v>
          </cell>
          <cell r="B113" t="str">
            <v>刘 巍伟</v>
          </cell>
          <cell r="C113" t="str">
            <v>Liu Weiwei</v>
          </cell>
          <cell r="D113">
            <v>2</v>
          </cell>
          <cell r="E113">
            <v>18</v>
          </cell>
          <cell r="F113">
            <v>100.83333333333333</v>
          </cell>
          <cell r="G113">
            <v>70.583333333333329</v>
          </cell>
          <cell r="H113">
            <v>88.583333333333329</v>
          </cell>
          <cell r="I113">
            <v>3</v>
          </cell>
          <cell r="J113">
            <v>2.5000000000000001E-2</v>
          </cell>
          <cell r="K113">
            <v>5001</v>
          </cell>
          <cell r="L113">
            <v>5126.0249999999996</v>
          </cell>
        </row>
        <row r="114">
          <cell r="A114">
            <v>15015656</v>
          </cell>
          <cell r="B114" t="str">
            <v>戴 伟</v>
          </cell>
          <cell r="C114" t="str">
            <v>Dai Wei</v>
          </cell>
          <cell r="D114">
            <v>2</v>
          </cell>
          <cell r="E114">
            <v>18</v>
          </cell>
          <cell r="F114">
            <v>100.41666666666667</v>
          </cell>
          <cell r="G114">
            <v>70.291666666666671</v>
          </cell>
          <cell r="H114">
            <v>88.291666666666671</v>
          </cell>
          <cell r="I114">
            <v>3</v>
          </cell>
          <cell r="J114">
            <v>2.5000000000000001E-2</v>
          </cell>
          <cell r="K114">
            <v>5170</v>
          </cell>
          <cell r="L114">
            <v>5299.2499999999991</v>
          </cell>
        </row>
        <row r="115">
          <cell r="A115">
            <v>15020017</v>
          </cell>
          <cell r="B115" t="str">
            <v>周 飞鹏</v>
          </cell>
          <cell r="C115" t="str">
            <v>Zhou Feipeng</v>
          </cell>
          <cell r="D115">
            <v>2</v>
          </cell>
          <cell r="E115">
            <v>18</v>
          </cell>
          <cell r="F115">
            <v>100.41666666666667</v>
          </cell>
          <cell r="G115">
            <v>70.291666666666671</v>
          </cell>
          <cell r="H115">
            <v>88.291666666666671</v>
          </cell>
          <cell r="I115">
            <v>3</v>
          </cell>
          <cell r="J115">
            <v>2.5000000000000001E-2</v>
          </cell>
          <cell r="K115">
            <v>5066</v>
          </cell>
          <cell r="L115">
            <v>5192.6499999999996</v>
          </cell>
        </row>
        <row r="116">
          <cell r="A116">
            <v>15017362</v>
          </cell>
          <cell r="B116" t="str">
            <v>张 露</v>
          </cell>
          <cell r="C116" t="str">
            <v>Zhang Lu</v>
          </cell>
          <cell r="D116">
            <v>2</v>
          </cell>
          <cell r="E116">
            <v>18</v>
          </cell>
          <cell r="F116">
            <v>100.41666666666667</v>
          </cell>
          <cell r="G116">
            <v>70.291666666666671</v>
          </cell>
          <cell r="H116">
            <v>88.291666666666671</v>
          </cell>
          <cell r="I116">
            <v>3</v>
          </cell>
          <cell r="J116">
            <v>0.01</v>
          </cell>
          <cell r="K116">
            <v>5013</v>
          </cell>
          <cell r="L116">
            <v>5063.13</v>
          </cell>
        </row>
        <row r="117">
          <cell r="A117">
            <v>15001422</v>
          </cell>
          <cell r="B117" t="str">
            <v>王 余刚</v>
          </cell>
          <cell r="C117" t="str">
            <v>Wang Yugang</v>
          </cell>
          <cell r="D117">
            <v>2</v>
          </cell>
          <cell r="E117">
            <v>18</v>
          </cell>
          <cell r="F117">
            <v>100</v>
          </cell>
          <cell r="G117">
            <v>70</v>
          </cell>
          <cell r="H117">
            <v>88</v>
          </cell>
          <cell r="I117">
            <v>3</v>
          </cell>
          <cell r="J117">
            <v>2.5000000000000001E-2</v>
          </cell>
          <cell r="K117">
            <v>10380</v>
          </cell>
          <cell r="L117">
            <v>10440</v>
          </cell>
        </row>
        <row r="118">
          <cell r="A118">
            <v>15020122</v>
          </cell>
          <cell r="B118" t="str">
            <v>闫 茂光</v>
          </cell>
          <cell r="C118" t="str">
            <v>Yan Maoguang</v>
          </cell>
          <cell r="D118">
            <v>2</v>
          </cell>
          <cell r="E118">
            <v>18</v>
          </cell>
          <cell r="F118">
            <v>100</v>
          </cell>
          <cell r="G118">
            <v>70</v>
          </cell>
          <cell r="H118">
            <v>88</v>
          </cell>
          <cell r="I118">
            <v>5</v>
          </cell>
          <cell r="J118">
            <v>7.0000000000000007E-2</v>
          </cell>
          <cell r="K118">
            <v>6602</v>
          </cell>
          <cell r="L118">
            <v>7064.14</v>
          </cell>
        </row>
        <row r="119">
          <cell r="A119">
            <v>15000223</v>
          </cell>
          <cell r="B119" t="str">
            <v>居 阳</v>
          </cell>
          <cell r="C119" t="str">
            <v>Ju Yang</v>
          </cell>
          <cell r="D119">
            <v>2</v>
          </cell>
          <cell r="E119">
            <v>18</v>
          </cell>
          <cell r="F119">
            <v>100</v>
          </cell>
          <cell r="G119">
            <v>70</v>
          </cell>
          <cell r="H119">
            <v>88</v>
          </cell>
          <cell r="I119">
            <v>3</v>
          </cell>
          <cell r="J119">
            <v>2.5000000000000001E-2</v>
          </cell>
          <cell r="K119">
            <v>5946</v>
          </cell>
          <cell r="L119">
            <v>6094.65</v>
          </cell>
        </row>
        <row r="120">
          <cell r="A120">
            <v>15003305</v>
          </cell>
          <cell r="B120" t="str">
            <v>谢 宗雷</v>
          </cell>
          <cell r="C120" t="str">
            <v>Xie Zonglei</v>
          </cell>
          <cell r="D120">
            <v>2</v>
          </cell>
          <cell r="E120">
            <v>18</v>
          </cell>
          <cell r="F120">
            <v>100</v>
          </cell>
          <cell r="G120">
            <v>70</v>
          </cell>
          <cell r="H120">
            <v>88</v>
          </cell>
          <cell r="I120">
            <v>3</v>
          </cell>
          <cell r="J120">
            <v>2.5000000000000001E-2</v>
          </cell>
          <cell r="K120">
            <v>5821</v>
          </cell>
          <cell r="L120">
            <v>5966.5249999999996</v>
          </cell>
        </row>
        <row r="121">
          <cell r="A121">
            <v>15005428</v>
          </cell>
          <cell r="B121" t="str">
            <v>王 伟</v>
          </cell>
          <cell r="C121" t="str">
            <v>Wang Wei</v>
          </cell>
          <cell r="D121">
            <v>2</v>
          </cell>
          <cell r="E121">
            <v>18</v>
          </cell>
          <cell r="F121">
            <v>100</v>
          </cell>
          <cell r="G121">
            <v>70</v>
          </cell>
          <cell r="H121">
            <v>88</v>
          </cell>
          <cell r="I121">
            <v>3</v>
          </cell>
          <cell r="J121">
            <v>2.5000000000000001E-2</v>
          </cell>
          <cell r="K121">
            <v>5440</v>
          </cell>
          <cell r="L121">
            <v>5575.9999999999991</v>
          </cell>
        </row>
        <row r="122">
          <cell r="A122">
            <v>15018812</v>
          </cell>
          <cell r="B122" t="str">
            <v>崔 家恒</v>
          </cell>
          <cell r="C122" t="str">
            <v>Cui Jiaheng</v>
          </cell>
          <cell r="D122">
            <v>2</v>
          </cell>
          <cell r="E122">
            <v>18</v>
          </cell>
          <cell r="F122">
            <v>100</v>
          </cell>
          <cell r="G122">
            <v>70</v>
          </cell>
          <cell r="H122">
            <v>88</v>
          </cell>
          <cell r="I122">
            <v>3</v>
          </cell>
          <cell r="J122">
            <v>2.5000000000000001E-2</v>
          </cell>
          <cell r="K122">
            <v>5271</v>
          </cell>
          <cell r="L122">
            <v>5402.7749999999996</v>
          </cell>
        </row>
        <row r="123">
          <cell r="A123">
            <v>15015182</v>
          </cell>
          <cell r="B123" t="str">
            <v>杨 永飞</v>
          </cell>
          <cell r="C123" t="str">
            <v>Yang Yongfei</v>
          </cell>
          <cell r="D123">
            <v>2</v>
          </cell>
          <cell r="E123">
            <v>18</v>
          </cell>
          <cell r="F123">
            <v>100</v>
          </cell>
          <cell r="G123">
            <v>70</v>
          </cell>
          <cell r="H123">
            <v>88</v>
          </cell>
          <cell r="I123">
            <v>3</v>
          </cell>
          <cell r="J123">
            <v>2.5000000000000001E-2</v>
          </cell>
          <cell r="K123">
            <v>5121</v>
          </cell>
          <cell r="L123">
            <v>5249.0249999999996</v>
          </cell>
        </row>
        <row r="124">
          <cell r="A124">
            <v>15016216</v>
          </cell>
          <cell r="B124" t="str">
            <v>陶 宝峰</v>
          </cell>
          <cell r="C124" t="str">
            <v>Tao Baofeng</v>
          </cell>
          <cell r="D124">
            <v>2</v>
          </cell>
          <cell r="E124">
            <v>18</v>
          </cell>
          <cell r="F124">
            <v>100</v>
          </cell>
          <cell r="G124">
            <v>70</v>
          </cell>
          <cell r="H124">
            <v>88</v>
          </cell>
          <cell r="I124">
            <v>3</v>
          </cell>
          <cell r="J124">
            <v>2.5000000000000001E-2</v>
          </cell>
          <cell r="K124">
            <v>5003</v>
          </cell>
          <cell r="L124">
            <v>5128.0749999999998</v>
          </cell>
        </row>
        <row r="125">
          <cell r="A125">
            <v>15017390</v>
          </cell>
          <cell r="B125" t="str">
            <v>谢 桂玲</v>
          </cell>
          <cell r="C125" t="str">
            <v>Xie Guiling</v>
          </cell>
          <cell r="D125">
            <v>2</v>
          </cell>
          <cell r="E125">
            <v>18</v>
          </cell>
          <cell r="F125">
            <v>100</v>
          </cell>
          <cell r="G125">
            <v>70</v>
          </cell>
          <cell r="H125">
            <v>88</v>
          </cell>
          <cell r="I125">
            <v>3</v>
          </cell>
          <cell r="J125">
            <v>2.5000000000000001E-2</v>
          </cell>
          <cell r="K125">
            <v>4996</v>
          </cell>
          <cell r="L125">
            <v>5120.8999999999996</v>
          </cell>
        </row>
        <row r="126">
          <cell r="A126">
            <v>15017366</v>
          </cell>
          <cell r="B126" t="str">
            <v>丁 强</v>
          </cell>
          <cell r="C126" t="str">
            <v>Ding Qiang</v>
          </cell>
          <cell r="D126">
            <v>2</v>
          </cell>
          <cell r="E126">
            <v>18</v>
          </cell>
          <cell r="F126">
            <v>100</v>
          </cell>
          <cell r="G126">
            <v>70</v>
          </cell>
          <cell r="H126">
            <v>88</v>
          </cell>
          <cell r="I126">
            <v>3</v>
          </cell>
          <cell r="J126">
            <v>2.5000000000000001E-2</v>
          </cell>
          <cell r="K126">
            <v>4912</v>
          </cell>
          <cell r="L126">
            <v>5034.7999999999993</v>
          </cell>
        </row>
        <row r="127">
          <cell r="A127">
            <v>15017756</v>
          </cell>
          <cell r="B127" t="str">
            <v>李 林</v>
          </cell>
          <cell r="C127" t="str">
            <v>Li Lin</v>
          </cell>
          <cell r="D127">
            <v>2</v>
          </cell>
          <cell r="E127">
            <v>18</v>
          </cell>
          <cell r="F127">
            <v>100</v>
          </cell>
          <cell r="G127">
            <v>70</v>
          </cell>
          <cell r="H127">
            <v>88</v>
          </cell>
          <cell r="I127">
            <v>3</v>
          </cell>
          <cell r="J127">
            <v>2.5000000000000001E-2</v>
          </cell>
          <cell r="K127">
            <v>4904</v>
          </cell>
          <cell r="L127">
            <v>5026.5999999999995</v>
          </cell>
        </row>
        <row r="128">
          <cell r="A128">
            <v>15013818</v>
          </cell>
          <cell r="B128" t="str">
            <v>杨 俊平</v>
          </cell>
          <cell r="C128" t="str">
            <v>Yang Junping</v>
          </cell>
          <cell r="D128">
            <v>2</v>
          </cell>
          <cell r="E128">
            <v>18</v>
          </cell>
          <cell r="F128">
            <v>100</v>
          </cell>
          <cell r="G128">
            <v>70</v>
          </cell>
          <cell r="H128">
            <v>88</v>
          </cell>
          <cell r="I128">
            <v>3</v>
          </cell>
          <cell r="J128">
            <v>0.01</v>
          </cell>
          <cell r="K128">
            <v>4718</v>
          </cell>
          <cell r="L128">
            <v>4765.18</v>
          </cell>
        </row>
        <row r="129">
          <cell r="A129">
            <v>15018390</v>
          </cell>
          <cell r="B129" t="str">
            <v>彭 俊</v>
          </cell>
          <cell r="C129" t="str">
            <v>Peng Jun</v>
          </cell>
          <cell r="D129">
            <v>2</v>
          </cell>
          <cell r="E129">
            <v>18</v>
          </cell>
          <cell r="F129">
            <v>100</v>
          </cell>
          <cell r="G129">
            <v>70</v>
          </cell>
          <cell r="H129">
            <v>88</v>
          </cell>
          <cell r="I129">
            <v>3</v>
          </cell>
          <cell r="J129">
            <v>0.01</v>
          </cell>
          <cell r="K129">
            <v>4675</v>
          </cell>
          <cell r="L129">
            <v>4721.75</v>
          </cell>
        </row>
        <row r="130">
          <cell r="A130">
            <v>15017229</v>
          </cell>
          <cell r="B130" t="str">
            <v>秦 冬梅</v>
          </cell>
          <cell r="C130" t="str">
            <v>Qin Dongmei</v>
          </cell>
          <cell r="D130">
            <v>2</v>
          </cell>
          <cell r="E130">
            <v>18</v>
          </cell>
          <cell r="F130">
            <v>100</v>
          </cell>
          <cell r="G130">
            <v>70</v>
          </cell>
          <cell r="H130">
            <v>88</v>
          </cell>
          <cell r="I130">
            <v>3</v>
          </cell>
          <cell r="J130">
            <v>0.01</v>
          </cell>
          <cell r="K130">
            <v>4598</v>
          </cell>
          <cell r="L130">
            <v>4643.9800000000005</v>
          </cell>
        </row>
        <row r="131">
          <cell r="A131">
            <v>15021601</v>
          </cell>
          <cell r="B131" t="str">
            <v>赵 盈利</v>
          </cell>
          <cell r="C131" t="str">
            <v>Zhao Yingli</v>
          </cell>
          <cell r="D131">
            <v>2</v>
          </cell>
          <cell r="E131">
            <v>18</v>
          </cell>
          <cell r="F131">
            <v>100</v>
          </cell>
          <cell r="G131">
            <v>70</v>
          </cell>
          <cell r="H131">
            <v>88</v>
          </cell>
          <cell r="I131">
            <v>3</v>
          </cell>
          <cell r="J131">
            <v>2.5000000000000001E-2</v>
          </cell>
          <cell r="K131">
            <v>4529</v>
          </cell>
          <cell r="L131">
            <v>4642.2249999999995</v>
          </cell>
        </row>
        <row r="132">
          <cell r="A132">
            <v>15017222</v>
          </cell>
          <cell r="B132" t="str">
            <v>李 爱军</v>
          </cell>
          <cell r="C132" t="str">
            <v>Li Aijun</v>
          </cell>
          <cell r="D132">
            <v>2</v>
          </cell>
          <cell r="E132">
            <v>18</v>
          </cell>
          <cell r="F132">
            <v>99.583333333333329</v>
          </cell>
          <cell r="G132">
            <v>69.708333333333329</v>
          </cell>
          <cell r="H132">
            <v>87.708333333333329</v>
          </cell>
          <cell r="I132">
            <v>3</v>
          </cell>
          <cell r="J132">
            <v>2.5000000000000001E-2</v>
          </cell>
          <cell r="K132">
            <v>5217</v>
          </cell>
          <cell r="L132">
            <v>5347.4249999999993</v>
          </cell>
        </row>
        <row r="133">
          <cell r="A133">
            <v>15014364</v>
          </cell>
          <cell r="B133" t="str">
            <v>朱 晓刚</v>
          </cell>
          <cell r="C133" t="str">
            <v>Zhu Xiaogang</v>
          </cell>
          <cell r="D133">
            <v>2</v>
          </cell>
          <cell r="E133">
            <v>18</v>
          </cell>
          <cell r="F133">
            <v>99.583333333333329</v>
          </cell>
          <cell r="G133">
            <v>69.708333333333329</v>
          </cell>
          <cell r="H133">
            <v>87.708333333333329</v>
          </cell>
          <cell r="I133">
            <v>3</v>
          </cell>
          <cell r="J133">
            <v>2.5000000000000001E-2</v>
          </cell>
          <cell r="K133">
            <v>5162</v>
          </cell>
          <cell r="L133">
            <v>5291.0499999999993</v>
          </cell>
        </row>
        <row r="134">
          <cell r="A134">
            <v>15018540</v>
          </cell>
          <cell r="B134" t="str">
            <v>刘 建华</v>
          </cell>
          <cell r="C134" t="str">
            <v>Liu Jianhua</v>
          </cell>
          <cell r="D134">
            <v>2</v>
          </cell>
          <cell r="E134">
            <v>18</v>
          </cell>
          <cell r="F134">
            <v>99.583333333333329</v>
          </cell>
          <cell r="G134">
            <v>69.708333333333329</v>
          </cell>
          <cell r="H134">
            <v>87.708333333333329</v>
          </cell>
          <cell r="I134">
            <v>3</v>
          </cell>
          <cell r="J134">
            <v>2.5000000000000001E-2</v>
          </cell>
          <cell r="K134">
            <v>4784</v>
          </cell>
          <cell r="L134">
            <v>4903.5999999999995</v>
          </cell>
        </row>
        <row r="135">
          <cell r="A135">
            <v>15009875</v>
          </cell>
          <cell r="B135" t="str">
            <v>简 磊</v>
          </cell>
          <cell r="C135" t="str">
            <v>Jian Lei</v>
          </cell>
          <cell r="D135">
            <v>2</v>
          </cell>
          <cell r="E135">
            <v>18</v>
          </cell>
          <cell r="F135">
            <v>99.583333333333329</v>
          </cell>
          <cell r="G135">
            <v>69.708333333333329</v>
          </cell>
          <cell r="H135">
            <v>87.708333333333329</v>
          </cell>
          <cell r="I135">
            <v>3</v>
          </cell>
          <cell r="J135">
            <v>2.5000000000000001E-2</v>
          </cell>
          <cell r="K135">
            <v>4712</v>
          </cell>
          <cell r="L135">
            <v>4829.7999999999993</v>
          </cell>
        </row>
        <row r="136">
          <cell r="A136">
            <v>15017710</v>
          </cell>
          <cell r="B136" t="str">
            <v>樊 贵文</v>
          </cell>
          <cell r="C136" t="str">
            <v>Fan Guiwen</v>
          </cell>
          <cell r="D136">
            <v>2</v>
          </cell>
          <cell r="E136">
            <v>18</v>
          </cell>
          <cell r="F136">
            <v>99.583333333333329</v>
          </cell>
          <cell r="G136">
            <v>69.708333333333329</v>
          </cell>
          <cell r="H136">
            <v>87.708333333333329</v>
          </cell>
          <cell r="I136">
            <v>3</v>
          </cell>
          <cell r="J136">
            <v>2.5000000000000001E-2</v>
          </cell>
          <cell r="K136">
            <v>4667</v>
          </cell>
          <cell r="L136">
            <v>4783.6749999999993</v>
          </cell>
        </row>
        <row r="137">
          <cell r="A137">
            <v>15013134</v>
          </cell>
          <cell r="B137" t="str">
            <v>李 正丽</v>
          </cell>
          <cell r="C137" t="str">
            <v>Li Zhengli</v>
          </cell>
          <cell r="D137">
            <v>2</v>
          </cell>
          <cell r="E137">
            <v>18</v>
          </cell>
          <cell r="F137">
            <v>99.583333333333329</v>
          </cell>
          <cell r="G137">
            <v>69.708333333333329</v>
          </cell>
          <cell r="H137">
            <v>87.708333333333329</v>
          </cell>
          <cell r="I137">
            <v>3</v>
          </cell>
          <cell r="J137">
            <v>2.5000000000000001E-2</v>
          </cell>
          <cell r="K137">
            <v>4643</v>
          </cell>
          <cell r="L137">
            <v>4759.0749999999998</v>
          </cell>
        </row>
        <row r="138">
          <cell r="A138">
            <v>15014783</v>
          </cell>
          <cell r="B138" t="str">
            <v>张 峰</v>
          </cell>
          <cell r="C138" t="str">
            <v>Zhang Feng</v>
          </cell>
          <cell r="D138">
            <v>2</v>
          </cell>
          <cell r="E138">
            <v>18</v>
          </cell>
          <cell r="F138">
            <v>99.583333333333329</v>
          </cell>
          <cell r="G138">
            <v>69.708333333333329</v>
          </cell>
          <cell r="H138">
            <v>87.708333333333329</v>
          </cell>
          <cell r="I138">
            <v>3</v>
          </cell>
          <cell r="J138">
            <v>0</v>
          </cell>
          <cell r="K138">
            <v>4631</v>
          </cell>
          <cell r="L138">
            <v>4631</v>
          </cell>
        </row>
        <row r="139">
          <cell r="A139">
            <v>15014950</v>
          </cell>
          <cell r="B139" t="str">
            <v>许 炎</v>
          </cell>
          <cell r="C139" t="str">
            <v>Xu Yan</v>
          </cell>
          <cell r="D139">
            <v>2</v>
          </cell>
          <cell r="E139">
            <v>18</v>
          </cell>
          <cell r="F139">
            <v>99.166666666666671</v>
          </cell>
          <cell r="G139">
            <v>69.416666666666671</v>
          </cell>
          <cell r="H139">
            <v>87.416666666666671</v>
          </cell>
          <cell r="I139">
            <v>3</v>
          </cell>
          <cell r="J139">
            <v>2.5000000000000001E-2</v>
          </cell>
          <cell r="K139">
            <v>4650</v>
          </cell>
          <cell r="L139">
            <v>4766.25</v>
          </cell>
        </row>
        <row r="140">
          <cell r="A140">
            <v>15016100</v>
          </cell>
          <cell r="B140" t="str">
            <v>张 庆虎</v>
          </cell>
          <cell r="C140" t="str">
            <v>Zhang Qinghu</v>
          </cell>
          <cell r="D140">
            <v>2</v>
          </cell>
          <cell r="E140">
            <v>18</v>
          </cell>
          <cell r="F140">
            <v>98.75</v>
          </cell>
          <cell r="G140">
            <v>69.125</v>
          </cell>
          <cell r="H140">
            <v>87.125</v>
          </cell>
          <cell r="I140">
            <v>3</v>
          </cell>
          <cell r="J140">
            <v>2.5000000000000001E-2</v>
          </cell>
          <cell r="K140">
            <v>4560</v>
          </cell>
          <cell r="L140">
            <v>4674</v>
          </cell>
        </row>
        <row r="141">
          <cell r="A141">
            <v>15020100</v>
          </cell>
          <cell r="B141" t="str">
            <v>李 瑞桐</v>
          </cell>
          <cell r="C141" t="str">
            <v>Li Ruitong</v>
          </cell>
          <cell r="D141">
            <v>2</v>
          </cell>
          <cell r="E141">
            <v>18</v>
          </cell>
          <cell r="F141">
            <v>96.25</v>
          </cell>
          <cell r="G141">
            <v>67.375</v>
          </cell>
          <cell r="H141">
            <v>85.375</v>
          </cell>
          <cell r="I141">
            <v>3</v>
          </cell>
          <cell r="J141">
            <v>2.5000000000000001E-2</v>
          </cell>
          <cell r="K141">
            <v>4580</v>
          </cell>
          <cell r="L141">
            <v>4694.5</v>
          </cell>
        </row>
        <row r="142">
          <cell r="A142">
            <v>15000181</v>
          </cell>
          <cell r="B142" t="str">
            <v>田 锋</v>
          </cell>
          <cell r="C142" t="str">
            <v>Tian Feng</v>
          </cell>
          <cell r="D142">
            <v>2</v>
          </cell>
          <cell r="E142">
            <v>18</v>
          </cell>
          <cell r="F142">
            <v>92.5</v>
          </cell>
          <cell r="G142">
            <v>64.75</v>
          </cell>
          <cell r="H142">
            <v>82.75</v>
          </cell>
          <cell r="I142">
            <v>3</v>
          </cell>
          <cell r="J142">
            <v>0.01</v>
          </cell>
          <cell r="K142">
            <v>5160</v>
          </cell>
          <cell r="L142">
            <v>5211.6000000000004</v>
          </cell>
          <cell r="M142" t="str">
            <v>书面警告</v>
          </cell>
        </row>
        <row r="143">
          <cell r="A143">
            <v>15003683</v>
          </cell>
          <cell r="B143" t="str">
            <v>薛 宣金</v>
          </cell>
          <cell r="C143" t="str">
            <v>Xue xuanjin</v>
          </cell>
          <cell r="D143">
            <v>2</v>
          </cell>
          <cell r="E143">
            <v>18</v>
          </cell>
          <cell r="F143">
            <v>91.666666666666671</v>
          </cell>
          <cell r="G143">
            <v>64.166666666666671</v>
          </cell>
          <cell r="H143">
            <v>82.166666666666671</v>
          </cell>
          <cell r="I143">
            <v>3</v>
          </cell>
          <cell r="J143">
            <v>2.5000000000000001E-2</v>
          </cell>
          <cell r="K143">
            <v>6087</v>
          </cell>
          <cell r="L143">
            <v>6239.1749999999993</v>
          </cell>
          <cell r="M143" t="str">
            <v>书面警告</v>
          </cell>
        </row>
        <row r="144">
          <cell r="A144">
            <v>15011069</v>
          </cell>
          <cell r="B144" t="str">
            <v>董 苏荣</v>
          </cell>
          <cell r="C144" t="str">
            <v>Dong Surong</v>
          </cell>
          <cell r="D144">
            <v>2</v>
          </cell>
          <cell r="E144">
            <v>18</v>
          </cell>
          <cell r="F144">
            <v>91.666666666666671</v>
          </cell>
          <cell r="G144">
            <v>64.166666666666671</v>
          </cell>
          <cell r="H144">
            <v>82.166666666666671</v>
          </cell>
          <cell r="I144">
            <v>3</v>
          </cell>
          <cell r="J144">
            <v>0.01</v>
          </cell>
          <cell r="K144">
            <v>5478</v>
          </cell>
          <cell r="L144">
            <v>5532.78</v>
          </cell>
          <cell r="M144" t="str">
            <v>书面警告</v>
          </cell>
        </row>
        <row r="145">
          <cell r="A145">
            <v>15021159</v>
          </cell>
          <cell r="B145" t="str">
            <v>刘 配</v>
          </cell>
          <cell r="C145" t="str">
            <v>Liu Pei</v>
          </cell>
          <cell r="D145">
            <v>1</v>
          </cell>
          <cell r="E145">
            <v>9</v>
          </cell>
          <cell r="F145">
            <v>102.08333333333333</v>
          </cell>
          <cell r="G145">
            <v>71.458333333333329</v>
          </cell>
          <cell r="H145">
            <v>80.458333333333329</v>
          </cell>
          <cell r="I145">
            <v>3</v>
          </cell>
          <cell r="J145">
            <v>0.01</v>
          </cell>
          <cell r="K145">
            <v>5782</v>
          </cell>
          <cell r="L145">
            <v>5839.82</v>
          </cell>
          <cell r="M145" t="str">
            <v>书面警告</v>
          </cell>
        </row>
        <row r="146">
          <cell r="A146">
            <v>15017994</v>
          </cell>
          <cell r="B146" t="str">
            <v>毛 勇平</v>
          </cell>
          <cell r="C146" t="str">
            <v>Mao Yongping</v>
          </cell>
          <cell r="D146">
            <v>1</v>
          </cell>
          <cell r="E146">
            <v>9</v>
          </cell>
          <cell r="F146">
            <v>101.66666666666667</v>
          </cell>
          <cell r="G146">
            <v>71.166666666666671</v>
          </cell>
          <cell r="H146">
            <v>80.166666666666671</v>
          </cell>
          <cell r="I146">
            <v>2</v>
          </cell>
          <cell r="J146">
            <v>1.2500000000000001E-2</v>
          </cell>
          <cell r="K146">
            <v>4833</v>
          </cell>
          <cell r="L146">
            <v>4893.4124999999995</v>
          </cell>
        </row>
        <row r="147">
          <cell r="A147">
            <v>15000442</v>
          </cell>
          <cell r="B147" t="str">
            <v>李 作勇</v>
          </cell>
          <cell r="C147" t="str">
            <v>Li Zuoyong</v>
          </cell>
          <cell r="D147">
            <v>1</v>
          </cell>
          <cell r="E147">
            <v>9</v>
          </cell>
          <cell r="F147">
            <v>100.83333333333333</v>
          </cell>
          <cell r="G147">
            <v>70.583333333333329</v>
          </cell>
          <cell r="H147">
            <v>79.583333333333329</v>
          </cell>
          <cell r="I147">
            <v>2</v>
          </cell>
          <cell r="J147">
            <v>1.2500000000000001E-2</v>
          </cell>
          <cell r="K147">
            <v>6697</v>
          </cell>
          <cell r="L147">
            <v>6780.7124999999996</v>
          </cell>
        </row>
        <row r="148">
          <cell r="A148">
            <v>15017798</v>
          </cell>
          <cell r="B148" t="str">
            <v>郭 其升</v>
          </cell>
          <cell r="C148" t="str">
            <v>Guo Qisheng</v>
          </cell>
          <cell r="D148">
            <v>1</v>
          </cell>
          <cell r="E148">
            <v>9</v>
          </cell>
          <cell r="F148">
            <v>100.83333333333333</v>
          </cell>
          <cell r="G148">
            <v>70.583333333333329</v>
          </cell>
          <cell r="H148">
            <v>79.583333333333329</v>
          </cell>
          <cell r="I148">
            <v>2</v>
          </cell>
          <cell r="J148">
            <v>1.2500000000000001E-2</v>
          </cell>
          <cell r="K148">
            <v>5967</v>
          </cell>
          <cell r="L148">
            <v>6041.5874999999996</v>
          </cell>
        </row>
        <row r="149">
          <cell r="A149">
            <v>15021611</v>
          </cell>
          <cell r="B149" t="str">
            <v>李 明亮</v>
          </cell>
          <cell r="C149" t="str">
            <v>Li Mingliang</v>
          </cell>
          <cell r="D149">
            <v>1</v>
          </cell>
          <cell r="E149">
            <v>9</v>
          </cell>
          <cell r="F149">
            <v>100.83333333333333</v>
          </cell>
          <cell r="G149">
            <v>70.583333333333329</v>
          </cell>
          <cell r="H149">
            <v>79.583333333333329</v>
          </cell>
          <cell r="I149">
            <v>3</v>
          </cell>
          <cell r="J149">
            <v>2.5000000000000001E-2</v>
          </cell>
          <cell r="K149">
            <v>5687</v>
          </cell>
          <cell r="L149">
            <v>5829.1749999999993</v>
          </cell>
        </row>
        <row r="150">
          <cell r="A150">
            <v>15016820</v>
          </cell>
          <cell r="B150" t="str">
            <v>代 兄</v>
          </cell>
          <cell r="C150" t="str">
            <v>Dai Xiong</v>
          </cell>
          <cell r="D150">
            <v>1</v>
          </cell>
          <cell r="E150">
            <v>9</v>
          </cell>
          <cell r="F150">
            <v>100.83333333333333</v>
          </cell>
          <cell r="G150">
            <v>70.583333333333329</v>
          </cell>
          <cell r="H150">
            <v>79.583333333333329</v>
          </cell>
          <cell r="I150">
            <v>2</v>
          </cell>
          <cell r="J150">
            <v>1.2500000000000001E-2</v>
          </cell>
          <cell r="K150">
            <v>4602</v>
          </cell>
          <cell r="L150">
            <v>4659.5249999999996</v>
          </cell>
        </row>
        <row r="151">
          <cell r="A151">
            <v>15002037</v>
          </cell>
          <cell r="B151" t="str">
            <v>欧 双利</v>
          </cell>
          <cell r="C151" t="str">
            <v>Ou Shuangli</v>
          </cell>
          <cell r="D151">
            <v>2</v>
          </cell>
          <cell r="E151">
            <v>18</v>
          </cell>
          <cell r="F151">
            <v>100.41666666666667</v>
          </cell>
          <cell r="G151">
            <v>70.291666666666671</v>
          </cell>
          <cell r="H151">
            <v>88.291666666666671</v>
          </cell>
          <cell r="I151">
            <v>2</v>
          </cell>
          <cell r="J151">
            <v>5.0000000000000001E-3</v>
          </cell>
          <cell r="K151">
            <v>6820</v>
          </cell>
          <cell r="L151">
            <v>6854.0999999999995</v>
          </cell>
        </row>
        <row r="152">
          <cell r="A152">
            <v>15008777</v>
          </cell>
          <cell r="B152" t="str">
            <v>张 建</v>
          </cell>
          <cell r="C152" t="str">
            <v>Zhang Jian</v>
          </cell>
          <cell r="D152">
            <v>1</v>
          </cell>
          <cell r="E152">
            <v>9</v>
          </cell>
          <cell r="F152">
            <v>100.41666666666667</v>
          </cell>
          <cell r="G152">
            <v>70.291666666666671</v>
          </cell>
          <cell r="H152">
            <v>79.291666666666671</v>
          </cell>
          <cell r="I152">
            <v>1</v>
          </cell>
          <cell r="J152">
            <v>0.01</v>
          </cell>
          <cell r="K152">
            <v>5662</v>
          </cell>
          <cell r="L152">
            <v>5718.62</v>
          </cell>
        </row>
        <row r="153">
          <cell r="A153">
            <v>15020312</v>
          </cell>
          <cell r="B153" t="str">
            <v>王 逗逗</v>
          </cell>
          <cell r="C153" t="str">
            <v>Wang Doudou</v>
          </cell>
          <cell r="D153">
            <v>1</v>
          </cell>
          <cell r="E153">
            <v>9</v>
          </cell>
          <cell r="F153">
            <v>100.41666666666667</v>
          </cell>
          <cell r="G153">
            <v>70.291666666666671</v>
          </cell>
          <cell r="H153">
            <v>79.291666666666671</v>
          </cell>
          <cell r="I153">
            <v>1</v>
          </cell>
          <cell r="J153">
            <v>0</v>
          </cell>
          <cell r="K153">
            <v>4677</v>
          </cell>
          <cell r="L153">
            <v>4677</v>
          </cell>
        </row>
        <row r="154">
          <cell r="A154">
            <v>15006732</v>
          </cell>
          <cell r="B154" t="str">
            <v>吴 高峰</v>
          </cell>
          <cell r="C154" t="str">
            <v>Wu Gaofeng</v>
          </cell>
          <cell r="D154">
            <v>1</v>
          </cell>
          <cell r="E154">
            <v>9</v>
          </cell>
          <cell r="F154">
            <v>100</v>
          </cell>
          <cell r="G154">
            <v>70</v>
          </cell>
          <cell r="H154">
            <v>79</v>
          </cell>
          <cell r="I154">
            <v>1</v>
          </cell>
          <cell r="J154">
            <v>0.01</v>
          </cell>
          <cell r="K154">
            <v>5750</v>
          </cell>
          <cell r="L154">
            <v>5807.5</v>
          </cell>
        </row>
        <row r="155">
          <cell r="A155">
            <v>15016240</v>
          </cell>
          <cell r="B155" t="str">
            <v>余 德银</v>
          </cell>
          <cell r="C155" t="str">
            <v>Yu Deyin</v>
          </cell>
          <cell r="D155">
            <v>1</v>
          </cell>
          <cell r="E155">
            <v>9</v>
          </cell>
          <cell r="F155">
            <v>100</v>
          </cell>
          <cell r="G155">
            <v>70</v>
          </cell>
          <cell r="H155">
            <v>79</v>
          </cell>
          <cell r="I155">
            <v>1</v>
          </cell>
          <cell r="J155">
            <v>0.01</v>
          </cell>
          <cell r="K155">
            <v>5400</v>
          </cell>
          <cell r="L155">
            <v>5454</v>
          </cell>
        </row>
        <row r="156">
          <cell r="A156">
            <v>15003497</v>
          </cell>
          <cell r="B156" t="str">
            <v>刘 道联</v>
          </cell>
          <cell r="C156" t="str">
            <v>Liu Daolian</v>
          </cell>
          <cell r="D156">
            <v>1</v>
          </cell>
          <cell r="E156">
            <v>9</v>
          </cell>
          <cell r="F156">
            <v>100</v>
          </cell>
          <cell r="G156">
            <v>70</v>
          </cell>
          <cell r="H156">
            <v>79</v>
          </cell>
          <cell r="I156">
            <v>1</v>
          </cell>
          <cell r="J156">
            <v>0.01</v>
          </cell>
          <cell r="K156">
            <v>5107</v>
          </cell>
          <cell r="L156">
            <v>5158.07</v>
          </cell>
        </row>
        <row r="157">
          <cell r="A157">
            <v>15018032</v>
          </cell>
          <cell r="B157" t="str">
            <v>黄 烨</v>
          </cell>
          <cell r="C157" t="str">
            <v>Huang Ye</v>
          </cell>
          <cell r="D157">
            <v>1</v>
          </cell>
          <cell r="E157">
            <v>9</v>
          </cell>
          <cell r="F157">
            <v>100</v>
          </cell>
          <cell r="G157">
            <v>70</v>
          </cell>
          <cell r="H157">
            <v>79</v>
          </cell>
          <cell r="I157">
            <v>1</v>
          </cell>
          <cell r="J157">
            <v>0</v>
          </cell>
          <cell r="K157">
            <v>4937</v>
          </cell>
          <cell r="L157">
            <v>4937</v>
          </cell>
        </row>
        <row r="158">
          <cell r="A158">
            <v>15015194</v>
          </cell>
          <cell r="B158" t="str">
            <v>卢 贵川</v>
          </cell>
          <cell r="C158" t="str">
            <v>Lu Guichuan</v>
          </cell>
          <cell r="D158">
            <v>1</v>
          </cell>
          <cell r="E158">
            <v>9</v>
          </cell>
          <cell r="F158">
            <v>99.583333333333329</v>
          </cell>
          <cell r="G158">
            <v>69.708333333333329</v>
          </cell>
          <cell r="H158">
            <v>78.708333333333329</v>
          </cell>
          <cell r="I158">
            <v>1</v>
          </cell>
          <cell r="J158">
            <v>0.01</v>
          </cell>
          <cell r="K158">
            <v>5632</v>
          </cell>
          <cell r="L158">
            <v>5688.32</v>
          </cell>
        </row>
        <row r="159">
          <cell r="A159">
            <v>15012756</v>
          </cell>
          <cell r="B159" t="str">
            <v>徐 金</v>
          </cell>
          <cell r="C159" t="str">
            <v>Xu Jin</v>
          </cell>
          <cell r="D159">
            <v>1</v>
          </cell>
          <cell r="E159">
            <v>9</v>
          </cell>
          <cell r="F159">
            <v>99.583333333333329</v>
          </cell>
          <cell r="G159">
            <v>69.708333333333329</v>
          </cell>
          <cell r="H159">
            <v>78.708333333333329</v>
          </cell>
          <cell r="I159">
            <v>1</v>
          </cell>
          <cell r="J159">
            <v>0.01</v>
          </cell>
          <cell r="K159">
            <v>5547</v>
          </cell>
          <cell r="L159">
            <v>5602.47</v>
          </cell>
        </row>
        <row r="160">
          <cell r="A160">
            <v>15013197</v>
          </cell>
          <cell r="B160" t="str">
            <v>刘 辉</v>
          </cell>
          <cell r="C160" t="str">
            <v>Liu Hui</v>
          </cell>
          <cell r="D160">
            <v>1</v>
          </cell>
          <cell r="E160">
            <v>9</v>
          </cell>
          <cell r="F160">
            <v>99.583333333333329</v>
          </cell>
          <cell r="G160">
            <v>69.708333333333329</v>
          </cell>
          <cell r="H160">
            <v>78.708333333333329</v>
          </cell>
          <cell r="I160">
            <v>1</v>
          </cell>
          <cell r="J160">
            <v>0</v>
          </cell>
          <cell r="K160">
            <v>4823</v>
          </cell>
          <cell r="L160">
            <v>4823</v>
          </cell>
        </row>
        <row r="161">
          <cell r="A161">
            <v>15016293</v>
          </cell>
          <cell r="B161" t="str">
            <v>占 红玲</v>
          </cell>
          <cell r="C161" t="str">
            <v>Zhan Hongling</v>
          </cell>
          <cell r="D161">
            <v>1</v>
          </cell>
          <cell r="E161">
            <v>9</v>
          </cell>
          <cell r="F161">
            <v>99.583333333333329</v>
          </cell>
          <cell r="G161">
            <v>69.708333333333329</v>
          </cell>
          <cell r="H161">
            <v>78.708333333333329</v>
          </cell>
          <cell r="I161">
            <v>1</v>
          </cell>
          <cell r="J161">
            <v>0.01</v>
          </cell>
          <cell r="K161">
            <v>4535</v>
          </cell>
          <cell r="L161">
            <v>4580.3500000000004</v>
          </cell>
        </row>
        <row r="162">
          <cell r="A162">
            <v>15012458</v>
          </cell>
          <cell r="B162" t="str">
            <v>刘 威</v>
          </cell>
          <cell r="C162" t="str">
            <v>Liu Wei</v>
          </cell>
          <cell r="D162">
            <v>1</v>
          </cell>
          <cell r="E162">
            <v>9</v>
          </cell>
          <cell r="F162">
            <v>97.5</v>
          </cell>
          <cell r="G162">
            <v>68.25</v>
          </cell>
          <cell r="H162">
            <v>77.25</v>
          </cell>
          <cell r="I162">
            <v>1</v>
          </cell>
          <cell r="J162">
            <v>0.01</v>
          </cell>
          <cell r="K162">
            <v>4903</v>
          </cell>
          <cell r="L162">
            <v>4952.03</v>
          </cell>
        </row>
        <row r="163">
          <cell r="A163">
            <v>15018029</v>
          </cell>
          <cell r="B163" t="str">
            <v>王 成</v>
          </cell>
          <cell r="C163" t="str">
            <v>Wang Cheng</v>
          </cell>
          <cell r="D163">
            <v>1</v>
          </cell>
          <cell r="E163">
            <v>9</v>
          </cell>
          <cell r="F163">
            <v>97.5</v>
          </cell>
          <cell r="G163">
            <v>68.25</v>
          </cell>
          <cell r="H163">
            <v>77.25</v>
          </cell>
          <cell r="I163">
            <v>1</v>
          </cell>
          <cell r="J163">
            <v>0.01</v>
          </cell>
          <cell r="K163">
            <v>4541</v>
          </cell>
          <cell r="L163">
            <v>4586.41</v>
          </cell>
        </row>
        <row r="164">
          <cell r="J164">
            <v>2.4010967741935407E-2</v>
          </cell>
        </row>
        <row r="165">
          <cell r="A165">
            <v>15015062</v>
          </cell>
          <cell r="B165" t="str">
            <v>朱 道兴</v>
          </cell>
          <cell r="C165" t="str">
            <v>男</v>
          </cell>
          <cell r="D165" t="str">
            <v>沟通困难</v>
          </cell>
        </row>
        <row r="166">
          <cell r="A166">
            <v>15013136</v>
          </cell>
          <cell r="B166" t="str">
            <v>韩 继红</v>
          </cell>
          <cell r="C166" t="str">
            <v>女</v>
          </cell>
          <cell r="D166" t="str">
            <v>身体原因，肾炎严重，只能上白班</v>
          </cell>
        </row>
        <row r="167">
          <cell r="A167">
            <v>15007848</v>
          </cell>
          <cell r="B167" t="str">
            <v>庄 治立</v>
          </cell>
          <cell r="C167" t="str">
            <v>男</v>
          </cell>
          <cell r="D167" t="str">
            <v>态度散漫</v>
          </cell>
        </row>
        <row r="168">
          <cell r="A168">
            <v>15014839</v>
          </cell>
          <cell r="B168" t="str">
            <v>王 平</v>
          </cell>
          <cell r="C168" t="str">
            <v>女</v>
          </cell>
          <cell r="D168" t="str">
            <v>技能单一，只能简单的岗位</v>
          </cell>
        </row>
        <row r="169">
          <cell r="A169">
            <v>15016357</v>
          </cell>
          <cell r="B169" t="str">
            <v>孙 宝平</v>
          </cell>
          <cell r="C169" t="str">
            <v>女</v>
          </cell>
          <cell r="D169" t="str">
            <v>技能单一，只能简单的岗位</v>
          </cell>
        </row>
        <row r="170">
          <cell r="A170">
            <v>15018329</v>
          </cell>
          <cell r="B170" t="str">
            <v>陈 院</v>
          </cell>
          <cell r="C170" t="str">
            <v>男</v>
          </cell>
          <cell r="D170" t="str">
            <v>技能单一，只能简单的岗位</v>
          </cell>
        </row>
        <row r="171">
          <cell r="A171">
            <v>15013943</v>
          </cell>
          <cell r="B171" t="str">
            <v>刘 健</v>
          </cell>
          <cell r="C171" t="str">
            <v>男</v>
          </cell>
          <cell r="D171" t="str">
            <v>技能单一，只能开叉车</v>
          </cell>
        </row>
        <row r="172">
          <cell r="A172">
            <v>15013818</v>
          </cell>
          <cell r="B172" t="str">
            <v>杨 俊平</v>
          </cell>
          <cell r="C172" t="str">
            <v>男</v>
          </cell>
          <cell r="D172" t="str">
            <v>技能单一，只能简单的岗位</v>
          </cell>
        </row>
        <row r="173">
          <cell r="A173">
            <v>15001392</v>
          </cell>
          <cell r="B173" t="str">
            <v>曹 永春</v>
          </cell>
          <cell r="C173" t="str">
            <v>男</v>
          </cell>
          <cell r="D173" t="str">
            <v>技能单一，只能简单的岗位</v>
          </cell>
        </row>
        <row r="174">
          <cell r="A174">
            <v>15018395</v>
          </cell>
          <cell r="B174" t="str">
            <v>王 朋加</v>
          </cell>
          <cell r="C174" t="str">
            <v>男</v>
          </cell>
          <cell r="D174" t="str">
            <v>身体原因,腿部有伤，自己申请</v>
          </cell>
        </row>
        <row r="175">
          <cell r="A175">
            <v>15000181</v>
          </cell>
          <cell r="B175" t="str">
            <v>田 锋</v>
          </cell>
          <cell r="C175" t="str">
            <v>男</v>
          </cell>
          <cell r="D175" t="str">
            <v>书面警告</v>
          </cell>
        </row>
        <row r="176">
          <cell r="A176">
            <v>15009717</v>
          </cell>
          <cell r="B176" t="str">
            <v>李 欢</v>
          </cell>
          <cell r="C176" t="str">
            <v>男</v>
          </cell>
          <cell r="D176" t="str">
            <v>口头警告，腿脚不好</v>
          </cell>
        </row>
        <row r="177">
          <cell r="A177">
            <v>15009328</v>
          </cell>
          <cell r="B177" t="str">
            <v>管 红梅</v>
          </cell>
          <cell r="C177" t="str">
            <v>女</v>
          </cell>
          <cell r="D177" t="str">
            <v>岗位技能单一，女员工不适合跨线体</v>
          </cell>
        </row>
        <row r="178">
          <cell r="A178">
            <v>15017362</v>
          </cell>
          <cell r="B178" t="str">
            <v>张 露</v>
          </cell>
          <cell r="C178" t="str">
            <v>男</v>
          </cell>
          <cell r="D178" t="str">
            <v>干活一般</v>
          </cell>
        </row>
        <row r="179">
          <cell r="A179">
            <v>15017229</v>
          </cell>
          <cell r="B179" t="str">
            <v>秦 冬梅</v>
          </cell>
          <cell r="C179" t="str">
            <v>女</v>
          </cell>
          <cell r="D179" t="str">
            <v>岗位技能单一，女员工不适合跨线体</v>
          </cell>
        </row>
        <row r="180">
          <cell r="A180">
            <v>15003574</v>
          </cell>
          <cell r="B180" t="str">
            <v>谈 春庆</v>
          </cell>
          <cell r="C180" t="str">
            <v>男</v>
          </cell>
          <cell r="D180" t="str">
            <v>干活一般</v>
          </cell>
        </row>
        <row r="181">
          <cell r="A181">
            <v>15016380</v>
          </cell>
          <cell r="B181" t="str">
            <v>袁 雷芹</v>
          </cell>
          <cell r="C181" t="str">
            <v>女</v>
          </cell>
          <cell r="D181" t="str">
            <v>岗位技能单一，女员工不适合跨线体</v>
          </cell>
        </row>
        <row r="182">
          <cell r="A182">
            <v>15016411</v>
          </cell>
          <cell r="B182" t="str">
            <v>谢 静红</v>
          </cell>
          <cell r="C182" t="str">
            <v>女</v>
          </cell>
          <cell r="D182" t="str">
            <v>岗位技能单一，女员工不适合跨线体</v>
          </cell>
        </row>
        <row r="183">
          <cell r="A183">
            <v>15010051</v>
          </cell>
          <cell r="B183" t="str">
            <v>谭 成玉</v>
          </cell>
          <cell r="C183" t="str">
            <v>女</v>
          </cell>
          <cell r="D183" t="str">
            <v>岗位技能单一，女员工不适合跨线体</v>
          </cell>
        </row>
        <row r="184">
          <cell r="A184">
            <v>15018390</v>
          </cell>
          <cell r="B184" t="str">
            <v>彭 俊</v>
          </cell>
          <cell r="C184" t="str">
            <v>男</v>
          </cell>
          <cell r="D184" t="str">
            <v>身体原因，不能2线换岗</v>
          </cell>
        </row>
        <row r="185">
          <cell r="A185">
            <v>15013973</v>
          </cell>
          <cell r="B185" t="str">
            <v>郭 慧</v>
          </cell>
          <cell r="C185" t="str">
            <v>女</v>
          </cell>
          <cell r="D185" t="str">
            <v>岗位技能单一，女员工不适合跨线体</v>
          </cell>
        </row>
        <row r="187">
          <cell r="A187">
            <v>15007182</v>
          </cell>
          <cell r="B187" t="str">
            <v>赵 高飞</v>
          </cell>
          <cell r="C187" t="str">
            <v>男</v>
          </cell>
          <cell r="D187" t="str">
            <v>技能单一，只能开叉车</v>
          </cell>
        </row>
        <row r="188">
          <cell r="A188">
            <v>15014783</v>
          </cell>
          <cell r="B188" t="str">
            <v>张 峰</v>
          </cell>
          <cell r="C188" t="str">
            <v>男</v>
          </cell>
          <cell r="D188" t="str">
            <v>技能单一，只能简单的岗位，培训其余岗位时跟不上节奏</v>
          </cell>
        </row>
        <row r="189">
          <cell r="A189">
            <v>15007817</v>
          </cell>
          <cell r="B189" t="str">
            <v>李 宽童</v>
          </cell>
          <cell r="C189" t="str">
            <v>男</v>
          </cell>
          <cell r="D189" t="str">
            <v>技能单一，只能简单的岗位，培训其余岗位时跟不上节奏</v>
          </cell>
        </row>
        <row r="190">
          <cell r="A190">
            <v>15008321</v>
          </cell>
          <cell r="B190" t="str">
            <v>居 智霞</v>
          </cell>
          <cell r="C190" t="str">
            <v>女</v>
          </cell>
          <cell r="D190" t="str">
            <v>技能单一，只能简单的岗位，培训其余岗位时跟不上节奏</v>
          </cell>
        </row>
        <row r="191">
          <cell r="A191">
            <v>15008899</v>
          </cell>
          <cell r="B191" t="str">
            <v>刘 巧云</v>
          </cell>
          <cell r="C191" t="str">
            <v>女</v>
          </cell>
          <cell r="D191" t="str">
            <v>技能单一，只能简单的岗位，培训其余岗位时跟不上节奏</v>
          </cell>
        </row>
        <row r="192">
          <cell r="A192">
            <v>15009138</v>
          </cell>
          <cell r="B192" t="str">
            <v>朱 军</v>
          </cell>
          <cell r="C192" t="str">
            <v>男</v>
          </cell>
          <cell r="D192" t="str">
            <v>技能单一，只能简单的岗位，培训其余岗位时跟不上节奏</v>
          </cell>
        </row>
        <row r="193">
          <cell r="A193">
            <v>15008819</v>
          </cell>
          <cell r="B193" t="str">
            <v>唐 步新</v>
          </cell>
          <cell r="C193" t="str">
            <v>男</v>
          </cell>
          <cell r="D193" t="str">
            <v>维修工转岗，操作技能不足</v>
          </cell>
        </row>
        <row r="194">
          <cell r="A194">
            <v>15005785</v>
          </cell>
          <cell r="B194" t="str">
            <v>汪 传新</v>
          </cell>
          <cell r="C194" t="str">
            <v>女</v>
          </cell>
          <cell r="D194" t="str">
            <v>11月退休</v>
          </cell>
        </row>
        <row r="195">
          <cell r="A195">
            <v>15019918</v>
          </cell>
          <cell r="B195" t="str">
            <v>徐 文静</v>
          </cell>
          <cell r="C195" t="str">
            <v>女</v>
          </cell>
          <cell r="D195" t="str">
            <v>技能单一，只能简单的岗位，培训其余岗位时跟不上节奏</v>
          </cell>
        </row>
        <row r="196">
          <cell r="A196">
            <v>15014128</v>
          </cell>
          <cell r="B196" t="str">
            <v>夏 汪洋</v>
          </cell>
          <cell r="C196" t="str">
            <v>男</v>
          </cell>
          <cell r="D196" t="str">
            <v>技能单一，只能简单的岗位，培训其余岗位时跟不上节奏</v>
          </cell>
        </row>
        <row r="197">
          <cell r="A197">
            <v>15018032</v>
          </cell>
          <cell r="B197" t="str">
            <v>黄 烨</v>
          </cell>
          <cell r="C197" t="str">
            <v>男</v>
          </cell>
          <cell r="D197" t="str">
            <v>干活一般，不够仔细</v>
          </cell>
        </row>
        <row r="198">
          <cell r="A198">
            <v>15016388</v>
          </cell>
          <cell r="B198" t="str">
            <v>宋 翠</v>
          </cell>
          <cell r="C198" t="str">
            <v>女</v>
          </cell>
          <cell r="D198" t="str">
            <v>干活一般</v>
          </cell>
        </row>
        <row r="199">
          <cell r="A199">
            <v>15020312</v>
          </cell>
          <cell r="B199" t="str">
            <v>王 逗逗</v>
          </cell>
          <cell r="C199" t="str">
            <v>男</v>
          </cell>
          <cell r="D199" t="str">
            <v>自愿</v>
          </cell>
        </row>
        <row r="201">
          <cell r="A201">
            <v>15018350</v>
          </cell>
          <cell r="B201" t="str">
            <v>孙 康</v>
          </cell>
          <cell r="D201" t="str">
            <v>自愿</v>
          </cell>
        </row>
        <row r="202">
          <cell r="A202">
            <v>15010377</v>
          </cell>
          <cell r="B202" t="str">
            <v>许 俊</v>
          </cell>
          <cell r="D202" t="str">
            <v>自愿</v>
          </cell>
        </row>
        <row r="203">
          <cell r="A203">
            <v>15013197</v>
          </cell>
          <cell r="B203" t="str">
            <v>刘 辉</v>
          </cell>
          <cell r="D203" t="str">
            <v>自愿</v>
          </cell>
        </row>
      </sheetData>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Xu Lan (BSH GHR-CNBO)" id="{575A4906-B76F-451F-B1D4-2B8B1AB13584}" userId="S::xlu2nj@bosch.com::1e4108ea-3c8e-44a4-97fc-76a1083d319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u Lan (BSH GHR-GCE)" refreshedDate="46199.734820254627" createdVersion="8" refreshedVersion="8" minRefreshableVersion="3" recordCount="794" xr:uid="{F223E7AC-4A91-46F2-8778-7F45225A77DE}">
  <cacheSource type="worksheet">
    <worksheetSource name="表1"/>
  </cacheSource>
  <cacheFields count="52">
    <cacheField name="Company code" numFmtId="0">
      <sharedItems/>
    </cacheField>
    <cacheField name="Pers.no." numFmtId="0">
      <sharedItems containsSemiMixedTypes="0" containsString="0" containsNumber="1" containsInteger="1" minValue="1002314" maxValue="85886180"/>
    </cacheField>
    <cacheField name="Name_C" numFmtId="0">
      <sharedItems/>
    </cacheField>
    <cacheField name="Name_E" numFmtId="0">
      <sharedItems/>
    </cacheField>
    <cacheField name="Subgroup" numFmtId="0">
      <sharedItems/>
    </cacheField>
    <cacheField name="Area" numFmtId="0">
      <sharedItems/>
    </cacheField>
    <cacheField name="Subarea" numFmtId="0">
      <sharedItems/>
    </cacheField>
    <cacheField name="Dept." numFmtId="0">
      <sharedItems/>
    </cacheField>
    <cacheField name="Cost ctr" numFmtId="0">
      <sharedItems containsDate="1" containsMixedTypes="1" minDate="2014-06-03T00:00:00" maxDate="2015-04-02T00:00:00"/>
    </cacheField>
    <cacheField name="Join date " numFmtId="0">
      <sharedItems containsDate="1" containsMixedTypes="1" minDate="1985-03-01T00:00:00" maxDate="2025-12-11T00:00:00"/>
    </cacheField>
    <cacheField name="Job" numFmtId="0">
      <sharedItems/>
    </cacheField>
    <cacheField name="Position" numFmtId="0">
      <sharedItems/>
    </cacheField>
    <cacheField name="Band Level" numFmtId="0">
      <sharedItems count="8">
        <s v="BAND A6"/>
        <s v="BAND A5"/>
        <s v="BAND A4"/>
        <s v="BAND B"/>
        <s v="BAND A3"/>
        <s v="BAND C"/>
        <s v="BAND D"/>
        <s v="BAND A"/>
      </sharedItems>
      <fieldGroup par="51"/>
    </cacheField>
    <cacheField name="Workplan type" numFmtId="0">
      <sharedItems containsSemiMixedTypes="0" containsString="0" containsNumber="1" containsInteger="1" minValue="1" maxValue="2"/>
    </cacheField>
    <cacheField name="2025 Performance Level" numFmtId="0">
      <sharedItems containsMixedTypes="1" containsNumber="1" containsInteger="1" minValue="1" maxValue="5" count="6">
        <n v="5"/>
        <n v="4"/>
        <n v="3"/>
        <n v="2"/>
        <s v="NA"/>
        <n v="1"/>
      </sharedItems>
    </cacheField>
    <cacheField name=" Basic salary " numFmtId="164">
      <sharedItems containsSemiMixedTypes="0" containsString="0" containsNumber="1" containsInteger="1" minValue="4785" maxValue="95000"/>
    </cacheField>
    <cacheField name="①_x000a_Merit increase %" numFmtId="10">
      <sharedItems containsSemiMixedTypes="0" containsString="0" containsNumber="1" minValue="0" maxValue="8.3433644286953101E-2"/>
    </cacheField>
    <cacheField name="Merit Increase amount" numFmtId="164">
      <sharedItems containsSemiMixedTypes="0" containsString="0" containsNumber="1" containsInteger="1" minValue="0" maxValue="6325"/>
    </cacheField>
    <cacheField name="② _x000a_Equity Increase%_x000a_" numFmtId="10">
      <sharedItems containsSemiMixedTypes="0" containsString="0" containsNumber="1" minValue="0" maxValue="9.0300000000000005E-2"/>
    </cacheField>
    <cacheField name="Equity Increase_x000a_amount" numFmtId="164">
      <sharedItems containsSemiMixedTypes="0" containsString="0" containsNumber="1" containsInteger="1" minValue="0" maxValue="2412"/>
    </cacheField>
    <cacheField name="Total recommended Increase % _x000a_(①+②)" numFmtId="10">
      <sharedItems containsSemiMixedTypes="0" containsString="0" containsNumber="1" minValue="0" maxValue="0.14285714285714285"/>
    </cacheField>
    <cacheField name="Total Recommended Increase amount" numFmtId="164">
      <sharedItems containsSemiMixedTypes="0" containsString="0" containsNumber="1" containsInteger="1" minValue="0" maxValue="6325"/>
    </cacheField>
    <cacheField name="Recommended new basic salary" numFmtId="164">
      <sharedItems containsSemiMixedTypes="0" containsString="0" containsNumber="1" containsInteger="1" minValue="4785" maxValue="95000"/>
    </cacheField>
    <cacheField name="Adjutsed basic salary_x000a_(input by DH)" numFmtId="37">
      <sharedItems containsSemiMixedTypes="0" containsString="0" containsNumber="1" minValue="4785" maxValue="95000"/>
    </cacheField>
    <cacheField name="Adjutsed increased/decreased basic salary by DH" numFmtId="166">
      <sharedItems containsSemiMixedTypes="0" containsString="0" containsNumber="1" minValue="-197" maxValue="6191"/>
    </cacheField>
    <cacheField name="Adjusted basic increase/decreased % by DH " numFmtId="10">
      <sharedItems containsSemiMixedTypes="0" containsString="0" containsNumber="1" minValue="-2.1999999999999999E-2" maxValue="0.4274" count="270">
        <n v="5.9299999999999999E-2"/>
        <n v="6.08E-2"/>
        <n v="2.9899999999999999E-2"/>
        <n v="3.8800000000000001E-2"/>
        <n v="2.8299999999999999E-2"/>
        <n v="0"/>
        <n v="2.5999999999999999E-2"/>
        <n v="7.2800000000000004E-2"/>
        <n v="5.5399999999999998E-2"/>
        <n v="9.2499999999999999E-2"/>
        <n v="2.0199999999999999E-2"/>
        <n v="0.03"/>
        <n v="0.04"/>
        <n v="2.5000000000000001E-2"/>
        <n v="8.6999999999999994E-2"/>
        <n v="2.6200000000000001E-2"/>
        <n v="1.7999999999999999E-2"/>
        <n v="5.91E-2"/>
        <n v="2.5499999999999998E-2"/>
        <n v="0.1021"/>
        <n v="3.1099999999999999E-2"/>
        <n v="0.125"/>
        <n v="9.5999999999999992E-3"/>
        <n v="2.0299999999999999E-2"/>
        <n v="2.6499999999999999E-2"/>
        <n v="1.2699999999999999E-2"/>
        <n v="1.9800000000000002E-2"/>
        <n v="5.0999999999999997E-2"/>
        <n v="7.6100000000000001E-2"/>
        <n v="8.0000000000000002E-3"/>
        <n v="9.4399999999999998E-2"/>
        <n v="7.0000000000000007E-2"/>
        <n v="2.4E-2"/>
        <n v="4.2999999999999997E-2"/>
        <n v="3.3099999999999997E-2"/>
        <n v="7.6E-3"/>
        <n v="0.02"/>
        <n v="2.4899999999999999E-2"/>
        <n v="7.8600000000000003E-2"/>
        <n v="3.5999999999999997E-2"/>
        <n v="5.2999999999999999E-2"/>
        <n v="0.1237"/>
        <n v="1.83E-2"/>
        <n v="6.6299999999999998E-2"/>
        <n v="6.0000000000000001E-3"/>
        <n v="6.8999999999999999E-3"/>
        <n v="1.44E-2"/>
        <n v="2.2499999999999999E-2"/>
        <n v="0.10059999999999999"/>
        <n v="4.24E-2"/>
        <n v="7.3200000000000001E-2"/>
        <n v="2.1299999999999999E-2"/>
        <n v="3.32E-2"/>
        <n v="7.3599999999999999E-2"/>
        <n v="6.6400000000000001E-2"/>
        <n v="9.7999999999999997E-3"/>
        <n v="5.5100000000000003E-2"/>
        <n v="2.86E-2"/>
        <n v="2.2800000000000001E-2"/>
        <n v="2.3900000000000001E-2"/>
        <n v="2.8799999999999999E-2"/>
        <n v="8.72E-2"/>
        <n v="5.4699999999999999E-2"/>
        <n v="7.8700000000000006E-2"/>
        <n v="2.7900000000000001E-2"/>
        <n v="3.1300000000000001E-2"/>
        <n v="3.04E-2"/>
        <n v="6.0600000000000001E-2"/>
        <n v="4.02E-2"/>
        <n v="2.01E-2"/>
        <n v="1.95E-2"/>
        <n v="7.1400000000000005E-2"/>
        <n v="0.13780000000000001"/>
        <n v="3.7499999999999999E-2"/>
        <n v="0.06"/>
        <n v="3.0099999999999998E-2"/>
        <n v="6.2E-2"/>
        <n v="5.3E-3"/>
        <n v="6.2100000000000002E-2"/>
        <n v="2.9600000000000001E-2"/>
        <n v="9.8100000000000007E-2"/>
        <n v="0.1009"/>
        <n v="2.5100000000000001E-2"/>
        <n v="9.3899999999999997E-2"/>
        <n v="3.0200000000000001E-2"/>
        <n v="9.4799999999999995E-2"/>
        <n v="3.0700000000000002E-2"/>
        <n v="0.01"/>
        <n v="2.06E-2"/>
        <n v="8.2400000000000001E-2"/>
        <n v="1.03E-2"/>
        <n v="0.1195"/>
        <n v="0.1429"/>
        <n v="4.4999999999999997E-3"/>
        <n v="3.9399999999999998E-2"/>
        <n v="7.9000000000000008E-3"/>
        <n v="0.19989999999999999"/>
        <n v="0.1033"/>
        <n v="3.1800000000000002E-2"/>
        <n v="2.9700000000000001E-2"/>
        <n v="8.7900000000000006E-2"/>
        <n v="5.3400000000000003E-2"/>
        <n v="2.7199999999999998E-2"/>
        <n v="2.6599999999999999E-2"/>
        <n v="9.0899999999999995E-2"/>
        <n v="3.4500000000000003E-2"/>
        <n v="3.44E-2"/>
        <n v="2.8400000000000002E-2"/>
        <n v="3.5499999999999997E-2"/>
        <n v="2.9100000000000001E-2"/>
        <n v="2.9399999999999999E-2"/>
        <n v="0.1135"/>
        <n v="1.4999999999999999E-2"/>
        <n v="5.3100000000000001E-2"/>
        <n v="6.0499999999999998E-2"/>
        <n v="2.9000000000000001E-2"/>
        <n v="2.8899999999999999E-2"/>
        <n v="0.4274"/>
        <n v="8.0100000000000005E-2"/>
        <n v="3.5799999999999998E-2"/>
        <n v="6.0100000000000001E-2"/>
        <n v="2.12E-2"/>
        <n v="4.6699999999999998E-2"/>
        <n v="0.15679999999999999"/>
        <n v="2.23E-2"/>
        <n v="2.5700000000000001E-2"/>
        <n v="8.7999999999999995E-2"/>
        <n v="6.0400000000000002E-2"/>
        <n v="8.4400000000000003E-2"/>
        <n v="6.4399999999999999E-2"/>
        <n v="4.4600000000000001E-2"/>
        <n v="6.3600000000000004E-2"/>
        <n v="2.9499999999999998E-2"/>
        <n v="6.4299999999999996E-2"/>
        <n v="1.9300000000000001E-2"/>
        <n v="7.6999999999999999E-2"/>
        <n v="1.21E-2"/>
        <n v="6.0299999999999999E-2"/>
        <n v="3.3700000000000001E-2"/>
        <n v="0.05"/>
        <n v="3.09E-2"/>
        <n v="8.43E-2"/>
        <n v="3.2099999999999997E-2"/>
        <n v="2.2700000000000001E-2"/>
        <n v="3.3599999999999998E-2"/>
        <n v="9.35E-2"/>
        <n v="3.4200000000000001E-2"/>
        <n v="1.46E-2"/>
        <n v="9.1999999999999998E-3"/>
        <n v="1.47E-2"/>
        <n v="1.4200000000000001E-2"/>
        <n v="1.26E-2"/>
        <n v="4.6899999999999997E-2"/>
        <n v="9.4299999999999995E-2"/>
        <n v="8.6099999999999996E-2"/>
        <n v="1.2500000000000001E-2"/>
        <n v="1.61E-2"/>
        <n v="6.3100000000000003E-2"/>
        <n v="1.5100000000000001E-2"/>
        <n v="5.28E-2"/>
        <n v="2.92E-2"/>
        <n v="3.8100000000000002E-2"/>
        <n v="2.1700000000000001E-2"/>
        <n v="3.5299999999999998E-2"/>
        <n v="4.0500000000000001E-2"/>
        <n v="3.3799999999999997E-2"/>
        <n v="9.9599999999999994E-2"/>
        <n v="4.3299999999999998E-2"/>
        <n v="7.7999999999999996E-3"/>
        <n v="4.2700000000000002E-2"/>
        <n v="1.01E-2"/>
        <n v="6.0999999999999999E-2"/>
        <n v="8.77E-2"/>
        <n v="3.4000000000000002E-2"/>
        <n v="1.8700000000000001E-2"/>
        <n v="3.49E-2"/>
        <n v="0.14249999999999999"/>
        <n v="2.8199999999999999E-2"/>
        <n v="3.5000000000000003E-2"/>
        <n v="4.9200000000000001E-2"/>
        <n v="8.7099999999999997E-2"/>
        <n v="7.1499999999999994E-2"/>
        <n v="7.7100000000000002E-2"/>
        <n v="2.0400000000000001E-2"/>
        <n v="2.41E-2"/>
        <n v="0.113"/>
        <n v="2.0500000000000001E-2"/>
        <n v="4.1599999999999998E-2"/>
        <n v="2.47E-2"/>
        <n v="6.25E-2"/>
        <n v="2.4500000000000001E-2"/>
        <n v="1.18E-2"/>
        <n v="4.2500000000000003E-2"/>
        <n v="2.8000000000000001E-2"/>
        <n v="4.2599999999999999E-2"/>
        <n v="4.3799999999999999E-2"/>
        <n v="6.1199999999999997E-2"/>
        <n v="0.1671"/>
        <n v="5.0000000000000001E-3"/>
        <n v="4.1000000000000003E-3"/>
        <n v="7.5899999999999995E-2"/>
        <n v="1.5699999999999999E-2"/>
        <n v="7.5800000000000006E-2"/>
        <n v="7.0599999999999996E-2"/>
        <n v="6.2899999999999998E-2"/>
        <n v="6.3500000000000001E-2"/>
        <n v="3.1899999999999998E-2"/>
        <n v="2.1999999999999999E-2"/>
        <n v="8.1699999999999995E-2"/>
        <n v="0.1792"/>
        <n v="0.12239999999999999"/>
        <n v="6.7000000000000004E-2"/>
        <n v="0.15379999999999999"/>
        <n v="9.4700000000000006E-2"/>
        <n v="9.98E-2"/>
        <n v="3.2599999999999997E-2"/>
        <n v="4.8000000000000001E-2"/>
        <n v="0.1"/>
        <n v="7.1099999999999997E-2"/>
        <n v="9.2399999999999996E-2"/>
        <n v="9.8599999999999993E-2"/>
        <n v="1.6899999999999998E-2"/>
        <n v="1.4500000000000001E-2"/>
        <n v="2.64E-2"/>
        <n v="0.1925"/>
        <n v="0.10630000000000001"/>
        <n v="5.62E-2"/>
        <n v="-2.1999999999999999E-2"/>
        <n v="4.7800000000000002E-2"/>
        <n v="0.1268"/>
        <n v="9.7000000000000003E-2"/>
        <n v="0.14860000000000001"/>
        <n v="3.0800000000000001E-2"/>
        <n v="3.3500000000000002E-2"/>
        <n v="0.1003"/>
        <n v="3.2800000000000003E-2"/>
        <n v="7.0199999999999999E-2"/>
        <n v="7.4399999999999994E-2"/>
        <n v="7.8100000000000003E-2"/>
        <n v="5.3800000000000001E-2"/>
        <n v="4.4999999999999998E-2"/>
        <n v="0.1103"/>
        <n v="5.0099999999999999E-2"/>
        <n v="7.1999999999999995E-2"/>
        <n v="5.0500000000000003E-2"/>
        <n v="2.4299999999999999E-2"/>
        <n v="3.5099999999999999E-2"/>
        <n v="2.58E-2"/>
        <n v="3.8199999999999998E-2"/>
        <n v="4.8599999999999997E-2"/>
        <n v="8.6900000000000005E-2"/>
        <n v="2.8500000000000001E-2"/>
        <n v="7.4200000000000002E-2"/>
        <n v="1.6400000000000001E-2"/>
        <n v="5.2900000000000003E-2"/>
        <n v="6.9699999999999998E-2"/>
        <n v="5.4899999999999997E-2"/>
        <n v="3.2300000000000002E-2"/>
        <n v="6.1600000000000002E-2"/>
        <n v="7.5999999999999998E-2"/>
        <n v="8.1100000000000005E-2"/>
        <n v="6.6199999999999995E-2"/>
        <n v="4.1700000000000001E-2"/>
        <n v="4.2900000000000001E-2"/>
        <n v="5.1799999999999999E-2"/>
        <n v="3.2199999999999999E-2"/>
        <n v="2.7300000000000001E-2"/>
        <n v="2.8E-3"/>
        <n v="2.5000000000000001E-3"/>
        <n v="4.7000000000000002E-3" u="1"/>
      </sharedItems>
    </cacheField>
    <cacheField name="Adjustment range reference " numFmtId="165">
      <sharedItems/>
    </cacheField>
    <cacheField name="Promotion or demotion" numFmtId="164">
      <sharedItems containsBlank="1"/>
    </cacheField>
    <cacheField name="New position title" numFmtId="164">
      <sharedItems containsBlank="1"/>
    </cacheField>
    <cacheField name="New band" numFmtId="164">
      <sharedItems containsBlank="1"/>
    </cacheField>
    <cacheField name="③_x000a_Promotion increase/Demotion decrease %_x000a_(±5%-±20%)" numFmtId="10">
      <sharedItems containsString="0" containsBlank="1" containsNumber="1" minValue="0.05" maxValue="0.16800000000000001"/>
    </cacheField>
    <cacheField name="Promotion increase/Demotion decrease amount" numFmtId="164">
      <sharedItems containsSemiMixedTypes="0" containsString="0" containsNumber="1" containsInteger="1" minValue="0" maxValue="2212"/>
    </cacheField>
    <cacheField name="Final new basic salary _x000a_" numFmtId="164">
      <sharedItems containsSemiMixedTypes="0" containsString="0" containsNumber="1" minValue="4785" maxValue="95000"/>
    </cacheField>
    <cacheField name="Final increase/decrease amount" numFmtId="164">
      <sharedItems containsSemiMixedTypes="0" containsString="0" containsNumber="1" minValue="-197" maxValue="6191"/>
    </cacheField>
    <cacheField name="Final increase/decrease rate" numFmtId="165">
      <sharedItems containsSemiMixedTypes="0" containsString="0" containsNumber="1" minValue="-2.2043191227481218E-2" maxValue="0.42735042735042739"/>
    </cacheField>
    <cacheField name="Pay months" numFmtId="164">
      <sharedItems containsSemiMixedTypes="0" containsString="0" containsNumber="1" containsInteger="1" minValue="13" maxValue="16"/>
    </cacheField>
    <cacheField name="Monthly allowance/bonus" numFmtId="164">
      <sharedItems containsSemiMixedTypes="0" containsString="0" containsNumber="1" containsInteger="1" minValue="450" maxValue="9050"/>
    </cacheField>
    <cacheField name="Monthly Car Allowance" numFmtId="164">
      <sharedItems containsString="0" containsBlank="1" containsNumber="1" containsInteger="1" minValue="1000" maxValue="5000"/>
    </cacheField>
    <cacheField name="Other income(e.g.:festival bonus)_x000a_" numFmtId="164">
      <sharedItems containsSemiMixedTypes="0" containsString="0" containsNumber="1" containsInteger="1" minValue="0" maxValue="1210"/>
    </cacheField>
    <cacheField name="Annual target cash" numFmtId="164">
      <sharedItems containsSemiMixedTypes="0" containsString="0" containsNumber="1" minValue="73078" maxValue="1359400"/>
    </cacheField>
    <cacheField name="2024 Performance Level" numFmtId="0">
      <sharedItems containsMixedTypes="1" containsNumber="1" containsInteger="1" minValue="1" maxValue="5"/>
    </cacheField>
    <cacheField name="Disciplinary Records" numFmtId="0">
      <sharedItems containsBlank="1"/>
    </cacheField>
    <cacheField name="Justifications by DH" numFmtId="0">
      <sharedItems containsBlank="1" longText="1"/>
    </cacheField>
    <cacheField name="HR Remark" numFmtId="0">
      <sharedItems containsBlank="1"/>
    </cacheField>
    <cacheField name="Responsible ASR Manager" numFmtId="0">
      <sharedItems/>
    </cacheField>
    <cacheField name="Responsible ASR HRBP" numFmtId="0">
      <sharedItems/>
    </cacheField>
    <cacheField name="PY" numFmtId="0">
      <sharedItems containsBlank="1"/>
    </cacheField>
    <cacheField name="85% of LMW (for Technician/Counsellor)" numFmtId="0">
      <sharedItems containsNonDate="0" containsString="0" containsBlank="1"/>
    </cacheField>
    <cacheField name="Editable column 1" numFmtId="0">
      <sharedItems containsBlank="1"/>
    </cacheField>
    <cacheField name="Editable column 2" numFmtId="0">
      <sharedItems containsBlank="1"/>
    </cacheField>
    <cacheField name=" -   " numFmtId="0">
      <sharedItems containsBlank="1"/>
    </cacheField>
    <cacheField name="Band Level2" numFmtId="0" databaseField="0">
      <fieldGroup base="12">
        <discretePr count="8">
          <x v="3"/>
          <x v="3"/>
          <x v="3"/>
          <x v="0"/>
          <x v="3"/>
          <x v="1"/>
          <x v="2"/>
          <x v="3"/>
        </discretePr>
        <groupItems count="4">
          <s v="BAND B"/>
          <s v="BAND C"/>
          <s v="BAND D"/>
          <s v="数据组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CN15"/>
    <n v="15000447"/>
    <s v="柏 正曹"/>
    <s v="Bo Zhengcao"/>
    <s v="Indirect Active"/>
    <s v="OP"/>
    <s v="SNa"/>
    <s v="FCGNa-VVP"/>
    <s v="330404"/>
    <d v="2006-04-01T00:00:00"/>
    <s v="Workshop Leader"/>
    <s v="Head of FCGNa-VVP"/>
    <x v="0"/>
    <n v="2"/>
    <x v="0"/>
    <n v="15840"/>
    <n v="0.05"/>
    <n v="792"/>
    <n v="0"/>
    <n v="0"/>
    <n v="0.05"/>
    <n v="792"/>
    <n v="16632"/>
    <n v="16780"/>
    <n v="940"/>
    <x v="0"/>
    <s v="4.00%-6.00%"/>
    <m/>
    <m/>
    <m/>
    <m/>
    <n v="0"/>
    <n v="16780"/>
    <n v="940"/>
    <n v="5.9343434343434254E-2"/>
    <n v="14"/>
    <n v="450"/>
    <m/>
    <n v="688"/>
    <n v="241008"/>
    <n v="4"/>
    <m/>
    <m/>
    <m/>
    <s v="Miao Siyuan（15005811）"/>
    <s v="Zhu Qianqian（11016705）"/>
    <s v="Zhao Chujun"/>
    <m/>
    <m/>
    <m/>
    <s v="OK"/>
  </r>
  <r>
    <s v="CN15"/>
    <n v="15014416"/>
    <s v="蔡 凯健"/>
    <s v="Cai Kaijian"/>
    <s v="Indirect Active"/>
    <s v="OP"/>
    <s v="SNa"/>
    <s v="FCGNa-VVE"/>
    <s v="330404"/>
    <d v="2023-05-17T00:00:00"/>
    <s v="Supervisor"/>
    <s v="Head of Engineering Ventilation"/>
    <x v="0"/>
    <n v="2"/>
    <x v="1"/>
    <n v="16456"/>
    <n v="4.4999999999999998E-2"/>
    <n v="741"/>
    <n v="1.55E-2"/>
    <n v="255"/>
    <n v="6.0525036460865336E-2"/>
    <n v="996"/>
    <n v="17452"/>
    <n v="17456"/>
    <n v="1000"/>
    <x v="1"/>
    <s v="4.84%-7.26%"/>
    <m/>
    <m/>
    <m/>
    <m/>
    <n v="0"/>
    <n v="17456"/>
    <n v="1000"/>
    <n v="6.0768108896451123E-2"/>
    <n v="14"/>
    <n v="450"/>
    <m/>
    <n v="688"/>
    <n v="250472"/>
    <n v="5"/>
    <m/>
    <m/>
    <m/>
    <s v="Miao Siyuan（15005811）"/>
    <s v="Zhu Qianqian（11016705）"/>
    <s v="Zhao Chujun"/>
    <m/>
    <m/>
    <m/>
    <s v="OK"/>
  </r>
  <r>
    <s v="CN15"/>
    <n v="15014868"/>
    <s v="符 卫卫"/>
    <s v="Fu Weiwei"/>
    <s v="Indirect Active"/>
    <s v="OP"/>
    <s v="SNa"/>
    <s v="FCGNa-VVE"/>
    <s v="330404"/>
    <d v="2015-10-14T00:00:00"/>
    <s v="Project Manager"/>
    <s v="Project Manager"/>
    <x v="0"/>
    <n v="2"/>
    <x v="2"/>
    <n v="13630"/>
    <n v="0.03"/>
    <n v="409"/>
    <n v="0"/>
    <n v="0"/>
    <n v="3.0007336757153339E-2"/>
    <n v="409"/>
    <n v="14039"/>
    <n v="14038"/>
    <n v="408"/>
    <x v="2"/>
    <s v="2.40%-3.60%"/>
    <m/>
    <m/>
    <m/>
    <m/>
    <n v="0"/>
    <n v="14038"/>
    <n v="408"/>
    <n v="2.9933969185619969E-2"/>
    <n v="14"/>
    <n v="450"/>
    <m/>
    <n v="688"/>
    <n v="202620"/>
    <n v="4"/>
    <m/>
    <m/>
    <m/>
    <s v="Miao Siyuan（15005811）"/>
    <s v="Zhu Qianqian（11016705）"/>
    <s v="Zhao Chujun"/>
    <m/>
    <m/>
    <m/>
    <s v="OK"/>
  </r>
  <r>
    <s v="CN15"/>
    <n v="15022166"/>
    <s v="李 超"/>
    <s v="Li Chao"/>
    <s v="Indirect Active"/>
    <s v="OP"/>
    <s v="SNa"/>
    <s v="FCGNa-VVE"/>
    <s v="330404"/>
    <d v="2022-04-13T00:00:00"/>
    <s v="Senior Engineer"/>
    <s v="Senior Electrical Engineer"/>
    <x v="1"/>
    <n v="2"/>
    <x v="1"/>
    <n v="14440"/>
    <n v="3.7500000000000006E-2"/>
    <n v="542"/>
    <n v="0"/>
    <n v="0"/>
    <n v="3.753462603878116E-2"/>
    <n v="542"/>
    <n v="14982"/>
    <n v="15000"/>
    <n v="560"/>
    <x v="3"/>
    <s v="3.00%-4.50%"/>
    <m/>
    <m/>
    <m/>
    <m/>
    <n v="0"/>
    <n v="15000"/>
    <n v="560"/>
    <n v="3.8781163434903121E-2"/>
    <n v="14"/>
    <n v="450"/>
    <m/>
    <n v="688"/>
    <n v="216088"/>
    <n v="2"/>
    <m/>
    <m/>
    <m/>
    <s v="Miao Siyuan（15005811）"/>
    <s v="Zhu Qianqian（11016705）"/>
    <s v="Zhao Chujun"/>
    <m/>
    <m/>
    <m/>
    <s v="OK"/>
  </r>
  <r>
    <s v="CN15"/>
    <n v="15016337"/>
    <s v="刘 文涛"/>
    <s v="Liu Wentao"/>
    <s v="Indirect Active"/>
    <s v="OP"/>
    <s v="SNa"/>
    <s v="FCGNa-VVE"/>
    <s v="330404"/>
    <d v="2017-03-01T00:00:00"/>
    <s v="Functional Specialist"/>
    <s v="Functional Specialist"/>
    <x v="0"/>
    <n v="2"/>
    <x v="2"/>
    <n v="14284"/>
    <n v="0.03"/>
    <n v="429"/>
    <n v="0"/>
    <n v="0"/>
    <n v="3.0033604032483899E-2"/>
    <n v="429"/>
    <n v="14713"/>
    <n v="14688"/>
    <n v="404"/>
    <x v="4"/>
    <s v="2.40%-3.60%"/>
    <m/>
    <m/>
    <m/>
    <m/>
    <n v="0"/>
    <n v="14688"/>
    <n v="404"/>
    <n v="2.828339400728086E-2"/>
    <n v="14"/>
    <n v="450"/>
    <m/>
    <n v="688"/>
    <n v="211720"/>
    <n v="2"/>
    <m/>
    <m/>
    <m/>
    <s v="Miao Siyuan（15005811）"/>
    <s v="Zhu Qianqian（11016705）"/>
    <s v="Zhao Chujun"/>
    <m/>
    <m/>
    <m/>
    <s v="OK"/>
  </r>
  <r>
    <s v="CN15"/>
    <n v="15022630"/>
    <s v="王 长德"/>
    <s v="Wang Changde"/>
    <s v="Indirect Active"/>
    <s v="OP"/>
    <s v="SNa"/>
    <s v="FCGNa-VVE"/>
    <s v="330408"/>
    <d v="2025-07-16T00:00:00"/>
    <s v="Functional Specialist"/>
    <s v="Painting Functional Specialist"/>
    <x v="0"/>
    <n v="2"/>
    <x v="2"/>
    <n v="23000"/>
    <n v="0"/>
    <n v="0"/>
    <n v="0"/>
    <n v="0"/>
    <n v="0"/>
    <n v="0"/>
    <n v="23000"/>
    <n v="23000"/>
    <n v="0"/>
    <x v="5"/>
    <s v="0.00%-0.00%"/>
    <m/>
    <m/>
    <m/>
    <m/>
    <n v="0"/>
    <n v="23000"/>
    <n v="0"/>
    <n v="0"/>
    <n v="14"/>
    <n v="450"/>
    <m/>
    <n v="688"/>
    <n v="328088"/>
    <e v="#N/A"/>
    <m/>
    <m/>
    <m/>
    <s v="Miao Siyuan（15005811）"/>
    <s v="Zhu Qianqian（11016705）"/>
    <s v="Zhao Chujun"/>
    <m/>
    <m/>
    <m/>
    <s v="OK"/>
  </r>
  <r>
    <s v="CN15"/>
    <n v="15007556"/>
    <s v="武 松"/>
    <s v="Wu Song"/>
    <s v="Indirect Active"/>
    <s v="OP"/>
    <s v="SNa"/>
    <s v="FCGNa-VVM"/>
    <s v="330204"/>
    <d v="2012-02-23T00:00:00"/>
    <s v="Supervisor"/>
    <s v="Head of FCGNa-VVM"/>
    <x v="0"/>
    <n v="2"/>
    <x v="2"/>
    <n v="16100"/>
    <n v="2.5000000000000001E-2"/>
    <n v="403"/>
    <n v="0"/>
    <n v="0"/>
    <n v="2.5031055900621119E-2"/>
    <n v="403"/>
    <n v="16503"/>
    <n v="16518"/>
    <n v="418"/>
    <x v="6"/>
    <s v="2.00%-3.00%"/>
    <m/>
    <m/>
    <m/>
    <m/>
    <n v="0"/>
    <n v="16518"/>
    <n v="418"/>
    <n v="2.5962732919254661E-2"/>
    <n v="14"/>
    <n v="450"/>
    <m/>
    <n v="688"/>
    <n v="237340"/>
    <n v="3"/>
    <m/>
    <m/>
    <m/>
    <s v="Miao Siyuan（15005811）"/>
    <s v="Zhu Qianqian（11016705）"/>
    <s v="Zhao Chujun"/>
    <m/>
    <m/>
    <m/>
    <s v="OK"/>
  </r>
  <r>
    <s v="CN15"/>
    <n v="1120246"/>
    <s v="张 民强"/>
    <s v="Zhang Minqiang"/>
    <s v="Indirect Active"/>
    <s v="OP"/>
    <s v="SNa"/>
    <s v="FCGNa-VVE"/>
    <s v="330404"/>
    <d v="2020-02-03T00:00:00"/>
    <s v="Functional Specialist"/>
    <s v="Functional Specialist"/>
    <x v="0"/>
    <n v="2"/>
    <x v="1"/>
    <n v="13111"/>
    <n v="4.4999999999999998E-2"/>
    <n v="590"/>
    <n v="4.2099999999999999E-2"/>
    <n v="552"/>
    <n v="8.7102433071466701E-2"/>
    <n v="1142"/>
    <n v="14253"/>
    <n v="14066"/>
    <n v="955"/>
    <x v="7"/>
    <s v="6.97%-10.45%"/>
    <m/>
    <m/>
    <m/>
    <m/>
    <n v="0"/>
    <n v="14066"/>
    <n v="955"/>
    <n v="7.2839600335596E-2"/>
    <n v="14"/>
    <n v="850"/>
    <m/>
    <n v="688"/>
    <n v="207812"/>
    <n v="3"/>
    <m/>
    <m/>
    <m/>
    <s v="Miao Siyuan（15005811）"/>
    <s v="Zhu Qianqian（11016705）"/>
    <s v="Zhao Chujun"/>
    <m/>
    <m/>
    <m/>
    <s v="OK"/>
  </r>
  <r>
    <s v="CN15"/>
    <n v="15000219"/>
    <s v="周 金贵"/>
    <s v="Zhou Jingui"/>
    <s v="Indirect Active"/>
    <s v="OP"/>
    <s v="SNa"/>
    <s v="FCGNa-VVE"/>
    <s v="330404"/>
    <d v="2005-09-13T00:00:00"/>
    <s v="Engineer"/>
    <s v="Project Engineer"/>
    <x v="2"/>
    <n v="2"/>
    <x v="3"/>
    <n v="12256"/>
    <n v="0"/>
    <n v="0"/>
    <n v="0"/>
    <n v="0"/>
    <n v="0"/>
    <n v="0"/>
    <n v="12256"/>
    <n v="12256"/>
    <n v="0"/>
    <x v="5"/>
    <s v="0.00%-0.00%"/>
    <m/>
    <m/>
    <m/>
    <m/>
    <n v="0"/>
    <n v="12256"/>
    <n v="0"/>
    <n v="0"/>
    <n v="14"/>
    <n v="450"/>
    <m/>
    <n v="688"/>
    <n v="177672"/>
    <n v="3"/>
    <m/>
    <m/>
    <m/>
    <s v="Miao Siyuan（15005811）"/>
    <s v="Zhu Qianqian（11016705）"/>
    <s v="Zhao Chujun"/>
    <m/>
    <m/>
    <m/>
    <s v="OK"/>
  </r>
  <r>
    <s v="CN15"/>
    <n v="15014810"/>
    <s v="朱 菊香"/>
    <s v="Zhu Juxiang"/>
    <s v="Indirect Active"/>
    <s v="OP"/>
    <s v="SNa"/>
    <s v="FCGNa-VVE"/>
    <s v="330404"/>
    <d v="2015-09-01T00:00:00"/>
    <s v="Senior Specialist"/>
    <s v="Senior IE Specialist"/>
    <x v="1"/>
    <n v="2"/>
    <x v="1"/>
    <n v="11666"/>
    <n v="3.7500000000000006E-2"/>
    <n v="437"/>
    <n v="1.55E-2"/>
    <n v="181"/>
    <n v="5.2974455683181897E-2"/>
    <n v="618"/>
    <n v="12284"/>
    <n v="12312"/>
    <n v="646"/>
    <x v="8"/>
    <s v="4.24%-6.36%"/>
    <s v="Promotion"/>
    <s v="Function specialist"/>
    <s v="A6"/>
    <n v="6.4600000000000005E-2"/>
    <n v="754"/>
    <n v="13066"/>
    <n v="1400"/>
    <n v="0.12000685753471618"/>
    <n v="14"/>
    <n v="550"/>
    <m/>
    <n v="688"/>
    <n v="190212"/>
    <n v="4"/>
    <m/>
    <s v="Good performance and high competence"/>
    <s v="Good performance and high competence"/>
    <s v="Miao Siyuan（15005811）"/>
    <s v="Zhu Qianqian（11016705）"/>
    <s v="Zhao Chujun"/>
    <m/>
    <m/>
    <m/>
    <s v="OK"/>
  </r>
  <r>
    <s v="CN15"/>
    <n v="15000226"/>
    <s v="江 兵"/>
    <s v="Jiang Bing"/>
    <s v="Indirect Active"/>
    <s v="OP"/>
    <s v="SNa"/>
    <s v="FCGNa-VCP"/>
    <s v="330405"/>
    <d v="2005-09-19T00:00:00"/>
    <s v="Workshop Leader"/>
    <s v="Head of FCGNa-VCP"/>
    <x v="0"/>
    <n v="2"/>
    <x v="2"/>
    <n v="15800"/>
    <n v="2.5000000000000001E-2"/>
    <n v="395"/>
    <n v="0"/>
    <n v="0"/>
    <n v="2.5000000000000001E-2"/>
    <n v="395"/>
    <n v="16195"/>
    <n v="16272"/>
    <n v="472"/>
    <x v="2"/>
    <s v="2.00%-3.00%"/>
    <m/>
    <m/>
    <m/>
    <m/>
    <n v="0"/>
    <n v="16272"/>
    <n v="472"/>
    <n v="2.9873417721518969E-2"/>
    <n v="14"/>
    <n v="450"/>
    <m/>
    <n v="688"/>
    <n v="233896"/>
    <n v="5"/>
    <m/>
    <m/>
    <m/>
    <s v="Liu Haigang（15013255）"/>
    <s v="Zhu Qianqian（11016705）"/>
    <s v="Zhao Chujun"/>
    <m/>
    <m/>
    <m/>
    <s v="OK"/>
  </r>
  <r>
    <s v="CN15"/>
    <n v="15000166"/>
    <s v="蒋 莹"/>
    <s v="Jiang Ying"/>
    <s v="Indirect Active"/>
    <s v="OP"/>
    <s v="SNa"/>
    <s v="FCGNa-VCE"/>
    <s v="330405"/>
    <d v="2005-09-05T00:00:00"/>
    <s v="Senior Engineer"/>
    <s v="Senior Engineer"/>
    <x v="1"/>
    <n v="2"/>
    <x v="2"/>
    <n v="14610"/>
    <n v="2.5000000000000001E-2"/>
    <n v="365"/>
    <n v="0"/>
    <n v="0"/>
    <n v="2.4982888432580425E-2"/>
    <n v="365"/>
    <n v="14975"/>
    <n v="14610"/>
    <n v="0"/>
    <x v="5"/>
    <s v="2.00%-3.00%"/>
    <m/>
    <m/>
    <m/>
    <m/>
    <n v="0"/>
    <n v="14610"/>
    <n v="0"/>
    <n v="0"/>
    <n v="14"/>
    <n v="450"/>
    <m/>
    <n v="688"/>
    <n v="210628"/>
    <n v="3"/>
    <m/>
    <s v="Only focus on route tasks, lack of innovation and new product maturity improvement"/>
    <s v="Less responsibility compare with job level"/>
    <s v="Liu Haigang（15013255）"/>
    <s v="Zhu Qianqian（11016705）"/>
    <s v="Zhao Chujun"/>
    <m/>
    <s v=" recommend increasing but propose zero increase"/>
    <m/>
    <s v="0 increase"/>
  </r>
  <r>
    <s v="CN15"/>
    <n v="15007522"/>
    <s v="刘 栋"/>
    <s v="Liu Dong"/>
    <s v="Indirect Active"/>
    <s v="OP"/>
    <s v="SNa"/>
    <s v="FCGNa-VCE"/>
    <s v="330405"/>
    <d v="2012-07-01T00:00:00"/>
    <s v="Supervisor"/>
    <s v="Head of FCGNa-VCE"/>
    <x v="0"/>
    <n v="2"/>
    <x v="2"/>
    <n v="13100"/>
    <n v="0.03"/>
    <n v="393"/>
    <n v="0"/>
    <n v="0"/>
    <n v="0.03"/>
    <n v="393"/>
    <n v="13493"/>
    <n v="14312"/>
    <n v="1212"/>
    <x v="9"/>
    <s v="2.40%-3.60%"/>
    <m/>
    <m/>
    <m/>
    <m/>
    <n v="0"/>
    <n v="14312"/>
    <n v="1212"/>
    <n v="9.2519083969465621E-2"/>
    <n v="14"/>
    <n v="450"/>
    <m/>
    <n v="688"/>
    <n v="206456"/>
    <n v="2"/>
    <m/>
    <s v="1. In 2025, he achieved an 11% reduction in cooker SPC and cut silicone usage by 50%._x000a_2. As a supervisor, his salary is the lowest in the team, so I need to catch up appropriately."/>
    <s v="Good performers with relatively lower salary"/>
    <s v="Liu Haigang（15013255）"/>
    <s v="Zhu Qianqian（11016705）"/>
    <s v="Zhao Chujun"/>
    <m/>
    <s v=" exceed +/-20% adjustment"/>
    <s v="&gt;20"/>
    <s v="&gt;20"/>
  </r>
  <r>
    <s v="CN15"/>
    <n v="15001471"/>
    <s v="马 爱军"/>
    <s v="Ma Aijun"/>
    <s v="Indirect Active"/>
    <s v="OP"/>
    <s v="SNa"/>
    <s v="FCGNa-VCM"/>
    <s v="330405"/>
    <d v="2008-04-08T00:00:00"/>
    <s v="Supervisor"/>
    <s v="Head of FCGNa-VCM"/>
    <x v="0"/>
    <n v="2"/>
    <x v="2"/>
    <n v="15326"/>
    <n v="0.03"/>
    <n v="460"/>
    <n v="0"/>
    <n v="0"/>
    <n v="3.0014354691374135E-2"/>
    <n v="460"/>
    <n v="15786"/>
    <n v="15326"/>
    <n v="0"/>
    <x v="5"/>
    <s v="2.40%-3.60%"/>
    <m/>
    <m/>
    <m/>
    <m/>
    <n v="0"/>
    <n v="15326"/>
    <n v="0"/>
    <n v="0"/>
    <n v="14"/>
    <n v="450"/>
    <m/>
    <n v="688"/>
    <n v="220652"/>
    <n v="4"/>
    <m/>
    <s v="Low performance as supervisor"/>
    <s v="Low performer"/>
    <s v="Liu Haigang（15013255）"/>
    <s v="Zhu Qianqian（11016705）"/>
    <s v="Zhao Chujun"/>
    <m/>
    <s v=" recommend increasing but propose zero increase"/>
    <m/>
    <s v="0 increase"/>
  </r>
  <r>
    <s v="CN15"/>
    <n v="15022189"/>
    <s v="张 林波"/>
    <s v="Zhang Linbo"/>
    <s v="Indirect Active"/>
    <s v="OP"/>
    <s v="SNa"/>
    <s v="FCGNa-VCE"/>
    <s v="330401"/>
    <d v="2022-06-01T00:00:00"/>
    <s v="Senior Engineer"/>
    <s v="Press Senior Engineer"/>
    <x v="1"/>
    <n v="2"/>
    <x v="2"/>
    <n v="14850"/>
    <n v="2.5000000000000001E-2"/>
    <n v="371"/>
    <n v="0"/>
    <n v="0"/>
    <n v="2.4983164983164982E-2"/>
    <n v="371"/>
    <n v="15221"/>
    <n v="15150"/>
    <n v="300"/>
    <x v="10"/>
    <s v="2.00%-3.00%"/>
    <m/>
    <m/>
    <m/>
    <m/>
    <n v="0"/>
    <n v="15150"/>
    <n v="300"/>
    <n v="2.020202020202011E-2"/>
    <n v="14"/>
    <n v="450"/>
    <m/>
    <n v="688"/>
    <n v="218188"/>
    <n v="3"/>
    <m/>
    <m/>
    <m/>
    <s v="Liu Haigang（15013255）"/>
    <s v="Zhu Qianqian（11016705）"/>
    <s v="Zhao Chujun"/>
    <m/>
    <m/>
    <m/>
    <s v="OK"/>
  </r>
  <r>
    <s v="CN15"/>
    <n v="15017481"/>
    <s v="赵 磊"/>
    <s v="Zhao Lei"/>
    <s v="Indirect Active"/>
    <s v="OP"/>
    <s v="SNa"/>
    <s v="FCGNa-VCE"/>
    <s v="330405"/>
    <d v="2017-06-07T00:00:00"/>
    <s v="Senior Engineer"/>
    <s v="Senior Engineer"/>
    <x v="1"/>
    <n v="2"/>
    <x v="3"/>
    <n v="13610"/>
    <n v="0"/>
    <n v="0"/>
    <n v="0"/>
    <n v="0"/>
    <n v="0"/>
    <n v="0"/>
    <n v="13610"/>
    <n v="13610"/>
    <n v="0"/>
    <x v="5"/>
    <s v="0.00%-0.00%"/>
    <m/>
    <m/>
    <m/>
    <m/>
    <n v="0"/>
    <n v="13610"/>
    <n v="0"/>
    <n v="0"/>
    <n v="14"/>
    <n v="550"/>
    <m/>
    <n v="688"/>
    <n v="197828"/>
    <n v="3"/>
    <m/>
    <m/>
    <m/>
    <s v="Liu Haigang（15013255）"/>
    <s v="Zhu Qianqian（11016705）"/>
    <s v="Zhao Chujun"/>
    <m/>
    <m/>
    <m/>
    <s v="OK"/>
  </r>
  <r>
    <s v="CN15"/>
    <n v="15014900"/>
    <s v="李 辉祥"/>
    <s v="Li Huixiang"/>
    <s v="Indirect Active"/>
    <s v="OP"/>
    <s v="SNa"/>
    <s v="FCGNa"/>
    <s v="330100"/>
    <d v="2015-10-21T00:00:00"/>
    <s v="Manager"/>
    <s v="Manager"/>
    <x v="3"/>
    <n v="2"/>
    <x v="3"/>
    <n v="20200"/>
    <n v="0"/>
    <n v="0"/>
    <n v="0"/>
    <n v="0"/>
    <n v="0"/>
    <n v="0"/>
    <n v="20200"/>
    <n v="20200"/>
    <n v="0"/>
    <x v="5"/>
    <s v="0.00%-0.00%"/>
    <m/>
    <m/>
    <m/>
    <m/>
    <n v="0"/>
    <n v="20200"/>
    <n v="0"/>
    <n v="0"/>
    <n v="14"/>
    <n v="450"/>
    <m/>
    <n v="688"/>
    <n v="288888"/>
    <n v="3"/>
    <m/>
    <m/>
    <m/>
    <s v="Chen Chao（15005032）"/>
    <s v="Zhu Qianqian（11016705）"/>
    <s v="Zhao Chujun"/>
    <m/>
    <m/>
    <m/>
    <s v="OK"/>
  </r>
  <r>
    <s v="CN15"/>
    <n v="15013255"/>
    <s v="刘 海刚"/>
    <s v="Liu Haigang"/>
    <s v="Indirect Active"/>
    <s v="OP"/>
    <s v="SNa"/>
    <s v="FCGNa-VC"/>
    <s v="330405"/>
    <d v="2014-06-11T00:00:00"/>
    <s v="Manager"/>
    <s v="Head of Value Stream Cooktop"/>
    <x v="3"/>
    <n v="2"/>
    <x v="1"/>
    <n v="23800"/>
    <n v="0.03"/>
    <n v="714"/>
    <n v="0"/>
    <n v="0"/>
    <n v="0.03"/>
    <n v="714"/>
    <n v="24514"/>
    <n v="24514"/>
    <n v="714"/>
    <x v="11"/>
    <s v="2.40%-3.60%"/>
    <s v="Promotion"/>
    <s v="Head of Value Stream Cooktop"/>
    <s v="C"/>
    <n v="0.09"/>
    <n v="2142"/>
    <n v="26656"/>
    <n v="2856"/>
    <n v="0.12000000000000011"/>
    <n v="14"/>
    <n v="450"/>
    <m/>
    <n v="688"/>
    <n v="391272"/>
    <n v="5"/>
    <m/>
    <s v="Good performance and high competence"/>
    <s v="Good performance and high competence"/>
    <s v="Chen Chao（15005032）"/>
    <s v="Zhu Qianqian（11016705）"/>
    <s v="Zhao Chujun"/>
    <m/>
    <m/>
    <m/>
    <s v="OK"/>
  </r>
  <r>
    <s v="CN15"/>
    <n v="15005811"/>
    <s v="缪 思远"/>
    <s v="Miao Siyuan"/>
    <s v="Indirect Active"/>
    <s v="OP"/>
    <s v="SNa"/>
    <s v="FCGNa-VV"/>
    <s v="330404"/>
    <d v="2011-04-13T00:00:00"/>
    <s v="Manager"/>
    <s v="Head of Value Stream Ventilation"/>
    <x v="3"/>
    <n v="2"/>
    <x v="0"/>
    <n v="24500"/>
    <n v="0.04"/>
    <n v="980"/>
    <n v="0"/>
    <n v="0"/>
    <n v="0.04"/>
    <n v="980"/>
    <n v="25480"/>
    <n v="25480"/>
    <n v="980"/>
    <x v="12"/>
    <s v="3.20%-4.80%"/>
    <s v="Promotion"/>
    <s v="Head of Value Stream Ventilation"/>
    <s v="C"/>
    <n v="0.08"/>
    <n v="1960"/>
    <n v="27440"/>
    <n v="2940"/>
    <n v="0.12000000000000011"/>
    <n v="14"/>
    <n v="450"/>
    <m/>
    <n v="688"/>
    <n v="402248"/>
    <n v="3"/>
    <m/>
    <s v="Good performance and high competence"/>
    <s v="Good performance and high competence"/>
    <s v="Chen Chao（15005032）"/>
    <s v="Zhu Qianqian（11016705）"/>
    <s v="Zhao Chujun"/>
    <m/>
    <m/>
    <m/>
    <s v="OK"/>
  </r>
  <r>
    <s v="CN15"/>
    <n v="15022316"/>
    <s v="孙 超"/>
    <s v="Sun Chao"/>
    <s v="Indirect Active"/>
    <s v="OP"/>
    <s v="SNa"/>
    <s v="FCGNa"/>
    <s v="330100"/>
    <d v="2023-01-04T00:00:00"/>
    <s v="Senior Engineer"/>
    <s v="Senior Testing and Programming Engineer"/>
    <x v="1"/>
    <n v="2"/>
    <x v="2"/>
    <n v="14375"/>
    <n v="2.5000000000000001E-2"/>
    <n v="359"/>
    <n v="0"/>
    <n v="0"/>
    <n v="2.497391304347826E-2"/>
    <n v="359"/>
    <n v="14734"/>
    <n v="14734"/>
    <n v="359"/>
    <x v="13"/>
    <s v="2.00%-3.00%"/>
    <m/>
    <m/>
    <m/>
    <m/>
    <n v="0"/>
    <n v="14734"/>
    <n v="359"/>
    <n v="2.4973913043478291E-2"/>
    <n v="14"/>
    <n v="450"/>
    <m/>
    <n v="688"/>
    <n v="212364"/>
    <n v="4"/>
    <m/>
    <m/>
    <m/>
    <s v="Chen Chao（15005032）"/>
    <s v="Zhu Qianqian（11016705）"/>
    <s v="Zhao Chujun"/>
    <m/>
    <m/>
    <m/>
    <s v="OK"/>
  </r>
  <r>
    <s v="CN15"/>
    <n v="15001764"/>
    <s v="张 利利"/>
    <s v="Zhang Lili"/>
    <s v="Indirect Active"/>
    <s v="OP"/>
    <s v="SNa"/>
    <s v="FCGNa"/>
    <s v="330100"/>
    <d v="2010-07-01T00:00:00"/>
    <s v="Senior Engineer"/>
    <s v="Senior Engineer"/>
    <x v="1"/>
    <n v="2"/>
    <x v="1"/>
    <n v="9891"/>
    <n v="4.4999999999999998E-2"/>
    <n v="445"/>
    <n v="4.2099999999999999E-2"/>
    <n v="416"/>
    <n v="8.7048832271762203E-2"/>
    <n v="861"/>
    <n v="10752"/>
    <n v="10752"/>
    <n v="861"/>
    <x v="14"/>
    <s v="6.96%-10.45%"/>
    <m/>
    <m/>
    <m/>
    <m/>
    <n v="0"/>
    <n v="10752"/>
    <n v="861"/>
    <n v="8.7048832271762189E-2"/>
    <n v="14"/>
    <n v="450"/>
    <m/>
    <n v="688"/>
    <n v="156616"/>
    <n v="3"/>
    <m/>
    <m/>
    <m/>
    <s v="Chen Chao（15005032）"/>
    <s v="Zhu Qianqian（11016705）"/>
    <s v="Zhao Chujun"/>
    <m/>
    <m/>
    <m/>
    <s v="OK"/>
  </r>
  <r>
    <s v="CN15"/>
    <n v="15022180"/>
    <s v="陈 邢逸"/>
    <s v="Chen Xingyi"/>
    <s v="Indirect Active"/>
    <s v="OP"/>
    <s v="SNa"/>
    <s v="FEDNa-MEP"/>
    <s v="370200"/>
    <d v="2022-05-05T00:00:00"/>
    <s v="Engineer"/>
    <s v="Process Engineer"/>
    <x v="2"/>
    <n v="2"/>
    <x v="2"/>
    <n v="8200"/>
    <n v="2.5000000000000001E-2"/>
    <n v="205"/>
    <n v="0"/>
    <n v="0"/>
    <n v="2.5000000000000001E-2"/>
    <n v="205"/>
    <n v="8405"/>
    <n v="8415"/>
    <n v="215"/>
    <x v="15"/>
    <s v="2.00%-3.00%"/>
    <m/>
    <m/>
    <m/>
    <m/>
    <n v="0"/>
    <n v="8415"/>
    <n v="215"/>
    <n v="2.6219512195121863E-2"/>
    <n v="14"/>
    <n v="550"/>
    <m/>
    <n v="688"/>
    <n v="125098"/>
    <n v="3"/>
    <m/>
    <m/>
    <m/>
    <s v="Ding Xudong（15000307）"/>
    <s v="Xu Lan（11013544）"/>
    <s v="Zhao Chujun"/>
    <m/>
    <m/>
    <m/>
    <s v="OK"/>
  </r>
  <r>
    <s v="CN15"/>
    <n v="15003790"/>
    <s v="方 红祥"/>
    <s v="Fang Hongxiang"/>
    <s v="Indirect Active"/>
    <s v="OP"/>
    <s v="SNa"/>
    <s v="FEDNa-MEM"/>
    <s v="370201"/>
    <d v="2010-05-12T00:00:00"/>
    <s v="Supervisor"/>
    <s v="Head of Mechanical Support"/>
    <x v="0"/>
    <n v="2"/>
    <x v="2"/>
    <n v="15324"/>
    <n v="0.03"/>
    <n v="460"/>
    <n v="0"/>
    <n v="0"/>
    <n v="3.001827199164709E-2"/>
    <n v="460"/>
    <n v="15784"/>
    <n v="15600"/>
    <n v="276"/>
    <x v="16"/>
    <s v="2.40%-3.60%"/>
    <m/>
    <m/>
    <m/>
    <m/>
    <n v="0"/>
    <n v="15600"/>
    <n v="276"/>
    <n v="1.8010963194988294E-2"/>
    <n v="14"/>
    <n v="450"/>
    <m/>
    <n v="688"/>
    <n v="224488"/>
    <n v="3"/>
    <m/>
    <m/>
    <s v="Internal balance"/>
    <s v="Ding Xudong（15000307）"/>
    <s v="Xu Lan（11013544）"/>
    <s v="Zhao Chujun"/>
    <m/>
    <s v=" exceed +/-20% adjustment"/>
    <s v="&lt;20"/>
    <s v="&lt;20"/>
  </r>
  <r>
    <s v="CN15"/>
    <n v="15016330"/>
    <s v="何 磊"/>
    <s v="He Lei"/>
    <s v="Indirect Active"/>
    <s v="OP"/>
    <s v="SNa"/>
    <s v="FEDNa-V2"/>
    <s v="370400"/>
    <d v="2017-02-15T00:00:00"/>
    <s v="Manager"/>
    <s v="Head of FEDNa-V2"/>
    <x v="3"/>
    <n v="2"/>
    <x v="1"/>
    <n v="20300"/>
    <n v="3.7500000000000006E-2"/>
    <n v="761"/>
    <n v="1.55E-2"/>
    <n v="315"/>
    <n v="5.3004926108374387E-2"/>
    <n v="1076"/>
    <n v="21376"/>
    <n v="21500"/>
    <n v="1200"/>
    <x v="17"/>
    <s v="4.24%-6.36%"/>
    <m/>
    <m/>
    <m/>
    <m/>
    <n v="0"/>
    <n v="21500"/>
    <n v="1200"/>
    <n v="5.9113300492610765E-2"/>
    <n v="14"/>
    <n v="450"/>
    <m/>
    <n v="688"/>
    <n v="307088"/>
    <n v="3"/>
    <m/>
    <m/>
    <m/>
    <s v="Ding Xudong（15000307）"/>
    <s v="Xu Lan（11013544）"/>
    <s v="Zhao Chujun"/>
    <m/>
    <m/>
    <m/>
    <s v="OK"/>
  </r>
  <r>
    <s v="CN15"/>
    <n v="15001485"/>
    <s v="李 新华"/>
    <s v="Li Xinhua"/>
    <s v="Indirect Active"/>
    <s v="OP"/>
    <s v="SNa"/>
    <s v="FEDNa-ME"/>
    <s v="370200"/>
    <d v="2008-04-09T00:00:00"/>
    <s v="Manager"/>
    <s v="Head of Manufacturing Engineering"/>
    <x v="3"/>
    <n v="2"/>
    <x v="2"/>
    <n v="27011"/>
    <n v="2.5000000000000001E-2"/>
    <n v="675"/>
    <n v="0"/>
    <n v="0"/>
    <n v="2.498981896264485E-2"/>
    <n v="675"/>
    <n v="27686"/>
    <n v="27700"/>
    <n v="689"/>
    <x v="18"/>
    <s v="2.00%-3.00%"/>
    <m/>
    <m/>
    <m/>
    <m/>
    <n v="0"/>
    <n v="27700"/>
    <n v="689"/>
    <n v="2.5508126318907198E-2"/>
    <n v="14"/>
    <n v="450"/>
    <m/>
    <n v="688"/>
    <n v="393888"/>
    <n v="4"/>
    <m/>
    <m/>
    <m/>
    <s v="Ding Xudong（15000307）"/>
    <s v="Xu Lan（11013544）"/>
    <s v="Zhao Chujun"/>
    <m/>
    <m/>
    <m/>
    <s v="OK"/>
  </r>
  <r>
    <s v="CN15"/>
    <n v="1020358"/>
    <s v="刘 继萍"/>
    <s v="Liu Jiping"/>
    <s v="Indirect Active"/>
    <s v="OP"/>
    <s v="SNa"/>
    <s v="FEDNa-MEP"/>
    <s v="370200"/>
    <d v="2023-03-15T00:00:00"/>
    <s v="Senior Engineer"/>
    <s v="Senior Process Engineer"/>
    <x v="1"/>
    <n v="2"/>
    <x v="0"/>
    <n v="13610"/>
    <n v="0.05"/>
    <n v="681"/>
    <n v="2.7E-2"/>
    <n v="367"/>
    <n v="7.700220426157238E-2"/>
    <n v="1048"/>
    <n v="14658"/>
    <n v="15000"/>
    <n v="1390"/>
    <x v="19"/>
    <s v="6.16%-9.24%"/>
    <m/>
    <m/>
    <m/>
    <m/>
    <n v="0"/>
    <n v="15000"/>
    <n v="1390"/>
    <n v="0.10213078618662741"/>
    <n v="14"/>
    <n v="450"/>
    <m/>
    <n v="688"/>
    <n v="216088"/>
    <n v="3"/>
    <m/>
    <m/>
    <s v="Rounding"/>
    <s v="Ding Xudong（15000307）"/>
    <s v="Xu Lan（11013544）"/>
    <s v="Zhao Chujun"/>
    <m/>
    <s v=" exceed +/-20% adjustment"/>
    <s v="&gt;20"/>
    <s v="OK"/>
  </r>
  <r>
    <s v="CN15"/>
    <n v="15021547"/>
    <s v="刘 彦达"/>
    <s v="Liu Yanda"/>
    <s v="Indirect Active"/>
    <s v="OP"/>
    <s v="SNa"/>
    <s v="FEDNa-MEP"/>
    <s v="370200"/>
    <d v="2021-07-14T00:00:00"/>
    <s v="Engineer"/>
    <s v="Electrical Engineer"/>
    <x v="2"/>
    <n v="2"/>
    <x v="1"/>
    <n v="10500"/>
    <n v="3.7500000000000006E-2"/>
    <n v="394"/>
    <n v="0"/>
    <n v="0"/>
    <n v="3.7523809523809522E-2"/>
    <n v="394"/>
    <n v="10894"/>
    <n v="10827"/>
    <n v="327"/>
    <x v="20"/>
    <s v="3.00%-4.50%"/>
    <s v="Promotion"/>
    <s v="senior engineer"/>
    <s v="A5"/>
    <n v="0.11169999999999999"/>
    <n v="1173"/>
    <n v="12000"/>
    <n v="1500"/>
    <n v="0.14285714285714279"/>
    <n v="14"/>
    <n v="500"/>
    <m/>
    <n v="688"/>
    <n v="174688"/>
    <n v="3"/>
    <m/>
    <m/>
    <s v="Good performance and high competence"/>
    <s v="Ding Xudong（15000307）"/>
    <s v="Xu Lan（11013544）"/>
    <s v="Zhao Chujun"/>
    <m/>
    <m/>
    <m/>
    <s v="OK"/>
  </r>
  <r>
    <s v="CN15"/>
    <n v="15012913"/>
    <s v="陆 彬"/>
    <s v="Lu Bin"/>
    <s v="Indirect Active"/>
    <s v="OP"/>
    <s v="SNa"/>
    <s v="FEDNa-ME"/>
    <s v="370200"/>
    <d v="2014-04-09T00:00:00"/>
    <s v="Associate Expert (CN)"/>
    <s v="Associate Expert (C)"/>
    <x v="0"/>
    <n v="2"/>
    <x v="0"/>
    <n v="16000"/>
    <n v="0.06"/>
    <n v="960"/>
    <n v="7.7799999999999994E-2"/>
    <n v="1245"/>
    <n v="0.1378125"/>
    <n v="2205"/>
    <n v="18205"/>
    <n v="18000"/>
    <n v="2000"/>
    <x v="21"/>
    <s v="11.03%-16.54%"/>
    <m/>
    <m/>
    <m/>
    <m/>
    <n v="0"/>
    <n v="18000"/>
    <n v="2000"/>
    <n v="0.125"/>
    <n v="14"/>
    <n v="500"/>
    <m/>
    <n v="688"/>
    <n v="258688"/>
    <n v="4"/>
    <m/>
    <m/>
    <m/>
    <s v="Ding Xudong（15000307）"/>
    <s v="Xu Lan（11013544）"/>
    <s v="Zhao Chujun"/>
    <m/>
    <m/>
    <m/>
    <s v="OK"/>
  </r>
  <r>
    <s v="CN15"/>
    <n v="15001306"/>
    <s v="钱 山杰"/>
    <s v="Qian Shanjie"/>
    <s v="Indirect Active"/>
    <s v="OP"/>
    <s v="SNa"/>
    <s v="FEDNa-ME"/>
    <s v="370200"/>
    <d v="2007-12-04T00:00:00"/>
    <s v="Functional Specialist"/>
    <s v="Functional Specialist"/>
    <x v="0"/>
    <n v="2"/>
    <x v="2"/>
    <n v="20306"/>
    <n v="0"/>
    <n v="0"/>
    <n v="0"/>
    <n v="0"/>
    <n v="0"/>
    <n v="0"/>
    <n v="20306"/>
    <n v="20500"/>
    <n v="194"/>
    <x v="22"/>
    <s v="0.00%-0.00%"/>
    <m/>
    <m/>
    <m/>
    <m/>
    <n v="0"/>
    <n v="20500"/>
    <n v="194"/>
    <n v="9.5538264552348373E-3"/>
    <n v="14"/>
    <n v="600"/>
    <m/>
    <n v="688"/>
    <n v="294888"/>
    <n v="4"/>
    <m/>
    <m/>
    <s v="Good performance and high competence"/>
    <s v="Ding Xudong（15000307）"/>
    <s v="Xu Lan（11013544）"/>
    <s v="Zhao Chujun"/>
    <m/>
    <s v=" exceed +/-20% adjustment"/>
    <s v="&gt;20"/>
    <s v="&gt;20"/>
  </r>
  <r>
    <s v="CN15"/>
    <n v="15021548"/>
    <s v="沈 燕达"/>
    <s v="Shen Yanda"/>
    <s v="Indirect Active"/>
    <s v="OP"/>
    <s v="SNa"/>
    <s v="FEDNa-ME"/>
    <s v="370200"/>
    <d v="2021-07-14T00:00:00"/>
    <s v="Senior Engineer"/>
    <s v="Senior Equipment Engineer"/>
    <x v="1"/>
    <n v="2"/>
    <x v="2"/>
    <n v="13330"/>
    <n v="2.5000000000000001E-2"/>
    <n v="333"/>
    <n v="0"/>
    <n v="0"/>
    <n v="2.4981245311327831E-2"/>
    <n v="333"/>
    <n v="13663"/>
    <n v="13600"/>
    <n v="270"/>
    <x v="23"/>
    <s v="2.00%-3.00%"/>
    <m/>
    <m/>
    <m/>
    <m/>
    <n v="0"/>
    <n v="13600"/>
    <n v="270"/>
    <n v="2.025506376594155E-2"/>
    <n v="14"/>
    <n v="450"/>
    <m/>
    <n v="688"/>
    <n v="196488"/>
    <n v="3"/>
    <m/>
    <m/>
    <m/>
    <s v="Ding Xudong（15000307）"/>
    <s v="Xu Lan（11013544）"/>
    <s v="Zhao Chujun"/>
    <m/>
    <m/>
    <m/>
    <s v="OK"/>
  </r>
  <r>
    <s v="CN15"/>
    <n v="15021979"/>
    <s v="孙 毅"/>
    <s v="Sun Yi"/>
    <s v="Indirect Active"/>
    <s v="OP"/>
    <s v="SNa"/>
    <s v="FEDNa-V2"/>
    <s v="370404"/>
    <d v="2021-11-03T00:00:00"/>
    <s v="Engineer"/>
    <s v="Production Engineer"/>
    <x v="2"/>
    <n v="2"/>
    <x v="2"/>
    <n v="9450"/>
    <n v="2.5000000000000001E-2"/>
    <n v="236"/>
    <n v="0"/>
    <n v="0"/>
    <n v="2.4973544973544974E-2"/>
    <n v="236"/>
    <n v="9686"/>
    <n v="9700"/>
    <n v="250"/>
    <x v="24"/>
    <s v="2.00%-3.00%"/>
    <m/>
    <m/>
    <m/>
    <m/>
    <n v="0"/>
    <n v="9700"/>
    <n v="250"/>
    <n v="2.6455026455026509E-2"/>
    <n v="14"/>
    <n v="450"/>
    <m/>
    <n v="688"/>
    <n v="141888"/>
    <n v="2"/>
    <m/>
    <m/>
    <m/>
    <s v="Ding Xudong（15000307）"/>
    <s v="Xu Lan（11013544）"/>
    <s v="Zhao Chujun"/>
    <m/>
    <m/>
    <m/>
    <s v="OK"/>
  </r>
  <r>
    <s v="CN15"/>
    <n v="15000525"/>
    <s v="王 飞"/>
    <s v="Wang Fei"/>
    <s v="Indirect Active"/>
    <s v="OP"/>
    <s v="SNa"/>
    <s v="FEDNa-FS"/>
    <s v="370100"/>
    <d v="2006-06-01T00:00:00"/>
    <s v="Coordinator"/>
    <s v="TPM Coordinator"/>
    <x v="2"/>
    <n v="2"/>
    <x v="2"/>
    <n v="7900"/>
    <n v="0"/>
    <n v="0"/>
    <n v="0"/>
    <n v="0"/>
    <n v="0"/>
    <n v="0"/>
    <n v="7900"/>
    <n v="8000"/>
    <n v="100"/>
    <x v="25"/>
    <s v="0.00%-0.00%"/>
    <m/>
    <m/>
    <m/>
    <m/>
    <n v="0"/>
    <n v="8000"/>
    <n v="100"/>
    <n v="1.2658227848101333E-2"/>
    <n v="14"/>
    <n v="650"/>
    <m/>
    <n v="688"/>
    <n v="120488"/>
    <n v="3"/>
    <m/>
    <m/>
    <s v="Internal balance"/>
    <s v="Ding Xudong（15000307）"/>
    <s v="Xu Lan（11013544）"/>
    <s v="Zhao Chujun"/>
    <m/>
    <s v=" exceed +/-20% adjustment"/>
    <s v="&gt;20"/>
    <s v="&gt;20"/>
  </r>
  <r>
    <s v="CN15"/>
    <n v="15020089"/>
    <s v="王 鲜"/>
    <s v="Wang Xian"/>
    <s v="Indirect Active"/>
    <s v="OP"/>
    <s v="SNa"/>
    <s v="FEDNa-MEP"/>
    <s v="370200"/>
    <d v="2020-03-18T00:00:00"/>
    <s v="Engineer"/>
    <s v="Process Engineer"/>
    <x v="2"/>
    <n v="2"/>
    <x v="2"/>
    <n v="10100"/>
    <n v="2.5000000000000001E-2"/>
    <n v="253"/>
    <n v="0"/>
    <n v="0"/>
    <n v="2.5049504950495051E-2"/>
    <n v="253"/>
    <n v="10353"/>
    <n v="10300"/>
    <n v="200"/>
    <x v="26"/>
    <s v="2.00%-3.01%"/>
    <m/>
    <m/>
    <m/>
    <m/>
    <n v="0"/>
    <n v="10300"/>
    <n v="200"/>
    <n v="1.980198019801982E-2"/>
    <n v="14"/>
    <n v="450"/>
    <m/>
    <n v="688"/>
    <n v="150288"/>
    <n v="3"/>
    <m/>
    <m/>
    <s v="Rounding"/>
    <s v="Ding Xudong（15000307）"/>
    <s v="Xu Lan（11013544）"/>
    <s v="Zhao Chujun"/>
    <m/>
    <s v=" exceed +/-20% adjustment"/>
    <s v="&lt;20"/>
    <s v="OK"/>
  </r>
  <r>
    <s v="CN15"/>
    <n v="15000550"/>
    <s v="夏 邦猛"/>
    <s v="Xia Bangmeng"/>
    <s v="Indirect Active"/>
    <s v="OP"/>
    <s v="SNa"/>
    <s v="FEDNa-V2"/>
    <s v="370404"/>
    <d v="2006-06-13T00:00:00"/>
    <s v="Engineer"/>
    <s v="Engineer"/>
    <x v="2"/>
    <n v="2"/>
    <x v="1"/>
    <n v="9800"/>
    <n v="3.7500000000000006E-2"/>
    <n v="368"/>
    <n v="1.55E-2"/>
    <n v="152"/>
    <n v="5.3061224489795916E-2"/>
    <n v="520"/>
    <n v="10320"/>
    <n v="10300"/>
    <n v="500"/>
    <x v="27"/>
    <s v="4.24%-6.37%"/>
    <m/>
    <m/>
    <m/>
    <m/>
    <n v="0"/>
    <n v="10300"/>
    <n v="500"/>
    <n v="5.1020408163265252E-2"/>
    <n v="14"/>
    <n v="550"/>
    <m/>
    <n v="688"/>
    <n v="151488"/>
    <n v="3"/>
    <m/>
    <m/>
    <m/>
    <s v="Ding Xudong（15000307）"/>
    <s v="Xu Lan（11013544）"/>
    <s v="Zhao Chujun"/>
    <m/>
    <m/>
    <m/>
    <s v="OK"/>
  </r>
  <r>
    <s v="CN15"/>
    <n v="15015967"/>
    <s v="徐 擎月"/>
    <s v="Xu Qingyue"/>
    <s v="Indirect Active"/>
    <s v="OP"/>
    <s v="SNa"/>
    <s v="FEDNa-FS"/>
    <s v="370100"/>
    <d v="2016-11-09T00:00:00"/>
    <s v="Associate Expert (CN)"/>
    <s v="Associate Expert (C)"/>
    <x v="0"/>
    <n v="2"/>
    <x v="1"/>
    <n v="12360"/>
    <n v="4.4999999999999998E-2"/>
    <n v="556"/>
    <n v="4.2099999999999999E-2"/>
    <n v="520"/>
    <n v="8.705501618122978E-2"/>
    <n v="1076"/>
    <n v="13436"/>
    <n v="13300"/>
    <n v="940"/>
    <x v="28"/>
    <s v="6.96%-10.45%"/>
    <m/>
    <m/>
    <m/>
    <m/>
    <n v="0"/>
    <n v="13300"/>
    <n v="940"/>
    <n v="7.6051779935275121E-2"/>
    <n v="14"/>
    <n v="450"/>
    <m/>
    <n v="688"/>
    <n v="192288"/>
    <n v="3"/>
    <m/>
    <m/>
    <m/>
    <s v="Ding Xudong（15000307）"/>
    <s v="Xu Lan（11013544）"/>
    <s v="Zhao Chujun"/>
    <m/>
    <m/>
    <m/>
    <s v="OK"/>
  </r>
  <r>
    <s v="CN15"/>
    <n v="15001287"/>
    <s v="原 丰霞"/>
    <s v="Yuan Fengxia"/>
    <s v="Indirect Active"/>
    <s v="OP"/>
    <s v="SNa"/>
    <s v="FEDNa-MEP"/>
    <s v="370200"/>
    <d v="2007-11-06T00:00:00"/>
    <s v="Senior Engineer"/>
    <s v="Senior Electrical Engineer"/>
    <x v="1"/>
    <n v="2"/>
    <x v="2"/>
    <n v="12500"/>
    <n v="2.5000000000000001E-2"/>
    <n v="313"/>
    <n v="0"/>
    <n v="0"/>
    <n v="2.504E-2"/>
    <n v="313"/>
    <n v="12813"/>
    <n v="12600"/>
    <n v="100"/>
    <x v="29"/>
    <s v="2.00%-3.00%"/>
    <m/>
    <m/>
    <m/>
    <m/>
    <n v="0"/>
    <n v="12600"/>
    <n v="100"/>
    <n v="8.0000000000000071E-3"/>
    <n v="14"/>
    <n v="450"/>
    <m/>
    <n v="688"/>
    <n v="182488"/>
    <n v="3"/>
    <m/>
    <m/>
    <s v="Left/will leave/retire soon"/>
    <s v="Ding Xudong（15000307）"/>
    <s v="Xu Lan（11013544）"/>
    <s v="Zhao Chujun"/>
    <m/>
    <s v=" exceed +/-20% adjustment"/>
    <s v="&lt;20"/>
    <s v="&lt;20"/>
  </r>
  <r>
    <s v="CN15"/>
    <n v="15016938"/>
    <s v="张 来翔"/>
    <s v="Zhang Laixiang"/>
    <s v="Indirect Active"/>
    <s v="OP"/>
    <s v="SNa"/>
    <s v="FEDNa-MEP"/>
    <s v="370200"/>
    <d v="2017-04-05T00:00:00"/>
    <s v="Supervisor"/>
    <s v="Head of FEDNa-MEP"/>
    <x v="0"/>
    <n v="2"/>
    <x v="0"/>
    <n v="18000"/>
    <n v="0.05"/>
    <n v="900"/>
    <n v="2.7E-2"/>
    <n v="486"/>
    <n v="7.6999999999999999E-2"/>
    <n v="1386"/>
    <n v="19386"/>
    <n v="19700"/>
    <n v="1700"/>
    <x v="30"/>
    <s v="6.16%-9.24%"/>
    <m/>
    <m/>
    <m/>
    <m/>
    <n v="0"/>
    <n v="19700"/>
    <n v="1700"/>
    <n v="9.4444444444444553E-2"/>
    <n v="14"/>
    <n v="450"/>
    <m/>
    <n v="688"/>
    <n v="281888"/>
    <n v="5"/>
    <m/>
    <m/>
    <s v="Good performance/talent"/>
    <s v="Ding Xudong（15000307）"/>
    <s v="Xu Lan（11013544）"/>
    <s v="Zhao Chujun"/>
    <m/>
    <s v=" exceed +/-20% adjustment"/>
    <s v="&gt;20"/>
    <s v="OK"/>
  </r>
  <r>
    <s v="CN15"/>
    <n v="15000503"/>
    <s v="赵 斌"/>
    <s v="Zhao Bin"/>
    <s v="Indirect Active"/>
    <s v="OP"/>
    <s v="SNa"/>
    <s v="FEDNa-V1"/>
    <s v="370402"/>
    <d v="2006-05-15T00:00:00"/>
    <s v="Senior Engineer"/>
    <s v="Senior Process Engineer"/>
    <x v="1"/>
    <n v="2"/>
    <x v="1"/>
    <n v="10000"/>
    <n v="4.4999999999999998E-2"/>
    <n v="450"/>
    <n v="4.2099999999999999E-2"/>
    <n v="421"/>
    <n v="8.7099999999999997E-2"/>
    <n v="871"/>
    <n v="10871"/>
    <n v="10700"/>
    <n v="700"/>
    <x v="31"/>
    <s v="6.97%-10.45%"/>
    <m/>
    <m/>
    <m/>
    <m/>
    <n v="0"/>
    <n v="10700"/>
    <n v="700"/>
    <n v="7.0000000000000062E-2"/>
    <n v="14"/>
    <n v="450"/>
    <m/>
    <n v="688"/>
    <n v="155888"/>
    <n v="3"/>
    <m/>
    <m/>
    <m/>
    <s v="Ding Xudong（15000307）"/>
    <s v="Xu Lan（11013544）"/>
    <s v="Zhao Chujun"/>
    <m/>
    <m/>
    <m/>
    <s v="OK"/>
  </r>
  <r>
    <s v="CN15"/>
    <n v="15013780"/>
    <s v="陈 超"/>
    <s v="Chen Chao"/>
    <s v="Indirect Active"/>
    <s v="OP"/>
    <s v="SNa"/>
    <s v="FLCNa-MEA"/>
    <s v="340200"/>
    <d v="2014-12-03T00:00:00"/>
    <s v="Functional Specialist"/>
    <s v="Injection Functional Specialist"/>
    <x v="0"/>
    <n v="2"/>
    <x v="2"/>
    <n v="14666"/>
    <n v="0.03"/>
    <n v="440"/>
    <n v="0"/>
    <n v="0"/>
    <n v="3.0001363698349926E-2"/>
    <n v="440"/>
    <n v="15106"/>
    <n v="15017.984"/>
    <n v="351.98400000000038"/>
    <x v="32"/>
    <s v="2.40%-3.60%"/>
    <m/>
    <m/>
    <m/>
    <m/>
    <n v="0"/>
    <n v="15017.984"/>
    <n v="351.98400000000038"/>
    <n v="2.4000000000000021E-2"/>
    <n v="14"/>
    <n v="450"/>
    <m/>
    <n v="688"/>
    <n v="216339.77600000001"/>
    <n v="5"/>
    <m/>
    <m/>
    <m/>
    <s v="Hu Jun（51202067）"/>
    <s v="Mo Xiaohong（11005372）"/>
    <s v="Zhao Chujun"/>
    <m/>
    <m/>
    <m/>
    <s v="OK"/>
  </r>
  <r>
    <s v="CN15"/>
    <n v="15004180"/>
    <s v="桂 如刚"/>
    <s v="Gui Rugang"/>
    <s v="Indirect Active"/>
    <s v="OP"/>
    <s v="SNa"/>
    <s v="FLCNa-MEF"/>
    <s v="340200"/>
    <d v="2010-07-14T00:00:00"/>
    <s v="Expert (CN)"/>
    <s v="Expert (CN)"/>
    <x v="3"/>
    <n v="2"/>
    <x v="1"/>
    <n v="23000"/>
    <n v="3.7500000000000006E-2"/>
    <n v="863"/>
    <n v="1.55E-2"/>
    <n v="357"/>
    <n v="5.3043478260869567E-2"/>
    <n v="1220"/>
    <n v="24220"/>
    <n v="23989"/>
    <n v="989"/>
    <x v="33"/>
    <s v="4.24%-6.37%"/>
    <m/>
    <m/>
    <m/>
    <m/>
    <n v="0"/>
    <n v="23989"/>
    <n v="989"/>
    <n v="4.2999999999999927E-2"/>
    <n v="14"/>
    <n v="450"/>
    <m/>
    <n v="688"/>
    <n v="341934"/>
    <n v="4"/>
    <m/>
    <m/>
    <m/>
    <s v="Hu Jun（51202067）"/>
    <s v="Mo Xiaohong（11005372）"/>
    <s v="Zhao Chujun"/>
    <m/>
    <m/>
    <m/>
    <s v="OK"/>
  </r>
  <r>
    <s v="CN15"/>
    <n v="15022173"/>
    <s v="韩 业康"/>
    <s v="Han Yekang"/>
    <s v="Indirect Active"/>
    <s v="OP"/>
    <s v="SNa"/>
    <s v="FLCNa-MEA"/>
    <s v="340200"/>
    <d v="2022-04-20T00:00:00"/>
    <s v="Engineer"/>
    <s v="Electrical Engineer"/>
    <x v="2"/>
    <n v="2"/>
    <x v="2"/>
    <n v="10712"/>
    <n v="0"/>
    <n v="0"/>
    <n v="0"/>
    <n v="0"/>
    <n v="0"/>
    <n v="0"/>
    <n v="10712"/>
    <n v="11067"/>
    <n v="355"/>
    <x v="34"/>
    <s v="0.00%-0.00%"/>
    <m/>
    <m/>
    <m/>
    <m/>
    <n v="0"/>
    <n v="11067"/>
    <n v="355"/>
    <n v="3.3140403286034292E-2"/>
    <n v="14"/>
    <n v="450"/>
    <m/>
    <n v="688"/>
    <n v="161026"/>
    <n v="2"/>
    <m/>
    <s v="very professional PLC engineer, lower salary"/>
    <s v="Good performers with relatively lower salary"/>
    <s v="Hu Jun（51202067）"/>
    <s v="Mo Xiaohong（11005372）"/>
    <s v="Zhao Chujun"/>
    <m/>
    <s v=" exceed +/-20% adjustment"/>
    <s v="&gt;20"/>
    <s v="&gt;20"/>
  </r>
  <r>
    <s v="CN15"/>
    <n v="15017727"/>
    <s v="胡 邦国"/>
    <s v="Hu Bangguo"/>
    <s v="Indirect Active"/>
    <s v="OP"/>
    <s v="SNa"/>
    <s v="FLCNa-MEA"/>
    <s v="340200"/>
    <d v="2017-07-19T00:00:00"/>
    <s v="Associate Expert (CN)"/>
    <s v="Associate Expert (C)"/>
    <x v="0"/>
    <n v="2"/>
    <x v="2"/>
    <n v="13202"/>
    <n v="0.03"/>
    <n v="396"/>
    <n v="0"/>
    <n v="0"/>
    <n v="2.9995455234055446E-2"/>
    <n v="396"/>
    <n v="13598"/>
    <n v="13302"/>
    <n v="100"/>
    <x v="35"/>
    <s v="2.40%-3.60%"/>
    <m/>
    <m/>
    <m/>
    <m/>
    <n v="0"/>
    <n v="13302"/>
    <n v="100"/>
    <n v="7.5746099075897355E-3"/>
    <n v="14"/>
    <n v="450"/>
    <m/>
    <n v="688"/>
    <n v="192316"/>
    <n v="3"/>
    <m/>
    <s v="Less responsibility compare with job level with relative low performance"/>
    <s v="Less responsibility compare with job level"/>
    <s v="Hu Jun（51202067）"/>
    <s v="Mo Xiaohong（11005372）"/>
    <s v="Zhao Chujun"/>
    <m/>
    <s v=" exceed +/-20% adjustment"/>
    <s v="&lt;20"/>
    <s v="&lt;20"/>
  </r>
  <r>
    <s v="CN15"/>
    <n v="51200268"/>
    <s v="纪 锡林"/>
    <s v="Ji Xilin"/>
    <s v="Indirect Active"/>
    <s v="OP"/>
    <s v="SNa"/>
    <s v="FLCNa-MEA"/>
    <s v="340200"/>
    <d v="1998-07-01T00:00:00"/>
    <s v="Manager"/>
    <s v="Head of Assembly"/>
    <x v="3"/>
    <n v="2"/>
    <x v="2"/>
    <n v="24800"/>
    <n v="2.5000000000000001E-2"/>
    <n v="620"/>
    <n v="0"/>
    <n v="0"/>
    <n v="2.5000000000000001E-2"/>
    <n v="620"/>
    <n v="25420"/>
    <n v="25300"/>
    <n v="500"/>
    <x v="10"/>
    <s v="2.00%-3.00%"/>
    <m/>
    <m/>
    <m/>
    <m/>
    <n v="0"/>
    <n v="25300"/>
    <n v="500"/>
    <n v="2.0161290322580738E-2"/>
    <n v="14"/>
    <n v="3450"/>
    <m/>
    <n v="688"/>
    <n v="396288"/>
    <n v="5"/>
    <m/>
    <m/>
    <m/>
    <s v="Hu Jun（51202067）"/>
    <s v="Mo Xiaohong（11005372）"/>
    <s v="Zhao Chujun"/>
    <m/>
    <m/>
    <m/>
    <s v="OK"/>
  </r>
  <r>
    <s v="CN15"/>
    <n v="15014437"/>
    <s v="贾 大勇"/>
    <s v="Jia Dayong"/>
    <s v="Indirect Active"/>
    <s v="OP"/>
    <s v="SNa"/>
    <s v="FLCNa-ME"/>
    <s v="340200"/>
    <d v="2015-05-25T00:00:00"/>
    <s v="Manager"/>
    <s v="Manager"/>
    <x v="3"/>
    <n v="2"/>
    <x v="2"/>
    <n v="28188"/>
    <n v="2.5000000000000001E-2"/>
    <n v="705"/>
    <n v="0"/>
    <n v="0"/>
    <n v="2.5010642826734781E-2"/>
    <n v="705"/>
    <n v="28893"/>
    <n v="28751.760000000002"/>
    <n v="563.76000000000204"/>
    <x v="36"/>
    <s v="2.00%-3.00%"/>
    <m/>
    <m/>
    <m/>
    <m/>
    <n v="0"/>
    <n v="28751.760000000002"/>
    <n v="563.76000000000204"/>
    <n v="2.0000000000000018E-2"/>
    <n v="14"/>
    <n v="450"/>
    <m/>
    <n v="688"/>
    <n v="408612.64"/>
    <n v="3"/>
    <m/>
    <m/>
    <m/>
    <s v="Hu Jun（51202067）"/>
    <s v="Mo Xiaohong（11005372）"/>
    <s v="Zhao Chujun"/>
    <m/>
    <m/>
    <m/>
    <s v="OK"/>
  </r>
  <r>
    <s v="CN15"/>
    <n v="15022075"/>
    <s v="李 言东"/>
    <s v="Li Yandong"/>
    <s v="Indirect Active"/>
    <s v="OP"/>
    <s v="SNa"/>
    <s v="FLCNa-MEA"/>
    <s v="340200"/>
    <d v="2021-11-24T00:00:00"/>
    <s v="Engineer"/>
    <s v="Assembly Process Engineer"/>
    <x v="2"/>
    <n v="2"/>
    <x v="1"/>
    <n v="12645"/>
    <n v="0.03"/>
    <n v="379"/>
    <n v="0"/>
    <n v="0"/>
    <n v="2.9972321075523924E-2"/>
    <n v="379"/>
    <n v="13024"/>
    <n v="12645"/>
    <n v="0"/>
    <x v="5"/>
    <s v="2.40%-3.60%"/>
    <s v="Promotion"/>
    <s v="Senior Assembly Process Engineer"/>
    <s v="A5"/>
    <n v="0.1"/>
    <n v="1265"/>
    <n v="13910"/>
    <n v="1265"/>
    <n v="0.10003954132068005"/>
    <n v="14"/>
    <n v="450"/>
    <m/>
    <n v="688"/>
    <n v="200828"/>
    <n v="4"/>
    <m/>
    <s v="Very positive feedback from VS and high potential in assembly team，combined with promotion"/>
    <s v="Combined with promotion"/>
    <s v="Hu Jun（51202067）"/>
    <s v="Mo Xiaohong（11005372）"/>
    <s v="Zhao Chujun"/>
    <m/>
    <s v=" recommend increasing but propose zero increase"/>
    <m/>
    <s v="0 increase"/>
  </r>
  <r>
    <s v="CN15"/>
    <n v="15001880"/>
    <s v="林 文森"/>
    <s v="Lin Wensen"/>
    <s v="Indirect Active"/>
    <s v="OP"/>
    <s v="SNa"/>
    <s v="FLCNa-MEF"/>
    <s v="340200"/>
    <d v="2008-07-28T00:00:00"/>
    <s v="Junior Engineer"/>
    <s v="Junior Engineer"/>
    <x v="4"/>
    <n v="2"/>
    <x v="2"/>
    <n v="7538"/>
    <n v="2.5000000000000001E-2"/>
    <n v="188"/>
    <n v="0"/>
    <n v="0"/>
    <n v="2.494030246749801E-2"/>
    <n v="188"/>
    <n v="7726"/>
    <n v="7726"/>
    <n v="188"/>
    <x v="37"/>
    <s v="2.00%-2.99%"/>
    <m/>
    <m/>
    <m/>
    <m/>
    <n v="0"/>
    <n v="7726"/>
    <n v="188"/>
    <n v="2.4940302467498121E-2"/>
    <n v="14"/>
    <n v="450"/>
    <m/>
    <n v="688"/>
    <n v="114252"/>
    <s v="NA"/>
    <m/>
    <m/>
    <m/>
    <s v="Hu Jun（51202067）"/>
    <s v="Mo Xiaohong（11005372）"/>
    <s v="Zhao Chujun"/>
    <m/>
    <m/>
    <m/>
    <s v="OK"/>
  </r>
  <r>
    <s v="CN15"/>
    <n v="15001698"/>
    <s v="马 广义"/>
    <s v="Ma Guangyi"/>
    <s v="Indirect Active"/>
    <s v="OP"/>
    <s v="SNa"/>
    <s v="FLCNa-MEF"/>
    <s v="340200"/>
    <d v="2008-06-17T00:00:00"/>
    <s v="Senior Engineer"/>
    <s v="Senior Manufacturing Engineer"/>
    <x v="1"/>
    <n v="2"/>
    <x v="1"/>
    <n v="11737"/>
    <n v="3.7500000000000006E-2"/>
    <n v="440"/>
    <n v="1.55E-2"/>
    <n v="182"/>
    <n v="5.2994802760500982E-2"/>
    <n v="622"/>
    <n v="12359"/>
    <n v="12659"/>
    <n v="922"/>
    <x v="38"/>
    <s v="4.24%-6.36%"/>
    <m/>
    <m/>
    <m/>
    <m/>
    <n v="0"/>
    <n v="12659"/>
    <n v="922"/>
    <n v="7.8554997017977302E-2"/>
    <n v="14"/>
    <n v="450"/>
    <m/>
    <n v="688"/>
    <n v="183314"/>
    <n v="3"/>
    <m/>
    <s v="Excellent performance in laser welding relocation。同时兼任FLCNa,FLCCh 两家工厂的内筒激光焊接"/>
    <s v="Significantly enlarged responsibilities with proven performance"/>
    <s v="Hu Jun（51202067）"/>
    <s v="Mo Xiaohong（11005372）"/>
    <s v="Zhao Chujun"/>
    <m/>
    <s v=" exceed +/-20% adjustment"/>
    <s v="&gt;20"/>
    <s v="&gt;20"/>
  </r>
  <r>
    <s v="CN15"/>
    <n v="15003323"/>
    <s v="马 维静"/>
    <s v="Ma Weijing"/>
    <s v="Indirect Active"/>
    <s v="OP"/>
    <s v="SNa"/>
    <s v="FLCNa-MEM"/>
    <s v="340433"/>
    <d v="2010-03-01T00:00:00"/>
    <s v="Supervisor"/>
    <s v="Supervisor"/>
    <x v="0"/>
    <n v="2"/>
    <x v="2"/>
    <n v="18000"/>
    <n v="0"/>
    <n v="0"/>
    <n v="0"/>
    <n v="0"/>
    <n v="0"/>
    <n v="0"/>
    <n v="18000"/>
    <n v="18000"/>
    <n v="0"/>
    <x v="5"/>
    <s v="0.00%-0.00%"/>
    <m/>
    <m/>
    <m/>
    <m/>
    <n v="0"/>
    <n v="18000"/>
    <n v="0"/>
    <n v="0"/>
    <n v="14"/>
    <n v="450"/>
    <m/>
    <n v="688"/>
    <n v="258088"/>
    <n v="4"/>
    <m/>
    <m/>
    <m/>
    <s v="Hu Jun（51202067）"/>
    <s v="Mo Xiaohong（11005372）"/>
    <s v="Zhao Chujun"/>
    <m/>
    <m/>
    <m/>
    <s v="OK"/>
  </r>
  <r>
    <s v="CN15"/>
    <n v="15021416"/>
    <s v="石 曙曙"/>
    <s v="Shi Shushu"/>
    <s v="Indirect Active"/>
    <s v="OP"/>
    <s v="SNa"/>
    <s v="FLCNa-MEA"/>
    <s v="340200"/>
    <d v="2021-06-23T00:00:00"/>
    <s v="Engineer"/>
    <s v="Automation Engineer"/>
    <x v="2"/>
    <n v="2"/>
    <x v="0"/>
    <n v="12793"/>
    <n v="0.04"/>
    <n v="512"/>
    <n v="0"/>
    <n v="0"/>
    <n v="4.0021886969436413E-2"/>
    <n v="512"/>
    <n v="13305"/>
    <n v="12793"/>
    <n v="0"/>
    <x v="5"/>
    <s v="3.20%-4.80%"/>
    <s v="Promotion"/>
    <s v="Senior Automation Engineer"/>
    <s v="A5"/>
    <n v="0.11"/>
    <n v="1407"/>
    <n v="14200"/>
    <n v="1407"/>
    <n v="0.10998202141796298"/>
    <n v="14"/>
    <n v="450"/>
    <m/>
    <n v="688"/>
    <n v="204888"/>
    <n v="3"/>
    <m/>
    <s v="Testing expert: critical and urgently needed in the factory, combined with promotion."/>
    <s v="Combined with promotion"/>
    <s v="Hu Jun（51202067）"/>
    <s v="Mo Xiaohong（11005372）"/>
    <s v="Zhao Chujun"/>
    <m/>
    <s v=" recommend increasing but propose zero increase"/>
    <m/>
    <s v="0 increase"/>
  </r>
  <r>
    <s v="CN15"/>
    <n v="15020868"/>
    <s v="孙 荣华"/>
    <s v="Sun Ronghua"/>
    <s v="Indirect Active"/>
    <s v="OP"/>
    <s v="SNa"/>
    <s v="FLCNa-MEF"/>
    <s v="340200"/>
    <d v="2021-01-13T00:00:00"/>
    <s v="Senior Engineer"/>
    <s v="Senior Injection Engineer"/>
    <x v="1"/>
    <n v="2"/>
    <x v="2"/>
    <n v="13285"/>
    <n v="2.5000000000000001E-2"/>
    <n v="332"/>
    <n v="0"/>
    <n v="0"/>
    <n v="2.4990590891983439E-2"/>
    <n v="332"/>
    <n v="13617"/>
    <n v="13551"/>
    <n v="266"/>
    <x v="36"/>
    <s v="2.00%-3.00%"/>
    <m/>
    <m/>
    <m/>
    <m/>
    <n v="0"/>
    <n v="13551"/>
    <n v="266"/>
    <n v="2.0022581859239663E-2"/>
    <n v="14"/>
    <n v="450"/>
    <m/>
    <n v="688"/>
    <n v="195802"/>
    <n v="2"/>
    <m/>
    <m/>
    <m/>
    <s v="Hu Jun（51202067）"/>
    <s v="Mo Xiaohong（11005372）"/>
    <s v="Zhao Chujun"/>
    <m/>
    <m/>
    <m/>
    <s v="OK"/>
  </r>
  <r>
    <s v="CN15"/>
    <n v="15004889"/>
    <s v="王 兴春"/>
    <s v="Wang Xingchun"/>
    <s v="Indirect Active"/>
    <s v="OP"/>
    <s v="SNa"/>
    <s v="FLCNa-MEF"/>
    <s v="340200"/>
    <d v="2010-11-08T00:00:00"/>
    <s v="Senior Engineer"/>
    <s v="Senior Mould Managment Engineer"/>
    <x v="1"/>
    <n v="2"/>
    <x v="2"/>
    <n v="15150"/>
    <n v="0"/>
    <n v="0"/>
    <n v="0"/>
    <n v="0"/>
    <n v="0"/>
    <n v="0"/>
    <n v="15150"/>
    <n v="15150"/>
    <n v="0"/>
    <x v="5"/>
    <s v="0.00%-0.00%"/>
    <m/>
    <m/>
    <m/>
    <m/>
    <n v="0"/>
    <n v="15150"/>
    <n v="0"/>
    <n v="0"/>
    <n v="14"/>
    <n v="450"/>
    <m/>
    <n v="688"/>
    <n v="218188"/>
    <n v="4"/>
    <m/>
    <m/>
    <m/>
    <s v="Hu Jun（51202067）"/>
    <s v="Mo Xiaohong（11005372）"/>
    <s v="Zhao Chujun"/>
    <m/>
    <m/>
    <m/>
    <s v="OK"/>
  </r>
  <r>
    <s v="CN15"/>
    <n v="15022143"/>
    <s v="王 雪松"/>
    <s v="Wang Xuesong"/>
    <s v="Indirect Active"/>
    <s v="OP"/>
    <s v="SNa"/>
    <s v="FLCNa-MEA"/>
    <s v="340200"/>
    <d v="2022-02-23T00:00:00"/>
    <s v="Engineer"/>
    <s v="Testing Engineer"/>
    <x v="2"/>
    <n v="2"/>
    <x v="2"/>
    <n v="9205"/>
    <n v="2.5000000000000001E-2"/>
    <n v="230"/>
    <n v="0"/>
    <n v="0"/>
    <n v="2.4986420423682782E-2"/>
    <n v="230"/>
    <n v="9435"/>
    <n v="9205"/>
    <n v="0"/>
    <x v="5"/>
    <s v="2.00%-3.00%"/>
    <m/>
    <m/>
    <m/>
    <m/>
    <n v="0"/>
    <n v="9205"/>
    <n v="0"/>
    <n v="0"/>
    <n v="14"/>
    <n v="450"/>
    <m/>
    <n v="688"/>
    <n v="134958"/>
    <n v="3"/>
    <m/>
    <s v="Leave BSH in July"/>
    <s v="Left/will leave/retire soon"/>
    <s v="Hu Jun（51202067）"/>
    <s v="Mo Xiaohong（11005372）"/>
    <s v="Zhao Chujun"/>
    <m/>
    <s v=" recommend increasing but propose zero increase"/>
    <m/>
    <s v="0 increase"/>
  </r>
  <r>
    <s v="CN15"/>
    <n v="51200356"/>
    <s v="吴 惟一"/>
    <s v="Wu Weiyi"/>
    <s v="Indirect Active"/>
    <s v="OP"/>
    <s v="SNa"/>
    <s v="FLCNa-MEF"/>
    <s v="340200"/>
    <d v="1997-08-18T00:00:00"/>
    <s v="Senior Engineer"/>
    <s v="Senior Engineer"/>
    <x v="1"/>
    <n v="2"/>
    <x v="2"/>
    <n v="12985"/>
    <n v="0"/>
    <n v="0"/>
    <n v="0"/>
    <n v="0"/>
    <n v="0"/>
    <n v="0"/>
    <n v="12985"/>
    <n v="12985"/>
    <n v="0"/>
    <x v="5"/>
    <s v="0.00%-0.00%"/>
    <m/>
    <m/>
    <m/>
    <m/>
    <n v="0"/>
    <n v="12985"/>
    <n v="0"/>
    <n v="0"/>
    <n v="14"/>
    <n v="3050"/>
    <m/>
    <n v="688"/>
    <n v="219078"/>
    <n v="3"/>
    <m/>
    <m/>
    <m/>
    <s v="Hu Jun（51202067）"/>
    <s v="Mo Xiaohong（11005372）"/>
    <s v="Zhao Chujun"/>
    <m/>
    <m/>
    <m/>
    <s v="OK"/>
  </r>
  <r>
    <s v="CN15"/>
    <n v="15021286"/>
    <s v="邢 建"/>
    <s v="Xing Jian"/>
    <s v="Indirect Active"/>
    <s v="OP"/>
    <s v="SNa"/>
    <s v="FLCNa-MEM"/>
    <s v="340433"/>
    <d v="2021-05-12T00:00:00"/>
    <s v="Senior Engineer"/>
    <s v="Senior Equipment Engineer"/>
    <x v="1"/>
    <n v="2"/>
    <x v="0"/>
    <n v="17480"/>
    <n v="0.03"/>
    <n v="524"/>
    <n v="0"/>
    <n v="0"/>
    <n v="2.9977116704805493E-2"/>
    <n v="524"/>
    <n v="18004"/>
    <n v="18110"/>
    <n v="630"/>
    <x v="39"/>
    <s v="2.40%-3.60%"/>
    <m/>
    <m/>
    <m/>
    <m/>
    <n v="0"/>
    <n v="18110"/>
    <n v="630"/>
    <n v="3.6041189931350193E-2"/>
    <n v="14"/>
    <n v="450"/>
    <m/>
    <n v="688"/>
    <n v="259628"/>
    <n v="4"/>
    <m/>
    <m/>
    <m/>
    <s v="Hu Jun（51202067）"/>
    <s v="Mo Xiaohong（11005372）"/>
    <s v="Zhao Chujun"/>
    <m/>
    <m/>
    <m/>
    <s v="OK"/>
  </r>
  <r>
    <s v="CN15"/>
    <n v="15001700"/>
    <s v="徐 云飞"/>
    <s v="Xu Yunfei"/>
    <s v="Indirect Active"/>
    <s v="OP"/>
    <s v="SNa"/>
    <s v="FLCNa-MEM"/>
    <s v="340433"/>
    <d v="2008-06-17T00:00:00"/>
    <s v="Senior Engineer"/>
    <s v="Senior Engineer"/>
    <x v="1"/>
    <n v="2"/>
    <x v="1"/>
    <n v="12391"/>
    <n v="3.7500000000000006E-2"/>
    <n v="465"/>
    <n v="1.55E-2"/>
    <n v="192"/>
    <n v="5.3022354935033489E-2"/>
    <n v="657"/>
    <n v="13048"/>
    <n v="13048"/>
    <n v="657"/>
    <x v="40"/>
    <s v="4.24%-6.36%"/>
    <m/>
    <m/>
    <m/>
    <m/>
    <n v="0"/>
    <n v="13048"/>
    <n v="657"/>
    <n v="5.3022354935033489E-2"/>
    <n v="14"/>
    <n v="500"/>
    <m/>
    <n v="688"/>
    <n v="189360"/>
    <n v="2"/>
    <m/>
    <m/>
    <m/>
    <s v="Hu Jun（51202067）"/>
    <s v="Mo Xiaohong（11005372）"/>
    <s v="Zhao Chujun"/>
    <m/>
    <m/>
    <m/>
    <s v="OK"/>
  </r>
  <r>
    <s v="CN15"/>
    <n v="15015379"/>
    <s v="杨 园园"/>
    <s v="Yang Yuanyuan"/>
    <s v="Indirect Active"/>
    <s v="OP"/>
    <s v="SNa"/>
    <s v="FLCNa-MEM"/>
    <s v="340433"/>
    <d v="2016-06-22T00:00:00"/>
    <s v="Senior Engineer"/>
    <s v="Senior Engineer"/>
    <x v="1"/>
    <n v="2"/>
    <x v="1"/>
    <n v="16100"/>
    <n v="0.03"/>
    <n v="483"/>
    <n v="0"/>
    <n v="0"/>
    <n v="0.03"/>
    <n v="483"/>
    <n v="16583"/>
    <n v="16583"/>
    <n v="483"/>
    <x v="11"/>
    <s v="2.40%-3.60%"/>
    <m/>
    <m/>
    <m/>
    <m/>
    <n v="0"/>
    <n v="16583"/>
    <n v="483"/>
    <n v="3.0000000000000027E-2"/>
    <n v="14"/>
    <n v="500"/>
    <m/>
    <n v="688"/>
    <n v="238850"/>
    <n v="4"/>
    <m/>
    <m/>
    <m/>
    <s v="Hu Jun（51202067）"/>
    <s v="Mo Xiaohong（11005372）"/>
    <s v="Zhao Chujun"/>
    <m/>
    <m/>
    <m/>
    <s v="OK"/>
  </r>
  <r>
    <s v="CN15"/>
    <n v="15015653"/>
    <s v="禹 大成"/>
    <s v="Yu Dacheng"/>
    <s v="Indirect Active"/>
    <s v="OP"/>
    <s v="SNa"/>
    <s v="FLCNa-MEF"/>
    <s v="340200"/>
    <d v="2016-09-21T00:00:00"/>
    <s v="Manager"/>
    <s v="Head of Pre-Fabrication"/>
    <x v="3"/>
    <n v="2"/>
    <x v="0"/>
    <n v="21554"/>
    <n v="0.06"/>
    <n v="1293"/>
    <n v="7.7799999999999994E-2"/>
    <n v="1677"/>
    <n v="0.13779344901178436"/>
    <n v="2970"/>
    <n v="24524"/>
    <n v="24221"/>
    <n v="2667"/>
    <x v="41"/>
    <s v="11.02%-16.54%"/>
    <m/>
    <m/>
    <m/>
    <m/>
    <n v="0"/>
    <n v="24221"/>
    <n v="2667"/>
    <n v="0.12373573350654166"/>
    <n v="14"/>
    <n v="450"/>
    <m/>
    <n v="688"/>
    <n v="345182"/>
    <n v="5"/>
    <m/>
    <m/>
    <m/>
    <s v="Hu Jun（51202067）"/>
    <s v="Mo Xiaohong（11005372）"/>
    <s v="Zhao Chujun"/>
    <m/>
    <m/>
    <m/>
    <s v="OK"/>
  </r>
  <r>
    <s v="CN15"/>
    <n v="15020094"/>
    <s v="张 健"/>
    <s v="Zhang Jian"/>
    <s v="Indirect Active"/>
    <s v="OP"/>
    <s v="SNa"/>
    <s v="FLCNa-MEM"/>
    <s v="340433"/>
    <d v="2020-03-18T00:00:00"/>
    <s v="Manager"/>
    <s v="Head of Maintenance"/>
    <x v="3"/>
    <n v="2"/>
    <x v="2"/>
    <n v="20400"/>
    <n v="0.03"/>
    <n v="612"/>
    <n v="0"/>
    <n v="0"/>
    <n v="0.03"/>
    <n v="612"/>
    <n v="21012"/>
    <n v="21012"/>
    <n v="612"/>
    <x v="11"/>
    <s v="2.40%-3.60%"/>
    <m/>
    <m/>
    <m/>
    <m/>
    <n v="0"/>
    <n v="21012"/>
    <n v="612"/>
    <n v="3.0000000000000027E-2"/>
    <n v="14"/>
    <n v="450"/>
    <m/>
    <n v="688"/>
    <n v="300256"/>
    <n v="4"/>
    <m/>
    <m/>
    <m/>
    <s v="Hu Jun（51202067）"/>
    <s v="Mo Xiaohong（11005372）"/>
    <s v="Zhao Chujun"/>
    <m/>
    <m/>
    <m/>
    <s v="OK"/>
  </r>
  <r>
    <s v="CN15"/>
    <n v="15022179"/>
    <s v="朱 和伟"/>
    <s v="Zhu Hewei"/>
    <s v="Indirect Active"/>
    <s v="OP"/>
    <s v="SNa"/>
    <s v="FLCNa-MEM"/>
    <s v="340433"/>
    <d v="2022-05-05T00:00:00"/>
    <s v="Engineer"/>
    <s v="Tooling Engineer"/>
    <x v="2"/>
    <n v="2"/>
    <x v="2"/>
    <n v="12472"/>
    <n v="0"/>
    <n v="0"/>
    <n v="0"/>
    <n v="0"/>
    <n v="0"/>
    <n v="0"/>
    <n v="12472"/>
    <n v="12700"/>
    <n v="228"/>
    <x v="42"/>
    <s v="0.00%-0.00%"/>
    <m/>
    <m/>
    <m/>
    <m/>
    <n v="0"/>
    <n v="12700"/>
    <n v="228"/>
    <n v="1.8280949326491269E-2"/>
    <n v="14"/>
    <n v="450"/>
    <m/>
    <n v="688"/>
    <n v="183888"/>
    <n v="3"/>
    <m/>
    <s v="critical position in Mold with excellence performance in localization"/>
    <s v="Top critical position/player"/>
    <s v="Hu Jun（51202067）"/>
    <s v="Mo Xiaohong（11005372）"/>
    <s v="Zhao Chujun"/>
    <m/>
    <s v=" exceed +/-20% adjustment"/>
    <s v="&gt;20"/>
    <s v="&gt;20"/>
  </r>
  <r>
    <s v="CN15"/>
    <n v="15022342"/>
    <s v="朱 庆棚"/>
    <s v="Zhu Qingpeng"/>
    <s v="Indirect Active"/>
    <s v="OP"/>
    <s v="SNa"/>
    <s v="FLCNa-MEA"/>
    <s v="340200"/>
    <d v="2023-04-19T00:00:00"/>
    <s v="Senior Engineer"/>
    <s v="Senior Assembly Engineer"/>
    <x v="1"/>
    <n v="2"/>
    <x v="2"/>
    <n v="11020"/>
    <n v="0.03"/>
    <n v="331"/>
    <n v="0"/>
    <n v="0"/>
    <n v="3.0036297640653357E-2"/>
    <n v="331"/>
    <n v="11351"/>
    <n v="11751"/>
    <n v="731"/>
    <x v="43"/>
    <s v="2.40%-3.60%"/>
    <m/>
    <m/>
    <m/>
    <m/>
    <n v="0"/>
    <n v="11751"/>
    <n v="731"/>
    <n v="6.6333938294010908E-2"/>
    <n v="14"/>
    <n v="550"/>
    <m/>
    <n v="688"/>
    <n v="171802"/>
    <n v="5"/>
    <m/>
    <s v="Excellent performance in India SKD project and new line rampup"/>
    <s v="Good performers with relatively lower salary"/>
    <s v="Hu Jun（51202067）"/>
    <s v="Mo Xiaohong（11005372）"/>
    <s v="Zhao Chujun"/>
    <m/>
    <s v=" exceed +/-20% adjustment"/>
    <s v="&gt;20"/>
    <s v="&gt;20"/>
  </r>
  <r>
    <s v="CN15"/>
    <n v="15001449"/>
    <s v="朱 小忠"/>
    <s v="Zhu Xiaozhong"/>
    <s v="Indirect Active"/>
    <s v="OP"/>
    <s v="SNa"/>
    <s v="FLCNa-ME"/>
    <s v="340200"/>
    <d v="2008-03-18T00:00:00"/>
    <s v="Engineer"/>
    <s v="Electrical Engineer"/>
    <x v="2"/>
    <n v="2"/>
    <x v="2"/>
    <n v="12190"/>
    <n v="0"/>
    <n v="0"/>
    <n v="0"/>
    <n v="0"/>
    <n v="0"/>
    <n v="0"/>
    <n v="12190"/>
    <n v="12190"/>
    <n v="0"/>
    <x v="5"/>
    <s v="0.00%-0.00%"/>
    <m/>
    <m/>
    <m/>
    <m/>
    <n v="0"/>
    <n v="12190"/>
    <n v="0"/>
    <n v="0"/>
    <n v="14"/>
    <n v="450"/>
    <m/>
    <n v="688"/>
    <n v="176748"/>
    <n v="1"/>
    <m/>
    <m/>
    <m/>
    <s v="Hu Jun（51202067）"/>
    <s v="Mo Xiaohong（11005372）"/>
    <s v="Zhao Chujun"/>
    <m/>
    <m/>
    <m/>
    <s v="OK"/>
  </r>
  <r>
    <s v="CN15"/>
    <n v="51202067"/>
    <s v="胡 军"/>
    <s v="Hu Jun"/>
    <s v="Indirect Active"/>
    <s v="OP"/>
    <s v="SNa"/>
    <s v="FLCNa-ME"/>
    <s v="340100"/>
    <d v="2004-11-01T00:00:00"/>
    <s v="Director"/>
    <s v="Head of Manufacturing Engineering"/>
    <x v="5"/>
    <n v="2"/>
    <x v="1"/>
    <n v="49800"/>
    <n v="0.03"/>
    <n v="1494"/>
    <n v="0"/>
    <n v="0"/>
    <n v="0.03"/>
    <n v="1494"/>
    <n v="51294"/>
    <n v="50100"/>
    <n v="300"/>
    <x v="44"/>
    <s v="2.40%-3.60%"/>
    <m/>
    <m/>
    <m/>
    <m/>
    <n v="0"/>
    <n v="50100"/>
    <n v="300"/>
    <n v="6.0240963855422436E-3"/>
    <n v="14"/>
    <n v="450"/>
    <n v="1000"/>
    <n v="688"/>
    <n v="719488"/>
    <n v="4"/>
    <m/>
    <s v="higher salary within same level in the factory"/>
    <s v="Internal balance"/>
    <s v="Jiang Xiujuan（11012739）"/>
    <s v="Mo Xiaohong（11005372）"/>
    <s v="Zhao Chujun"/>
    <m/>
    <s v=" exceed +/-20% adjustment"/>
    <s v="&lt;20"/>
    <s v="&lt;20"/>
  </r>
  <r>
    <s v="CN15"/>
    <n v="15002547"/>
    <s v="郎 力"/>
    <s v="Lang Li"/>
    <s v="Indirect Active"/>
    <s v="OP"/>
    <s v="SNa"/>
    <s v="FLCNa-V2"/>
    <s v="340100"/>
    <d v="2009-06-29T00:00:00"/>
    <s v="Director"/>
    <s v="Head of FLCNa-V2"/>
    <x v="5"/>
    <n v="2"/>
    <x v="2"/>
    <n v="43250"/>
    <n v="0"/>
    <n v="0"/>
    <n v="0"/>
    <n v="0"/>
    <n v="0"/>
    <n v="0"/>
    <n v="43250"/>
    <n v="43550"/>
    <n v="300"/>
    <x v="45"/>
    <s v="0.00%-0.00%"/>
    <m/>
    <m/>
    <m/>
    <m/>
    <n v="0"/>
    <n v="43550"/>
    <n v="300"/>
    <n v="6.9364161849712058E-3"/>
    <n v="14"/>
    <n v="450"/>
    <n v="1000"/>
    <n v="688"/>
    <n v="627788"/>
    <n v="4"/>
    <m/>
    <s v="lead new VS with proven performance "/>
    <s v="Enlarged responsibilities with proven performance"/>
    <s v="Jiang Xiujuan（11012739）"/>
    <s v="Mo Xiaohong（11005372）"/>
    <s v="Zhao Chujun"/>
    <m/>
    <s v=" exceed +/-20% adjustment"/>
    <s v="&gt;20"/>
    <s v="&gt;20"/>
  </r>
  <r>
    <s v="CN15"/>
    <n v="15001516"/>
    <s v="钱 荣兵"/>
    <s v="Qian Rongbing"/>
    <s v="Indirect Active"/>
    <s v="OP"/>
    <s v="SNa"/>
    <s v="FLCNa"/>
    <s v="340100"/>
    <d v="2008-04-15T00:00:00"/>
    <s v="Senior Engineer"/>
    <s v="Senior Production Engineer"/>
    <x v="1"/>
    <n v="2"/>
    <x v="1"/>
    <n v="10020"/>
    <n v="3.7500000000000006E-2"/>
    <n v="376"/>
    <n v="1.55E-2"/>
    <n v="155"/>
    <n v="5.2994011976047903E-2"/>
    <n v="531"/>
    <n v="10551"/>
    <n v="10451"/>
    <n v="431"/>
    <x v="33"/>
    <s v="4.24%-6.36%"/>
    <m/>
    <m/>
    <m/>
    <m/>
    <n v="0"/>
    <n v="10451"/>
    <n v="431"/>
    <n v="4.3013972055888194E-2"/>
    <n v="14"/>
    <n v="450"/>
    <m/>
    <n v="688"/>
    <n v="152402"/>
    <n v="2"/>
    <m/>
    <m/>
    <m/>
    <s v="Jiang Xiujuan（11012739）"/>
    <s v="Mo Xiaohong（11005372）"/>
    <s v="Zhao Chujun"/>
    <m/>
    <m/>
    <m/>
    <s v="OK"/>
  </r>
  <r>
    <s v="CN15"/>
    <n v="15001801"/>
    <s v="孙 秀建"/>
    <s v="Sun Xiujian"/>
    <s v="Indirect Active"/>
    <s v="OP"/>
    <s v="SNa"/>
    <s v="FLCNa"/>
    <s v="340100"/>
    <d v="2008-07-08T00:00:00"/>
    <s v="Manager"/>
    <s v="Manager"/>
    <x v="3"/>
    <n v="2"/>
    <x v="2"/>
    <n v="30000"/>
    <n v="0"/>
    <n v="0"/>
    <n v="0"/>
    <n v="0"/>
    <n v="0"/>
    <n v="0"/>
    <n v="30000"/>
    <n v="30000"/>
    <n v="0"/>
    <x v="5"/>
    <s v="0.00%-0.00%"/>
    <m/>
    <m/>
    <m/>
    <m/>
    <n v="0"/>
    <n v="30000"/>
    <n v="0"/>
    <n v="0"/>
    <n v="14"/>
    <n v="450"/>
    <m/>
    <n v="688"/>
    <n v="426088"/>
    <n v="3"/>
    <m/>
    <m/>
    <m/>
    <s v="Jiang Xiujuan（11012739）"/>
    <s v="Mo Xiaohong（11005372）"/>
    <s v="Zhao Chujun"/>
    <m/>
    <m/>
    <m/>
    <s v="OK"/>
  </r>
  <r>
    <s v="CN15"/>
    <n v="15000580"/>
    <s v="姚 雷雷"/>
    <s v="Yao Leilei"/>
    <s v="Indirect Active"/>
    <s v="OP"/>
    <s v="SNa"/>
    <s v="FLCNa-VF"/>
    <s v="340100"/>
    <d v="2006-07-18T00:00:00"/>
    <s v="Director"/>
    <s v="Head of FLCNa-VF"/>
    <x v="5"/>
    <n v="2"/>
    <x v="2"/>
    <n v="42080"/>
    <n v="0"/>
    <n v="0"/>
    <n v="0"/>
    <n v="0"/>
    <n v="0"/>
    <n v="0"/>
    <n v="42080"/>
    <n v="42686"/>
    <n v="606"/>
    <x v="46"/>
    <s v="0.00%-0.00%"/>
    <m/>
    <m/>
    <m/>
    <m/>
    <n v="0"/>
    <n v="42686"/>
    <n v="606"/>
    <n v="1.4401140684410674E-2"/>
    <n v="14"/>
    <n v="450"/>
    <n v="1000"/>
    <n v="688"/>
    <n v="615692"/>
    <n v="3"/>
    <m/>
    <s v="enlarged responsibilities with CP management"/>
    <s v="Enlarged responsibilities with proven performance"/>
    <s v="Jiang Xiujuan（11012739）"/>
    <s v="Mo Xiaohong（11005372）"/>
    <s v="Zhao Chujun"/>
    <m/>
    <s v=" exceed +/-20% adjustment"/>
    <s v="&gt;20"/>
    <s v="&gt;20"/>
  </r>
  <r>
    <s v="CN15"/>
    <n v="15003586"/>
    <s v="叶 友军"/>
    <s v="Ye Youjun"/>
    <s v="Indirect Active"/>
    <s v="OP"/>
    <s v="SNa"/>
    <s v="FLCNa"/>
    <s v="340100"/>
    <d v="2010-04-01T00:00:00"/>
    <s v="Senior Engineer"/>
    <s v="Senior Engineer"/>
    <x v="1"/>
    <n v="2"/>
    <x v="2"/>
    <n v="12200"/>
    <n v="0"/>
    <n v="0"/>
    <n v="0"/>
    <n v="0"/>
    <n v="0"/>
    <n v="0"/>
    <n v="12200"/>
    <n v="12474"/>
    <n v="274"/>
    <x v="47"/>
    <s v="0.00%-0.00%"/>
    <m/>
    <m/>
    <m/>
    <m/>
    <n v="0"/>
    <n v="12474"/>
    <n v="274"/>
    <n v="2.245901639344261E-2"/>
    <n v="14"/>
    <n v="450"/>
    <m/>
    <n v="688"/>
    <n v="180724"/>
    <n v="3"/>
    <m/>
    <s v="enlarged responsibilities, add BPS management"/>
    <s v="Enlarged responsibilities with proven performance"/>
    <s v="Jiang Xiujuan（11012739）"/>
    <s v="Mo Xiaohong（11005372）"/>
    <s v="Zhao Chujun"/>
    <m/>
    <s v=" exceed +/-20% adjustment"/>
    <s v="&gt;20"/>
    <s v="&gt;20"/>
  </r>
  <r>
    <s v="CN15"/>
    <n v="15006800"/>
    <s v="张 辉宇"/>
    <s v="Zhang Huiyu"/>
    <s v="Indirect Active"/>
    <s v="OP"/>
    <s v="SNa"/>
    <s v="FLCNa-V1"/>
    <s v="340100"/>
    <d v="2011-07-20T00:00:00"/>
    <s v="Manager"/>
    <s v="Head of FLCNa-V1"/>
    <x v="3"/>
    <n v="2"/>
    <x v="2"/>
    <n v="15455"/>
    <n v="0.03"/>
    <n v="464"/>
    <n v="0"/>
    <n v="0"/>
    <n v="3.0022646392753153E-2"/>
    <n v="464"/>
    <n v="15919"/>
    <n v="17010"/>
    <n v="1555"/>
    <x v="48"/>
    <s v="2.40%-3.60%"/>
    <m/>
    <m/>
    <m/>
    <m/>
    <n v="0"/>
    <n v="17010"/>
    <n v="1555"/>
    <n v="0.10061468780329985"/>
    <n v="14"/>
    <n v="450"/>
    <m/>
    <n v="688"/>
    <n v="244228"/>
    <n v="5"/>
    <m/>
    <s v="took VS head with excellent performance. Lower salary."/>
    <s v="Enlarged responsibilities with proven performance"/>
    <s v="Jiang Xiujuan（11012739）"/>
    <s v="Mo Xiaohong（11005372）"/>
    <s v="Zhao Chujun"/>
    <m/>
    <s v=" exceed +/-20% adjustment"/>
    <s v="&gt;20"/>
    <s v="&gt;20"/>
  </r>
  <r>
    <s v="CN15"/>
    <n v="11000452"/>
    <s v="李 蕾"/>
    <s v="Li Lei"/>
    <s v="Indirect Active"/>
    <s v="OP"/>
    <s v="SC"/>
    <s v="SNa-SC4MP"/>
    <s v="390501"/>
    <d v="1999-05-17T00:00:00"/>
    <s v="Planner"/>
    <s v="Material Planner"/>
    <x v="2"/>
    <n v="2"/>
    <x v="2"/>
    <n v="10091"/>
    <n v="0"/>
    <n v="0"/>
    <n v="0"/>
    <n v="0"/>
    <n v="0"/>
    <n v="0"/>
    <n v="10091"/>
    <n v="10091"/>
    <n v="0"/>
    <x v="5"/>
    <s v="0.00%-0.00%"/>
    <m/>
    <m/>
    <m/>
    <m/>
    <n v="0"/>
    <n v="10091"/>
    <n v="0"/>
    <n v="0"/>
    <n v="14"/>
    <n v="450"/>
    <m/>
    <n v="688"/>
    <n v="147362"/>
    <n v="3"/>
    <m/>
    <m/>
    <m/>
    <s v="Zhou Chuancui（1520041）"/>
    <s v="Shao Xiao（11018043）"/>
    <s v="Cheng Cheng"/>
    <m/>
    <m/>
    <m/>
    <s v="OK"/>
  </r>
  <r>
    <s v="CN15"/>
    <n v="15021389"/>
    <s v="刘 超"/>
    <s v="Liu Chao"/>
    <s v="Indirect Active"/>
    <s v="OP"/>
    <s v="SC"/>
    <s v="SNa-SC4MS"/>
    <s v="390501"/>
    <d v="2021-06-09T00:00:00"/>
    <s v="Planner"/>
    <s v="Material Planner"/>
    <x v="2"/>
    <n v="2"/>
    <x v="2"/>
    <n v="10091"/>
    <n v="0"/>
    <n v="0"/>
    <n v="0"/>
    <n v="0"/>
    <n v="0"/>
    <n v="0"/>
    <n v="10091"/>
    <n v="10091"/>
    <n v="0"/>
    <x v="5"/>
    <s v="0.00%-0.00%"/>
    <m/>
    <m/>
    <m/>
    <m/>
    <n v="0"/>
    <n v="10091"/>
    <n v="0"/>
    <n v="0"/>
    <n v="14"/>
    <n v="450"/>
    <m/>
    <n v="688"/>
    <n v="147362"/>
    <n v="3"/>
    <m/>
    <m/>
    <m/>
    <s v="Zhou Chuancui（1520041）"/>
    <s v="Shao Xiao（11018043）"/>
    <s v="Cheng Cheng"/>
    <m/>
    <m/>
    <m/>
    <s v="OK"/>
  </r>
  <r>
    <s v="CN15"/>
    <n v="15013869"/>
    <s v="阮 婷"/>
    <s v="Ruan Ting"/>
    <s v="Indirect Active"/>
    <s v="OP"/>
    <s v="SC"/>
    <s v="SNa-SC4ME"/>
    <s v="390501"/>
    <d v="2014-12-17T00:00:00"/>
    <s v="Senior Planner"/>
    <s v="Senior Material Planner"/>
    <x v="1"/>
    <n v="2"/>
    <x v="2"/>
    <n v="8250"/>
    <n v="0.03"/>
    <n v="248"/>
    <n v="0"/>
    <n v="0"/>
    <n v="3.0060606060606062E-2"/>
    <n v="248"/>
    <n v="8498"/>
    <n v="8600"/>
    <n v="350"/>
    <x v="49"/>
    <s v="2.40%-3.61%"/>
    <m/>
    <m/>
    <m/>
    <m/>
    <n v="0"/>
    <n v="8600"/>
    <n v="350"/>
    <n v="4.2424242424242475E-2"/>
    <n v="14"/>
    <n v="450"/>
    <m/>
    <n v="688"/>
    <n v="126488"/>
    <n v="2"/>
    <m/>
    <s v="Internal balance"/>
    <s v="Internal balance"/>
    <s v="Zhou Chuancui（1520041）"/>
    <s v="Shao Xiao（11018043）"/>
    <s v="Cheng Cheng"/>
    <m/>
    <m/>
    <m/>
    <s v="OK"/>
  </r>
  <r>
    <s v="CN15"/>
    <n v="15018916"/>
    <s v="申 萍"/>
    <s v="Shen Ping"/>
    <s v="Indirect Active"/>
    <s v="OP"/>
    <s v="SC"/>
    <s v="SNa-SC4MX"/>
    <s v="390501"/>
    <d v="2018-04-04T00:00:00"/>
    <s v="Supervisor"/>
    <s v="Head of SNa-SC4MX"/>
    <x v="0"/>
    <n v="2"/>
    <x v="1"/>
    <n v="14330"/>
    <n v="3.7500000000000006E-2"/>
    <n v="537"/>
    <n v="1.55E-2"/>
    <n v="222"/>
    <n v="5.2965806001395672E-2"/>
    <n v="759"/>
    <n v="15089"/>
    <n v="15089"/>
    <n v="759"/>
    <x v="40"/>
    <s v="4.24%-6.36%"/>
    <m/>
    <m/>
    <m/>
    <m/>
    <n v="0"/>
    <n v="15089"/>
    <n v="759"/>
    <n v="5.2965806001395777E-2"/>
    <n v="14"/>
    <n v="450"/>
    <m/>
    <n v="688"/>
    <n v="217334"/>
    <n v="4"/>
    <m/>
    <m/>
    <m/>
    <s v="Zhou Chuancui（1520041）"/>
    <s v="Shao Xiao（11018043）"/>
    <s v="Cheng Cheng"/>
    <m/>
    <m/>
    <m/>
    <s v="OK"/>
  </r>
  <r>
    <s v="CN15"/>
    <n v="15022000"/>
    <s v="王 听听"/>
    <s v="Wang Tingting"/>
    <s v="Indirect Active"/>
    <s v="OP"/>
    <s v="SC"/>
    <s v="SNa-SC4MM"/>
    <s v="390501"/>
    <d v="2021-11-10T00:00:00"/>
    <s v="Planner"/>
    <s v="Material planner"/>
    <x v="2"/>
    <n v="2"/>
    <x v="2"/>
    <n v="8432"/>
    <n v="2.5000000000000001E-2"/>
    <n v="211"/>
    <n v="0"/>
    <n v="0"/>
    <n v="2.502371916508539E-2"/>
    <n v="211"/>
    <n v="8643"/>
    <n v="8643"/>
    <n v="211"/>
    <x v="13"/>
    <s v="2.00%-3.00%"/>
    <m/>
    <m/>
    <m/>
    <m/>
    <n v="0"/>
    <n v="8643"/>
    <n v="211"/>
    <n v="2.5023719165085279E-2"/>
    <n v="14"/>
    <n v="450"/>
    <m/>
    <n v="688"/>
    <n v="127090"/>
    <n v="3"/>
    <m/>
    <m/>
    <m/>
    <s v="Zhou Chuancui（1520041）"/>
    <s v="Shao Xiao（11018043）"/>
    <s v="Cheng Cheng"/>
    <m/>
    <m/>
    <m/>
    <s v="OK"/>
  </r>
  <r>
    <s v="CN15"/>
    <n v="15006182"/>
    <s v="吴 晓峰"/>
    <s v="Wu Xiaofeng"/>
    <s v="Indirect Active"/>
    <s v="OP"/>
    <s v="SC"/>
    <s v="SNa-SC4MP"/>
    <s v="390501"/>
    <d v="2011-06-01T00:00:00"/>
    <s v="Senior Specialist"/>
    <s v="Senior Material Specialist"/>
    <x v="1"/>
    <n v="2"/>
    <x v="2"/>
    <n v="9780"/>
    <n v="0.03"/>
    <n v="293"/>
    <n v="0"/>
    <n v="0"/>
    <n v="2.9959100204498979E-2"/>
    <n v="293"/>
    <n v="10073"/>
    <n v="10073"/>
    <n v="293"/>
    <x v="11"/>
    <s v="2.40%-3.60%"/>
    <m/>
    <m/>
    <m/>
    <m/>
    <n v="0"/>
    <n v="10073"/>
    <n v="293"/>
    <n v="2.995910020449899E-2"/>
    <n v="14"/>
    <n v="450"/>
    <m/>
    <n v="688"/>
    <n v="147110"/>
    <n v="4"/>
    <m/>
    <m/>
    <m/>
    <s v="Zhou Chuancui（1520041）"/>
    <s v="Shao Xiao（11018043）"/>
    <s v="Cheng Cheng"/>
    <m/>
    <m/>
    <m/>
    <s v="OK"/>
  </r>
  <r>
    <s v="CN15"/>
    <n v="15003608"/>
    <s v="杨 小波"/>
    <s v="Yang Xiaobo"/>
    <s v="Indirect Active"/>
    <s v="OP"/>
    <s v="SC"/>
    <s v="SNa-SC4MX"/>
    <s v="390501"/>
    <d v="2010-04-08T00:00:00"/>
    <s v="Planner"/>
    <s v="Material Planner"/>
    <x v="2"/>
    <n v="2"/>
    <x v="2"/>
    <n v="9055"/>
    <n v="2.5000000000000001E-2"/>
    <n v="226"/>
    <n v="0"/>
    <n v="0"/>
    <n v="2.4958586416344561E-2"/>
    <n v="226"/>
    <n v="9281"/>
    <n v="9281"/>
    <n v="226"/>
    <x v="13"/>
    <s v="2.00%-3.00%"/>
    <m/>
    <m/>
    <m/>
    <m/>
    <n v="0"/>
    <n v="9281"/>
    <n v="226"/>
    <n v="2.495858641634463E-2"/>
    <n v="14"/>
    <n v="450"/>
    <m/>
    <n v="688"/>
    <n v="136022"/>
    <n v="3"/>
    <m/>
    <m/>
    <m/>
    <s v="Zhou Chuancui（1520041）"/>
    <s v="Shao Xiao（11018043）"/>
    <s v="Cheng Cheng"/>
    <m/>
    <m/>
    <m/>
    <s v="OK"/>
  </r>
  <r>
    <s v="CN15"/>
    <n v="15016766"/>
    <s v="张 玲玲"/>
    <s v="Zhang Lingling"/>
    <s v="Indirect Active"/>
    <s v="OP"/>
    <s v="SC"/>
    <s v="SNa-SC4MM"/>
    <s v="390501"/>
    <d v="2017-03-22T00:00:00"/>
    <s v="Senior Planner"/>
    <s v="Senior Material Planner"/>
    <x v="1"/>
    <n v="2"/>
    <x v="1"/>
    <n v="10250"/>
    <n v="3.7500000000000006E-2"/>
    <n v="384"/>
    <n v="1.55E-2"/>
    <n v="159"/>
    <n v="5.2975609756097559E-2"/>
    <n v="543"/>
    <n v="10793"/>
    <n v="11000"/>
    <n v="750"/>
    <x v="50"/>
    <s v="4.24%-6.36%"/>
    <m/>
    <m/>
    <m/>
    <m/>
    <n v="0"/>
    <n v="11000"/>
    <n v="750"/>
    <n v="7.3170731707317138E-2"/>
    <n v="14"/>
    <n v="450"/>
    <m/>
    <n v="688"/>
    <n v="160088"/>
    <n v="3"/>
    <m/>
    <s v="1._x0009_Excellent in managing e-mechanics suppliers, with significant contributions following the MP group consolidation._x000a_2._x0009_Leading SAP solutions in MP – Key deliverables:_x000a__x0009_Resolved inaccuracies in FCGNa chemical parts BOM. Collaborated with IT to adjust MRP (excluding stock of 100) to ensure smooth production. This solution is expected to be rolled out to other factories._x000a__x0009_Set up automated email reminders for planners to change MRP controllers from &quot;Series One&quot; to &quot;Phase-out&quot; or &quot;CS&quot; MRP controllers._x000a_3._x0009_Backup speaker role in FEDNa:_x000a__x0009_Served as SC MP lead for all new product projects in FEDNa, responsible for parts ordering and risk control._x000a__x0009_Acted as backup for Weiwei, handling all MP-related issues in FEDNa."/>
    <s v="Good performance/talent"/>
    <s v="Zhou Chuancui（1520041）"/>
    <s v="Shao Xiao（11018043）"/>
    <s v="Cheng Cheng"/>
    <m/>
    <m/>
    <m/>
    <s v="OK"/>
  </r>
  <r>
    <s v="CN15"/>
    <n v="15000227"/>
    <s v="张 强"/>
    <s v="Zhang Qiang"/>
    <s v="Indirect Active"/>
    <s v="OP"/>
    <s v="SC"/>
    <s v="SNa-SC4MX"/>
    <s v="390501"/>
    <d v="2005-09-19T00:00:00"/>
    <s v="Senior Planner"/>
    <s v="Senior Material Planner"/>
    <x v="1"/>
    <n v="2"/>
    <x v="2"/>
    <n v="13114"/>
    <n v="2.5000000000000001E-2"/>
    <n v="328"/>
    <n v="0"/>
    <n v="0"/>
    <n v="2.5011438157694067E-2"/>
    <n v="328"/>
    <n v="13442"/>
    <n v="13393"/>
    <n v="279"/>
    <x v="51"/>
    <s v="2.00%-3.00%"/>
    <m/>
    <m/>
    <m/>
    <m/>
    <n v="0"/>
    <n v="13393"/>
    <n v="279"/>
    <n v="2.1274973310965395E-2"/>
    <n v="14"/>
    <n v="450"/>
    <m/>
    <n v="688"/>
    <n v="193590"/>
    <n v="2"/>
    <m/>
    <m/>
    <m/>
    <s v="Zhou Chuancui（1520041）"/>
    <s v="Shao Xiao（11018043）"/>
    <s v="Cheng Cheng"/>
    <m/>
    <m/>
    <m/>
    <s v="OK"/>
  </r>
  <r>
    <s v="CN15"/>
    <n v="1120274"/>
    <s v="张 琴"/>
    <s v="Zhang Qin"/>
    <s v="Indirect Active"/>
    <s v="OP"/>
    <s v="SC"/>
    <s v="SNa-SC4MM"/>
    <s v="390501"/>
    <d v="2020-10-26T00:00:00"/>
    <s v="Specialist"/>
    <s v="Material Planning Specialist"/>
    <x v="2"/>
    <n v="2"/>
    <x v="2"/>
    <n v="8155"/>
    <n v="2.5000000000000001E-2"/>
    <n v="204"/>
    <n v="0"/>
    <n v="0"/>
    <n v="2.5015328019619865E-2"/>
    <n v="204"/>
    <n v="8359"/>
    <n v="8359"/>
    <n v="204"/>
    <x v="13"/>
    <s v="2.00%-3.00%"/>
    <m/>
    <m/>
    <m/>
    <m/>
    <n v="0"/>
    <n v="8359"/>
    <n v="204"/>
    <n v="2.501532801961992E-2"/>
    <n v="14"/>
    <n v="450"/>
    <m/>
    <n v="688"/>
    <n v="123114"/>
    <n v="3"/>
    <m/>
    <m/>
    <m/>
    <s v="Zhou Chuancui（1520041）"/>
    <s v="Shao Xiao（11018043）"/>
    <s v="Cheng Cheng"/>
    <m/>
    <m/>
    <m/>
    <s v="OK"/>
  </r>
  <r>
    <s v="CN15"/>
    <n v="15002550"/>
    <s v="周 维维"/>
    <s v="Zhou Weiwei"/>
    <s v="Indirect Active"/>
    <s v="OP"/>
    <s v="SC"/>
    <s v="SNa-SC4MM"/>
    <s v="390501"/>
    <d v="2009-07-01T00:00:00"/>
    <s v="Supervisor"/>
    <s v="Head of SNa-SC4MM"/>
    <x v="0"/>
    <n v="2"/>
    <x v="0"/>
    <n v="18800"/>
    <n v="0.04"/>
    <n v="752"/>
    <n v="0"/>
    <n v="0"/>
    <n v="0.04"/>
    <n v="752"/>
    <n v="19552"/>
    <n v="19425"/>
    <n v="625"/>
    <x v="52"/>
    <s v="3.20%-4.80%"/>
    <m/>
    <m/>
    <m/>
    <m/>
    <n v="0"/>
    <n v="19425"/>
    <n v="625"/>
    <n v="3.3244680851063801E-2"/>
    <n v="14"/>
    <n v="510"/>
    <m/>
    <n v="688"/>
    <n v="278758"/>
    <n v="5"/>
    <m/>
    <m/>
    <m/>
    <s v="Zhou Chuancui（1520041）"/>
    <s v="Shao Xiao（11018043）"/>
    <s v="Cheng Cheng"/>
    <m/>
    <m/>
    <m/>
    <s v="OK"/>
  </r>
  <r>
    <s v="CN15"/>
    <n v="15001696"/>
    <s v="刘 静"/>
    <s v="Liu Jing"/>
    <s v="Indirect Active"/>
    <s v="OP"/>
    <s v="SC"/>
    <s v="SNa-SC4"/>
    <s v="390500"/>
    <d v="2008-06-17T00:00:00"/>
    <s v="Supervisor"/>
    <s v="Project Management"/>
    <x v="0"/>
    <n v="2"/>
    <x v="1"/>
    <n v="14903"/>
    <n v="4.4999999999999998E-2"/>
    <n v="671"/>
    <n v="4.2099999999999999E-2"/>
    <n v="627"/>
    <n v="8.7096557740052344E-2"/>
    <n v="1298"/>
    <n v="16201"/>
    <n v="16000"/>
    <n v="1097"/>
    <x v="53"/>
    <s v="6.97%-10.45%"/>
    <m/>
    <m/>
    <m/>
    <m/>
    <n v="0"/>
    <n v="16000"/>
    <n v="1097"/>
    <n v="7.3609340401261436E-2"/>
    <n v="14"/>
    <n v="450"/>
    <m/>
    <n v="688"/>
    <n v="230088"/>
    <n v="3"/>
    <m/>
    <m/>
    <m/>
    <s v="Cao Xuelian（15020877）"/>
    <s v="Shao Xiao（11018043）"/>
    <s v="Cheng Cheng"/>
    <m/>
    <m/>
    <m/>
    <s v="OK"/>
  </r>
  <r>
    <s v="CN15"/>
    <n v="15020877"/>
    <s v="曹 雪莲"/>
    <s v="Cao Xuelian"/>
    <s v="Indirect Active"/>
    <s v="OP"/>
    <s v="SC"/>
    <s v="SNa-SC4"/>
    <s v="390500"/>
    <d v="2018-09-03T00:00:00"/>
    <s v="Senior Project Manager"/>
    <s v="Senior Project Manager"/>
    <x v="3"/>
    <n v="2"/>
    <x v="0"/>
    <n v="24381"/>
    <n v="0.05"/>
    <n v="1219"/>
    <n v="2.7E-2"/>
    <n v="658"/>
    <n v="7.6986177761371566E-2"/>
    <n v="1877"/>
    <n v="26258"/>
    <n v="26000"/>
    <n v="1619"/>
    <x v="54"/>
    <s v="6.16%-9.24%"/>
    <m/>
    <m/>
    <m/>
    <m/>
    <n v="0"/>
    <n v="26000"/>
    <n v="1619"/>
    <n v="6.6404167179360929E-2"/>
    <n v="14"/>
    <n v="450"/>
    <m/>
    <n v="688"/>
    <n v="370088"/>
    <n v="5"/>
    <m/>
    <m/>
    <m/>
    <s v="Pastirmaci Ali Kaan（1600047）"/>
    <s v="Shao Xiao（11018043）"/>
    <s v="Cheng Cheng"/>
    <m/>
    <m/>
    <m/>
    <s v="OK"/>
  </r>
  <r>
    <s v="CN15"/>
    <n v="15022628"/>
    <s v="蒋 陈君"/>
    <s v="Jiang Rebecca"/>
    <s v="Indirect Active"/>
    <s v="OP"/>
    <s v="SC"/>
    <s v="SNa-SC4L"/>
    <s v="390503"/>
    <d v="2025-07-01T00:00:00"/>
    <s v="Director"/>
    <s v="Head of SNa-SC4L"/>
    <x v="5"/>
    <n v="2"/>
    <x v="3"/>
    <n v="25500"/>
    <n v="0"/>
    <n v="0"/>
    <n v="0"/>
    <n v="0"/>
    <n v="0"/>
    <n v="0"/>
    <n v="25500"/>
    <n v="25750"/>
    <n v="250"/>
    <x v="55"/>
    <s v="0.00%-0.00%"/>
    <m/>
    <m/>
    <m/>
    <m/>
    <n v="0"/>
    <n v="25750"/>
    <n v="250"/>
    <n v="9.8039215686274161E-3"/>
    <n v="14"/>
    <n v="450"/>
    <n v="1000"/>
    <n v="688"/>
    <n v="378588"/>
    <e v="#N/A"/>
    <m/>
    <m/>
    <s v="Internal balance"/>
    <s v="Pastirmaci Ali Kaan（1600047）"/>
    <s v="Shao Xiao（11018043）"/>
    <s v="Cheng Cheng"/>
    <m/>
    <m/>
    <m/>
    <s v="&gt;20"/>
  </r>
  <r>
    <s v="CN15"/>
    <n v="51202404"/>
    <s v="周 宗尚"/>
    <s v="Zhou Zongshang"/>
    <s v="Indirect Active"/>
    <s v="OP"/>
    <s v="SC"/>
    <s v="SNa-SC4P"/>
    <s v="390502"/>
    <d v="2011-08-08T00:00:00"/>
    <s v="Manager"/>
    <s v="Head of Supply Fulfillment"/>
    <x v="3"/>
    <n v="2"/>
    <x v="2"/>
    <n v="29250"/>
    <n v="0"/>
    <n v="0"/>
    <n v="0"/>
    <n v="0"/>
    <n v="0"/>
    <n v="0"/>
    <n v="29250"/>
    <n v="29250"/>
    <n v="0"/>
    <x v="5"/>
    <s v="0.00%-0.00%"/>
    <m/>
    <m/>
    <m/>
    <m/>
    <n v="0"/>
    <n v="29250"/>
    <n v="0"/>
    <n v="0"/>
    <n v="14"/>
    <n v="1450"/>
    <m/>
    <n v="688"/>
    <n v="427588"/>
    <n v="3"/>
    <m/>
    <m/>
    <m/>
    <s v="Pastirmaci Ali Kaan（1600047）"/>
    <s v="Shao Xiao（11018043）"/>
    <s v="Cheng Cheng"/>
    <m/>
    <m/>
    <m/>
    <s v="OK"/>
  </r>
  <r>
    <s v="CN15"/>
    <n v="15000475"/>
    <s v="贾 涛"/>
    <s v="Jia Tao"/>
    <s v="Indirect Active"/>
    <s v="OP"/>
    <s v="SC"/>
    <s v="SNa-SC4L2"/>
    <s v="390503"/>
    <d v="2006-04-01T00:00:00"/>
    <s v="Supervisor"/>
    <s v="Head of Log. Value Stream FCGNa"/>
    <x v="0"/>
    <n v="2"/>
    <x v="1"/>
    <n v="14690"/>
    <n v="0.03"/>
    <n v="441"/>
    <n v="0"/>
    <n v="0"/>
    <n v="3.0020422055820287E-2"/>
    <n v="441"/>
    <n v="15131"/>
    <n v="15500"/>
    <n v="810"/>
    <x v="56"/>
    <s v="2.40%-3.60%"/>
    <m/>
    <m/>
    <m/>
    <m/>
    <n v="0"/>
    <n v="15500"/>
    <n v="810"/>
    <n v="5.5139550714772056E-2"/>
    <n v="14"/>
    <n v="450"/>
    <m/>
    <n v="688"/>
    <n v="223088"/>
    <n v="4"/>
    <m/>
    <s v="Good performance and high competence"/>
    <s v="Good performance and high potential"/>
    <s v="Jiang Rebecca（15022628）"/>
    <s v="Shao Xiao（11018043）"/>
    <s v="Zhao Chujun"/>
    <m/>
    <m/>
    <m/>
    <s v="&gt;20"/>
  </r>
  <r>
    <s v="CN15"/>
    <n v="15001515"/>
    <s v="贾 正欢"/>
    <s v="Jia Zhenghuan"/>
    <s v="Indirect Active"/>
    <s v="OP"/>
    <s v="SC"/>
    <s v="SNa-SC4LS"/>
    <s v="390505"/>
    <d v="2008-04-15T00:00:00"/>
    <s v="Team Leader"/>
    <s v="Scrapping Management"/>
    <x v="4"/>
    <n v="2"/>
    <x v="3"/>
    <n v="9185"/>
    <n v="0"/>
    <n v="0"/>
    <n v="0"/>
    <n v="0"/>
    <n v="0"/>
    <n v="0"/>
    <n v="9185"/>
    <n v="9185"/>
    <n v="0"/>
    <x v="5"/>
    <s v="0.00%-0.00%"/>
    <m/>
    <m/>
    <m/>
    <m/>
    <n v="0"/>
    <n v="9185"/>
    <n v="0"/>
    <n v="0"/>
    <n v="14"/>
    <n v="550"/>
    <m/>
    <n v="688"/>
    <n v="135878"/>
    <n v="3"/>
    <m/>
    <m/>
    <m/>
    <s v="Jiang Rebecca（15022628）"/>
    <s v="Shao Xiao（11018043）"/>
    <s v="Zhao Chujun"/>
    <m/>
    <m/>
    <m/>
    <s v="OK"/>
  </r>
  <r>
    <s v="CN15"/>
    <n v="15003602"/>
    <s v="李 桃"/>
    <s v="Li Tao"/>
    <s v="Indirect Active"/>
    <s v="OP"/>
    <s v="SC"/>
    <s v="SNa-SC4L"/>
    <s v="390503"/>
    <d v="2010-04-08T00:00:00"/>
    <s v="Supervisor"/>
    <s v="Supervisor"/>
    <x v="0"/>
    <n v="2"/>
    <x v="2"/>
    <n v="17784"/>
    <n v="0"/>
    <n v="0"/>
    <n v="0"/>
    <n v="0"/>
    <n v="0"/>
    <n v="0"/>
    <n v="17784"/>
    <n v="17784"/>
    <n v="0"/>
    <x v="5"/>
    <s v="0.00%-0.00%"/>
    <m/>
    <m/>
    <m/>
    <m/>
    <n v="0"/>
    <n v="17784"/>
    <n v="0"/>
    <n v="0"/>
    <n v="14"/>
    <n v="450"/>
    <m/>
    <n v="688"/>
    <n v="255064"/>
    <n v="3"/>
    <m/>
    <s v="Significantly enlarged responsibilities with proven performance"/>
    <m/>
    <s v="Jiang Rebecca（15022628）"/>
    <s v="Shao Xiao（11018043）"/>
    <s v="Zhao Chujun"/>
    <m/>
    <m/>
    <m/>
    <s v="OK"/>
  </r>
  <r>
    <s v="CN15"/>
    <n v="15002964"/>
    <s v="韦 帮金"/>
    <s v="Wei Bangjin"/>
    <s v="Indirect Active"/>
    <s v="OP"/>
    <s v="SC"/>
    <s v="SNa-SC4LS"/>
    <s v="390505"/>
    <d v="2009-10-08T00:00:00"/>
    <s v="Supervisor"/>
    <s v="Supervisor"/>
    <x v="0"/>
    <n v="2"/>
    <x v="2"/>
    <n v="13620"/>
    <n v="2.5000000000000001E-2"/>
    <n v="341"/>
    <n v="0"/>
    <n v="0"/>
    <n v="2.5036710719530102E-2"/>
    <n v="341"/>
    <n v="13961"/>
    <n v="13620"/>
    <n v="0"/>
    <x v="5"/>
    <s v="2.00%-3.00%"/>
    <m/>
    <m/>
    <m/>
    <m/>
    <n v="0"/>
    <n v="13620"/>
    <n v="0"/>
    <n v="0"/>
    <n v="14"/>
    <n v="450"/>
    <m/>
    <n v="688"/>
    <n v="196768"/>
    <n v="3"/>
    <m/>
    <s v="Discipline issue"/>
    <s v="Discipline issue"/>
    <s v="Jiang Rebecca（15022628）"/>
    <s v="Shao Xiao（11018043）"/>
    <s v="Zhao Chujun"/>
    <m/>
    <m/>
    <m/>
    <s v="0 increase"/>
  </r>
  <r>
    <s v="CN15"/>
    <n v="15014268"/>
    <s v="赵 雨田"/>
    <s v="Zhao Yutian"/>
    <s v="Indirect Active"/>
    <s v="OP"/>
    <s v="SC"/>
    <s v="SNa-SC4L1"/>
    <s v="390503"/>
    <d v="2015-07-01T00:00:00"/>
    <s v="Manager"/>
    <s v="Head of SNa-SC4L1"/>
    <x v="3"/>
    <n v="2"/>
    <x v="3"/>
    <n v="14047"/>
    <n v="0"/>
    <n v="0"/>
    <n v="0"/>
    <n v="0"/>
    <n v="0"/>
    <n v="0"/>
    <n v="14047"/>
    <n v="14047"/>
    <n v="0"/>
    <x v="5"/>
    <s v="0.00%-0.00%"/>
    <m/>
    <m/>
    <m/>
    <m/>
    <n v="0"/>
    <n v="14047"/>
    <n v="0"/>
    <n v="0"/>
    <n v="14"/>
    <n v="450"/>
    <m/>
    <n v="688"/>
    <n v="202746"/>
    <n v="5"/>
    <m/>
    <m/>
    <m/>
    <s v="Jiang Rebecca（15022628）"/>
    <s v="Shao Xiao（11018043）"/>
    <s v="Zhao Chujun"/>
    <m/>
    <m/>
    <m/>
    <s v="OK"/>
  </r>
  <r>
    <s v="CN15"/>
    <n v="15021808"/>
    <s v="陈 冬华"/>
    <s v="Chen Donghua"/>
    <s v="Indirect Active"/>
    <s v="OP"/>
    <s v="SC"/>
    <s v="SNa-SC4P"/>
    <s v="390502"/>
    <d v="2021-10-11T00:00:00"/>
    <s v="Senior Planner"/>
    <s v="Senior Planner"/>
    <x v="1"/>
    <n v="2"/>
    <x v="1"/>
    <n v="11375"/>
    <n v="0.03"/>
    <n v="341"/>
    <n v="0"/>
    <n v="0"/>
    <n v="2.9978021978021976E-2"/>
    <n v="341"/>
    <n v="11716"/>
    <n v="11700"/>
    <n v="325"/>
    <x v="57"/>
    <s v="2.40%-3.60%"/>
    <s v="Promotion"/>
    <s v="Functional Specialist"/>
    <s v="A6"/>
    <n v="0.05"/>
    <n v="569"/>
    <n v="12269"/>
    <n v="894"/>
    <n v="7.8593406593406634E-2"/>
    <n v="14"/>
    <n v="900"/>
    <m/>
    <n v="688"/>
    <n v="183254"/>
    <n v="4"/>
    <m/>
    <m/>
    <m/>
    <s v="Zhou Zongshang（51202404）"/>
    <s v="Shao Xiao（11018043）"/>
    <s v="Zhao Chujun"/>
    <m/>
    <m/>
    <m/>
    <s v="OK"/>
  </r>
  <r>
    <s v="CN15"/>
    <n v="15000708"/>
    <s v="马 巧珍"/>
    <s v="Ma Qiaozhen"/>
    <s v="Indirect Active"/>
    <s v="OP"/>
    <s v="SC"/>
    <s v="SNa-SC4P"/>
    <s v="390502"/>
    <d v="2006-10-18T00:00:00"/>
    <s v="Planner"/>
    <s v="Planner"/>
    <x v="2"/>
    <n v="2"/>
    <x v="2"/>
    <n v="8900"/>
    <n v="2.5000000000000001E-2"/>
    <n v="223"/>
    <n v="0"/>
    <n v="0"/>
    <n v="2.50561797752809E-2"/>
    <n v="223"/>
    <n v="9123"/>
    <n v="9103"/>
    <n v="203"/>
    <x v="58"/>
    <s v="2.00%-3.01%"/>
    <m/>
    <m/>
    <m/>
    <m/>
    <n v="0"/>
    <n v="9103"/>
    <n v="203"/>
    <n v="2.2808988764045024E-2"/>
    <n v="14"/>
    <n v="450"/>
    <m/>
    <n v="688"/>
    <n v="133530"/>
    <n v="3"/>
    <m/>
    <m/>
    <m/>
    <s v="Zhou Zongshang（51202404）"/>
    <s v="Shao Xiao（11018043）"/>
    <s v="Zhao Chujun"/>
    <m/>
    <m/>
    <m/>
    <s v="OK"/>
  </r>
  <r>
    <s v="CN15"/>
    <n v="11011058"/>
    <s v="望 倩倩"/>
    <s v="Wang Qianqian"/>
    <s v="Indirect Active"/>
    <s v="OP"/>
    <s v="SC"/>
    <s v="SNa-SC4P"/>
    <s v="390502"/>
    <d v="2014-06-23T00:00:00"/>
    <s v="Planner"/>
    <s v="Planner"/>
    <x v="2"/>
    <n v="2"/>
    <x v="2"/>
    <n v="8702"/>
    <n v="2.5000000000000001E-2"/>
    <n v="218"/>
    <n v="0"/>
    <n v="0"/>
    <n v="2.5051712250057458E-2"/>
    <n v="218"/>
    <n v="8920"/>
    <n v="8910"/>
    <n v="208"/>
    <x v="59"/>
    <s v="2.00%-3.01%"/>
    <m/>
    <m/>
    <m/>
    <m/>
    <n v="0"/>
    <n v="8910"/>
    <n v="208"/>
    <n v="2.3902551137669592E-2"/>
    <n v="14"/>
    <n v="510"/>
    <m/>
    <n v="688"/>
    <n v="131548"/>
    <n v="3"/>
    <m/>
    <m/>
    <m/>
    <s v="Zhou Zongshang（51202404）"/>
    <s v="Shao Xiao（11018043）"/>
    <s v="Zhao Chujun"/>
    <m/>
    <m/>
    <m/>
    <s v="OK"/>
  </r>
  <r>
    <s v="CN15"/>
    <n v="15000449"/>
    <s v="张 荣"/>
    <s v="Zhang Rong"/>
    <s v="Indirect Active"/>
    <s v="OP"/>
    <s v="SC"/>
    <s v="SNa-SC4P"/>
    <s v="390502"/>
    <d v="2006-04-01T00:00:00"/>
    <s v="Planner"/>
    <s v="Planner"/>
    <x v="2"/>
    <n v="2"/>
    <x v="2"/>
    <n v="7926"/>
    <n v="2.5000000000000001E-2"/>
    <n v="198"/>
    <n v="0"/>
    <n v="0"/>
    <n v="2.4981074943224831E-2"/>
    <n v="198"/>
    <n v="8124"/>
    <n v="8154"/>
    <n v="228"/>
    <x v="60"/>
    <s v="2.00%-3.00%"/>
    <m/>
    <m/>
    <m/>
    <m/>
    <n v="0"/>
    <n v="8154"/>
    <n v="228"/>
    <n v="2.8766086298258831E-2"/>
    <n v="14"/>
    <n v="510"/>
    <m/>
    <n v="688"/>
    <n v="120964"/>
    <n v="2"/>
    <m/>
    <m/>
    <m/>
    <s v="Zhou Zongshang（51202404）"/>
    <s v="Shao Xiao（11018043）"/>
    <s v="Zhao Chujun"/>
    <m/>
    <m/>
    <m/>
    <s v="OK"/>
  </r>
  <r>
    <s v="CN15"/>
    <n v="15005122"/>
    <s v="张 艺"/>
    <s v="Zhang Yi"/>
    <s v="Indirect Active"/>
    <s v="OP"/>
    <s v="SC"/>
    <s v="SNa-SC4P"/>
    <s v="390502"/>
    <d v="2011-12-21T00:00:00"/>
    <s v="Planner"/>
    <s v="Production Planner"/>
    <x v="2"/>
    <n v="2"/>
    <x v="1"/>
    <n v="7500"/>
    <n v="4.4999999999999998E-2"/>
    <n v="338"/>
    <n v="4.2099999999999999E-2"/>
    <n v="316"/>
    <n v="8.72E-2"/>
    <n v="654"/>
    <n v="8154"/>
    <n v="8154"/>
    <n v="654"/>
    <x v="61"/>
    <s v="6.98%-10.46%"/>
    <m/>
    <m/>
    <m/>
    <m/>
    <n v="0"/>
    <n v="8154"/>
    <n v="654"/>
    <n v="8.7199999999999944E-2"/>
    <n v="14"/>
    <n v="450"/>
    <m/>
    <n v="688"/>
    <n v="120244"/>
    <n v="3"/>
    <m/>
    <m/>
    <m/>
    <s v="Zhou Zongshang（51202404）"/>
    <s v="Shao Xiao（11018043）"/>
    <s v="Zhao Chujun"/>
    <m/>
    <m/>
    <m/>
    <s v="OK"/>
  </r>
  <r>
    <s v="CN15"/>
    <n v="15001412"/>
    <s v="陈 庆"/>
    <s v="Chen Qing"/>
    <s v="Indirect Active"/>
    <s v="OP"/>
    <s v="SC"/>
    <s v="SNa-SC4S"/>
    <s v="390504"/>
    <d v="2008-03-04T00:00:00"/>
    <s v="Expert (CN)"/>
    <s v="Expert (CN)"/>
    <x v="3"/>
    <n v="2"/>
    <x v="2"/>
    <n v="19240"/>
    <n v="0.03"/>
    <n v="577"/>
    <n v="0"/>
    <n v="0"/>
    <n v="2.9989604989604991E-2"/>
    <n v="577"/>
    <n v="19817"/>
    <n v="19817"/>
    <n v="577"/>
    <x v="11"/>
    <s v="2.40%-3.60%"/>
    <m/>
    <m/>
    <m/>
    <m/>
    <n v="0"/>
    <n v="19817"/>
    <n v="577"/>
    <n v="2.9989604989604901E-2"/>
    <n v="14"/>
    <n v="450"/>
    <m/>
    <n v="688"/>
    <n v="283526"/>
    <n v="4"/>
    <m/>
    <m/>
    <m/>
    <s v="Ma Ruiming（11007900）"/>
    <s v="Shao Xiao（11018043）"/>
    <s v="Wu Ellen"/>
    <m/>
    <m/>
    <m/>
    <s v="OK"/>
  </r>
  <r>
    <s v="CN15"/>
    <n v="11009910"/>
    <s v="陈 夏南"/>
    <s v="Chen Xianan"/>
    <s v="Indirect Active"/>
    <s v="OP"/>
    <s v="SC"/>
    <s v="SNa-SC4S"/>
    <s v="390504"/>
    <d v="2013-08-05T00:00:00"/>
    <s v="Engineer"/>
    <s v="Engineer"/>
    <x v="2"/>
    <n v="2"/>
    <x v="2"/>
    <n v="8533"/>
    <n v="0.03"/>
    <n v="256"/>
    <n v="0"/>
    <n v="0"/>
    <n v="3.0001171920778155E-2"/>
    <n v="256"/>
    <n v="8789"/>
    <n v="9000"/>
    <n v="467"/>
    <x v="62"/>
    <s v="2.40%-3.60%"/>
    <m/>
    <m/>
    <m/>
    <m/>
    <n v="0"/>
    <n v="9000"/>
    <n v="467"/>
    <n v="5.4728700339857106E-2"/>
    <n v="14"/>
    <n v="450"/>
    <m/>
    <n v="688"/>
    <n v="132088"/>
    <n v="3"/>
    <m/>
    <s v="Internal balance"/>
    <s v="Internal balance"/>
    <s v="Ma Ruiming（11007900）"/>
    <s v="Shao Xiao（11018043）"/>
    <s v="Wu Ellen"/>
    <m/>
    <m/>
    <m/>
    <s v="&gt;20"/>
  </r>
  <r>
    <s v="CN15"/>
    <n v="15002411"/>
    <s v="李 彬"/>
    <s v="Li Bin"/>
    <s v="Indirect Active"/>
    <s v="OP"/>
    <s v="SC"/>
    <s v="SNa-SC4S"/>
    <s v="390504"/>
    <d v="2009-06-04T00:00:00"/>
    <s v="Associate Expert (CN)"/>
    <s v="Associate Expert (C)"/>
    <x v="0"/>
    <n v="2"/>
    <x v="1"/>
    <n v="12700"/>
    <n v="4.4999999999999998E-2"/>
    <n v="572"/>
    <n v="4.2099999999999999E-2"/>
    <n v="535"/>
    <n v="8.7165354330708655E-2"/>
    <n v="1107"/>
    <n v="13807"/>
    <n v="13700"/>
    <n v="1000"/>
    <x v="63"/>
    <s v="6.97%-10.46%"/>
    <m/>
    <m/>
    <m/>
    <m/>
    <n v="0"/>
    <n v="13700"/>
    <n v="1000"/>
    <n v="7.8740157480315043E-2"/>
    <n v="14"/>
    <n v="450"/>
    <m/>
    <n v="688"/>
    <n v="197888"/>
    <n v="3"/>
    <m/>
    <m/>
    <m/>
    <s v="Ma Ruiming（11007900）"/>
    <s v="Shao Xiao（11018043）"/>
    <s v="Wu Ellen"/>
    <m/>
    <m/>
    <m/>
    <s v="OK"/>
  </r>
  <r>
    <s v="CN15"/>
    <n v="15016940"/>
    <s v="张 新萍"/>
    <s v="Zhang Xinping"/>
    <s v="Indirect Active"/>
    <s v="OP"/>
    <s v="SC"/>
    <s v="SNa-SC4S"/>
    <s v="390504"/>
    <d v="2017-04-05T00:00:00"/>
    <s v="Senior Engineer"/>
    <s v="Senior Engineer"/>
    <x v="1"/>
    <n v="2"/>
    <x v="2"/>
    <n v="11042"/>
    <n v="0.03"/>
    <n v="331"/>
    <n v="0"/>
    <n v="0"/>
    <n v="2.9976453541025176E-2"/>
    <n v="331"/>
    <n v="11373"/>
    <n v="11350"/>
    <n v="308"/>
    <x v="64"/>
    <s v="2.40%-3.60%"/>
    <m/>
    <m/>
    <m/>
    <m/>
    <n v="0"/>
    <n v="11350"/>
    <n v="308"/>
    <n v="2.7893497554790869E-2"/>
    <n v="14"/>
    <n v="450"/>
    <m/>
    <n v="688"/>
    <n v="164988"/>
    <n v="3"/>
    <m/>
    <m/>
    <m/>
    <s v="Ma Ruiming（11007900）"/>
    <s v="Shao Xiao（11018043）"/>
    <s v="Wu Ellen"/>
    <m/>
    <m/>
    <s v="&gt;20"/>
    <s v="OK"/>
  </r>
  <r>
    <s v="CN15"/>
    <n v="15014058"/>
    <s v="黄 岚萍"/>
    <s v="Huang Lanping"/>
    <s v="Indirect Active"/>
    <s v="OP"/>
    <s v="SNa"/>
    <s v="SNa-PS"/>
    <d v="2015-04-01T00:00:00"/>
    <s v="Expert (CN)"/>
    <s v="Expert (CN)"/>
    <s v="Expert (CN)"/>
    <x v="3"/>
    <n v="2"/>
    <x v="2"/>
    <n v="21411"/>
    <n v="2.5000000000000001E-2"/>
    <n v="535"/>
    <n v="0"/>
    <n v="0"/>
    <n v="2.4987156134697118E-2"/>
    <n v="535"/>
    <n v="21946"/>
    <n v="21946"/>
    <n v="535"/>
    <x v="13"/>
    <s v="2.00%-3.00%"/>
    <m/>
    <m/>
    <m/>
    <m/>
    <n v="0"/>
    <n v="21946"/>
    <n v="535"/>
    <n v="2.4987156134697042E-2"/>
    <n v="14"/>
    <n v="450"/>
    <m/>
    <n v="688"/>
    <n v="313332"/>
    <n v="4"/>
    <m/>
    <m/>
    <m/>
    <s v="Wang Ning（15001553）"/>
    <s v="Li Mingzhe（15018080）"/>
    <m/>
    <m/>
    <m/>
    <m/>
    <s v="OK"/>
  </r>
  <r>
    <s v="CN15"/>
    <n v="15021285"/>
    <s v="薛 挺"/>
    <s v="Xue Ting"/>
    <s v="Indirect Active"/>
    <s v="OP"/>
    <s v="SNa"/>
    <s v="SNa-PS"/>
    <d v="2014-06-03T00:00:00"/>
    <s v="Functional Specialist"/>
    <s v="Functional Specialist"/>
    <s v="Functional Specialist"/>
    <x v="0"/>
    <n v="2"/>
    <x v="2"/>
    <n v="16150"/>
    <n v="2.5000000000000001E-2"/>
    <n v="404"/>
    <n v="0"/>
    <n v="0"/>
    <n v="2.5015479876160991E-2"/>
    <n v="404"/>
    <n v="16554"/>
    <n v="16554"/>
    <n v="404"/>
    <x v="13"/>
    <s v="2.00%-3.00%"/>
    <m/>
    <m/>
    <m/>
    <m/>
    <n v="0"/>
    <n v="16554"/>
    <n v="404"/>
    <n v="2.501547987616104E-2"/>
    <n v="14"/>
    <n v="550"/>
    <m/>
    <n v="688"/>
    <n v="239044"/>
    <n v="3"/>
    <m/>
    <m/>
    <m/>
    <s v="Wang Ning（15001553）"/>
    <s v="Li Mingzhe（15018080）"/>
    <m/>
    <m/>
    <m/>
    <m/>
    <s v="OK"/>
  </r>
  <r>
    <s v="CN15"/>
    <n v="15000307"/>
    <s v="丁 旭东"/>
    <s v="Ding Xudong"/>
    <s v="Indirect Active"/>
    <s v="OP"/>
    <s v="SNa"/>
    <s v="FEDNa"/>
    <s v="370100"/>
    <d v="1997-04-01T00:00:00"/>
    <s v="Senior Director"/>
    <s v="Head of Factory Electr. Drives Nanjing"/>
    <x v="6"/>
    <n v="1"/>
    <x v="3"/>
    <n v="64900"/>
    <n v="0"/>
    <n v="0"/>
    <n v="0"/>
    <n v="0"/>
    <n v="0"/>
    <n v="0"/>
    <n v="64900"/>
    <n v="64900"/>
    <n v="0"/>
    <x v="5"/>
    <s v="0.00%-0.00%"/>
    <m/>
    <m/>
    <m/>
    <m/>
    <n v="0"/>
    <n v="64900"/>
    <n v="0"/>
    <n v="0"/>
    <n v="16"/>
    <n v="950"/>
    <m/>
    <n v="0"/>
    <n v="1049800"/>
    <n v="3"/>
    <m/>
    <m/>
    <m/>
    <s v="Chen Chao（15005032）"/>
    <s v="Chen Zhijian（11022209）"/>
    <m/>
    <m/>
    <m/>
    <m/>
    <s v="OK"/>
  </r>
  <r>
    <s v="CN15"/>
    <n v="11013657"/>
    <s v="马 元媛"/>
    <s v="Ma Yuanyuan"/>
    <s v="Indirect Active"/>
    <s v="OP"/>
    <s v="SNa"/>
    <s v="SNa"/>
    <s v="110900"/>
    <d v="2016-05-16T00:00:00"/>
    <s v="Assistant"/>
    <s v="Assistant"/>
    <x v="1"/>
    <n v="2"/>
    <x v="2"/>
    <n v="12813"/>
    <n v="0"/>
    <n v="0"/>
    <n v="0"/>
    <n v="0"/>
    <n v="0"/>
    <n v="0"/>
    <n v="12813"/>
    <n v="12813"/>
    <n v="0"/>
    <x v="5"/>
    <s v="0.00%-0.00%"/>
    <m/>
    <m/>
    <m/>
    <m/>
    <n v="0"/>
    <n v="12813"/>
    <n v="0"/>
    <n v="0"/>
    <n v="14"/>
    <n v="450"/>
    <m/>
    <n v="688"/>
    <n v="185470"/>
    <n v="3"/>
    <m/>
    <m/>
    <m/>
    <s v="Chen Chao（15005032）"/>
    <s v="Chen Zhijian（11022209）"/>
    <m/>
    <m/>
    <m/>
    <m/>
    <s v="OK"/>
  </r>
  <r>
    <s v="CN15"/>
    <n v="15001437"/>
    <s v="童 志峰"/>
    <s v="Tong Zhifeng"/>
    <s v="Indirect Active"/>
    <s v="OP"/>
    <s v="SNa"/>
    <s v="SNa-ME"/>
    <s v="390000"/>
    <d v="2008-03-11T00:00:00"/>
    <s v="Manager"/>
    <s v="Head of Manufacturing Engineering"/>
    <x v="3"/>
    <n v="2"/>
    <x v="2"/>
    <n v="27054"/>
    <n v="2.5000000000000001E-2"/>
    <n v="676"/>
    <n v="0"/>
    <n v="0"/>
    <n v="2.4987062911214608E-2"/>
    <n v="676"/>
    <n v="27730"/>
    <n v="27900"/>
    <n v="846"/>
    <x v="65"/>
    <s v="2.00%-3.00%"/>
    <m/>
    <m/>
    <m/>
    <m/>
    <n v="0"/>
    <n v="27900"/>
    <n v="846"/>
    <n v="3.1270791749833604E-2"/>
    <n v="14"/>
    <n v="450"/>
    <m/>
    <n v="688"/>
    <n v="396688"/>
    <n v="3"/>
    <m/>
    <m/>
    <m/>
    <s v="Chen Chao（15005032）"/>
    <s v="Chen Zhijian（11022209）"/>
    <m/>
    <m/>
    <m/>
    <m/>
    <s v="OK"/>
  </r>
  <r>
    <s v="CN15"/>
    <n v="15001553"/>
    <s v="汪 宁"/>
    <s v="Wang Ning"/>
    <s v="Indirect Active"/>
    <s v="OP"/>
    <s v="SNa"/>
    <s v="SNa-PS"/>
    <s v="390400"/>
    <d v="2008-04-22T00:00:00"/>
    <s v="Director"/>
    <s v="Head of Site Production System Nanjing"/>
    <x v="5"/>
    <n v="2"/>
    <x v="2"/>
    <n v="36880"/>
    <n v="0.03"/>
    <n v="1106"/>
    <n v="0"/>
    <n v="0"/>
    <n v="2.9989154013015183E-2"/>
    <n v="1106"/>
    <n v="37986"/>
    <n v="38000"/>
    <n v="1120"/>
    <x v="66"/>
    <s v="2.40%-3.60%"/>
    <m/>
    <m/>
    <m/>
    <m/>
    <n v="0"/>
    <n v="38000"/>
    <n v="1120"/>
    <n v="3.0368763557483636E-2"/>
    <n v="14"/>
    <n v="450"/>
    <n v="1000"/>
    <n v="688"/>
    <n v="550088"/>
    <n v="4"/>
    <m/>
    <m/>
    <m/>
    <s v="Chen Chao（15005032）"/>
    <s v="Chen Zhijian（11022209）"/>
    <m/>
    <m/>
    <m/>
    <m/>
    <s v="OK"/>
  </r>
  <r>
    <s v="CN15"/>
    <n v="15022352"/>
    <s v="姚 达"/>
    <s v="Yao Da"/>
    <s v="Indirect Active"/>
    <s v="OP"/>
    <s v="SNa"/>
    <s v="SNa-ES"/>
    <s v="290125"/>
    <d v="2023-07-19T00:00:00"/>
    <s v="Manager"/>
    <s v="Head of Environment and Safety"/>
    <x v="3"/>
    <n v="2"/>
    <x v="2"/>
    <n v="33000"/>
    <n v="0"/>
    <n v="0"/>
    <n v="0"/>
    <n v="0"/>
    <n v="0"/>
    <n v="0"/>
    <n v="33000"/>
    <n v="33000"/>
    <n v="0"/>
    <x v="5"/>
    <s v="0.00%-0.00%"/>
    <m/>
    <m/>
    <m/>
    <m/>
    <n v="0"/>
    <n v="33000"/>
    <n v="0"/>
    <n v="0"/>
    <n v="14"/>
    <n v="450"/>
    <m/>
    <n v="688"/>
    <n v="468088"/>
    <n v="2"/>
    <m/>
    <m/>
    <m/>
    <s v="Chen Chao（15005032）"/>
    <s v="Chen Zhijian（11022209）"/>
    <m/>
    <m/>
    <m/>
    <m/>
    <s v="OK"/>
  </r>
  <r>
    <s v="CN15"/>
    <n v="1110055"/>
    <s v="高 卿波"/>
    <s v="Gao Qingbo"/>
    <s v="Indirect Active"/>
    <s v="OP"/>
    <s v="GQM"/>
    <s v="GQM-SRCA"/>
    <s v="190601"/>
    <d v="2017-09-01T00:00:00"/>
    <s v="Manager"/>
    <s v="Head of Quality System, Calibration"/>
    <x v="3"/>
    <n v="2"/>
    <x v="2"/>
    <n v="16460"/>
    <n v="0.03"/>
    <n v="494"/>
    <n v="0"/>
    <n v="0"/>
    <n v="3.0012150668286757E-2"/>
    <n v="494"/>
    <n v="16954"/>
    <n v="16954"/>
    <n v="494"/>
    <x v="11"/>
    <s v="2.40%-3.60%"/>
    <m/>
    <m/>
    <m/>
    <m/>
    <n v="0"/>
    <n v="16954"/>
    <n v="494"/>
    <n v="3.0012150668286663E-2"/>
    <n v="14"/>
    <n v="850"/>
    <m/>
    <n v="688"/>
    <n v="248244"/>
    <n v="5"/>
    <m/>
    <m/>
    <m/>
    <s v="Subasi Gonca（15022750）"/>
    <s v="Mo Xiaohong（11005372）"/>
    <s v="Zhao Chujun"/>
    <m/>
    <m/>
    <m/>
    <s v="OK"/>
  </r>
  <r>
    <s v="CN15"/>
    <n v="15014470"/>
    <s v="高 文成"/>
    <s v="Gao Wencheng"/>
    <s v="Indirect Active"/>
    <s v="OP"/>
    <s v="GQM"/>
    <s v="GQM-SRCM"/>
    <s v="190601"/>
    <d v="2015-06-17T00:00:00"/>
    <s v="Expert (CN)"/>
    <s v="Expert (CN)"/>
    <x v="3"/>
    <n v="2"/>
    <x v="0"/>
    <n v="20837"/>
    <n v="0.05"/>
    <n v="1042"/>
    <n v="2.7E-2"/>
    <n v="563"/>
    <n v="7.7026443345971113E-2"/>
    <n v="1605"/>
    <n v="22442"/>
    <n v="22100"/>
    <n v="1263"/>
    <x v="67"/>
    <s v="6.16%-9.24%"/>
    <m/>
    <m/>
    <m/>
    <m/>
    <n v="0"/>
    <n v="22100"/>
    <n v="1263"/>
    <n v="6.0613332053558677E-2"/>
    <n v="14"/>
    <n v="450"/>
    <m/>
    <n v="688"/>
    <n v="315488"/>
    <n v="4"/>
    <m/>
    <s v="Internal balance"/>
    <s v="Internal balance"/>
    <s v="Subasi Gonca（15022750）"/>
    <s v="Mo Xiaohong（11005372）"/>
    <s v="Zhao Chujun"/>
    <m/>
    <m/>
    <m/>
    <s v="OK"/>
  </r>
  <r>
    <s v="CN15"/>
    <n v="15021980"/>
    <s v="高 夏君"/>
    <s v="Gao Xiajun"/>
    <s v="Indirect Active"/>
    <s v="OP"/>
    <s v="GQM"/>
    <s v="GQM-SRCM"/>
    <s v="190601"/>
    <d v="2021-11-17T00:00:00"/>
    <s v="Senior Engineer"/>
    <s v="Senior Quality Engineer"/>
    <x v="1"/>
    <n v="2"/>
    <x v="1"/>
    <n v="12851"/>
    <n v="0.03"/>
    <n v="386"/>
    <n v="0"/>
    <n v="0"/>
    <n v="3.0036573029336239E-2"/>
    <n v="386"/>
    <n v="13237"/>
    <n v="13237"/>
    <n v="386"/>
    <x v="11"/>
    <s v="2.40%-3.60%"/>
    <m/>
    <m/>
    <m/>
    <m/>
    <n v="0"/>
    <n v="13237"/>
    <n v="386"/>
    <n v="3.0036573029336155E-2"/>
    <n v="14"/>
    <n v="450"/>
    <m/>
    <n v="688"/>
    <n v="191406"/>
    <n v="3"/>
    <m/>
    <m/>
    <m/>
    <s v="Subasi Gonca（15022750）"/>
    <s v="Mo Xiaohong（11005372）"/>
    <s v="Zhao Chujun"/>
    <m/>
    <m/>
    <m/>
    <s v="OK"/>
  </r>
  <r>
    <s v="CN15"/>
    <n v="15016338"/>
    <s v="巩 银萍"/>
    <s v="Gong Yinping"/>
    <s v="Indirect Active"/>
    <s v="OP"/>
    <s v="GQM"/>
    <s v="GQM-SRCA"/>
    <s v="190601"/>
    <d v="2017-02-15T00:00:00"/>
    <s v="Senior Engineer"/>
    <s v="Senior Quality System Engineer"/>
    <x v="1"/>
    <n v="2"/>
    <x v="2"/>
    <n v="11999"/>
    <n v="2.5000000000000001E-2"/>
    <n v="300"/>
    <n v="0"/>
    <n v="0"/>
    <n v="2.5002083506958914E-2"/>
    <n v="300"/>
    <n v="12299"/>
    <n v="12299"/>
    <n v="300"/>
    <x v="13"/>
    <s v="2.00%-3.00%"/>
    <m/>
    <m/>
    <m/>
    <m/>
    <n v="0"/>
    <n v="12299"/>
    <n v="300"/>
    <n v="2.5002083506958872E-2"/>
    <n v="14"/>
    <n v="450"/>
    <m/>
    <n v="688"/>
    <n v="178274"/>
    <n v="3"/>
    <m/>
    <m/>
    <m/>
    <s v="Subasi Gonca（15022750）"/>
    <s v="Mo Xiaohong（11005372）"/>
    <s v="Zhao Chujun"/>
    <m/>
    <m/>
    <m/>
    <s v="OK"/>
  </r>
  <r>
    <s v="CN15"/>
    <n v="15022227"/>
    <s v="顾 瑜"/>
    <s v="Gu Yu"/>
    <s v="Indirect Active"/>
    <s v="OP"/>
    <s v="GQM"/>
    <s v="GQM-SRCM"/>
    <s v="190601"/>
    <d v="2011-03-08T00:00:00"/>
    <s v="Manager"/>
    <s v="Head of Quality Management Methodology"/>
    <x v="3"/>
    <n v="2"/>
    <x v="2"/>
    <n v="23093"/>
    <n v="2.5000000000000001E-2"/>
    <n v="577"/>
    <n v="0"/>
    <n v="0"/>
    <n v="2.4985926471225047E-2"/>
    <n v="577"/>
    <n v="23670"/>
    <n v="23670"/>
    <n v="577"/>
    <x v="13"/>
    <s v="2.00%-3.00%"/>
    <m/>
    <m/>
    <m/>
    <m/>
    <n v="0"/>
    <n v="23670"/>
    <n v="577"/>
    <n v="2.4985926471225106E-2"/>
    <n v="14"/>
    <n v="450"/>
    <m/>
    <n v="688"/>
    <n v="337468"/>
    <n v="3"/>
    <m/>
    <m/>
    <m/>
    <s v="Subasi Gonca（15022750）"/>
    <s v="Mo Xiaohong（11005372）"/>
    <s v="Zhao Chujun"/>
    <m/>
    <m/>
    <m/>
    <s v="OK"/>
  </r>
  <r>
    <s v="CN15"/>
    <n v="1211022"/>
    <s v="李 朝滋"/>
    <s v="Li Chaozi"/>
    <s v="Indirect Active"/>
    <s v="OP"/>
    <s v="GQM"/>
    <s v="GQM-CLC"/>
    <s v="110600"/>
    <d v="2008-07-01T00:00:00"/>
    <s v="Director"/>
    <s v="Head of Pro. Qua. Lifecycle Cooling"/>
    <x v="5"/>
    <n v="2"/>
    <x v="0"/>
    <n v="47636"/>
    <n v="0.05"/>
    <n v="2382"/>
    <n v="0"/>
    <n v="0"/>
    <n v="5.0004198505332102E-2"/>
    <n v="2382"/>
    <n v="50018"/>
    <n v="49550"/>
    <n v="1914"/>
    <x v="68"/>
    <s v="4.00%-6.00%"/>
    <m/>
    <m/>
    <m/>
    <m/>
    <n v="0"/>
    <n v="49550"/>
    <n v="1914"/>
    <n v="4.0179696028213918E-2"/>
    <n v="14"/>
    <n v="450"/>
    <n v="1000"/>
    <n v="688"/>
    <n v="711788"/>
    <n v="3"/>
    <m/>
    <m/>
    <m/>
    <s v="Subasi Gonca（15022750）"/>
    <s v="Mo Xiaohong（11005372）"/>
    <s v="Zhao Chujun"/>
    <m/>
    <m/>
    <m/>
    <s v="OK"/>
  </r>
  <r>
    <s v="CN15"/>
    <n v="15022148"/>
    <s v="李 晨"/>
    <s v="Li Chen"/>
    <s v="Indirect Active"/>
    <s v="OP"/>
    <s v="GQM"/>
    <s v="GQM-EDC"/>
    <s v="170600"/>
    <d v="2013-07-01T00:00:00"/>
    <s v="Director"/>
    <s v="Head of Electronics&amp;Drives Quality Manag"/>
    <x v="5"/>
    <n v="2"/>
    <x v="2"/>
    <n v="36037"/>
    <n v="2.5000000000000001E-2"/>
    <n v="901"/>
    <n v="0"/>
    <n v="0"/>
    <n v="2.5002081194328053E-2"/>
    <n v="901"/>
    <n v="36938"/>
    <n v="36760"/>
    <n v="723"/>
    <x v="69"/>
    <s v="2.00%-3.00%"/>
    <m/>
    <m/>
    <m/>
    <m/>
    <n v="0"/>
    <n v="36760"/>
    <n v="723"/>
    <n v="2.0062713322418713E-2"/>
    <n v="14"/>
    <n v="2450"/>
    <n v="1000"/>
    <n v="688"/>
    <n v="556728"/>
    <n v="4"/>
    <m/>
    <m/>
    <m/>
    <s v="Subasi Gonca（15022750）"/>
    <s v="Mo Xiaohong（11005372）"/>
    <s v="Zhao Chujun"/>
    <m/>
    <m/>
    <m/>
    <s v="OK"/>
  </r>
  <r>
    <s v="CN15"/>
    <n v="15002216"/>
    <s v="刘 宝翠"/>
    <s v="Liu Baocui"/>
    <s v="Indirect Active"/>
    <s v="OP"/>
    <s v="GQM"/>
    <s v="GQM-CGC"/>
    <s v="130600"/>
    <d v="2009-07-01T00:00:00"/>
    <s v="Director"/>
    <s v="Head of Pro. Qua. Lifecycle Cooking"/>
    <x v="5"/>
    <n v="2"/>
    <x v="2"/>
    <n v="40112"/>
    <n v="2.5000000000000001E-2"/>
    <n v="1003"/>
    <n v="0"/>
    <n v="0"/>
    <n v="2.5004986039090547E-2"/>
    <n v="1003"/>
    <n v="41115"/>
    <n v="41115"/>
    <n v="1003"/>
    <x v="13"/>
    <s v="2.00%-3.00%"/>
    <m/>
    <m/>
    <m/>
    <m/>
    <n v="0"/>
    <n v="41115"/>
    <n v="1003"/>
    <n v="2.5004986039090626E-2"/>
    <n v="14"/>
    <n v="450"/>
    <n v="1000"/>
    <n v="688"/>
    <n v="593698"/>
    <n v="4"/>
    <m/>
    <m/>
    <m/>
    <s v="Subasi Gonca（15022750）"/>
    <s v="Mo Xiaohong（11005372）"/>
    <s v="Zhao Chujun"/>
    <m/>
    <m/>
    <m/>
    <s v="OK"/>
  </r>
  <r>
    <s v="CN15"/>
    <n v="15014543"/>
    <s v="谭 晓丽"/>
    <s v="Tan Xiaoli"/>
    <s v="Indirect Active"/>
    <s v="OP"/>
    <s v="GQM"/>
    <s v="GQM-SRCM"/>
    <s v="190601"/>
    <d v="2015-07-08T00:00:00"/>
    <s v="Expert (CN)"/>
    <s v="Expert (CN)"/>
    <x v="3"/>
    <n v="2"/>
    <x v="3"/>
    <n v="17580"/>
    <n v="0"/>
    <n v="0"/>
    <n v="0"/>
    <n v="0"/>
    <n v="0"/>
    <n v="0"/>
    <n v="17580"/>
    <n v="17922"/>
    <n v="342"/>
    <x v="70"/>
    <s v="0.00%-0.00%"/>
    <m/>
    <m/>
    <m/>
    <m/>
    <n v="0"/>
    <n v="17922"/>
    <n v="342"/>
    <n v="1.945392491467568E-2"/>
    <n v="14"/>
    <n v="450"/>
    <m/>
    <n v="688"/>
    <n v="256996"/>
    <n v="5"/>
    <m/>
    <s v="in-direct PS coaching and suppot FLCNa PS to develop PS expert competence and overal cost saving more than 1M RMB."/>
    <s v="Good performance and high competence"/>
    <s v="Subasi Gonca（15022750）"/>
    <s v="Mo Xiaohong（11005372）"/>
    <s v="Zhao Chujun"/>
    <m/>
    <m/>
    <m/>
    <s v="&gt;20"/>
  </r>
  <r>
    <s v="CN15"/>
    <n v="15015270"/>
    <s v="唐 雅倩"/>
    <s v="Tang Yaqian"/>
    <s v="Indirect Active"/>
    <s v="OP"/>
    <s v="GQM"/>
    <s v="GQM-SRC"/>
    <s v="190601"/>
    <d v="2016-07-01T00:00:00"/>
    <s v="Director"/>
    <s v="Head of Shared Services"/>
    <x v="5"/>
    <n v="2"/>
    <x v="2"/>
    <n v="21000"/>
    <n v="3.5000000000000003E-2"/>
    <n v="735"/>
    <n v="0"/>
    <n v="0"/>
    <n v="3.5000000000000003E-2"/>
    <n v="735"/>
    <n v="21735"/>
    <n v="22500"/>
    <n v="1500"/>
    <x v="71"/>
    <s v="2.80%-4.20%"/>
    <m/>
    <m/>
    <m/>
    <m/>
    <n v="0"/>
    <n v="22500"/>
    <n v="1500"/>
    <n v="7.1428571428571397E-2"/>
    <n v="14"/>
    <n v="450"/>
    <n v="1000"/>
    <n v="688"/>
    <n v="333088"/>
    <n v="5"/>
    <m/>
    <s v="DPRC relations and CoNC ownership"/>
    <s v="Good performers with relatively lower salary"/>
    <s v="Subasi Gonca（15022750）"/>
    <s v="Mo Xiaohong（11005372）"/>
    <s v="Zhao Chujun"/>
    <m/>
    <m/>
    <m/>
    <s v="&gt;20"/>
  </r>
  <r>
    <s v="CN15"/>
    <n v="15022317"/>
    <s v="滕 璇"/>
    <s v="Teng Xuan"/>
    <s v="Indirect Active"/>
    <s v="OP"/>
    <s v="GQM"/>
    <s v="GQM-DSC"/>
    <s v="190604"/>
    <d v="2023-01-11T00:00:00"/>
    <s v="Engineer"/>
    <s v="Digital Quality Engineer"/>
    <x v="2"/>
    <n v="2"/>
    <x v="2"/>
    <n v="11824"/>
    <n v="0.03"/>
    <n v="355"/>
    <n v="0"/>
    <n v="0"/>
    <n v="3.0023680649526388E-2"/>
    <n v="355"/>
    <n v="12179"/>
    <n v="12179"/>
    <n v="355"/>
    <x v="11"/>
    <s v="2.40%-3.60%"/>
    <m/>
    <m/>
    <m/>
    <m/>
    <n v="0"/>
    <n v="12179"/>
    <n v="355"/>
    <n v="3.002368064952643E-2"/>
    <n v="14"/>
    <n v="450"/>
    <m/>
    <n v="688"/>
    <n v="176594"/>
    <n v="4"/>
    <m/>
    <m/>
    <m/>
    <s v="Subasi Gonca（15022750）"/>
    <s v="Mo Xiaohong（11005372）"/>
    <s v="Zhao Chujun"/>
    <m/>
    <m/>
    <m/>
    <s v="OK"/>
  </r>
  <r>
    <s v="CN15"/>
    <n v="15007283"/>
    <s v="吴 柳泉"/>
    <s v="Wu Liuquan"/>
    <s v="Indirect Active"/>
    <s v="OP"/>
    <s v="GQM"/>
    <s v="GQM-SRCA"/>
    <s v="190602"/>
    <d v="2012-08-01T00:00:00"/>
    <s v="Senior Engineer"/>
    <s v="Senior Engineer"/>
    <x v="1"/>
    <n v="2"/>
    <x v="2"/>
    <n v="9613"/>
    <n v="2.5000000000000001E-2"/>
    <n v="240"/>
    <n v="0"/>
    <n v="0"/>
    <n v="2.496619161552065E-2"/>
    <n v="240"/>
    <n v="9853"/>
    <n v="9853"/>
    <n v="240"/>
    <x v="13"/>
    <s v="2.00%-3.00%"/>
    <m/>
    <m/>
    <m/>
    <m/>
    <n v="0"/>
    <n v="9853"/>
    <n v="240"/>
    <n v="2.4966191615520605E-2"/>
    <n v="14"/>
    <n v="510"/>
    <m/>
    <n v="688"/>
    <n v="144750"/>
    <n v="3"/>
    <m/>
    <m/>
    <m/>
    <s v="Subasi Gonca（15022750）"/>
    <s v="Mo Xiaohong（11005372）"/>
    <s v="Zhao Chujun"/>
    <m/>
    <m/>
    <m/>
    <s v="OK"/>
  </r>
  <r>
    <s v="CN15"/>
    <n v="1705052"/>
    <s v="吴 翔"/>
    <s v="Wu Xiang"/>
    <s v="Indirect Active"/>
    <s v="OP"/>
    <s v="GQM"/>
    <s v="GQM-DSC"/>
    <s v="190604"/>
    <d v="2008-08-04T00:00:00"/>
    <s v="Engineer"/>
    <s v="Engineer"/>
    <x v="2"/>
    <n v="2"/>
    <x v="0"/>
    <n v="9678"/>
    <n v="0.06"/>
    <n v="581"/>
    <n v="7.7799999999999994E-2"/>
    <n v="753"/>
    <n v="0.13783839636288489"/>
    <n v="1334"/>
    <n v="11012"/>
    <n v="11012"/>
    <n v="1334"/>
    <x v="72"/>
    <s v="11.03%-16.54%"/>
    <s v="Promotion"/>
    <s v="senior engineer"/>
    <s v="A5"/>
    <n v="0.05"/>
    <n v="484"/>
    <n v="11496"/>
    <n v="1818"/>
    <n v="0.18784872907625538"/>
    <n v="14"/>
    <n v="450"/>
    <m/>
    <n v="688"/>
    <n v="167032"/>
    <n v="3"/>
    <m/>
    <s v="Has made outstanding contributions to the digital transformation of quality, personal skills and capabilities also got continuously developed and improved. At the same time, actively supported cross-departmental coordination work."/>
    <s v="Good performance and high potential"/>
    <s v="Subasi Gonca（15022750）"/>
    <s v="Mo Xiaohong（11005372）"/>
    <s v="Zhao Chujun"/>
    <m/>
    <m/>
    <m/>
    <s v="OK"/>
  </r>
  <r>
    <s v="CN15"/>
    <n v="1120271"/>
    <s v="夏 国超"/>
    <s v="Xia Guochao"/>
    <s v="Indirect Active"/>
    <s v="OP"/>
    <s v="GQM"/>
    <s v="GQM-PS"/>
    <s v="190605"/>
    <d v="2020-10-09T00:00:00"/>
    <s v="Engineer"/>
    <s v="Engineer of Product Safety"/>
    <x v="2"/>
    <n v="2"/>
    <x v="1"/>
    <n v="9350"/>
    <n v="3.7500000000000006E-2"/>
    <n v="351"/>
    <n v="1.55E-2"/>
    <n v="145"/>
    <n v="5.3048128342245988E-2"/>
    <n v="496"/>
    <n v="9846"/>
    <n v="9846"/>
    <n v="496"/>
    <x v="40"/>
    <s v="4.24%-6.37%"/>
    <s v="Promotion"/>
    <s v="senior engineer"/>
    <s v="A5"/>
    <n v="0.1"/>
    <n v="935"/>
    <n v="10781"/>
    <n v="1431"/>
    <n v="0.15304812834224601"/>
    <n v="14"/>
    <n v="450"/>
    <m/>
    <n v="688"/>
    <n v="157022"/>
    <n v="4"/>
    <m/>
    <s v="Joined BSH more than 6 years and participate GQM-PS from 2023 , professional on CTS investigation, NoTI and Nicrs testing, coordinating with internal and external for high market risk CTS and support the team to handle the case to avoid the potential risk. "/>
    <s v="Good performance and high competence"/>
    <s v="Subasi Gonca（15022750）"/>
    <s v="Mo Xiaohong（11005372）"/>
    <s v="Zhao Chujun"/>
    <m/>
    <m/>
    <m/>
    <s v="OK"/>
  </r>
  <r>
    <s v="CN15"/>
    <n v="1705030"/>
    <s v="谢 辉"/>
    <s v="Xie Hui"/>
    <s v="Indirect Active"/>
    <s v="OP"/>
    <s v="GQM"/>
    <s v="GQM-SRCA"/>
    <s v="190602"/>
    <d v="2008-08-04T00:00:00"/>
    <s v="Engineer"/>
    <s v="Calibration Engineer"/>
    <x v="2"/>
    <n v="2"/>
    <x v="2"/>
    <n v="7416"/>
    <n v="0.03"/>
    <n v="222"/>
    <n v="0"/>
    <n v="0"/>
    <n v="2.9935275080906147E-2"/>
    <n v="222"/>
    <n v="7638"/>
    <n v="7638"/>
    <n v="222"/>
    <x v="2"/>
    <s v="2.39%-3.59%"/>
    <m/>
    <m/>
    <m/>
    <m/>
    <n v="0"/>
    <n v="7638"/>
    <n v="222"/>
    <n v="2.9935275080906099E-2"/>
    <n v="14"/>
    <n v="450"/>
    <m/>
    <n v="688"/>
    <n v="113020"/>
    <n v="3"/>
    <m/>
    <m/>
    <m/>
    <s v="Subasi Gonca（15022750）"/>
    <s v="Mo Xiaohong（11005372）"/>
    <s v="Zhao Chujun"/>
    <m/>
    <m/>
    <m/>
    <s v="OK"/>
  </r>
  <r>
    <s v="CN15"/>
    <n v="15022704"/>
    <s v="徐 天驰"/>
    <s v="Xu Tianchi"/>
    <s v="Indirect Active"/>
    <s v="OP"/>
    <s v="GQM"/>
    <s v="GQM-SRCM"/>
    <s v="190601"/>
    <d v="2025-11-01T00:00:00"/>
    <s v="Expert (CN)"/>
    <s v="Expert (CN)"/>
    <x v="3"/>
    <n v="2"/>
    <x v="4"/>
    <n v="31350"/>
    <n v="0"/>
    <n v="0"/>
    <n v="0"/>
    <n v="0"/>
    <n v="0"/>
    <n v="0"/>
    <n v="31350"/>
    <n v="31350"/>
    <n v="0"/>
    <x v="5"/>
    <s v="0.00%-0.00%"/>
    <m/>
    <m/>
    <m/>
    <m/>
    <n v="0"/>
    <n v="31350"/>
    <n v="0"/>
    <n v="0"/>
    <n v="14"/>
    <n v="4212"/>
    <m/>
    <n v="688"/>
    <n v="490132"/>
    <e v="#N/A"/>
    <m/>
    <m/>
    <m/>
    <s v="Subasi Gonca（15022750）"/>
    <s v="Mo Xiaohong（11005372）"/>
    <s v="Zhao Chujun"/>
    <m/>
    <m/>
    <m/>
    <s v="OK"/>
  </r>
  <r>
    <s v="CN15"/>
    <n v="15014271"/>
    <s v="张 瑜"/>
    <s v="Zhang Yu"/>
    <s v="Indirect Active"/>
    <s v="OP"/>
    <s v="GQM"/>
    <s v="GQM-SRCC"/>
    <s v="190601"/>
    <d v="2015-04-15T00:00:00"/>
    <s v="Manager"/>
    <s v="Head of Data Analysis"/>
    <x v="3"/>
    <n v="2"/>
    <x v="1"/>
    <n v="25968"/>
    <n v="3.7500000000000006E-2"/>
    <n v="974"/>
    <n v="0"/>
    <n v="0"/>
    <n v="3.7507701786814542E-2"/>
    <n v="974"/>
    <n v="26942"/>
    <n v="26942"/>
    <n v="974"/>
    <x v="73"/>
    <s v="3.00%-4.50%"/>
    <m/>
    <m/>
    <m/>
    <m/>
    <n v="0"/>
    <n v="26942"/>
    <n v="974"/>
    <n v="3.7507701786814618E-2"/>
    <n v="14"/>
    <n v="450"/>
    <m/>
    <n v="688"/>
    <n v="383276"/>
    <n v="4"/>
    <m/>
    <m/>
    <m/>
    <s v="Subasi Gonca（15022750）"/>
    <s v="Mo Xiaohong（11005372）"/>
    <s v="Zhao Chujun"/>
    <m/>
    <m/>
    <m/>
    <s v="OK"/>
  </r>
  <r>
    <s v="CN15"/>
    <n v="1220053"/>
    <s v="钟 伟"/>
    <s v="Zhong Wei"/>
    <s v="Indirect Active"/>
    <s v="OP"/>
    <s v="GQM"/>
    <s v="GQM-DSC"/>
    <s v="190604"/>
    <d v="2010-05-04T00:00:00"/>
    <s v="Manager"/>
    <s v="Head of GQM-DSC"/>
    <x v="3"/>
    <n v="2"/>
    <x v="0"/>
    <n v="17686"/>
    <n v="0.06"/>
    <n v="1061"/>
    <n v="2.7E-2"/>
    <n v="478"/>
    <n v="8.7017980323419661E-2"/>
    <n v="1539"/>
    <n v="19225"/>
    <n v="19225"/>
    <n v="1539"/>
    <x v="14"/>
    <s v="6.96%-10.44%"/>
    <m/>
    <m/>
    <m/>
    <m/>
    <n v="0"/>
    <n v="19225"/>
    <n v="1539"/>
    <n v="8.7017980323419675E-2"/>
    <n v="14"/>
    <n v="900"/>
    <m/>
    <n v="688"/>
    <n v="280638"/>
    <n v="4"/>
    <m/>
    <m/>
    <m/>
    <s v="Subasi Gonca（15022750）"/>
    <s v="Mo Xiaohong（11005372）"/>
    <s v="Zhao Chujun"/>
    <m/>
    <m/>
    <m/>
    <s v="OK"/>
  </r>
  <r>
    <s v="CN15"/>
    <n v="15010791"/>
    <s v="祝 晨"/>
    <s v="Zhu Chen"/>
    <s v="Indirect Active"/>
    <s v="OP"/>
    <s v="GQM"/>
    <s v="GQM-LCC"/>
    <s v="140600"/>
    <d v="2013-06-18T00:00:00"/>
    <s v="Director"/>
    <s v="Head of Pro. Qua. Lifecycle Laundry Care"/>
    <x v="5"/>
    <n v="2"/>
    <x v="0"/>
    <n v="41560"/>
    <n v="0.05"/>
    <n v="2078"/>
    <n v="2.7E-2"/>
    <n v="1122"/>
    <n v="7.6997112608277185E-2"/>
    <n v="3200"/>
    <n v="44760"/>
    <n v="44055"/>
    <n v="2495"/>
    <x v="74"/>
    <s v="6.16%-9.24%"/>
    <m/>
    <m/>
    <m/>
    <m/>
    <n v="0"/>
    <n v="44055"/>
    <n v="2495"/>
    <n v="6.0033686236766082E-2"/>
    <n v="14"/>
    <n v="450"/>
    <n v="1000"/>
    <n v="688"/>
    <n v="634858"/>
    <n v="5"/>
    <m/>
    <s v="Internal balance"/>
    <s v="Internal balance"/>
    <s v="Subasi Gonca（15022750）"/>
    <s v="Mo Xiaohong（11005372）"/>
    <s v="Zhao Chujun"/>
    <m/>
    <m/>
    <m/>
    <s v="OK"/>
  </r>
  <r>
    <s v="CN15"/>
    <n v="1120294"/>
    <s v="王 磊"/>
    <s v="Wang Lei"/>
    <s v="Indirect Active"/>
    <s v="OP"/>
    <s v="GQM"/>
    <s v="GQM-SRCC"/>
    <s v="190601"/>
    <d v="2021-02-08T00:00:00"/>
    <s v="Senior Engineer"/>
    <s v="Senior Engineer"/>
    <x v="1"/>
    <n v="2"/>
    <x v="2"/>
    <n v="12596"/>
    <n v="2.5000000000000001E-2"/>
    <n v="315"/>
    <n v="0"/>
    <n v="0"/>
    <n v="2.500793902826294E-2"/>
    <n v="315"/>
    <n v="12911"/>
    <n v="12911"/>
    <n v="315"/>
    <x v="13"/>
    <s v="2.00%-3.00%"/>
    <m/>
    <m/>
    <m/>
    <m/>
    <n v="0"/>
    <n v="12911"/>
    <n v="315"/>
    <n v="2.5007939028262927E-2"/>
    <n v="14"/>
    <n v="1850"/>
    <m/>
    <n v="688"/>
    <n v="203642"/>
    <n v="4"/>
    <m/>
    <m/>
    <m/>
    <s v="Subasi Gonca（15022750）"/>
    <s v="Mo Xiaohong（11005372）"/>
    <s v="Zhao Chujun"/>
    <m/>
    <m/>
    <m/>
    <s v="OK"/>
  </r>
  <r>
    <s v="CN15"/>
    <n v="1120363"/>
    <s v="王 虎"/>
    <s v="Wang Hu"/>
    <s v="Indirect Active"/>
    <s v="OP"/>
    <s v="GQM"/>
    <s v="FDCCh-QM"/>
    <s v="320600"/>
    <d v="2021-11-24T00:00:00"/>
    <s v="Engineer"/>
    <s v="Engineer of Lifecyc Quality"/>
    <x v="2"/>
    <n v="2"/>
    <x v="2"/>
    <n v="8917"/>
    <n v="0.03"/>
    <n v="268"/>
    <n v="0"/>
    <n v="0"/>
    <n v="3.0054951216776944E-2"/>
    <n v="268"/>
    <n v="9185"/>
    <n v="9185"/>
    <n v="268"/>
    <x v="75"/>
    <s v="2.40%-3.61%"/>
    <m/>
    <m/>
    <m/>
    <m/>
    <n v="0"/>
    <n v="9185"/>
    <n v="268"/>
    <n v="3.0054951216776926E-2"/>
    <n v="14"/>
    <n v="450"/>
    <m/>
    <n v="688"/>
    <n v="134678"/>
    <n v="3"/>
    <m/>
    <m/>
    <m/>
    <s v="Subasi Gonca（15022750）"/>
    <s v="Mo Xiaohong（11005372）"/>
    <s v="Zhao Chujun"/>
    <m/>
    <m/>
    <m/>
    <s v="OK"/>
  </r>
  <r>
    <s v="CN15"/>
    <n v="1211016"/>
    <s v="詹 步琴"/>
    <s v="Zhan Buqin"/>
    <s v="Indirect Active"/>
    <s v="OP"/>
    <s v="GQM"/>
    <s v="GQM-SRCA"/>
    <s v="190601"/>
    <d v="2004-01-13T00:00:00"/>
    <s v="Engineer"/>
    <s v="Engineer of Calibration"/>
    <x v="2"/>
    <n v="2"/>
    <x v="1"/>
    <n v="8558"/>
    <n v="3.7500000000000006E-2"/>
    <n v="321"/>
    <n v="1.55E-2"/>
    <n v="133"/>
    <n v="5.3049777985510631E-2"/>
    <n v="454"/>
    <n v="9012"/>
    <n v="9012"/>
    <n v="454"/>
    <x v="40"/>
    <s v="4.24%-6.37%"/>
    <s v="Promotion"/>
    <s v="senior engineer"/>
    <s v="A5"/>
    <n v="0.1"/>
    <n v="856"/>
    <n v="9868"/>
    <n v="1310"/>
    <n v="0.15307314793175975"/>
    <n v="14"/>
    <n v="450"/>
    <m/>
    <n v="688"/>
    <n v="144240"/>
    <n v="4"/>
    <m/>
    <s v="Worked in BSH more than 20 years and professional in internal &amp; external calibration, total cost saving more than 2M RMB for BSH. She is supporting Qingbo for calibration strategy project from 2026, total saving arrived 330K RMB. "/>
    <s v="Good performance and high competence"/>
    <s v="Subasi Gonca（15022750）"/>
    <s v="Mo Xiaohong（11005372）"/>
    <s v="Zhao Chujun"/>
    <m/>
    <m/>
    <m/>
    <s v="OK"/>
  </r>
  <r>
    <s v="CN15"/>
    <n v="15014438"/>
    <s v="郭 雨薇"/>
    <s v="Guo Yuwei"/>
    <s v="Indirect Active"/>
    <s v="OP"/>
    <s v="GQM"/>
    <s v="GQM-DCC"/>
    <s v="120600"/>
    <d v="2015-06-01T00:00:00"/>
    <s v="Director"/>
    <s v="Head of Pro. Qua. Lifecycle Dish Care"/>
    <x v="5"/>
    <n v="2"/>
    <x v="2"/>
    <n v="22367"/>
    <n v="3.5000000000000003E-2"/>
    <n v="783"/>
    <n v="0"/>
    <n v="0"/>
    <n v="3.5006929852014125E-2"/>
    <n v="783"/>
    <n v="23150"/>
    <n v="23754"/>
    <n v="1387"/>
    <x v="76"/>
    <s v="2.80%-4.20%"/>
    <m/>
    <m/>
    <m/>
    <m/>
    <n v="0"/>
    <n v="23754"/>
    <n v="1387"/>
    <n v="6.201099834577728E-2"/>
    <n v="14"/>
    <n v="3950"/>
    <n v="1000"/>
    <n v="688"/>
    <n v="392644"/>
    <n v="3"/>
    <m/>
    <s v="KPI achievement of Dish Category and CoNC CS benchmark initiatives like *installation finding&quot; in PQM"/>
    <s v="Good performers with relatively lower salary"/>
    <s v="Subasi Gonca（15022750）"/>
    <s v="Mo Xiaohong（11005372）"/>
    <s v="Zhao Chujun"/>
    <m/>
    <m/>
    <m/>
    <s v="&gt;20"/>
  </r>
  <r>
    <s v="CN15"/>
    <n v="15022724"/>
    <s v="王 锐芃"/>
    <s v="Wang Ruipeng"/>
    <s v="Indirect Active"/>
    <s v="OP"/>
    <s v="GQM"/>
    <s v="GQM-PS"/>
    <s v="190605"/>
    <d v="2025-12-10T00:00:00"/>
    <s v="Engineer"/>
    <s v="Product Safety Engineer"/>
    <x v="2"/>
    <n v="2"/>
    <x v="4"/>
    <n v="7700"/>
    <n v="0.03"/>
    <n v="231"/>
    <n v="0"/>
    <n v="0"/>
    <n v="0.03"/>
    <n v="231"/>
    <n v="7931"/>
    <n v="7931"/>
    <n v="231"/>
    <x v="11"/>
    <s v="2.40%-3.60%"/>
    <m/>
    <m/>
    <m/>
    <m/>
    <n v="0"/>
    <n v="7931"/>
    <n v="231"/>
    <n v="3.0000000000000027E-2"/>
    <n v="14"/>
    <n v="450"/>
    <m/>
    <n v="688"/>
    <n v="117122"/>
    <e v="#N/A"/>
    <m/>
    <m/>
    <m/>
    <s v="Subasi Gonca（15022750）"/>
    <s v="Mo Xiaohong（11005372）"/>
    <s v="Zhao Chujun"/>
    <m/>
    <m/>
    <m/>
    <s v="OK"/>
  </r>
  <r>
    <s v="CN15"/>
    <n v="1120205"/>
    <s v="董 超"/>
    <s v="Dong Chao"/>
    <s v="Indirect Active"/>
    <s v="OP"/>
    <s v="GQM"/>
    <s v="GQM-DCCT"/>
    <s v="120600"/>
    <d v="2018-03-14T00:00:00"/>
    <s v="Functional Specialist"/>
    <s v="Functional Specialist"/>
    <x v="0"/>
    <n v="2"/>
    <x v="2"/>
    <n v="13223"/>
    <n v="0.03"/>
    <n v="397"/>
    <n v="0"/>
    <n v="0"/>
    <n v="3.002344399909249E-2"/>
    <n v="397"/>
    <n v="13620"/>
    <n v="13620"/>
    <n v="397"/>
    <x v="11"/>
    <s v="2.40%-3.60%"/>
    <m/>
    <m/>
    <m/>
    <m/>
    <n v="0"/>
    <n v="13620"/>
    <n v="397"/>
    <n v="3.0023443999092514E-2"/>
    <n v="14"/>
    <n v="450"/>
    <m/>
    <n v="688"/>
    <n v="196768"/>
    <n v="5"/>
    <m/>
    <m/>
    <m/>
    <s v="Guo Yuwei （15014438）"/>
    <s v="Mo Xiaohong（11005372）"/>
    <s v="Cheng Cheng"/>
    <m/>
    <m/>
    <m/>
    <s v="OK"/>
  </r>
  <r>
    <s v="CN15"/>
    <n v="1711036"/>
    <s v="王 杰"/>
    <s v="Wang Jie"/>
    <s v="Indirect Active"/>
    <s v="OP"/>
    <s v="GQM"/>
    <s v="GQM-DCCT"/>
    <s v="120600"/>
    <d v="2014-06-24T00:00:00"/>
    <s v="Engineer"/>
    <s v="Engineer"/>
    <x v="2"/>
    <n v="2"/>
    <x v="3"/>
    <n v="7483"/>
    <n v="0"/>
    <n v="0"/>
    <n v="0"/>
    <n v="0"/>
    <n v="0"/>
    <n v="0"/>
    <n v="7483"/>
    <n v="7483"/>
    <n v="0"/>
    <x v="5"/>
    <s v="0.00%-0.00%"/>
    <m/>
    <m/>
    <m/>
    <m/>
    <n v="0"/>
    <n v="7483"/>
    <n v="0"/>
    <n v="0"/>
    <n v="14"/>
    <n v="450"/>
    <m/>
    <n v="688"/>
    <n v="110850"/>
    <n v="2"/>
    <m/>
    <m/>
    <m/>
    <s v="Guo Yuwei （15014438）"/>
    <s v="Mo Xiaohong（11005372）"/>
    <s v="Cheng Cheng"/>
    <m/>
    <m/>
    <m/>
    <s v="OK"/>
  </r>
  <r>
    <s v="CN15"/>
    <n v="15021061"/>
    <s v="葛 亮"/>
    <s v="Ge Liang"/>
    <s v="Indirect Active"/>
    <s v="OP"/>
    <s v="GQM"/>
    <s v="GQM-DCCT"/>
    <s v="120600"/>
    <d v="2021-03-24T00:00:00"/>
    <s v="Supervisor"/>
    <s v="Head of GQM-DCCT"/>
    <x v="0"/>
    <n v="2"/>
    <x v="1"/>
    <n v="14753"/>
    <n v="3.7500000000000006E-2"/>
    <n v="553"/>
    <n v="1.55E-2"/>
    <n v="229"/>
    <n v="5.300616823696875E-2"/>
    <n v="782"/>
    <n v="15535"/>
    <n v="15378"/>
    <n v="625"/>
    <x v="49"/>
    <s v="4.24%-6.36%"/>
    <m/>
    <m/>
    <m/>
    <m/>
    <n v="0"/>
    <n v="15378"/>
    <n v="625"/>
    <n v="4.2364264895275561E-2"/>
    <n v="14"/>
    <n v="4250"/>
    <m/>
    <n v="688"/>
    <n v="266980"/>
    <n v="4"/>
    <m/>
    <m/>
    <m/>
    <s v="Guo Yuwei （15014438）"/>
    <s v="Mo Xiaohong（11005372）"/>
    <s v="Cheng Cheng"/>
    <m/>
    <m/>
    <m/>
    <s v="OK"/>
  </r>
  <r>
    <s v="CN15"/>
    <n v="15021228"/>
    <s v="盛 天然"/>
    <s v="Sheng Tianran"/>
    <s v="Indirect Active"/>
    <s v="OP"/>
    <s v="GQM"/>
    <s v="GQM-DCC"/>
    <s v="120600"/>
    <d v="2021-04-14T00:00:00"/>
    <s v="Engineer"/>
    <s v="Project Quality Engineer"/>
    <x v="2"/>
    <n v="2"/>
    <x v="1"/>
    <n v="8306"/>
    <n v="3.7500000000000006E-2"/>
    <n v="311"/>
    <n v="1.55E-2"/>
    <n v="129"/>
    <n v="5.2973753912834098E-2"/>
    <n v="440"/>
    <n v="8746"/>
    <n v="8350"/>
    <n v="44"/>
    <x v="77"/>
    <s v="4.24%-6.36%"/>
    <s v="Promotion"/>
    <s v="senior engineer"/>
    <s v="A5"/>
    <n v="7.2599999999999998E-2"/>
    <n v="603"/>
    <n v="8953"/>
    <n v="647"/>
    <n v="7.7895497230917377E-2"/>
    <n v="14"/>
    <n v="450"/>
    <m/>
    <n v="688"/>
    <n v="131430"/>
    <n v="3"/>
    <m/>
    <s v="Promote from engineer to senior engineer. 1. Act as Q lead of GV650AX.3CN &amp; GV650AX.6CN projects to achieve very good quality KPI and launch performance. 2. Act as Q lead of dishwasher Taiwan project, first export product,  5 months ealier than normal VAVO project."/>
    <s v="Combined with promotion"/>
    <s v="Guo Yuwei （15014438）"/>
    <s v="Mo Xiaohong（11005372）"/>
    <s v="Cheng Cheng"/>
    <m/>
    <m/>
    <m/>
    <s v="&lt;20"/>
  </r>
  <r>
    <s v="CN15"/>
    <n v="1112092"/>
    <s v="袁 传宝"/>
    <s v="Yuan Chuanbao"/>
    <s v="Indirect Active"/>
    <s v="OP"/>
    <s v="GQM"/>
    <s v="FDCCh-QMS"/>
    <s v="320601"/>
    <d v="2000-07-28T00:00:00"/>
    <s v="Senior Engineer"/>
    <s v="Senior Engineer of Quality"/>
    <x v="1"/>
    <n v="2"/>
    <x v="2"/>
    <n v="11741"/>
    <n v="2.5000000000000001E-2"/>
    <n v="294"/>
    <n v="0"/>
    <n v="0"/>
    <n v="2.5040456519887573E-2"/>
    <n v="294"/>
    <n v="12035"/>
    <n v="11976"/>
    <n v="235"/>
    <x v="36"/>
    <s v="2.00%-3.00%"/>
    <m/>
    <m/>
    <m/>
    <m/>
    <n v="0"/>
    <n v="11976"/>
    <n v="235"/>
    <n v="2.0015330891746785E-2"/>
    <n v="14"/>
    <n v="450"/>
    <m/>
    <n v="688"/>
    <n v="173752"/>
    <n v="3"/>
    <m/>
    <m/>
    <m/>
    <s v="Guo Yuwei （15014438）"/>
    <s v="Mo Xiaohong（11005372）"/>
    <s v="Cheng Cheng"/>
    <m/>
    <m/>
    <m/>
    <s v="OK"/>
  </r>
  <r>
    <s v="CN15"/>
    <n v="1120096"/>
    <s v="陈 立"/>
    <s v="Chen Li"/>
    <s v="Indirect Active"/>
    <s v="OP"/>
    <s v="GQM"/>
    <s v="FDCCh-QMS"/>
    <s v="320601"/>
    <d v="2005-10-01T00:00:00"/>
    <s v="Engineer"/>
    <s v="Engineer"/>
    <x v="2"/>
    <n v="2"/>
    <x v="2"/>
    <n v="10072"/>
    <n v="2.5000000000000001E-2"/>
    <n v="252"/>
    <n v="0"/>
    <n v="0"/>
    <n v="2.5019857029388404E-2"/>
    <n v="252"/>
    <n v="10324"/>
    <n v="10273"/>
    <n v="201"/>
    <x v="36"/>
    <s v="2.00%-3.00%"/>
    <m/>
    <m/>
    <m/>
    <m/>
    <n v="0"/>
    <n v="10273"/>
    <n v="201"/>
    <n v="1.995631453534541E-2"/>
    <n v="14"/>
    <n v="450"/>
    <m/>
    <n v="688"/>
    <n v="149910"/>
    <n v="3"/>
    <m/>
    <m/>
    <m/>
    <s v="Guo Yuwei （15014438）"/>
    <s v="Mo Xiaohong（11005372）"/>
    <s v="Cheng Cheng"/>
    <m/>
    <m/>
    <m/>
    <s v="OK"/>
  </r>
  <r>
    <s v="CN15"/>
    <n v="1120315"/>
    <s v="武 文敏"/>
    <s v="Wu Wenmin"/>
    <s v="Indirect Active"/>
    <s v="OP"/>
    <s v="GQM"/>
    <s v="FDCCh-QMS"/>
    <s v="320601"/>
    <d v="2021-05-07T00:00:00"/>
    <s v="Supervisor"/>
    <s v="Head of FDCCh-QMS"/>
    <x v="0"/>
    <n v="2"/>
    <x v="0"/>
    <n v="14434"/>
    <n v="0.05"/>
    <n v="722"/>
    <n v="2.7E-2"/>
    <n v="390"/>
    <n v="7.7040321463211867E-2"/>
    <n v="1112"/>
    <n v="15546"/>
    <n v="15330"/>
    <n v="896"/>
    <x v="78"/>
    <s v="6.16%-9.24%"/>
    <m/>
    <m/>
    <m/>
    <m/>
    <n v="0"/>
    <n v="15330"/>
    <n v="896"/>
    <n v="6.2075654704170757E-2"/>
    <n v="14"/>
    <n v="450"/>
    <m/>
    <n v="688"/>
    <n v="220708"/>
    <n v="4"/>
    <m/>
    <m/>
    <m/>
    <s v="Guo Yuwei （15014438）"/>
    <s v="Mo Xiaohong（11005372）"/>
    <s v="Cheng Cheng"/>
    <m/>
    <m/>
    <m/>
    <s v="OK"/>
  </r>
  <r>
    <s v="CN15"/>
    <n v="1706001"/>
    <s v="王 武"/>
    <s v="Wang Wu"/>
    <s v="Indirect Active"/>
    <s v="OP"/>
    <s v="GQM"/>
    <s v="FDCCh-QMS"/>
    <s v="320601"/>
    <d v="2009-07-29T00:00:00"/>
    <s v="Engineer"/>
    <s v="Engineer"/>
    <x v="2"/>
    <n v="2"/>
    <x v="2"/>
    <n v="8741"/>
    <n v="0.03"/>
    <n v="262"/>
    <n v="0"/>
    <n v="0"/>
    <n v="2.9973687221141746E-2"/>
    <n v="262"/>
    <n v="9003"/>
    <n v="9000"/>
    <n v="259"/>
    <x v="79"/>
    <s v="2.40%-3.60%"/>
    <m/>
    <m/>
    <m/>
    <m/>
    <n v="0"/>
    <n v="9000"/>
    <n v="259"/>
    <n v="2.9630477062120963E-2"/>
    <n v="14"/>
    <n v="450"/>
    <m/>
    <n v="688"/>
    <n v="132088"/>
    <n v="4"/>
    <m/>
    <m/>
    <m/>
    <s v="Guo Yuwei （15014438）"/>
    <s v="Mo Xiaohong（11005372）"/>
    <s v="Cheng Cheng"/>
    <m/>
    <m/>
    <m/>
    <s v="OK"/>
  </r>
  <r>
    <s v="CN15"/>
    <n v="1707005"/>
    <s v="杜 林"/>
    <s v="Du Lin"/>
    <s v="Indirect Active"/>
    <s v="OP"/>
    <s v="GQM"/>
    <s v="FDCCh-QMS"/>
    <s v="320601"/>
    <d v="2010-08-01T00:00:00"/>
    <s v="Senior Engineer"/>
    <s v="Senior Engineer"/>
    <x v="1"/>
    <n v="2"/>
    <x v="2"/>
    <n v="7103"/>
    <n v="3.5000000000000003E-2"/>
    <n v="249"/>
    <n v="0"/>
    <n v="0"/>
    <n v="3.505561030550472E-2"/>
    <n v="249"/>
    <n v="7352"/>
    <n v="7800"/>
    <n v="697"/>
    <x v="80"/>
    <s v="2.80%-4.21%"/>
    <m/>
    <m/>
    <m/>
    <m/>
    <n v="0"/>
    <n v="7800"/>
    <n v="697"/>
    <n v="9.8127551738701912E-2"/>
    <n v="14"/>
    <n v="450"/>
    <m/>
    <n v="688"/>
    <n v="115288"/>
    <n v="3"/>
    <m/>
    <s v="Good performance but with lower salary. 2025Q3 Excellent Employee. Lead 8D problem solving for Zeolite fog issue with maturity 22."/>
    <s v="Good performers with relatively lower salary"/>
    <s v="Guo Yuwei （15014438）"/>
    <s v="Mo Xiaohong（11005372）"/>
    <s v="Cheng Cheng"/>
    <m/>
    <m/>
    <m/>
    <s v="&gt;20"/>
  </r>
  <r>
    <s v="CN15"/>
    <n v="1710052"/>
    <s v="许 涛"/>
    <s v="Xu Tao"/>
    <s v="Indirect Active"/>
    <s v="OP"/>
    <s v="GQM"/>
    <s v="FDCCh-QM"/>
    <s v="320600"/>
    <d v="2013-07-05T00:00:00"/>
    <s v="Functional Specialist"/>
    <s v="Functional Specialist"/>
    <x v="0"/>
    <n v="2"/>
    <x v="5"/>
    <n v="13295"/>
    <n v="0"/>
    <n v="0"/>
    <n v="0"/>
    <n v="0"/>
    <n v="0"/>
    <n v="0"/>
    <n v="13295"/>
    <n v="13295"/>
    <n v="0"/>
    <x v="5"/>
    <s v="0.00%-0.00%"/>
    <m/>
    <m/>
    <m/>
    <m/>
    <n v="0"/>
    <n v="13295"/>
    <n v="0"/>
    <n v="0"/>
    <n v="14"/>
    <n v="450"/>
    <m/>
    <n v="688"/>
    <n v="192218"/>
    <n v="3"/>
    <m/>
    <m/>
    <m/>
    <s v="Guo Yuwei （15014438）"/>
    <s v="Mo Xiaohong（11005372）"/>
    <s v="Cheng Cheng"/>
    <m/>
    <m/>
    <m/>
    <s v="OK"/>
  </r>
  <r>
    <s v="CN15"/>
    <n v="1711024"/>
    <s v="施 明留"/>
    <s v="Shi Mingliu"/>
    <s v="Indirect Active"/>
    <s v="OP"/>
    <s v="GQM"/>
    <s v="FDCCh-QMP"/>
    <s v="320600"/>
    <d v="2014-06-24T00:00:00"/>
    <s v="Junior Engineer"/>
    <s v="Junior Engineer"/>
    <x v="4"/>
    <n v="2"/>
    <x v="4"/>
    <n v="5720"/>
    <n v="2.5000000000000001E-2"/>
    <n v="143"/>
    <n v="0"/>
    <n v="0"/>
    <n v="2.5000000000000001E-2"/>
    <n v="143"/>
    <n v="5863"/>
    <n v="6297"/>
    <n v="577"/>
    <x v="81"/>
    <s v="2.00%-3.00%"/>
    <m/>
    <m/>
    <m/>
    <m/>
    <n v="0"/>
    <n v="6297"/>
    <n v="577"/>
    <n v="0.10087412587412592"/>
    <n v="14"/>
    <n v="450"/>
    <m/>
    <n v="688"/>
    <n v="94246"/>
    <s v="NA"/>
    <m/>
    <s v="Transfer from shift leader to junior engineer in 2025. Performance in 22025: 1. lead pss problem solving for outer door scratch with maturity 21. 2. build up standard for AEA testing auto judgement. 3.lead 2 times inhouse process release with KPI (Q,C,D) achievement."/>
    <s v="Good performers with relatively lower salary"/>
    <s v="Guo Yuwei （15014438）"/>
    <s v="Mo Xiaohong（11005372）"/>
    <s v="Cheng Cheng"/>
    <m/>
    <m/>
    <m/>
    <s v="&gt;20"/>
  </r>
  <r>
    <s v="CN15"/>
    <n v="1714007"/>
    <s v="陈 佳伟"/>
    <s v="Chen Jiawei"/>
    <s v="Indirect Active"/>
    <s v="OP"/>
    <s v="GQM"/>
    <s v="FDCCh-QM"/>
    <s v="320600"/>
    <d v="2017-07-01T00:00:00"/>
    <s v="Junior Engineer"/>
    <s v="Junior Engineer"/>
    <x v="4"/>
    <n v="2"/>
    <x v="2"/>
    <n v="5745"/>
    <n v="2.5000000000000001E-2"/>
    <n v="144"/>
    <n v="0"/>
    <n v="0"/>
    <n v="2.5065274151436032E-2"/>
    <n v="144"/>
    <n v="5889"/>
    <n v="5889"/>
    <n v="144"/>
    <x v="82"/>
    <s v="2.01%-3.01%"/>
    <m/>
    <m/>
    <m/>
    <m/>
    <n v="0"/>
    <n v="5889"/>
    <n v="144"/>
    <n v="2.5065274151436112E-2"/>
    <n v="14"/>
    <n v="450"/>
    <m/>
    <n v="688"/>
    <n v="88534"/>
    <n v="3"/>
    <m/>
    <m/>
    <m/>
    <s v="Guo Yuwei （15014438）"/>
    <s v="Mo Xiaohong（11005372）"/>
    <s v="Cheng Cheng"/>
    <m/>
    <m/>
    <m/>
    <s v="OK"/>
  </r>
  <r>
    <s v="CN15"/>
    <n v="1213149"/>
    <s v="李 春琰"/>
    <s v="Li Chunyan"/>
    <s v="Indirect Active"/>
    <s v="OP"/>
    <s v="GQM"/>
    <s v="GQM-CLCD"/>
    <s v="110600"/>
    <d v="2011-07-01T00:00:00"/>
    <s v="Engineer"/>
    <s v="Quality Planning Engineer"/>
    <x v="2"/>
    <n v="2"/>
    <x v="1"/>
    <n v="10342"/>
    <n v="0.03"/>
    <n v="310"/>
    <n v="0"/>
    <n v="0"/>
    <n v="2.9974859795010637E-2"/>
    <n v="310"/>
    <n v="10652"/>
    <n v="10342"/>
    <n v="0"/>
    <x v="5"/>
    <s v="2.40%-3.60%"/>
    <s v="Promotion"/>
    <s v="senior engineer"/>
    <s v="A5"/>
    <n v="0.16800000000000001"/>
    <n v="1737"/>
    <n v="12079"/>
    <n v="1737"/>
    <n v="0.1679559079481725"/>
    <n v="14"/>
    <n v="450"/>
    <m/>
    <n v="688"/>
    <n v="175194"/>
    <n v="3"/>
    <m/>
    <s v="1. As Q-lead in MD85 0 gap project, earlier detection, good cooperation and collaboration to contribute project launch; 2. As project lead, successful handled appliance release in TCNG, good driver in QM and DE between local and global. 3. As CBA Architecture local Q-lead (Additionally tasks), well handled the lessons learn, engineering release for each SWG.4. As MCC local QM driver (Additionally tasks), good arrangement within QM each functions to ensure MCC project quality under high pressure and limited cap."/>
    <s v="Combined with promotion"/>
    <s v="Li Chaozi （1211022）"/>
    <s v="Mo Xiaohong（11005372）"/>
    <s v="Zhao Chujun"/>
    <m/>
    <m/>
    <m/>
    <s v="0 increase"/>
  </r>
  <r>
    <s v="CN15"/>
    <n v="15017484"/>
    <s v="刘 家勉"/>
    <s v="Liu Jiamian"/>
    <s v="Indirect Active"/>
    <s v="OP"/>
    <s v="GQM"/>
    <s v="GQM-CLCD"/>
    <s v="110600"/>
    <d v="2017-06-07T00:00:00"/>
    <s v="Senior Engineer"/>
    <s v="Senior Engineer"/>
    <x v="1"/>
    <n v="2"/>
    <x v="2"/>
    <n v="19088"/>
    <n v="0"/>
    <n v="0"/>
    <n v="0"/>
    <n v="0"/>
    <n v="0"/>
    <n v="0"/>
    <n v="19088"/>
    <n v="19088"/>
    <n v="0"/>
    <x v="5"/>
    <s v="0.00%-0.00%"/>
    <m/>
    <m/>
    <m/>
    <m/>
    <n v="0"/>
    <n v="19088"/>
    <n v="0"/>
    <n v="0"/>
    <n v="14"/>
    <n v="450"/>
    <m/>
    <n v="688"/>
    <n v="273320"/>
    <n v="3"/>
    <m/>
    <m/>
    <m/>
    <s v="Li Chaozi （1211022）"/>
    <s v="Mo Xiaohong（11005372）"/>
    <s v="Zhao Chujun"/>
    <m/>
    <m/>
    <m/>
    <s v="OK"/>
  </r>
  <r>
    <s v="CN15"/>
    <n v="1213096"/>
    <s v="张 雯雯"/>
    <s v="Zhang Wenwen"/>
    <s v="Indirect Active"/>
    <s v="OP"/>
    <s v="GQM"/>
    <s v="GQM-CLCD"/>
    <s v="110600"/>
    <d v="2001-07-16T00:00:00"/>
    <s v="Manager"/>
    <s v="Head of Project Quality"/>
    <x v="3"/>
    <n v="2"/>
    <x v="1"/>
    <n v="23768"/>
    <n v="3.7500000000000006E-2"/>
    <n v="891"/>
    <n v="1.55E-2"/>
    <n v="368"/>
    <n v="5.2970380343318746E-2"/>
    <n v="1259"/>
    <n v="25027"/>
    <n v="26000"/>
    <n v="2232"/>
    <x v="83"/>
    <s v="4.24%-6.36%"/>
    <m/>
    <m/>
    <m/>
    <m/>
    <n v="0"/>
    <n v="26000"/>
    <n v="2232"/>
    <n v="9.3907775159878915E-2"/>
    <n v="14"/>
    <n v="450"/>
    <m/>
    <n v="688"/>
    <n v="370088"/>
    <n v="4"/>
    <m/>
    <s v="Both workload (Addtionally workload responsible for MCC &amp; CBA) and performance alsp very good level of 2025."/>
    <s v="Enlarged responsibilities with proven performance"/>
    <s v="Li Chaozi （1211022）"/>
    <s v="Mo Xiaohong（11005372）"/>
    <s v="Zhao Chujun"/>
    <m/>
    <m/>
    <m/>
    <s v="&gt;20"/>
  </r>
  <r>
    <s v="CN15"/>
    <n v="1112104"/>
    <s v="章 成功"/>
    <s v="Zhang Chenggong"/>
    <s v="Indirect Active"/>
    <s v="OP"/>
    <s v="GQM"/>
    <s v="GQM-CLCL"/>
    <s v="110600"/>
    <d v="2007-08-01T00:00:00"/>
    <s v="Engineer"/>
    <s v="Engineer of Quality"/>
    <x v="2"/>
    <n v="2"/>
    <x v="2"/>
    <n v="8332"/>
    <n v="0.03"/>
    <n v="250"/>
    <n v="0"/>
    <n v="0"/>
    <n v="3.00048007681229E-2"/>
    <n v="250"/>
    <n v="8582"/>
    <n v="8582"/>
    <n v="250"/>
    <x v="11"/>
    <s v="2.40%-3.60%"/>
    <m/>
    <m/>
    <m/>
    <m/>
    <n v="0"/>
    <n v="8582"/>
    <n v="250"/>
    <n v="3.0004800768122841E-2"/>
    <n v="14"/>
    <n v="450"/>
    <m/>
    <n v="688"/>
    <n v="126236"/>
    <n v="3"/>
    <m/>
    <m/>
    <m/>
    <s v="Li Chaozi （1211022）"/>
    <s v="Mo Xiaohong（11005372）"/>
    <s v="Zhao Chujun"/>
    <m/>
    <m/>
    <m/>
    <s v="OK"/>
  </r>
  <r>
    <s v="CN15"/>
    <n v="1120398"/>
    <s v="袁 煜航"/>
    <s v="Yuan Yuhang"/>
    <s v="Indirect Active"/>
    <s v="OP"/>
    <s v="GQM"/>
    <s v="GQM-CLCT"/>
    <s v="110600"/>
    <d v="2025-09-03T00:00:00"/>
    <s v="Quality Engineer"/>
    <s v="Electronic &amp; Electrical Quality Engineer"/>
    <x v="2"/>
    <n v="2"/>
    <x v="5"/>
    <n v="8000"/>
    <n v="0"/>
    <n v="0"/>
    <n v="0"/>
    <n v="0"/>
    <n v="0"/>
    <n v="0"/>
    <n v="8000"/>
    <n v="8000"/>
    <n v="0"/>
    <x v="5"/>
    <s v="0.00%-0.00%"/>
    <m/>
    <m/>
    <m/>
    <m/>
    <n v="0"/>
    <n v="8000"/>
    <n v="0"/>
    <n v="0"/>
    <n v="14"/>
    <n v="450"/>
    <m/>
    <n v="688"/>
    <n v="118088"/>
    <e v="#N/A"/>
    <m/>
    <m/>
    <m/>
    <s v="Li Chaozi （1211022）"/>
    <s v="Mo Xiaohong（11005372）"/>
    <s v="Zhao Chujun"/>
    <m/>
    <m/>
    <m/>
    <s v="OK"/>
  </r>
  <r>
    <s v="CN15"/>
    <n v="1212025"/>
    <s v="叶 琴"/>
    <s v="Ye Qin"/>
    <s v="Indirect Active"/>
    <s v="OP"/>
    <s v="GQM"/>
    <s v="GQM-CLCT"/>
    <s v="110600"/>
    <d v="2009-05-20T00:00:00"/>
    <s v="Associate Expert (CN)"/>
    <s v="Associate Expert (CN)"/>
    <x v="0"/>
    <n v="2"/>
    <x v="2"/>
    <n v="15530"/>
    <n v="0.03"/>
    <n v="466"/>
    <n v="0"/>
    <n v="0"/>
    <n v="3.0006439150032194E-2"/>
    <n v="466"/>
    <n v="15996"/>
    <n v="15530"/>
    <n v="0"/>
    <x v="5"/>
    <s v="2.40%-3.60%"/>
    <m/>
    <m/>
    <m/>
    <m/>
    <n v="0"/>
    <n v="15530"/>
    <n v="0"/>
    <n v="0"/>
    <n v="14"/>
    <n v="850"/>
    <m/>
    <n v="688"/>
    <n v="228308"/>
    <n v="3"/>
    <m/>
    <s v="Current salary already much higher than other similar position in CLCT"/>
    <s v="Internal balance"/>
    <s v="Li Chaozi （1211022）"/>
    <s v="Mo Xiaohong（11005372）"/>
    <s v="Zhao Chujun"/>
    <m/>
    <m/>
    <m/>
    <s v="0 increase"/>
  </r>
  <r>
    <s v="CN15"/>
    <n v="1213101"/>
    <s v="徐 勇"/>
    <s v="Xu Yong"/>
    <s v="Indirect Active"/>
    <s v="OP"/>
    <s v="GQM"/>
    <s v="GQM-CLCL"/>
    <s v="110600"/>
    <d v="2003-06-10T00:00:00"/>
    <s v="Engineer"/>
    <s v="Engineer of Quality"/>
    <x v="2"/>
    <n v="2"/>
    <x v="2"/>
    <n v="12808"/>
    <n v="0"/>
    <n v="0"/>
    <n v="0"/>
    <n v="0"/>
    <n v="0"/>
    <n v="0"/>
    <n v="12808"/>
    <n v="12808"/>
    <n v="0"/>
    <x v="5"/>
    <s v="0.00%-0.00%"/>
    <m/>
    <m/>
    <m/>
    <m/>
    <n v="0"/>
    <n v="12808"/>
    <n v="0"/>
    <n v="0"/>
    <n v="14"/>
    <n v="850"/>
    <m/>
    <n v="688"/>
    <n v="190200"/>
    <n v="3"/>
    <m/>
    <m/>
    <m/>
    <s v="Li Chaozi （1211022）"/>
    <s v="Mo Xiaohong（11005372）"/>
    <s v="Zhao Chujun"/>
    <m/>
    <m/>
    <m/>
    <s v="OK"/>
  </r>
  <r>
    <s v="CN15"/>
    <n v="1213114"/>
    <s v="汤 继星"/>
    <s v="Tang Jixing"/>
    <s v="Indirect Active"/>
    <s v="OP"/>
    <s v="GQM"/>
    <s v="GQM-CLCT"/>
    <s v="110600"/>
    <d v="2006-05-04T00:00:00"/>
    <s v="Senior Engineer"/>
    <s v="Senior Engineer"/>
    <x v="1"/>
    <n v="2"/>
    <x v="2"/>
    <n v="14147"/>
    <n v="2.5000000000000001E-2"/>
    <n v="354"/>
    <n v="0"/>
    <n v="0"/>
    <n v="2.5022973068495089E-2"/>
    <n v="354"/>
    <n v="14501"/>
    <n v="14147"/>
    <n v="0"/>
    <x v="5"/>
    <s v="2.00%-3.00%"/>
    <m/>
    <m/>
    <m/>
    <m/>
    <n v="0"/>
    <n v="14147"/>
    <n v="0"/>
    <n v="0"/>
    <n v="14"/>
    <n v="500"/>
    <m/>
    <n v="688"/>
    <n v="204746"/>
    <n v="3"/>
    <m/>
    <s v="Current salary already much higher than other similar position in CLCT"/>
    <s v="Internal balance"/>
    <s v="Li Chaozi （1211022）"/>
    <s v="Mo Xiaohong（11005372）"/>
    <s v="Zhao Chujun"/>
    <m/>
    <m/>
    <m/>
    <s v="0 increase"/>
  </r>
  <r>
    <s v="CN15"/>
    <n v="1213116"/>
    <s v="姚 旭升"/>
    <s v="Yao Xusheng"/>
    <s v="Indirect Active"/>
    <s v="OP"/>
    <s v="GQM"/>
    <s v="GQM-CLCT"/>
    <s v="110600"/>
    <d v="2006-06-26T00:00:00"/>
    <s v="Engineer"/>
    <s v="Quality engineer"/>
    <x v="2"/>
    <n v="2"/>
    <x v="2"/>
    <n v="9901"/>
    <n v="0.03"/>
    <n v="297"/>
    <n v="0"/>
    <n v="0"/>
    <n v="2.9996970003029998E-2"/>
    <n v="297"/>
    <n v="10198"/>
    <n v="10200"/>
    <n v="299"/>
    <x v="84"/>
    <s v="2.40%-3.60%"/>
    <m/>
    <m/>
    <m/>
    <m/>
    <n v="0"/>
    <n v="10200"/>
    <n v="299"/>
    <n v="3.0198969801030096E-2"/>
    <n v="14"/>
    <n v="450"/>
    <m/>
    <n v="688"/>
    <n v="148888"/>
    <n v="3"/>
    <m/>
    <m/>
    <m/>
    <s v="Li Chaozi （1211022）"/>
    <s v="Mo Xiaohong（11005372）"/>
    <s v="Zhao Chujun"/>
    <m/>
    <m/>
    <m/>
    <s v="OK"/>
  </r>
  <r>
    <s v="CN15"/>
    <n v="1213127"/>
    <s v="刘 杰"/>
    <s v="Liu jie"/>
    <s v="Indirect Active"/>
    <s v="OP"/>
    <s v="GQM"/>
    <s v="GQM-CLCT"/>
    <s v="110600"/>
    <d v="2007-05-07T00:00:00"/>
    <s v="Engineer"/>
    <s v="Engineer of Quality"/>
    <x v="2"/>
    <n v="2"/>
    <x v="2"/>
    <n v="11426"/>
    <n v="2.5000000000000001E-2"/>
    <n v="286"/>
    <n v="0"/>
    <n v="0"/>
    <n v="2.5030631892175741E-2"/>
    <n v="286"/>
    <n v="11712"/>
    <n v="11426"/>
    <n v="0"/>
    <x v="5"/>
    <s v="2.00%-3.00%"/>
    <m/>
    <m/>
    <m/>
    <m/>
    <n v="0"/>
    <n v="11426"/>
    <n v="0"/>
    <n v="0"/>
    <n v="14"/>
    <n v="450"/>
    <m/>
    <n v="688"/>
    <n v="166052"/>
    <n v="5"/>
    <m/>
    <s v="Current salary already much higher than other similar position in CLCT"/>
    <s v="Internal balance"/>
    <s v="Li Chaozi （1211022）"/>
    <s v="Mo Xiaohong（11005372）"/>
    <s v="Zhao Chujun"/>
    <m/>
    <m/>
    <m/>
    <s v="0 increase"/>
  </r>
  <r>
    <s v="CN15"/>
    <n v="1220060"/>
    <s v="张 程"/>
    <s v="Zhang Cheng"/>
    <s v="Indirect Active"/>
    <s v="OP"/>
    <s v="GQM"/>
    <s v="GQM-CLCT"/>
    <s v="110600"/>
    <d v="2010-06-22T00:00:00"/>
    <s v="Manager"/>
    <s v="Head of Testing &amp; Laboratory Cooling"/>
    <x v="3"/>
    <n v="2"/>
    <x v="0"/>
    <n v="22186"/>
    <n v="0.05"/>
    <n v="1109"/>
    <n v="2.7E-2"/>
    <n v="599"/>
    <n v="7.6985486342738663E-2"/>
    <n v="1708"/>
    <n v="23894"/>
    <n v="24289"/>
    <n v="2103"/>
    <x v="85"/>
    <s v="6.16%-9.24%"/>
    <m/>
    <m/>
    <m/>
    <m/>
    <n v="0"/>
    <n v="24289"/>
    <n v="2103"/>
    <n v="9.4789506896240772E-2"/>
    <n v="14"/>
    <n v="450"/>
    <m/>
    <n v="688"/>
    <n v="346134"/>
    <n v="5"/>
    <m/>
    <s v="Additional workload to lead lab synergy project  and V&amp;V implemenation in RGC with very good deliverable."/>
    <s v="Good performance and high competence"/>
    <s v="Li Chaozi （1211022）"/>
    <s v="Mo Xiaohong（11005372）"/>
    <s v="Zhao Chujun"/>
    <m/>
    <m/>
    <m/>
    <s v="OK"/>
  </r>
  <r>
    <s v="CN15"/>
    <n v="1220093"/>
    <s v="高 冬梅"/>
    <s v="Gao Dongmei"/>
    <s v="Indirect Active"/>
    <s v="OP"/>
    <s v="GQM"/>
    <s v="GQM-CLCL"/>
    <s v="110600"/>
    <d v="2014-10-13T00:00:00"/>
    <s v="Manager"/>
    <s v="Head of GQM-CLCL"/>
    <x v="3"/>
    <n v="2"/>
    <x v="2"/>
    <n v="21344"/>
    <n v="2.5000000000000001E-2"/>
    <n v="534"/>
    <n v="0"/>
    <n v="0"/>
    <n v="2.5018740629685156E-2"/>
    <n v="534"/>
    <n v="21878"/>
    <n v="22000"/>
    <n v="656"/>
    <x v="86"/>
    <s v="2.00%-3.00%"/>
    <m/>
    <m/>
    <m/>
    <m/>
    <n v="0"/>
    <n v="22000"/>
    <n v="656"/>
    <n v="3.073463268365817E-2"/>
    <n v="14"/>
    <n v="4250"/>
    <m/>
    <n v="688"/>
    <n v="359688"/>
    <n v="3"/>
    <m/>
    <s v="Additional workload for RNA night meeting"/>
    <s v="Good performance and high potential"/>
    <s v="Li Chaozi （1211022）"/>
    <s v="Mo Xiaohong（11005372）"/>
    <s v="Zhao Chujun"/>
    <m/>
    <m/>
    <m/>
    <s v="OK"/>
  </r>
  <r>
    <s v="CN15"/>
    <n v="1220096"/>
    <s v="宋 晴"/>
    <s v="Song Qing"/>
    <s v="Indirect Active"/>
    <s v="OP"/>
    <s v="GQM"/>
    <s v="GQM-CLCT"/>
    <s v="110600"/>
    <d v="2016-12-15T00:00:00"/>
    <s v="Engineer"/>
    <s v="Cooling Test Engineer"/>
    <x v="2"/>
    <n v="2"/>
    <x v="2"/>
    <n v="7129"/>
    <n v="3.5000000000000003E-2"/>
    <n v="250"/>
    <n v="0"/>
    <n v="0"/>
    <n v="3.5068031982045167E-2"/>
    <n v="250"/>
    <n v="7379"/>
    <n v="7200"/>
    <n v="71"/>
    <x v="87"/>
    <s v="2.81%-4.21%"/>
    <m/>
    <m/>
    <m/>
    <m/>
    <n v="0"/>
    <n v="7200"/>
    <n v="71"/>
    <n v="9.9593210829007628E-3"/>
    <n v="14"/>
    <n v="850"/>
    <m/>
    <n v="688"/>
    <n v="111688"/>
    <n v="3"/>
    <m/>
    <s v="Contribution and workload is less than other similar position colleauges"/>
    <s v="Less responsibility compare with job level"/>
    <s v="Li Chaozi （1211022）"/>
    <s v="Mo Xiaohong（11005372）"/>
    <s v="Zhao Chujun"/>
    <m/>
    <m/>
    <m/>
    <s v="&lt;20"/>
  </r>
  <r>
    <s v="CN15"/>
    <n v="1220097"/>
    <s v="李 静"/>
    <s v="Li Jing"/>
    <s v="Indirect Active"/>
    <s v="OP"/>
    <s v="GQM"/>
    <s v="GQM-CLCT"/>
    <s v="110600"/>
    <d v="2017-06-05T00:00:00"/>
    <s v="Engineer"/>
    <s v="Chemical Engineer"/>
    <x v="2"/>
    <n v="2"/>
    <x v="2"/>
    <n v="9798"/>
    <n v="0.03"/>
    <n v="294"/>
    <n v="0"/>
    <n v="0"/>
    <n v="3.0006123698714023E-2"/>
    <n v="294"/>
    <n v="10092"/>
    <n v="10000"/>
    <n v="202"/>
    <x v="88"/>
    <s v="2.40%-3.60%"/>
    <m/>
    <m/>
    <m/>
    <m/>
    <n v="0"/>
    <n v="10000"/>
    <n v="202"/>
    <n v="2.0616452337211655E-2"/>
    <n v="14"/>
    <n v="850"/>
    <m/>
    <n v="688"/>
    <n v="150888"/>
    <n v="3"/>
    <m/>
    <s v="Only for Chemical inspection &amp; analysis, also the salar level is higher than similar level position"/>
    <s v="Less responsibility compare with job level"/>
    <s v="Li Chaozi （1211022）"/>
    <s v="Mo Xiaohong（11005372）"/>
    <s v="Zhao Chujun"/>
    <m/>
    <m/>
    <m/>
    <s v="OK"/>
  </r>
  <r>
    <s v="CN15"/>
    <n v="1705001"/>
    <s v="孔 晓芳"/>
    <s v="Kong Xiaofang"/>
    <s v="Indirect Active"/>
    <s v="OP"/>
    <s v="GQM"/>
    <s v="GQM-CLCD"/>
    <s v="110600"/>
    <d v="2008-08-04T00:00:00"/>
    <s v="Senior Engineer"/>
    <s v="Senior Engineer"/>
    <x v="1"/>
    <n v="2"/>
    <x v="2"/>
    <n v="8315"/>
    <n v="0.03"/>
    <n v="249"/>
    <n v="0"/>
    <n v="0"/>
    <n v="2.9945880938063739E-2"/>
    <n v="249"/>
    <n v="8564"/>
    <n v="9000"/>
    <n v="685"/>
    <x v="89"/>
    <s v="2.40%-3.59%"/>
    <m/>
    <m/>
    <m/>
    <m/>
    <n v="0"/>
    <n v="9000"/>
    <n v="685"/>
    <n v="8.2381238725195427E-2"/>
    <n v="14"/>
    <n v="450"/>
    <m/>
    <n v="688"/>
    <n v="132088"/>
    <n v="5"/>
    <m/>
    <s v="1.5 times overload for project quality management tasks and with very good delivery like EP85 project"/>
    <s v="Enlarged responsibilities with proven performance"/>
    <s v="Li Chaozi （1211022）"/>
    <s v="Mo Xiaohong（11005372）"/>
    <s v="Zhao Chujun"/>
    <m/>
    <m/>
    <m/>
    <s v="&gt;20"/>
  </r>
  <r>
    <s v="CN15"/>
    <n v="1707039"/>
    <s v="王 媛媛"/>
    <s v="Wang Yuanyuan"/>
    <s v="Indirect Active"/>
    <s v="OP"/>
    <s v="GQM"/>
    <s v="GQM-CLCD"/>
    <s v="110600"/>
    <d v="2010-08-01T00:00:00"/>
    <s v="Functional Specialist"/>
    <s v="Functional Specialist"/>
    <x v="0"/>
    <n v="2"/>
    <x v="2"/>
    <n v="15491"/>
    <n v="2.5000000000000001E-2"/>
    <n v="387"/>
    <n v="0"/>
    <n v="0"/>
    <n v="2.4982247756761992E-2"/>
    <n v="387"/>
    <n v="15878"/>
    <n v="15650"/>
    <n v="159"/>
    <x v="90"/>
    <s v="2.00%-3.00%"/>
    <m/>
    <m/>
    <m/>
    <m/>
    <n v="0"/>
    <n v="15650"/>
    <n v="159"/>
    <n v="1.0264024272158112E-2"/>
    <n v="14"/>
    <n v="450"/>
    <m/>
    <n v="688"/>
    <n v="225188"/>
    <n v="4"/>
    <m/>
    <s v="Basic salary is much higher than same position"/>
    <s v="Internal balance"/>
    <s v="Li Chaozi （1211022）"/>
    <s v="Mo Xiaohong（11005372）"/>
    <s v="Zhao Chujun"/>
    <m/>
    <m/>
    <m/>
    <s v="&lt;20"/>
  </r>
  <r>
    <s v="CN15"/>
    <n v="1710053"/>
    <s v="陈 天翔"/>
    <s v="Chen Tianxiang"/>
    <s v="Indirect Active"/>
    <s v="OP"/>
    <s v="GQM"/>
    <s v="GQM-CLCT"/>
    <s v="110600"/>
    <d v="2013-07-05T00:00:00"/>
    <s v="Engineer"/>
    <s v="Engineer of 3D Testing"/>
    <x v="2"/>
    <n v="2"/>
    <x v="1"/>
    <n v="7361"/>
    <n v="5.2500000000000005E-2"/>
    <n v="386"/>
    <n v="4.2099999999999999E-2"/>
    <n v="310"/>
    <n v="9.455237060182041E-2"/>
    <n v="696"/>
    <n v="8057"/>
    <n v="8241"/>
    <n v="880"/>
    <x v="91"/>
    <s v="7.56%-11.35%"/>
    <m/>
    <m/>
    <m/>
    <m/>
    <n v="0"/>
    <n v="8241"/>
    <n v="880"/>
    <n v="0.11954897432414069"/>
    <n v="14"/>
    <n v="500"/>
    <m/>
    <n v="688"/>
    <n v="122062"/>
    <n v="3"/>
    <m/>
    <s v="Overload in 2025 with very good deliverable"/>
    <s v="Enlarged responsibilities with proven performance"/>
    <s v="Li Chaozi （1211022）"/>
    <s v="Mo Xiaohong（11005372）"/>
    <s v="Zhao Chujun"/>
    <m/>
    <m/>
    <m/>
    <s v="OK"/>
  </r>
  <r>
    <s v="CN15"/>
    <n v="1714009"/>
    <s v="蒯 文海"/>
    <s v="Kuai Wenhai"/>
    <s v="Indirect Active"/>
    <s v="OP"/>
    <s v="GQM"/>
    <s v="GQM-CLCL"/>
    <s v="110600"/>
    <d v="2017-07-01T00:00:00"/>
    <s v="Senior Engineer"/>
    <s v="Senior Engineer"/>
    <x v="1"/>
    <n v="2"/>
    <x v="1"/>
    <n v="6342"/>
    <n v="5.2500000000000005E-2"/>
    <n v="333"/>
    <n v="9.0300000000000005E-2"/>
    <n v="573"/>
    <n v="0.14285714285714285"/>
    <n v="906"/>
    <n v="7248"/>
    <n v="7248"/>
    <n v="906"/>
    <x v="92"/>
    <s v="11.43%-17.14%"/>
    <m/>
    <m/>
    <m/>
    <m/>
    <n v="0"/>
    <n v="7248"/>
    <n v="906"/>
    <n v="0.14285714285714279"/>
    <n v="14"/>
    <n v="450"/>
    <m/>
    <n v="688"/>
    <n v="107560"/>
    <n v="3"/>
    <m/>
    <m/>
    <m/>
    <s v="Li Chaozi （1211022）"/>
    <s v="Mo Xiaohong（11005372）"/>
    <s v="Zhao Chujun"/>
    <m/>
    <m/>
    <m/>
    <s v="OK"/>
  </r>
  <r>
    <s v="CN15"/>
    <n v="1714016"/>
    <s v="韩 雅文"/>
    <s v="Han Yawen"/>
    <s v="Indirect Active"/>
    <s v="OP"/>
    <s v="GQM"/>
    <s v="GQM-CLCL"/>
    <s v="110600"/>
    <d v="2017-07-01T00:00:00"/>
    <s v="Junior Engineer"/>
    <s v="Junior Engineer of Quality"/>
    <x v="4"/>
    <n v="2"/>
    <x v="3"/>
    <n v="5459"/>
    <n v="0"/>
    <n v="0"/>
    <n v="0"/>
    <n v="0"/>
    <n v="0"/>
    <n v="0"/>
    <n v="5459"/>
    <n v="5459"/>
    <n v="0"/>
    <x v="5"/>
    <s v="0.00%-0.00%"/>
    <m/>
    <m/>
    <m/>
    <m/>
    <n v="0"/>
    <n v="5459"/>
    <n v="0"/>
    <n v="0"/>
    <n v="14"/>
    <n v="450"/>
    <m/>
    <n v="688"/>
    <n v="82514"/>
    <n v="3"/>
    <m/>
    <m/>
    <m/>
    <s v="Li Chaozi （1211022）"/>
    <s v="Mo Xiaohong（11005372）"/>
    <s v="Zhao Chujun"/>
    <m/>
    <m/>
    <m/>
    <s v="OK"/>
  </r>
  <r>
    <s v="CN15"/>
    <n v="1212018"/>
    <s v="李 志祥"/>
    <s v="Li Zhixiang"/>
    <s v="Indirect Active"/>
    <s v="OP"/>
    <s v="GQM"/>
    <s v="FCLCh-QMS"/>
    <s v="310601"/>
    <d v="2006-05-08T00:00:00"/>
    <s v="Quality Engineer"/>
    <s v="Quality Engineer"/>
    <x v="2"/>
    <n v="2"/>
    <x v="2"/>
    <n v="10503"/>
    <n v="2.5000000000000001E-2"/>
    <n v="263"/>
    <n v="0"/>
    <n v="0"/>
    <n v="2.5040464629153575E-2"/>
    <n v="263"/>
    <n v="10766"/>
    <n v="10550"/>
    <n v="47"/>
    <x v="93"/>
    <s v="2.00%-3.00%"/>
    <m/>
    <m/>
    <m/>
    <m/>
    <n v="0"/>
    <n v="10550"/>
    <n v="47"/>
    <n v="4.4749119299247742E-3"/>
    <n v="14"/>
    <n v="450"/>
    <m/>
    <n v="688"/>
    <n v="153788"/>
    <n v="3"/>
    <m/>
    <s v="Current salary already much higher than other similar position in CLCT"/>
    <s v="Internal balance"/>
    <s v="Li Chaozi （1211022）"/>
    <s v="Mo Xiaohong（11005372）"/>
    <s v="Zhao Chujun"/>
    <m/>
    <m/>
    <m/>
    <s v="&lt;20"/>
  </r>
  <r>
    <s v="CN15"/>
    <n v="1213111"/>
    <s v="祝 庆义"/>
    <s v="Zhu Qingyi"/>
    <s v="Indirect Active"/>
    <s v="OP"/>
    <s v="GQM"/>
    <s v="FCLCh-QMP"/>
    <s v="310604"/>
    <d v="2004-11-24T00:00:00"/>
    <s v="Engineer"/>
    <s v="Engineer of Quality"/>
    <x v="2"/>
    <n v="2"/>
    <x v="3"/>
    <n v="8180"/>
    <n v="0"/>
    <n v="0"/>
    <n v="0"/>
    <n v="0"/>
    <n v="0"/>
    <n v="0"/>
    <n v="8180"/>
    <n v="8180"/>
    <n v="0"/>
    <x v="5"/>
    <s v="0.00%-0.00%"/>
    <m/>
    <m/>
    <m/>
    <m/>
    <n v="0"/>
    <n v="8180"/>
    <n v="0"/>
    <n v="0"/>
    <n v="14"/>
    <n v="450"/>
    <m/>
    <n v="688"/>
    <n v="120608"/>
    <n v="3"/>
    <m/>
    <m/>
    <m/>
    <s v="Li Chaozi （1211022）"/>
    <s v="Mo Xiaohong（11005372）"/>
    <s v="Zhao Chujun"/>
    <m/>
    <m/>
    <m/>
    <s v="OK"/>
  </r>
  <r>
    <s v="CN15"/>
    <n v="1213120"/>
    <s v="缪 夕晨"/>
    <s v="Miao Xichen"/>
    <s v="Indirect Active"/>
    <s v="OP"/>
    <s v="GQM"/>
    <s v="FCLCh-QMS"/>
    <s v="310601"/>
    <d v="2006-11-17T00:00:00"/>
    <s v="Supervisor"/>
    <s v="Head of FCLCh-QMS"/>
    <x v="0"/>
    <n v="2"/>
    <x v="2"/>
    <n v="16923"/>
    <n v="2.5000000000000001E-2"/>
    <n v="423"/>
    <n v="0"/>
    <n v="0"/>
    <n v="2.4995568161673462E-2"/>
    <n v="423"/>
    <n v="17346"/>
    <n v="16923"/>
    <n v="0"/>
    <x v="5"/>
    <s v="2.00%-3.00%"/>
    <m/>
    <m/>
    <m/>
    <m/>
    <n v="0"/>
    <n v="16923"/>
    <n v="0"/>
    <n v="0"/>
    <n v="14"/>
    <n v="450"/>
    <m/>
    <n v="688"/>
    <n v="243010"/>
    <n v="3"/>
    <m/>
    <s v="Current salary already much higher than other similar position in CLCT"/>
    <s v="Internal balance"/>
    <s v="Li Chaozi （1211022）"/>
    <s v="Mo Xiaohong（11005372）"/>
    <s v="Zhao Chujun"/>
    <m/>
    <m/>
    <m/>
    <s v="0 increase"/>
  </r>
  <r>
    <s v="CN15"/>
    <n v="1213125"/>
    <s v="姜 波"/>
    <s v="Jiang Bo"/>
    <s v="Indirect Active"/>
    <s v="OP"/>
    <s v="GQM"/>
    <s v="FCLCh-QMP"/>
    <s v="310604"/>
    <d v="2007-01-02T00:00:00"/>
    <s v="Engineer"/>
    <s v="Engineer of Quality"/>
    <x v="2"/>
    <n v="2"/>
    <x v="2"/>
    <n v="9185"/>
    <n v="0"/>
    <n v="0"/>
    <n v="0"/>
    <n v="0"/>
    <n v="0"/>
    <n v="0"/>
    <n v="9185"/>
    <n v="9185"/>
    <n v="0"/>
    <x v="5"/>
    <s v="0.00%-0.00%"/>
    <m/>
    <m/>
    <m/>
    <m/>
    <n v="0"/>
    <n v="9185"/>
    <n v="0"/>
    <n v="0"/>
    <n v="14"/>
    <n v="450"/>
    <m/>
    <n v="688"/>
    <n v="134678"/>
    <n v="3"/>
    <m/>
    <m/>
    <m/>
    <s v="Li Chaozi （1211022）"/>
    <s v="Mo Xiaohong（11005372）"/>
    <s v="Zhao Chujun"/>
    <m/>
    <m/>
    <m/>
    <s v="OK"/>
  </r>
  <r>
    <s v="CN15"/>
    <n v="1220061"/>
    <s v="余 奋山"/>
    <s v="Yu Fenshan"/>
    <s v="Indirect Active"/>
    <s v="OP"/>
    <s v="GQM"/>
    <s v="FCLCh-QMS"/>
    <s v="310601"/>
    <d v="2010-07-01T00:00:00"/>
    <s v="Quality Engineer"/>
    <s v="Quality Engineer"/>
    <x v="2"/>
    <n v="2"/>
    <x v="2"/>
    <n v="11097"/>
    <n v="2.5000000000000001E-2"/>
    <n v="277"/>
    <n v="0"/>
    <n v="0"/>
    <n v="2.4961701360728124E-2"/>
    <n v="277"/>
    <n v="11374"/>
    <n v="11097"/>
    <n v="0"/>
    <x v="5"/>
    <s v="2.00%-3.00%"/>
    <m/>
    <m/>
    <m/>
    <m/>
    <n v="0"/>
    <n v="11097"/>
    <n v="0"/>
    <n v="0"/>
    <n v="14"/>
    <n v="450"/>
    <m/>
    <n v="688"/>
    <n v="161446"/>
    <n v="3"/>
    <m/>
    <s v="Current salary already much higher than other similar position in CLCT"/>
    <s v="Internal balance"/>
    <s v="Li Chaozi （1211022）"/>
    <s v="Mo Xiaohong（11005372）"/>
    <s v="Zhao Chujun"/>
    <m/>
    <m/>
    <m/>
    <s v="0 increase"/>
  </r>
  <r>
    <s v="CN15"/>
    <n v="1220066"/>
    <s v="董 冉冉"/>
    <s v="Dong Ranran"/>
    <s v="Indirect Active"/>
    <s v="OP"/>
    <s v="GQM"/>
    <s v="FCLCh-QMS"/>
    <s v="310601"/>
    <d v="2010-07-27T00:00:00"/>
    <s v="Senior Engineer"/>
    <s v="Senior Engineer"/>
    <x v="1"/>
    <n v="2"/>
    <x v="1"/>
    <n v="9518"/>
    <n v="3.7500000000000006E-2"/>
    <n v="357"/>
    <n v="1.55E-2"/>
    <n v="148"/>
    <n v="5.3057364992645517E-2"/>
    <n v="505"/>
    <n v="10023"/>
    <n v="9800"/>
    <n v="282"/>
    <x v="79"/>
    <s v="4.24%-6.37%"/>
    <m/>
    <m/>
    <m/>
    <m/>
    <n v="0"/>
    <n v="9800"/>
    <n v="282"/>
    <n v="2.9628073124605914E-2"/>
    <n v="14"/>
    <n v="550"/>
    <m/>
    <n v="688"/>
    <n v="144488"/>
    <n v="3"/>
    <m/>
    <s v="Less contribution and workload than same position"/>
    <s v="Less responsibility compare with job level"/>
    <s v="Li Chaozi （1211022）"/>
    <s v="Mo Xiaohong（11005372）"/>
    <s v="Zhao Chujun"/>
    <m/>
    <m/>
    <m/>
    <s v="&lt;20"/>
  </r>
  <r>
    <s v="CN15"/>
    <n v="1705032"/>
    <s v="门 永明"/>
    <s v="Men Yongming"/>
    <s v="Indirect Active"/>
    <s v="OP"/>
    <s v="GQM"/>
    <s v="FCLCh-QMP"/>
    <s v="310604"/>
    <d v="2008-08-04T00:00:00"/>
    <s v="Manager"/>
    <s v="Head of Products Quality Management"/>
    <x v="3"/>
    <n v="2"/>
    <x v="2"/>
    <n v="18280"/>
    <n v="0.03"/>
    <n v="548"/>
    <n v="0"/>
    <n v="0"/>
    <n v="2.9978118161925603E-2"/>
    <n v="548"/>
    <n v="18828"/>
    <n v="19000"/>
    <n v="720"/>
    <x v="94"/>
    <s v="2.40%-3.60%"/>
    <m/>
    <m/>
    <m/>
    <m/>
    <n v="0"/>
    <n v="19000"/>
    <n v="720"/>
    <n v="3.938730853391692E-2"/>
    <n v="14"/>
    <n v="450"/>
    <m/>
    <n v="688"/>
    <n v="272088"/>
    <n v="5"/>
    <m/>
    <s v="Take additional workload support factory QM role"/>
    <s v="Significantly enlarged responsibilities with proven performance"/>
    <s v="Li Chaozi （1211022）"/>
    <s v="Mo Xiaohong（11005372）"/>
    <s v="Zhao Chujun"/>
    <m/>
    <m/>
    <m/>
    <s v="OK"/>
  </r>
  <r>
    <s v="CN15"/>
    <n v="1706022"/>
    <s v="姜 华东"/>
    <s v="Jiang Huadong"/>
    <s v="Indirect Active"/>
    <s v="OP"/>
    <s v="GQM"/>
    <s v="FCLCh-QMS"/>
    <s v="310601"/>
    <d v="2009-07-29T00:00:00"/>
    <s v="Senior Engineer"/>
    <s v="Senior Engineer"/>
    <x v="1"/>
    <n v="2"/>
    <x v="2"/>
    <n v="7567"/>
    <n v="0.03"/>
    <n v="227"/>
    <n v="0"/>
    <n v="0"/>
    <n v="2.9998678472313994E-2"/>
    <n v="227"/>
    <n v="7794"/>
    <n v="7627"/>
    <n v="60"/>
    <x v="95"/>
    <s v="2.40%-3.60%"/>
    <m/>
    <m/>
    <m/>
    <m/>
    <n v="0"/>
    <n v="7627"/>
    <n v="60"/>
    <n v="7.9291661160301175E-3"/>
    <n v="14"/>
    <n v="450"/>
    <m/>
    <n v="688"/>
    <n v="112866"/>
    <n v="3"/>
    <m/>
    <s v="Workload and performace not comprable with similar postion colleagues"/>
    <s v="Less responsibility compare with job level"/>
    <s v="Li Chaozi （1211022）"/>
    <s v="Mo Xiaohong（11005372）"/>
    <s v="Zhao Chujun"/>
    <m/>
    <m/>
    <m/>
    <s v="&lt;20"/>
  </r>
  <r>
    <s v="CN15"/>
    <n v="1706037"/>
    <s v="刘 雅男"/>
    <s v="Liu Yanan"/>
    <s v="Indirect Active"/>
    <s v="OP"/>
    <s v="GQM"/>
    <s v="FCLCh-QMP"/>
    <s v="310604"/>
    <d v="2009-07-29T00:00:00"/>
    <s v="Engineer"/>
    <s v="Engineer of Quality"/>
    <x v="2"/>
    <n v="2"/>
    <x v="0"/>
    <n v="6492"/>
    <n v="0.05"/>
    <n v="325"/>
    <n v="2.7E-2"/>
    <n v="175"/>
    <n v="7.7017868145409729E-2"/>
    <n v="500"/>
    <n v="6992"/>
    <n v="7790"/>
    <n v="1298"/>
    <x v="96"/>
    <s v="6.16%-9.24%"/>
    <m/>
    <m/>
    <m/>
    <m/>
    <n v="0"/>
    <n v="7790"/>
    <n v="1298"/>
    <n v="0.19993838570548372"/>
    <n v="14"/>
    <n v="450"/>
    <m/>
    <n v="688"/>
    <n v="115148"/>
    <n v="4"/>
    <m/>
    <s v="Low basic salary and in 2025 take big additional task of SKD project with very good performance"/>
    <s v="Good performers with extremely lower salary"/>
    <s v="Li Chaozi （1211022）"/>
    <s v="Mo Xiaohong（11005372）"/>
    <s v="Zhao Chujun"/>
    <m/>
    <m/>
    <m/>
    <s v="&gt;20"/>
  </r>
  <r>
    <s v="CN15"/>
    <n v="1710006"/>
    <s v="曹 燕"/>
    <s v="Cao Yan"/>
    <s v="Indirect Active"/>
    <s v="OP"/>
    <s v="GQM"/>
    <s v="FCLCh-QMP"/>
    <s v="310604"/>
    <d v="2013-07-05T00:00:00"/>
    <s v="Engineer"/>
    <s v="Engineer"/>
    <x v="2"/>
    <n v="2"/>
    <x v="1"/>
    <n v="7976"/>
    <n v="4.4999999999999998E-2"/>
    <n v="359"/>
    <n v="4.2099999999999999E-2"/>
    <n v="336"/>
    <n v="8.7136409227683051E-2"/>
    <n v="695"/>
    <n v="8671"/>
    <n v="8800"/>
    <n v="824"/>
    <x v="97"/>
    <s v="6.97%-10.46%"/>
    <m/>
    <m/>
    <m/>
    <m/>
    <n v="0"/>
    <n v="8800"/>
    <n v="824"/>
    <n v="0.10330992978936804"/>
    <n v="14"/>
    <n v="450"/>
    <m/>
    <n v="688"/>
    <n v="129288"/>
    <n v="4"/>
    <m/>
    <m/>
    <m/>
    <s v="Li Chaozi （1211022）"/>
    <s v="Mo Xiaohong（11005372）"/>
    <s v="Zhao Chujun"/>
    <m/>
    <m/>
    <m/>
    <s v="OK"/>
  </r>
  <r>
    <s v="CN15"/>
    <n v="1717017"/>
    <s v="陈 秦"/>
    <s v="Chen Qin"/>
    <s v="Indirect Active"/>
    <s v="OP"/>
    <s v="GQM"/>
    <s v="FCLCh-QMP"/>
    <s v="310604"/>
    <d v="2020-08-01T00:00:00"/>
    <s v="Engineer"/>
    <s v="Engineer of Quality"/>
    <x v="2"/>
    <n v="2"/>
    <x v="2"/>
    <n v="5528"/>
    <n v="0.03"/>
    <n v="166"/>
    <n v="0"/>
    <n v="0"/>
    <n v="3.0028943560057888E-2"/>
    <n v="166"/>
    <n v="5694"/>
    <n v="5704"/>
    <n v="176"/>
    <x v="98"/>
    <s v="2.40%-3.60%"/>
    <m/>
    <m/>
    <m/>
    <m/>
    <n v="0"/>
    <n v="5704"/>
    <n v="176"/>
    <n v="3.183791606367592E-2"/>
    <n v="14"/>
    <n v="450"/>
    <m/>
    <n v="688"/>
    <n v="85944"/>
    <n v="3"/>
    <m/>
    <m/>
    <m/>
    <s v="Li Chaozi （1211022）"/>
    <s v="Mo Xiaohong（11005372）"/>
    <s v="Zhao Chujun"/>
    <m/>
    <m/>
    <m/>
    <s v="OK"/>
  </r>
  <r>
    <s v="CN15"/>
    <n v="15013562"/>
    <s v="段 宗为"/>
    <s v="Duan Zongwei"/>
    <s v="Indirect Active"/>
    <s v="OP"/>
    <s v="GQM"/>
    <s v="GQM-EDCS2"/>
    <s v="170600"/>
    <d v="2014-07-16T00:00:00"/>
    <s v="Senior Engineer"/>
    <s v="Senior Quality Engineer"/>
    <x v="1"/>
    <n v="2"/>
    <x v="5"/>
    <n v="12374"/>
    <n v="0"/>
    <n v="0"/>
    <n v="0"/>
    <n v="0"/>
    <n v="0"/>
    <n v="0"/>
    <n v="12374"/>
    <n v="12374"/>
    <n v="0"/>
    <x v="5"/>
    <s v="0.00%-0.00%"/>
    <m/>
    <m/>
    <m/>
    <m/>
    <n v="0"/>
    <n v="12374"/>
    <n v="0"/>
    <n v="0"/>
    <n v="14"/>
    <n v="450"/>
    <m/>
    <n v="688"/>
    <n v="179324"/>
    <n v="3"/>
    <m/>
    <m/>
    <m/>
    <s v="Li Chen（15022148）"/>
    <s v="Mo Xiaohong（11005372）"/>
    <s v="Zhao Chujun"/>
    <m/>
    <m/>
    <m/>
    <s v="OK"/>
  </r>
  <r>
    <s v="CN15"/>
    <n v="15020881"/>
    <s v="何 祖江"/>
    <s v="He Zujiang"/>
    <s v="Indirect Active"/>
    <s v="OP"/>
    <s v="GQM"/>
    <s v="GQM-EDCS2"/>
    <s v="170600"/>
    <d v="2021-02-01T00:00:00"/>
    <s v="Senior Engineer"/>
    <s v="Senior Quality Engineer"/>
    <x v="1"/>
    <n v="2"/>
    <x v="2"/>
    <n v="16847"/>
    <n v="0"/>
    <n v="0"/>
    <n v="0"/>
    <n v="0"/>
    <n v="0"/>
    <n v="0"/>
    <n v="16847"/>
    <n v="16847"/>
    <n v="0"/>
    <x v="5"/>
    <s v="0.00%-0.00%"/>
    <m/>
    <m/>
    <m/>
    <m/>
    <n v="0"/>
    <n v="16847"/>
    <n v="0"/>
    <n v="0"/>
    <n v="14"/>
    <n v="500"/>
    <m/>
    <n v="688"/>
    <n v="242546"/>
    <n v="3"/>
    <m/>
    <m/>
    <m/>
    <s v="Li Chen（15022148）"/>
    <s v="Mo Xiaohong（11005372）"/>
    <s v="Zhao Chujun"/>
    <m/>
    <m/>
    <m/>
    <s v="OK"/>
  </r>
  <r>
    <s v="CN15"/>
    <n v="15017323"/>
    <s v="胡 小兵"/>
    <s v="Hu Xiaobing"/>
    <s v="Indirect Active"/>
    <s v="OP"/>
    <s v="GQM"/>
    <s v="GQM-EDCS1"/>
    <s v="170600"/>
    <d v="2017-05-10T00:00:00"/>
    <s v="Associate Expert (CN)"/>
    <s v="Associate Expert (C)"/>
    <x v="0"/>
    <n v="2"/>
    <x v="2"/>
    <n v="15130"/>
    <n v="2.5000000000000001E-2"/>
    <n v="378"/>
    <n v="0"/>
    <n v="0"/>
    <n v="2.4983476536682089E-2"/>
    <n v="378"/>
    <n v="15508"/>
    <n v="15580"/>
    <n v="450"/>
    <x v="99"/>
    <s v="2.00%-3.00%"/>
    <m/>
    <m/>
    <m/>
    <m/>
    <n v="0"/>
    <n v="15580"/>
    <n v="450"/>
    <n v="2.9742233972240628E-2"/>
    <n v="14"/>
    <n v="450"/>
    <m/>
    <n v="688"/>
    <n v="224208"/>
    <n v="3"/>
    <m/>
    <m/>
    <m/>
    <s v="Li Chen（15022148）"/>
    <s v="Mo Xiaohong（11005372）"/>
    <s v="Zhao Chujun"/>
    <m/>
    <m/>
    <m/>
    <s v="OK"/>
  </r>
  <r>
    <s v="CN15"/>
    <n v="15021373"/>
    <s v="黄 婉露"/>
    <s v="Huang Wanlu"/>
    <s v="Indirect Active"/>
    <s v="OP"/>
    <s v="GQM"/>
    <s v="GQM-EDCD"/>
    <s v="170600"/>
    <d v="2021-06-02T00:00:00"/>
    <s v="Senior Engineer"/>
    <s v="Senior Quality Engineer"/>
    <x v="1"/>
    <n v="2"/>
    <x v="0"/>
    <n v="15564"/>
    <n v="0.04"/>
    <n v="623"/>
    <n v="0"/>
    <n v="0"/>
    <n v="4.002827036751478E-2"/>
    <n v="623"/>
    <n v="16187"/>
    <n v="15564"/>
    <n v="0"/>
    <x v="5"/>
    <s v="3.20%-4.80%"/>
    <s v="Promotion"/>
    <s v="Functional Specialist"/>
    <s v="A6"/>
    <n v="7.0000000000000007E-2"/>
    <n v="1089"/>
    <n v="16653"/>
    <n v="1089"/>
    <n v="6.9969159599074793E-2"/>
    <n v="14"/>
    <n v="450"/>
    <m/>
    <n v="688"/>
    <n v="239230"/>
    <n v="3"/>
    <m/>
    <s v="Take dual role of QMD and QML with high efficiency, actively contribute in strategic project."/>
    <s v="Combined with promotion"/>
    <s v="Li Chen（15022148）"/>
    <s v="Mo Xiaohong（11005372）"/>
    <s v="Zhao Chujun"/>
    <m/>
    <m/>
    <m/>
    <s v="0 increase"/>
  </r>
  <r>
    <s v="CN15"/>
    <n v="15019480"/>
    <s v="黄 新辉"/>
    <s v="Huang Xinhui"/>
    <s v="Indirect Active"/>
    <s v="OP"/>
    <s v="GQM"/>
    <s v="GQM-EDCS2"/>
    <s v="170600"/>
    <d v="2018-05-23T00:00:00"/>
    <s v="Senior Engineer"/>
    <s v="Senior Quality Engineer"/>
    <x v="1"/>
    <n v="2"/>
    <x v="2"/>
    <n v="16700"/>
    <n v="0"/>
    <n v="0"/>
    <n v="0"/>
    <n v="0"/>
    <n v="0"/>
    <n v="0"/>
    <n v="16700"/>
    <n v="16700"/>
    <n v="0"/>
    <x v="5"/>
    <s v="0.00%-0.00%"/>
    <m/>
    <m/>
    <m/>
    <m/>
    <n v="0"/>
    <n v="16700"/>
    <n v="0"/>
    <n v="0"/>
    <n v="14"/>
    <n v="550"/>
    <m/>
    <n v="688"/>
    <n v="241088"/>
    <n v="3"/>
    <m/>
    <m/>
    <m/>
    <s v="Li Chen（15022148）"/>
    <s v="Mo Xiaohong（11005372）"/>
    <s v="Zhao Chujun"/>
    <m/>
    <m/>
    <m/>
    <s v="OK"/>
  </r>
  <r>
    <s v="CN15"/>
    <n v="15015204"/>
    <s v="李 盼"/>
    <s v="Li Pan"/>
    <s v="Indirect Active"/>
    <s v="OP"/>
    <s v="GQM"/>
    <s v="GQM-EDCS1"/>
    <s v="170600"/>
    <d v="2016-04-13T00:00:00"/>
    <s v="Expert (CN)"/>
    <s v="Expert (CN)"/>
    <x v="3"/>
    <n v="2"/>
    <x v="1"/>
    <n v="14578"/>
    <n v="4.4999999999999998E-2"/>
    <n v="656"/>
    <n v="4.2099999999999999E-2"/>
    <n v="614"/>
    <n v="8.7117574427219097E-2"/>
    <n v="1270"/>
    <n v="15848"/>
    <n v="15860"/>
    <n v="1282"/>
    <x v="100"/>
    <s v="6.97%-10.45%"/>
    <m/>
    <m/>
    <m/>
    <m/>
    <n v="0"/>
    <n v="15860"/>
    <n v="1282"/>
    <n v="8.7940732610783279E-2"/>
    <n v="14"/>
    <n v="450"/>
    <m/>
    <n v="688"/>
    <n v="228128"/>
    <n v="3"/>
    <m/>
    <m/>
    <m/>
    <s v="Li Chen（15022148）"/>
    <s v="Mo Xiaohong（11005372）"/>
    <s v="Zhao Chujun"/>
    <m/>
    <m/>
    <m/>
    <s v="OK"/>
  </r>
  <r>
    <s v="CN15"/>
    <n v="15020887"/>
    <s v="吕 娇"/>
    <s v="Lv Jiao"/>
    <s v="Indirect Active"/>
    <s v="OP"/>
    <s v="GQM"/>
    <s v="GQM-EDCS1"/>
    <s v="170600"/>
    <d v="2021-02-22T00:00:00"/>
    <s v="Senior Engineer"/>
    <s v="Senior Engineer"/>
    <x v="1"/>
    <n v="2"/>
    <x v="2"/>
    <n v="17248"/>
    <n v="0"/>
    <n v="0"/>
    <n v="0"/>
    <n v="0"/>
    <n v="0"/>
    <n v="0"/>
    <n v="17248"/>
    <n v="17248"/>
    <n v="0"/>
    <x v="5"/>
    <s v="0.00%-0.00%"/>
    <m/>
    <m/>
    <m/>
    <m/>
    <n v="0"/>
    <n v="17248"/>
    <n v="0"/>
    <n v="0"/>
    <n v="14"/>
    <n v="450"/>
    <m/>
    <n v="688"/>
    <n v="247560"/>
    <n v="5"/>
    <m/>
    <m/>
    <m/>
    <s v="Li Chen（15022148）"/>
    <s v="Mo Xiaohong（11005372）"/>
    <s v="Zhao Chujun"/>
    <m/>
    <m/>
    <m/>
    <s v="OK"/>
  </r>
  <r>
    <s v="CN15"/>
    <n v="15019461"/>
    <s v="乔 守华"/>
    <s v="Qiao Shouhua"/>
    <s v="Indirect Active"/>
    <s v="OP"/>
    <s v="GQM"/>
    <s v="GQM-EDCS2"/>
    <s v="170600"/>
    <d v="2018-05-16T00:00:00"/>
    <s v="Functional Specialist"/>
    <s v="Functional Specialist"/>
    <x v="0"/>
    <n v="2"/>
    <x v="2"/>
    <n v="20998"/>
    <n v="0"/>
    <n v="0"/>
    <n v="0"/>
    <n v="0"/>
    <n v="0"/>
    <n v="0"/>
    <n v="20998"/>
    <n v="20998"/>
    <n v="0"/>
    <x v="5"/>
    <s v="0.00%-0.00%"/>
    <m/>
    <m/>
    <m/>
    <m/>
    <n v="0"/>
    <n v="20998"/>
    <n v="0"/>
    <n v="0"/>
    <n v="14"/>
    <n v="2500"/>
    <m/>
    <n v="688"/>
    <n v="324660"/>
    <n v="5"/>
    <m/>
    <m/>
    <m/>
    <s v="Li Chen（15022148）"/>
    <s v="Mo Xiaohong（11005372）"/>
    <s v="Zhao Chujun"/>
    <m/>
    <m/>
    <m/>
    <s v="OK"/>
  </r>
  <r>
    <s v="CN15"/>
    <n v="15021707"/>
    <s v="乔 阳"/>
    <s v="Qiao Yang"/>
    <s v="Indirect Active"/>
    <s v="OP"/>
    <s v="GQM"/>
    <s v="GQM-EDCL"/>
    <s v="170600"/>
    <d v="2021-09-01T00:00:00"/>
    <s v="Engineer"/>
    <s v="Quality Engineer"/>
    <x v="2"/>
    <n v="2"/>
    <x v="1"/>
    <n v="13000"/>
    <n v="0.03"/>
    <n v="390"/>
    <n v="0"/>
    <n v="0"/>
    <n v="0.03"/>
    <n v="390"/>
    <n v="13390"/>
    <n v="13000"/>
    <n v="0"/>
    <x v="5"/>
    <s v="2.40%-3.60%"/>
    <s v="Promotion"/>
    <s v="Senior Quality Engineer"/>
    <s v="A5"/>
    <n v="7.6999999999999999E-2"/>
    <n v="1001"/>
    <n v="14001"/>
    <n v="1001"/>
    <n v="7.6999999999999957E-2"/>
    <n v="14"/>
    <n v="450"/>
    <m/>
    <n v="688"/>
    <n v="202102"/>
    <n v="3"/>
    <m/>
    <s v="Use promotion budget"/>
    <s v="Combined with promotion"/>
    <s v="Li Chen（15022148）"/>
    <s v="Mo Xiaohong（11005372）"/>
    <s v="Zhao Chujun"/>
    <m/>
    <m/>
    <m/>
    <s v="0 increase"/>
  </r>
  <r>
    <s v="CN15"/>
    <n v="15007669"/>
    <s v="王 荣军"/>
    <s v="Wang Rongjun"/>
    <s v="Indirect Active"/>
    <s v="OP"/>
    <s v="GQM"/>
    <s v="GQM-EDCS1"/>
    <s v="170600"/>
    <d v="2012-05-02T00:00:00"/>
    <s v="Associate Expert (CN)"/>
    <s v="Senior Quality Engineer"/>
    <x v="0"/>
    <n v="2"/>
    <x v="2"/>
    <n v="17216"/>
    <n v="2.5000000000000001E-2"/>
    <n v="430"/>
    <n v="0"/>
    <n v="0"/>
    <n v="2.4976765799256506E-2"/>
    <n v="430"/>
    <n v="17646"/>
    <n v="17646"/>
    <n v="430"/>
    <x v="13"/>
    <s v="2.00%-3.00%"/>
    <m/>
    <m/>
    <m/>
    <m/>
    <n v="0"/>
    <n v="17646"/>
    <n v="430"/>
    <n v="2.4976765799256562E-2"/>
    <n v="14"/>
    <n v="450"/>
    <m/>
    <n v="688"/>
    <n v="253132"/>
    <n v="3"/>
    <m/>
    <m/>
    <m/>
    <s v="Li Chen（15022148）"/>
    <s v="Mo Xiaohong（11005372）"/>
    <s v="Zhao Chujun"/>
    <m/>
    <m/>
    <m/>
    <s v="OK"/>
  </r>
  <r>
    <s v="CN15"/>
    <n v="15019479"/>
    <s v="王 昕臻"/>
    <s v="Wang Xinzhen"/>
    <s v="Indirect Active"/>
    <s v="OP"/>
    <s v="GQM"/>
    <s v="GQM-EDCS1"/>
    <s v="170600"/>
    <d v="2018-05-23T00:00:00"/>
    <s v="Manager"/>
    <s v="Head of 1Tier Supplier"/>
    <x v="3"/>
    <n v="2"/>
    <x v="2"/>
    <n v="26480"/>
    <n v="0"/>
    <n v="0"/>
    <n v="0"/>
    <n v="0"/>
    <n v="0"/>
    <n v="0"/>
    <n v="26480"/>
    <n v="26480"/>
    <n v="0"/>
    <x v="5"/>
    <s v="0.00%-0.00%"/>
    <m/>
    <m/>
    <m/>
    <m/>
    <n v="0"/>
    <n v="26480"/>
    <n v="0"/>
    <n v="0"/>
    <n v="14"/>
    <n v="450"/>
    <m/>
    <n v="688"/>
    <n v="376808"/>
    <n v="3"/>
    <m/>
    <m/>
    <m/>
    <s v="Li Chen（15022148）"/>
    <s v="Mo Xiaohong（11005372）"/>
    <s v="Zhao Chujun"/>
    <m/>
    <m/>
    <m/>
    <s v="OK"/>
  </r>
  <r>
    <s v="CN15"/>
    <n v="15022188"/>
    <s v="王 学杰"/>
    <s v="Wang Xuejie"/>
    <s v="Indirect Active"/>
    <s v="OP"/>
    <s v="GQM"/>
    <s v="GQM-EDCL"/>
    <s v="170600"/>
    <d v="2022-05-25T00:00:00"/>
    <s v="Senior Engineer"/>
    <s v="Senior Quality Engineer"/>
    <x v="1"/>
    <n v="2"/>
    <x v="2"/>
    <n v="14629"/>
    <n v="0"/>
    <n v="0"/>
    <n v="0"/>
    <n v="0"/>
    <n v="0"/>
    <n v="0"/>
    <n v="14629"/>
    <n v="14629"/>
    <n v="0"/>
    <x v="5"/>
    <s v="0.00%-0.00%"/>
    <m/>
    <m/>
    <m/>
    <m/>
    <n v="0"/>
    <n v="14629"/>
    <n v="0"/>
    <n v="0"/>
    <n v="14"/>
    <n v="450"/>
    <m/>
    <n v="688"/>
    <n v="210894"/>
    <n v="4"/>
    <m/>
    <m/>
    <m/>
    <s v="Li Chen（15022148）"/>
    <s v="Mo Xiaohong（11005372）"/>
    <s v="Zhao Chujun"/>
    <m/>
    <m/>
    <m/>
    <s v="OK"/>
  </r>
  <r>
    <s v="CN15"/>
    <n v="15011556"/>
    <s v="王 跃印"/>
    <s v="Wang Yueyin"/>
    <s v="Indirect Active"/>
    <s v="OP"/>
    <s v="GQM"/>
    <s v="GQM-EDCS2"/>
    <s v="170600"/>
    <d v="2013-08-27T00:00:00"/>
    <s v="Expert (CN)"/>
    <s v="Expert (CN)"/>
    <x v="3"/>
    <n v="2"/>
    <x v="1"/>
    <n v="20978"/>
    <n v="3.7500000000000006E-2"/>
    <n v="787"/>
    <n v="1.55E-2"/>
    <n v="325"/>
    <n v="5.3007913051768517E-2"/>
    <n v="1112"/>
    <n v="22090"/>
    <n v="22090"/>
    <n v="1112"/>
    <x v="40"/>
    <s v="4.24%-6.36%"/>
    <m/>
    <m/>
    <m/>
    <m/>
    <n v="0"/>
    <n v="22090"/>
    <n v="1112"/>
    <n v="5.300791305176844E-2"/>
    <n v="14"/>
    <n v="450"/>
    <m/>
    <n v="688"/>
    <n v="315348"/>
    <n v="3"/>
    <m/>
    <m/>
    <m/>
    <s v="Li Chen（15022148）"/>
    <s v="Mo Xiaohong（11005372）"/>
    <s v="Zhao Chujun"/>
    <m/>
    <m/>
    <m/>
    <s v="OK"/>
  </r>
  <r>
    <s v="CN15"/>
    <n v="15002160"/>
    <s v="谢 兵"/>
    <s v="Xie Bing"/>
    <s v="Indirect Active"/>
    <s v="OP"/>
    <s v="GQM"/>
    <s v="GQM-EDCL"/>
    <s v="170600"/>
    <d v="2009-07-16T00:00:00"/>
    <s v="Functional Specialist"/>
    <s v="Functional Specialist"/>
    <x v="0"/>
    <n v="2"/>
    <x v="1"/>
    <n v="15568"/>
    <n v="3.7500000000000006E-2"/>
    <n v="584"/>
    <n v="1.55E-2"/>
    <n v="241"/>
    <n v="5.2993319630010277E-2"/>
    <n v="825"/>
    <n v="16393"/>
    <n v="16400"/>
    <n v="832"/>
    <x v="101"/>
    <s v="4.24%-6.36%"/>
    <m/>
    <m/>
    <m/>
    <m/>
    <n v="0"/>
    <n v="16400"/>
    <n v="832"/>
    <n v="5.3442959917780142E-2"/>
    <n v="14"/>
    <n v="450"/>
    <m/>
    <n v="688"/>
    <n v="235688"/>
    <n v="5"/>
    <m/>
    <m/>
    <m/>
    <s v="Li Chen（15022148）"/>
    <s v="Mo Xiaohong（11005372）"/>
    <s v="Zhao Chujun"/>
    <m/>
    <m/>
    <m/>
    <s v="OK"/>
  </r>
  <r>
    <s v="CN15"/>
    <n v="15022410"/>
    <s v="薛 振诺"/>
    <s v="Xue Zhennuo"/>
    <s v="Indirect Active"/>
    <s v="OP"/>
    <s v="GQM"/>
    <s v="GQM-EDCD"/>
    <s v="170600"/>
    <d v="2024-02-07T00:00:00"/>
    <s v="Senior Engineer"/>
    <s v="Senior Engineer"/>
    <x v="1"/>
    <n v="2"/>
    <x v="1"/>
    <n v="19450"/>
    <n v="1.4999999999999998E-2"/>
    <n v="292"/>
    <n v="0"/>
    <n v="0"/>
    <n v="1.5012853470437019E-2"/>
    <n v="292"/>
    <n v="19742"/>
    <n v="19800"/>
    <n v="350"/>
    <x v="16"/>
    <s v="1.20%-1.80%"/>
    <m/>
    <m/>
    <m/>
    <m/>
    <n v="0"/>
    <n v="19800"/>
    <n v="350"/>
    <n v="1.799485861182526E-2"/>
    <n v="14"/>
    <n v="450"/>
    <m/>
    <n v="688"/>
    <n v="283288"/>
    <n v="4"/>
    <m/>
    <m/>
    <m/>
    <s v="Li Chen（15022148）"/>
    <s v="Mo Xiaohong（11005372）"/>
    <s v="Zhao Chujun"/>
    <m/>
    <m/>
    <m/>
    <s v="OK"/>
  </r>
  <r>
    <s v="CN15"/>
    <n v="15006324"/>
    <s v="姚 曙艳"/>
    <s v="Yao Shuyan"/>
    <s v="Indirect Active"/>
    <s v="OP"/>
    <s v="GQM"/>
    <s v="GQM-EDCS2"/>
    <s v="170600"/>
    <d v="2011-06-15T00:00:00"/>
    <s v="Manager"/>
    <s v="Head of Supplier Production"/>
    <x v="3"/>
    <n v="2"/>
    <x v="2"/>
    <n v="25118"/>
    <n v="2.5000000000000001E-2"/>
    <n v="628"/>
    <n v="0"/>
    <n v="0"/>
    <n v="2.500199060434748E-2"/>
    <n v="628"/>
    <n v="25746"/>
    <n v="25800"/>
    <n v="682"/>
    <x v="102"/>
    <s v="2.00%-3.00%"/>
    <m/>
    <m/>
    <m/>
    <m/>
    <n v="0"/>
    <n v="25800"/>
    <n v="682"/>
    <n v="2.7151843299625833E-2"/>
    <n v="14"/>
    <n v="450"/>
    <m/>
    <n v="688"/>
    <n v="367288"/>
    <n v="3"/>
    <m/>
    <m/>
    <m/>
    <s v="Li Chen（15022148）"/>
    <s v="Mo Xiaohong（11005372）"/>
    <s v="Zhao Chujun"/>
    <m/>
    <m/>
    <m/>
    <s v="OK"/>
  </r>
  <r>
    <s v="CN15"/>
    <n v="15005392"/>
    <s v="俞 芳"/>
    <s v="Yu Fang"/>
    <s v="Indirect Active"/>
    <s v="OP"/>
    <s v="GQM"/>
    <s v="GQM-EDCL"/>
    <s v="170600"/>
    <d v="2011-03-09T00:00:00"/>
    <s v="Manager"/>
    <s v="Head of Lifecycle Quality"/>
    <x v="3"/>
    <n v="2"/>
    <x v="2"/>
    <n v="21333"/>
    <n v="2.5000000000000001E-2"/>
    <n v="533"/>
    <n v="0"/>
    <n v="0"/>
    <n v="2.4984765386959172E-2"/>
    <n v="533"/>
    <n v="21866"/>
    <n v="21900"/>
    <n v="567"/>
    <x v="103"/>
    <s v="2.00%-3.00%"/>
    <m/>
    <m/>
    <m/>
    <m/>
    <n v="0"/>
    <n v="21900"/>
    <n v="567"/>
    <n v="2.6578540289692087E-2"/>
    <n v="14"/>
    <n v="450"/>
    <m/>
    <n v="688"/>
    <n v="312688"/>
    <n v="3"/>
    <m/>
    <m/>
    <m/>
    <s v="Li Chen（15022148）"/>
    <s v="Mo Xiaohong（11005372）"/>
    <s v="Zhao Chujun"/>
    <m/>
    <m/>
    <m/>
    <s v="OK"/>
  </r>
  <r>
    <s v="CN15"/>
    <n v="11018344"/>
    <s v="卓 明琴"/>
    <s v="Zhuo Mingqin"/>
    <s v="Indirect Active"/>
    <s v="OP"/>
    <s v="GQM"/>
    <s v="GQM-EDCD"/>
    <s v="170600"/>
    <d v="2021-05-10T00:00:00"/>
    <s v="Manager"/>
    <s v="Head of Development"/>
    <x v="3"/>
    <n v="2"/>
    <x v="2"/>
    <n v="34000"/>
    <n v="0"/>
    <n v="0"/>
    <n v="0"/>
    <n v="0"/>
    <n v="0"/>
    <n v="0"/>
    <n v="34000"/>
    <n v="34340"/>
    <n v="340"/>
    <x v="87"/>
    <s v="0.00%-0.00%"/>
    <m/>
    <m/>
    <m/>
    <m/>
    <n v="0"/>
    <n v="34340"/>
    <n v="340"/>
    <n v="1.0000000000000009E-2"/>
    <n v="14"/>
    <n v="450"/>
    <m/>
    <n v="688"/>
    <n v="486848"/>
    <n v="3"/>
    <m/>
    <s v="Lead team to fulfill QMD work under 135% utilization rate. Lead strategic projects globally and locally. Handle critical topics with high dedication and strategic precision."/>
    <s v="Good performance and high potential"/>
    <s v="Li Chen（15022148）"/>
    <s v="Mo Xiaohong（11005372）"/>
    <s v="Zhao Chujun"/>
    <m/>
    <m/>
    <m/>
    <s v="&gt;20"/>
  </r>
  <r>
    <s v="CN15"/>
    <n v="15022537"/>
    <s v="蔡 颖"/>
    <s v="Cai Ying"/>
    <s v="Indirect Active"/>
    <s v="OP"/>
    <s v="GQM"/>
    <s v="FEDNa-QMP"/>
    <s v="370600"/>
    <d v="2025-07-01T00:00:00"/>
    <s v="Engineer"/>
    <s v="QMP Engineer"/>
    <x v="2"/>
    <n v="2"/>
    <x v="2"/>
    <n v="10500"/>
    <n v="0"/>
    <n v="0"/>
    <n v="0"/>
    <n v="0"/>
    <n v="0"/>
    <n v="0"/>
    <n v="10500"/>
    <n v="10800"/>
    <n v="300"/>
    <x v="57"/>
    <s v="0.00%-0.00%"/>
    <m/>
    <m/>
    <m/>
    <m/>
    <n v="0"/>
    <n v="10800"/>
    <n v="300"/>
    <n v="2.857142857142847E-2"/>
    <n v="14"/>
    <n v="450"/>
    <m/>
    <n v="688"/>
    <n v="157288"/>
    <e v="#N/A"/>
    <m/>
    <s v="AI talent, 2025 performance is not assessable due to offically join BSH in last Nov.. Strong performance in GQM-CN AI development team, visible achievement of digitalization project in FLCCh. Take the new role of RGC AI ambessor. At the same time, effectively perform the role of FEDNa QMP Engineer."/>
    <s v="Good performance and high potential"/>
    <s v="Li Chen（15022148）"/>
    <s v="Mo Xiaohong（11005372）"/>
    <s v="Zhao Chujun"/>
    <m/>
    <m/>
    <m/>
    <s v="&gt;20"/>
  </r>
  <r>
    <s v="CN15"/>
    <n v="15012475"/>
    <s v="顾 锦华"/>
    <s v="Gu Jinhua"/>
    <s v="Indirect Active"/>
    <s v="OP"/>
    <s v="GQM"/>
    <s v="FEDNa-QMS"/>
    <s v="370600"/>
    <d v="2013-12-26T00:00:00"/>
    <s v="Senior Engineer"/>
    <s v="Senior Quality Engineer"/>
    <x v="1"/>
    <n v="2"/>
    <x v="2"/>
    <n v="10350"/>
    <n v="2.5000000000000001E-2"/>
    <n v="259"/>
    <n v="0"/>
    <n v="0"/>
    <n v="2.5024154589371982E-2"/>
    <n v="259"/>
    <n v="10609"/>
    <n v="10557"/>
    <n v="207"/>
    <x v="36"/>
    <s v="2.00%-3.00%"/>
    <m/>
    <m/>
    <m/>
    <m/>
    <n v="0"/>
    <n v="10557"/>
    <n v="207"/>
    <n v="2.0000000000000018E-2"/>
    <n v="14"/>
    <n v="450"/>
    <m/>
    <n v="688"/>
    <n v="153886"/>
    <n v="3"/>
    <m/>
    <m/>
    <m/>
    <s v="Li Chen（15022148）"/>
    <s v="Mo Xiaohong（11005372）"/>
    <s v="Zhao Chujun"/>
    <m/>
    <m/>
    <m/>
    <s v="OK"/>
  </r>
  <r>
    <s v="CN15"/>
    <n v="15001578"/>
    <s v="陆 文斌"/>
    <s v="Lu Wenbin"/>
    <s v="Indirect Active"/>
    <s v="OP"/>
    <s v="GQM"/>
    <s v="FEDNa-QMS"/>
    <s v="370600"/>
    <d v="2008-05-06T00:00:00"/>
    <s v="Engineer"/>
    <s v="Quality Engineer"/>
    <x v="2"/>
    <n v="2"/>
    <x v="2"/>
    <n v="9750"/>
    <n v="0"/>
    <n v="0"/>
    <n v="0"/>
    <n v="0"/>
    <n v="0"/>
    <n v="0"/>
    <n v="9750"/>
    <n v="9750"/>
    <n v="0"/>
    <x v="5"/>
    <s v="0.00%-0.00%"/>
    <m/>
    <m/>
    <m/>
    <m/>
    <n v="0"/>
    <n v="9750"/>
    <n v="0"/>
    <n v="0"/>
    <n v="14"/>
    <n v="450"/>
    <m/>
    <n v="688"/>
    <n v="142588"/>
    <n v="3"/>
    <m/>
    <m/>
    <m/>
    <s v="Li Chen（15022148）"/>
    <s v="Mo Xiaohong（11005372）"/>
    <s v="Zhao Chujun"/>
    <m/>
    <m/>
    <m/>
    <s v="OK"/>
  </r>
  <r>
    <s v="CN15"/>
    <n v="15007338"/>
    <s v="马 勇韬"/>
    <s v="Ma Yongtao"/>
    <s v="Indirect Active"/>
    <s v="OP"/>
    <s v="GQM"/>
    <s v="FEDNa-QMS"/>
    <s v="370600"/>
    <d v="2011-10-14T00:00:00"/>
    <s v="Supervisor"/>
    <s v="Head of Incoming Inspection"/>
    <x v="0"/>
    <n v="2"/>
    <x v="2"/>
    <n v="15332"/>
    <n v="2.5000000000000001E-2"/>
    <n v="383"/>
    <n v="0"/>
    <n v="0"/>
    <n v="2.4980433081137489E-2"/>
    <n v="383"/>
    <n v="15715"/>
    <n v="15790"/>
    <n v="458"/>
    <x v="2"/>
    <s v="2.00%-3.00%"/>
    <m/>
    <m/>
    <m/>
    <m/>
    <n v="0"/>
    <n v="15790"/>
    <n v="458"/>
    <n v="2.9872162796764856E-2"/>
    <n v="14"/>
    <n v="450"/>
    <m/>
    <n v="688"/>
    <n v="227148"/>
    <n v="4"/>
    <m/>
    <m/>
    <m/>
    <s v="Li Chen（15022148）"/>
    <s v="Mo Xiaohong（11005372）"/>
    <s v="Zhao Chujun"/>
    <m/>
    <m/>
    <m/>
    <s v="OK"/>
  </r>
  <r>
    <s v="CN15"/>
    <n v="15022532"/>
    <s v="史 浩然"/>
    <s v="Shi Haoran"/>
    <s v="Indirect Active"/>
    <s v="OP"/>
    <s v="GQM"/>
    <s v="FEDNa-QMS"/>
    <s v="370600"/>
    <d v="2024-09-11T00:00:00"/>
    <s v="Engineer"/>
    <s v="Supplier Quality Engineer"/>
    <x v="2"/>
    <n v="2"/>
    <x v="2"/>
    <n v="10550"/>
    <n v="0"/>
    <n v="0"/>
    <n v="0"/>
    <n v="0"/>
    <n v="0"/>
    <n v="0"/>
    <n v="10550"/>
    <n v="10550"/>
    <n v="0"/>
    <x v="5"/>
    <s v="0.00%-0.00%"/>
    <m/>
    <m/>
    <m/>
    <m/>
    <n v="0"/>
    <n v="10550"/>
    <n v="0"/>
    <n v="0"/>
    <n v="14"/>
    <n v="550"/>
    <m/>
    <n v="688"/>
    <n v="154988"/>
    <n v="3"/>
    <m/>
    <m/>
    <m/>
    <s v="Li Chen（15022148）"/>
    <s v="Mo Xiaohong（11005372）"/>
    <s v="Zhao Chujun"/>
    <m/>
    <m/>
    <m/>
    <s v="OK"/>
  </r>
  <r>
    <s v="CN15"/>
    <n v="15002061"/>
    <s v="谈 苏成"/>
    <s v="Tan Sucheng"/>
    <s v="Indirect Active"/>
    <s v="OP"/>
    <s v="GQM"/>
    <s v="FEDNa-QMP"/>
    <s v="370600"/>
    <d v="2011-07-01T00:00:00"/>
    <s v="Senior Engineer"/>
    <s v="Senior Quality Engineer"/>
    <x v="1"/>
    <n v="2"/>
    <x v="1"/>
    <n v="8067"/>
    <n v="4.4999999999999998E-2"/>
    <n v="363"/>
    <n v="4.2099999999999999E-2"/>
    <n v="340"/>
    <n v="8.7145159290938384E-2"/>
    <n v="703"/>
    <n v="8770"/>
    <n v="8800"/>
    <n v="733"/>
    <x v="104"/>
    <s v="6.97%-10.46%"/>
    <m/>
    <m/>
    <m/>
    <m/>
    <n v="0"/>
    <n v="8800"/>
    <n v="733"/>
    <n v="9.0864013883723782E-2"/>
    <n v="14"/>
    <n v="510"/>
    <m/>
    <n v="688"/>
    <n v="130008"/>
    <n v="3"/>
    <m/>
    <m/>
    <m/>
    <s v="Li Chen（15022148）"/>
    <s v="Mo Xiaohong（11005372）"/>
    <s v="Zhao Chujun"/>
    <m/>
    <m/>
    <m/>
    <s v="OK"/>
  </r>
  <r>
    <s v="CN15"/>
    <n v="15003047"/>
    <s v="徐 业树"/>
    <s v="Xu Yeshu"/>
    <s v="Indirect Active"/>
    <s v="OP"/>
    <s v="GQM"/>
    <s v="FEDNa-QMP"/>
    <s v="370600"/>
    <d v="2018-08-15T00:00:00"/>
    <s v="Supervisor"/>
    <s v="Head of Product Quality"/>
    <x v="0"/>
    <n v="2"/>
    <x v="2"/>
    <n v="16756"/>
    <n v="2.5000000000000001E-2"/>
    <n v="419"/>
    <n v="0"/>
    <n v="0"/>
    <n v="2.5005968011458581E-2"/>
    <n v="419"/>
    <n v="17175"/>
    <n v="17258"/>
    <n v="502"/>
    <x v="11"/>
    <s v="2.00%-3.00%"/>
    <m/>
    <m/>
    <m/>
    <m/>
    <n v="0"/>
    <n v="17258"/>
    <n v="502"/>
    <n v="2.9959417522081644E-2"/>
    <n v="14"/>
    <n v="450"/>
    <m/>
    <n v="688"/>
    <n v="247700"/>
    <n v="4"/>
    <m/>
    <m/>
    <m/>
    <s v="Li Chen（15022148）"/>
    <s v="Mo Xiaohong（11005372）"/>
    <s v="Zhao Chujun"/>
    <m/>
    <m/>
    <m/>
    <s v="OK"/>
  </r>
  <r>
    <s v="CN15"/>
    <n v="15001872"/>
    <s v="陈 宁"/>
    <s v="Chen Ning"/>
    <s v="Indirect Active"/>
    <s v="OP"/>
    <s v="GQM"/>
    <s v="FLCNa-QM"/>
    <s v="340600"/>
    <d v="2017-08-14T00:00:00"/>
    <s v="Engineer"/>
    <s v="Quality Engineer"/>
    <x v="2"/>
    <n v="2"/>
    <x v="2"/>
    <n v="9430"/>
    <n v="0"/>
    <n v="0"/>
    <n v="0"/>
    <n v="0"/>
    <n v="0"/>
    <n v="0"/>
    <n v="9430"/>
    <n v="9430"/>
    <n v="0"/>
    <x v="5"/>
    <s v="0.00%-0.00%"/>
    <m/>
    <m/>
    <m/>
    <m/>
    <n v="0"/>
    <n v="9430"/>
    <n v="0"/>
    <n v="0"/>
    <n v="14"/>
    <n v="450"/>
    <m/>
    <n v="688"/>
    <n v="138108"/>
    <n v="3"/>
    <m/>
    <m/>
    <m/>
    <s v="Zhu Chen (15010791)"/>
    <s v="Mo Xiaohong（11005372）"/>
    <s v="Zhao Chujun"/>
    <m/>
    <m/>
    <m/>
    <s v="OK"/>
  </r>
  <r>
    <s v="CN15"/>
    <n v="15007383"/>
    <s v="戴 容"/>
    <s v="Dai Rong"/>
    <s v="Indirect Active"/>
    <s v="OP"/>
    <s v="GQM"/>
    <s v="FLCNa-QM"/>
    <s v="340600"/>
    <d v="2011-11-02T00:00:00"/>
    <s v="Senior Engineer"/>
    <s v="Senior Quality Engineer"/>
    <x v="1"/>
    <n v="2"/>
    <x v="2"/>
    <n v="10448"/>
    <n v="2.5000000000000001E-2"/>
    <n v="261"/>
    <n v="0"/>
    <n v="0"/>
    <n v="2.4980857580398162E-2"/>
    <n v="261"/>
    <n v="10709"/>
    <n v="10760"/>
    <n v="312"/>
    <x v="2"/>
    <s v="2.00%-3.00%"/>
    <m/>
    <m/>
    <m/>
    <m/>
    <n v="0"/>
    <n v="10760"/>
    <n v="312"/>
    <n v="2.9862174578866751E-2"/>
    <n v="14"/>
    <n v="550"/>
    <m/>
    <n v="688"/>
    <n v="157928"/>
    <n v="3"/>
    <m/>
    <m/>
    <m/>
    <s v="Zhu Chen (15010791)"/>
    <s v="Mo Xiaohong（11005372）"/>
    <s v="Zhao Chujun"/>
    <m/>
    <m/>
    <m/>
    <s v="OK"/>
  </r>
  <r>
    <s v="CN15"/>
    <n v="15002626"/>
    <s v="李 超"/>
    <s v="Li Chao"/>
    <s v="Indirect Active"/>
    <s v="OP"/>
    <s v="GQM"/>
    <s v="FLCNa-QM"/>
    <s v="340600"/>
    <d v="2010-07-01T00:00:00"/>
    <s v="Engineer"/>
    <s v="Quality Engineer"/>
    <x v="2"/>
    <n v="2"/>
    <x v="0"/>
    <n v="9860"/>
    <n v="0.03"/>
    <n v="296"/>
    <n v="0"/>
    <n v="0"/>
    <n v="3.0020283975659229E-2"/>
    <n v="296"/>
    <n v="10156"/>
    <n v="10200"/>
    <n v="340"/>
    <x v="105"/>
    <s v="2.40%-3.60%"/>
    <s v="Promotion"/>
    <s v="Senior Quality Engineer"/>
    <s v="A5"/>
    <n v="0.05"/>
    <n v="493"/>
    <n v="10693"/>
    <n v="833"/>
    <n v="8.4482758620689546E-2"/>
    <n v="14"/>
    <n v="450"/>
    <m/>
    <n v="688"/>
    <n v="155790"/>
    <n v="3"/>
    <m/>
    <s v="1. High perfomer, overqualify current position, ranking5_x000a_2. Young talent in FLCNa factory QM team, EDSP box3_x000a_3. T-shape with multiple skill in Problem solving, Manufacturing engineering, Training vedio filming&amp;producing_x000a_4. Fullfil capability required for Senior QMP Enginner and show high potential to be further developed to QMP functional specialist in coming 1-3 years."/>
    <s v="Good performance and high potential"/>
    <s v="Zhu Chen (15010791)"/>
    <s v="Mo Xiaohong（11005372）"/>
    <s v="Zhao Chujun"/>
    <m/>
    <m/>
    <m/>
    <s v="OK"/>
  </r>
  <r>
    <s v="CN15"/>
    <n v="15022340"/>
    <s v="潘 婷"/>
    <s v="Pan Ting"/>
    <s v="Indirect Active"/>
    <s v="OP"/>
    <s v="GQM"/>
    <s v="FLCNa-QMP"/>
    <s v="340600"/>
    <d v="2023-04-19T00:00:00"/>
    <s v="Manager"/>
    <s v="Head of Product Quality"/>
    <x v="3"/>
    <n v="2"/>
    <x v="2"/>
    <n v="21768"/>
    <n v="2.5000000000000001E-2"/>
    <n v="544"/>
    <n v="0"/>
    <n v="0"/>
    <n v="2.4990812201396546E-2"/>
    <n v="544"/>
    <n v="22312"/>
    <n v="22210"/>
    <n v="442"/>
    <x v="23"/>
    <s v="2.00%-3.00%"/>
    <m/>
    <m/>
    <m/>
    <m/>
    <n v="0"/>
    <n v="22210"/>
    <n v="442"/>
    <n v="2.0305034913634668E-2"/>
    <n v="14"/>
    <n v="450"/>
    <m/>
    <n v="688"/>
    <n v="317028"/>
    <n v="3"/>
    <m/>
    <m/>
    <m/>
    <s v="Zhu Chen (15010791)"/>
    <s v="Mo Xiaohong（11005372）"/>
    <s v="Zhao Chujun"/>
    <m/>
    <m/>
    <m/>
    <s v="OK"/>
  </r>
  <r>
    <s v="CN15"/>
    <n v="1120285"/>
    <s v="沙 亚永"/>
    <s v="Sha Yayong"/>
    <s v="Indirect Active"/>
    <s v="OP"/>
    <s v="GQM"/>
    <s v="FLCNa-QM"/>
    <s v="340600"/>
    <d v="2020-12-01T00:00:00"/>
    <s v="Senior Engineer"/>
    <s v="Senior QM Engineer"/>
    <x v="1"/>
    <n v="2"/>
    <x v="2"/>
    <n v="12834"/>
    <n v="0"/>
    <n v="0"/>
    <n v="0"/>
    <n v="0"/>
    <n v="0"/>
    <n v="0"/>
    <n v="12834"/>
    <n v="12834"/>
    <n v="0"/>
    <x v="5"/>
    <s v="0.00%-0.00%"/>
    <m/>
    <m/>
    <m/>
    <m/>
    <n v="0"/>
    <n v="12834"/>
    <n v="0"/>
    <n v="0"/>
    <n v="14"/>
    <n v="850"/>
    <m/>
    <n v="688"/>
    <n v="190564"/>
    <n v="4"/>
    <m/>
    <m/>
    <m/>
    <s v="Zhu Chen (15010791)"/>
    <s v="Mo Xiaohong（11005372）"/>
    <s v="Zhao Chujun"/>
    <m/>
    <m/>
    <m/>
    <s v="OK"/>
  </r>
  <r>
    <s v="CN15"/>
    <n v="15020110"/>
    <s v="王 程程"/>
    <s v="Wang Chengcheng"/>
    <s v="Indirect Active"/>
    <s v="OP"/>
    <s v="GQM"/>
    <s v="FLCNa-QMS"/>
    <s v="340601"/>
    <d v="2020-07-01T00:00:00"/>
    <s v="Engineer"/>
    <s v="Incoming Quality Engineer"/>
    <x v="2"/>
    <n v="2"/>
    <x v="1"/>
    <n v="8720"/>
    <n v="0.03"/>
    <n v="262"/>
    <n v="0"/>
    <n v="0"/>
    <n v="3.0045871559633029E-2"/>
    <n v="262"/>
    <n v="8982"/>
    <n v="9020"/>
    <n v="300"/>
    <x v="106"/>
    <s v="2.40%-3.61%"/>
    <s v="Promotion"/>
    <s v="Senior Quality Engineer"/>
    <s v="A5"/>
    <n v="0.05"/>
    <n v="436"/>
    <n v="9456"/>
    <n v="736"/>
    <n v="8.4403669724770536E-2"/>
    <n v="14"/>
    <n v="450"/>
    <m/>
    <n v="688"/>
    <n v="138472"/>
    <n v="3"/>
    <m/>
    <s v="1. High perfomer, overqualify current position, ranking4_x000a_3. T-shape with multiple skill in Problem solving, Supplier quality management and Digital inspection technology._x000a_4. Fullfil capability required for Senior QMS Enginner and show high potential to be further developed to QMS functional specialist in coming 3-5 years."/>
    <s v="Good performance and high potential"/>
    <s v="Zhu Chen (15010791)"/>
    <s v="Mo Xiaohong（11005372）"/>
    <s v="Zhao Chujun"/>
    <m/>
    <m/>
    <m/>
    <s v="OK"/>
  </r>
  <r>
    <s v="CN15"/>
    <n v="1114068"/>
    <s v="王 成刚"/>
    <s v="Wang Chenggang"/>
    <s v="Indirect Active"/>
    <s v="OP"/>
    <s v="GQM"/>
    <s v="FLCCh-QMP"/>
    <s v="340600"/>
    <d v="1995-07-01T00:00:00"/>
    <s v="Supervisor"/>
    <s v="Head of FLCCh-QMP"/>
    <x v="0"/>
    <n v="2"/>
    <x v="2"/>
    <n v="14586"/>
    <n v="2.5000000000000001E-2"/>
    <n v="365"/>
    <n v="0"/>
    <n v="0"/>
    <n v="2.5023995612230905E-2"/>
    <n v="365"/>
    <n v="14951"/>
    <n v="15000"/>
    <n v="414"/>
    <x v="107"/>
    <s v="2.00%-3.00%"/>
    <m/>
    <m/>
    <m/>
    <m/>
    <n v="0"/>
    <n v="15000"/>
    <n v="414"/>
    <n v="2.8383381324557755E-2"/>
    <n v="14"/>
    <n v="450"/>
    <m/>
    <n v="688"/>
    <n v="216088"/>
    <n v="3"/>
    <m/>
    <m/>
    <m/>
    <s v="Zhu Chen (15010791)"/>
    <s v="Mo Xiaohong（11005372）"/>
    <s v="Zhao Chujun"/>
    <m/>
    <m/>
    <m/>
    <s v="OK"/>
  </r>
  <r>
    <s v="CN15"/>
    <n v="1120200"/>
    <s v="高 节明"/>
    <s v="Gao Jieming"/>
    <s v="Indirect Active"/>
    <s v="OP"/>
    <s v="GQM"/>
    <s v="FLCCh-QMS"/>
    <s v="340601"/>
    <d v="2018-01-26T00:00:00"/>
    <s v="Supervisor"/>
    <s v="Head of FLCCh-QMS"/>
    <x v="0"/>
    <n v="2"/>
    <x v="2"/>
    <n v="15306"/>
    <n v="0.03"/>
    <n v="459"/>
    <n v="0"/>
    <n v="0"/>
    <n v="2.9988239905919246E-2"/>
    <n v="459"/>
    <n v="15765"/>
    <n v="15850"/>
    <n v="544"/>
    <x v="108"/>
    <s v="2.40%-3.60%"/>
    <m/>
    <m/>
    <m/>
    <m/>
    <n v="0"/>
    <n v="15850"/>
    <n v="544"/>
    <n v="3.5541617666274616E-2"/>
    <n v="14"/>
    <n v="850"/>
    <m/>
    <n v="688"/>
    <n v="232788"/>
    <n v="3"/>
    <m/>
    <m/>
    <m/>
    <s v="Zhu Chen (15010791)"/>
    <s v="Mo Xiaohong（11005372）"/>
    <s v="Zhao Chujun"/>
    <m/>
    <m/>
    <m/>
    <s v="OK"/>
  </r>
  <r>
    <s v="CN15"/>
    <n v="1120254"/>
    <s v="毛 忠模"/>
    <s v="Mao Zhongmo"/>
    <s v="Indirect Active"/>
    <s v="OP"/>
    <s v="GQM"/>
    <s v="FLCCh-QMS"/>
    <s v="340601"/>
    <d v="2020-05-25T00:00:00"/>
    <s v="Engineer"/>
    <s v="Engineer of Measurement"/>
    <x v="2"/>
    <n v="2"/>
    <x v="2"/>
    <n v="9610"/>
    <n v="2.5000000000000001E-2"/>
    <n v="240"/>
    <n v="0"/>
    <n v="0"/>
    <n v="2.497398543184183E-2"/>
    <n v="240"/>
    <n v="9850"/>
    <n v="9890"/>
    <n v="280"/>
    <x v="109"/>
    <s v="2.00%-3.00%"/>
    <m/>
    <m/>
    <m/>
    <m/>
    <n v="0"/>
    <n v="9890"/>
    <n v="280"/>
    <n v="2.9136316337148749E-2"/>
    <n v="14"/>
    <n v="450"/>
    <m/>
    <n v="688"/>
    <n v="144548"/>
    <n v="3"/>
    <m/>
    <m/>
    <m/>
    <s v="Zhu Chen (15010791)"/>
    <s v="Mo Xiaohong（11005372）"/>
    <s v="Zhao Chujun"/>
    <m/>
    <m/>
    <m/>
    <s v="OK"/>
  </r>
  <r>
    <s v="CN15"/>
    <n v="1120323"/>
    <s v="崔 立风"/>
    <s v="Cui lifeng"/>
    <s v="Indirect Active"/>
    <s v="OP"/>
    <s v="GQM"/>
    <s v="FLCCh-QMP"/>
    <s v="340600"/>
    <d v="2021-05-27T00:00:00"/>
    <s v="Senior Engineer"/>
    <s v="Senior Engineer"/>
    <x v="1"/>
    <n v="2"/>
    <x v="2"/>
    <n v="10628"/>
    <n v="2.5000000000000001E-2"/>
    <n v="266"/>
    <n v="0"/>
    <n v="0"/>
    <n v="2.502822732404968E-2"/>
    <n v="266"/>
    <n v="10894"/>
    <n v="10940"/>
    <n v="312"/>
    <x v="110"/>
    <s v="2.00%-3.00%"/>
    <m/>
    <m/>
    <m/>
    <m/>
    <n v="0"/>
    <n v="10940"/>
    <n v="312"/>
    <n v="2.9356417011667357E-2"/>
    <n v="14"/>
    <n v="450"/>
    <m/>
    <n v="688"/>
    <n v="159248"/>
    <n v="5"/>
    <m/>
    <m/>
    <m/>
    <s v="Zhu Chen (15010791)"/>
    <s v="Mo Xiaohong（11005372）"/>
    <s v="Zhao Chujun"/>
    <m/>
    <m/>
    <m/>
    <s v="OK"/>
  </r>
  <r>
    <s v="CN15"/>
    <n v="1120337"/>
    <s v="程 鹤龄"/>
    <s v="Cheng Heling"/>
    <s v="Indirect Active"/>
    <s v="OP"/>
    <s v="GQM"/>
    <s v="FLCCh-QMS"/>
    <s v="340601"/>
    <d v="2021-08-04T00:00:00"/>
    <s v="Engineer"/>
    <s v="Engineer of Quality"/>
    <x v="2"/>
    <n v="2"/>
    <x v="2"/>
    <n v="7888"/>
    <n v="0.03"/>
    <n v="237"/>
    <n v="0"/>
    <n v="0"/>
    <n v="3.0045638945233266E-2"/>
    <n v="237"/>
    <n v="8125"/>
    <n v="8150"/>
    <n v="262"/>
    <x v="52"/>
    <s v="2.40%-3.61%"/>
    <m/>
    <m/>
    <m/>
    <m/>
    <n v="0"/>
    <n v="8150"/>
    <n v="262"/>
    <n v="3.3215010141987911E-2"/>
    <n v="14"/>
    <n v="850"/>
    <m/>
    <n v="688"/>
    <n v="124988"/>
    <n v="3"/>
    <m/>
    <m/>
    <m/>
    <s v="Zhu Chen (15010791)"/>
    <s v="Mo Xiaohong（11005372）"/>
    <s v="Zhao Chujun"/>
    <m/>
    <m/>
    <m/>
    <s v="OK"/>
  </r>
  <r>
    <s v="CN15"/>
    <n v="1708021"/>
    <s v="贾 元雪"/>
    <s v="Jia Yuanxue"/>
    <s v="Indirect Active"/>
    <s v="OP"/>
    <s v="GQM"/>
    <s v="FLCCh-QMS"/>
    <s v="340601"/>
    <d v="2011-08-09T00:00:00"/>
    <s v="Engineer"/>
    <s v="Engineer"/>
    <x v="2"/>
    <n v="2"/>
    <x v="0"/>
    <n v="7903"/>
    <n v="0.06"/>
    <n v="474"/>
    <n v="7.7799999999999994E-2"/>
    <n v="615"/>
    <n v="0.13779577375680122"/>
    <n v="1089"/>
    <n v="8992"/>
    <n v="8800"/>
    <n v="897"/>
    <x v="111"/>
    <s v="11.02%-16.54%"/>
    <s v="Promotion"/>
    <s v="Senior Quality Engineer"/>
    <s v="A5"/>
    <n v="0.05"/>
    <n v="395"/>
    <n v="9195"/>
    <n v="1292"/>
    <n v="0.16348222194103501"/>
    <n v="14"/>
    <n v="450"/>
    <m/>
    <n v="688"/>
    <n v="134818"/>
    <n v="4"/>
    <m/>
    <s v="1. High perfomer, overqualify current position, ranking5, EDSP box2_x000a_3. T-shape with multiple skill in Problem solving, Supplier quality management, Digital inspection technology and Labor Union activities management_x000a_4. Fullfil capability required for Senior QMS Enginner and show high potential to be further developed to QMS functional specialist in coming 1-3 years"/>
    <s v="Good performance and high potential"/>
    <s v="Zhu Chen (15010791)"/>
    <s v="Mo Xiaohong（11005372）"/>
    <s v="Zhao Chujun"/>
    <m/>
    <m/>
    <m/>
    <s v="OK"/>
  </r>
  <r>
    <s v="CN15"/>
    <n v="15003277"/>
    <s v="周 平"/>
    <s v="Zhou Ping"/>
    <s v="Indirect Active"/>
    <s v="OP"/>
    <s v="GQM"/>
    <s v="FLCCh-QMP"/>
    <s v="340600"/>
    <d v="2010-02-01T00:00:00"/>
    <s v="Functional Specialist"/>
    <s v="Functional Specialist"/>
    <x v="0"/>
    <n v="2"/>
    <x v="3"/>
    <n v="14867"/>
    <n v="0"/>
    <n v="0"/>
    <n v="0"/>
    <n v="0"/>
    <n v="0"/>
    <n v="0"/>
    <n v="14867"/>
    <n v="14867"/>
    <n v="0"/>
    <x v="5"/>
    <s v="0.00%-0.00%"/>
    <m/>
    <m/>
    <m/>
    <m/>
    <n v="0"/>
    <n v="14867"/>
    <n v="0"/>
    <n v="0"/>
    <n v="14"/>
    <n v="450"/>
    <m/>
    <n v="688"/>
    <n v="214226"/>
    <n v="2"/>
    <m/>
    <m/>
    <m/>
    <s v="Zhu Chen (15010791)"/>
    <s v="Mo Xiaohong（11005372）"/>
    <s v="Zhao Chujun"/>
    <m/>
    <m/>
    <m/>
    <s v="OK"/>
  </r>
  <r>
    <s v="CN15"/>
    <n v="15020957"/>
    <s v="曾 芸"/>
    <s v="Zeng Yun"/>
    <s v="Indirect Active"/>
    <s v="OP"/>
    <s v="GQM"/>
    <s v="GQM-LCCT"/>
    <s v="140600"/>
    <d v="2021-03-10T00:00:00"/>
    <s v="Engineer"/>
    <s v="Quality Test Engineer"/>
    <x v="2"/>
    <n v="2"/>
    <x v="1"/>
    <n v="12634"/>
    <n v="3.7500000000000006E-2"/>
    <n v="474"/>
    <n v="1.55E-2"/>
    <n v="196"/>
    <n v="5.3031502295393385E-2"/>
    <n v="670"/>
    <n v="13304"/>
    <n v="13304"/>
    <n v="670"/>
    <x v="40"/>
    <s v="4.24%-6.36%"/>
    <s v="Promotion"/>
    <s v="Senior Test Engineer"/>
    <s v="A5"/>
    <n v="0.05"/>
    <n v="632"/>
    <n v="13936"/>
    <n v="1302"/>
    <n v="0.1030552477441824"/>
    <n v="14"/>
    <n v="450"/>
    <m/>
    <n v="688"/>
    <n v="201192"/>
    <n v="4"/>
    <m/>
    <s v="1. High perfomer, overqualify current position, ranking4_x000a_2. Virtual leader of WM/WD validation working team, key contrbutor for Modena/Napoli/Slim product time to market_x000a_3. T-shape with multiple skill in Validation design, Risk assessment, Problem solving and Product connectivity&amp;analytics_x000a_4. Fullfil capability required for Senior Test Enginner and show high potential to be further developed to Test functional specialist in coming 1-3 years"/>
    <s v="Good performance and high potential"/>
    <s v="Zhu Chen (15010791)"/>
    <s v="Mo Xiaohong（11005372）"/>
    <s v="Zhao Chujun"/>
    <m/>
    <m/>
    <m/>
    <s v="OK"/>
  </r>
  <r>
    <s v="CN15"/>
    <n v="15001424"/>
    <s v="陈 锦美"/>
    <s v="Chen Jinmei"/>
    <s v="Indirect Blue_NP"/>
    <s v="OP"/>
    <s v="GQM"/>
    <s v="GQM-LCCT"/>
    <s v="140600"/>
    <d v="2008-03-04T00:00:00"/>
    <s v="Technician"/>
    <s v="Technician"/>
    <x v="7"/>
    <n v="2"/>
    <x v="2"/>
    <n v="6578"/>
    <n v="0"/>
    <n v="0"/>
    <n v="0"/>
    <n v="0"/>
    <n v="0"/>
    <n v="0"/>
    <n v="6578"/>
    <n v="6578"/>
    <n v="0"/>
    <x v="5"/>
    <s v="0.00%-0.00%"/>
    <m/>
    <m/>
    <m/>
    <m/>
    <n v="0"/>
    <n v="6578"/>
    <n v="0"/>
    <n v="0"/>
    <n v="14"/>
    <n v="500"/>
    <m/>
    <n v="688"/>
    <n v="98780"/>
    <n v="3"/>
    <m/>
    <m/>
    <m/>
    <s v="Zhu Chen (15010791)"/>
    <s v="Mo Xiaohong（11005372）"/>
    <s v="Zhao Chujun"/>
    <m/>
    <m/>
    <m/>
    <s v="OK"/>
  </r>
  <r>
    <s v="CN15"/>
    <n v="15020450"/>
    <s v="韩 华龙"/>
    <s v="Han Hualong"/>
    <s v="Indirect Blue_NP"/>
    <s v="OP"/>
    <s v="GQM"/>
    <s v="GQM-LCCT"/>
    <s v="140600"/>
    <d v="2021-07-01T00:00:00"/>
    <s v="Technician"/>
    <s v="Technician"/>
    <x v="7"/>
    <n v="2"/>
    <x v="2"/>
    <n v="5100"/>
    <n v="0"/>
    <n v="0"/>
    <n v="0"/>
    <n v="0"/>
    <n v="0"/>
    <n v="0"/>
    <n v="5100"/>
    <n v="5100"/>
    <n v="0"/>
    <x v="5"/>
    <s v="0.00%-0.00%"/>
    <s v="Promotion"/>
    <s v="Junior Test Engineer"/>
    <s v="A3"/>
    <n v="0.1356"/>
    <n v="692"/>
    <n v="5792"/>
    <n v="692"/>
    <n v="0.13568627450980397"/>
    <n v="14"/>
    <n v="500"/>
    <m/>
    <n v="688"/>
    <n v="87776"/>
    <n v="4"/>
    <m/>
    <s v="1. High perfomer, overqualify current position_x000a_2. Top young talent in Technicians, successor of Mr. Lan Guojin to take over TD validation engineer works_x000a_3. T-shape with multiple skill in Lifetime test management, Lean-Lab managment,CMM measurement,  Lab digital transition and Training vedio filming&amp;producing_x000a_4. Fullfil capability required for Junior Test Enginner and show high potential to be further developed to Test enginner in coming 1-3 years."/>
    <s v="Good performance and high potential"/>
    <s v="Zhu Chen (15010791)"/>
    <s v="Mo Xiaohong（11005372）"/>
    <s v="Zhao Chujun"/>
    <m/>
    <m/>
    <m/>
    <s v="OK"/>
  </r>
  <r>
    <s v="CN15"/>
    <n v="15001438"/>
    <s v="姜 涛"/>
    <s v="Jiang Tao"/>
    <s v="Indirect Blue_NP"/>
    <s v="OP"/>
    <s v="GQM"/>
    <s v="GQM-LCCT"/>
    <s v="140600"/>
    <d v="2008-07-01T00:00:00"/>
    <s v="Senior Technician"/>
    <s v="Senior Technician"/>
    <x v="4"/>
    <n v="2"/>
    <x v="2"/>
    <n v="5858"/>
    <n v="2.5000000000000001E-2"/>
    <n v="146"/>
    <n v="0"/>
    <n v="0"/>
    <n v="2.4923181973369752E-2"/>
    <n v="146"/>
    <n v="6004"/>
    <n v="6004"/>
    <n v="146"/>
    <x v="37"/>
    <s v="1.99%-2.99%"/>
    <m/>
    <m/>
    <m/>
    <m/>
    <n v="0"/>
    <n v="6004"/>
    <n v="146"/>
    <n v="2.4923181973369735E-2"/>
    <n v="14"/>
    <n v="550"/>
    <m/>
    <n v="688"/>
    <n v="91344"/>
    <n v="2"/>
    <m/>
    <m/>
    <m/>
    <s v="Zhu Chen (15010791)"/>
    <s v="Mo Xiaohong（11005372）"/>
    <s v="Zhao Chujun"/>
    <m/>
    <m/>
    <m/>
    <s v="OK"/>
  </r>
  <r>
    <s v="CN15"/>
    <n v="15022174"/>
    <s v="兰 国金"/>
    <s v="Lan Guojin"/>
    <s v="Indirect Active"/>
    <s v="OP"/>
    <s v="GQM"/>
    <s v="GQM-LCCT"/>
    <s v="140600"/>
    <d v="2022-04-20T00:00:00"/>
    <s v="Functional Specialist"/>
    <s v="Functional Specialist"/>
    <x v="0"/>
    <n v="2"/>
    <x v="2"/>
    <n v="18261"/>
    <n v="2.5000000000000001E-2"/>
    <n v="457"/>
    <n v="0"/>
    <n v="0"/>
    <n v="2.5026011718963913E-2"/>
    <n v="457"/>
    <n v="18718"/>
    <n v="18718"/>
    <n v="457"/>
    <x v="13"/>
    <s v="2.00%-3.00%"/>
    <m/>
    <m/>
    <m/>
    <m/>
    <n v="0"/>
    <n v="18718"/>
    <n v="457"/>
    <n v="2.5026011718964014E-2"/>
    <n v="14"/>
    <n v="450"/>
    <m/>
    <n v="688"/>
    <n v="268140"/>
    <n v="5"/>
    <m/>
    <m/>
    <m/>
    <s v="Zhu Chen (15010791)"/>
    <s v="Mo Xiaohong（11005372）"/>
    <s v="Zhao Chujun"/>
    <m/>
    <m/>
    <m/>
    <s v="OK"/>
  </r>
  <r>
    <s v="CN15"/>
    <n v="51200074"/>
    <s v="雷 庆保"/>
    <s v="Lei Qingbao"/>
    <s v="Indirect Active"/>
    <s v="OP"/>
    <s v="GQM"/>
    <s v="GQM-LCCL"/>
    <s v="140600"/>
    <d v="2001-12-17T00:00:00"/>
    <s v="Manager"/>
    <s v="Head of Lifecycle Quality"/>
    <x v="3"/>
    <n v="2"/>
    <x v="1"/>
    <n v="31750"/>
    <n v="1.4999999999999998E-2"/>
    <n v="476"/>
    <n v="0"/>
    <n v="0"/>
    <n v="1.4992125984251968E-2"/>
    <n v="476"/>
    <n v="32226"/>
    <n v="32226"/>
    <n v="476"/>
    <x v="112"/>
    <s v="1.20%-1.80%"/>
    <m/>
    <m/>
    <m/>
    <m/>
    <n v="0"/>
    <n v="32226"/>
    <n v="476"/>
    <n v="1.4992125984252036E-2"/>
    <n v="14"/>
    <n v="7950"/>
    <m/>
    <n v="688"/>
    <n v="547252"/>
    <n v="3"/>
    <m/>
    <m/>
    <m/>
    <s v="Zhu Chen (15010791)"/>
    <s v="Mo Xiaohong（11005372）"/>
    <s v="Zhao Chujun"/>
    <m/>
    <m/>
    <m/>
    <s v="OK"/>
  </r>
  <r>
    <s v="CN15"/>
    <n v="15013414"/>
    <s v="梁 国健"/>
    <s v="Liang Guojian"/>
    <s v="Indirect Active"/>
    <s v="OP"/>
    <s v="GQM"/>
    <s v="GQM-LCCT"/>
    <s v="140600"/>
    <d v="2017-11-08T00:00:00"/>
    <s v="Senior Engineer"/>
    <s v="Senior Measurement Engineer"/>
    <x v="1"/>
    <n v="2"/>
    <x v="1"/>
    <n v="13457"/>
    <n v="3.7500000000000006E-2"/>
    <n v="505"/>
    <n v="1.55E-2"/>
    <n v="209"/>
    <n v="5.3057888087983951E-2"/>
    <n v="714"/>
    <n v="14171"/>
    <n v="14171"/>
    <n v="714"/>
    <x v="113"/>
    <s v="4.24%-6.37%"/>
    <m/>
    <m/>
    <m/>
    <m/>
    <n v="0"/>
    <n v="14171"/>
    <n v="714"/>
    <n v="5.3057888087983951E-2"/>
    <n v="14"/>
    <n v="500"/>
    <m/>
    <n v="688"/>
    <n v="205082"/>
    <n v="3"/>
    <m/>
    <m/>
    <m/>
    <s v="Zhu Chen (15010791)"/>
    <s v="Mo Xiaohong（11005372）"/>
    <s v="Zhao Chujun"/>
    <m/>
    <m/>
    <m/>
    <s v="OK"/>
  </r>
  <r>
    <s v="CN15"/>
    <n v="15020453"/>
    <s v="刘 峰"/>
    <s v="Liu Feng"/>
    <s v="Indirect Blue_NP"/>
    <s v="OP"/>
    <s v="GQM"/>
    <s v="GQM-LCCL"/>
    <s v="140600"/>
    <d v="2021-07-01T00:00:00"/>
    <s v="Technician"/>
    <s v="Technician"/>
    <x v="7"/>
    <n v="2"/>
    <x v="2"/>
    <n v="4788"/>
    <n v="0"/>
    <n v="0"/>
    <n v="0"/>
    <n v="0"/>
    <n v="0"/>
    <n v="0"/>
    <n v="4788"/>
    <n v="4788"/>
    <n v="0"/>
    <x v="5"/>
    <s v="0.00%-0.00%"/>
    <m/>
    <m/>
    <m/>
    <m/>
    <n v="0"/>
    <n v="4788"/>
    <n v="0"/>
    <n v="0"/>
    <n v="14"/>
    <n v="600"/>
    <m/>
    <n v="688"/>
    <n v="74920"/>
    <n v="3"/>
    <m/>
    <m/>
    <m/>
    <s v="Zhu Chen (15010791)"/>
    <s v="Mo Xiaohong（11005372）"/>
    <s v="Zhao Chujun"/>
    <m/>
    <m/>
    <m/>
    <s v="OK"/>
  </r>
  <r>
    <s v="CN15"/>
    <n v="1120311"/>
    <s v="刘 海林"/>
    <s v="Liu Hailin"/>
    <s v="Indirect Active"/>
    <s v="OP"/>
    <s v="GQM"/>
    <s v="GQM-LCCD"/>
    <s v="140600"/>
    <d v="2021-04-19T00:00:00"/>
    <s v="Engineer"/>
    <s v="Engineer of Quality"/>
    <x v="2"/>
    <n v="2"/>
    <x v="2"/>
    <n v="11541"/>
    <n v="0"/>
    <n v="0"/>
    <n v="0"/>
    <n v="0"/>
    <n v="0"/>
    <n v="0"/>
    <n v="11541"/>
    <n v="11541"/>
    <n v="0"/>
    <x v="5"/>
    <s v="0.00%-0.00%"/>
    <m/>
    <m/>
    <m/>
    <m/>
    <n v="0"/>
    <n v="11541"/>
    <n v="0"/>
    <n v="0"/>
    <n v="14"/>
    <n v="850"/>
    <m/>
    <n v="688"/>
    <n v="172462"/>
    <n v="3"/>
    <m/>
    <m/>
    <m/>
    <s v="Zhu Chen (15010791)"/>
    <s v="Mo Xiaohong（11005372）"/>
    <s v="Zhao Chujun"/>
    <m/>
    <m/>
    <m/>
    <s v="OK"/>
  </r>
  <r>
    <s v="CN15"/>
    <n v="15018149"/>
    <s v="吕 云"/>
    <s v="Lv Yun"/>
    <s v="Indirect Active"/>
    <s v="OP"/>
    <s v="GQM"/>
    <s v="GQM-LCCD"/>
    <s v="140600"/>
    <d v="2017-08-23T00:00:00"/>
    <s v="Functional Specialist"/>
    <s v="Functional Specialist"/>
    <x v="0"/>
    <n v="2"/>
    <x v="1"/>
    <n v="14349"/>
    <n v="4.4999999999999998E-2"/>
    <n v="646"/>
    <n v="1.55E-2"/>
    <n v="222"/>
    <n v="6.0492020349850163E-2"/>
    <n v="868"/>
    <n v="15217"/>
    <n v="15217"/>
    <n v="868"/>
    <x v="114"/>
    <s v="4.84%-7.26%"/>
    <m/>
    <m/>
    <m/>
    <m/>
    <n v="0"/>
    <n v="15217"/>
    <n v="868"/>
    <n v="6.049202034985024E-2"/>
    <n v="14"/>
    <n v="450"/>
    <m/>
    <n v="688"/>
    <n v="219126"/>
    <n v="3"/>
    <m/>
    <m/>
    <m/>
    <s v="Zhu Chen (15010791)"/>
    <s v="Mo Xiaohong（11005372）"/>
    <s v="Zhao Chujun"/>
    <m/>
    <m/>
    <m/>
    <s v="OK"/>
  </r>
  <r>
    <s v="CN15"/>
    <n v="15008830"/>
    <s v="钱 学进"/>
    <s v="Qian Xuejin"/>
    <s v="Indirect Blue_NP"/>
    <s v="OP"/>
    <s v="GQM"/>
    <s v="GQM-LCCT"/>
    <s v="140600"/>
    <d v="2012-10-10T00:00:00"/>
    <s v="Technician"/>
    <s v="Technician"/>
    <x v="7"/>
    <n v="2"/>
    <x v="2"/>
    <n v="5558"/>
    <n v="0"/>
    <n v="0"/>
    <n v="0"/>
    <n v="0"/>
    <n v="0"/>
    <n v="0"/>
    <n v="5558"/>
    <n v="5558"/>
    <n v="0"/>
    <x v="5"/>
    <s v="0.00%-0.00%"/>
    <m/>
    <m/>
    <m/>
    <m/>
    <n v="0"/>
    <n v="5558"/>
    <n v="0"/>
    <n v="0"/>
    <n v="14"/>
    <n v="600"/>
    <m/>
    <n v="688"/>
    <n v="85700"/>
    <n v="3"/>
    <m/>
    <m/>
    <m/>
    <s v="Zhu Chen (15010791)"/>
    <s v="Mo Xiaohong（11005372）"/>
    <s v="Zhao Chujun"/>
    <m/>
    <m/>
    <m/>
    <s v="OK"/>
  </r>
  <r>
    <s v="CN15"/>
    <n v="15013561"/>
    <s v="邵 瑞"/>
    <s v="Shao Rui"/>
    <s v="Indirect Active"/>
    <s v="OP"/>
    <s v="GQM"/>
    <s v="GQM-LCCD"/>
    <s v="140600"/>
    <d v="2014-07-30T00:00:00"/>
    <s v="Manager"/>
    <s v="Head of Project Quality"/>
    <x v="3"/>
    <n v="2"/>
    <x v="1"/>
    <n v="22023"/>
    <n v="4.4999999999999998E-2"/>
    <n v="991"/>
    <n v="1.55E-2"/>
    <n v="341"/>
    <n v="6.0482223130363708E-2"/>
    <n v="1332"/>
    <n v="23355"/>
    <n v="23200"/>
    <n v="1177"/>
    <x v="101"/>
    <s v="4.84%-7.26%"/>
    <m/>
    <m/>
    <m/>
    <m/>
    <n v="0"/>
    <n v="23200"/>
    <n v="1177"/>
    <n v="5.344412659492348E-2"/>
    <n v="14"/>
    <n v="450"/>
    <m/>
    <n v="688"/>
    <n v="330888"/>
    <n v="4"/>
    <m/>
    <m/>
    <m/>
    <s v="Zhu Chen (15010791)"/>
    <s v="Mo Xiaohong（11005372）"/>
    <s v="Zhao Chujun"/>
    <m/>
    <m/>
    <m/>
    <s v="OK"/>
  </r>
  <r>
    <s v="CN15"/>
    <n v="15000551"/>
    <s v="邵 佐"/>
    <s v="Shao Zuo"/>
    <s v="Indirect Active"/>
    <s v="OP"/>
    <s v="GQM"/>
    <s v="GQM-LCCT"/>
    <s v="140600"/>
    <d v="2006-07-01T00:00:00"/>
    <s v="Manager"/>
    <s v="Head of Testing&amp;Laboratory Laundry Care"/>
    <x v="3"/>
    <n v="2"/>
    <x v="1"/>
    <n v="28268"/>
    <n v="0.03"/>
    <n v="848"/>
    <n v="0"/>
    <n v="0"/>
    <n v="2.9998584972406962E-2"/>
    <n v="848"/>
    <n v="29116"/>
    <n v="29116"/>
    <n v="848"/>
    <x v="11"/>
    <s v="2.40%-3.60%"/>
    <m/>
    <m/>
    <m/>
    <m/>
    <n v="0"/>
    <n v="29116"/>
    <n v="848"/>
    <n v="2.9998584972406928E-2"/>
    <n v="14"/>
    <n v="450"/>
    <m/>
    <n v="688"/>
    <n v="413712"/>
    <n v="4"/>
    <m/>
    <m/>
    <m/>
    <s v="Zhu Chen (15010791)"/>
    <s v="Mo Xiaohong（11005372）"/>
    <s v="Zhao Chujun"/>
    <m/>
    <m/>
    <m/>
    <s v="OK"/>
  </r>
  <r>
    <s v="CN15"/>
    <n v="15008516"/>
    <s v="宋 超杰"/>
    <s v="Song Chaojie"/>
    <s v="Indirect Active"/>
    <s v="OP"/>
    <s v="GQM"/>
    <s v="GQM-LCCT"/>
    <s v="140600"/>
    <d v="2012-08-29T00:00:00"/>
    <s v="Expert (CN)"/>
    <s v="Expert (CN)"/>
    <x v="3"/>
    <n v="2"/>
    <x v="2"/>
    <n v="21910"/>
    <n v="2.5000000000000001E-2"/>
    <n v="548"/>
    <n v="0"/>
    <n v="0"/>
    <n v="2.5011410314924692E-2"/>
    <n v="548"/>
    <n v="22458"/>
    <n v="22545"/>
    <n v="635"/>
    <x v="115"/>
    <s v="2.00%-3.00%"/>
    <m/>
    <m/>
    <m/>
    <m/>
    <n v="0"/>
    <n v="22545"/>
    <n v="635"/>
    <n v="2.8982199908717421E-2"/>
    <n v="14"/>
    <n v="500"/>
    <m/>
    <n v="688"/>
    <n v="322318"/>
    <n v="4"/>
    <m/>
    <m/>
    <m/>
    <s v="Zhu Chen (15010791)"/>
    <s v="Mo Xiaohong（11005372）"/>
    <s v="Zhao Chujun"/>
    <m/>
    <m/>
    <m/>
    <s v="OK"/>
  </r>
  <r>
    <s v="CN15"/>
    <n v="11018976"/>
    <s v="王 瑷"/>
    <s v="Wang Ai"/>
    <s v="Indirect Active"/>
    <s v="OP"/>
    <s v="GQM"/>
    <s v="GQM-LCCT"/>
    <s v="140600"/>
    <d v="2021-11-17T00:00:00"/>
    <s v="Engineer"/>
    <s v="Test Engineer"/>
    <x v="2"/>
    <n v="2"/>
    <x v="2"/>
    <n v="14214"/>
    <n v="0"/>
    <n v="0"/>
    <n v="0"/>
    <n v="0"/>
    <n v="0"/>
    <n v="0"/>
    <n v="14214"/>
    <n v="14214"/>
    <n v="0"/>
    <x v="5"/>
    <s v="0.00%-0.00%"/>
    <m/>
    <m/>
    <m/>
    <m/>
    <n v="0"/>
    <n v="14214"/>
    <n v="0"/>
    <n v="0"/>
    <n v="14"/>
    <n v="450"/>
    <m/>
    <n v="688"/>
    <n v="205084"/>
    <n v="3"/>
    <m/>
    <m/>
    <m/>
    <s v="Zhu Chen (15010791)"/>
    <s v="Mo Xiaohong（11005372）"/>
    <s v="Zhao Chujun"/>
    <m/>
    <m/>
    <m/>
    <s v="OK"/>
  </r>
  <r>
    <s v="CN15"/>
    <n v="15014456"/>
    <s v="王 帆"/>
    <s v="Wang Fan"/>
    <s v="Indirect Active"/>
    <s v="OP"/>
    <s v="GQM"/>
    <s v="GQM-LCCL"/>
    <s v="140600"/>
    <d v="2015-06-03T00:00:00"/>
    <s v="Senior Engineer"/>
    <s v="Senior Quality Engineer"/>
    <x v="1"/>
    <n v="2"/>
    <x v="2"/>
    <n v="11430"/>
    <n v="2.5000000000000001E-2"/>
    <n v="286"/>
    <n v="0"/>
    <n v="0"/>
    <n v="2.5021872265966753E-2"/>
    <n v="286"/>
    <n v="11716"/>
    <n v="11760"/>
    <n v="330"/>
    <x v="116"/>
    <s v="2.00%-3.00%"/>
    <m/>
    <m/>
    <m/>
    <m/>
    <n v="0"/>
    <n v="11760"/>
    <n v="330"/>
    <n v="2.8871391076115582E-2"/>
    <n v="14"/>
    <n v="450"/>
    <m/>
    <n v="688"/>
    <n v="170728"/>
    <n v="3"/>
    <m/>
    <m/>
    <m/>
    <s v="Zhu Chen (15010791)"/>
    <s v="Mo Xiaohong（11005372）"/>
    <s v="Zhao Chujun"/>
    <m/>
    <m/>
    <m/>
    <s v="OK"/>
  </r>
  <r>
    <s v="CN15"/>
    <n v="15002771"/>
    <s v="王 礼珍"/>
    <s v="Wang Lizhen"/>
    <s v="Indirect Blue_NP"/>
    <s v="OP"/>
    <s v="GQM"/>
    <s v="GQM-LCCT"/>
    <s v="140600"/>
    <d v="2010-01-01T00:00:00"/>
    <s v="Senior Technician"/>
    <s v="Senior Technician"/>
    <x v="4"/>
    <n v="2"/>
    <x v="2"/>
    <n v="6018"/>
    <n v="2.5000000000000001E-2"/>
    <n v="150"/>
    <n v="0"/>
    <n v="0"/>
    <n v="2.4925224327018942E-2"/>
    <n v="150"/>
    <n v="6168"/>
    <n v="6198"/>
    <n v="180"/>
    <x v="2"/>
    <s v="1.99%-2.99%"/>
    <m/>
    <m/>
    <m/>
    <m/>
    <n v="0"/>
    <n v="6198"/>
    <n v="180"/>
    <n v="2.9910269192422678E-2"/>
    <n v="14"/>
    <n v="600"/>
    <m/>
    <n v="688"/>
    <n v="94660"/>
    <n v="3"/>
    <m/>
    <m/>
    <m/>
    <s v="Zhu Chen (15010791)"/>
    <s v="Mo Xiaohong（11005372）"/>
    <s v="Zhao Chujun"/>
    <m/>
    <m/>
    <m/>
    <s v="OK"/>
  </r>
  <r>
    <s v="CN15"/>
    <n v="15020070"/>
    <s v="王 庆洋"/>
    <s v="Wang Qingyang"/>
    <s v="Indirect Active"/>
    <s v="OP"/>
    <s v="GQM"/>
    <s v="GQM-LCCL"/>
    <s v="140600"/>
    <d v="2020-02-05T00:00:00"/>
    <s v="Functional Specialist"/>
    <s v="Functional Specialist"/>
    <x v="0"/>
    <n v="2"/>
    <x v="2"/>
    <n v="14020"/>
    <n v="2.5000000000000001E-2"/>
    <n v="351"/>
    <n v="0"/>
    <n v="0"/>
    <n v="2.5035663338088446E-2"/>
    <n v="351"/>
    <n v="14371"/>
    <n v="14371"/>
    <n v="351"/>
    <x v="13"/>
    <s v="2.00%-3.00%"/>
    <m/>
    <m/>
    <m/>
    <m/>
    <n v="0"/>
    <n v="14371"/>
    <n v="351"/>
    <n v="2.5035663338088376E-2"/>
    <n v="14"/>
    <n v="450"/>
    <m/>
    <n v="688"/>
    <n v="207282"/>
    <n v="4"/>
    <m/>
    <m/>
    <m/>
    <s v="Zhu Chen (15010791)"/>
    <s v="Mo Xiaohong（11005372）"/>
    <s v="Zhao Chujun"/>
    <m/>
    <m/>
    <m/>
    <s v="OK"/>
  </r>
  <r>
    <s v="CN15"/>
    <n v="15000026"/>
    <s v="吴 向阳"/>
    <s v="Wu Xiangyang"/>
    <s v="Indirect Active"/>
    <s v="OP"/>
    <s v="GQM"/>
    <s v="GQM-LCCD"/>
    <s v="140600"/>
    <d v="2012-08-01T00:00:00"/>
    <s v="Supervisor"/>
    <s v="Supervisor"/>
    <x v="0"/>
    <n v="2"/>
    <x v="2"/>
    <n v="18668"/>
    <n v="2.5000000000000001E-2"/>
    <n v="467"/>
    <n v="0"/>
    <n v="0"/>
    <n v="2.5016070280694237E-2"/>
    <n v="467"/>
    <n v="19135"/>
    <n v="19135"/>
    <n v="467"/>
    <x v="13"/>
    <s v="2.00%-3.00%"/>
    <m/>
    <m/>
    <m/>
    <m/>
    <n v="0"/>
    <n v="19135"/>
    <n v="467"/>
    <n v="2.5016070280694302E-2"/>
    <n v="14"/>
    <n v="450"/>
    <m/>
    <n v="688"/>
    <n v="273978"/>
    <n v="3"/>
    <m/>
    <m/>
    <m/>
    <s v="Zhu Chen (15010791)"/>
    <s v="Mo Xiaohong（11005372）"/>
    <s v="Zhao Chujun"/>
    <m/>
    <m/>
    <m/>
    <s v="OK"/>
  </r>
  <r>
    <s v="CN15"/>
    <n v="15004616"/>
    <s v="熊 廷海"/>
    <s v="Xiong Tinghai"/>
    <s v="Indirect Blue_NP"/>
    <s v="OP"/>
    <s v="GQM"/>
    <s v="GQM-LCCT"/>
    <s v="140600"/>
    <d v="2011-06-01T00:00:00"/>
    <s v="Technician"/>
    <s v="Technician"/>
    <x v="7"/>
    <n v="2"/>
    <x v="5"/>
    <n v="5364"/>
    <n v="0"/>
    <n v="0"/>
    <n v="0"/>
    <n v="0"/>
    <n v="0"/>
    <n v="0"/>
    <n v="5364"/>
    <n v="5364"/>
    <n v="0"/>
    <x v="5"/>
    <s v="0.00%-0.00%"/>
    <m/>
    <m/>
    <m/>
    <m/>
    <n v="0"/>
    <n v="5364"/>
    <n v="0"/>
    <n v="0"/>
    <n v="14"/>
    <n v="450"/>
    <m/>
    <n v="688"/>
    <n v="81184"/>
    <n v="3"/>
    <m/>
    <m/>
    <m/>
    <s v="Zhu Chen (15010791)"/>
    <s v="Mo Xiaohong（11005372）"/>
    <s v="Zhao Chujun"/>
    <m/>
    <m/>
    <m/>
    <s v="OK"/>
  </r>
  <r>
    <s v="CN15"/>
    <n v="15022538"/>
    <s v="许 传基"/>
    <s v="Xu Chuanji"/>
    <s v="Indirect Active"/>
    <s v="OP"/>
    <s v="GQM"/>
    <s v="GQM-LCCT"/>
    <s v="140600"/>
    <d v="2025-04-01T00:00:00"/>
    <s v="Engineer"/>
    <s v="Quality Engineer"/>
    <x v="2"/>
    <n v="2"/>
    <x v="0"/>
    <n v="11700"/>
    <n v="0.05"/>
    <n v="585"/>
    <n v="2.7E-2"/>
    <n v="316"/>
    <n v="7.7008547008547007E-2"/>
    <n v="901"/>
    <n v="12601"/>
    <n v="16700"/>
    <n v="5000"/>
    <x v="117"/>
    <s v="6.16%-9.24%"/>
    <m/>
    <m/>
    <m/>
    <m/>
    <n v="0"/>
    <n v="16700"/>
    <n v="5000"/>
    <n v="0.42735042735042739"/>
    <n v="14"/>
    <n v="450"/>
    <m/>
    <n v="688"/>
    <n v="239888"/>
    <e v="#N/A"/>
    <m/>
    <s v="Special budget already approved by Oliver in Feb. 2026"/>
    <s v="Top critical position/player"/>
    <s v="Zhu Chen (15010791)"/>
    <s v="Mo Xiaohong（11005372）"/>
    <s v="Zhao Chujun"/>
    <m/>
    <m/>
    <m/>
    <s v="&gt;20"/>
  </r>
  <r>
    <s v="CN15"/>
    <n v="15001041"/>
    <s v="姚 昌勇"/>
    <s v="Yao Changyong"/>
    <s v="Indirect Active"/>
    <s v="OP"/>
    <s v="GQM"/>
    <s v="GQM-LCCT"/>
    <s v="140600"/>
    <d v="2007-08-01T00:00:00"/>
    <s v="Engineer"/>
    <s v="Test Engineer"/>
    <x v="2"/>
    <n v="2"/>
    <x v="2"/>
    <n v="8733"/>
    <n v="0.03"/>
    <n v="262"/>
    <n v="0"/>
    <n v="0"/>
    <n v="3.0001145081873355E-2"/>
    <n v="262"/>
    <n v="8995"/>
    <n v="9033"/>
    <n v="300"/>
    <x v="106"/>
    <s v="2.40%-3.60%"/>
    <m/>
    <m/>
    <m/>
    <m/>
    <n v="0"/>
    <n v="9033"/>
    <n v="300"/>
    <n v="3.4352456200618331E-2"/>
    <n v="14"/>
    <n v="450"/>
    <m/>
    <n v="688"/>
    <n v="132550"/>
    <n v="3"/>
    <m/>
    <m/>
    <m/>
    <s v="Zhu Chen (15010791)"/>
    <s v="Mo Xiaohong（11005372）"/>
    <s v="Zhao Chujun"/>
    <m/>
    <m/>
    <m/>
    <s v="OK"/>
  </r>
  <r>
    <s v="CN15"/>
    <n v="15006261"/>
    <s v="易 利萍"/>
    <s v="Yi Liping"/>
    <s v="Indirect Active"/>
    <s v="OP"/>
    <s v="GQM"/>
    <s v="GQM-LCCL"/>
    <s v="140600"/>
    <d v="2011-06-08T00:00:00"/>
    <s v="Engineer"/>
    <s v="Quality Engineer"/>
    <x v="2"/>
    <n v="2"/>
    <x v="3"/>
    <n v="10032"/>
    <n v="0"/>
    <n v="0"/>
    <n v="0"/>
    <n v="0"/>
    <n v="0"/>
    <n v="0"/>
    <n v="10032"/>
    <n v="10032"/>
    <n v="0"/>
    <x v="5"/>
    <s v="0.00%-0.00%"/>
    <m/>
    <m/>
    <m/>
    <m/>
    <n v="0"/>
    <n v="10032"/>
    <n v="0"/>
    <n v="0"/>
    <n v="14"/>
    <n v="450"/>
    <m/>
    <n v="688"/>
    <n v="146536"/>
    <n v="3"/>
    <m/>
    <m/>
    <m/>
    <s v="Zhu Chen (15010791)"/>
    <s v="Mo Xiaohong（11005372）"/>
    <s v="Zhao Chujun"/>
    <m/>
    <m/>
    <m/>
    <s v="OK"/>
  </r>
  <r>
    <s v="CN15"/>
    <n v="15014983"/>
    <s v="张 辉"/>
    <s v="Zhang Hui"/>
    <s v="Indirect Active"/>
    <s v="OP"/>
    <s v="GQM"/>
    <s v="GQM-LCCL"/>
    <s v="140600"/>
    <d v="2016-01-06T00:00:00"/>
    <s v="Associate Expert (CN)"/>
    <s v="Associate Expert (C)"/>
    <x v="0"/>
    <n v="2"/>
    <x v="2"/>
    <n v="14662"/>
    <n v="2.5000000000000001E-2"/>
    <n v="367"/>
    <n v="0"/>
    <n v="0"/>
    <n v="2.5030691583685719E-2"/>
    <n v="367"/>
    <n v="15029"/>
    <n v="15100"/>
    <n v="438"/>
    <x v="2"/>
    <s v="2.00%-3.00%"/>
    <m/>
    <m/>
    <m/>
    <m/>
    <n v="0"/>
    <n v="15100"/>
    <n v="438"/>
    <n v="2.9873141454099139E-2"/>
    <n v="14"/>
    <n v="450"/>
    <m/>
    <n v="688"/>
    <n v="217488"/>
    <n v="3"/>
    <m/>
    <m/>
    <m/>
    <s v="Zhu Chen (15010791)"/>
    <s v="Mo Xiaohong（11005372）"/>
    <s v="Zhao Chujun"/>
    <m/>
    <m/>
    <m/>
    <s v="OK"/>
  </r>
  <r>
    <s v="CN15"/>
    <n v="15020890"/>
    <s v="张 燕"/>
    <s v="Zhang Yan"/>
    <s v="Indirect Active"/>
    <s v="OP"/>
    <s v="GQM"/>
    <s v="GQM-LCCD"/>
    <s v="140600"/>
    <d v="2021-02-22T00:00:00"/>
    <s v="Senior Engineer"/>
    <s v="Senior Engineer"/>
    <x v="1"/>
    <n v="2"/>
    <x v="2"/>
    <n v="11324"/>
    <n v="2.5000000000000001E-2"/>
    <n v="283"/>
    <n v="0"/>
    <n v="0"/>
    <n v="2.4991169198163195E-2"/>
    <n v="283"/>
    <n v="11607"/>
    <n v="11650"/>
    <n v="326"/>
    <x v="60"/>
    <s v="2.00%-3.00%"/>
    <m/>
    <m/>
    <m/>
    <m/>
    <n v="0"/>
    <n v="11650"/>
    <n v="326"/>
    <n v="2.8788413987990147E-2"/>
    <n v="14"/>
    <n v="450"/>
    <m/>
    <n v="688"/>
    <n v="169188"/>
    <n v="4"/>
    <m/>
    <m/>
    <m/>
    <s v="Zhu Chen (15010791)"/>
    <s v="Mo Xiaohong（11005372）"/>
    <s v="Zhao Chujun"/>
    <m/>
    <m/>
    <m/>
    <s v="OK"/>
  </r>
  <r>
    <s v="CN15"/>
    <n v="15014369"/>
    <s v="赵 晓静"/>
    <s v="Zhao Xiaojing"/>
    <s v="Indirect Active"/>
    <s v="OP"/>
    <s v="GQM"/>
    <s v="FLCNa-QM"/>
    <s v="340600"/>
    <d v="2015-05-13T00:00:00"/>
    <s v="Director"/>
    <s v="Head of Quality Management"/>
    <x v="5"/>
    <n v="2"/>
    <x v="2"/>
    <n v="22068"/>
    <n v="3.5000000000000003E-2"/>
    <n v="772"/>
    <n v="0"/>
    <n v="0"/>
    <n v="3.4982780496646729E-2"/>
    <n v="772"/>
    <n v="22840"/>
    <n v="22950"/>
    <n v="882"/>
    <x v="12"/>
    <s v="2.80%-4.20%"/>
    <m/>
    <m/>
    <m/>
    <m/>
    <n v="0"/>
    <n v="22950"/>
    <n v="882"/>
    <n v="3.9967373572593834E-2"/>
    <n v="14"/>
    <n v="1950"/>
    <n v="1000"/>
    <n v="688"/>
    <n v="357388"/>
    <n v="5"/>
    <m/>
    <m/>
    <m/>
    <s v="Zhu Chen (15010791)"/>
    <s v="Mo Xiaohong（11005372）"/>
    <s v="Zhao Chujun"/>
    <m/>
    <m/>
    <m/>
    <s v="OK"/>
  </r>
  <r>
    <s v="CN15"/>
    <n v="1212031"/>
    <s v="魏 小飞"/>
    <s v="Wei Xiaofei"/>
    <s v="Indirect Active"/>
    <s v="OP"/>
    <s v="GQM"/>
    <s v="FLCCh-QM"/>
    <s v="340600"/>
    <d v="2012-09-17T00:00:00"/>
    <s v="Director"/>
    <s v="Head of Quality Management"/>
    <x v="5"/>
    <n v="2"/>
    <x v="1"/>
    <n v="25461"/>
    <n v="5.2500000000000005E-2"/>
    <n v="1337"/>
    <n v="4.2099999999999999E-2"/>
    <n v="1072"/>
    <n v="9.4615293979026752E-2"/>
    <n v="2409"/>
    <n v="27870"/>
    <n v="27500"/>
    <n v="2039"/>
    <x v="118"/>
    <s v="7.57%-11.35%"/>
    <m/>
    <m/>
    <m/>
    <m/>
    <n v="0"/>
    <n v="27500"/>
    <n v="2039"/>
    <n v="8.0083264600761872E-2"/>
    <n v="14"/>
    <n v="450"/>
    <n v="1000"/>
    <n v="688"/>
    <n v="403088"/>
    <n v="3"/>
    <m/>
    <m/>
    <m/>
    <s v="Zhu Chen (15010791)"/>
    <s v="Mo Xiaohong（11005372）"/>
    <s v="Zhao Chujun"/>
    <m/>
    <m/>
    <m/>
    <s v="OK"/>
  </r>
  <r>
    <s v="CN15"/>
    <n v="15004179"/>
    <s v="曾 可可"/>
    <s v="Zeng Keke"/>
    <s v="Indirect Active"/>
    <s v="OP"/>
    <s v="GQM"/>
    <s v="FCGNa-QMS"/>
    <s v="330604"/>
    <d v="2010-07-14T00:00:00"/>
    <s v="Engineer"/>
    <s v="Supplier Quality Engineer"/>
    <x v="2"/>
    <n v="2"/>
    <x v="2"/>
    <n v="8569"/>
    <n v="0.03"/>
    <n v="257"/>
    <n v="0"/>
    <n v="0"/>
    <n v="2.9991831018788658E-2"/>
    <n v="257"/>
    <n v="8826"/>
    <n v="8876"/>
    <n v="307"/>
    <x v="119"/>
    <s v="2.40%-3.60%"/>
    <m/>
    <m/>
    <m/>
    <m/>
    <n v="0"/>
    <n v="8876"/>
    <n v="307"/>
    <n v="3.5826817598319627E-2"/>
    <n v="14"/>
    <n v="450"/>
    <m/>
    <n v="688"/>
    <n v="130352"/>
    <n v="3"/>
    <m/>
    <m/>
    <m/>
    <s v="Liu Baocui （15002216）"/>
    <s v="Mo Xiaohong（11005372）"/>
    <s v="Zhao Chujun"/>
    <m/>
    <m/>
    <m/>
    <s v="OK"/>
  </r>
  <r>
    <s v="CN15"/>
    <n v="15004574"/>
    <s v="陈 博"/>
    <s v="Chen Bo"/>
    <s v="Indirect Active"/>
    <s v="OP"/>
    <s v="GQM"/>
    <s v="FCGNa-QMS"/>
    <s v="330604"/>
    <d v="2013-07-01T00:00:00"/>
    <s v="Junior Engineer"/>
    <s v="Junior Engineer"/>
    <x v="4"/>
    <n v="2"/>
    <x v="2"/>
    <n v="7688"/>
    <n v="0.03"/>
    <n v="231"/>
    <n v="0"/>
    <n v="0"/>
    <n v="3.0046826222684703E-2"/>
    <n v="231"/>
    <n v="7919"/>
    <n v="8150"/>
    <n v="462"/>
    <x v="120"/>
    <s v="2.40%-3.61%"/>
    <m/>
    <m/>
    <m/>
    <m/>
    <n v="0"/>
    <n v="8150"/>
    <n v="462"/>
    <n v="6.0093652445369461E-2"/>
    <n v="14"/>
    <n v="600"/>
    <m/>
    <n v="688"/>
    <n v="121988"/>
    <n v="3"/>
    <m/>
    <s v="-Balance the salary level, he works equically with another QMS engineer, in addition, he was internally certified as E-analyzer and takes ESD coordinator role in factory, strong willingness to learn and change._x000a_"/>
    <s v="Internal balance"/>
    <s v="Liu Baocui （15002216）"/>
    <s v="Mo Xiaohong（11005372）"/>
    <s v="Zhao Chujun"/>
    <m/>
    <m/>
    <m/>
    <s v="&gt;20"/>
  </r>
  <r>
    <s v="CN15"/>
    <n v="15014467"/>
    <s v="陈 慧"/>
    <s v="Chen Hui"/>
    <s v="Indirect Active"/>
    <s v="OP"/>
    <s v="GQM"/>
    <s v="FCGNa-QMP"/>
    <s v="330602"/>
    <d v="2015-06-10T00:00:00"/>
    <s v="Supervisor"/>
    <s v="Head of Products"/>
    <x v="0"/>
    <n v="2"/>
    <x v="2"/>
    <n v="14772"/>
    <n v="2.5000000000000001E-2"/>
    <n v="369"/>
    <n v="0"/>
    <n v="0"/>
    <n v="2.4979691307879772E-2"/>
    <n v="369"/>
    <n v="15141"/>
    <n v="15141"/>
    <n v="369"/>
    <x v="13"/>
    <s v="2.00%-3.00%"/>
    <m/>
    <m/>
    <m/>
    <m/>
    <n v="0"/>
    <n v="15141"/>
    <n v="369"/>
    <n v="2.4979691307879692E-2"/>
    <n v="14"/>
    <n v="450"/>
    <m/>
    <n v="688"/>
    <n v="218062"/>
    <n v="5"/>
    <m/>
    <m/>
    <m/>
    <s v="Liu Baocui （15002216）"/>
    <s v="Mo Xiaohong（11005372）"/>
    <s v="Zhao Chujun"/>
    <m/>
    <m/>
    <m/>
    <s v="OK"/>
  </r>
  <r>
    <s v="CN15"/>
    <n v="15010343"/>
    <s v="刘 连涛"/>
    <s v="Liu Liantao"/>
    <s v="Indirect Active"/>
    <s v="OP"/>
    <s v="GQM"/>
    <s v="FCGNa-QMS"/>
    <s v="330604"/>
    <d v="2015-07-01T00:00:00"/>
    <s v="Supervisor"/>
    <s v="Head of FCGNa-QMS"/>
    <x v="0"/>
    <n v="2"/>
    <x v="2"/>
    <n v="14390"/>
    <n v="0.03"/>
    <n v="432"/>
    <n v="0"/>
    <n v="0"/>
    <n v="3.0020847810979846E-2"/>
    <n v="432"/>
    <n v="14822"/>
    <n v="14822"/>
    <n v="432"/>
    <x v="11"/>
    <s v="2.40%-3.60%"/>
    <m/>
    <m/>
    <m/>
    <m/>
    <n v="0"/>
    <n v="14822"/>
    <n v="432"/>
    <n v="3.00208478109798E-2"/>
    <n v="14"/>
    <n v="450"/>
    <m/>
    <n v="688"/>
    <n v="213596"/>
    <n v="3"/>
    <m/>
    <m/>
    <m/>
    <s v="Liu Baocui （15002216）"/>
    <s v="Mo Xiaohong（11005372）"/>
    <s v="Zhao Chujun"/>
    <m/>
    <m/>
    <m/>
    <s v="OK"/>
  </r>
  <r>
    <s v="CN15"/>
    <n v="11013617"/>
    <s v="王 雯"/>
    <s v="Wang Wen"/>
    <s v="Indirect Active"/>
    <s v="OP"/>
    <s v="GQM"/>
    <s v="FCGNa-QM"/>
    <s v="330602"/>
    <d v="2016-04-18T00:00:00"/>
    <s v="Engineer"/>
    <s v="Quality Engineer"/>
    <x v="2"/>
    <n v="2"/>
    <x v="1"/>
    <n v="12677"/>
    <n v="2.2499999999999999E-2"/>
    <n v="285"/>
    <n v="0"/>
    <n v="0"/>
    <n v="2.2481659698666875E-2"/>
    <n v="285"/>
    <n v="12962"/>
    <n v="12962"/>
    <n v="285"/>
    <x v="47"/>
    <s v="1.80%-2.70%"/>
    <m/>
    <m/>
    <m/>
    <m/>
    <n v="0"/>
    <n v="12962"/>
    <n v="285"/>
    <n v="2.2481659698666778E-2"/>
    <n v="14"/>
    <n v="450"/>
    <m/>
    <n v="688"/>
    <n v="187556"/>
    <n v="3"/>
    <m/>
    <m/>
    <m/>
    <s v="Liu Baocui （15002216）"/>
    <s v="Mo Xiaohong（11005372）"/>
    <s v="Zhao Chujun"/>
    <m/>
    <m/>
    <m/>
    <s v="OK"/>
  </r>
  <r>
    <s v="CN15"/>
    <n v="15000257"/>
    <s v="姚 敏"/>
    <s v="Yao Min"/>
    <s v="Indirect Active"/>
    <s v="OP"/>
    <s v="GQM"/>
    <s v="FCGNa-QMP"/>
    <s v="330602"/>
    <d v="2005-10-31T00:00:00"/>
    <s v="Senior Engineer"/>
    <s v="Senior Quality Engineer"/>
    <x v="1"/>
    <n v="2"/>
    <x v="1"/>
    <n v="10769"/>
    <n v="3.7500000000000006E-2"/>
    <n v="404"/>
    <n v="1.55E-2"/>
    <n v="167"/>
    <n v="5.3022564769245058E-2"/>
    <n v="571"/>
    <n v="11340"/>
    <n v="11340"/>
    <n v="571"/>
    <x v="40"/>
    <s v="4.24%-6.36%"/>
    <m/>
    <m/>
    <m/>
    <m/>
    <n v="0"/>
    <n v="11340"/>
    <n v="571"/>
    <n v="5.3022564769245051E-2"/>
    <n v="14"/>
    <n v="450"/>
    <m/>
    <n v="688"/>
    <n v="164848"/>
    <n v="3"/>
    <m/>
    <m/>
    <m/>
    <s v="Liu Baocui （15002216）"/>
    <s v="Mo Xiaohong（11005372）"/>
    <s v="Zhao Chujun"/>
    <m/>
    <m/>
    <m/>
    <s v="OK"/>
  </r>
  <r>
    <s v="CN15"/>
    <n v="15008564"/>
    <s v="程 莹"/>
    <s v="Cheng Ying"/>
    <s v="Indirect Active"/>
    <s v="OP"/>
    <s v="GQM"/>
    <s v="GQM-CGCL"/>
    <s v="130600"/>
    <d v="2012-09-06T00:00:00"/>
    <s v="Senior Engineer"/>
    <s v="Senior Engineer"/>
    <x v="1"/>
    <n v="2"/>
    <x v="5"/>
    <n v="12854"/>
    <n v="0"/>
    <n v="0"/>
    <n v="0"/>
    <n v="0"/>
    <n v="0"/>
    <n v="0"/>
    <n v="12854"/>
    <n v="12854"/>
    <n v="0"/>
    <x v="5"/>
    <s v="0.00%-0.00%"/>
    <m/>
    <m/>
    <m/>
    <m/>
    <n v="0"/>
    <n v="12854"/>
    <n v="0"/>
    <n v="0"/>
    <n v="14"/>
    <n v="450"/>
    <m/>
    <n v="688"/>
    <n v="186044"/>
    <n v="3"/>
    <m/>
    <m/>
    <m/>
    <s v="Liu Baocui （15002216）"/>
    <s v="Mo Xiaohong（11005372）"/>
    <s v="Zhao Chujun"/>
    <m/>
    <m/>
    <m/>
    <s v="OK"/>
  </r>
  <r>
    <s v="CN15"/>
    <n v="15021791"/>
    <s v="董 自栋"/>
    <s v="Dong Zidong"/>
    <s v="Indirect Active"/>
    <s v="OP"/>
    <s v="GQM"/>
    <s v="GQM-CGCD"/>
    <s v="130600"/>
    <d v="2021-09-22T00:00:00"/>
    <s v="Engineer"/>
    <s v="Measurement Engineer"/>
    <x v="2"/>
    <n v="2"/>
    <x v="2"/>
    <n v="9702"/>
    <n v="2.5000000000000001E-2"/>
    <n v="243"/>
    <n v="0"/>
    <n v="0"/>
    <n v="2.5046382189239332E-2"/>
    <n v="243"/>
    <n v="9945"/>
    <n v="9994"/>
    <n v="292"/>
    <x v="75"/>
    <s v="2.00%-3.01%"/>
    <m/>
    <m/>
    <m/>
    <m/>
    <n v="0"/>
    <n v="9994"/>
    <n v="292"/>
    <n v="3.0096887239744463E-2"/>
    <n v="14"/>
    <n v="550"/>
    <m/>
    <n v="688"/>
    <n v="147204"/>
    <n v="4"/>
    <m/>
    <m/>
    <m/>
    <s v="Liu Baocui （15002216）"/>
    <s v="Mo Xiaohong（11005372）"/>
    <s v="Zhao Chujun"/>
    <m/>
    <m/>
    <m/>
    <s v="OK"/>
  </r>
  <r>
    <s v="CN15"/>
    <n v="15003788"/>
    <s v="贺 洪财"/>
    <s v="He Hongcai"/>
    <s v="Indirect Active"/>
    <s v="OP"/>
    <s v="GQM"/>
    <s v="GQM-CGCL"/>
    <s v="130600"/>
    <d v="2010-05-12T00:00:00"/>
    <s v="Manager"/>
    <s v="Head of GQM-CGCL"/>
    <x v="3"/>
    <n v="2"/>
    <x v="2"/>
    <n v="24580"/>
    <n v="2.5000000000000001E-2"/>
    <n v="615"/>
    <n v="0"/>
    <n v="0"/>
    <n v="2.502034174125305E-2"/>
    <n v="615"/>
    <n v="25195"/>
    <n v="25100"/>
    <n v="520"/>
    <x v="121"/>
    <s v="2.00%-3.00%"/>
    <m/>
    <m/>
    <m/>
    <m/>
    <n v="0"/>
    <n v="25100"/>
    <n v="520"/>
    <n v="2.11554109031733E-2"/>
    <n v="14"/>
    <n v="550"/>
    <m/>
    <n v="688"/>
    <n v="358688"/>
    <n v="3"/>
    <m/>
    <m/>
    <m/>
    <s v="Liu Baocui （15002216）"/>
    <s v="Mo Xiaohong（11005372）"/>
    <s v="Zhao Chujun"/>
    <m/>
    <m/>
    <m/>
    <s v="OK"/>
  </r>
  <r>
    <s v="CN15"/>
    <n v="1120211"/>
    <s v="马 圆强"/>
    <s v="Ma Yuanqiang"/>
    <s v="Indirect Active"/>
    <s v="OP"/>
    <s v="GQM"/>
    <s v="GQM-CGCD"/>
    <s v="130600"/>
    <d v="2018-04-10T00:00:00"/>
    <s v="Senior Engineer"/>
    <s v="Senior Measurement Engineer"/>
    <x v="1"/>
    <n v="2"/>
    <x v="0"/>
    <n v="10987"/>
    <n v="0.05"/>
    <n v="549"/>
    <n v="2.7E-2"/>
    <n v="297"/>
    <n v="7.7000091016656044E-2"/>
    <n v="846"/>
    <n v="11833"/>
    <n v="11500"/>
    <n v="513"/>
    <x v="122"/>
    <s v="6.16%-9.24%"/>
    <s v="Promotion"/>
    <s v="Functional Specialist"/>
    <s v="A6"/>
    <n v="0.12180000000000001"/>
    <n v="1338"/>
    <n v="12838"/>
    <n v="1851"/>
    <n v="0.16847183034495306"/>
    <n v="14"/>
    <n v="450"/>
    <m/>
    <n v="688"/>
    <n v="185820"/>
    <n v="3"/>
    <m/>
    <s v="-EDSP BOX2 and EDD as driver; Workplan 5;_x000a_- Work as metrology LPO and very active in CG global specialist cycle, also in local cross-categrory quality measurement club. _x000a_- With profound knowledge about GD&amp;T and measurement, he proactively collabrates with DE to optimize drawing, coach and align with supplier on meansurement approach._x000a_- He is very dedicated to work and managed all measurement demands without any delay, rated as 2025 star employee in CG RCT "/>
    <s v="Combined with promotion"/>
    <s v="Liu Baocui （15002216）"/>
    <s v="Mo Xiaohong（11005372）"/>
    <s v="Zhao Chujun"/>
    <m/>
    <m/>
    <m/>
    <s v="&lt;20"/>
  </r>
  <r>
    <s v="CN15"/>
    <n v="1017080"/>
    <s v="沈 骞"/>
    <s v="Shen Qian"/>
    <s v="Indirect Active"/>
    <s v="OP"/>
    <s v="GQM"/>
    <s v="GQM-CGCT"/>
    <s v="130600"/>
    <d v="2022-01-19T00:00:00"/>
    <s v="Engineer"/>
    <s v="Engineer"/>
    <x v="2"/>
    <n v="2"/>
    <x v="0"/>
    <n v="7607"/>
    <n v="0.06"/>
    <n v="456"/>
    <n v="7.7799999999999994E-2"/>
    <n v="592"/>
    <n v="0.13776784540554751"/>
    <n v="1048"/>
    <n v="8655"/>
    <n v="8800"/>
    <n v="1193"/>
    <x v="123"/>
    <s v="11.02%-16.53%"/>
    <m/>
    <m/>
    <m/>
    <m/>
    <n v="0"/>
    <n v="8800"/>
    <n v="1193"/>
    <n v="0.15682923622978828"/>
    <n v="14"/>
    <n v="450"/>
    <m/>
    <n v="688"/>
    <n v="129288"/>
    <n v="3"/>
    <m/>
    <m/>
    <m/>
    <s v="Liu Baocui （15002216）"/>
    <s v="Mo Xiaohong（11005372）"/>
    <s v="Zhao Chujun"/>
    <m/>
    <m/>
    <m/>
    <s v="OK"/>
  </r>
  <r>
    <s v="CN15"/>
    <n v="15014854"/>
    <s v="王 秀娟"/>
    <s v="Wang Xiujuan"/>
    <s v="Indirect Active"/>
    <s v="OP"/>
    <s v="GQM"/>
    <s v="GQM-CGCD"/>
    <s v="130600"/>
    <d v="2015-10-12T00:00:00"/>
    <s v="Senior Engineer"/>
    <s v="Senior Engineer"/>
    <x v="1"/>
    <n v="2"/>
    <x v="3"/>
    <n v="11038"/>
    <n v="0"/>
    <n v="0"/>
    <n v="0"/>
    <n v="0"/>
    <n v="0"/>
    <n v="0"/>
    <n v="11038"/>
    <n v="11038"/>
    <n v="0"/>
    <x v="5"/>
    <s v="0.00%-0.00%"/>
    <m/>
    <m/>
    <m/>
    <m/>
    <n v="0"/>
    <n v="11038"/>
    <n v="0"/>
    <n v="0"/>
    <n v="14"/>
    <n v="450"/>
    <m/>
    <n v="688"/>
    <n v="160620"/>
    <n v="3"/>
    <m/>
    <m/>
    <m/>
    <s v="Liu Baocui （15002216）"/>
    <s v="Mo Xiaohong（11005372）"/>
    <s v="Zhao Chujun"/>
    <m/>
    <m/>
    <m/>
    <s v="OK"/>
  </r>
  <r>
    <s v="CN15"/>
    <n v="15014804"/>
    <s v="吴 蓓"/>
    <s v="Wu Bei"/>
    <s v="Indirect Active"/>
    <s v="OP"/>
    <s v="GQM"/>
    <s v="GQM-CGCD"/>
    <s v="130600"/>
    <d v="2015-09-01T00:00:00"/>
    <s v="Manager"/>
    <s v="Head of Project Quality"/>
    <x v="3"/>
    <n v="2"/>
    <x v="2"/>
    <n v="27390"/>
    <n v="2.5000000000000001E-2"/>
    <n v="685"/>
    <n v="0"/>
    <n v="0"/>
    <n v="2.5009127418765972E-2"/>
    <n v="685"/>
    <n v="28075"/>
    <n v="28000"/>
    <n v="610"/>
    <x v="124"/>
    <s v="2.00%-3.00%"/>
    <m/>
    <m/>
    <m/>
    <m/>
    <n v="0"/>
    <n v="28000"/>
    <n v="610"/>
    <n v="2.2270901788974173E-2"/>
    <n v="14"/>
    <n v="450"/>
    <m/>
    <n v="688"/>
    <n v="398088"/>
    <n v="4"/>
    <m/>
    <m/>
    <m/>
    <s v="Liu Baocui （15002216）"/>
    <s v="Mo Xiaohong（11005372）"/>
    <s v="Zhao Chujun"/>
    <m/>
    <m/>
    <m/>
    <s v="OK"/>
  </r>
  <r>
    <s v="CN15"/>
    <n v="15022098"/>
    <s v="吴 迅"/>
    <s v="Wu Xun"/>
    <s v="Indirect Active"/>
    <s v="OP"/>
    <s v="GQM"/>
    <s v="GQM-CGCL"/>
    <s v="130600"/>
    <d v="2022-01-05T00:00:00"/>
    <s v="Engineer"/>
    <s v="Quality Engineer"/>
    <x v="2"/>
    <n v="2"/>
    <x v="2"/>
    <n v="10846"/>
    <n v="2.5000000000000001E-2"/>
    <n v="271"/>
    <n v="0"/>
    <n v="0"/>
    <n v="2.498617001659598E-2"/>
    <n v="271"/>
    <n v="11117"/>
    <n v="11125"/>
    <n v="279"/>
    <x v="125"/>
    <s v="2.00%-3.00%"/>
    <m/>
    <m/>
    <m/>
    <m/>
    <n v="0"/>
    <n v="11125"/>
    <n v="279"/>
    <n v="2.5723769131477114E-2"/>
    <n v="14"/>
    <n v="450"/>
    <m/>
    <n v="688"/>
    <n v="161838"/>
    <n v="3"/>
    <m/>
    <m/>
    <m/>
    <s v="Liu Baocui （15002216）"/>
    <s v="Mo Xiaohong（11005372）"/>
    <s v="Zhao Chujun"/>
    <m/>
    <m/>
    <m/>
    <s v="OK"/>
  </r>
  <r>
    <s v="CN15"/>
    <n v="15001923"/>
    <s v="夏 承杰"/>
    <s v="Xia Chengjie"/>
    <s v="Indirect Active"/>
    <s v="OP"/>
    <s v="GQM"/>
    <s v="GQM-CGCL"/>
    <s v="130600"/>
    <d v="2008-08-13T00:00:00"/>
    <s v="Engineer"/>
    <s v="Quality Engineer"/>
    <x v="2"/>
    <n v="2"/>
    <x v="2"/>
    <n v="9138"/>
    <n v="2.5000000000000001E-2"/>
    <n v="228"/>
    <n v="0"/>
    <n v="0"/>
    <n v="2.4950755088640839E-2"/>
    <n v="228"/>
    <n v="9366"/>
    <n v="9366"/>
    <n v="228"/>
    <x v="13"/>
    <s v="2.00%-2.99%"/>
    <m/>
    <m/>
    <m/>
    <m/>
    <n v="0"/>
    <n v="9366"/>
    <n v="228"/>
    <n v="2.4950755088640753E-2"/>
    <n v="14"/>
    <n v="450"/>
    <m/>
    <n v="688"/>
    <n v="137212"/>
    <n v="3"/>
    <m/>
    <m/>
    <m/>
    <s v="Liu Baocui （15002216）"/>
    <s v="Mo Xiaohong（11005372）"/>
    <s v="Zhao Chujun"/>
    <m/>
    <m/>
    <m/>
    <s v="OK"/>
  </r>
  <r>
    <s v="CN15"/>
    <n v="15017986"/>
    <s v="徐 俊"/>
    <s v="Xu Jun"/>
    <s v="Indirect Active"/>
    <s v="OP"/>
    <s v="GQM"/>
    <s v="GQM-CGCT"/>
    <s v="130600"/>
    <d v="2017-08-02T00:00:00"/>
    <s v="Supervisor"/>
    <s v="Head of Testing &amp; Laboratory Cooking"/>
    <x v="0"/>
    <n v="2"/>
    <x v="2"/>
    <n v="14381"/>
    <n v="0.03"/>
    <n v="431"/>
    <n v="0"/>
    <n v="0"/>
    <n v="2.9970099436756832E-2"/>
    <n v="431"/>
    <n v="14812"/>
    <n v="14812"/>
    <n v="431"/>
    <x v="11"/>
    <s v="2.40%-3.60%"/>
    <m/>
    <m/>
    <m/>
    <m/>
    <n v="0"/>
    <n v="14812"/>
    <n v="431"/>
    <n v="2.9970099436756881E-2"/>
    <n v="14"/>
    <n v="450"/>
    <m/>
    <n v="688"/>
    <n v="213456"/>
    <n v="5"/>
    <m/>
    <m/>
    <m/>
    <s v="Liu Baocui （15002216）"/>
    <s v="Mo Xiaohong（11005372）"/>
    <s v="Zhao Chujun"/>
    <m/>
    <m/>
    <m/>
    <s v="OK"/>
  </r>
  <r>
    <s v="CN15"/>
    <n v="15009709"/>
    <s v="许 林波"/>
    <s v="Xu Linbo"/>
    <s v="Indirect Active"/>
    <s v="OP"/>
    <s v="GQM"/>
    <s v="FCGNa-QM"/>
    <s v="330602"/>
    <d v="2013-03-21T00:00:00"/>
    <s v="Manager"/>
    <s v="Head of Quality Management"/>
    <x v="3"/>
    <n v="2"/>
    <x v="1"/>
    <n v="21599"/>
    <n v="4.4999999999999998E-2"/>
    <n v="972"/>
    <n v="4.2099999999999999E-2"/>
    <n v="909"/>
    <n v="8.7087365155794252E-2"/>
    <n v="1881"/>
    <n v="23480"/>
    <n v="23500"/>
    <n v="1901"/>
    <x v="126"/>
    <s v="6.97%-10.45%"/>
    <m/>
    <m/>
    <m/>
    <m/>
    <n v="0"/>
    <n v="23500"/>
    <n v="1901"/>
    <n v="8.8013333950645922E-2"/>
    <n v="14"/>
    <n v="450"/>
    <m/>
    <n v="688"/>
    <n v="335088"/>
    <n v="4"/>
    <m/>
    <m/>
    <m/>
    <s v="Liu Baocui （15002216）"/>
    <s v="Mo Xiaohong（11005372）"/>
    <s v="Zhao Chujun"/>
    <m/>
    <m/>
    <m/>
    <s v="OK"/>
  </r>
  <r>
    <s v="CN15"/>
    <n v="15001070"/>
    <s v="於 全飞"/>
    <s v="Yu Quanfei"/>
    <s v="Indirect Blue_NP"/>
    <s v="OP"/>
    <s v="GQM"/>
    <s v="GQM-CGCT"/>
    <s v="130600"/>
    <d v="2007-09-01T00:00:00"/>
    <s v="Technician"/>
    <s v="Test Technician"/>
    <x v="7"/>
    <n v="2"/>
    <x v="2"/>
    <n v="5130"/>
    <n v="0"/>
    <n v="0"/>
    <n v="0"/>
    <n v="0"/>
    <n v="0"/>
    <n v="0"/>
    <n v="5130"/>
    <n v="5130"/>
    <n v="0"/>
    <x v="5"/>
    <s v="0.00%-0.00%"/>
    <m/>
    <m/>
    <m/>
    <m/>
    <n v="0"/>
    <n v="5130"/>
    <n v="0"/>
    <n v="0"/>
    <n v="14"/>
    <n v="550"/>
    <m/>
    <n v="688"/>
    <n v="79108"/>
    <n v="3"/>
    <m/>
    <m/>
    <m/>
    <s v="Liu Baocui （15002216）"/>
    <s v="Mo Xiaohong（11005372）"/>
    <s v="Zhao Chujun"/>
    <m/>
    <m/>
    <m/>
    <s v="OK"/>
  </r>
  <r>
    <s v="CN15"/>
    <n v="15017219"/>
    <s v="张 波"/>
    <s v="Zhang Bo"/>
    <s v="Indirect Blue_NP"/>
    <s v="OP"/>
    <s v="GQM"/>
    <s v="GQM-CGCT"/>
    <s v="130600"/>
    <d v="2017-11-01T00:00:00"/>
    <s v="Technician"/>
    <s v="Test Technician"/>
    <x v="7"/>
    <n v="2"/>
    <x v="2"/>
    <n v="5431"/>
    <n v="0"/>
    <n v="0"/>
    <n v="0"/>
    <n v="0"/>
    <n v="0"/>
    <n v="0"/>
    <n v="5431"/>
    <n v="5431"/>
    <n v="0"/>
    <x v="5"/>
    <s v="0.00%-0.00%"/>
    <m/>
    <m/>
    <m/>
    <m/>
    <n v="0"/>
    <n v="5431"/>
    <n v="0"/>
    <n v="0"/>
    <n v="14"/>
    <n v="550"/>
    <m/>
    <n v="688"/>
    <n v="83322"/>
    <n v="3"/>
    <m/>
    <m/>
    <m/>
    <s v="Liu Baocui （15002216）"/>
    <s v="Mo Xiaohong（11005372）"/>
    <s v="Zhao Chujun"/>
    <m/>
    <m/>
    <m/>
    <s v="OK"/>
  </r>
  <r>
    <s v="CN15"/>
    <n v="15018789"/>
    <s v="朱 英韬"/>
    <s v="Zhu Yingtao"/>
    <s v="Indirect Active"/>
    <s v="OP"/>
    <s v="GQM"/>
    <s v="GQM-CGCD"/>
    <s v="130600"/>
    <d v="2018-07-01T00:00:00"/>
    <s v="Senior Engineer"/>
    <s v="Senior Engineer"/>
    <x v="1"/>
    <n v="2"/>
    <x v="1"/>
    <n v="9645"/>
    <n v="4.4999999999999998E-2"/>
    <n v="434"/>
    <n v="1.55E-2"/>
    <n v="149"/>
    <n v="6.0445826853291862E-2"/>
    <n v="583"/>
    <n v="10228"/>
    <n v="10228"/>
    <n v="583"/>
    <x v="127"/>
    <s v="4.84%-7.25%"/>
    <m/>
    <m/>
    <m/>
    <m/>
    <n v="0"/>
    <n v="10228"/>
    <n v="583"/>
    <n v="6.0445826853291917E-2"/>
    <n v="14"/>
    <n v="450"/>
    <m/>
    <n v="688"/>
    <n v="149280"/>
    <n v="3"/>
    <m/>
    <m/>
    <m/>
    <s v="Liu Baocui （15002216）"/>
    <s v="Mo Xiaohong（11005372）"/>
    <s v="Zhao Chujun"/>
    <m/>
    <m/>
    <m/>
    <s v="OK"/>
  </r>
  <r>
    <s v="CN15"/>
    <n v="1230001"/>
    <s v="鲁 松涛"/>
    <s v="Lu Songtao"/>
    <s v="Indirect Active"/>
    <s v="OP"/>
    <s v="GOM-CLC"/>
    <s v="GOM-CLC"/>
    <s v="222010"/>
    <d v="2004-06-01T00:00:00"/>
    <s v="Director"/>
    <s v="Director"/>
    <x v="5"/>
    <n v="2"/>
    <x v="2"/>
    <n v="50715"/>
    <n v="0"/>
    <n v="0"/>
    <n v="0"/>
    <n v="0"/>
    <n v="0"/>
    <n v="0"/>
    <n v="50715"/>
    <n v="50715"/>
    <n v="0"/>
    <x v="5"/>
    <s v="0.00%-0.00%"/>
    <m/>
    <m/>
    <m/>
    <m/>
    <n v="0"/>
    <n v="50715"/>
    <n v="0"/>
    <n v="0"/>
    <n v="14"/>
    <n v="450"/>
    <n v="1000"/>
    <n v="688"/>
    <n v="728098"/>
    <n v="2"/>
    <m/>
    <m/>
    <m/>
    <s v="He Jin（1220095）"/>
    <s v="Zhu Qianqian（11016705）"/>
    <m/>
    <m/>
    <m/>
    <m/>
    <s v="OK"/>
  </r>
  <r>
    <s v="CN15"/>
    <n v="11007295"/>
    <s v="徐 琳"/>
    <s v="Xu Lin"/>
    <s v="Indirect Active"/>
    <s v="OP"/>
    <s v="GOM-CLC"/>
    <s v="GOM-CLCL"/>
    <s v="222030"/>
    <d v="2004-07-01T00:00:00"/>
    <s v="Function Manager"/>
    <s v="Function Manager"/>
    <x v="3"/>
    <n v="2"/>
    <x v="1"/>
    <n v="38000"/>
    <n v="2.2499999999999999E-2"/>
    <n v="855"/>
    <n v="0"/>
    <n v="0"/>
    <n v="2.2499999999999999E-2"/>
    <n v="855"/>
    <n v="38855"/>
    <n v="38855"/>
    <n v="855"/>
    <x v="47"/>
    <s v="1.80%-2.70%"/>
    <m/>
    <m/>
    <m/>
    <m/>
    <n v="0"/>
    <n v="38855"/>
    <n v="855"/>
    <n v="2.2499999999999964E-2"/>
    <n v="14"/>
    <n v="450"/>
    <m/>
    <n v="688"/>
    <n v="550058"/>
    <n v="4"/>
    <m/>
    <m/>
    <m/>
    <s v="He Jin（1220095）"/>
    <s v="Zhu Qianqian（11016705）"/>
    <m/>
    <m/>
    <m/>
    <m/>
    <s v="OK"/>
  </r>
  <r>
    <s v="CN15"/>
    <n v="11009678"/>
    <s v="黄 禾"/>
    <s v="Huang He"/>
    <s v="Indirect Active"/>
    <s v="OP"/>
    <s v="GOM-CLC"/>
    <s v="GOM-CLCL"/>
    <s v="222030"/>
    <d v="2013-07-08T00:00:00"/>
    <s v="Professional"/>
    <s v="Product Manager"/>
    <x v="0"/>
    <n v="2"/>
    <x v="2"/>
    <n v="22590"/>
    <n v="2.5000000000000001E-2"/>
    <n v="565"/>
    <n v="0"/>
    <n v="0"/>
    <n v="2.5011066843736166E-2"/>
    <n v="565"/>
    <n v="23155"/>
    <n v="23155"/>
    <n v="565"/>
    <x v="13"/>
    <s v="2.00%-3.00%"/>
    <m/>
    <m/>
    <m/>
    <m/>
    <n v="0"/>
    <n v="23155"/>
    <n v="565"/>
    <n v="2.5011066843736218E-2"/>
    <n v="14"/>
    <n v="450"/>
    <m/>
    <n v="688"/>
    <n v="330258"/>
    <n v="3"/>
    <m/>
    <m/>
    <m/>
    <s v="He Jin（1220095）"/>
    <s v="Zhu Qianqian（11016705）"/>
    <m/>
    <m/>
    <m/>
    <m/>
    <s v="OK"/>
  </r>
  <r>
    <s v="CN15"/>
    <n v="11010128"/>
    <s v="戴 洁"/>
    <s v="Dai Jie"/>
    <s v="Indirect Active"/>
    <s v="OP"/>
    <s v="GOM-CLC"/>
    <s v="GOM-CLCL"/>
    <s v="222030"/>
    <d v="2010-04-14T00:00:00"/>
    <s v="Professional"/>
    <s v="Product Manager"/>
    <x v="0"/>
    <n v="2"/>
    <x v="3"/>
    <n v="19580"/>
    <n v="0"/>
    <n v="0"/>
    <n v="0"/>
    <n v="0"/>
    <n v="0"/>
    <n v="0"/>
    <n v="19580"/>
    <n v="19580"/>
    <n v="0"/>
    <x v="5"/>
    <s v="0.00%-0.00%"/>
    <m/>
    <m/>
    <m/>
    <m/>
    <n v="0"/>
    <n v="19580"/>
    <n v="0"/>
    <n v="0"/>
    <n v="14"/>
    <n v="450"/>
    <m/>
    <n v="688"/>
    <n v="280208"/>
    <n v="3"/>
    <m/>
    <m/>
    <m/>
    <s v="He Jin（1220095）"/>
    <s v="Zhu Qianqian（11016705）"/>
    <m/>
    <m/>
    <m/>
    <m/>
    <s v="OK"/>
  </r>
  <r>
    <s v="CN15"/>
    <n v="11017596"/>
    <s v="郭 林特"/>
    <s v="Guo Linte"/>
    <s v="Indirect Active"/>
    <s v="OP"/>
    <s v="GOM-CLC"/>
    <s v="GOM-CLCL"/>
    <s v="222030"/>
    <d v="2020-10-12T00:00:00"/>
    <s v="Professional"/>
    <s v="Product Manager"/>
    <x v="0"/>
    <n v="2"/>
    <x v="5"/>
    <n v="24800"/>
    <n v="0"/>
    <n v="0"/>
    <n v="0"/>
    <n v="0"/>
    <n v="0"/>
    <n v="0"/>
    <n v="24800"/>
    <n v="24800"/>
    <n v="0"/>
    <x v="5"/>
    <s v="0.00%-0.00%"/>
    <m/>
    <m/>
    <m/>
    <m/>
    <n v="0"/>
    <n v="24800"/>
    <n v="0"/>
    <n v="0"/>
    <n v="14"/>
    <n v="450"/>
    <m/>
    <n v="688"/>
    <n v="353288"/>
    <n v="3"/>
    <m/>
    <m/>
    <m/>
    <s v="He Jin（1220095）"/>
    <s v="Zhu Qianqian（11016705）"/>
    <m/>
    <m/>
    <m/>
    <m/>
    <s v="OK"/>
  </r>
  <r>
    <s v="CN15"/>
    <n v="11018892"/>
    <s v="冯 海心"/>
    <s v="Feng Eileen"/>
    <s v="Indirect Active"/>
    <s v="OP"/>
    <s v="GOM-CLC"/>
    <s v="GOM-CLC"/>
    <s v="222010"/>
    <d v="2021-10-25T00:00:00"/>
    <s v="Director"/>
    <s v="Director"/>
    <x v="5"/>
    <n v="2"/>
    <x v="2"/>
    <n v="31231"/>
    <n v="0.03"/>
    <n v="937"/>
    <n v="0"/>
    <n v="0"/>
    <n v="3.0002241362748552E-2"/>
    <n v="937"/>
    <n v="32168"/>
    <n v="32168"/>
    <n v="937"/>
    <x v="11"/>
    <s v="2.40%-3.60%"/>
    <m/>
    <m/>
    <m/>
    <m/>
    <n v="0"/>
    <n v="32168"/>
    <n v="937"/>
    <n v="3.0002241362748538E-2"/>
    <n v="14"/>
    <n v="450"/>
    <n v="1000"/>
    <n v="688"/>
    <n v="468440"/>
    <n v="4"/>
    <m/>
    <m/>
    <m/>
    <s v="He Jin（1220095）"/>
    <s v="Zhu Qianqian（11016705）"/>
    <m/>
    <m/>
    <m/>
    <m/>
    <s v="OK"/>
  </r>
  <r>
    <s v="CN15"/>
    <n v="15022109"/>
    <s v="蔡 超骏"/>
    <s v="Cai Chaojun"/>
    <s v="Indirect Active"/>
    <s v="OP"/>
    <s v="GOM-CLC"/>
    <s v="GOM-CLCL"/>
    <s v="110710"/>
    <d v="2022-01-05T00:00:00"/>
    <s v="Product Manager"/>
    <s v="Product Manager"/>
    <x v="0"/>
    <n v="2"/>
    <x v="2"/>
    <n v="16814"/>
    <n v="0.03"/>
    <n v="504"/>
    <n v="0"/>
    <n v="0"/>
    <n v="2.9975020815986679E-2"/>
    <n v="504"/>
    <n v="17318"/>
    <n v="17318"/>
    <n v="504"/>
    <x v="11"/>
    <s v="2.40%-3.60%"/>
    <m/>
    <m/>
    <m/>
    <m/>
    <n v="0"/>
    <n v="17318"/>
    <n v="504"/>
    <n v="2.9975020815986575E-2"/>
    <n v="14"/>
    <n v="450"/>
    <m/>
    <n v="688"/>
    <n v="248540"/>
    <n v="1"/>
    <m/>
    <m/>
    <m/>
    <s v="He Jin（1220095）"/>
    <s v="Zhu Qianqian（11016705）"/>
    <m/>
    <m/>
    <m/>
    <m/>
    <s v="OK"/>
  </r>
  <r>
    <s v="CN15"/>
    <n v="1211029"/>
    <s v="杨 添惠"/>
    <s v="Yang Tianhui"/>
    <s v="Indirect Active"/>
    <s v="OP"/>
    <s v="GOM-CLC"/>
    <s v="GOM-CLCP"/>
    <s v="110710"/>
    <d v="2011-07-11T00:00:00"/>
    <s v="Project Manager"/>
    <s v="Project Manager"/>
    <x v="0"/>
    <n v="2"/>
    <x v="2"/>
    <n v="19000"/>
    <n v="2.5000000000000001E-2"/>
    <n v="475"/>
    <n v="0"/>
    <n v="0"/>
    <n v="2.5000000000000001E-2"/>
    <n v="475"/>
    <n v="19475"/>
    <n v="19475"/>
    <n v="475"/>
    <x v="13"/>
    <s v="2.00%-3.00%"/>
    <m/>
    <m/>
    <m/>
    <m/>
    <n v="0"/>
    <n v="19475"/>
    <n v="475"/>
    <n v="2.4999999999999911E-2"/>
    <n v="14"/>
    <n v="450"/>
    <m/>
    <n v="688"/>
    <n v="278738"/>
    <n v="3"/>
    <m/>
    <m/>
    <m/>
    <s v="He Jin（1220095）"/>
    <s v="Zhu Qianqian（11016705）"/>
    <m/>
    <m/>
    <m/>
    <m/>
    <s v="OK"/>
  </r>
  <r>
    <s v="CN15"/>
    <n v="15005181"/>
    <s v="周 强"/>
    <s v="Zhou Qiang"/>
    <s v="Indirect Active"/>
    <s v="OP"/>
    <s v="GOM-CLC"/>
    <s v="GOM-CLCP"/>
    <s v="110710"/>
    <d v="2008-05-01T00:00:00"/>
    <s v="Director"/>
    <s v="Director"/>
    <x v="5"/>
    <n v="2"/>
    <x v="2"/>
    <n v="36462"/>
    <n v="0.03"/>
    <n v="1094"/>
    <n v="0"/>
    <n v="0"/>
    <n v="3.0003839613844549E-2"/>
    <n v="1094"/>
    <n v="37556"/>
    <n v="37556"/>
    <n v="1094"/>
    <x v="11"/>
    <s v="2.40%-3.60%"/>
    <m/>
    <m/>
    <m/>
    <m/>
    <n v="0"/>
    <n v="37556"/>
    <n v="1094"/>
    <n v="3.0003839613844452E-2"/>
    <n v="14"/>
    <n v="450"/>
    <n v="1000"/>
    <n v="688"/>
    <n v="543872"/>
    <n v="4"/>
    <m/>
    <m/>
    <m/>
    <s v="He Jin（1220095）"/>
    <s v="Zhu Qianqian（11016705）"/>
    <m/>
    <m/>
    <m/>
    <m/>
    <s v="OK"/>
  </r>
  <r>
    <s v="CN15"/>
    <n v="85886180"/>
    <s v="陈 曦"/>
    <s v="CHEN Xi"/>
    <s v="SO"/>
    <s v="OP"/>
    <s v="GOM-CLC"/>
    <s v="GOM-CLC"/>
    <s v="110710"/>
    <d v="2025-09-02T00:00:00"/>
    <s v="Team Assistant"/>
    <s v="Team Assistant"/>
    <x v="2"/>
    <n v="2"/>
    <x v="2"/>
    <n v="9000"/>
    <n v="0"/>
    <n v="0"/>
    <n v="0"/>
    <n v="0"/>
    <n v="0"/>
    <n v="0"/>
    <n v="9000"/>
    <n v="9000"/>
    <n v="0"/>
    <x v="5"/>
    <s v="0.00%-0.00%"/>
    <m/>
    <m/>
    <m/>
    <m/>
    <n v="0"/>
    <n v="9000"/>
    <n v="0"/>
    <n v="0"/>
    <n v="14"/>
    <n v="780"/>
    <m/>
    <n v="1210"/>
    <n v="136570"/>
    <e v="#N/A"/>
    <m/>
    <m/>
    <m/>
    <s v="He Jin（1220095）"/>
    <s v="Zhu Qianqian（11016705）"/>
    <m/>
    <m/>
    <m/>
    <m/>
    <s v="OK"/>
  </r>
  <r>
    <s v="CN15"/>
    <n v="1120234"/>
    <s v="应 宇强"/>
    <s v="Ying Yuqiang"/>
    <s v="Indirect Active"/>
    <s v="OP"/>
    <s v="GOM-CLC"/>
    <s v="GOM-CLCP"/>
    <s v="110901"/>
    <d v="2019-03-04T00:00:00"/>
    <s v="Project Manager"/>
    <s v="Project Manager"/>
    <x v="0"/>
    <n v="2"/>
    <x v="1"/>
    <n v="20139"/>
    <n v="0.03"/>
    <n v="604"/>
    <n v="0"/>
    <n v="0"/>
    <n v="2.9991558667262525E-2"/>
    <n v="604"/>
    <n v="20743"/>
    <n v="20743"/>
    <n v="604"/>
    <x v="11"/>
    <s v="2.40%-3.60%"/>
    <m/>
    <m/>
    <m/>
    <m/>
    <n v="0"/>
    <n v="20743"/>
    <n v="604"/>
    <n v="2.9991558667262552E-2"/>
    <n v="14"/>
    <n v="4350"/>
    <m/>
    <n v="688"/>
    <n v="343290"/>
    <e v="#N/A"/>
    <m/>
    <m/>
    <m/>
    <s v="He Jin（1220095）"/>
    <s v="Zhu Qianqian（11016705）"/>
    <m/>
    <m/>
    <m/>
    <m/>
    <s v="OK"/>
  </r>
  <r>
    <s v="CN15"/>
    <n v="1214052"/>
    <s v="薛 凯"/>
    <s v="Xue Kai"/>
    <s v="Indirect Active"/>
    <s v="OP"/>
    <s v="GOM-CLC"/>
    <s v="GOM-CLCP"/>
    <s v="110901"/>
    <d v="2008-08-06T00:00:00"/>
    <s v="Senior Project Manager"/>
    <s v="Senior Project Manager"/>
    <x v="3"/>
    <n v="2"/>
    <x v="1"/>
    <n v="25900"/>
    <n v="0.03"/>
    <n v="777"/>
    <n v="0"/>
    <n v="0"/>
    <n v="0.03"/>
    <n v="777"/>
    <n v="26677"/>
    <n v="26677"/>
    <n v="777"/>
    <x v="11"/>
    <s v="2.40%-3.60%"/>
    <m/>
    <m/>
    <m/>
    <m/>
    <n v="0"/>
    <n v="26677"/>
    <n v="777"/>
    <n v="3.0000000000000027E-2"/>
    <n v="14"/>
    <n v="4700"/>
    <m/>
    <n v="688"/>
    <n v="430566"/>
    <n v="3"/>
    <m/>
    <m/>
    <m/>
    <s v="He Jin（1220095）"/>
    <s v="Zhu Qianqian（11016705）"/>
    <m/>
    <m/>
    <m/>
    <m/>
    <s v="OK"/>
  </r>
  <r>
    <s v="CN15"/>
    <n v="1705023"/>
    <s v="刘 伟"/>
    <s v="Liu Wei"/>
    <s v="Indirect Active"/>
    <s v="OP"/>
    <s v="GOM-CLC"/>
    <s v="GOM-CLCP"/>
    <s v="110901"/>
    <d v="2008-08-04T00:00:00"/>
    <s v="Project Director"/>
    <s v="Project Director"/>
    <x v="5"/>
    <n v="2"/>
    <x v="0"/>
    <n v="31000"/>
    <n v="0.06"/>
    <n v="1860"/>
    <n v="7.7799999999999994E-2"/>
    <n v="2412"/>
    <n v="0.13780645161290322"/>
    <n v="4272"/>
    <n v="35272"/>
    <n v="35272"/>
    <n v="4272"/>
    <x v="72"/>
    <s v="11.02%-16.54%"/>
    <m/>
    <m/>
    <m/>
    <m/>
    <n v="0"/>
    <n v="35272"/>
    <n v="4272"/>
    <n v="0.13780645161290317"/>
    <n v="14"/>
    <n v="4250"/>
    <n v="1000"/>
    <n v="688"/>
    <n v="557496"/>
    <n v="5"/>
    <m/>
    <m/>
    <m/>
    <s v="He Jin（1220095）"/>
    <s v="Zhu Qianqian（11016705）"/>
    <m/>
    <m/>
    <m/>
    <m/>
    <s v="OK"/>
  </r>
  <r>
    <s v="CN15"/>
    <n v="11009405"/>
    <s v="洪 涛"/>
    <s v="Hong Tao"/>
    <s v="Indirect Active"/>
    <s v="OP"/>
    <s v="GOM-CLC"/>
    <s v="GOM-CLCP"/>
    <s v="110901"/>
    <d v="2005-08-01T00:00:00"/>
    <s v="Senior Project Manager"/>
    <s v="Senior Project Manager"/>
    <x v="3"/>
    <n v="2"/>
    <x v="2"/>
    <n v="28200"/>
    <n v="0"/>
    <n v="0"/>
    <n v="0"/>
    <n v="0"/>
    <n v="0"/>
    <n v="0"/>
    <n v="28200"/>
    <n v="28200"/>
    <n v="0"/>
    <x v="5"/>
    <s v="0.00%-0.00%"/>
    <m/>
    <m/>
    <m/>
    <m/>
    <n v="0"/>
    <n v="28200"/>
    <n v="0"/>
    <n v="0"/>
    <n v="14"/>
    <n v="4250"/>
    <m/>
    <n v="688"/>
    <n v="446488"/>
    <n v="5"/>
    <m/>
    <m/>
    <m/>
    <s v="He Jin（1220095）"/>
    <s v="Zhu Qianqian（11016705）"/>
    <m/>
    <m/>
    <m/>
    <m/>
    <s v="OK"/>
  </r>
  <r>
    <s v="CN15"/>
    <n v="11013450"/>
    <s v="陆 茸"/>
    <s v="Lu Rong"/>
    <s v="Indirect Active"/>
    <s v="OP"/>
    <s v="GOM-CLC"/>
    <s v="GOM-CLCP"/>
    <s v="110901"/>
    <d v="2000-11-09T00:00:00"/>
    <s v="Director"/>
    <s v="Head of Projects Greater China"/>
    <x v="5"/>
    <n v="2"/>
    <x v="1"/>
    <n v="42200"/>
    <n v="3.7500000000000006E-2"/>
    <n v="1583"/>
    <n v="1.55E-2"/>
    <n v="654"/>
    <n v="5.3009478672985784E-2"/>
    <n v="2237"/>
    <n v="44437"/>
    <n v="44437"/>
    <n v="2237"/>
    <x v="40"/>
    <s v="4.24%-6.36%"/>
    <m/>
    <m/>
    <m/>
    <m/>
    <n v="0"/>
    <n v="44437"/>
    <n v="2237"/>
    <n v="5.3009478672985777E-2"/>
    <n v="14"/>
    <n v="4250"/>
    <n v="1000"/>
    <n v="688"/>
    <n v="685806"/>
    <n v="3"/>
    <m/>
    <m/>
    <m/>
    <s v="He Jin（1220095）"/>
    <s v="Zhu Qianqian（11016705）"/>
    <m/>
    <m/>
    <m/>
    <m/>
    <s v="OK"/>
  </r>
  <r>
    <s v="CN15"/>
    <n v="11007521"/>
    <s v="陈 蒙"/>
    <s v="Chen Meng"/>
    <s v="Indirect Active"/>
    <s v="OP"/>
    <s v="GPL-CN"/>
    <s v="GPL-SC8"/>
    <s v="210150"/>
    <d v="2011-04-20T00:00:00"/>
    <s v="Senior Director"/>
    <s v="Head of Demand Fulfillment"/>
    <x v="6"/>
    <n v="1"/>
    <x v="2"/>
    <n v="48000"/>
    <n v="4.5025672433819608E-2"/>
    <n v="2161"/>
    <n v="0"/>
    <n v="0"/>
    <n v="4.5020833333333336E-2"/>
    <n v="2161"/>
    <n v="50161"/>
    <n v="52053"/>
    <n v="4053"/>
    <x v="128"/>
    <s v="3.60%-5.40%"/>
    <m/>
    <m/>
    <m/>
    <m/>
    <n v="0"/>
    <n v="52053"/>
    <n v="4053"/>
    <n v="8.4437499999999943E-2"/>
    <n v="16"/>
    <n v="450"/>
    <n v="5000"/>
    <n v="0"/>
    <n v="898248"/>
    <n v="3"/>
    <m/>
    <m/>
    <m/>
    <s v="Kalak Ahmet（11018931）"/>
    <s v="Xu Lan（11013544）"/>
    <m/>
    <m/>
    <m/>
    <m/>
    <s v="&gt;20"/>
  </r>
  <r>
    <s v="CN15"/>
    <n v="11008077"/>
    <s v="李 小春"/>
    <s v="Li Xiaochun"/>
    <s v="Indirect Active"/>
    <s v="OP"/>
    <s v="GPL-CN"/>
    <s v="GPL-LO8"/>
    <s v="120010"/>
    <d v="2005-05-01T00:00:00"/>
    <s v="Senior Director"/>
    <s v="Head of Logistics"/>
    <x v="6"/>
    <n v="1"/>
    <x v="2"/>
    <n v="58500"/>
    <n v="2.8849251159320615E-2"/>
    <n v="1688"/>
    <n v="0"/>
    <n v="0"/>
    <n v="2.8854700854700856E-2"/>
    <n v="1688"/>
    <n v="60188"/>
    <n v="58500"/>
    <n v="0"/>
    <x v="5"/>
    <s v="2.31%-3.46%"/>
    <m/>
    <m/>
    <m/>
    <m/>
    <n v="0"/>
    <n v="58500"/>
    <n v="0"/>
    <n v="0"/>
    <n v="16"/>
    <n v="3450"/>
    <n v="5000"/>
    <n v="0"/>
    <n v="1037400"/>
    <n v="3"/>
    <m/>
    <m/>
    <m/>
    <s v="Kalak Ahmet（11018931）"/>
    <s v="Xu Lan（11013544）"/>
    <m/>
    <m/>
    <m/>
    <m/>
    <s v="0 increase"/>
  </r>
  <r>
    <s v="CN15"/>
    <n v="11004118"/>
    <s v="唐 秀华"/>
    <s v="Tang Xiuhua"/>
    <s v="Indirect Active"/>
    <s v="OP"/>
    <s v="GPL-CN"/>
    <s v="GPL-SC8P"/>
    <s v="210150"/>
    <d v="2007-08-20T00:00:00"/>
    <s v="Director"/>
    <s v="Head of Demand Planning"/>
    <x v="5"/>
    <n v="2"/>
    <x v="2"/>
    <n v="55950"/>
    <n v="0"/>
    <n v="0"/>
    <n v="0"/>
    <n v="0"/>
    <n v="0"/>
    <n v="0"/>
    <n v="55950"/>
    <n v="55950"/>
    <n v="0"/>
    <x v="5"/>
    <s v="0.00%-0.00%"/>
    <m/>
    <m/>
    <m/>
    <m/>
    <n v="0"/>
    <n v="55950"/>
    <n v="0"/>
    <n v="0"/>
    <n v="14"/>
    <n v="450"/>
    <n v="1000"/>
    <n v="688"/>
    <n v="801388"/>
    <n v="4"/>
    <m/>
    <m/>
    <m/>
    <s v="Kalak Ahmet（11018931）"/>
    <s v="Xu Lan（11013544）"/>
    <m/>
    <m/>
    <m/>
    <m/>
    <s v="OK"/>
  </r>
  <r>
    <s v="CN15"/>
    <n v="11006020"/>
    <s v="张 蓉"/>
    <s v="Zhang Rong"/>
    <s v="Indirect Active"/>
    <s v="OP"/>
    <s v="GPL-CN"/>
    <s v="GPL-SC8X"/>
    <s v="210152"/>
    <d v="2010-03-20T00:00:00"/>
    <s v="Director"/>
    <s v="Head of Order Fulfillment Center"/>
    <x v="5"/>
    <n v="2"/>
    <x v="0"/>
    <n v="44250"/>
    <n v="0.05"/>
    <n v="2213"/>
    <n v="2.7E-2"/>
    <n v="1195"/>
    <n v="7.7016949152542369E-2"/>
    <n v="3408"/>
    <n v="47658"/>
    <n v="47100"/>
    <n v="2850"/>
    <x v="129"/>
    <s v="6.16%-9.24%"/>
    <m/>
    <m/>
    <m/>
    <m/>
    <n v="0"/>
    <n v="47100"/>
    <n v="2850"/>
    <n v="6.4406779661017044E-2"/>
    <n v="14"/>
    <n v="450"/>
    <n v="1000"/>
    <n v="688"/>
    <n v="677488"/>
    <n v="5"/>
    <m/>
    <m/>
    <m/>
    <s v="Kalak Ahmet（11018931）"/>
    <s v="Xu Lan（11013544）"/>
    <m/>
    <m/>
    <m/>
    <m/>
    <s v="OK"/>
  </r>
  <r>
    <s v="CN15"/>
    <n v="11007900"/>
    <s v="马 睿明"/>
    <s v="Ma Ruiming"/>
    <s v="Indirect Active"/>
    <s v="OP"/>
    <s v="GPL-CN"/>
    <s v="GPL-SCS8"/>
    <s v="210151"/>
    <d v="2011-07-07T00:00:00"/>
    <s v="Director"/>
    <s v="Head of Standards, Processes"/>
    <x v="5"/>
    <n v="2"/>
    <x v="0"/>
    <n v="51427"/>
    <n v="0.04"/>
    <n v="2057"/>
    <n v="0"/>
    <n v="0"/>
    <n v="3.9998444396912129E-2"/>
    <n v="2057"/>
    <n v="53484"/>
    <n v="53719"/>
    <n v="2292"/>
    <x v="130"/>
    <s v="3.20%-4.80%"/>
    <m/>
    <m/>
    <m/>
    <m/>
    <n v="0"/>
    <n v="53719"/>
    <n v="2292"/>
    <n v="4.4568028467536491E-2"/>
    <n v="14"/>
    <n v="450"/>
    <n v="1000"/>
    <n v="688"/>
    <n v="770154"/>
    <n v="5"/>
    <m/>
    <m/>
    <m/>
    <s v="Kalak Ahmet（11018931）"/>
    <s v="Xu Lan（11013544）"/>
    <m/>
    <m/>
    <m/>
    <m/>
    <s v="OK"/>
  </r>
  <r>
    <s v="CN15"/>
    <n v="11017844"/>
    <s v="卢 玥"/>
    <s v="Lu Yue"/>
    <s v="Indirect Active"/>
    <s v="OP"/>
    <s v="GPL-CN"/>
    <s v="GPL-CN"/>
    <s v="110910"/>
    <d v="2020-12-14T00:00:00"/>
    <s v="Senior Team Assistant"/>
    <s v="Senior Team Assistant"/>
    <x v="1"/>
    <n v="2"/>
    <x v="1"/>
    <n v="11250"/>
    <n v="3.7500000000000006E-2"/>
    <n v="422"/>
    <n v="1.55E-2"/>
    <n v="174"/>
    <n v="5.2977777777777776E-2"/>
    <n v="596"/>
    <n v="11846"/>
    <n v="11965"/>
    <n v="715"/>
    <x v="131"/>
    <s v="4.24%-6.36%"/>
    <m/>
    <m/>
    <m/>
    <m/>
    <n v="0"/>
    <n v="11965"/>
    <n v="715"/>
    <n v="6.3555555555555587E-2"/>
    <n v="14"/>
    <n v="450"/>
    <m/>
    <n v="688"/>
    <n v="173598"/>
    <n v="5"/>
    <m/>
    <m/>
    <m/>
    <s v="Kalak Ahmet（11018931）"/>
    <s v="Xu Lan（11013544）"/>
    <m/>
    <m/>
    <m/>
    <m/>
    <s v="OK"/>
  </r>
  <r>
    <s v="CN15"/>
    <n v="11002608"/>
    <s v="汪 丽华"/>
    <s v="Wang Lihua"/>
    <s v="Indirect Active"/>
    <s v="OP"/>
    <s v="GPL-CN"/>
    <s v="GPL-SCS8"/>
    <s v="210151"/>
    <d v="2005-04-14T00:00:00"/>
    <s v="Supervisor"/>
    <s v="Supervisor"/>
    <x v="0"/>
    <n v="2"/>
    <x v="2"/>
    <n v="16650"/>
    <n v="0.03"/>
    <n v="500"/>
    <n v="0"/>
    <n v="0"/>
    <n v="3.003003003003003E-2"/>
    <n v="500"/>
    <n v="17150"/>
    <n v="17142"/>
    <n v="492"/>
    <x v="132"/>
    <s v="2.40%-3.60%"/>
    <m/>
    <m/>
    <m/>
    <m/>
    <n v="0"/>
    <n v="17142"/>
    <n v="492"/>
    <n v="2.954954954954947E-2"/>
    <n v="14"/>
    <n v="450"/>
    <m/>
    <n v="688"/>
    <n v="246076"/>
    <n v="3"/>
    <m/>
    <m/>
    <m/>
    <s v="Ma Ruiming（11007900）"/>
    <s v="Xu Lan（11013544）"/>
    <m/>
    <m/>
    <m/>
    <m/>
    <s v="OK"/>
  </r>
  <r>
    <s v="CN15"/>
    <n v="11003290"/>
    <s v="梁 艳"/>
    <s v="Liang Yan"/>
    <s v="Indirect Active"/>
    <s v="OP"/>
    <s v="GPL-CN"/>
    <s v="GPL-SCS8"/>
    <s v="210151"/>
    <d v="2013-05-13T00:00:00"/>
    <s v="Functional Specialist"/>
    <s v="Functional Specialist"/>
    <x v="0"/>
    <n v="2"/>
    <x v="2"/>
    <n v="14730"/>
    <n v="0.03"/>
    <n v="442"/>
    <n v="0"/>
    <n v="0"/>
    <n v="3.0006788866259335E-2"/>
    <n v="442"/>
    <n v="15172"/>
    <n v="15122"/>
    <n v="392"/>
    <x v="103"/>
    <s v="2.40%-3.60%"/>
    <m/>
    <m/>
    <m/>
    <m/>
    <n v="0"/>
    <n v="15122"/>
    <n v="392"/>
    <n v="2.6612355736592042E-2"/>
    <n v="14"/>
    <n v="450"/>
    <m/>
    <n v="688"/>
    <n v="217796"/>
    <n v="4"/>
    <m/>
    <m/>
    <m/>
    <s v="Ma Ruiming（11007900）"/>
    <s v="Xu Lan（11013544）"/>
    <m/>
    <m/>
    <m/>
    <m/>
    <s v="OK"/>
  </r>
  <r>
    <s v="CN15"/>
    <n v="11007155"/>
    <s v="李 隽"/>
    <s v="Li Jun"/>
    <s v="Indirect Active"/>
    <s v="OP"/>
    <s v="GPL-CN"/>
    <s v="GPL-SCS8"/>
    <s v="210151"/>
    <d v="2011-01-13T00:00:00"/>
    <s v="Associate Expert (CN)"/>
    <s v="Associate Expert (C)"/>
    <x v="0"/>
    <n v="2"/>
    <x v="1"/>
    <n v="16912"/>
    <n v="4.4999999999999998E-2"/>
    <n v="761"/>
    <n v="4.2099999999999999E-2"/>
    <n v="712"/>
    <n v="8.7097918637653732E-2"/>
    <n v="1473"/>
    <n v="18385"/>
    <n v="18000"/>
    <n v="1088"/>
    <x v="133"/>
    <s v="6.97%-10.45%"/>
    <m/>
    <m/>
    <m/>
    <m/>
    <n v="0"/>
    <n v="18000"/>
    <n v="1088"/>
    <n v="6.4333017975402029E-2"/>
    <n v="14"/>
    <n v="450"/>
    <m/>
    <n v="688"/>
    <n v="258088"/>
    <n v="4"/>
    <m/>
    <m/>
    <m/>
    <s v="Ma Ruiming（11007900）"/>
    <s v="Xu Lan（11013544）"/>
    <m/>
    <m/>
    <m/>
    <m/>
    <s v="OK"/>
  </r>
  <r>
    <s v="CN15"/>
    <n v="11010769"/>
    <s v="顾 荐贤"/>
    <s v="Gu Jianxian"/>
    <s v="Indirect Active"/>
    <s v="OP"/>
    <s v="GPL-CN"/>
    <s v="GPL-SCS8"/>
    <s v="210151"/>
    <d v="2014-04-14T00:00:00"/>
    <s v="Senior Project Manager"/>
    <s v="Senior Project Manager"/>
    <x v="3"/>
    <n v="2"/>
    <x v="2"/>
    <n v="18770"/>
    <n v="0.03"/>
    <n v="563"/>
    <n v="0"/>
    <n v="0"/>
    <n v="2.9994672349493875E-2"/>
    <n v="563"/>
    <n v="19333"/>
    <n v="19133"/>
    <n v="363"/>
    <x v="134"/>
    <s v="2.40%-3.60%"/>
    <m/>
    <m/>
    <m/>
    <m/>
    <n v="0"/>
    <n v="19133"/>
    <n v="363"/>
    <n v="1.9339371337240285E-2"/>
    <n v="14"/>
    <n v="450"/>
    <m/>
    <n v="688"/>
    <n v="273950"/>
    <n v="3"/>
    <m/>
    <m/>
    <m/>
    <s v="Ma Ruiming（11007900）"/>
    <s v="Xu Lan（11013544）"/>
    <m/>
    <m/>
    <m/>
    <m/>
    <s v="OK"/>
  </r>
  <r>
    <s v="CN15"/>
    <n v="11018858"/>
    <s v="王 兴凡"/>
    <s v="Wang Leo"/>
    <s v="Indirect Active"/>
    <s v="OP"/>
    <s v="GPL-CN"/>
    <s v="GPL-SCS8"/>
    <s v="210151"/>
    <d v="2021-10-11T00:00:00"/>
    <s v="Functional Specialist"/>
    <s v="Functional Specialist"/>
    <x v="0"/>
    <n v="2"/>
    <x v="2"/>
    <n v="16818"/>
    <n v="3.5000000000000003E-2"/>
    <n v="589"/>
    <n v="0"/>
    <n v="0"/>
    <n v="3.5022000237840412E-2"/>
    <n v="589"/>
    <n v="17407"/>
    <n v="17900"/>
    <n v="1082"/>
    <x v="133"/>
    <s v="2.80%-4.20%"/>
    <m/>
    <m/>
    <m/>
    <m/>
    <n v="0"/>
    <n v="17900"/>
    <n v="1082"/>
    <n v="6.4335830657628712E-2"/>
    <n v="14"/>
    <n v="450"/>
    <m/>
    <n v="688"/>
    <n v="256688"/>
    <n v="3"/>
    <m/>
    <m/>
    <m/>
    <s v="Ma Ruiming（11007900）"/>
    <s v="Xu Lan（11013544）"/>
    <m/>
    <m/>
    <m/>
    <m/>
    <s v="&gt;20"/>
  </r>
  <r>
    <s v="CN15"/>
    <n v="11019453"/>
    <s v="曹 春巧"/>
    <s v="Cao Claire"/>
    <s v="Indirect Active"/>
    <s v="OP"/>
    <s v="GPL-CN"/>
    <s v="GPL-SCS8"/>
    <s v="210151"/>
    <d v="2022-05-18T00:00:00"/>
    <s v="Associate Expert (CN)"/>
    <s v="Associate Expert (C)"/>
    <x v="0"/>
    <n v="2"/>
    <x v="0"/>
    <n v="23796"/>
    <n v="0.05"/>
    <n v="1190"/>
    <n v="2.7E-2"/>
    <n v="642"/>
    <n v="7.6987729030089089E-2"/>
    <n v="1832"/>
    <n v="25628"/>
    <n v="25628"/>
    <n v="1832"/>
    <x v="135"/>
    <s v="6.16%-9.24%"/>
    <m/>
    <m/>
    <m/>
    <m/>
    <n v="0"/>
    <n v="25628"/>
    <n v="1832"/>
    <n v="7.6987729030089103E-2"/>
    <n v="14"/>
    <n v="450"/>
    <m/>
    <n v="688"/>
    <n v="364880"/>
    <n v="5"/>
    <m/>
    <m/>
    <m/>
    <s v="Ma Ruiming（11007900）"/>
    <s v="Xu Lan（11013544）"/>
    <m/>
    <m/>
    <m/>
    <m/>
    <s v="OK"/>
  </r>
  <r>
    <s v="CN15"/>
    <n v="15001281"/>
    <s v="牛 福燕"/>
    <s v="Niu Fuyan"/>
    <s v="Indirect Active"/>
    <s v="OP"/>
    <s v="GPL-CN"/>
    <s v="GPL-SCS8"/>
    <s v="210151"/>
    <d v="2017-06-05T00:00:00"/>
    <s v="Manager"/>
    <s v="Manager"/>
    <x v="3"/>
    <n v="2"/>
    <x v="2"/>
    <n v="29042"/>
    <n v="0"/>
    <n v="0"/>
    <n v="0"/>
    <n v="0"/>
    <n v="0"/>
    <n v="0"/>
    <n v="29042"/>
    <n v="29392"/>
    <n v="350"/>
    <x v="136"/>
    <s v="0.00%-0.00%"/>
    <m/>
    <m/>
    <m/>
    <m/>
    <n v="0"/>
    <n v="29392"/>
    <n v="350"/>
    <n v="1.2051511603883958E-2"/>
    <n v="14"/>
    <n v="450"/>
    <m/>
    <n v="688"/>
    <n v="417576"/>
    <n v="3"/>
    <m/>
    <m/>
    <m/>
    <s v="Ma Ruiming（11007900）"/>
    <s v="Xu Lan（11013544）"/>
    <m/>
    <m/>
    <m/>
    <m/>
    <s v="&gt;20"/>
  </r>
  <r>
    <s v="CN15"/>
    <n v="1421190"/>
    <s v="胡 瑞玉"/>
    <s v="Hu Ruiyu"/>
    <s v="Indirect Active"/>
    <s v="OP"/>
    <s v="GPL-CN"/>
    <s v="GPL-LO8N"/>
    <s v="120010"/>
    <d v="2012-10-11T00:00:00"/>
    <s v="Senior Specialist"/>
    <s v="Senior Specialist"/>
    <x v="1"/>
    <n v="2"/>
    <x v="3"/>
    <n v="10324"/>
    <n v="0"/>
    <n v="0"/>
    <n v="0"/>
    <n v="0"/>
    <n v="0"/>
    <n v="0"/>
    <n v="10324"/>
    <n v="10324"/>
    <n v="0"/>
    <x v="5"/>
    <s v="0.00%-0.00%"/>
    <m/>
    <m/>
    <m/>
    <m/>
    <n v="0"/>
    <n v="10324"/>
    <n v="0"/>
    <n v="0"/>
    <n v="14"/>
    <n v="450"/>
    <m/>
    <n v="688"/>
    <n v="150624"/>
    <n v="5"/>
    <m/>
    <m/>
    <m/>
    <s v="Li Xiaochun（11008077）"/>
    <s v="Xu Lan（11013544）"/>
    <m/>
    <m/>
    <m/>
    <m/>
    <s v="OK"/>
  </r>
  <r>
    <s v="CN15"/>
    <n v="11000092"/>
    <s v="贾 小东"/>
    <s v="Jia Xiaodong"/>
    <s v="Indirect Active"/>
    <s v="OP"/>
    <s v="GPL-CN"/>
    <s v="GPL-LO8WC"/>
    <s v="120040"/>
    <d v="1998-05-11T00:00:00"/>
    <s v="Specialist"/>
    <s v="Administrator of WH CZ"/>
    <x v="7"/>
    <n v="2"/>
    <x v="2"/>
    <n v="7233"/>
    <n v="0"/>
    <n v="0"/>
    <n v="0"/>
    <n v="0"/>
    <n v="0"/>
    <n v="0"/>
    <n v="7233"/>
    <n v="7233"/>
    <n v="0"/>
    <x v="5"/>
    <s v="0.00%-0.00%"/>
    <m/>
    <m/>
    <m/>
    <m/>
    <n v="0"/>
    <n v="7233"/>
    <n v="0"/>
    <n v="0"/>
    <n v="14"/>
    <n v="450"/>
    <m/>
    <n v="688"/>
    <n v="107350"/>
    <n v="3"/>
    <m/>
    <m/>
    <m/>
    <s v="Li Xiaochun（11008077）"/>
    <s v="Xu Lan（11013544）"/>
    <m/>
    <m/>
    <m/>
    <m/>
    <s v="OK"/>
  </r>
  <r>
    <s v="CN15"/>
    <n v="11000229"/>
    <s v="梅 金龙"/>
    <s v="Mei Jinlong"/>
    <s v="Indirect Active"/>
    <s v="OP"/>
    <s v="GPL-CN"/>
    <s v="GPL-LO8WF"/>
    <s v="120020"/>
    <d v="1998-01-01T00:00:00"/>
    <s v="Manager"/>
    <s v="Head of CDC Chuzhou Fanya"/>
    <x v="3"/>
    <n v="2"/>
    <x v="2"/>
    <n v="29320"/>
    <n v="0"/>
    <n v="0"/>
    <n v="0"/>
    <n v="0"/>
    <n v="0"/>
    <n v="0"/>
    <n v="29320"/>
    <n v="29320"/>
    <n v="0"/>
    <x v="5"/>
    <s v="0.00%-0.00%"/>
    <m/>
    <m/>
    <m/>
    <m/>
    <n v="0"/>
    <n v="29320"/>
    <n v="0"/>
    <n v="0"/>
    <n v="14"/>
    <n v="1750"/>
    <m/>
    <n v="688"/>
    <n v="432168"/>
    <n v="4"/>
    <m/>
    <m/>
    <m/>
    <s v="Li Xiaochun（11008077）"/>
    <s v="Xu Lan（11013544）"/>
    <m/>
    <m/>
    <m/>
    <m/>
    <s v="OK"/>
  </r>
  <r>
    <s v="CN15"/>
    <n v="11000550"/>
    <s v="沈 婷"/>
    <s v="Shen Ting"/>
    <s v="Indirect Active"/>
    <s v="OP"/>
    <s v="GPL-CN"/>
    <s v="GPL-LO8WN"/>
    <s v="120050"/>
    <d v="1995-08-08T00:00:00"/>
    <s v="Supervisor"/>
    <s v="Supervisor of WH-NJ"/>
    <x v="7"/>
    <n v="2"/>
    <x v="2"/>
    <n v="15727"/>
    <n v="0"/>
    <n v="0"/>
    <n v="0"/>
    <n v="0"/>
    <n v="0"/>
    <n v="0"/>
    <n v="15727"/>
    <n v="15727"/>
    <n v="0"/>
    <x v="5"/>
    <s v="0.00%-0.00%"/>
    <m/>
    <m/>
    <m/>
    <m/>
    <n v="0"/>
    <n v="15727"/>
    <n v="0"/>
    <n v="0"/>
    <n v="14"/>
    <n v="2950"/>
    <m/>
    <n v="688"/>
    <n v="256266"/>
    <n v="3"/>
    <m/>
    <m/>
    <m/>
    <s v="Li Xiaochun（11008077）"/>
    <s v="Xu Lan（11013544）"/>
    <m/>
    <m/>
    <m/>
    <m/>
    <s v="OK"/>
  </r>
  <r>
    <s v="CN15"/>
    <n v="11000559"/>
    <s v="夏 伟"/>
    <s v="Xia Wei"/>
    <s v="Indirect Active"/>
    <s v="OP"/>
    <s v="GPL-CN"/>
    <s v="GPL-LO8LR"/>
    <s v="120010"/>
    <d v="2000-05-22T00:00:00"/>
    <s v="Manager"/>
    <s v="Head of Regional Logistics Management"/>
    <x v="3"/>
    <n v="2"/>
    <x v="3"/>
    <n v="19620"/>
    <n v="0"/>
    <n v="0"/>
    <n v="0"/>
    <n v="0"/>
    <n v="0"/>
    <n v="0"/>
    <n v="19620"/>
    <n v="19620"/>
    <n v="0"/>
    <x v="5"/>
    <s v="0.00%-0.00%"/>
    <m/>
    <m/>
    <m/>
    <m/>
    <n v="0"/>
    <n v="19620"/>
    <n v="0"/>
    <n v="0"/>
    <n v="14"/>
    <n v="450"/>
    <m/>
    <n v="688"/>
    <n v="280768"/>
    <n v="3"/>
    <m/>
    <m/>
    <m/>
    <s v="Li Xiaochun（11008077）"/>
    <s v="Xu Lan（11013544）"/>
    <m/>
    <m/>
    <m/>
    <m/>
    <s v="OK"/>
  </r>
  <r>
    <s v="CN15"/>
    <n v="11000560"/>
    <s v="巫 雷"/>
    <s v="Wu Lei"/>
    <s v="Indirect Active"/>
    <s v="OP"/>
    <s v="GPL-CN"/>
    <s v="GPL-LO8N"/>
    <s v="120010"/>
    <d v="2000-03-01T00:00:00"/>
    <s v="Function Manager"/>
    <s v="Function Manager"/>
    <x v="3"/>
    <n v="2"/>
    <x v="2"/>
    <n v="18000"/>
    <n v="0.03"/>
    <n v="540"/>
    <n v="0"/>
    <n v="0"/>
    <n v="0.03"/>
    <n v="540"/>
    <n v="18540"/>
    <n v="18540"/>
    <n v="540"/>
    <x v="11"/>
    <s v="2.40%-3.60%"/>
    <m/>
    <m/>
    <m/>
    <m/>
    <n v="0"/>
    <n v="18540"/>
    <n v="540"/>
    <n v="3.0000000000000027E-2"/>
    <n v="14"/>
    <n v="450"/>
    <m/>
    <n v="688"/>
    <n v="265648"/>
    <n v="3"/>
    <m/>
    <m/>
    <m/>
    <s v="Li Xiaochun（11008077）"/>
    <s v="Xu Lan（11013544）"/>
    <m/>
    <m/>
    <m/>
    <m/>
    <s v="OK"/>
  </r>
  <r>
    <s v="CN15"/>
    <n v="11000567"/>
    <s v="贾 红波"/>
    <s v="Jia Hongbo"/>
    <s v="Indirect Active"/>
    <s v="OP"/>
    <s v="GPL-CN"/>
    <s v="GPL-LO8LR"/>
    <s v="120010"/>
    <d v="1999-07-01T00:00:00"/>
    <s v="Senior Specialist"/>
    <s v="Senior Specialist"/>
    <x v="1"/>
    <n v="2"/>
    <x v="2"/>
    <n v="9780"/>
    <n v="2.5000000000000001E-2"/>
    <n v="245"/>
    <n v="0"/>
    <n v="0"/>
    <n v="2.5051124744376277E-2"/>
    <n v="245"/>
    <n v="10025"/>
    <n v="10025"/>
    <n v="245"/>
    <x v="82"/>
    <s v="2.00%-3.01%"/>
    <m/>
    <m/>
    <m/>
    <m/>
    <n v="0"/>
    <n v="10025"/>
    <n v="245"/>
    <n v="2.5051124744376319E-2"/>
    <n v="14"/>
    <n v="450"/>
    <m/>
    <n v="688"/>
    <n v="146438"/>
    <n v="3"/>
    <m/>
    <m/>
    <m/>
    <s v="Li Xiaochun（11008077）"/>
    <s v="Xu Lan（11013544）"/>
    <m/>
    <m/>
    <m/>
    <m/>
    <s v="OK"/>
  </r>
  <r>
    <s v="CN15"/>
    <n v="11002745"/>
    <s v="孟 倩"/>
    <s v="Meng Qian"/>
    <s v="Indirect Active"/>
    <s v="OP"/>
    <s v="GPL-CN"/>
    <s v="GPL-LO8WN"/>
    <s v="120050"/>
    <d v="2005-05-08T00:00:00"/>
    <s v="Administrator"/>
    <s v="Administrator of WH NJ"/>
    <x v="7"/>
    <n v="2"/>
    <x v="2"/>
    <n v="6479"/>
    <n v="0"/>
    <n v="0"/>
    <n v="0"/>
    <n v="0"/>
    <n v="0"/>
    <n v="0"/>
    <n v="6479"/>
    <n v="6479"/>
    <n v="0"/>
    <x v="5"/>
    <s v="0.00%-0.00%"/>
    <m/>
    <m/>
    <m/>
    <m/>
    <n v="0"/>
    <n v="6479"/>
    <n v="0"/>
    <n v="0"/>
    <n v="14"/>
    <n v="450"/>
    <m/>
    <n v="688"/>
    <n v="96794"/>
    <n v="3"/>
    <m/>
    <m/>
    <m/>
    <s v="Li Xiaochun（11008077）"/>
    <s v="Xu Lan（11013544）"/>
    <m/>
    <m/>
    <m/>
    <m/>
    <s v="OK"/>
  </r>
  <r>
    <s v="CN15"/>
    <n v="11002829"/>
    <s v="张 里平"/>
    <s v="Zhang Liping"/>
    <s v="Indirect Active"/>
    <s v="OP"/>
    <s v="GPL-CN"/>
    <s v="GPL-LO8W"/>
    <s v="120050"/>
    <d v="2005-08-01T00:00:00"/>
    <s v="Manager"/>
    <s v="Head of Warehousing"/>
    <x v="3"/>
    <n v="2"/>
    <x v="2"/>
    <n v="20900"/>
    <n v="2.5000000000000001E-2"/>
    <n v="523"/>
    <n v="0"/>
    <n v="0"/>
    <n v="2.5023923444976077E-2"/>
    <n v="523"/>
    <n v="21423"/>
    <n v="21423"/>
    <n v="523"/>
    <x v="13"/>
    <s v="2.00%-3.00%"/>
    <m/>
    <m/>
    <m/>
    <m/>
    <n v="0"/>
    <n v="21423"/>
    <n v="523"/>
    <n v="2.5023923444976059E-2"/>
    <n v="14"/>
    <n v="450"/>
    <m/>
    <n v="688"/>
    <n v="306010"/>
    <n v="3"/>
    <m/>
    <m/>
    <m/>
    <s v="Li Xiaochun（11008077）"/>
    <s v="Xu Lan（11013544）"/>
    <m/>
    <m/>
    <m/>
    <m/>
    <s v="OK"/>
  </r>
  <r>
    <s v="CN15"/>
    <n v="11002886"/>
    <s v="刘 先达"/>
    <s v="Liu Xianda"/>
    <s v="Indirect Active"/>
    <s v="OP"/>
    <s v="GPL-CN"/>
    <s v="GPL-LO8G"/>
    <s v="120010"/>
    <d v="2005-10-08T00:00:00"/>
    <s v="Manager"/>
    <s v="Head of Global Distribution"/>
    <x v="3"/>
    <n v="2"/>
    <x v="1"/>
    <n v="24782"/>
    <n v="0.03"/>
    <n v="743"/>
    <n v="0"/>
    <n v="0"/>
    <n v="2.998143814058591E-2"/>
    <n v="743"/>
    <n v="25525"/>
    <n v="25525"/>
    <n v="743"/>
    <x v="11"/>
    <s v="2.40%-3.60%"/>
    <m/>
    <m/>
    <m/>
    <m/>
    <n v="0"/>
    <n v="25525"/>
    <n v="743"/>
    <n v="2.9981438140585848E-2"/>
    <n v="14"/>
    <n v="450"/>
    <m/>
    <n v="688"/>
    <n v="363438"/>
    <n v="4"/>
    <m/>
    <m/>
    <m/>
    <s v="Li Xiaochun（11008077）"/>
    <s v="Xu Lan（11013544）"/>
    <m/>
    <m/>
    <m/>
    <m/>
    <s v="OK"/>
  </r>
  <r>
    <s v="CN15"/>
    <n v="11003278"/>
    <s v="沈 涛"/>
    <s v="Shen Tao"/>
    <s v="Indirect Active"/>
    <s v="OP"/>
    <s v="GPL-CN"/>
    <s v="GPL-LO8G"/>
    <s v="120010"/>
    <d v="2006-06-26T00:00:00"/>
    <s v="Supervisor"/>
    <s v="Supervisor"/>
    <x v="0"/>
    <n v="2"/>
    <x v="1"/>
    <n v="13770"/>
    <n v="3.7500000000000006E-2"/>
    <n v="516"/>
    <n v="1.55E-2"/>
    <n v="213"/>
    <n v="5.2941176470588235E-2"/>
    <n v="729"/>
    <n v="14499"/>
    <n v="14600"/>
    <n v="830"/>
    <x v="137"/>
    <s v="4.24%-6.35%"/>
    <m/>
    <m/>
    <m/>
    <m/>
    <n v="0"/>
    <n v="14600"/>
    <n v="830"/>
    <n v="6.0275962236746583E-2"/>
    <n v="14"/>
    <n v="450"/>
    <m/>
    <n v="688"/>
    <n v="210488"/>
    <n v="4"/>
    <m/>
    <m/>
    <m/>
    <s v="Li Xiaochun（11008077）"/>
    <s v="Xu Lan（11013544）"/>
    <m/>
    <m/>
    <m/>
    <m/>
    <s v="OK"/>
  </r>
  <r>
    <s v="CN15"/>
    <n v="11004088"/>
    <s v="张 波"/>
    <s v="Zhang Bo"/>
    <s v="Indirect Active"/>
    <s v="OP"/>
    <s v="GPL-CN"/>
    <s v="GPL-LO8N"/>
    <s v="120010"/>
    <d v="2007-08-07T00:00:00"/>
    <s v="Supervisor"/>
    <s v="Supervisor"/>
    <x v="0"/>
    <n v="2"/>
    <x v="1"/>
    <n v="15088"/>
    <n v="3.7500000000000006E-2"/>
    <n v="566"/>
    <n v="1.55E-2"/>
    <n v="234"/>
    <n v="5.3022269353128315E-2"/>
    <n v="800"/>
    <n v="15888"/>
    <n v="15888"/>
    <n v="800"/>
    <x v="40"/>
    <s v="4.24%-6.36%"/>
    <m/>
    <m/>
    <m/>
    <m/>
    <n v="0"/>
    <n v="15888"/>
    <n v="800"/>
    <n v="5.3022269353128371E-2"/>
    <n v="14"/>
    <n v="450"/>
    <m/>
    <n v="688"/>
    <n v="228520"/>
    <n v="5"/>
    <m/>
    <m/>
    <m/>
    <s v="Li Xiaochun（11008077）"/>
    <s v="Xu Lan（11013544）"/>
    <m/>
    <m/>
    <m/>
    <m/>
    <s v="OK"/>
  </r>
  <r>
    <s v="CN15"/>
    <n v="11004819"/>
    <s v="李 哲"/>
    <s v="Li Zhe"/>
    <s v="Indirect Active"/>
    <s v="OP"/>
    <s v="GPL-CN"/>
    <s v="GPL-LO8"/>
    <s v="120010"/>
    <d v="2008-06-27T00:00:00"/>
    <s v="Function Manager"/>
    <s v="Function Manager"/>
    <x v="3"/>
    <n v="2"/>
    <x v="2"/>
    <n v="19400"/>
    <n v="2.5000000000000001E-2"/>
    <n v="485"/>
    <n v="0"/>
    <n v="0"/>
    <n v="2.5000000000000001E-2"/>
    <n v="485"/>
    <n v="19885"/>
    <n v="19885"/>
    <n v="485"/>
    <x v="13"/>
    <s v="2.00%-3.00%"/>
    <m/>
    <m/>
    <m/>
    <m/>
    <n v="0"/>
    <n v="19885"/>
    <n v="485"/>
    <n v="2.4999999999999911E-2"/>
    <n v="14"/>
    <n v="450"/>
    <m/>
    <n v="688"/>
    <n v="284478"/>
    <n v="3"/>
    <m/>
    <m/>
    <m/>
    <s v="Li Xiaochun（11008077）"/>
    <s v="Xu Lan（11013544）"/>
    <m/>
    <m/>
    <m/>
    <m/>
    <s v="OK"/>
  </r>
  <r>
    <s v="CN15"/>
    <n v="11004913"/>
    <s v="陈 晓旭"/>
    <s v="Chen Xiaoxu"/>
    <s v="Indirect Active"/>
    <s v="OP"/>
    <s v="GPL-CN"/>
    <s v="GPL-LO8WF"/>
    <s v="120020"/>
    <d v="2008-07-08T00:00:00"/>
    <s v="Administrator"/>
    <s v="Administrator of WH CZ"/>
    <x v="7"/>
    <n v="2"/>
    <x v="3"/>
    <n v="6816"/>
    <n v="0"/>
    <n v="0"/>
    <n v="0"/>
    <n v="0"/>
    <n v="0"/>
    <n v="0"/>
    <n v="6816"/>
    <n v="6816"/>
    <n v="0"/>
    <x v="5"/>
    <s v="0.00%-0.00%"/>
    <m/>
    <m/>
    <m/>
    <m/>
    <n v="0"/>
    <n v="6816"/>
    <n v="0"/>
    <n v="0"/>
    <n v="14"/>
    <n v="450"/>
    <m/>
    <n v="688"/>
    <n v="101512"/>
    <n v="3"/>
    <m/>
    <m/>
    <m/>
    <s v="Li Xiaochun（11008077）"/>
    <s v="Xu Lan（11013544）"/>
    <m/>
    <m/>
    <m/>
    <m/>
    <s v="OK"/>
  </r>
  <r>
    <s v="CN15"/>
    <n v="11005078"/>
    <s v="郭 义林"/>
    <s v="Guo Yilin"/>
    <s v="Indirect Active"/>
    <s v="OP"/>
    <s v="GPL-CN"/>
    <s v="GPL-LO8WF"/>
    <s v="120020"/>
    <d v="2008-08-07T00:00:00"/>
    <s v="Supervisor"/>
    <s v="Project and Flow Admin Supervisor of CZ"/>
    <x v="7"/>
    <n v="2"/>
    <x v="2"/>
    <n v="12660"/>
    <n v="2.5000000000000001E-2"/>
    <n v="317"/>
    <n v="0"/>
    <n v="0"/>
    <n v="2.5039494470774092E-2"/>
    <n v="317"/>
    <n v="12977"/>
    <n v="12977"/>
    <n v="317"/>
    <x v="13"/>
    <s v="2.00%-3.00%"/>
    <m/>
    <m/>
    <m/>
    <m/>
    <n v="0"/>
    <n v="12977"/>
    <n v="317"/>
    <n v="2.5039494470774137E-2"/>
    <n v="14"/>
    <n v="450"/>
    <m/>
    <n v="688"/>
    <n v="187766"/>
    <n v="3"/>
    <m/>
    <m/>
    <m/>
    <s v="Li Xiaochun（11008077）"/>
    <s v="Xu Lan（11013544）"/>
    <m/>
    <m/>
    <m/>
    <m/>
    <s v="OK"/>
  </r>
  <r>
    <s v="CN15"/>
    <n v="11005762"/>
    <s v="蒋 俊浩"/>
    <s v="Jiang Junhao"/>
    <s v="Indirect Active"/>
    <s v="OP"/>
    <s v="GPL-CN"/>
    <s v="GPL-LO8WC"/>
    <s v="120040"/>
    <d v="2009-10-01T00:00:00"/>
    <s v="Manager"/>
    <s v="Head of CDC Chuzhou Chengdong"/>
    <x v="3"/>
    <n v="2"/>
    <x v="1"/>
    <n v="22351"/>
    <n v="0.03"/>
    <n v="671"/>
    <n v="0"/>
    <n v="0"/>
    <n v="3.0021028141917587E-2"/>
    <n v="671"/>
    <n v="23022"/>
    <n v="22888"/>
    <n v="537"/>
    <x v="32"/>
    <s v="2.40%-3.60%"/>
    <m/>
    <m/>
    <m/>
    <m/>
    <n v="0"/>
    <n v="22888"/>
    <n v="537"/>
    <n v="2.4025770659030998E-2"/>
    <n v="14"/>
    <n v="1750"/>
    <m/>
    <n v="688"/>
    <n v="342120"/>
    <n v="4"/>
    <m/>
    <m/>
    <m/>
    <s v="Li Xiaochun（11008077）"/>
    <s v="Xu Lan（11013544）"/>
    <m/>
    <m/>
    <m/>
    <m/>
    <s v="OK"/>
  </r>
  <r>
    <s v="CN15"/>
    <n v="11006293"/>
    <s v="黄 艳芳"/>
    <s v="Huang Yanfang"/>
    <s v="Indirect Active"/>
    <s v="OP"/>
    <s v="GPL-CN"/>
    <s v="GPL-LO8N"/>
    <s v="120010"/>
    <d v="2010-09-01T00:00:00"/>
    <s v="Senior Specialist"/>
    <s v="Senior Specialist"/>
    <x v="1"/>
    <n v="2"/>
    <x v="2"/>
    <n v="11950"/>
    <n v="2.5000000000000001E-2"/>
    <n v="299"/>
    <n v="0"/>
    <n v="0"/>
    <n v="2.5020920502092051E-2"/>
    <n v="299"/>
    <n v="12249"/>
    <n v="12353"/>
    <n v="403"/>
    <x v="138"/>
    <s v="2.00%-3.00%"/>
    <m/>
    <m/>
    <m/>
    <m/>
    <n v="0"/>
    <n v="12353"/>
    <n v="403"/>
    <n v="3.372384937238504E-2"/>
    <n v="14"/>
    <n v="450"/>
    <m/>
    <n v="688"/>
    <n v="179030"/>
    <n v="2"/>
    <m/>
    <s v="Work independantly and proactively to ensure the delivery to customer"/>
    <m/>
    <s v="Li Xiaochun（11008077）"/>
    <s v="Xu Lan（11013544）"/>
    <m/>
    <m/>
    <m/>
    <m/>
    <s v="OK"/>
  </r>
  <r>
    <s v="CN15"/>
    <n v="11006306"/>
    <s v="骆 小军"/>
    <s v="Luo Xiaojun"/>
    <s v="Indirect Active"/>
    <s v="OP"/>
    <s v="GPL-CN"/>
    <s v="GPL-LO8N"/>
    <s v="120010"/>
    <d v="2010-05-25T00:00:00"/>
    <s v="Associate Expert (CN)"/>
    <s v="Associate Expert (C)"/>
    <x v="0"/>
    <n v="2"/>
    <x v="0"/>
    <n v="17480"/>
    <n v="0.05"/>
    <n v="874"/>
    <n v="0"/>
    <n v="0"/>
    <n v="0.05"/>
    <n v="874"/>
    <n v="18354"/>
    <n v="18354"/>
    <n v="874"/>
    <x v="139"/>
    <s v="4.00%-6.00%"/>
    <m/>
    <m/>
    <m/>
    <m/>
    <n v="0"/>
    <n v="18354"/>
    <n v="874"/>
    <n v="5.0000000000000044E-2"/>
    <n v="14"/>
    <n v="450"/>
    <m/>
    <n v="688"/>
    <n v="263044"/>
    <n v="5"/>
    <m/>
    <m/>
    <m/>
    <s v="Li Xiaochun（11008077）"/>
    <s v="Xu Lan（11013544）"/>
    <m/>
    <m/>
    <m/>
    <m/>
    <s v="OK"/>
  </r>
  <r>
    <s v="CN15"/>
    <n v="11007617"/>
    <s v="韩 起"/>
    <s v="Han Qi"/>
    <s v="Indirect Active"/>
    <s v="OP"/>
    <s v="GPL-CN"/>
    <s v="GPL-LO8L"/>
    <s v="120010"/>
    <d v="2011-05-09T00:00:00"/>
    <s v="Expert (CN)"/>
    <s v="Expert (CN)"/>
    <x v="3"/>
    <n v="2"/>
    <x v="2"/>
    <n v="18800"/>
    <n v="2.5000000000000001E-2"/>
    <n v="470"/>
    <n v="0"/>
    <n v="0"/>
    <n v="2.5000000000000001E-2"/>
    <n v="470"/>
    <n v="19270"/>
    <n v="19270"/>
    <n v="470"/>
    <x v="13"/>
    <s v="2.00%-3.00%"/>
    <m/>
    <m/>
    <m/>
    <m/>
    <n v="0"/>
    <n v="19270"/>
    <n v="470"/>
    <n v="2.4999999999999911E-2"/>
    <n v="14"/>
    <n v="450"/>
    <m/>
    <n v="688"/>
    <n v="275868"/>
    <n v="5"/>
    <m/>
    <m/>
    <m/>
    <s v="Li Xiaochun（11008077）"/>
    <s v="Xu Lan（11013544）"/>
    <m/>
    <m/>
    <m/>
    <m/>
    <s v="OK"/>
  </r>
  <r>
    <s v="CN15"/>
    <n v="11007999"/>
    <s v="耿 标"/>
    <s v="Geng Biao"/>
    <s v="Indirect Active"/>
    <s v="OP"/>
    <s v="GPL-CN"/>
    <s v="GPL-LO8G"/>
    <s v="120010"/>
    <d v="2011-07-25T00:00:00"/>
    <s v="Supervisor"/>
    <s v="Supervisor"/>
    <x v="0"/>
    <n v="2"/>
    <x v="1"/>
    <n v="13764"/>
    <n v="3.7500000000000006E-2"/>
    <n v="516"/>
    <n v="1.55E-2"/>
    <n v="213"/>
    <n v="5.2964254577157803E-2"/>
    <n v="729"/>
    <n v="14493"/>
    <n v="14493"/>
    <n v="729"/>
    <x v="40"/>
    <s v="4.24%-6.36%"/>
    <m/>
    <m/>
    <m/>
    <m/>
    <n v="0"/>
    <n v="14493"/>
    <n v="729"/>
    <n v="5.296425457715781E-2"/>
    <n v="14"/>
    <n v="450"/>
    <m/>
    <n v="688"/>
    <n v="208990"/>
    <n v="3"/>
    <m/>
    <m/>
    <m/>
    <s v="Li Xiaochun（11008077）"/>
    <s v="Xu Lan（11013544）"/>
    <m/>
    <m/>
    <m/>
    <m/>
    <s v="OK"/>
  </r>
  <r>
    <s v="CN15"/>
    <n v="11008714"/>
    <s v="许 甜"/>
    <s v="Xu Tian"/>
    <s v="Indirect Active"/>
    <s v="OP"/>
    <s v="GPL-CN"/>
    <s v="GPL-LO8WC"/>
    <s v="120040"/>
    <d v="2012-06-04T00:00:00"/>
    <s v="Warehouse Management"/>
    <s v="Data Support of WH CZ"/>
    <x v="7"/>
    <n v="2"/>
    <x v="2"/>
    <n v="5745"/>
    <n v="0"/>
    <n v="0"/>
    <n v="0"/>
    <n v="0"/>
    <n v="0"/>
    <n v="0"/>
    <n v="5745"/>
    <n v="5745"/>
    <n v="0"/>
    <x v="5"/>
    <s v="0.00%-0.00%"/>
    <m/>
    <m/>
    <m/>
    <m/>
    <n v="0"/>
    <n v="5745"/>
    <n v="0"/>
    <n v="0"/>
    <n v="14"/>
    <n v="450"/>
    <m/>
    <n v="688"/>
    <n v="86518"/>
    <n v="1"/>
    <m/>
    <m/>
    <m/>
    <s v="Li Xiaochun（11008077）"/>
    <s v="Xu Lan（11013544）"/>
    <m/>
    <m/>
    <m/>
    <m/>
    <s v="OK"/>
  </r>
  <r>
    <s v="CN15"/>
    <n v="11009655"/>
    <s v="李 培周"/>
    <s v="Li Peizhou"/>
    <s v="Indirect Active"/>
    <s v="OP"/>
    <s v="GPL-CN"/>
    <s v="GPL-LO8L"/>
    <s v="120010"/>
    <d v="2013-07-01T00:00:00"/>
    <s v="Manager"/>
    <s v="Head of GPL-LO8L"/>
    <x v="3"/>
    <n v="2"/>
    <x v="2"/>
    <n v="22940"/>
    <n v="0"/>
    <n v="0"/>
    <n v="0"/>
    <n v="0"/>
    <n v="0"/>
    <n v="0"/>
    <n v="22940"/>
    <n v="22940"/>
    <n v="0"/>
    <x v="5"/>
    <s v="0.00%-0.00%"/>
    <m/>
    <m/>
    <m/>
    <m/>
    <n v="0"/>
    <n v="22940"/>
    <n v="0"/>
    <n v="0"/>
    <n v="14"/>
    <n v="450"/>
    <m/>
    <n v="688"/>
    <n v="327248"/>
    <n v="3"/>
    <m/>
    <m/>
    <m/>
    <s v="Li Xiaochun（11008077）"/>
    <s v="Xu Lan（11013544）"/>
    <m/>
    <m/>
    <m/>
    <m/>
    <s v="OK"/>
  </r>
  <r>
    <s v="CN15"/>
    <n v="11009726"/>
    <s v="王 永"/>
    <s v="Wang Yong"/>
    <s v="Indirect Active"/>
    <s v="OP"/>
    <s v="GPL-CN"/>
    <s v="GPL-LO8N"/>
    <s v="120010"/>
    <d v="2006-06-01T00:00:00"/>
    <s v="Supervisor"/>
    <s v="Supervisor"/>
    <x v="0"/>
    <n v="2"/>
    <x v="2"/>
    <n v="18785"/>
    <n v="0"/>
    <n v="0"/>
    <n v="0"/>
    <n v="0"/>
    <n v="0"/>
    <n v="0"/>
    <n v="18785"/>
    <n v="18785"/>
    <n v="0"/>
    <x v="5"/>
    <s v="0.00%-0.00%"/>
    <m/>
    <m/>
    <m/>
    <m/>
    <n v="0"/>
    <n v="18785"/>
    <n v="0"/>
    <n v="0"/>
    <n v="14"/>
    <n v="450"/>
    <m/>
    <n v="688"/>
    <n v="269078"/>
    <n v="4"/>
    <m/>
    <m/>
    <m/>
    <s v="Li Xiaochun（11008077）"/>
    <s v="Xu Lan（11013544）"/>
    <m/>
    <m/>
    <m/>
    <m/>
    <s v="OK"/>
  </r>
  <r>
    <s v="CN15"/>
    <n v="11010005"/>
    <s v="胡 悦"/>
    <s v="Hu Yue"/>
    <s v="Indirect Active"/>
    <s v="OP"/>
    <s v="GPL-CN"/>
    <s v="GPL-LO8G"/>
    <s v="120010"/>
    <d v="2013-09-09T00:00:00"/>
    <s v="Specialist"/>
    <s v="Specialist"/>
    <x v="2"/>
    <n v="2"/>
    <x v="1"/>
    <n v="9200"/>
    <n v="0.03"/>
    <n v="276"/>
    <n v="0"/>
    <n v="0"/>
    <n v="0.03"/>
    <n v="276"/>
    <n v="9476"/>
    <n v="9200"/>
    <n v="0"/>
    <x v="5"/>
    <s v="2.40%-3.60%"/>
    <s v="Promotion"/>
    <m/>
    <s v="A5"/>
    <n v="0.14080000000000001"/>
    <n v="1295"/>
    <n v="10495"/>
    <n v="1295"/>
    <n v="0.14076086956521738"/>
    <n v="14"/>
    <n v="450"/>
    <m/>
    <n v="688"/>
    <n v="153018"/>
    <n v="3"/>
    <m/>
    <m/>
    <m/>
    <s v="Li Xiaochun（11008077）"/>
    <s v="Xu Lan（11013544）"/>
    <m/>
    <m/>
    <m/>
    <m/>
    <s v="0 increase"/>
  </r>
  <r>
    <s v="CN15"/>
    <n v="11010786"/>
    <s v="董 文庆"/>
    <s v="Dong Wenqing"/>
    <s v="Indirect Active"/>
    <s v="OP"/>
    <s v="GPL-CN"/>
    <s v="GPL-LO8WF"/>
    <s v="120020"/>
    <d v="2014-04-14T00:00:00"/>
    <s v="Specialist"/>
    <s v="Specialist"/>
    <x v="7"/>
    <n v="2"/>
    <x v="2"/>
    <n v="6900"/>
    <n v="0"/>
    <n v="0"/>
    <n v="0"/>
    <n v="0"/>
    <n v="0"/>
    <n v="0"/>
    <n v="6900"/>
    <n v="6900"/>
    <n v="0"/>
    <x v="5"/>
    <s v="0.00%-0.00%"/>
    <m/>
    <m/>
    <m/>
    <m/>
    <n v="0"/>
    <n v="6900"/>
    <n v="0"/>
    <n v="0"/>
    <n v="14"/>
    <n v="550"/>
    <m/>
    <n v="688"/>
    <n v="103888"/>
    <n v="3"/>
    <m/>
    <m/>
    <m/>
    <s v="Li Xiaochun（11008077）"/>
    <s v="Xu Lan（11013544）"/>
    <m/>
    <m/>
    <m/>
    <m/>
    <s v="OK"/>
  </r>
  <r>
    <s v="CN15"/>
    <n v="11011547"/>
    <s v="曹 雅群"/>
    <s v="Cao Yaqun"/>
    <s v="Indirect Active"/>
    <s v="OP"/>
    <s v="GPL-CN"/>
    <s v="GPL-LO8WC"/>
    <s v="120040"/>
    <d v="2007-03-01T00:00:00"/>
    <s v="Warehouse Management"/>
    <s v="Administrator of WH CZ"/>
    <x v="7"/>
    <n v="2"/>
    <x v="2"/>
    <n v="6227"/>
    <n v="0"/>
    <n v="0"/>
    <n v="0"/>
    <n v="0"/>
    <n v="0"/>
    <n v="0"/>
    <n v="6227"/>
    <n v="6227"/>
    <n v="0"/>
    <x v="5"/>
    <s v="0.00%-0.00%"/>
    <m/>
    <m/>
    <m/>
    <m/>
    <n v="0"/>
    <n v="6227"/>
    <n v="0"/>
    <n v="0"/>
    <n v="14"/>
    <n v="450"/>
    <m/>
    <n v="688"/>
    <n v="93266"/>
    <n v="3"/>
    <m/>
    <m/>
    <m/>
    <s v="Li Xiaochun（11008077）"/>
    <s v="Xu Lan（11013544）"/>
    <m/>
    <m/>
    <m/>
    <m/>
    <s v="OK"/>
  </r>
  <r>
    <s v="CN15"/>
    <n v="11011856"/>
    <s v="刘 戈"/>
    <s v="Liu Ge"/>
    <s v="Indirect Active"/>
    <s v="OP"/>
    <s v="GPL-CN"/>
    <s v="GPL-LO8LR"/>
    <s v="120010"/>
    <d v="2014-11-24T00:00:00"/>
    <s v="Specialist"/>
    <s v="Specialist"/>
    <x v="2"/>
    <n v="2"/>
    <x v="2"/>
    <n v="10900"/>
    <n v="0"/>
    <n v="0"/>
    <n v="0"/>
    <n v="0"/>
    <n v="0"/>
    <n v="0"/>
    <n v="10900"/>
    <n v="10900"/>
    <n v="0"/>
    <x v="5"/>
    <s v="0.00%-0.00%"/>
    <m/>
    <m/>
    <m/>
    <m/>
    <n v="0"/>
    <n v="10900"/>
    <n v="0"/>
    <n v="0"/>
    <n v="14"/>
    <n v="450"/>
    <m/>
    <n v="688"/>
    <n v="158688"/>
    <n v="3"/>
    <m/>
    <m/>
    <m/>
    <s v="Li Xiaochun（11008077）"/>
    <s v="Xu Lan（11013544）"/>
    <m/>
    <m/>
    <m/>
    <m/>
    <s v="OK"/>
  </r>
  <r>
    <s v="CN15"/>
    <n v="11012412"/>
    <s v="石 金玉"/>
    <s v="Shi Jinyu"/>
    <s v="Indirect Active"/>
    <s v="OP"/>
    <s v="GPL-CN"/>
    <s v="GPL-LO8WF"/>
    <s v="120020"/>
    <d v="2015-04-16T00:00:00"/>
    <s v="Warehouse Management"/>
    <s v="Data Support of WH CZ"/>
    <x v="7"/>
    <n v="2"/>
    <x v="2"/>
    <n v="6466"/>
    <n v="0"/>
    <n v="0"/>
    <n v="0"/>
    <n v="0"/>
    <n v="0"/>
    <n v="0"/>
    <n v="6466"/>
    <n v="6466"/>
    <n v="0"/>
    <x v="5"/>
    <s v="0.00%-0.00%"/>
    <m/>
    <m/>
    <m/>
    <m/>
    <n v="0"/>
    <n v="6466"/>
    <n v="0"/>
    <n v="0"/>
    <n v="14"/>
    <n v="450"/>
    <m/>
    <n v="688"/>
    <n v="96612"/>
    <n v="3"/>
    <m/>
    <m/>
    <m/>
    <s v="Li Xiaochun（11008077）"/>
    <s v="Xu Lan（11013544）"/>
    <m/>
    <m/>
    <m/>
    <m/>
    <s v="OK"/>
  </r>
  <r>
    <s v="CN15"/>
    <n v="11013066"/>
    <s v="董 静雨"/>
    <s v="Dong Jingyu"/>
    <s v="Indirect Active"/>
    <s v="OP"/>
    <s v="GPL-CN"/>
    <s v="GPL-LO8G"/>
    <s v="120010"/>
    <d v="2015-07-16T00:00:00"/>
    <s v="Specialist"/>
    <s v="Specialist"/>
    <x v="2"/>
    <n v="2"/>
    <x v="2"/>
    <n v="8550"/>
    <n v="0"/>
    <n v="0"/>
    <n v="0"/>
    <n v="0"/>
    <n v="0"/>
    <n v="0"/>
    <n v="8550"/>
    <n v="8550"/>
    <n v="0"/>
    <x v="5"/>
    <s v="0.00%-0.00%"/>
    <m/>
    <m/>
    <m/>
    <m/>
    <n v="0"/>
    <n v="8550"/>
    <n v="0"/>
    <n v="0"/>
    <n v="14"/>
    <n v="450"/>
    <m/>
    <n v="688"/>
    <n v="125788"/>
    <n v="3"/>
    <m/>
    <m/>
    <m/>
    <s v="Li Xiaochun（11008077）"/>
    <s v="Xu Lan（11013544）"/>
    <m/>
    <m/>
    <m/>
    <m/>
    <s v="OK"/>
  </r>
  <r>
    <s v="CN15"/>
    <n v="11013641"/>
    <s v="刘 晓莹"/>
    <s v="Liu Xiaoying"/>
    <s v="Indirect Active"/>
    <s v="OP"/>
    <s v="GPL-CN"/>
    <s v="GPL-LO8L"/>
    <s v="120010"/>
    <d v="2016-05-03T00:00:00"/>
    <s v="Senior Specialist"/>
    <s v="Senior Specialist"/>
    <x v="1"/>
    <n v="2"/>
    <x v="2"/>
    <n v="9866"/>
    <n v="2.5000000000000001E-2"/>
    <n v="247"/>
    <n v="0"/>
    <n v="0"/>
    <n v="2.5035475369957431E-2"/>
    <n v="247"/>
    <n v="10113"/>
    <n v="10113"/>
    <n v="247"/>
    <x v="13"/>
    <s v="2.00%-3.00%"/>
    <m/>
    <m/>
    <m/>
    <m/>
    <n v="0"/>
    <n v="10113"/>
    <n v="247"/>
    <n v="2.5035475369957538E-2"/>
    <n v="14"/>
    <n v="450"/>
    <m/>
    <n v="688"/>
    <n v="147670"/>
    <n v="3"/>
    <m/>
    <m/>
    <m/>
    <s v="Li Xiaochun（11008077）"/>
    <s v="Xu Lan（11013544）"/>
    <m/>
    <m/>
    <m/>
    <m/>
    <s v="OK"/>
  </r>
  <r>
    <s v="CN15"/>
    <n v="11016646"/>
    <s v="何 鑫华"/>
    <s v="He Xinhua"/>
    <s v="Indirect Active"/>
    <s v="OP"/>
    <s v="GPL-CN"/>
    <s v="GPL-LO8L"/>
    <s v="120010"/>
    <d v="2018-08-20T00:00:00"/>
    <s v="Senior Specialist"/>
    <s v="Senior Specialist"/>
    <x v="1"/>
    <n v="2"/>
    <x v="0"/>
    <n v="10260"/>
    <n v="0.05"/>
    <n v="513"/>
    <n v="2.7E-2"/>
    <n v="277"/>
    <n v="7.6998050682261204E-2"/>
    <n v="790"/>
    <n v="11050"/>
    <n v="11050"/>
    <n v="790"/>
    <x v="135"/>
    <s v="6.16%-9.24%"/>
    <m/>
    <m/>
    <m/>
    <m/>
    <n v="0"/>
    <n v="11050"/>
    <n v="790"/>
    <n v="7.6998050682261177E-2"/>
    <n v="14"/>
    <n v="450"/>
    <m/>
    <n v="688"/>
    <n v="160788"/>
    <n v="2"/>
    <m/>
    <m/>
    <m/>
    <s v="Li Xiaochun（11008077）"/>
    <s v="Xu Lan（11013544）"/>
    <m/>
    <m/>
    <m/>
    <m/>
    <s v="OK"/>
  </r>
  <r>
    <s v="CN15"/>
    <n v="11018246"/>
    <s v="黄 维倩"/>
    <s v="Huang Monica"/>
    <s v="Indirect Active"/>
    <s v="OP"/>
    <s v="GPL-CN"/>
    <s v="GPL-LO8"/>
    <s v="120010"/>
    <d v="2021-04-12T00:00:00"/>
    <s v="Specialist"/>
    <s v="Specialist"/>
    <x v="2"/>
    <n v="2"/>
    <x v="0"/>
    <n v="11300"/>
    <n v="0.03"/>
    <n v="339"/>
    <n v="0"/>
    <n v="0"/>
    <n v="0.03"/>
    <n v="339"/>
    <n v="11639"/>
    <n v="11300"/>
    <n v="0"/>
    <x v="5"/>
    <s v="2.40%-3.60%"/>
    <s v="Promotion"/>
    <m/>
    <s v="BAND A5"/>
    <n v="0.155"/>
    <n v="1752"/>
    <n v="13052"/>
    <n v="1752"/>
    <n v="0.15504424778761061"/>
    <n v="14"/>
    <n v="550"/>
    <m/>
    <n v="688"/>
    <n v="190016"/>
    <n v="3"/>
    <m/>
    <s v="Roll out BPS concept in GPL area, contributed in TPM_Lean SC pillar RGC strategical project "/>
    <m/>
    <s v="Li Xiaochun（11008077）"/>
    <s v="Xu Lan（11013544）"/>
    <m/>
    <m/>
    <m/>
    <m/>
    <s v="0 increase"/>
  </r>
  <r>
    <s v="CN15"/>
    <n v="11018877"/>
    <s v="武 轩"/>
    <s v="Wu Xuan"/>
    <s v="Indirect Active"/>
    <s v="OP"/>
    <s v="GPL-CN"/>
    <s v="GPL-LO8L"/>
    <s v="120010"/>
    <d v="2021-10-18T00:00:00"/>
    <s v="Senior Specialist"/>
    <s v="Senior Specialist"/>
    <x v="1"/>
    <n v="2"/>
    <x v="1"/>
    <n v="13378"/>
    <n v="2.2499999999999999E-2"/>
    <n v="301"/>
    <n v="0"/>
    <n v="0"/>
    <n v="2.2499626252055614E-2"/>
    <n v="301"/>
    <n v="13679"/>
    <n v="13679"/>
    <n v="301"/>
    <x v="47"/>
    <s v="1.80%-2.70%"/>
    <m/>
    <m/>
    <m/>
    <m/>
    <n v="0"/>
    <n v="13679"/>
    <n v="301"/>
    <n v="2.2499626252055593E-2"/>
    <n v="14"/>
    <n v="550"/>
    <m/>
    <n v="688"/>
    <n v="198794"/>
    <n v="3"/>
    <m/>
    <m/>
    <m/>
    <s v="Li Xiaochun（11008077）"/>
    <s v="Xu Lan（11013544）"/>
    <m/>
    <m/>
    <m/>
    <m/>
    <s v="OK"/>
  </r>
  <r>
    <s v="CN15"/>
    <n v="15000110"/>
    <s v="李 红刚"/>
    <s v="Li Honggang"/>
    <s v="Indirect Active"/>
    <s v="OP"/>
    <s v="GPL-CN"/>
    <s v="GPL-LO8N"/>
    <s v="120010"/>
    <d v="2004-03-04T00:00:00"/>
    <s v="Director"/>
    <s v="Head of Network Development"/>
    <x v="5"/>
    <n v="2"/>
    <x v="1"/>
    <n v="48985"/>
    <n v="3.7500000000000006E-2"/>
    <n v="1837"/>
    <n v="0"/>
    <n v="0"/>
    <n v="3.7501275900785953E-2"/>
    <n v="1837"/>
    <n v="50822"/>
    <n v="50500"/>
    <n v="1515"/>
    <x v="140"/>
    <s v="3.00%-4.50%"/>
    <m/>
    <m/>
    <m/>
    <m/>
    <n v="0"/>
    <n v="50500"/>
    <n v="1515"/>
    <n v="3.0927835051546282E-2"/>
    <n v="14"/>
    <n v="450"/>
    <n v="1000"/>
    <n v="688"/>
    <n v="725088"/>
    <n v="4"/>
    <m/>
    <m/>
    <m/>
    <s v="Li Xiaochun（11008077）"/>
    <s v="Xu Lan（11013544）"/>
    <m/>
    <m/>
    <m/>
    <m/>
    <s v="OK"/>
  </r>
  <r>
    <s v="CN15"/>
    <n v="15000357"/>
    <s v="李 勇"/>
    <s v="Li Yong"/>
    <s v="Indirect Active"/>
    <s v="OP"/>
    <s v="GPL-CN"/>
    <s v="GPL-LO8WN"/>
    <s v="120050"/>
    <d v="2006-02-14T00:00:00"/>
    <s v="Supervisor"/>
    <s v="Supervisor of WH-NJ"/>
    <x v="7"/>
    <n v="2"/>
    <x v="2"/>
    <n v="15211"/>
    <n v="0"/>
    <n v="0"/>
    <n v="0"/>
    <n v="0"/>
    <n v="0"/>
    <n v="0"/>
    <n v="15211"/>
    <n v="15211"/>
    <n v="0"/>
    <x v="5"/>
    <s v="0.00%-0.00%"/>
    <m/>
    <m/>
    <m/>
    <m/>
    <n v="0"/>
    <n v="15211"/>
    <n v="0"/>
    <n v="0"/>
    <n v="14"/>
    <n v="450"/>
    <m/>
    <n v="688"/>
    <n v="219042"/>
    <n v="3"/>
    <m/>
    <m/>
    <m/>
    <s v="Li Xiaochun（11008077）"/>
    <s v="Xu Lan（11013544）"/>
    <m/>
    <m/>
    <m/>
    <m/>
    <s v="OK"/>
  </r>
  <r>
    <s v="CN15"/>
    <n v="15001212"/>
    <s v="刘 晓清"/>
    <s v="Liu Xiaoqing"/>
    <s v="Indirect Active"/>
    <s v="OP"/>
    <s v="GPL-CN"/>
    <s v="GPL-LO8"/>
    <s v="120010"/>
    <d v="1998-07-27T00:00:00"/>
    <s v="Manager"/>
    <s v="Manager"/>
    <x v="3"/>
    <n v="2"/>
    <x v="3"/>
    <n v="30300"/>
    <n v="0"/>
    <n v="0"/>
    <n v="0"/>
    <n v="0"/>
    <n v="0"/>
    <n v="0"/>
    <n v="30300"/>
    <n v="30300"/>
    <n v="0"/>
    <x v="5"/>
    <s v="0.00%-0.00%"/>
    <m/>
    <m/>
    <m/>
    <m/>
    <n v="0"/>
    <n v="30300"/>
    <n v="0"/>
    <n v="0"/>
    <n v="14"/>
    <n v="450"/>
    <m/>
    <n v="688"/>
    <n v="430288"/>
    <n v="4"/>
    <m/>
    <m/>
    <m/>
    <s v="Li Xiaochun（11008077）"/>
    <s v="Xu Lan（11013544）"/>
    <m/>
    <m/>
    <m/>
    <m/>
    <s v="OK"/>
  </r>
  <r>
    <s v="CN15"/>
    <n v="15003288"/>
    <s v="周 曼玲"/>
    <s v="Zhou Manling"/>
    <s v="Indirect Active"/>
    <s v="OP"/>
    <s v="GPL-CN"/>
    <s v="GPL-LO8G"/>
    <s v="120010"/>
    <d v="2010-07-01T00:00:00"/>
    <s v="Specialist"/>
    <s v="Specialist"/>
    <x v="2"/>
    <n v="2"/>
    <x v="1"/>
    <n v="8300"/>
    <n v="0.03"/>
    <n v="249"/>
    <n v="0"/>
    <n v="0"/>
    <n v="0.03"/>
    <n v="249"/>
    <n v="8549"/>
    <n v="9000"/>
    <n v="700"/>
    <x v="141"/>
    <s v="2.40%-3.60%"/>
    <m/>
    <m/>
    <m/>
    <m/>
    <n v="0"/>
    <n v="9000"/>
    <n v="700"/>
    <n v="8.43373493975903E-2"/>
    <n v="14"/>
    <n v="450"/>
    <m/>
    <n v="688"/>
    <n v="132088"/>
    <n v="3"/>
    <m/>
    <m/>
    <m/>
    <s v="Li Xiaochun（11008077）"/>
    <s v="Xu Lan（11013544）"/>
    <m/>
    <m/>
    <m/>
    <m/>
    <s v="&gt;20"/>
  </r>
  <r>
    <s v="CN15"/>
    <n v="15003321"/>
    <s v="李 望舒"/>
    <s v="Li Wangshu"/>
    <s v="Indirect Active"/>
    <s v="OP"/>
    <s v="GPL-CN"/>
    <s v="GPL-LO8N"/>
    <s v="120010"/>
    <d v="2010-03-01T00:00:00"/>
    <s v="Supervisor"/>
    <s v="Supervisor"/>
    <x v="0"/>
    <n v="2"/>
    <x v="2"/>
    <n v="15683"/>
    <n v="2.5000000000000001E-2"/>
    <n v="392"/>
    <n v="0"/>
    <n v="0"/>
    <n v="2.499521775170567E-2"/>
    <n v="392"/>
    <n v="16075"/>
    <n v="16075"/>
    <n v="392"/>
    <x v="13"/>
    <s v="2.00%-3.00%"/>
    <m/>
    <m/>
    <m/>
    <m/>
    <n v="0"/>
    <n v="16075"/>
    <n v="392"/>
    <n v="2.4995217751705656E-2"/>
    <n v="14"/>
    <n v="450"/>
    <m/>
    <n v="688"/>
    <n v="231138"/>
    <n v="3"/>
    <m/>
    <m/>
    <m/>
    <s v="Li Xiaochun（11008077）"/>
    <s v="Xu Lan（11013544）"/>
    <m/>
    <m/>
    <m/>
    <m/>
    <s v="OK"/>
  </r>
  <r>
    <s v="CN15"/>
    <n v="15012922"/>
    <s v="郭 靖"/>
    <s v="Guo Eric-Jing"/>
    <s v="Indirect Active"/>
    <s v="OP"/>
    <s v="GPL-CN"/>
    <s v="GPL-LO8G"/>
    <s v="120010"/>
    <d v="2021-06-07T00:00:00"/>
    <s v="Senior Specialist"/>
    <s v="Senior Specialist"/>
    <x v="1"/>
    <n v="2"/>
    <x v="2"/>
    <n v="12728"/>
    <n v="0"/>
    <n v="0"/>
    <n v="0"/>
    <n v="0"/>
    <n v="0"/>
    <n v="0"/>
    <n v="12728"/>
    <n v="12728"/>
    <n v="0"/>
    <x v="5"/>
    <s v="0.00%-0.00%"/>
    <m/>
    <m/>
    <m/>
    <m/>
    <n v="0"/>
    <n v="12728"/>
    <n v="0"/>
    <n v="0"/>
    <n v="14"/>
    <n v="450"/>
    <m/>
    <n v="688"/>
    <n v="184280"/>
    <n v="4"/>
    <m/>
    <m/>
    <m/>
    <s v="Li Xiaochun（11008077）"/>
    <s v="Xu Lan（11013544）"/>
    <m/>
    <m/>
    <m/>
    <m/>
    <s v="OK"/>
  </r>
  <r>
    <s v="CN15"/>
    <n v="15005095"/>
    <s v="刘 永强"/>
    <s v="Liu Yongqiang"/>
    <s v="Indirect Active"/>
    <s v="OP"/>
    <s v="GPL-CN"/>
    <s v="GPL-LO8R"/>
    <s v="190201"/>
    <d v="2015-04-01T00:00:00"/>
    <s v="Engineer"/>
    <s v="Production Engineer"/>
    <x v="2"/>
    <n v="2"/>
    <x v="2"/>
    <n v="7509"/>
    <n v="2.5000000000000001E-2"/>
    <n v="188"/>
    <n v="0"/>
    <n v="0"/>
    <n v="2.5036622719403382E-2"/>
    <n v="188"/>
    <n v="7697"/>
    <n v="7750"/>
    <n v="241"/>
    <x v="142"/>
    <s v="2.00%-3.00%"/>
    <m/>
    <m/>
    <m/>
    <m/>
    <n v="0"/>
    <n v="7750"/>
    <n v="241"/>
    <n v="3.2094819549873588E-2"/>
    <n v="14"/>
    <n v="3050"/>
    <m/>
    <n v="688"/>
    <n v="145788"/>
    <n v="3"/>
    <m/>
    <s v="Zero work accident in LO8R for many years, actively support for GGN and other BU"/>
    <m/>
    <s v="Li Xiaochun（11008077）"/>
    <s v="Xu Lan（11013544）"/>
    <m/>
    <m/>
    <m/>
    <m/>
    <s v="OK"/>
  </r>
  <r>
    <s v="CN15"/>
    <n v="15014172"/>
    <s v="林 阳"/>
    <s v="Lin Yang"/>
    <s v="Indirect Active"/>
    <s v="OP"/>
    <s v="GPL-CN"/>
    <s v="GPL-LO8R"/>
    <s v="190201"/>
    <d v="2012-02-28T00:00:00"/>
    <s v="Supervisor"/>
    <s v="Head of GPL-LO8R"/>
    <x v="0"/>
    <n v="2"/>
    <x v="2"/>
    <n v="15938"/>
    <n v="0"/>
    <n v="0"/>
    <n v="0"/>
    <n v="0"/>
    <n v="0"/>
    <n v="0"/>
    <n v="15938"/>
    <n v="16300"/>
    <n v="362"/>
    <x v="143"/>
    <s v="0.00%-0.00%"/>
    <m/>
    <m/>
    <m/>
    <m/>
    <n v="0"/>
    <n v="16300"/>
    <n v="362"/>
    <n v="2.2713012925084763E-2"/>
    <n v="14"/>
    <n v="2950"/>
    <m/>
    <n v="688"/>
    <n v="264288"/>
    <n v="4"/>
    <m/>
    <s v="Zero work accident in LO8R for many years, actively support for GGN and other BU"/>
    <m/>
    <s v="Li Xiaochun（11008077）"/>
    <s v="Xu Lan（11013544）"/>
    <m/>
    <m/>
    <m/>
    <m/>
    <s v="&gt;20"/>
  </r>
  <r>
    <s v="CN15"/>
    <n v="1212023"/>
    <s v="王 珏"/>
    <s v="Wang Jue"/>
    <s v="Indirect Active"/>
    <s v="OP"/>
    <s v="GPL-CN"/>
    <s v="GPL-SC8PS"/>
    <s v="210150"/>
    <d v="2009-04-27T00:00:00"/>
    <s v="Senior Specialist"/>
    <s v="Senior Specialist"/>
    <x v="1"/>
    <n v="2"/>
    <x v="3"/>
    <n v="10637"/>
    <n v="0"/>
    <n v="0"/>
    <n v="0"/>
    <n v="0"/>
    <n v="0"/>
    <n v="0"/>
    <n v="10637"/>
    <n v="10637"/>
    <n v="0"/>
    <x v="5"/>
    <s v="0.00%-0.00%"/>
    <m/>
    <m/>
    <m/>
    <m/>
    <n v="0"/>
    <n v="10637"/>
    <n v="0"/>
    <n v="0"/>
    <n v="14"/>
    <n v="450"/>
    <m/>
    <n v="688"/>
    <n v="155006"/>
    <n v="3"/>
    <m/>
    <m/>
    <m/>
    <s v="Chen Meng（11007521）"/>
    <s v="Xu Lan（11013544）"/>
    <m/>
    <m/>
    <m/>
    <m/>
    <s v="OK"/>
  </r>
  <r>
    <s v="CN15"/>
    <n v="1421196"/>
    <s v="韦 晶晶"/>
    <s v="Wei Jingjing"/>
    <s v="Indirect Active"/>
    <s v="OP"/>
    <s v="GPL-CN"/>
    <s v="GPL-SCMTC"/>
    <s v="260010"/>
    <d v="2013-12-02T00:00:00"/>
    <s v="Specialist"/>
    <s v="Specialist"/>
    <x v="2"/>
    <n v="2"/>
    <x v="2"/>
    <n v="8062"/>
    <n v="2.5000000000000001E-2"/>
    <n v="202"/>
    <n v="0"/>
    <n v="0"/>
    <n v="2.5055817415033491E-2"/>
    <n v="202"/>
    <n v="8264"/>
    <n v="8264"/>
    <n v="202"/>
    <x v="82"/>
    <s v="2.00%-3.01%"/>
    <m/>
    <m/>
    <m/>
    <m/>
    <n v="0"/>
    <n v="8264"/>
    <n v="202"/>
    <n v="2.5055817415033488E-2"/>
    <n v="14"/>
    <n v="450"/>
    <m/>
    <n v="688"/>
    <n v="121784"/>
    <n v="3"/>
    <m/>
    <m/>
    <m/>
    <s v="Chen Meng（11007521）"/>
    <s v="Xu Lan（11013544）"/>
    <m/>
    <m/>
    <m/>
    <m/>
    <s v="OK"/>
  </r>
  <r>
    <s v="CN15"/>
    <n v="1520060"/>
    <s v="姜 海云"/>
    <s v="Jiang Haiyun"/>
    <s v="Indirect Active"/>
    <s v="OP"/>
    <s v="GPL-CN"/>
    <s v="GPL-SCMTC"/>
    <s v="260010"/>
    <d v="2018-03-01T00:00:00"/>
    <s v="Manager"/>
    <s v="Head of OEM"/>
    <x v="3"/>
    <n v="2"/>
    <x v="2"/>
    <n v="19131"/>
    <n v="2.5000000000000001E-2"/>
    <n v="478"/>
    <n v="0"/>
    <n v="0"/>
    <n v="2.498562542470336E-2"/>
    <n v="478"/>
    <n v="19609"/>
    <n v="19609"/>
    <n v="478"/>
    <x v="13"/>
    <s v="2.00%-3.00%"/>
    <m/>
    <m/>
    <m/>
    <m/>
    <n v="0"/>
    <n v="19609"/>
    <n v="478"/>
    <n v="2.4985625424703395E-2"/>
    <n v="14"/>
    <n v="450"/>
    <m/>
    <n v="688"/>
    <n v="280614"/>
    <n v="4"/>
    <m/>
    <m/>
    <m/>
    <s v="Chen Meng（11007521）"/>
    <s v="Xu Lan（11013544）"/>
    <m/>
    <m/>
    <m/>
    <m/>
    <s v="OK"/>
  </r>
  <r>
    <s v="CN15"/>
    <n v="11009081"/>
    <s v="祁 金华"/>
    <s v="Qi Jinhua"/>
    <s v="Indirect Active"/>
    <s v="OP"/>
    <s v="GPL-CN"/>
    <s v="GPL-SC8PM"/>
    <s v="210150"/>
    <d v="2012-09-05T00:00:00"/>
    <s v="Senior Specialist"/>
    <s v="Senior Specialist"/>
    <x v="1"/>
    <n v="2"/>
    <x v="2"/>
    <n v="11566"/>
    <n v="2.5000000000000001E-2"/>
    <n v="289"/>
    <n v="0"/>
    <n v="0"/>
    <n v="2.4987030952792668E-2"/>
    <n v="289"/>
    <n v="11855"/>
    <n v="11955"/>
    <n v="389"/>
    <x v="144"/>
    <s v="2.00%-3.00%"/>
    <m/>
    <m/>
    <m/>
    <m/>
    <n v="0"/>
    <n v="11955"/>
    <n v="389"/>
    <n v="3.3633062424347271E-2"/>
    <n v="14"/>
    <n v="450"/>
    <m/>
    <n v="688"/>
    <n v="173458"/>
    <n v="3"/>
    <m/>
    <m/>
    <m/>
    <s v="Chen Meng（11007521）"/>
    <s v="Xu Lan（11013544）"/>
    <m/>
    <m/>
    <m/>
    <m/>
    <s v="OK"/>
  </r>
  <r>
    <s v="CN15"/>
    <n v="11011805"/>
    <s v="王 洁"/>
    <s v="Wang Jie"/>
    <s v="Indirect Active"/>
    <s v="OP"/>
    <s v="GPL-CN"/>
    <s v="GPL-SC8PS"/>
    <s v="210150"/>
    <d v="2014-11-10T00:00:00"/>
    <s v="Senior Specialist"/>
    <s v="Senior Specialist"/>
    <x v="1"/>
    <n v="2"/>
    <x v="2"/>
    <n v="12108"/>
    <n v="0"/>
    <n v="0"/>
    <n v="0"/>
    <n v="0"/>
    <n v="0"/>
    <n v="0"/>
    <n v="12108"/>
    <n v="12108"/>
    <n v="0"/>
    <x v="5"/>
    <s v="0.00%-0.00%"/>
    <m/>
    <m/>
    <m/>
    <m/>
    <n v="0"/>
    <n v="12108"/>
    <n v="0"/>
    <n v="0"/>
    <n v="14"/>
    <n v="450"/>
    <m/>
    <n v="688"/>
    <n v="175600"/>
    <n v="2"/>
    <m/>
    <m/>
    <m/>
    <s v="Chen Meng（11007521）"/>
    <s v="Xu Lan（11013544）"/>
    <m/>
    <m/>
    <m/>
    <m/>
    <s v="OK"/>
  </r>
  <r>
    <s v="CN15"/>
    <n v="11012844"/>
    <s v="方 明"/>
    <s v="Fang Ming"/>
    <s v="Indirect Active"/>
    <s v="OP"/>
    <s v="GPL-CN"/>
    <s v="GPL-SC8PM"/>
    <s v="210150"/>
    <d v="2012-11-15T00:00:00"/>
    <s v="Manager"/>
    <s v="Head of Laundry Care, Cooling"/>
    <x v="3"/>
    <n v="2"/>
    <x v="2"/>
    <n v="30100"/>
    <n v="0"/>
    <n v="0"/>
    <n v="0"/>
    <n v="0"/>
    <n v="0"/>
    <n v="0"/>
    <n v="30100"/>
    <n v="30100"/>
    <n v="0"/>
    <x v="5"/>
    <s v="0.00%-0.00%"/>
    <m/>
    <m/>
    <m/>
    <m/>
    <n v="0"/>
    <n v="30100"/>
    <n v="0"/>
    <n v="0"/>
    <n v="14"/>
    <n v="450"/>
    <m/>
    <n v="688"/>
    <n v="427488"/>
    <n v="5"/>
    <m/>
    <m/>
    <m/>
    <s v="Chen Meng（11007521）"/>
    <s v="Xu Lan（11013544）"/>
    <m/>
    <m/>
    <m/>
    <m/>
    <s v="OK"/>
  </r>
  <r>
    <s v="CN15"/>
    <n v="11015875"/>
    <s v="陈 晓"/>
    <s v="Chen Xiao"/>
    <s v="Indirect Active"/>
    <s v="OP"/>
    <s v="GPL-CN"/>
    <s v="GPL-SC8PS"/>
    <s v="210150"/>
    <d v="2018-03-05T00:00:00"/>
    <s v="Senior Specialist"/>
    <s v="Senior Specialist"/>
    <x v="1"/>
    <n v="2"/>
    <x v="2"/>
    <n v="12341"/>
    <n v="0"/>
    <n v="0"/>
    <n v="0"/>
    <n v="0"/>
    <n v="0"/>
    <n v="0"/>
    <n v="12341"/>
    <n v="12341"/>
    <n v="0"/>
    <x v="5"/>
    <s v="0.00%-0.00%"/>
    <m/>
    <m/>
    <m/>
    <m/>
    <n v="0"/>
    <n v="12341"/>
    <n v="0"/>
    <n v="0"/>
    <n v="14"/>
    <n v="450"/>
    <m/>
    <n v="688"/>
    <n v="178862"/>
    <n v="3"/>
    <m/>
    <m/>
    <m/>
    <s v="Chen Meng（11007521）"/>
    <s v="Xu Lan（11013544）"/>
    <m/>
    <m/>
    <m/>
    <m/>
    <s v="OK"/>
  </r>
  <r>
    <s v="CN15"/>
    <n v="11016123"/>
    <s v="刘 彪"/>
    <s v="Liu Biao"/>
    <s v="Indirect Active"/>
    <s v="OP"/>
    <s v="GPL-CN"/>
    <s v="GPL-SC8PS"/>
    <s v="210150"/>
    <d v="2018-05-14T00:00:00"/>
    <s v="Supervisor"/>
    <s v="Supervisor"/>
    <x v="0"/>
    <n v="2"/>
    <x v="1"/>
    <n v="14800"/>
    <n v="3.7500000000000006E-2"/>
    <n v="555"/>
    <n v="1.55E-2"/>
    <n v="229"/>
    <n v="5.2972972972972973E-2"/>
    <n v="784"/>
    <n v="15584"/>
    <n v="16184"/>
    <n v="1384"/>
    <x v="145"/>
    <s v="4.24%-6.36%"/>
    <m/>
    <m/>
    <m/>
    <m/>
    <n v="0"/>
    <n v="16184"/>
    <n v="1384"/>
    <n v="9.3513513513513447E-2"/>
    <n v="14"/>
    <n v="450"/>
    <m/>
    <n v="688"/>
    <n v="232664"/>
    <n v="3"/>
    <m/>
    <m/>
    <m/>
    <s v="Chen Meng（11007521）"/>
    <s v="Xu Lan（11013544）"/>
    <m/>
    <m/>
    <m/>
    <m/>
    <s v="&gt;20"/>
  </r>
  <r>
    <s v="CN15"/>
    <n v="11016857"/>
    <s v="陈 晓旭"/>
    <s v="Chen Xiaoxu"/>
    <s v="Indirect Active"/>
    <s v="OP"/>
    <s v="GPL-CN"/>
    <s v="GPL-SCMTC"/>
    <s v="260010"/>
    <d v="2019-06-17T00:00:00"/>
    <s v="Senior Specialist"/>
    <s v="Senior Specialist"/>
    <x v="1"/>
    <n v="2"/>
    <x v="1"/>
    <n v="14900"/>
    <n v="2.2499999999999999E-2"/>
    <n v="335"/>
    <n v="0"/>
    <n v="0"/>
    <n v="2.2483221476510069E-2"/>
    <n v="335"/>
    <n v="15235"/>
    <n v="15410"/>
    <n v="510"/>
    <x v="146"/>
    <s v="1.80%-2.70%"/>
    <m/>
    <m/>
    <m/>
    <m/>
    <n v="0"/>
    <n v="15410"/>
    <n v="510"/>
    <n v="3.4228187919463027E-2"/>
    <n v="14"/>
    <n v="450"/>
    <m/>
    <n v="688"/>
    <n v="221828"/>
    <n v="3"/>
    <m/>
    <m/>
    <m/>
    <s v="Chen Meng（11007521）"/>
    <s v="Xu Lan（11013544）"/>
    <m/>
    <m/>
    <m/>
    <m/>
    <s v="&gt;20"/>
  </r>
  <r>
    <s v="CN15"/>
    <n v="11018708"/>
    <s v="陶 晨"/>
    <s v="Tao Chen"/>
    <s v="Indirect Active"/>
    <s v="OP"/>
    <s v="GPL-CN"/>
    <s v="GPL-SCMTC"/>
    <s v="260010"/>
    <d v="2021-08-25T00:00:00"/>
    <s v="Senior Specialist"/>
    <s v="Senior Specialist"/>
    <x v="1"/>
    <n v="2"/>
    <x v="2"/>
    <n v="12428"/>
    <n v="0"/>
    <n v="0"/>
    <n v="0"/>
    <n v="0"/>
    <n v="0"/>
    <n v="0"/>
    <n v="12428"/>
    <n v="12428"/>
    <n v="0"/>
    <x v="5"/>
    <s v="0.00%-0.00%"/>
    <m/>
    <m/>
    <m/>
    <m/>
    <n v="0"/>
    <n v="12428"/>
    <n v="0"/>
    <n v="0"/>
    <n v="14"/>
    <n v="450"/>
    <m/>
    <n v="688"/>
    <n v="180080"/>
    <n v="3"/>
    <m/>
    <m/>
    <m/>
    <s v="Chen Meng（11007521）"/>
    <s v="Xu Lan（11013544）"/>
    <m/>
    <m/>
    <m/>
    <m/>
    <s v="OK"/>
  </r>
  <r>
    <s v="CN15"/>
    <n v="11018859"/>
    <s v="梅 婉卿"/>
    <s v="Mei Sushi"/>
    <s v="Indirect Active"/>
    <s v="OP"/>
    <s v="GPL-CN"/>
    <s v="GPL-SC8PM"/>
    <s v="210150"/>
    <d v="2021-10-11T00:00:00"/>
    <s v="Senior Specialist"/>
    <s v="Senior Specialist"/>
    <x v="1"/>
    <n v="2"/>
    <x v="2"/>
    <n v="12879"/>
    <n v="0"/>
    <n v="0"/>
    <n v="0"/>
    <n v="0"/>
    <n v="0"/>
    <n v="0"/>
    <n v="12879"/>
    <n v="12879"/>
    <n v="0"/>
    <x v="5"/>
    <s v="0.00%-0.00%"/>
    <m/>
    <m/>
    <m/>
    <m/>
    <n v="0"/>
    <n v="12879"/>
    <n v="0"/>
    <n v="0"/>
    <n v="14"/>
    <n v="450"/>
    <m/>
    <n v="688"/>
    <n v="186394"/>
    <n v="3"/>
    <m/>
    <m/>
    <m/>
    <s v="Chen Meng（11007521）"/>
    <s v="Xu Lan（11013544）"/>
    <m/>
    <m/>
    <m/>
    <m/>
    <s v="OK"/>
  </r>
  <r>
    <s v="CN15"/>
    <n v="11019020"/>
    <s v="李 胤"/>
    <s v="Li Luc"/>
    <s v="Indirect Active"/>
    <s v="OP"/>
    <s v="GPL-CN"/>
    <s v="GPL-SC8PM"/>
    <s v="210150"/>
    <d v="2021-12-08T00:00:00"/>
    <s v="Senior Specialist"/>
    <s v="Senior Specialist"/>
    <x v="1"/>
    <n v="2"/>
    <x v="2"/>
    <n v="16045"/>
    <n v="0"/>
    <n v="0"/>
    <n v="0"/>
    <n v="0"/>
    <n v="0"/>
    <n v="0"/>
    <n v="16045"/>
    <n v="16045"/>
    <n v="0"/>
    <x v="5"/>
    <s v="0.00%-0.00%"/>
    <m/>
    <m/>
    <m/>
    <m/>
    <n v="0"/>
    <n v="16045"/>
    <n v="0"/>
    <n v="0"/>
    <n v="14"/>
    <n v="450"/>
    <m/>
    <n v="688"/>
    <n v="230718"/>
    <n v="3"/>
    <m/>
    <m/>
    <m/>
    <s v="Chen Meng（11007521）"/>
    <s v="Xu Lan（11013544）"/>
    <m/>
    <m/>
    <m/>
    <m/>
    <s v="OK"/>
  </r>
  <r>
    <s v="CN15"/>
    <n v="10064476"/>
    <s v="丁 烨玄"/>
    <s v="Ding Yexuan"/>
    <s v="Indirect Active"/>
    <s v="OP"/>
    <s v="GPL-CN"/>
    <s v="GPL-SC8XA"/>
    <s v="232230"/>
    <d v="2020-07-01T00:00:00"/>
    <s v="Channel FCST &amp; Fulfillment"/>
    <s v="Channel FCST &amp; Fulfillment"/>
    <x v="7"/>
    <n v="2"/>
    <x v="3"/>
    <n v="7514"/>
    <n v="0"/>
    <n v="0"/>
    <n v="0"/>
    <n v="0"/>
    <n v="0"/>
    <n v="0"/>
    <n v="7514"/>
    <n v="7514"/>
    <n v="0"/>
    <x v="5"/>
    <s v="0.00%-0.00%"/>
    <m/>
    <m/>
    <m/>
    <m/>
    <n v="0"/>
    <n v="7514"/>
    <n v="0"/>
    <n v="0"/>
    <n v="14"/>
    <n v="450"/>
    <m/>
    <n v="688"/>
    <n v="111284"/>
    <n v="2"/>
    <m/>
    <m/>
    <m/>
    <s v="Chen Meng（11007521）"/>
    <s v="Xu Lan（11013544）"/>
    <m/>
    <m/>
    <m/>
    <m/>
    <s v="OK"/>
  </r>
  <r>
    <s v="CN15"/>
    <n v="10069647"/>
    <s v="王 为峰"/>
    <s v="Wang Weifeng"/>
    <s v="Indirect Active"/>
    <s v="OP"/>
    <s v="GPL-CN"/>
    <s v="GPL-SC8XN"/>
    <s v="231130"/>
    <d v="2020-04-01T00:00:00"/>
    <s v="RDC Operations"/>
    <s v="RDC Operations"/>
    <x v="7"/>
    <n v="2"/>
    <x v="2"/>
    <n v="6831"/>
    <n v="0"/>
    <n v="0"/>
    <n v="0"/>
    <n v="0"/>
    <n v="0"/>
    <n v="0"/>
    <n v="6831"/>
    <n v="6931"/>
    <n v="100"/>
    <x v="147"/>
    <s v="0.00%-0.00%"/>
    <m/>
    <m/>
    <m/>
    <m/>
    <n v="0"/>
    <n v="6931"/>
    <n v="100"/>
    <n v="1.4639145073927606E-2"/>
    <n v="14"/>
    <n v="650"/>
    <m/>
    <n v="688"/>
    <n v="105522"/>
    <n v="3"/>
    <m/>
    <m/>
    <m/>
    <s v="Chen Meng（11007521）"/>
    <s v="Xu Lan（11013544）"/>
    <m/>
    <m/>
    <m/>
    <m/>
    <s v="&gt;20"/>
  </r>
  <r>
    <s v="CN15"/>
    <n v="11000632"/>
    <s v="白 绘敏"/>
    <s v="Bai Huimin"/>
    <s v="Indirect Active"/>
    <s v="OP"/>
    <s v="GPL-CN"/>
    <s v="GPL-SC8XA"/>
    <s v="232230"/>
    <d v="1999-06-14T00:00:00"/>
    <s v="RDC Operations &amp; Delivery Execution"/>
    <s v="RDC Operations &amp; Delivery Execution"/>
    <x v="7"/>
    <n v="2"/>
    <x v="2"/>
    <n v="13051"/>
    <n v="0"/>
    <n v="0"/>
    <n v="0"/>
    <n v="0"/>
    <n v="0"/>
    <n v="0"/>
    <n v="13051"/>
    <n v="13051"/>
    <n v="0"/>
    <x v="5"/>
    <s v="0.00%-0.00%"/>
    <m/>
    <m/>
    <m/>
    <m/>
    <n v="0"/>
    <n v="13051"/>
    <n v="0"/>
    <n v="0"/>
    <n v="14"/>
    <n v="850"/>
    <m/>
    <n v="688"/>
    <n v="193602"/>
    <n v="3"/>
    <m/>
    <m/>
    <m/>
    <s v="Chen Meng（11007521）"/>
    <s v="Xu Lan（11013544）"/>
    <m/>
    <m/>
    <m/>
    <m/>
    <s v="OK"/>
  </r>
  <r>
    <s v="CN15"/>
    <n v="11000633"/>
    <s v="陈 艳"/>
    <s v="Chen Yan"/>
    <s v="Indirect Active"/>
    <s v="OP"/>
    <s v="GPL-CN"/>
    <s v="GPL-SC8X2"/>
    <s v="210152"/>
    <d v="1997-08-11T00:00:00"/>
    <s v="Senior Specialist"/>
    <s v="Senior Specialist"/>
    <x v="1"/>
    <n v="2"/>
    <x v="2"/>
    <n v="13991"/>
    <n v="0"/>
    <n v="0"/>
    <n v="0"/>
    <n v="0"/>
    <n v="0"/>
    <n v="0"/>
    <n v="13991"/>
    <n v="13991"/>
    <n v="0"/>
    <x v="5"/>
    <s v="0.00%-0.00%"/>
    <m/>
    <m/>
    <m/>
    <m/>
    <n v="0"/>
    <n v="13991"/>
    <n v="0"/>
    <n v="0"/>
    <n v="14"/>
    <n v="450"/>
    <m/>
    <n v="688"/>
    <n v="201962"/>
    <n v="3"/>
    <m/>
    <m/>
    <m/>
    <s v="Chen Meng（11007521）"/>
    <s v="Xu Lan（11013544）"/>
    <m/>
    <m/>
    <m/>
    <m/>
    <s v="OK"/>
  </r>
  <r>
    <s v="CN15"/>
    <n v="11001005"/>
    <s v="徐 翊"/>
    <s v="Xu Yi"/>
    <s v="Indirect Active"/>
    <s v="OP"/>
    <s v="GPL-CN"/>
    <s v="GPL-SC8XH"/>
    <s v="231230"/>
    <d v="1999-04-21T00:00:00"/>
    <s v="Reverse &amp; Sample Orders"/>
    <s v="Reverse &amp; Sample Orders"/>
    <x v="7"/>
    <n v="2"/>
    <x v="3"/>
    <n v="9327"/>
    <n v="0"/>
    <n v="0"/>
    <n v="0"/>
    <n v="0"/>
    <n v="0"/>
    <n v="0"/>
    <n v="9327"/>
    <n v="9327"/>
    <n v="0"/>
    <x v="5"/>
    <s v="0.00%-0.00%"/>
    <m/>
    <m/>
    <m/>
    <m/>
    <n v="0"/>
    <n v="9327"/>
    <n v="0"/>
    <n v="0"/>
    <n v="14"/>
    <n v="450"/>
    <m/>
    <n v="688"/>
    <n v="136666"/>
    <n v="3"/>
    <m/>
    <m/>
    <m/>
    <s v="Chen Meng（11007521）"/>
    <s v="Xu Lan（11013544）"/>
    <m/>
    <m/>
    <m/>
    <m/>
    <s v="OK"/>
  </r>
  <r>
    <s v="CN15"/>
    <n v="11001022"/>
    <s v="陈 晓华"/>
    <s v="Chen Xiaohua"/>
    <s v="Indirect Active"/>
    <s v="OP"/>
    <s v="GPL-CN"/>
    <s v="GPL-SC8XH"/>
    <s v="231230"/>
    <d v="1998-01-01T00:00:00"/>
    <s v="Channel FCST &amp; Fulfillment"/>
    <s v="Channel FCST &amp; Fulfillment"/>
    <x v="7"/>
    <n v="2"/>
    <x v="2"/>
    <n v="10764"/>
    <n v="0"/>
    <n v="0"/>
    <n v="0"/>
    <n v="0"/>
    <n v="0"/>
    <n v="0"/>
    <n v="10764"/>
    <n v="10764"/>
    <n v="0"/>
    <x v="5"/>
    <s v="0.00%-0.00%"/>
    <m/>
    <m/>
    <m/>
    <m/>
    <n v="0"/>
    <n v="10764"/>
    <n v="0"/>
    <n v="0"/>
    <n v="14"/>
    <n v="500"/>
    <m/>
    <n v="688"/>
    <n v="157384"/>
    <n v="3"/>
    <m/>
    <m/>
    <m/>
    <s v="Chen Meng（11007521）"/>
    <s v="Xu Lan（11013544）"/>
    <m/>
    <m/>
    <m/>
    <m/>
    <s v="OK"/>
  </r>
  <r>
    <s v="CN15"/>
    <n v="11002031"/>
    <s v="朱 晋"/>
    <s v="Zhu Jin"/>
    <s v="Indirect Active"/>
    <s v="OP"/>
    <s v="GPL-CN"/>
    <s v="GPL-SC8XA"/>
    <s v="232230"/>
    <d v="2002-09-12T00:00:00"/>
    <s v="Delivery Execution"/>
    <s v="Delivery Execution"/>
    <x v="7"/>
    <n v="2"/>
    <x v="2"/>
    <n v="7581"/>
    <n v="2.5000000000000001E-2"/>
    <n v="190"/>
    <n v="0"/>
    <n v="0"/>
    <n v="2.5062656641604009E-2"/>
    <n v="190"/>
    <n v="7771"/>
    <n v="7771"/>
    <n v="190"/>
    <x v="82"/>
    <s v="2.01%-3.01%"/>
    <m/>
    <m/>
    <m/>
    <m/>
    <n v="0"/>
    <n v="7771"/>
    <n v="190"/>
    <n v="2.506265664160412E-2"/>
    <n v="14"/>
    <n v="450"/>
    <m/>
    <n v="688"/>
    <n v="114882"/>
    <n v="3"/>
    <m/>
    <m/>
    <m/>
    <s v="Chen Meng（11007521）"/>
    <s v="Xu Lan（11013544）"/>
    <m/>
    <m/>
    <m/>
    <m/>
    <s v="OK"/>
  </r>
  <r>
    <s v="CN15"/>
    <n v="11002805"/>
    <s v="许 洋"/>
    <s v="Xu Yang"/>
    <s v="Indirect Active"/>
    <s v="OP"/>
    <s v="GPL-CN"/>
    <s v="GPL-SC8XA"/>
    <s v="232230"/>
    <d v="2005-06-01T00:00:00"/>
    <s v="RDC Operations &amp; Delivery Execution"/>
    <s v="RDC Operations &amp; Delivery Execution"/>
    <x v="7"/>
    <n v="2"/>
    <x v="0"/>
    <n v="8717"/>
    <n v="0.03"/>
    <n v="262"/>
    <n v="0"/>
    <n v="0"/>
    <n v="3.0056211999541126E-2"/>
    <n v="262"/>
    <n v="8979"/>
    <n v="8717"/>
    <n v="0"/>
    <x v="5"/>
    <s v="2.40%-3.61%"/>
    <s v="Promotion"/>
    <s v="Senior Specialist"/>
    <s v="A5"/>
    <n v="0.113"/>
    <n v="985"/>
    <n v="9702"/>
    <n v="985"/>
    <n v="0.11299759091430528"/>
    <n v="14"/>
    <n v="1050"/>
    <m/>
    <n v="688"/>
    <n v="149116"/>
    <n v="4"/>
    <m/>
    <m/>
    <m/>
    <s v="Chen Meng（11007521）"/>
    <s v="Xu Lan（11013544）"/>
    <m/>
    <m/>
    <m/>
    <m/>
    <s v="0 increase"/>
  </r>
  <r>
    <s v="CN15"/>
    <n v="11003123"/>
    <s v="宋 世宇"/>
    <s v="Song Shiyu"/>
    <s v="Indirect Active"/>
    <s v="OP"/>
    <s v="GPL-CN"/>
    <s v="GPL-SC8XEO"/>
    <s v="234330"/>
    <d v="2006-03-01T00:00:00"/>
    <s v="Delivery Execution"/>
    <s v="Delivery Execution"/>
    <x v="7"/>
    <n v="2"/>
    <x v="2"/>
    <n v="10920"/>
    <n v="0"/>
    <n v="0"/>
    <n v="0"/>
    <n v="0"/>
    <n v="0"/>
    <n v="0"/>
    <n v="10920"/>
    <n v="11020"/>
    <n v="100"/>
    <x v="148"/>
    <s v="0.00%-0.00%"/>
    <m/>
    <m/>
    <m/>
    <m/>
    <n v="0"/>
    <n v="11020"/>
    <n v="100"/>
    <n v="9.157509157509125E-3"/>
    <n v="14"/>
    <n v="450"/>
    <m/>
    <n v="688"/>
    <n v="160368"/>
    <n v="3"/>
    <m/>
    <m/>
    <m/>
    <s v="Chen Meng（11007521）"/>
    <s v="Xu Lan（11013544）"/>
    <m/>
    <m/>
    <m/>
    <m/>
    <s v="&gt;20"/>
  </r>
  <r>
    <s v="CN15"/>
    <n v="11004322"/>
    <s v="骆 莹"/>
    <s v="Luo Ying"/>
    <s v="Indirect Active"/>
    <s v="OP"/>
    <s v="GPL-CN"/>
    <s v="GPL-SC8XN"/>
    <s v="231130"/>
    <d v="2007-11-01T00:00:00"/>
    <s v="Manager"/>
    <s v="Head of SC Cluster North (Beijing)"/>
    <x v="3"/>
    <n v="2"/>
    <x v="1"/>
    <n v="22134"/>
    <n v="3.7500000000000006E-2"/>
    <n v="830"/>
    <n v="1.55E-2"/>
    <n v="343"/>
    <n v="5.2995391705069124E-2"/>
    <n v="1173"/>
    <n v="23307"/>
    <n v="23307"/>
    <n v="1173"/>
    <x v="40"/>
    <s v="4.24%-6.36%"/>
    <m/>
    <m/>
    <m/>
    <m/>
    <n v="0"/>
    <n v="23307"/>
    <n v="1173"/>
    <n v="5.2995391705069173E-2"/>
    <n v="14"/>
    <n v="450"/>
    <m/>
    <n v="688"/>
    <n v="332386"/>
    <n v="5"/>
    <m/>
    <m/>
    <m/>
    <s v="Chen Meng（11007521）"/>
    <s v="Xu Lan（11013544）"/>
    <m/>
    <m/>
    <m/>
    <m/>
    <s v="OK"/>
  </r>
  <r>
    <s v="CN15"/>
    <n v="11004482"/>
    <s v="郭 振兰"/>
    <s v="Guo Zhenlan"/>
    <s v="Indirect Active"/>
    <s v="OP"/>
    <s v="GPL-CN"/>
    <s v="GPL-SC8XN"/>
    <s v="231130"/>
    <d v="2014-06-18T00:00:00"/>
    <s v="Manager"/>
    <s v="Channel FCST &amp; Fulfillment"/>
    <x v="3"/>
    <n v="2"/>
    <x v="2"/>
    <n v="18254"/>
    <n v="0.03"/>
    <n v="548"/>
    <n v="0"/>
    <n v="0"/>
    <n v="3.0020817355100253E-2"/>
    <n v="548"/>
    <n v="18802"/>
    <n v="18802"/>
    <n v="548"/>
    <x v="11"/>
    <s v="2.40%-3.60%"/>
    <m/>
    <m/>
    <m/>
    <m/>
    <n v="0"/>
    <n v="18802"/>
    <n v="548"/>
    <n v="3.0020817355100204E-2"/>
    <n v="14"/>
    <n v="450"/>
    <m/>
    <n v="688"/>
    <n v="269316"/>
    <n v="4"/>
    <m/>
    <m/>
    <m/>
    <s v="Chen Meng（11007521）"/>
    <s v="Xu Lan（11013544）"/>
    <m/>
    <m/>
    <m/>
    <m/>
    <s v="OK"/>
  </r>
  <r>
    <s v="CN15"/>
    <n v="11006027"/>
    <s v="何 静"/>
    <s v="He Jing"/>
    <s v="Indirect Active"/>
    <s v="OP"/>
    <s v="GPL-CN"/>
    <s v="GPL-SC8XX"/>
    <s v="234630"/>
    <d v="2010-03-01T00:00:00"/>
    <s v="SC Cluster Management"/>
    <s v="Head of SC Cluster Northwest (Xi’an)"/>
    <x v="3"/>
    <n v="2"/>
    <x v="1"/>
    <n v="22721"/>
    <n v="3.7500000000000006E-2"/>
    <n v="852"/>
    <n v="1.55E-2"/>
    <n v="352"/>
    <n v="5.299062541261388E-2"/>
    <n v="1204"/>
    <n v="23925"/>
    <n v="23925"/>
    <n v="1204"/>
    <x v="40"/>
    <s v="4.24%-6.36%"/>
    <m/>
    <m/>
    <m/>
    <m/>
    <n v="0"/>
    <n v="23925"/>
    <n v="1204"/>
    <n v="5.299062541261379E-2"/>
    <n v="14"/>
    <n v="450"/>
    <m/>
    <n v="688"/>
    <n v="341038"/>
    <n v="5"/>
    <m/>
    <m/>
    <m/>
    <s v="Chen Meng（11007521）"/>
    <s v="Xu Lan（11013544）"/>
    <m/>
    <m/>
    <m/>
    <m/>
    <s v="OK"/>
  </r>
  <r>
    <s v="CN15"/>
    <n v="11006424"/>
    <s v="姜 新宇"/>
    <s v="Jiang Xinyu"/>
    <s v="Indirect Active"/>
    <s v="OP"/>
    <s v="GPL-CN"/>
    <s v="GPL-SC8XWO"/>
    <s v="233630"/>
    <d v="2010-06-17T00:00:00"/>
    <s v="RDC Operations &amp; Delivery Execution"/>
    <s v="Head of GPL-SC8XWO"/>
    <x v="7"/>
    <n v="2"/>
    <x v="1"/>
    <n v="9197"/>
    <n v="2.2499999999999999E-2"/>
    <n v="207"/>
    <n v="0"/>
    <n v="0"/>
    <n v="2.2507339349787974E-2"/>
    <n v="207"/>
    <n v="9404"/>
    <n v="9404"/>
    <n v="207"/>
    <x v="47"/>
    <s v="1.80%-2.70%"/>
    <m/>
    <m/>
    <m/>
    <m/>
    <n v="0"/>
    <n v="9404"/>
    <n v="207"/>
    <n v="2.250733934978788E-2"/>
    <n v="14"/>
    <n v="450"/>
    <m/>
    <n v="688"/>
    <n v="137744"/>
    <n v="3"/>
    <m/>
    <m/>
    <m/>
    <s v="Chen Meng（11007521）"/>
    <s v="Xu Lan（11013544）"/>
    <m/>
    <m/>
    <m/>
    <m/>
    <s v="OK"/>
  </r>
  <r>
    <s v="CN15"/>
    <n v="11006653"/>
    <s v="王 蕾"/>
    <s v="Wang Lei"/>
    <s v="Indirect Active"/>
    <s v="OP"/>
    <s v="GPL-CN"/>
    <s v="GPL-SC8XC"/>
    <s v="231430"/>
    <d v="2010-08-10T00:00:00"/>
    <s v="Channel FCST &amp; Fulfillment"/>
    <s v="Channel FCST &amp; Fulfillment"/>
    <x v="7"/>
    <n v="2"/>
    <x v="2"/>
    <n v="8684"/>
    <n v="2.5000000000000001E-2"/>
    <n v="217"/>
    <n v="0"/>
    <n v="0"/>
    <n v="2.4988484569322893E-2"/>
    <n v="217"/>
    <n v="8901"/>
    <n v="8901"/>
    <n v="217"/>
    <x v="13"/>
    <s v="2.00%-3.00%"/>
    <m/>
    <m/>
    <m/>
    <m/>
    <n v="0"/>
    <n v="8901"/>
    <n v="217"/>
    <n v="2.49884845693229E-2"/>
    <n v="14"/>
    <n v="450"/>
    <m/>
    <n v="688"/>
    <n v="130702"/>
    <n v="3"/>
    <m/>
    <m/>
    <m/>
    <s v="Chen Meng（11007521）"/>
    <s v="Xu Lan（11013544）"/>
    <m/>
    <m/>
    <m/>
    <m/>
    <s v="OK"/>
  </r>
  <r>
    <s v="CN15"/>
    <n v="11006794"/>
    <s v="金 莎莎"/>
    <s v="Jin Shasha"/>
    <s v="Indirect Active"/>
    <s v="OP"/>
    <s v="GPL-CN"/>
    <s v="GPL-SC8X1"/>
    <s v="210152"/>
    <d v="2010-09-19T00:00:00"/>
    <s v="Senior Specialist"/>
    <s v="Senior Specialist"/>
    <x v="1"/>
    <n v="2"/>
    <x v="2"/>
    <n v="14310"/>
    <n v="0"/>
    <n v="0"/>
    <n v="0"/>
    <n v="0"/>
    <n v="0"/>
    <n v="0"/>
    <n v="14310"/>
    <n v="14310"/>
    <n v="0"/>
    <x v="5"/>
    <s v="0.00%-0.00%"/>
    <m/>
    <m/>
    <m/>
    <m/>
    <n v="0"/>
    <n v="14310"/>
    <n v="0"/>
    <n v="0"/>
    <n v="14"/>
    <n v="450"/>
    <m/>
    <n v="688"/>
    <n v="206428"/>
    <n v="2"/>
    <m/>
    <m/>
    <m/>
    <s v="Chen Meng（11007521）"/>
    <s v="Xu Lan（11013544）"/>
    <m/>
    <m/>
    <m/>
    <m/>
    <s v="OK"/>
  </r>
  <r>
    <s v="CN15"/>
    <n v="11006883"/>
    <s v="梁 博军"/>
    <s v="Liang Bojun"/>
    <s v="Indirect Active"/>
    <s v="OP"/>
    <s v="GPL-CN"/>
    <s v="GPL-SC8XN"/>
    <s v="231130"/>
    <d v="2010-10-08T00:00:00"/>
    <s v="RDC Operations"/>
    <s v="RDC Operations"/>
    <x v="7"/>
    <n v="2"/>
    <x v="2"/>
    <n v="10487"/>
    <n v="0"/>
    <n v="0"/>
    <n v="0"/>
    <n v="0"/>
    <n v="0"/>
    <n v="0"/>
    <n v="10487"/>
    <n v="10487"/>
    <n v="0"/>
    <x v="5"/>
    <s v="0.00%-0.00%"/>
    <m/>
    <m/>
    <m/>
    <m/>
    <n v="0"/>
    <n v="10487"/>
    <n v="0"/>
    <n v="0"/>
    <n v="14"/>
    <n v="1750"/>
    <m/>
    <n v="688"/>
    <n v="168506"/>
    <n v="3"/>
    <m/>
    <m/>
    <m/>
    <s v="Chen Meng（11007521）"/>
    <s v="Xu Lan（11013544）"/>
    <m/>
    <m/>
    <m/>
    <m/>
    <s v="OK"/>
  </r>
  <r>
    <s v="CN15"/>
    <n v="11006959"/>
    <s v="崔 学磊"/>
    <s v="Cui Xuelei"/>
    <s v="Indirect Active"/>
    <s v="OP"/>
    <s v="GPL-CN"/>
    <s v="GPL-SC8XEO"/>
    <s v="234330"/>
    <d v="2010-11-15T00:00:00"/>
    <s v="RDC Operations"/>
    <s v="RDC Operations"/>
    <x v="7"/>
    <n v="2"/>
    <x v="2"/>
    <n v="6795"/>
    <n v="0"/>
    <n v="0"/>
    <n v="0"/>
    <n v="0"/>
    <n v="0"/>
    <n v="0"/>
    <n v="6795"/>
    <n v="6895"/>
    <n v="100"/>
    <x v="149"/>
    <s v="0.00%-0.00%"/>
    <m/>
    <m/>
    <m/>
    <m/>
    <n v="0"/>
    <n v="6895"/>
    <n v="100"/>
    <n v="1.471670345842524E-2"/>
    <n v="14"/>
    <n v="2050"/>
    <m/>
    <n v="688"/>
    <n v="121818"/>
    <n v="3"/>
    <m/>
    <m/>
    <m/>
    <s v="Chen Meng（11007521）"/>
    <s v="Xu Lan（11013544）"/>
    <m/>
    <m/>
    <m/>
    <m/>
    <s v="&gt;20"/>
  </r>
  <r>
    <s v="CN15"/>
    <n v="11006979"/>
    <s v="王 占久"/>
    <s v="Wang Zhanjiu"/>
    <s v="Indirect Active"/>
    <s v="OP"/>
    <s v="GPL-CN"/>
    <s v="GPL-SC8XA"/>
    <s v="232230"/>
    <d v="2010-11-15T00:00:00"/>
    <s v="RDC Operations"/>
    <s v="RDC Operations"/>
    <x v="7"/>
    <n v="2"/>
    <x v="2"/>
    <n v="8348"/>
    <n v="0"/>
    <n v="0"/>
    <n v="0"/>
    <n v="0"/>
    <n v="0"/>
    <n v="0"/>
    <n v="8348"/>
    <n v="8348"/>
    <n v="0"/>
    <x v="5"/>
    <s v="0.00%-0.00%"/>
    <m/>
    <m/>
    <m/>
    <m/>
    <n v="0"/>
    <n v="8348"/>
    <n v="0"/>
    <n v="0"/>
    <n v="14"/>
    <n v="1650"/>
    <m/>
    <n v="688"/>
    <n v="137360"/>
    <n v="4"/>
    <m/>
    <m/>
    <m/>
    <s v="Chen Meng（11007521）"/>
    <s v="Xu Lan（11013544）"/>
    <m/>
    <m/>
    <m/>
    <m/>
    <s v="OK"/>
  </r>
  <r>
    <s v="CN15"/>
    <n v="11007042"/>
    <s v="张 斌"/>
    <s v="Zhang Bin"/>
    <s v="Indirect Active"/>
    <s v="OP"/>
    <s v="GPL-CN"/>
    <s v="GPL-SC8XN"/>
    <s v="231130"/>
    <d v="2010-12-01T00:00:00"/>
    <s v="RDC Operations"/>
    <s v="RDC Operations"/>
    <x v="7"/>
    <n v="2"/>
    <x v="2"/>
    <n v="7972"/>
    <n v="0"/>
    <n v="0"/>
    <n v="0"/>
    <n v="0"/>
    <n v="0"/>
    <n v="0"/>
    <n v="7972"/>
    <n v="7972"/>
    <n v="0"/>
    <x v="5"/>
    <s v="0.00%-0.00%"/>
    <m/>
    <m/>
    <m/>
    <m/>
    <n v="0"/>
    <n v="7972"/>
    <n v="0"/>
    <n v="0"/>
    <n v="14"/>
    <n v="850"/>
    <m/>
    <n v="688"/>
    <n v="122496"/>
    <n v="3"/>
    <m/>
    <m/>
    <m/>
    <s v="Chen Meng（11007521）"/>
    <s v="Xu Lan（11013544）"/>
    <m/>
    <m/>
    <m/>
    <m/>
    <s v="OK"/>
  </r>
  <r>
    <s v="CN15"/>
    <n v="11007116"/>
    <s v="邢 波"/>
    <s v="Xing Bo"/>
    <s v="Indirect Active"/>
    <s v="OP"/>
    <s v="GPL-CN"/>
    <s v="GPL-SC8XWO"/>
    <s v="233630"/>
    <d v="2010-12-24T00:00:00"/>
    <s v="RDC Operations"/>
    <s v="RDC Operations"/>
    <x v="7"/>
    <n v="2"/>
    <x v="2"/>
    <n v="8331"/>
    <n v="0"/>
    <n v="0"/>
    <n v="0"/>
    <n v="0"/>
    <n v="0"/>
    <n v="0"/>
    <n v="8331"/>
    <n v="8331"/>
    <n v="0"/>
    <x v="5"/>
    <s v="0.00%-0.00%"/>
    <m/>
    <m/>
    <m/>
    <m/>
    <n v="0"/>
    <n v="8331"/>
    <n v="0"/>
    <n v="0"/>
    <n v="14"/>
    <n v="1450"/>
    <m/>
    <n v="688"/>
    <n v="134722"/>
    <n v="3"/>
    <m/>
    <m/>
    <m/>
    <s v="Chen Meng（11007521）"/>
    <s v="Xu Lan（11013544）"/>
    <m/>
    <m/>
    <m/>
    <m/>
    <s v="OK"/>
  </r>
  <r>
    <s v="CN15"/>
    <n v="11007163"/>
    <s v="蒙 亮"/>
    <s v="Meng Liang"/>
    <s v="Indirect Active"/>
    <s v="OP"/>
    <s v="GPL-CN"/>
    <s v="GPL-SC8XS"/>
    <s v="233330"/>
    <d v="2011-02-09T00:00:00"/>
    <s v="RDC Operations &amp; Delivery Execution"/>
    <s v="RDC Operations &amp; Delivery Execution"/>
    <x v="7"/>
    <n v="2"/>
    <x v="2"/>
    <n v="7056"/>
    <n v="0"/>
    <n v="0"/>
    <n v="0"/>
    <n v="0"/>
    <n v="0"/>
    <n v="0"/>
    <n v="7056"/>
    <n v="7156"/>
    <n v="100"/>
    <x v="150"/>
    <s v="0.00%-0.00%"/>
    <m/>
    <m/>
    <m/>
    <m/>
    <n v="0"/>
    <n v="7156"/>
    <n v="100"/>
    <n v="1.4172335600907138E-2"/>
    <n v="14"/>
    <n v="750"/>
    <m/>
    <n v="688"/>
    <n v="109872"/>
    <n v="3"/>
    <m/>
    <m/>
    <m/>
    <s v="Chen Meng（11007521）"/>
    <s v="Xu Lan（11013544）"/>
    <m/>
    <m/>
    <m/>
    <m/>
    <s v="&gt;20"/>
  </r>
  <r>
    <s v="CN15"/>
    <n v="11007562"/>
    <s v="刘 洪明"/>
    <s v="Liu Hongming"/>
    <s v="Indirect Active"/>
    <s v="OP"/>
    <s v="GPL-CN"/>
    <s v="GPL-SC8XC"/>
    <s v="231430"/>
    <d v="2011-04-21T00:00:00"/>
    <s v="RDC Operations"/>
    <s v="RDC Operations"/>
    <x v="7"/>
    <n v="2"/>
    <x v="2"/>
    <n v="7827"/>
    <n v="0"/>
    <n v="0"/>
    <n v="0"/>
    <n v="0"/>
    <n v="0"/>
    <n v="0"/>
    <n v="7827"/>
    <n v="7827"/>
    <n v="0"/>
    <x v="5"/>
    <s v="0.00%-0.00%"/>
    <m/>
    <m/>
    <m/>
    <m/>
    <n v="0"/>
    <n v="7827"/>
    <n v="0"/>
    <n v="0"/>
    <n v="14"/>
    <n v="950"/>
    <m/>
    <n v="688"/>
    <n v="121666"/>
    <n v="3"/>
    <m/>
    <m/>
    <m/>
    <s v="Chen Meng（11007521）"/>
    <s v="Xu Lan（11013544）"/>
    <m/>
    <m/>
    <m/>
    <m/>
    <s v="OK"/>
  </r>
  <r>
    <s v="CN15"/>
    <n v="11007652"/>
    <s v="乔 全新"/>
    <s v="Qiao Quanxin"/>
    <s v="Indirect Active"/>
    <s v="OP"/>
    <s v="GPL-CN"/>
    <s v="GPL-SC8XX"/>
    <s v="234630"/>
    <d v="2011-05-04T00:00:00"/>
    <s v="Channel FCST &amp; Fulfillment"/>
    <s v="Channel FCST &amp; Fulfillment"/>
    <x v="7"/>
    <n v="2"/>
    <x v="2"/>
    <n v="7001"/>
    <n v="0"/>
    <n v="0"/>
    <n v="0"/>
    <n v="0"/>
    <n v="0"/>
    <n v="0"/>
    <n v="7001"/>
    <n v="7001"/>
    <n v="0"/>
    <x v="5"/>
    <s v="0.00%-0.00%"/>
    <m/>
    <m/>
    <m/>
    <m/>
    <n v="0"/>
    <n v="7001"/>
    <n v="0"/>
    <n v="0"/>
    <n v="14"/>
    <n v="1550"/>
    <m/>
    <n v="688"/>
    <n v="117302"/>
    <n v="3"/>
    <m/>
    <m/>
    <m/>
    <s v="Chen Meng（11007521）"/>
    <s v="Xu Lan（11013544）"/>
    <m/>
    <m/>
    <m/>
    <m/>
    <s v="OK"/>
  </r>
  <r>
    <s v="CN15"/>
    <n v="11007655"/>
    <s v="陈 良军"/>
    <s v="Chen Liangjun"/>
    <s v="Indirect Active"/>
    <s v="OP"/>
    <s v="GPL-CN"/>
    <s v="GPL-SC8XWO"/>
    <s v="233630"/>
    <d v="2011-05-09T00:00:00"/>
    <s v="RDC Operations"/>
    <s v="RDC Operations"/>
    <x v="7"/>
    <n v="2"/>
    <x v="2"/>
    <n v="8193"/>
    <n v="0"/>
    <n v="0"/>
    <n v="0"/>
    <n v="0"/>
    <n v="0"/>
    <n v="0"/>
    <n v="8193"/>
    <n v="8193"/>
    <n v="0"/>
    <x v="5"/>
    <s v="0.00%-0.00%"/>
    <m/>
    <m/>
    <m/>
    <m/>
    <n v="0"/>
    <n v="8193"/>
    <n v="0"/>
    <n v="0"/>
    <n v="14"/>
    <n v="1750"/>
    <m/>
    <n v="688"/>
    <n v="136390"/>
    <n v="3"/>
    <m/>
    <m/>
    <m/>
    <s v="Chen Meng（11007521）"/>
    <s v="Xu Lan（11013544）"/>
    <m/>
    <m/>
    <m/>
    <m/>
    <s v="OK"/>
  </r>
  <r>
    <s v="CN15"/>
    <n v="11007876"/>
    <s v="张 争"/>
    <s v="Zhang Zheng"/>
    <s v="Indirect Active"/>
    <s v="OP"/>
    <s v="GPL-CN"/>
    <s v="GPL-SC8XN"/>
    <s v="231130"/>
    <d v="2011-07-01T00:00:00"/>
    <s v="Delivery Execution"/>
    <s v="Senior Delivery Execution"/>
    <x v="1"/>
    <n v="2"/>
    <x v="1"/>
    <n v="15119"/>
    <n v="0.03"/>
    <n v="454"/>
    <n v="0"/>
    <n v="0"/>
    <n v="3.0028441034459952E-2"/>
    <n v="454"/>
    <n v="15573"/>
    <n v="15573"/>
    <n v="454"/>
    <x v="11"/>
    <s v="2.40%-3.60%"/>
    <m/>
    <m/>
    <m/>
    <m/>
    <n v="0"/>
    <n v="15573"/>
    <n v="454"/>
    <n v="3.0028441034460007E-2"/>
    <n v="14"/>
    <n v="450"/>
    <m/>
    <n v="688"/>
    <n v="224110"/>
    <n v="4"/>
    <m/>
    <m/>
    <m/>
    <s v="Chen Meng（11007521）"/>
    <s v="Xu Lan（11013544）"/>
    <m/>
    <m/>
    <m/>
    <m/>
    <s v="OK"/>
  </r>
  <r>
    <s v="CN15"/>
    <n v="11008086"/>
    <s v="曹 沁"/>
    <s v="Cao Qin"/>
    <s v="Indirect Active"/>
    <s v="OP"/>
    <s v="GPL-CN"/>
    <s v="GPL-SC8XHD"/>
    <s v="231230"/>
    <d v="2014-02-19T00:00:00"/>
    <s v="Delivery Execution"/>
    <s v="Delivery Execution"/>
    <x v="7"/>
    <n v="2"/>
    <x v="2"/>
    <n v="13084"/>
    <n v="0"/>
    <n v="0"/>
    <n v="0"/>
    <n v="0"/>
    <n v="0"/>
    <n v="0"/>
    <n v="13084"/>
    <n v="13084"/>
    <n v="0"/>
    <x v="5"/>
    <s v="0.00%-0.00%"/>
    <m/>
    <m/>
    <m/>
    <m/>
    <n v="0"/>
    <n v="13084"/>
    <n v="0"/>
    <n v="0"/>
    <n v="14"/>
    <n v="450"/>
    <m/>
    <n v="688"/>
    <n v="189264"/>
    <n v="3"/>
    <m/>
    <m/>
    <m/>
    <s v="Chen Meng（11007521）"/>
    <s v="Xu Lan（11013544）"/>
    <m/>
    <m/>
    <m/>
    <m/>
    <s v="OK"/>
  </r>
  <r>
    <s v="CN15"/>
    <n v="11008615"/>
    <s v="潘 晗璐"/>
    <s v="Pan Hanlu"/>
    <s v="Indirect Active"/>
    <s v="OP"/>
    <s v="GPL-CN"/>
    <s v="GPL-SC8XH"/>
    <s v="231230"/>
    <d v="2012-04-10T00:00:00"/>
    <s v="Manager"/>
    <s v="Head of SC Cluster Southeast (Hangzhou)"/>
    <x v="3"/>
    <n v="2"/>
    <x v="2"/>
    <n v="19095"/>
    <n v="0.03"/>
    <n v="573"/>
    <n v="0"/>
    <n v="0"/>
    <n v="3.0007855459544382E-2"/>
    <n v="573"/>
    <n v="19668"/>
    <n v="19668"/>
    <n v="573"/>
    <x v="11"/>
    <s v="2.40%-3.60%"/>
    <m/>
    <m/>
    <m/>
    <m/>
    <n v="0"/>
    <n v="19668"/>
    <n v="573"/>
    <n v="3.000785545954443E-2"/>
    <n v="14"/>
    <n v="450"/>
    <m/>
    <n v="688"/>
    <n v="281440"/>
    <n v="5"/>
    <m/>
    <m/>
    <m/>
    <s v="Chen Meng（11007521）"/>
    <s v="Xu Lan（11013544）"/>
    <m/>
    <m/>
    <m/>
    <m/>
    <s v="OK"/>
  </r>
  <r>
    <s v="CN15"/>
    <n v="11008930"/>
    <s v="汤 新娟"/>
    <s v="Tang Xinjuan"/>
    <s v="Indirect Active"/>
    <s v="OP"/>
    <s v="GPL-CN"/>
    <s v="GPL-SC8XEO"/>
    <s v="234330"/>
    <d v="2012-07-24T00:00:00"/>
    <s v="RDC Operations &amp; Delivery Execution"/>
    <s v="Head of GPL-SC8XEO"/>
    <x v="3"/>
    <n v="2"/>
    <x v="2"/>
    <n v="17270"/>
    <n v="0.03"/>
    <n v="518"/>
    <n v="0"/>
    <n v="0"/>
    <n v="2.9994209612044007E-2"/>
    <n v="518"/>
    <n v="17788"/>
    <n v="17488"/>
    <n v="218"/>
    <x v="151"/>
    <s v="2.40%-3.60%"/>
    <m/>
    <m/>
    <m/>
    <m/>
    <n v="0"/>
    <n v="17488"/>
    <n v="218"/>
    <n v="1.2623045744064809E-2"/>
    <n v="14"/>
    <n v="450"/>
    <m/>
    <n v="688"/>
    <n v="250920"/>
    <n v="4"/>
    <m/>
    <m/>
    <m/>
    <s v="Chen Meng（11007521）"/>
    <s v="Xu Lan（11013544）"/>
    <m/>
    <m/>
    <m/>
    <m/>
    <s v="&lt;20"/>
  </r>
  <r>
    <s v="CN15"/>
    <n v="11009129"/>
    <s v="刘 玲玲"/>
    <s v="Liu Lingling"/>
    <s v="Indirect Active"/>
    <s v="OP"/>
    <s v="GPL-CN"/>
    <s v="GPL-SC8XE"/>
    <s v="234330"/>
    <d v="2012-09-02T00:00:00"/>
    <s v="SC Cluster Management"/>
    <s v="Head of SC Cluster East (Nanjing)"/>
    <x v="3"/>
    <n v="2"/>
    <x v="1"/>
    <n v="24295"/>
    <n v="3.7500000000000006E-2"/>
    <n v="911"/>
    <n v="0"/>
    <n v="0"/>
    <n v="3.7497427454208684E-2"/>
    <n v="911"/>
    <n v="25206"/>
    <n v="25206"/>
    <n v="911"/>
    <x v="73"/>
    <s v="3.00%-4.50%"/>
    <m/>
    <m/>
    <m/>
    <m/>
    <n v="0"/>
    <n v="25206"/>
    <n v="911"/>
    <n v="3.7497427454208587E-2"/>
    <n v="14"/>
    <n v="450"/>
    <m/>
    <n v="688"/>
    <n v="358972"/>
    <n v="5"/>
    <m/>
    <m/>
    <m/>
    <s v="Chen Meng（11007521）"/>
    <s v="Xu Lan（11013544）"/>
    <m/>
    <m/>
    <m/>
    <m/>
    <s v="OK"/>
  </r>
  <r>
    <s v="CN15"/>
    <n v="11009137"/>
    <s v="李 嘉文"/>
    <s v="Li Jiawen"/>
    <s v="Indirect Active"/>
    <s v="OP"/>
    <s v="GPL-CN"/>
    <s v="GPL-SC8XS"/>
    <s v="233330"/>
    <d v="2012-09-26T00:00:00"/>
    <s v="Manager"/>
    <s v="Head of SC Cluster South (Guangzhou)"/>
    <x v="3"/>
    <n v="2"/>
    <x v="2"/>
    <n v="22417"/>
    <n v="2.5000000000000001E-2"/>
    <n v="560"/>
    <n v="0"/>
    <n v="0"/>
    <n v="2.4981041174108935E-2"/>
    <n v="560"/>
    <n v="22977"/>
    <n v="22977"/>
    <n v="560"/>
    <x v="13"/>
    <s v="2.00%-3.00%"/>
    <m/>
    <m/>
    <m/>
    <m/>
    <n v="0"/>
    <n v="22977"/>
    <n v="560"/>
    <n v="2.4981041174108931E-2"/>
    <n v="14"/>
    <n v="450"/>
    <m/>
    <n v="688"/>
    <n v="327766"/>
    <n v="5"/>
    <m/>
    <m/>
    <m/>
    <s v="Chen Meng（11007521）"/>
    <s v="Xu Lan（11013544）"/>
    <m/>
    <m/>
    <m/>
    <m/>
    <s v="OK"/>
  </r>
  <r>
    <s v="CN15"/>
    <n v="11009340"/>
    <s v="王 千里"/>
    <s v="Wang Qianli"/>
    <s v="Indirect Active"/>
    <s v="OP"/>
    <s v="GPL-CN"/>
    <s v="GPL-SC8X3"/>
    <s v="210152"/>
    <d v="2013-07-01T00:00:00"/>
    <s v="Specialist"/>
    <s v="Specialist"/>
    <x v="2"/>
    <n v="2"/>
    <x v="2"/>
    <n v="7691"/>
    <n v="2.5000000000000001E-2"/>
    <n v="192"/>
    <n v="0"/>
    <n v="0"/>
    <n v="2.496424392146665E-2"/>
    <n v="192"/>
    <n v="7883"/>
    <n v="7883"/>
    <n v="192"/>
    <x v="13"/>
    <s v="2.00%-3.00%"/>
    <m/>
    <m/>
    <m/>
    <m/>
    <n v="0"/>
    <n v="7883"/>
    <n v="192"/>
    <n v="2.4964243921466567E-2"/>
    <n v="14"/>
    <n v="450"/>
    <m/>
    <n v="688"/>
    <n v="116450"/>
    <n v="3"/>
    <m/>
    <m/>
    <m/>
    <s v="Chen Meng（11007521）"/>
    <s v="Xu Lan（11013544）"/>
    <m/>
    <m/>
    <m/>
    <m/>
    <s v="OK"/>
  </r>
  <r>
    <s v="CN15"/>
    <n v="11009416"/>
    <s v="吴 炜"/>
    <s v="Wu Wei"/>
    <s v="Indirect Active"/>
    <s v="OP"/>
    <s v="GPL-CN"/>
    <s v="GPL-SC8XH"/>
    <s v="231230"/>
    <d v="2013-03-01T00:00:00"/>
    <s v="RDC Operations"/>
    <s v="RDC Operations"/>
    <x v="7"/>
    <n v="2"/>
    <x v="2"/>
    <n v="7722"/>
    <n v="0"/>
    <n v="0"/>
    <n v="0"/>
    <n v="0"/>
    <n v="0"/>
    <n v="0"/>
    <n v="7722"/>
    <n v="7722"/>
    <n v="0"/>
    <x v="5"/>
    <s v="0.00%-0.00%"/>
    <m/>
    <m/>
    <m/>
    <m/>
    <n v="0"/>
    <n v="7722"/>
    <n v="0"/>
    <n v="0"/>
    <n v="14"/>
    <n v="3750"/>
    <m/>
    <n v="688"/>
    <n v="153796"/>
    <n v="3"/>
    <m/>
    <m/>
    <m/>
    <s v="Chen Meng（11007521）"/>
    <s v="Xu Lan（11013544）"/>
    <m/>
    <m/>
    <m/>
    <m/>
    <s v="OK"/>
  </r>
  <r>
    <s v="CN15"/>
    <n v="11009909"/>
    <s v="范 赵伟"/>
    <s v="Fan Zhaowei"/>
    <s v="Indirect Active"/>
    <s v="OP"/>
    <s v="GPL-CN"/>
    <s v="GPL-SC8X3"/>
    <s v="210152"/>
    <d v="2013-08-01T00:00:00"/>
    <s v="Manager"/>
    <s v="Head of Delivery Execution"/>
    <x v="3"/>
    <n v="2"/>
    <x v="1"/>
    <n v="21758"/>
    <n v="3.7500000000000006E-2"/>
    <n v="816"/>
    <n v="0"/>
    <n v="0"/>
    <n v="3.7503447007997057E-2"/>
    <n v="816"/>
    <n v="22574"/>
    <n v="22779"/>
    <n v="1021"/>
    <x v="152"/>
    <s v="3.00%-4.50%"/>
    <m/>
    <m/>
    <m/>
    <m/>
    <n v="0"/>
    <n v="22779"/>
    <n v="1021"/>
    <n v="4.6925268866623737E-2"/>
    <n v="14"/>
    <n v="450"/>
    <m/>
    <n v="688"/>
    <n v="324994"/>
    <n v="5"/>
    <m/>
    <m/>
    <m/>
    <s v="Chen Meng（11007521）"/>
    <s v="Xu Lan（11013544）"/>
    <m/>
    <m/>
    <m/>
    <m/>
    <s v="OK"/>
  </r>
  <r>
    <s v="CN15"/>
    <n v="11010271"/>
    <s v="徐 芹"/>
    <s v="Xu Qin"/>
    <s v="Indirect Active"/>
    <s v="OP"/>
    <s v="GPL-CN"/>
    <s v="GPL-SC8X1"/>
    <s v="210152"/>
    <d v="2014-04-01T00:00:00"/>
    <s v="Senior Specialist"/>
    <s v="Senior Specialist"/>
    <x v="1"/>
    <n v="2"/>
    <x v="2"/>
    <n v="12554"/>
    <n v="0"/>
    <n v="0"/>
    <n v="0"/>
    <n v="0"/>
    <n v="0"/>
    <n v="0"/>
    <n v="12554"/>
    <n v="12554"/>
    <n v="0"/>
    <x v="5"/>
    <s v="0.00%-0.00%"/>
    <m/>
    <m/>
    <m/>
    <m/>
    <n v="0"/>
    <n v="12554"/>
    <n v="0"/>
    <n v="0"/>
    <n v="14"/>
    <n v="450"/>
    <m/>
    <n v="688"/>
    <n v="181844"/>
    <n v="3"/>
    <m/>
    <m/>
    <m/>
    <s v="Chen Meng（11007521）"/>
    <s v="Xu Lan（11013544）"/>
    <m/>
    <m/>
    <m/>
    <m/>
    <s v="OK"/>
  </r>
  <r>
    <s v="CN15"/>
    <n v="11010409"/>
    <s v="王 涵"/>
    <s v="Wang Han"/>
    <s v="Indirect Active"/>
    <s v="OP"/>
    <s v="GPL-CN"/>
    <s v="GPL-SC8X1"/>
    <s v="210152"/>
    <d v="2014-01-15T00:00:00"/>
    <s v="Manager"/>
    <s v="Manager"/>
    <x v="3"/>
    <n v="2"/>
    <x v="2"/>
    <n v="17454"/>
    <n v="0.03"/>
    <n v="524"/>
    <n v="0"/>
    <n v="0"/>
    <n v="3.0021771513693136E-2"/>
    <n v="524"/>
    <n v="17978"/>
    <n v="17978"/>
    <n v="524"/>
    <x v="11"/>
    <s v="2.40%-3.60%"/>
    <m/>
    <m/>
    <m/>
    <m/>
    <n v="0"/>
    <n v="17978"/>
    <n v="524"/>
    <n v="3.0021771513693229E-2"/>
    <n v="14"/>
    <n v="450"/>
    <m/>
    <n v="688"/>
    <n v="257780"/>
    <n v="3"/>
    <m/>
    <m/>
    <m/>
    <s v="Chen Meng（11007521）"/>
    <s v="Xu Lan（11013544）"/>
    <m/>
    <m/>
    <m/>
    <m/>
    <s v="OK"/>
  </r>
  <r>
    <s v="CN15"/>
    <n v="11010416"/>
    <s v="董 金霞"/>
    <s v="Dong Jinxia"/>
    <s v="Indirect Active"/>
    <s v="OP"/>
    <s v="GPL-CN"/>
    <s v="GPL-SC8X1"/>
    <s v="210152"/>
    <d v="2014-01-20T00:00:00"/>
    <s v="Supervisor"/>
    <s v="Supervisor"/>
    <x v="0"/>
    <n v="2"/>
    <x v="0"/>
    <n v="11487"/>
    <n v="0.06"/>
    <n v="689"/>
    <n v="7.7799999999999994E-2"/>
    <n v="894"/>
    <n v="0.13780795682075389"/>
    <n v="1583"/>
    <n v="13070"/>
    <n v="12570"/>
    <n v="1083"/>
    <x v="153"/>
    <s v="11.02%-16.54%"/>
    <m/>
    <m/>
    <m/>
    <m/>
    <n v="0"/>
    <n v="12570"/>
    <n v="1083"/>
    <n v="9.4280490989814503E-2"/>
    <n v="14"/>
    <n v="450"/>
    <m/>
    <n v="688"/>
    <n v="182068"/>
    <n v="3"/>
    <m/>
    <m/>
    <m/>
    <s v="Chen Meng（11007521）"/>
    <s v="Xu Lan（11013544）"/>
    <m/>
    <m/>
    <m/>
    <m/>
    <s v="OK"/>
  </r>
  <r>
    <s v="CN15"/>
    <n v="11010770"/>
    <s v="黄 全法"/>
    <s v="Huang Quanfa"/>
    <s v="Indirect Active"/>
    <s v="OP"/>
    <s v="GPL-CN"/>
    <s v="GPL-SC8XC"/>
    <s v="231430"/>
    <d v="2014-04-14T00:00:00"/>
    <s v="RDC Operations"/>
    <s v="RDC Operations"/>
    <x v="7"/>
    <n v="2"/>
    <x v="0"/>
    <n v="8577"/>
    <n v="0.03"/>
    <n v="257"/>
    <n v="0"/>
    <n v="0"/>
    <n v="2.9963856826396174E-2"/>
    <n v="257"/>
    <n v="8834"/>
    <n v="8834"/>
    <n v="257"/>
    <x v="11"/>
    <s v="2.40%-3.60%"/>
    <m/>
    <m/>
    <m/>
    <m/>
    <n v="0"/>
    <n v="8834"/>
    <n v="257"/>
    <n v="2.996385682639624E-2"/>
    <n v="14"/>
    <n v="1350"/>
    <m/>
    <n v="688"/>
    <n v="140564"/>
    <n v="4"/>
    <m/>
    <m/>
    <m/>
    <s v="Chen Meng（11007521）"/>
    <s v="Xu Lan（11013544）"/>
    <m/>
    <m/>
    <m/>
    <m/>
    <s v="OK"/>
  </r>
  <r>
    <s v="CN15"/>
    <n v="11010864"/>
    <s v="崔 燚"/>
    <s v="Cui Yi"/>
    <s v="Indirect Active"/>
    <s v="OP"/>
    <s v="GPL-CN"/>
    <s v="GPL-SC8XA"/>
    <s v="232230"/>
    <d v="2014-04-25T00:00:00"/>
    <s v="RDC Operations"/>
    <s v="RDC Operations"/>
    <x v="7"/>
    <n v="2"/>
    <x v="2"/>
    <n v="8586"/>
    <n v="0"/>
    <n v="0"/>
    <n v="0"/>
    <n v="0"/>
    <n v="0"/>
    <n v="0"/>
    <n v="8586"/>
    <n v="8586"/>
    <n v="0"/>
    <x v="5"/>
    <s v="0.00%-0.00%"/>
    <m/>
    <m/>
    <m/>
    <m/>
    <n v="0"/>
    <n v="8586"/>
    <n v="0"/>
    <n v="0"/>
    <n v="14"/>
    <n v="850"/>
    <m/>
    <n v="688"/>
    <n v="131092"/>
    <n v="3"/>
    <m/>
    <m/>
    <m/>
    <s v="Chen Meng（11007521）"/>
    <s v="Xu Lan（11013544）"/>
    <m/>
    <m/>
    <m/>
    <m/>
    <s v="OK"/>
  </r>
  <r>
    <s v="CN15"/>
    <n v="11011160"/>
    <s v="周 永辉"/>
    <s v="Zhou Yonghui"/>
    <s v="Indirect Active"/>
    <s v="OP"/>
    <s v="GPL-CN"/>
    <s v="GPL-SC8XX"/>
    <s v="234630"/>
    <d v="2014-07-07T00:00:00"/>
    <s v="RDC Operations"/>
    <s v="RDC Operations"/>
    <x v="7"/>
    <n v="2"/>
    <x v="1"/>
    <n v="8300"/>
    <n v="2.2499999999999999E-2"/>
    <n v="187"/>
    <n v="0"/>
    <n v="0"/>
    <n v="2.253012048192771E-2"/>
    <n v="187"/>
    <n v="8487"/>
    <n v="8300"/>
    <n v="0"/>
    <x v="5"/>
    <s v="1.80%-2.70%"/>
    <s v="Promotion"/>
    <s v="Senior Specialist"/>
    <s v="A5"/>
    <n v="0.16"/>
    <n v="1328"/>
    <n v="9628"/>
    <n v="1328"/>
    <n v="0.15999999999999992"/>
    <n v="14"/>
    <n v="1650"/>
    <m/>
    <n v="688"/>
    <n v="155280"/>
    <n v="3"/>
    <m/>
    <m/>
    <m/>
    <s v="Chen Meng（11007521）"/>
    <s v="Xu Lan（11013544）"/>
    <m/>
    <m/>
    <m/>
    <m/>
    <s v="0 increase"/>
  </r>
  <r>
    <s v="CN15"/>
    <n v="11011599"/>
    <s v="魏 丽云"/>
    <s v="Wei Liyun"/>
    <s v="Indirect Active"/>
    <s v="OP"/>
    <s v="GPL-CN"/>
    <s v="GPL-SC8XS"/>
    <s v="233330"/>
    <d v="2014-09-15T00:00:00"/>
    <s v="RDC Operations &amp; Delivery Execution"/>
    <s v="RDC Operations &amp; Delivery Execution"/>
    <x v="7"/>
    <n v="2"/>
    <x v="2"/>
    <n v="10002"/>
    <n v="0"/>
    <n v="0"/>
    <n v="0"/>
    <n v="0"/>
    <n v="0"/>
    <n v="0"/>
    <n v="10002"/>
    <n v="10002"/>
    <n v="0"/>
    <x v="5"/>
    <s v="0.00%-0.00%"/>
    <m/>
    <m/>
    <m/>
    <m/>
    <n v="0"/>
    <n v="10002"/>
    <n v="0"/>
    <n v="0"/>
    <n v="14"/>
    <n v="750"/>
    <m/>
    <n v="688"/>
    <n v="149716"/>
    <n v="3"/>
    <m/>
    <m/>
    <m/>
    <s v="Chen Meng（11007521）"/>
    <s v="Xu Lan（11013544）"/>
    <m/>
    <m/>
    <m/>
    <m/>
    <s v="OK"/>
  </r>
  <r>
    <s v="CN15"/>
    <n v="11011629"/>
    <s v="张 洋"/>
    <s v="Zhang Yang"/>
    <s v="Indirect Active"/>
    <s v="OP"/>
    <s v="GPL-CN"/>
    <s v="GPL-SC8X1"/>
    <s v="210152"/>
    <d v="2014-10-08T00:00:00"/>
    <s v="Specialist"/>
    <s v="Specialist"/>
    <x v="2"/>
    <n v="2"/>
    <x v="2"/>
    <n v="8185"/>
    <n v="2.5000000000000001E-2"/>
    <n v="205"/>
    <n v="0"/>
    <n v="0"/>
    <n v="2.504581551618815E-2"/>
    <n v="205"/>
    <n v="8390"/>
    <n v="8890"/>
    <n v="705"/>
    <x v="154"/>
    <s v="2.00%-3.01%"/>
    <m/>
    <m/>
    <m/>
    <m/>
    <n v="0"/>
    <n v="8890"/>
    <n v="705"/>
    <n v="8.6133170433720263E-2"/>
    <n v="14"/>
    <n v="450"/>
    <m/>
    <n v="688"/>
    <n v="130548"/>
    <n v="3"/>
    <m/>
    <m/>
    <m/>
    <s v="Chen Meng（11007521）"/>
    <s v="Xu Lan（11013544）"/>
    <m/>
    <m/>
    <m/>
    <m/>
    <s v="&gt;20"/>
  </r>
  <r>
    <s v="CN15"/>
    <n v="11012113"/>
    <s v="朱 晓晴"/>
    <s v="Zhu Xiaoqing"/>
    <s v="Indirect Active"/>
    <s v="OP"/>
    <s v="GPL-CN"/>
    <s v="GPL-SC8X3"/>
    <s v="210152"/>
    <d v="2015-01-21T00:00:00"/>
    <s v="Specialist"/>
    <s v="Specialist"/>
    <x v="2"/>
    <n v="2"/>
    <x v="2"/>
    <n v="7911"/>
    <n v="2.5000000000000001E-2"/>
    <n v="198"/>
    <n v="0"/>
    <n v="0"/>
    <n v="2.502844141069397E-2"/>
    <n v="198"/>
    <n v="8109"/>
    <n v="8109"/>
    <n v="198"/>
    <x v="13"/>
    <s v="2.00%-3.00%"/>
    <m/>
    <m/>
    <m/>
    <m/>
    <n v="0"/>
    <n v="8109"/>
    <n v="198"/>
    <n v="2.5028441410694047E-2"/>
    <n v="14"/>
    <n v="450"/>
    <m/>
    <n v="688"/>
    <n v="119614"/>
    <n v="3"/>
    <m/>
    <m/>
    <m/>
    <s v="Chen Meng（11007521）"/>
    <s v="Xu Lan（11013544）"/>
    <m/>
    <m/>
    <m/>
    <m/>
    <s v="OK"/>
  </r>
  <r>
    <s v="CN15"/>
    <n v="11012116"/>
    <s v="吴 庆利"/>
    <s v="Wu Qingli"/>
    <s v="Indirect Active"/>
    <s v="OP"/>
    <s v="GPL-CN"/>
    <s v="GPL-SC8XN"/>
    <s v="231130"/>
    <d v="2015-01-13T00:00:00"/>
    <s v="RDC Operations"/>
    <s v="RDC Operations"/>
    <x v="7"/>
    <n v="2"/>
    <x v="2"/>
    <n v="9254"/>
    <n v="0"/>
    <n v="0"/>
    <n v="0"/>
    <n v="0"/>
    <n v="0"/>
    <n v="0"/>
    <n v="9254"/>
    <n v="9254"/>
    <n v="0"/>
    <x v="5"/>
    <s v="0.00%-0.00%"/>
    <m/>
    <m/>
    <m/>
    <m/>
    <n v="0"/>
    <n v="9254"/>
    <n v="0"/>
    <n v="0"/>
    <n v="14"/>
    <n v="1250"/>
    <m/>
    <n v="688"/>
    <n v="145244"/>
    <n v="4"/>
    <m/>
    <m/>
    <m/>
    <s v="Chen Meng（11007521）"/>
    <s v="Xu Lan（11013544）"/>
    <m/>
    <m/>
    <m/>
    <m/>
    <s v="OK"/>
  </r>
  <r>
    <s v="CN15"/>
    <n v="11012324"/>
    <s v="吴 本发"/>
    <s v="Wu Benfa"/>
    <s v="Indirect Active"/>
    <s v="OP"/>
    <s v="GPL-CN"/>
    <s v="GPL-SC8X3"/>
    <s v="210152"/>
    <d v="2015-04-20T00:00:00"/>
    <s v="Senior Specialist"/>
    <s v="Senior Specialist"/>
    <x v="1"/>
    <n v="2"/>
    <x v="2"/>
    <n v="9853"/>
    <n v="2.5000000000000001E-2"/>
    <n v="246"/>
    <n v="0"/>
    <n v="0"/>
    <n v="2.4967015122297778E-2"/>
    <n v="246"/>
    <n v="10099"/>
    <n v="10099"/>
    <n v="246"/>
    <x v="13"/>
    <s v="2.00%-3.00%"/>
    <m/>
    <m/>
    <m/>
    <m/>
    <n v="0"/>
    <n v="10099"/>
    <n v="246"/>
    <n v="2.496701512229782E-2"/>
    <n v="14"/>
    <n v="450"/>
    <m/>
    <n v="688"/>
    <n v="147474"/>
    <n v="3"/>
    <m/>
    <m/>
    <m/>
    <s v="Chen Meng（11007521）"/>
    <s v="Xu Lan（11013544）"/>
    <m/>
    <m/>
    <m/>
    <m/>
    <s v="OK"/>
  </r>
  <r>
    <s v="CN15"/>
    <n v="11012590"/>
    <s v="刘 栋"/>
    <s v="Liu Dong"/>
    <s v="Indirect Active"/>
    <s v="OP"/>
    <s v="GPL-CN"/>
    <s v="GPL-SC8X"/>
    <s v="210152"/>
    <d v="2015-06-01T00:00:00"/>
    <s v="Associate Expert (CN)"/>
    <s v="Associate Expert (C)"/>
    <x v="0"/>
    <n v="2"/>
    <x v="3"/>
    <n v="24477"/>
    <n v="0"/>
    <n v="0"/>
    <n v="0"/>
    <n v="0"/>
    <n v="0"/>
    <n v="0"/>
    <n v="24477"/>
    <n v="24477"/>
    <n v="0"/>
    <x v="5"/>
    <s v="0.00%-0.00%"/>
    <m/>
    <m/>
    <m/>
    <m/>
    <n v="0"/>
    <n v="24477"/>
    <n v="0"/>
    <n v="0"/>
    <n v="14"/>
    <n v="450"/>
    <m/>
    <n v="688"/>
    <n v="348766"/>
    <n v="3"/>
    <m/>
    <m/>
    <m/>
    <s v="Chen Meng（11007521）"/>
    <s v="Xu Lan（11013544）"/>
    <m/>
    <m/>
    <m/>
    <m/>
    <s v="OK"/>
  </r>
  <r>
    <s v="CN15"/>
    <n v="11012659"/>
    <s v="杨 文斌"/>
    <s v="Yang Wenbin"/>
    <s v="Indirect Active"/>
    <s v="OP"/>
    <s v="GPL-CN"/>
    <s v="GPL-SC8XX"/>
    <s v="234630"/>
    <d v="2015-06-01T00:00:00"/>
    <s v="Channel FCST &amp; Fulfillment"/>
    <s v="Channel FCST &amp; Fulfillment"/>
    <x v="7"/>
    <n v="2"/>
    <x v="2"/>
    <n v="10021"/>
    <n v="0"/>
    <n v="0"/>
    <n v="0"/>
    <n v="0"/>
    <n v="0"/>
    <n v="0"/>
    <n v="10021"/>
    <n v="10021"/>
    <n v="0"/>
    <x v="5"/>
    <s v="0.00%-0.00%"/>
    <m/>
    <m/>
    <m/>
    <m/>
    <n v="0"/>
    <n v="10021"/>
    <n v="0"/>
    <n v="0"/>
    <n v="14"/>
    <n v="450"/>
    <m/>
    <n v="688"/>
    <n v="146382"/>
    <n v="3"/>
    <m/>
    <m/>
    <m/>
    <s v="Chen Meng（11007521）"/>
    <s v="Xu Lan（11013544）"/>
    <m/>
    <m/>
    <m/>
    <m/>
    <s v="OK"/>
  </r>
  <r>
    <s v="CN15"/>
    <n v="11012697"/>
    <s v="刘 睿"/>
    <s v="Liu Rui"/>
    <s v="Indirect Active"/>
    <s v="OP"/>
    <s v="GPL-CN"/>
    <s v="GPL-SC8XS"/>
    <s v="233330"/>
    <d v="2015-06-10T00:00:00"/>
    <s v="RDC Operations &amp; Delivery Execution"/>
    <s v="RDC Operations &amp; Delivery Execution"/>
    <x v="7"/>
    <n v="2"/>
    <x v="2"/>
    <n v="10006"/>
    <n v="0"/>
    <n v="0"/>
    <n v="0"/>
    <n v="0"/>
    <n v="0"/>
    <n v="0"/>
    <n v="10006"/>
    <n v="10006"/>
    <n v="0"/>
    <x v="5"/>
    <s v="0.00%-0.00%"/>
    <m/>
    <m/>
    <m/>
    <m/>
    <n v="0"/>
    <n v="10006"/>
    <n v="0"/>
    <n v="0"/>
    <n v="14"/>
    <n v="850"/>
    <m/>
    <n v="688"/>
    <n v="150972"/>
    <n v="3"/>
    <m/>
    <m/>
    <m/>
    <s v="Chen Meng（11007521）"/>
    <s v="Xu Lan（11013544）"/>
    <m/>
    <m/>
    <m/>
    <m/>
    <s v="OK"/>
  </r>
  <r>
    <s v="CN15"/>
    <n v="11012904"/>
    <s v="原 雅林"/>
    <s v="Yuan Yalin"/>
    <s v="Indirect Active"/>
    <s v="OP"/>
    <s v="GPL-CN"/>
    <s v="GPL-SC8XX"/>
    <s v="234630"/>
    <d v="2015-07-06T00:00:00"/>
    <s v="Channel FCST &amp; Fulfillment"/>
    <s v="Channel FCST &amp; Fulfillment"/>
    <x v="7"/>
    <n v="2"/>
    <x v="2"/>
    <n v="8222"/>
    <n v="2.5000000000000001E-2"/>
    <n v="206"/>
    <n v="0"/>
    <n v="0"/>
    <n v="2.5054731208951592E-2"/>
    <n v="206"/>
    <n v="8428"/>
    <n v="8428"/>
    <n v="206"/>
    <x v="82"/>
    <s v="2.00%-3.01%"/>
    <m/>
    <m/>
    <m/>
    <m/>
    <n v="0"/>
    <n v="8428"/>
    <n v="206"/>
    <n v="2.505473120895152E-2"/>
    <n v="14"/>
    <n v="450"/>
    <m/>
    <n v="688"/>
    <n v="124080"/>
    <n v="1"/>
    <m/>
    <m/>
    <m/>
    <s v="Chen Meng（11007521）"/>
    <s v="Xu Lan（11013544）"/>
    <m/>
    <m/>
    <m/>
    <m/>
    <s v="OK"/>
  </r>
  <r>
    <s v="CN15"/>
    <n v="11012987"/>
    <s v="梅 业群"/>
    <s v="Mei Yequn"/>
    <s v="Indirect Active"/>
    <s v="OP"/>
    <s v="GPL-CN"/>
    <s v="GPL-SC8XE"/>
    <s v="234330"/>
    <d v="2015-07-15T00:00:00"/>
    <s v="Channel FCST &amp; Fulfillment"/>
    <s v="Channel FCST &amp; Fulfillment"/>
    <x v="7"/>
    <n v="2"/>
    <x v="1"/>
    <n v="10218"/>
    <n v="0.03"/>
    <n v="307"/>
    <n v="0"/>
    <n v="0"/>
    <n v="3.0045018594636916E-2"/>
    <n v="307"/>
    <n v="10525"/>
    <n v="10525"/>
    <n v="307"/>
    <x v="11"/>
    <s v="2.40%-3.61%"/>
    <m/>
    <m/>
    <m/>
    <m/>
    <n v="0"/>
    <n v="10525"/>
    <n v="307"/>
    <n v="3.0045018594636819E-2"/>
    <n v="14"/>
    <n v="450"/>
    <m/>
    <n v="688"/>
    <n v="153438"/>
    <n v="3"/>
    <m/>
    <m/>
    <m/>
    <s v="Chen Meng（11007521）"/>
    <s v="Xu Lan（11013544）"/>
    <m/>
    <m/>
    <m/>
    <m/>
    <s v="OK"/>
  </r>
  <r>
    <s v="CN15"/>
    <n v="11013290"/>
    <s v="张 铭妍"/>
    <s v="Zhang Mingyan"/>
    <s v="Indirect Active"/>
    <s v="OP"/>
    <s v="GPL-CN"/>
    <s v="GPL-SC8XS"/>
    <s v="233330"/>
    <d v="2015-10-10T00:00:00"/>
    <s v="Delivery Execution"/>
    <s v="Delivery Execution"/>
    <x v="7"/>
    <n v="2"/>
    <x v="1"/>
    <n v="12771"/>
    <n v="2.2499999999999999E-2"/>
    <n v="287"/>
    <n v="0"/>
    <n v="0"/>
    <n v="2.247278991465038E-2"/>
    <n v="287"/>
    <n v="13058"/>
    <n v="13058"/>
    <n v="287"/>
    <x v="47"/>
    <s v="1.80%-2.70%"/>
    <m/>
    <m/>
    <m/>
    <m/>
    <n v="0"/>
    <n v="13058"/>
    <n v="287"/>
    <n v="2.2472789914650404E-2"/>
    <n v="14"/>
    <n v="450"/>
    <m/>
    <n v="688"/>
    <n v="188900"/>
    <n v="3"/>
    <m/>
    <m/>
    <m/>
    <s v="Chen Meng（11007521）"/>
    <s v="Xu Lan（11013544）"/>
    <m/>
    <m/>
    <m/>
    <m/>
    <s v="OK"/>
  </r>
  <r>
    <s v="CN15"/>
    <n v="11013469"/>
    <s v="郭 海丽"/>
    <s v="Guo Haili"/>
    <s v="Indirect Active"/>
    <s v="OP"/>
    <s v="GPL-CN"/>
    <s v="GPL-SC8XWO"/>
    <s v="233630"/>
    <d v="2015-12-28T00:00:00"/>
    <s v="RDC Operations"/>
    <s v="RDC Operations"/>
    <x v="7"/>
    <n v="2"/>
    <x v="2"/>
    <n v="7805"/>
    <n v="0"/>
    <n v="0"/>
    <n v="0"/>
    <n v="0"/>
    <n v="0"/>
    <n v="0"/>
    <n v="7805"/>
    <n v="7805"/>
    <n v="0"/>
    <x v="5"/>
    <s v="0.00%-0.00%"/>
    <m/>
    <m/>
    <m/>
    <m/>
    <n v="0"/>
    <n v="7805"/>
    <n v="0"/>
    <n v="0"/>
    <n v="14"/>
    <n v="1150"/>
    <m/>
    <n v="688"/>
    <n v="123758"/>
    <n v="4"/>
    <m/>
    <m/>
    <m/>
    <s v="Chen Meng（11007521）"/>
    <s v="Xu Lan（11013544）"/>
    <m/>
    <m/>
    <m/>
    <m/>
    <s v="OK"/>
  </r>
  <r>
    <s v="CN15"/>
    <n v="11013510"/>
    <s v="陈 平"/>
    <s v="Chen Ping"/>
    <s v="Indirect Active"/>
    <s v="OP"/>
    <s v="GPL-CN"/>
    <s v="GPL-SC8XHD"/>
    <s v="231230"/>
    <d v="2016-02-22T00:00:00"/>
    <s v="Supervisor"/>
    <s v="Head of Delivery Execution"/>
    <x v="7"/>
    <n v="2"/>
    <x v="1"/>
    <n v="15059"/>
    <n v="0.03"/>
    <n v="452"/>
    <n v="0"/>
    <n v="0"/>
    <n v="3.0015273258516502E-2"/>
    <n v="452"/>
    <n v="15511"/>
    <n v="15511"/>
    <n v="452"/>
    <x v="11"/>
    <s v="2.40%-3.60%"/>
    <m/>
    <m/>
    <m/>
    <m/>
    <n v="0"/>
    <n v="15511"/>
    <n v="452"/>
    <n v="3.0015273258516606E-2"/>
    <n v="14"/>
    <n v="450"/>
    <m/>
    <n v="688"/>
    <n v="223242"/>
    <n v="4"/>
    <m/>
    <m/>
    <m/>
    <s v="Chen Meng（11007521）"/>
    <s v="Xu Lan（11013544）"/>
    <m/>
    <m/>
    <m/>
    <m/>
    <s v="OK"/>
  </r>
  <r>
    <s v="CN15"/>
    <n v="11013685"/>
    <s v="李 红莉"/>
    <s v="Li Hongli"/>
    <s v="Indirect Active"/>
    <s v="OP"/>
    <s v="GPL-CN"/>
    <s v="GPL-SC8X1"/>
    <s v="210152"/>
    <d v="2016-05-23T00:00:00"/>
    <s v="Senior Specialist"/>
    <s v="Senior Specialist"/>
    <x v="1"/>
    <n v="2"/>
    <x v="1"/>
    <n v="11437"/>
    <n v="3.7500000000000006E-2"/>
    <n v="429"/>
    <n v="1.55E-2"/>
    <n v="177"/>
    <n v="5.298592288187462E-2"/>
    <n v="606"/>
    <n v="12043"/>
    <n v="12043"/>
    <n v="606"/>
    <x v="40"/>
    <s v="4.24%-6.36%"/>
    <m/>
    <m/>
    <m/>
    <m/>
    <n v="0"/>
    <n v="12043"/>
    <n v="606"/>
    <n v="5.2985922881874536E-2"/>
    <n v="14"/>
    <n v="450"/>
    <m/>
    <n v="688"/>
    <n v="174690"/>
    <n v="3"/>
    <m/>
    <m/>
    <m/>
    <s v="Chen Meng（11007521）"/>
    <s v="Xu Lan（11013544）"/>
    <m/>
    <m/>
    <m/>
    <m/>
    <s v="OK"/>
  </r>
  <r>
    <s v="CN15"/>
    <n v="11013956"/>
    <s v="吴 静芬"/>
    <s v="Wu Jingfen"/>
    <s v="Indirect Active"/>
    <s v="OP"/>
    <s v="GPL-CN"/>
    <s v="GPL-SC8XH"/>
    <s v="231230"/>
    <d v="2016-07-11T00:00:00"/>
    <s v="RDC Operations"/>
    <s v="RDC Operations"/>
    <x v="7"/>
    <n v="2"/>
    <x v="0"/>
    <n v="9217"/>
    <n v="1.9999999999999997E-2"/>
    <n v="184"/>
    <n v="0"/>
    <n v="0"/>
    <n v="1.9963111641531951E-2"/>
    <n v="184"/>
    <n v="9401"/>
    <n v="9217"/>
    <n v="0"/>
    <x v="5"/>
    <s v="1.60%-2.40%"/>
    <s v="Promotion"/>
    <s v="Senior Specialist"/>
    <s v="A5"/>
    <n v="0.1101"/>
    <n v="1015"/>
    <n v="10232"/>
    <n v="1015"/>
    <n v="0.11012259954432024"/>
    <n v="14"/>
    <n v="2150"/>
    <m/>
    <n v="688"/>
    <n v="169736"/>
    <n v="5"/>
    <m/>
    <m/>
    <m/>
    <s v="Chen Meng（11007521）"/>
    <s v="Xu Lan（11013544）"/>
    <m/>
    <m/>
    <m/>
    <m/>
    <s v="0 increase"/>
  </r>
  <r>
    <s v="CN15"/>
    <n v="11014153"/>
    <s v="陈 海翔"/>
    <s v="Chen Haixiang"/>
    <s v="Indirect Active"/>
    <s v="OP"/>
    <s v="GPL-CN"/>
    <s v="GPL-SC8X3"/>
    <s v="210152"/>
    <d v="2014-08-11T00:00:00"/>
    <s v="Specialist"/>
    <s v="Specialist"/>
    <x v="2"/>
    <n v="2"/>
    <x v="2"/>
    <n v="8758"/>
    <n v="0"/>
    <n v="0"/>
    <n v="0"/>
    <n v="0"/>
    <n v="0"/>
    <n v="0"/>
    <n v="8758"/>
    <n v="8758"/>
    <n v="0"/>
    <x v="5"/>
    <s v="0.00%-0.00%"/>
    <m/>
    <m/>
    <m/>
    <m/>
    <n v="0"/>
    <n v="8758"/>
    <n v="0"/>
    <n v="0"/>
    <n v="14"/>
    <n v="450"/>
    <m/>
    <n v="688"/>
    <n v="128700"/>
    <n v="3"/>
    <m/>
    <m/>
    <m/>
    <s v="Chen Meng（11007521）"/>
    <s v="Xu Lan（11013544）"/>
    <m/>
    <m/>
    <m/>
    <m/>
    <s v="OK"/>
  </r>
  <r>
    <s v="CN15"/>
    <n v="11015490"/>
    <s v="王 艳"/>
    <s v="Wang Yan"/>
    <s v="Indirect Active"/>
    <s v="OP"/>
    <s v="GPL-CN"/>
    <s v="GPL-SC8XEO"/>
    <s v="234330"/>
    <d v="2017-10-09T00:00:00"/>
    <s v="Delivery Execution"/>
    <s v="Delivery Execution"/>
    <x v="7"/>
    <n v="2"/>
    <x v="0"/>
    <n v="9723"/>
    <n v="0.04"/>
    <n v="389"/>
    <n v="0"/>
    <n v="0"/>
    <n v="4.0008227913195513E-2"/>
    <n v="389"/>
    <n v="10112"/>
    <n v="9723"/>
    <n v="0"/>
    <x v="5"/>
    <s v="3.20%-4.80%"/>
    <s v="Promotion"/>
    <s v="Senior Specialist"/>
    <s v="A5"/>
    <n v="0.1"/>
    <n v="972"/>
    <n v="10695"/>
    <n v="972"/>
    <n v="9.9969145325516706E-2"/>
    <n v="14"/>
    <n v="450"/>
    <m/>
    <n v="688"/>
    <n v="155818"/>
    <n v="3"/>
    <m/>
    <m/>
    <m/>
    <s v="Chen Meng（11007521）"/>
    <s v="Xu Lan（11013544）"/>
    <m/>
    <m/>
    <m/>
    <m/>
    <s v="0 increase"/>
  </r>
  <r>
    <s v="CN15"/>
    <n v="11015927"/>
    <s v="顾 沙沙"/>
    <s v="Gu Shasha"/>
    <s v="Indirect Active"/>
    <s v="OP"/>
    <s v="GPL-CN"/>
    <s v="GPL-SC8XE"/>
    <s v="234330"/>
    <d v="2018-03-22T00:00:00"/>
    <s v="Channel FCST &amp; Fulfillment"/>
    <s v="Channel FCST &amp; Fulfillment"/>
    <x v="7"/>
    <n v="2"/>
    <x v="2"/>
    <n v="8053"/>
    <n v="2.5000000000000001E-2"/>
    <n v="201"/>
    <n v="0"/>
    <n v="0"/>
    <n v="2.4959642369303366E-2"/>
    <n v="201"/>
    <n v="8254"/>
    <n v="8254"/>
    <n v="201"/>
    <x v="13"/>
    <s v="2.00%-3.00%"/>
    <m/>
    <m/>
    <m/>
    <m/>
    <n v="0"/>
    <n v="8254"/>
    <n v="201"/>
    <n v="2.4959642369303259E-2"/>
    <n v="14"/>
    <n v="450"/>
    <m/>
    <n v="688"/>
    <n v="121644"/>
    <n v="3"/>
    <m/>
    <m/>
    <m/>
    <s v="Chen Meng（11007521）"/>
    <s v="Xu Lan（11013544）"/>
    <m/>
    <m/>
    <m/>
    <m/>
    <s v="OK"/>
  </r>
  <r>
    <s v="CN15"/>
    <n v="11016128"/>
    <s v="冯 培培"/>
    <s v="Feng Peipei"/>
    <s v="Indirect Active"/>
    <s v="OP"/>
    <s v="GPL-CN"/>
    <s v="GPL-SC8X2"/>
    <s v="210152"/>
    <d v="2018-05-14T00:00:00"/>
    <s v="Manager"/>
    <s v="Head of Goods Allocation, Optimization"/>
    <x v="3"/>
    <n v="2"/>
    <x v="2"/>
    <n v="21293"/>
    <n v="2.5000000000000001E-2"/>
    <n v="532"/>
    <n v="0"/>
    <n v="0"/>
    <n v="2.4984736767951907E-2"/>
    <n v="532"/>
    <n v="21825"/>
    <n v="21825"/>
    <n v="532"/>
    <x v="13"/>
    <s v="2.00%-3.00%"/>
    <m/>
    <m/>
    <m/>
    <m/>
    <n v="0"/>
    <n v="21825"/>
    <n v="532"/>
    <n v="2.4984736767951876E-2"/>
    <n v="14"/>
    <n v="450"/>
    <m/>
    <n v="688"/>
    <n v="311638"/>
    <n v="4"/>
    <m/>
    <m/>
    <m/>
    <s v="Chen Meng（11007521）"/>
    <s v="Xu Lan（11013544）"/>
    <m/>
    <m/>
    <m/>
    <m/>
    <s v="OK"/>
  </r>
  <r>
    <s v="CN15"/>
    <n v="11016736"/>
    <s v="盛 国太"/>
    <s v="Sheng Guotai"/>
    <s v="Indirect Active"/>
    <s v="OP"/>
    <s v="GPL-CN"/>
    <s v="GPL-SC8XC"/>
    <s v="231430"/>
    <d v="2018-09-25T00:00:00"/>
    <s v="RDC Operations &amp; Delivery Execution"/>
    <s v="RDC Operations &amp; Delivery Execution"/>
    <x v="7"/>
    <n v="2"/>
    <x v="2"/>
    <n v="7610"/>
    <n v="0"/>
    <n v="0"/>
    <n v="0"/>
    <n v="0"/>
    <n v="0"/>
    <n v="0"/>
    <n v="7610"/>
    <n v="7610"/>
    <n v="0"/>
    <x v="5"/>
    <s v="0.00%-0.00%"/>
    <m/>
    <m/>
    <m/>
    <m/>
    <n v="0"/>
    <n v="7610"/>
    <n v="0"/>
    <n v="0"/>
    <n v="14"/>
    <n v="1750"/>
    <m/>
    <n v="688"/>
    <n v="128228"/>
    <n v="3"/>
    <m/>
    <m/>
    <m/>
    <s v="Chen Meng（11007521）"/>
    <s v="Xu Lan（11013544）"/>
    <m/>
    <m/>
    <m/>
    <m/>
    <s v="OK"/>
  </r>
  <r>
    <s v="CN15"/>
    <n v="11017062"/>
    <s v="黄 逸风"/>
    <s v="Huang Yifeng"/>
    <s v="Indirect Active"/>
    <s v="OP"/>
    <s v="GPL-CN"/>
    <s v="GPL-SC8XWO"/>
    <s v="233630"/>
    <d v="2020-01-06T00:00:00"/>
    <s v="RDC Operations"/>
    <s v="RDC Operations"/>
    <x v="7"/>
    <n v="2"/>
    <x v="2"/>
    <n v="7805"/>
    <n v="0"/>
    <n v="0"/>
    <n v="0"/>
    <n v="0"/>
    <n v="0"/>
    <n v="0"/>
    <n v="7805"/>
    <n v="7805"/>
    <n v="0"/>
    <x v="5"/>
    <s v="0.00%-0.00%"/>
    <m/>
    <m/>
    <m/>
    <m/>
    <n v="0"/>
    <n v="7805"/>
    <n v="0"/>
    <n v="0"/>
    <n v="14"/>
    <n v="1150"/>
    <m/>
    <n v="688"/>
    <n v="123758"/>
    <n v="2"/>
    <m/>
    <m/>
    <m/>
    <s v="Chen Meng（11007521）"/>
    <s v="Xu Lan（11013544）"/>
    <m/>
    <m/>
    <m/>
    <m/>
    <s v="OK"/>
  </r>
  <r>
    <s v="CN15"/>
    <n v="11017078"/>
    <s v="许 程"/>
    <s v="Xu Cheng"/>
    <s v="Indirect Active"/>
    <s v="OP"/>
    <s v="GPL-CN"/>
    <s v="GPL-SC8XC"/>
    <s v="231430"/>
    <d v="2020-01-13T00:00:00"/>
    <s v="Senior Specialist"/>
    <s v="Senior Channel FCST &amp; Fulfillment"/>
    <x v="1"/>
    <n v="2"/>
    <x v="2"/>
    <n v="10544"/>
    <n v="2.5000000000000001E-2"/>
    <n v="264"/>
    <n v="0"/>
    <n v="0"/>
    <n v="2.503793626707132E-2"/>
    <n v="264"/>
    <n v="10808"/>
    <n v="10808"/>
    <n v="264"/>
    <x v="13"/>
    <s v="2.00%-3.00%"/>
    <m/>
    <m/>
    <m/>
    <m/>
    <n v="0"/>
    <n v="10808"/>
    <n v="264"/>
    <n v="2.5037936267071403E-2"/>
    <n v="14"/>
    <n v="450"/>
    <m/>
    <n v="688"/>
    <n v="157400"/>
    <n v="3"/>
    <m/>
    <m/>
    <m/>
    <s v="Chen Meng（11007521）"/>
    <s v="Xu Lan（11013544）"/>
    <m/>
    <m/>
    <m/>
    <m/>
    <s v="OK"/>
  </r>
  <r>
    <s v="CN15"/>
    <n v="11017095"/>
    <s v="曾 晴文"/>
    <s v="Zeng Qingwen"/>
    <s v="Indirect Active"/>
    <s v="OP"/>
    <s v="GPL-CN"/>
    <s v="GPL-SC8XS"/>
    <s v="233330"/>
    <d v="2020-02-03T00:00:00"/>
    <s v="Channel FCST &amp; Fulfillment"/>
    <s v="Channel FCST &amp; Fulfillment"/>
    <x v="7"/>
    <n v="2"/>
    <x v="2"/>
    <n v="8908"/>
    <n v="2.5000000000000001E-2"/>
    <n v="223"/>
    <n v="0"/>
    <n v="0"/>
    <n v="2.5033677593174673E-2"/>
    <n v="223"/>
    <n v="9131"/>
    <n v="9131"/>
    <n v="223"/>
    <x v="13"/>
    <s v="2.00%-3.00%"/>
    <m/>
    <m/>
    <m/>
    <m/>
    <n v="0"/>
    <n v="9131"/>
    <n v="223"/>
    <n v="2.5033677593174763E-2"/>
    <n v="14"/>
    <n v="450"/>
    <m/>
    <n v="688"/>
    <n v="133922"/>
    <n v="1"/>
    <m/>
    <m/>
    <m/>
    <s v="Chen Meng（11007521）"/>
    <s v="Xu Lan（11013544）"/>
    <m/>
    <m/>
    <m/>
    <m/>
    <s v="OK"/>
  </r>
  <r>
    <s v="CN15"/>
    <n v="11017118"/>
    <s v="傅 浩宏"/>
    <s v="Fu Haohong"/>
    <s v="Indirect Active"/>
    <s v="OP"/>
    <s v="GPL-CN"/>
    <s v="GPL-SC8XS"/>
    <s v="233330"/>
    <d v="2020-04-07T00:00:00"/>
    <s v="Goods Allocation &amp; Optimization"/>
    <s v="Goods Allocation &amp; Optimization"/>
    <x v="7"/>
    <n v="2"/>
    <x v="1"/>
    <n v="10434"/>
    <n v="0.03"/>
    <n v="313"/>
    <n v="0"/>
    <n v="0"/>
    <n v="2.999808318957255E-2"/>
    <n v="313"/>
    <n v="10747"/>
    <n v="10747"/>
    <n v="313"/>
    <x v="11"/>
    <s v="2.40%-3.60%"/>
    <m/>
    <m/>
    <m/>
    <m/>
    <n v="0"/>
    <n v="10747"/>
    <n v="313"/>
    <n v="2.9998083189572533E-2"/>
    <n v="14"/>
    <n v="450"/>
    <m/>
    <n v="688"/>
    <n v="156546"/>
    <n v="4"/>
    <m/>
    <m/>
    <m/>
    <s v="Chen Meng（11007521）"/>
    <s v="Xu Lan（11013544）"/>
    <m/>
    <m/>
    <m/>
    <m/>
    <s v="OK"/>
  </r>
  <r>
    <s v="CN15"/>
    <n v="11017285"/>
    <s v="李 姝洋"/>
    <s v="Li Shuyang"/>
    <s v="Indirect Active"/>
    <s v="OP"/>
    <s v="GPL-CN"/>
    <s v="GPL-SC8XHD"/>
    <s v="231230"/>
    <d v="2020-07-16T00:00:00"/>
    <s v="Delivery Execution"/>
    <s v="Delivery Execution"/>
    <x v="7"/>
    <n v="2"/>
    <x v="2"/>
    <n v="8288"/>
    <n v="2.5000000000000001E-2"/>
    <n v="207"/>
    <n v="0"/>
    <n v="0"/>
    <n v="2.4975868725868725E-2"/>
    <n v="207"/>
    <n v="8495"/>
    <n v="8495"/>
    <n v="207"/>
    <x v="13"/>
    <s v="2.00%-3.00%"/>
    <m/>
    <m/>
    <m/>
    <m/>
    <n v="0"/>
    <n v="8495"/>
    <n v="207"/>
    <n v="2.4975868725868766E-2"/>
    <n v="14"/>
    <n v="450"/>
    <m/>
    <n v="688"/>
    <n v="125018"/>
    <n v="3"/>
    <m/>
    <m/>
    <m/>
    <s v="Chen Meng（11007521）"/>
    <s v="Xu Lan（11013544）"/>
    <m/>
    <m/>
    <m/>
    <m/>
    <s v="OK"/>
  </r>
  <r>
    <s v="CN15"/>
    <n v="11017327"/>
    <s v="王 嘉雯"/>
    <s v="Wang Jiawen"/>
    <s v="Indirect Active"/>
    <s v="OP"/>
    <s v="GPL-CN"/>
    <s v="GPL-SC8XH"/>
    <s v="231230"/>
    <d v="2020-07-27T00:00:00"/>
    <s v="Senior Specialist"/>
    <s v="Senior Channel FCST &amp; Fulfillment"/>
    <x v="1"/>
    <n v="2"/>
    <x v="1"/>
    <n v="11010"/>
    <n v="3.7500000000000006E-2"/>
    <n v="413"/>
    <n v="1.55E-2"/>
    <n v="171"/>
    <n v="5.3042688465031788E-2"/>
    <n v="584"/>
    <n v="11594"/>
    <n v="11594"/>
    <n v="584"/>
    <x v="40"/>
    <s v="4.24%-6.37%"/>
    <m/>
    <m/>
    <m/>
    <m/>
    <n v="0"/>
    <n v="11594"/>
    <n v="584"/>
    <n v="5.3042688465031684E-2"/>
    <n v="14"/>
    <n v="450"/>
    <m/>
    <n v="688"/>
    <n v="168404"/>
    <n v="3"/>
    <m/>
    <m/>
    <m/>
    <s v="Chen Meng（11007521）"/>
    <s v="Xu Lan（11013544）"/>
    <m/>
    <m/>
    <m/>
    <m/>
    <s v="OK"/>
  </r>
  <r>
    <s v="CN15"/>
    <n v="11017357"/>
    <s v="柳 烨"/>
    <s v="Liu Ye"/>
    <s v="Indirect Active"/>
    <s v="OP"/>
    <s v="GPL-CN"/>
    <s v="GPL-SC8XA"/>
    <s v="232230"/>
    <d v="2020-08-03T00:00:00"/>
    <s v="Channel FCST &amp; Fulfillment"/>
    <s v="Senior Channel FCST &amp; Fulfillment"/>
    <x v="1"/>
    <n v="2"/>
    <x v="2"/>
    <n v="8479"/>
    <n v="0.03"/>
    <n v="254"/>
    <n v="0"/>
    <n v="0"/>
    <n v="2.9956362778629557E-2"/>
    <n v="254"/>
    <n v="8733"/>
    <n v="8733"/>
    <n v="254"/>
    <x v="11"/>
    <s v="2.40%-3.59%"/>
    <m/>
    <m/>
    <m/>
    <m/>
    <n v="0"/>
    <n v="8733"/>
    <n v="254"/>
    <n v="2.9956362778629453E-2"/>
    <n v="14"/>
    <n v="450"/>
    <m/>
    <n v="688"/>
    <n v="128350"/>
    <n v="3"/>
    <m/>
    <m/>
    <m/>
    <s v="Chen Meng（11007521）"/>
    <s v="Xu Lan（11013544）"/>
    <m/>
    <m/>
    <m/>
    <m/>
    <s v="OK"/>
  </r>
  <r>
    <s v="CN15"/>
    <n v="11017418"/>
    <s v="刘 万里"/>
    <s v="Liu Wanli"/>
    <s v="Indirect Active"/>
    <s v="OP"/>
    <s v="GPL-CN"/>
    <s v="GPL-SC8XS"/>
    <s v="233330"/>
    <d v="2020-08-10T00:00:00"/>
    <s v="RDC Operations"/>
    <s v="RDC Operations"/>
    <x v="7"/>
    <n v="2"/>
    <x v="0"/>
    <n v="8922"/>
    <n v="0.03"/>
    <n v="268"/>
    <n v="0"/>
    <n v="0"/>
    <n v="3.0038108047522976E-2"/>
    <n v="268"/>
    <n v="9190"/>
    <n v="8922"/>
    <n v="0"/>
    <x v="5"/>
    <s v="2.40%-3.60%"/>
    <s v="Promotion"/>
    <s v="Senior Specialist"/>
    <s v="A5"/>
    <n v="0.129"/>
    <n v="1151"/>
    <n v="10073"/>
    <n v="1151"/>
    <n v="0.12900694911454824"/>
    <n v="14"/>
    <n v="2650"/>
    <m/>
    <n v="688"/>
    <n v="173510"/>
    <n v="4"/>
    <m/>
    <m/>
    <m/>
    <s v="Chen Meng（11007521）"/>
    <s v="Xu Lan（11013544）"/>
    <m/>
    <m/>
    <m/>
    <m/>
    <s v="0 increase"/>
  </r>
  <r>
    <s v="CN15"/>
    <n v="11017440"/>
    <s v="骆 大勇"/>
    <s v="Luo Dayong"/>
    <s v="Indirect Active"/>
    <s v="OP"/>
    <s v="GPL-CN"/>
    <s v="GPL-SC8XA"/>
    <s v="232230"/>
    <d v="2020-08-21T00:00:00"/>
    <s v="Delivery Execution"/>
    <s v="Delivery Execution"/>
    <x v="7"/>
    <n v="2"/>
    <x v="2"/>
    <n v="8332"/>
    <n v="0"/>
    <n v="0"/>
    <n v="0"/>
    <n v="0"/>
    <n v="0"/>
    <n v="0"/>
    <n v="8332"/>
    <n v="8332"/>
    <n v="0"/>
    <x v="5"/>
    <s v="0.00%-0.00%"/>
    <m/>
    <m/>
    <m/>
    <m/>
    <n v="0"/>
    <n v="8332"/>
    <n v="0"/>
    <n v="0"/>
    <n v="14"/>
    <n v="450"/>
    <m/>
    <n v="688"/>
    <n v="122736"/>
    <n v="3"/>
    <m/>
    <m/>
    <m/>
    <s v="Chen Meng（11007521）"/>
    <s v="Xu Lan（11013544）"/>
    <m/>
    <m/>
    <m/>
    <m/>
    <s v="OK"/>
  </r>
  <r>
    <s v="CN15"/>
    <n v="11017441"/>
    <s v="管 峻逸"/>
    <s v="Guan Junyi"/>
    <s v="Indirect Active"/>
    <s v="OP"/>
    <s v="GPL-CN"/>
    <s v="GPL-SC8XHD"/>
    <s v="231230"/>
    <d v="2020-08-21T00:00:00"/>
    <s v="Delivery Execution"/>
    <s v="Delivery Execution"/>
    <x v="7"/>
    <n v="2"/>
    <x v="2"/>
    <n v="11201"/>
    <n v="0"/>
    <n v="0"/>
    <n v="0"/>
    <n v="0"/>
    <n v="0"/>
    <n v="0"/>
    <n v="11201"/>
    <n v="11201"/>
    <n v="0"/>
    <x v="5"/>
    <s v="0.00%-0.00%"/>
    <m/>
    <m/>
    <m/>
    <m/>
    <n v="0"/>
    <n v="11201"/>
    <n v="0"/>
    <n v="0"/>
    <n v="14"/>
    <n v="450"/>
    <m/>
    <n v="688"/>
    <n v="162902"/>
    <n v="4"/>
    <m/>
    <m/>
    <m/>
    <s v="Chen Meng（11007521）"/>
    <s v="Xu Lan（11013544）"/>
    <m/>
    <m/>
    <m/>
    <m/>
    <s v="OK"/>
  </r>
  <r>
    <s v="CN15"/>
    <n v="11017442"/>
    <s v="李 若正"/>
    <s v="Li Ruozheng"/>
    <s v="Indirect Active"/>
    <s v="OP"/>
    <s v="GPL-CN"/>
    <s v="GPL-SC8XW"/>
    <s v="233630"/>
    <d v="2020-08-24T00:00:00"/>
    <s v="SC Cluster Management"/>
    <s v="Head of SC Cluster Southwest (Chengdu)"/>
    <x v="3"/>
    <n v="2"/>
    <x v="1"/>
    <n v="20069"/>
    <n v="3.7500000000000006E-2"/>
    <n v="753"/>
    <n v="1.55E-2"/>
    <n v="311"/>
    <n v="5.3017091035926056E-2"/>
    <n v="1064"/>
    <n v="21133"/>
    <n v="21133"/>
    <n v="1064"/>
    <x v="40"/>
    <s v="4.24%-6.36%"/>
    <m/>
    <m/>
    <m/>
    <m/>
    <n v="0"/>
    <n v="21133"/>
    <n v="1064"/>
    <n v="5.3017091035926001E-2"/>
    <n v="14"/>
    <n v="450"/>
    <m/>
    <n v="688"/>
    <n v="301950"/>
    <n v="5"/>
    <m/>
    <m/>
    <m/>
    <s v="Chen Meng（11007521）"/>
    <s v="Xu Lan（11013544）"/>
    <m/>
    <m/>
    <m/>
    <m/>
    <s v="OK"/>
  </r>
  <r>
    <s v="CN15"/>
    <n v="11017491"/>
    <s v="万 国荣"/>
    <s v="Wan Guorong"/>
    <s v="Indirect Active"/>
    <s v="OP"/>
    <s v="GPL-CN"/>
    <s v="GPL-SC8XX"/>
    <s v="234630"/>
    <d v="2020-09-01T00:00:00"/>
    <s v="Channel FCST &amp; Fulfillment"/>
    <s v="Senior Channel FCST &amp; Fulfillment"/>
    <x v="1"/>
    <n v="2"/>
    <x v="1"/>
    <n v="11196"/>
    <n v="0.03"/>
    <n v="336"/>
    <n v="0"/>
    <n v="0"/>
    <n v="3.0010718113612004E-2"/>
    <n v="336"/>
    <n v="11532"/>
    <n v="11532"/>
    <n v="336"/>
    <x v="11"/>
    <s v="2.40%-3.60%"/>
    <m/>
    <m/>
    <m/>
    <m/>
    <n v="0"/>
    <n v="11532"/>
    <n v="336"/>
    <n v="3.0010718113612E-2"/>
    <n v="14"/>
    <n v="450"/>
    <m/>
    <n v="688"/>
    <n v="167536"/>
    <n v="4"/>
    <m/>
    <m/>
    <m/>
    <s v="Chen Meng（11007521）"/>
    <s v="Xu Lan（11013544）"/>
    <m/>
    <m/>
    <m/>
    <m/>
    <s v="OK"/>
  </r>
  <r>
    <s v="CN15"/>
    <n v="11017501"/>
    <s v="张 灵"/>
    <s v="Zhang Ling"/>
    <s v="Indirect Active"/>
    <s v="OP"/>
    <s v="GPL-CN"/>
    <s v="GPL-SC8XW"/>
    <s v="233630"/>
    <d v="2020-09-01T00:00:00"/>
    <s v="Channel FCST &amp; Fulfillment"/>
    <s v="Channel FCST &amp; Fulfillment"/>
    <x v="7"/>
    <n v="2"/>
    <x v="0"/>
    <n v="9755"/>
    <n v="0.04"/>
    <n v="390"/>
    <n v="0"/>
    <n v="0"/>
    <n v="3.9979497693490518E-2"/>
    <n v="390"/>
    <n v="10145"/>
    <n v="9755"/>
    <n v="0"/>
    <x v="5"/>
    <s v="3.20%-4.80%"/>
    <s v="Promotion"/>
    <s v="Senior Specialist"/>
    <s v="A5"/>
    <n v="0.1"/>
    <n v="976"/>
    <n v="10731"/>
    <n v="976"/>
    <n v="0.10005125576627361"/>
    <n v="14"/>
    <n v="450"/>
    <m/>
    <n v="688"/>
    <n v="156322"/>
    <n v="4"/>
    <m/>
    <m/>
    <m/>
    <s v="Chen Meng（11007521）"/>
    <s v="Xu Lan（11013544）"/>
    <m/>
    <m/>
    <m/>
    <m/>
    <s v="0 increase"/>
  </r>
  <r>
    <s v="CN15"/>
    <n v="11017509"/>
    <s v="李 华一"/>
    <s v="Li Huayi"/>
    <s v="Indirect Active"/>
    <s v="OP"/>
    <s v="GPL-CN"/>
    <s v="GPL-SC8X1"/>
    <s v="210152"/>
    <d v="2020-09-07T00:00:00"/>
    <s v="Specialist"/>
    <s v="Specialist"/>
    <x v="2"/>
    <n v="2"/>
    <x v="1"/>
    <n v="11080"/>
    <n v="0.03"/>
    <n v="332"/>
    <n v="0"/>
    <n v="0"/>
    <n v="2.9963898916967508E-2"/>
    <n v="332"/>
    <n v="11412"/>
    <n v="11412"/>
    <n v="332"/>
    <x v="11"/>
    <s v="2.40%-3.60%"/>
    <m/>
    <m/>
    <m/>
    <m/>
    <n v="0"/>
    <n v="11412"/>
    <n v="332"/>
    <n v="2.9963898916967491E-2"/>
    <n v="14"/>
    <n v="450"/>
    <m/>
    <n v="688"/>
    <n v="165856"/>
    <n v="3"/>
    <m/>
    <m/>
    <m/>
    <s v="Chen Meng（11007521）"/>
    <s v="Xu Lan（11013544）"/>
    <m/>
    <m/>
    <m/>
    <m/>
    <s v="OK"/>
  </r>
  <r>
    <s v="CN15"/>
    <n v="11017520"/>
    <s v="余 洋"/>
    <s v="Yu Yang"/>
    <s v="Indirect Active"/>
    <s v="OP"/>
    <s v="GPL-CN"/>
    <s v="GPL-SC8XW"/>
    <s v="233630"/>
    <d v="2020-09-07T00:00:00"/>
    <s v="Channel FCST &amp; Fulfillment"/>
    <s v="Channel FCST &amp; Fulfillment"/>
    <x v="7"/>
    <n v="2"/>
    <x v="2"/>
    <n v="9000"/>
    <n v="2.5000000000000001E-2"/>
    <n v="225"/>
    <n v="0"/>
    <n v="0"/>
    <n v="2.5000000000000001E-2"/>
    <n v="225"/>
    <n v="9225"/>
    <n v="9225"/>
    <n v="225"/>
    <x v="13"/>
    <s v="2.00%-3.00%"/>
    <m/>
    <m/>
    <m/>
    <m/>
    <n v="0"/>
    <n v="9225"/>
    <n v="225"/>
    <n v="2.4999999999999911E-2"/>
    <n v="14"/>
    <n v="450"/>
    <m/>
    <n v="688"/>
    <n v="135238"/>
    <n v="3"/>
    <m/>
    <m/>
    <m/>
    <s v="Chen Meng（11007521）"/>
    <s v="Xu Lan（11013544）"/>
    <m/>
    <m/>
    <m/>
    <m/>
    <s v="OK"/>
  </r>
  <r>
    <s v="CN15"/>
    <n v="11017540"/>
    <s v="畅 晓凤"/>
    <s v="Chang Xiaofeng"/>
    <s v="Indirect Active"/>
    <s v="OP"/>
    <s v="GPL-CN"/>
    <s v="GPL-SC8XX"/>
    <s v="234630"/>
    <d v="2020-09-14T00:00:00"/>
    <s v="Goods Allocation &amp; Optimization"/>
    <s v="Goods Allocation &amp; Optimization"/>
    <x v="7"/>
    <n v="2"/>
    <x v="2"/>
    <n v="8500"/>
    <n v="2.5000000000000001E-2"/>
    <n v="213"/>
    <n v="0"/>
    <n v="0"/>
    <n v="2.5058823529411765E-2"/>
    <n v="213"/>
    <n v="8713"/>
    <n v="8713"/>
    <n v="213"/>
    <x v="82"/>
    <s v="2.00%-3.01%"/>
    <m/>
    <m/>
    <m/>
    <m/>
    <n v="0"/>
    <n v="8713"/>
    <n v="213"/>
    <n v="2.50588235294118E-2"/>
    <n v="14"/>
    <n v="450"/>
    <m/>
    <n v="688"/>
    <n v="128070"/>
    <n v="3"/>
    <m/>
    <m/>
    <m/>
    <s v="Chen Meng（11007521）"/>
    <s v="Xu Lan（11013544）"/>
    <m/>
    <m/>
    <m/>
    <m/>
    <s v="OK"/>
  </r>
  <r>
    <s v="CN15"/>
    <n v="11017622"/>
    <s v="何 煜新"/>
    <s v="He Yuxin"/>
    <s v="Indirect Active"/>
    <s v="OP"/>
    <s v="GPL-CN"/>
    <s v="GPL-SC8XX"/>
    <s v="234630"/>
    <d v="2020-10-09T00:00:00"/>
    <s v="Senior Specialist"/>
    <s v="Senior Delivery Execution Specialist"/>
    <x v="1"/>
    <n v="2"/>
    <x v="2"/>
    <n v="9294"/>
    <n v="2.5000000000000001E-2"/>
    <n v="232"/>
    <n v="0"/>
    <n v="0"/>
    <n v="2.4962341295459437E-2"/>
    <n v="232"/>
    <n v="9526"/>
    <n v="9526"/>
    <n v="232"/>
    <x v="13"/>
    <s v="2.00%-3.00%"/>
    <m/>
    <m/>
    <m/>
    <m/>
    <n v="0"/>
    <n v="9526"/>
    <n v="232"/>
    <n v="2.4962341295459378E-2"/>
    <n v="14"/>
    <n v="450"/>
    <m/>
    <n v="688"/>
    <n v="139452"/>
    <n v="4"/>
    <m/>
    <m/>
    <m/>
    <s v="Chen Meng（11007521）"/>
    <s v="Xu Lan（11013544）"/>
    <m/>
    <m/>
    <m/>
    <m/>
    <s v="OK"/>
  </r>
  <r>
    <s v="CN15"/>
    <n v="11017687"/>
    <s v="赵 文健"/>
    <s v="Zhao Wenjian"/>
    <s v="Indirect Active"/>
    <s v="OP"/>
    <s v="GPL-CN"/>
    <s v="GPL-SC8XEO"/>
    <s v="234330"/>
    <d v="2020-10-26T00:00:00"/>
    <s v="RDC Operations &amp; Delivery Execution"/>
    <s v="RDC Operations &amp; Delivery Execution"/>
    <x v="7"/>
    <n v="2"/>
    <x v="2"/>
    <n v="8013"/>
    <n v="0"/>
    <n v="0"/>
    <n v="0"/>
    <n v="0"/>
    <n v="0"/>
    <n v="0"/>
    <n v="8013"/>
    <n v="8113"/>
    <n v="100"/>
    <x v="155"/>
    <s v="0.00%-0.00%"/>
    <m/>
    <m/>
    <m/>
    <m/>
    <n v="0"/>
    <n v="8113"/>
    <n v="100"/>
    <n v="1.2479720454261933E-2"/>
    <n v="14"/>
    <n v="1650"/>
    <m/>
    <n v="688"/>
    <n v="134070"/>
    <n v="2"/>
    <m/>
    <m/>
    <m/>
    <s v="Chen Meng（11007521）"/>
    <s v="Xu Lan（11013544）"/>
    <m/>
    <m/>
    <m/>
    <m/>
    <s v="&gt;20"/>
  </r>
  <r>
    <s v="CN15"/>
    <n v="11017763"/>
    <s v="李 超"/>
    <s v="Li Chao"/>
    <s v="Indirect Active"/>
    <s v="OP"/>
    <s v="GPL-CN"/>
    <s v="GPL-SC8XN"/>
    <s v="231130"/>
    <d v="2020-11-17T00:00:00"/>
    <s v="RDC Operations"/>
    <s v="RDC Operations"/>
    <x v="7"/>
    <n v="2"/>
    <x v="2"/>
    <n v="6831"/>
    <n v="0"/>
    <n v="0"/>
    <n v="0"/>
    <n v="0"/>
    <n v="0"/>
    <n v="0"/>
    <n v="6831"/>
    <n v="6831"/>
    <n v="0"/>
    <x v="5"/>
    <s v="0.00%-0.00%"/>
    <m/>
    <m/>
    <m/>
    <m/>
    <n v="0"/>
    <n v="6831"/>
    <n v="0"/>
    <n v="0"/>
    <n v="14"/>
    <n v="1450"/>
    <m/>
    <n v="688"/>
    <n v="113722"/>
    <n v="2"/>
    <m/>
    <m/>
    <m/>
    <s v="Chen Meng（11007521）"/>
    <s v="Xu Lan（11013544）"/>
    <m/>
    <m/>
    <m/>
    <m/>
    <s v="OK"/>
  </r>
  <r>
    <s v="CN15"/>
    <n v="11018421"/>
    <s v="张 晶瑶"/>
    <s v="Zhang Jingyao"/>
    <s v="Indirect Active"/>
    <s v="OP"/>
    <s v="GPL-CN"/>
    <s v="GPL-SC8X2"/>
    <s v="210152"/>
    <d v="2022-05-01T00:00:00"/>
    <s v="Specialist"/>
    <s v="Specialist"/>
    <x v="2"/>
    <n v="2"/>
    <x v="2"/>
    <n v="7866"/>
    <n v="2.5000000000000001E-2"/>
    <n v="197"/>
    <n v="0"/>
    <n v="0"/>
    <n v="2.5044495296211545E-2"/>
    <n v="197"/>
    <n v="8063"/>
    <n v="8063"/>
    <n v="197"/>
    <x v="13"/>
    <s v="2.00%-3.01%"/>
    <m/>
    <m/>
    <m/>
    <m/>
    <n v="0"/>
    <n v="8063"/>
    <n v="197"/>
    <n v="2.5044495296211444E-2"/>
    <n v="14"/>
    <n v="450"/>
    <m/>
    <n v="688"/>
    <n v="118970"/>
    <n v="3"/>
    <m/>
    <m/>
    <m/>
    <s v="Chen Meng（11007521）"/>
    <s v="Xu Lan（11013544）"/>
    <m/>
    <m/>
    <m/>
    <m/>
    <s v="OK"/>
  </r>
  <r>
    <s v="CN15"/>
    <n v="11018475"/>
    <s v="董 娴"/>
    <s v="Dong Xian"/>
    <s v="Indirect Active"/>
    <s v="OP"/>
    <s v="GPL-CN"/>
    <s v="GPL-SC8XE"/>
    <s v="234330"/>
    <d v="2021-05-24T00:00:00"/>
    <s v="Senior Specialist"/>
    <s v="Senior Channel FCST &amp; Fulfillment"/>
    <x v="1"/>
    <n v="2"/>
    <x v="1"/>
    <n v="11936"/>
    <n v="0.03"/>
    <n v="358"/>
    <n v="0"/>
    <n v="0"/>
    <n v="2.9993297587131366E-2"/>
    <n v="358"/>
    <n v="12294"/>
    <n v="12294"/>
    <n v="358"/>
    <x v="11"/>
    <s v="2.40%-3.60%"/>
    <m/>
    <m/>
    <m/>
    <m/>
    <n v="0"/>
    <n v="12294"/>
    <n v="358"/>
    <n v="2.9993297587131318E-2"/>
    <n v="14"/>
    <n v="450"/>
    <m/>
    <n v="688"/>
    <n v="178204"/>
    <n v="3"/>
    <m/>
    <m/>
    <m/>
    <s v="Chen Meng（11007521）"/>
    <s v="Xu Lan（11013544）"/>
    <m/>
    <m/>
    <m/>
    <m/>
    <s v="OK"/>
  </r>
  <r>
    <s v="CN15"/>
    <n v="11018522"/>
    <s v="贾 海洋"/>
    <s v="Jia Haiyang"/>
    <s v="Indirect Active"/>
    <s v="OP"/>
    <s v="GPL-CN"/>
    <s v="GPL-SC8X1"/>
    <s v="210152"/>
    <d v="2021-06-15T00:00:00"/>
    <s v="Specialist"/>
    <s v="Specialist"/>
    <x v="2"/>
    <n v="2"/>
    <x v="1"/>
    <n v="9392"/>
    <n v="3.7500000000000006E-2"/>
    <n v="352"/>
    <n v="0"/>
    <n v="0"/>
    <n v="3.7478705281090291E-2"/>
    <n v="352"/>
    <n v="9744"/>
    <n v="9744"/>
    <n v="352"/>
    <x v="73"/>
    <s v="3.00%-4.50%"/>
    <m/>
    <m/>
    <m/>
    <m/>
    <n v="0"/>
    <n v="9744"/>
    <n v="352"/>
    <n v="3.7478705281090319E-2"/>
    <n v="14"/>
    <n v="450"/>
    <m/>
    <n v="688"/>
    <n v="142504"/>
    <n v="3"/>
    <m/>
    <m/>
    <m/>
    <s v="Chen Meng（11007521）"/>
    <s v="Xu Lan（11013544）"/>
    <m/>
    <m/>
    <m/>
    <m/>
    <s v="OK"/>
  </r>
  <r>
    <s v="CN15"/>
    <n v="11018549"/>
    <s v="陈 婷婷"/>
    <s v="Chen Sophie"/>
    <s v="Indirect Active"/>
    <s v="OP"/>
    <s v="GPL-CN"/>
    <s v="GPL-SC8X1"/>
    <s v="210152"/>
    <d v="2021-06-15T00:00:00"/>
    <s v="Specialist"/>
    <s v="Specialist"/>
    <x v="2"/>
    <n v="2"/>
    <x v="2"/>
    <n v="12600"/>
    <n v="0"/>
    <n v="0"/>
    <n v="0"/>
    <n v="0"/>
    <n v="0"/>
    <n v="0"/>
    <n v="12600"/>
    <n v="12600"/>
    <n v="0"/>
    <x v="5"/>
    <s v="0.00%-0.00%"/>
    <m/>
    <m/>
    <m/>
    <m/>
    <n v="0"/>
    <n v="12600"/>
    <n v="0"/>
    <n v="0"/>
    <n v="14"/>
    <n v="450"/>
    <m/>
    <n v="688"/>
    <n v="182488"/>
    <n v="3"/>
    <m/>
    <m/>
    <m/>
    <s v="Chen Meng（11007521）"/>
    <s v="Xu Lan（11013544）"/>
    <m/>
    <m/>
    <m/>
    <m/>
    <s v="OK"/>
  </r>
  <r>
    <s v="CN15"/>
    <n v="11018791"/>
    <s v="马 薇"/>
    <s v="Ma Wei"/>
    <s v="Indirect Active"/>
    <s v="OP"/>
    <s v="GPL-CN"/>
    <s v="GPL-SC8XN"/>
    <s v="231130"/>
    <d v="2021-09-29T00:00:00"/>
    <s v="Senior Specialist"/>
    <s v="Senior Channel FCST &amp; Fulfillment"/>
    <x v="1"/>
    <n v="2"/>
    <x v="1"/>
    <n v="15742"/>
    <n v="0.03"/>
    <n v="472"/>
    <n v="0"/>
    <n v="0"/>
    <n v="2.9983483674247236E-2"/>
    <n v="472"/>
    <n v="16214"/>
    <n v="16214"/>
    <n v="472"/>
    <x v="11"/>
    <s v="2.40%-3.60%"/>
    <m/>
    <m/>
    <m/>
    <m/>
    <n v="0"/>
    <n v="16214"/>
    <n v="472"/>
    <n v="2.9983483674247191E-2"/>
    <n v="14"/>
    <n v="450"/>
    <m/>
    <n v="688"/>
    <n v="233084"/>
    <n v="3"/>
    <m/>
    <m/>
    <m/>
    <s v="Chen Meng（11007521）"/>
    <s v="Xu Lan（11013544）"/>
    <m/>
    <m/>
    <m/>
    <m/>
    <s v="OK"/>
  </r>
  <r>
    <s v="CN15"/>
    <n v="11018893"/>
    <s v="姜 丽"/>
    <s v="Jiang Lily-Li"/>
    <s v="Indirect Active"/>
    <s v="OP"/>
    <s v="GPL-CN"/>
    <s v="GPL-SC8X2"/>
    <s v="210152"/>
    <d v="2021-10-18T00:00:00"/>
    <s v="Specialist"/>
    <s v="Specialist"/>
    <x v="2"/>
    <n v="2"/>
    <x v="1"/>
    <n v="11412"/>
    <n v="0.03"/>
    <n v="342"/>
    <n v="0"/>
    <n v="0"/>
    <n v="2.996845425867508E-2"/>
    <n v="342"/>
    <n v="11754"/>
    <n v="11754"/>
    <n v="342"/>
    <x v="11"/>
    <s v="2.40%-3.60%"/>
    <m/>
    <m/>
    <m/>
    <m/>
    <n v="0"/>
    <n v="11754"/>
    <n v="342"/>
    <n v="2.9968454258675115E-2"/>
    <n v="14"/>
    <n v="450"/>
    <m/>
    <n v="688"/>
    <n v="170644"/>
    <n v="4"/>
    <m/>
    <m/>
    <m/>
    <s v="Chen Meng（11007521）"/>
    <s v="Xu Lan（11013544）"/>
    <m/>
    <m/>
    <m/>
    <m/>
    <s v="OK"/>
  </r>
  <r>
    <s v="CN15"/>
    <n v="11019395"/>
    <s v="包 利利"/>
    <s v="Bao Lillie"/>
    <s v="Indirect Active"/>
    <s v="OP"/>
    <s v="GPL-CN"/>
    <s v="GPL-SC8X1"/>
    <s v="210152"/>
    <d v="2022-04-22T00:00:00"/>
    <s v="Senior Specialist"/>
    <s v="Senior Specialist"/>
    <x v="1"/>
    <n v="2"/>
    <x v="2"/>
    <n v="12384"/>
    <n v="0"/>
    <n v="0"/>
    <n v="0"/>
    <n v="0"/>
    <n v="0"/>
    <n v="0"/>
    <n v="12384"/>
    <n v="12584"/>
    <n v="200"/>
    <x v="156"/>
    <s v="0.00%-0.00%"/>
    <m/>
    <m/>
    <m/>
    <m/>
    <n v="0"/>
    <n v="12584"/>
    <n v="200"/>
    <n v="1.6149870801033694E-2"/>
    <n v="14"/>
    <n v="450"/>
    <m/>
    <n v="688"/>
    <n v="182264"/>
    <n v="4"/>
    <m/>
    <m/>
    <m/>
    <s v="Chen Meng（11007521）"/>
    <s v="Xu Lan（11013544）"/>
    <m/>
    <m/>
    <m/>
    <m/>
    <s v="&gt;20"/>
  </r>
  <r>
    <s v="CN15"/>
    <n v="11019442"/>
    <s v="祁 清纯"/>
    <s v="Qi Qingchun"/>
    <s v="Indirect Active"/>
    <s v="OP"/>
    <s v="GPL-CN"/>
    <s v="GPL-SC8X3"/>
    <s v="210152"/>
    <d v="2022-04-25T00:00:00"/>
    <s v="Specialist"/>
    <s v="Specialist"/>
    <x v="2"/>
    <n v="2"/>
    <x v="1"/>
    <n v="13358"/>
    <n v="1.4999999999999998E-2"/>
    <n v="200"/>
    <n v="0"/>
    <n v="0"/>
    <n v="1.4972301242701004E-2"/>
    <n v="200"/>
    <n v="13558"/>
    <n v="13558"/>
    <n v="200"/>
    <x v="112"/>
    <s v="1.20%-1.80%"/>
    <m/>
    <m/>
    <m/>
    <m/>
    <n v="0"/>
    <n v="13558"/>
    <n v="200"/>
    <n v="1.4972301242700992E-2"/>
    <n v="14"/>
    <n v="450"/>
    <m/>
    <n v="688"/>
    <n v="195900"/>
    <s v="NA"/>
    <m/>
    <m/>
    <m/>
    <s v="Chen Meng（11007521）"/>
    <s v="Xu Lan（11013544）"/>
    <m/>
    <m/>
    <m/>
    <m/>
    <s v="OK"/>
  </r>
  <r>
    <s v="CN15"/>
    <n v="11000597"/>
    <s v="徐 蓓"/>
    <s v="Xu Bei"/>
    <s v="Indirect Active"/>
    <s v="OP"/>
    <s v="GOM-DCC"/>
    <s v="GOM-DCC"/>
    <s v="224011"/>
    <d v="1999-11-15T00:00:00"/>
    <s v="Professional"/>
    <s v="Product Manager"/>
    <x v="0"/>
    <n v="2"/>
    <x v="1"/>
    <n v="21682"/>
    <n v="3.7500000000000006E-2"/>
    <n v="813"/>
    <n v="1.55E-2"/>
    <n v="336"/>
    <n v="5.2993266303846508E-2"/>
    <n v="1149"/>
    <n v="22831"/>
    <n v="23050"/>
    <n v="1368"/>
    <x v="157"/>
    <s v="4.24%-6.36%"/>
    <m/>
    <m/>
    <m/>
    <m/>
    <n v="0"/>
    <n v="23050"/>
    <n v="1368"/>
    <n v="6.3093810534083472E-2"/>
    <n v="14"/>
    <n v="450"/>
    <m/>
    <n v="688"/>
    <n v="328788"/>
    <n v="3"/>
    <m/>
    <m/>
    <m/>
    <s v="Pan Jian（15013507）"/>
    <s v="Zhu Qianqian（11016705）"/>
    <m/>
    <m/>
    <m/>
    <m/>
    <s v="OK"/>
  </r>
  <r>
    <s v="CN15"/>
    <n v="11010154"/>
    <s v="顾 海波"/>
    <s v="Gu Haibo"/>
    <s v="Indirect Active"/>
    <s v="OP"/>
    <s v="GOM-DCC"/>
    <s v="GOM-DCC"/>
    <s v="224011"/>
    <d v="2007-07-03T00:00:00"/>
    <s v="Function Manager"/>
    <s v="Function Manager"/>
    <x v="3"/>
    <n v="2"/>
    <x v="2"/>
    <n v="25993"/>
    <n v="2.5000000000000001E-2"/>
    <n v="650"/>
    <n v="0"/>
    <n v="0"/>
    <n v="2.5006732581848958E-2"/>
    <n v="650"/>
    <n v="26643"/>
    <n v="26773"/>
    <n v="780"/>
    <x v="11"/>
    <s v="2.00%-3.00%"/>
    <m/>
    <m/>
    <m/>
    <m/>
    <n v="0"/>
    <n v="26773"/>
    <n v="780"/>
    <n v="3.0008079098218676E-2"/>
    <n v="14"/>
    <n v="500"/>
    <m/>
    <n v="688"/>
    <n v="381510"/>
    <n v="4"/>
    <m/>
    <m/>
    <m/>
    <s v="Pan Jian（15013507）"/>
    <s v="Zhu Qianqian（11016705）"/>
    <m/>
    <m/>
    <m/>
    <m/>
    <s v="OK"/>
  </r>
  <r>
    <s v="CN15"/>
    <n v="11010967"/>
    <s v="章 静雅"/>
    <s v="Zhang Jingya"/>
    <s v="Indirect Active"/>
    <s v="OP"/>
    <s v="GOM-DCC"/>
    <s v="GOM-DCC"/>
    <s v="224011"/>
    <d v="2014-06-03T00:00:00"/>
    <s v="Function Manager"/>
    <s v="Function Manager"/>
    <x v="3"/>
    <n v="2"/>
    <x v="2"/>
    <n v="33125"/>
    <n v="0"/>
    <n v="0"/>
    <n v="0"/>
    <n v="0"/>
    <n v="0"/>
    <n v="0"/>
    <n v="33125"/>
    <n v="33625"/>
    <n v="500"/>
    <x v="158"/>
    <s v="0.00%-0.00%"/>
    <m/>
    <m/>
    <m/>
    <m/>
    <n v="0"/>
    <n v="33625"/>
    <n v="500"/>
    <n v="1.5094339622641506E-2"/>
    <n v="14"/>
    <n v="450"/>
    <m/>
    <n v="688"/>
    <n v="476838"/>
    <n v="3"/>
    <m/>
    <s v="The NWL and glass accessory door projects have been very successful"/>
    <s v="Good performance and high competence"/>
    <s v="Pan Jian（15013507）"/>
    <s v="Zhu Qianqian（11016705）"/>
    <m/>
    <m/>
    <m/>
    <m/>
    <s v="&gt;20"/>
  </r>
  <r>
    <s v="CN15"/>
    <n v="11017101"/>
    <s v="温 康林"/>
    <s v="Wen Kanglin"/>
    <s v="Indirect Active"/>
    <s v="OP"/>
    <s v="GOM-DCC"/>
    <s v="GOM-DCC"/>
    <s v="224011"/>
    <d v="2020-02-03T00:00:00"/>
    <s v="Senior Specialist"/>
    <s v="Senior Product Specialist"/>
    <x v="1"/>
    <n v="2"/>
    <x v="1"/>
    <n v="15188"/>
    <n v="3.7500000000000006E-2"/>
    <n v="570"/>
    <n v="1.55E-2"/>
    <n v="235"/>
    <n v="5.3002370292336058E-2"/>
    <n v="805"/>
    <n v="15993"/>
    <n v="15990"/>
    <n v="802"/>
    <x v="159"/>
    <s v="4.24%-6.36%"/>
    <s v="Promotion"/>
    <s v="Product Manager"/>
    <s v="A6"/>
    <n v="6.6500000000000004E-2"/>
    <n v="1010"/>
    <n v="17000"/>
    <n v="1812"/>
    <n v="0.11930471424809053"/>
    <n v="14"/>
    <n v="450"/>
    <m/>
    <n v="688"/>
    <n v="244088"/>
    <n v="3"/>
    <m/>
    <s v="Good performance and high competence"/>
    <s v="Good performance and high competence"/>
    <s v="Pan Jian（15013507）"/>
    <s v="Zhu Qianqian（11016705）"/>
    <m/>
    <m/>
    <m/>
    <m/>
    <s v="OK"/>
  </r>
  <r>
    <s v="CN15"/>
    <n v="15003738"/>
    <s v="张 萍"/>
    <s v="Zhang Ping"/>
    <s v="Indirect Active"/>
    <s v="OP"/>
    <s v="GOM-DCC"/>
    <s v="GOM-DCC"/>
    <s v="224011"/>
    <d v="2010-05-05T00:00:00"/>
    <s v="Specialist"/>
    <s v="Product Specialist"/>
    <x v="2"/>
    <n v="2"/>
    <x v="2"/>
    <n v="11723"/>
    <n v="2.5000000000000001E-2"/>
    <n v="293"/>
    <n v="0"/>
    <n v="0"/>
    <n v="2.4993602320225197E-2"/>
    <n v="293"/>
    <n v="12016"/>
    <n v="12065"/>
    <n v="342"/>
    <x v="160"/>
    <s v="2.00%-3.00%"/>
    <m/>
    <m/>
    <m/>
    <m/>
    <n v="0"/>
    <n v="12065"/>
    <n v="342"/>
    <n v="2.9173419773095732E-2"/>
    <n v="14"/>
    <n v="450"/>
    <m/>
    <n v="688"/>
    <n v="174998"/>
    <n v="3"/>
    <m/>
    <m/>
    <m/>
    <s v="Pan Jian（15013507）"/>
    <s v="Zhu Qianqian（11016705）"/>
    <m/>
    <m/>
    <m/>
    <m/>
    <s v="OK"/>
  </r>
  <r>
    <s v="CN15"/>
    <n v="15004087"/>
    <s v="朱 秋娜"/>
    <s v="Zhu Qiuna"/>
    <s v="Indirect Active"/>
    <s v="OP"/>
    <s v="GOM-DCC"/>
    <s v="GOM-DCC"/>
    <s v="224011"/>
    <d v="2010-07-01T00:00:00"/>
    <s v="Senior Professional"/>
    <s v="Senior Product Manager"/>
    <x v="3"/>
    <n v="2"/>
    <x v="2"/>
    <n v="21000"/>
    <n v="2.5000000000000001E-2"/>
    <n v="525"/>
    <n v="0"/>
    <n v="0"/>
    <n v="2.5000000000000001E-2"/>
    <n v="525"/>
    <n v="21525"/>
    <n v="21800"/>
    <n v="800"/>
    <x v="161"/>
    <s v="2.00%-3.00%"/>
    <m/>
    <m/>
    <m/>
    <m/>
    <n v="0"/>
    <n v="21800"/>
    <n v="800"/>
    <n v="3.8095238095238182E-2"/>
    <n v="14"/>
    <n v="450"/>
    <m/>
    <n v="688"/>
    <n v="311288"/>
    <n v="3"/>
    <m/>
    <s v="The successful progress of complexity reduction and portfolio optimization"/>
    <s v="Good performance and high competence"/>
    <s v="Pan Jian（15013507）"/>
    <s v="Zhu Qianqian（11016705）"/>
    <m/>
    <m/>
    <m/>
    <m/>
    <s v="&gt;20"/>
  </r>
  <r>
    <s v="CN15"/>
    <n v="15013583"/>
    <s v="范 建政"/>
    <s v="Fan Jianzheng"/>
    <s v="Indirect Active"/>
    <s v="OP"/>
    <s v="GOM-DCC"/>
    <s v="GOM-DCC"/>
    <s v="120710"/>
    <d v="2014-08-06T00:00:00"/>
    <s v="Project Manager"/>
    <s v="Project Manager"/>
    <x v="0"/>
    <n v="2"/>
    <x v="2"/>
    <n v="23030"/>
    <n v="0"/>
    <n v="0"/>
    <n v="0"/>
    <n v="0"/>
    <n v="0"/>
    <n v="0"/>
    <n v="23030"/>
    <n v="23530"/>
    <n v="500"/>
    <x v="162"/>
    <s v="0.00%-0.00%"/>
    <m/>
    <m/>
    <m/>
    <m/>
    <n v="0"/>
    <n v="23530"/>
    <n v="500"/>
    <n v="2.1710811984368306E-2"/>
    <n v="14"/>
    <n v="450"/>
    <m/>
    <n v="688"/>
    <n v="335508"/>
    <n v="5"/>
    <m/>
    <s v="The successful progress of 6CN and Venus Projects to support MK share gain"/>
    <s v="Good performance and high competence"/>
    <s v="Pan Jian（15013507）"/>
    <s v="Zhu Qianqian（11016705）"/>
    <m/>
    <m/>
    <m/>
    <m/>
    <s v="&gt;20"/>
  </r>
  <r>
    <s v="CN15"/>
    <n v="15007448"/>
    <s v="邢 雅坤"/>
    <s v="Xing Yakun"/>
    <s v="Indirect Active"/>
    <s v="OP"/>
    <s v="GOM-DCC"/>
    <s v="GOM-DCC"/>
    <s v="120710"/>
    <d v="2012-10-01T00:00:00"/>
    <s v="Project Manager"/>
    <s v="Project Manager"/>
    <x v="0"/>
    <n v="2"/>
    <x v="2"/>
    <n v="13040"/>
    <n v="0.03"/>
    <n v="391"/>
    <n v="0"/>
    <n v="0"/>
    <n v="2.9984662576687117E-2"/>
    <n v="391"/>
    <n v="13431"/>
    <n v="13500"/>
    <n v="460"/>
    <x v="163"/>
    <s v="2.40%-3.60%"/>
    <m/>
    <m/>
    <m/>
    <m/>
    <n v="0"/>
    <n v="13500"/>
    <n v="460"/>
    <n v="3.5276073619631809E-2"/>
    <n v="14"/>
    <n v="450"/>
    <m/>
    <n v="688"/>
    <n v="195088"/>
    <n v="3"/>
    <m/>
    <m/>
    <m/>
    <s v="Pan Jian（15013507）"/>
    <s v="Zhu Qianqian（11016705）"/>
    <m/>
    <m/>
    <m/>
    <m/>
    <s v="OK"/>
  </r>
  <r>
    <s v="CN15"/>
    <n v="15004523"/>
    <s v="许 超"/>
    <s v="Xu Chao"/>
    <s v="Indirect Active"/>
    <s v="OP"/>
    <s v="GOM-DCC"/>
    <s v="GOM-DCC"/>
    <s v="120710"/>
    <d v="2010-09-14T00:00:00"/>
    <s v="Project Director"/>
    <s v="Project Director"/>
    <x v="5"/>
    <n v="2"/>
    <x v="0"/>
    <n v="37392"/>
    <n v="0.06"/>
    <n v="2244"/>
    <n v="2.7E-2"/>
    <n v="1010"/>
    <n v="8.7023962344886602E-2"/>
    <n v="3254"/>
    <n v="40646"/>
    <n v="38907"/>
    <n v="1515"/>
    <x v="164"/>
    <s v="6.96%-10.44%"/>
    <m/>
    <m/>
    <m/>
    <m/>
    <n v="0"/>
    <n v="38907"/>
    <n v="1515"/>
    <n v="4.0516688061617456E-2"/>
    <n v="14"/>
    <n v="450"/>
    <n v="1000"/>
    <n v="688"/>
    <n v="562786"/>
    <n v="3"/>
    <m/>
    <s v="The comprehensive consideration results of the past three years"/>
    <s v="Internal balance"/>
    <s v="Pan Jian（15013507）"/>
    <s v="Zhu Qianqian（11016705）"/>
    <m/>
    <m/>
    <m/>
    <m/>
    <s v="&lt;20"/>
  </r>
  <r>
    <s v="CN15"/>
    <n v="11010202"/>
    <s v="赵 青青"/>
    <s v="Zhao Qingqing"/>
    <s v="Indirect Active"/>
    <s v="OP"/>
    <s v="GOM-CGC"/>
    <s v="GOM-CGC"/>
    <s v="221010"/>
    <d v="2013-12-02T00:00:00"/>
    <s v="Function Manager"/>
    <s v="Function Manager"/>
    <x v="3"/>
    <n v="2"/>
    <x v="2"/>
    <n v="30275"/>
    <n v="0"/>
    <n v="0"/>
    <n v="0"/>
    <n v="0"/>
    <n v="0"/>
    <n v="0"/>
    <n v="30275"/>
    <n v="30275"/>
    <n v="0"/>
    <x v="5"/>
    <s v="0.00%-0.00%"/>
    <m/>
    <m/>
    <m/>
    <m/>
    <n v="0"/>
    <n v="30275"/>
    <n v="0"/>
    <n v="0"/>
    <n v="14"/>
    <n v="450"/>
    <m/>
    <n v="688"/>
    <n v="429938"/>
    <n v="4"/>
    <m/>
    <m/>
    <m/>
    <s v="Tao Song（15000036）"/>
    <s v="Zhu Qianqian（11016705）"/>
    <m/>
    <m/>
    <m/>
    <m/>
    <s v="OK"/>
  </r>
  <r>
    <s v="CN15"/>
    <n v="11011127"/>
    <s v="熊 敏"/>
    <s v="Xiong Min"/>
    <s v="Indirect Active"/>
    <s v="OP"/>
    <s v="GOM-CGC"/>
    <s v="GOM-CGCO"/>
    <s v="221012"/>
    <d v="2014-07-01T00:00:00"/>
    <s v="Function Manager"/>
    <s v="Function Manager"/>
    <x v="3"/>
    <n v="2"/>
    <x v="0"/>
    <n v="32591"/>
    <n v="0.04"/>
    <n v="1304"/>
    <n v="0"/>
    <n v="0"/>
    <n v="4.00110459942929E-2"/>
    <n v="1304"/>
    <n v="33895"/>
    <n v="33691"/>
    <n v="1100"/>
    <x v="165"/>
    <s v="3.20%-4.80%"/>
    <m/>
    <m/>
    <m/>
    <m/>
    <n v="0"/>
    <n v="33691"/>
    <n v="1100"/>
    <n v="3.3751649228314529E-2"/>
    <n v="14"/>
    <n v="450"/>
    <m/>
    <n v="688"/>
    <n v="477762"/>
    <n v="4"/>
    <m/>
    <m/>
    <m/>
    <s v="Tao Song（15000036）"/>
    <s v="Zhu Qianqian（11016705）"/>
    <m/>
    <m/>
    <m/>
    <m/>
    <s v="OK"/>
  </r>
  <r>
    <s v="CN15"/>
    <n v="11012702"/>
    <s v="游 超林"/>
    <s v="You Chaolin"/>
    <s v="Indirect Active"/>
    <s v="OP"/>
    <s v="GOM-CGC"/>
    <s v="GOM-CGCH"/>
    <s v="221010"/>
    <d v="2015-06-23T00:00:00"/>
    <s v="Manager"/>
    <s v="Head of Product Line Mgt&amp;Lifecy,Hood,Hob"/>
    <x v="3"/>
    <n v="2"/>
    <x v="0"/>
    <n v="33705"/>
    <n v="0.03"/>
    <n v="1011"/>
    <n v="0"/>
    <n v="0"/>
    <n v="2.9995549621717847E-2"/>
    <n v="1011"/>
    <n v="34716"/>
    <n v="34716"/>
    <n v="1011"/>
    <x v="11"/>
    <s v="2.40%-3.60%"/>
    <m/>
    <m/>
    <m/>
    <m/>
    <n v="0"/>
    <n v="34716"/>
    <n v="1011"/>
    <n v="2.999554962171791E-2"/>
    <n v="14"/>
    <n v="450"/>
    <m/>
    <n v="688"/>
    <n v="492112"/>
    <n v="5"/>
    <m/>
    <m/>
    <m/>
    <s v="Tao Song（15000036）"/>
    <s v="Zhu Qianqian（11016705）"/>
    <m/>
    <m/>
    <m/>
    <m/>
    <s v="OK"/>
  </r>
  <r>
    <s v="CN15"/>
    <n v="11013280"/>
    <s v="杨 悦"/>
    <s v="Yang Yue"/>
    <s v="Indirect Active"/>
    <s v="OP"/>
    <s v="GOM-CGC"/>
    <s v="GOM-CGCH"/>
    <s v="221010"/>
    <d v="2016-07-01T00:00:00"/>
    <s v="Senior Specialist"/>
    <s v="Senior Product Specialist"/>
    <x v="1"/>
    <n v="2"/>
    <x v="2"/>
    <n v="16667"/>
    <n v="2.5000000000000001E-2"/>
    <n v="417"/>
    <n v="0"/>
    <n v="0"/>
    <n v="2.5019499610007798E-2"/>
    <n v="417"/>
    <n v="17084"/>
    <n v="17084"/>
    <n v="417"/>
    <x v="13"/>
    <s v="2.00%-3.00%"/>
    <m/>
    <m/>
    <m/>
    <m/>
    <n v="0"/>
    <n v="17084"/>
    <n v="417"/>
    <n v="2.5019499610007712E-2"/>
    <n v="14"/>
    <n v="450"/>
    <m/>
    <n v="688"/>
    <n v="245264"/>
    <n v="3"/>
    <m/>
    <m/>
    <m/>
    <s v="Tao Song（15000036）"/>
    <s v="Zhu Qianqian（11016705）"/>
    <m/>
    <m/>
    <m/>
    <m/>
    <s v="OK"/>
  </r>
  <r>
    <s v="CN15"/>
    <n v="11013311"/>
    <s v="仇 艳"/>
    <s v="Qiu Yan"/>
    <s v="Indirect Active"/>
    <s v="OP"/>
    <s v="GOM-CGC"/>
    <s v="GOM-CGCO"/>
    <s v="221012"/>
    <d v="2015-10-26T00:00:00"/>
    <s v="Professional"/>
    <s v="Product Manager"/>
    <x v="0"/>
    <n v="2"/>
    <x v="2"/>
    <n v="24190"/>
    <n v="0"/>
    <n v="0"/>
    <n v="0"/>
    <n v="0"/>
    <n v="0"/>
    <n v="0"/>
    <n v="24190"/>
    <n v="24190"/>
    <n v="0"/>
    <x v="5"/>
    <s v="0.00%-0.00%"/>
    <m/>
    <m/>
    <m/>
    <m/>
    <n v="0"/>
    <n v="24190"/>
    <n v="0"/>
    <n v="0"/>
    <n v="14"/>
    <n v="450"/>
    <m/>
    <n v="688"/>
    <n v="344748"/>
    <n v="3"/>
    <m/>
    <m/>
    <m/>
    <s v="Tao Song（15000036）"/>
    <s v="Zhu Qianqian（11016705）"/>
    <m/>
    <m/>
    <m/>
    <m/>
    <s v="OK"/>
  </r>
  <r>
    <s v="CN15"/>
    <n v="11015853"/>
    <s v="贾 妍"/>
    <s v="Jia Yan"/>
    <s v="Indirect Active"/>
    <s v="OP"/>
    <s v="GOM-CGC"/>
    <s v="GOM-CGCH"/>
    <s v="221010"/>
    <d v="2018-03-05T00:00:00"/>
    <s v="Professional"/>
    <s v="Product Manager"/>
    <x v="0"/>
    <n v="2"/>
    <x v="2"/>
    <n v="22904"/>
    <n v="2.5000000000000001E-2"/>
    <n v="573"/>
    <n v="0"/>
    <n v="0"/>
    <n v="2.5017464198393295E-2"/>
    <n v="573"/>
    <n v="23477"/>
    <n v="23477"/>
    <n v="573"/>
    <x v="13"/>
    <s v="2.00%-3.00%"/>
    <m/>
    <m/>
    <m/>
    <m/>
    <n v="0"/>
    <n v="23477"/>
    <n v="573"/>
    <n v="2.5017464198393347E-2"/>
    <n v="14"/>
    <n v="450"/>
    <m/>
    <n v="688"/>
    <n v="334766"/>
    <n v="3"/>
    <m/>
    <m/>
    <m/>
    <s v="Tao Song（15000036）"/>
    <s v="Zhu Qianqian（11016705）"/>
    <m/>
    <m/>
    <m/>
    <m/>
    <s v="OK"/>
  </r>
  <r>
    <s v="CN15"/>
    <n v="15002543"/>
    <s v="冯 琳"/>
    <s v="Feng Lin"/>
    <s v="Indirect Active"/>
    <s v="OP"/>
    <s v="GOM-CGC"/>
    <s v="GOM-CGCO"/>
    <s v="221012"/>
    <d v="2009-06-29T00:00:00"/>
    <s v="Professional"/>
    <s v="Product Manager"/>
    <x v="0"/>
    <n v="2"/>
    <x v="2"/>
    <n v="19055"/>
    <n v="2.5000000000000001E-2"/>
    <n v="476"/>
    <n v="0"/>
    <n v="0"/>
    <n v="2.4980320125951194E-2"/>
    <n v="476"/>
    <n v="19531"/>
    <n v="19531"/>
    <n v="476"/>
    <x v="13"/>
    <s v="2.00%-3.00%"/>
    <m/>
    <m/>
    <m/>
    <m/>
    <n v="0"/>
    <n v="19531"/>
    <n v="476"/>
    <n v="2.4980320125951083E-2"/>
    <n v="14"/>
    <n v="450"/>
    <m/>
    <n v="688"/>
    <n v="279522"/>
    <n v="3"/>
    <m/>
    <m/>
    <m/>
    <s v="Tao Song（15000036）"/>
    <s v="Zhu Qianqian（11016705）"/>
    <m/>
    <m/>
    <m/>
    <m/>
    <s v="OK"/>
  </r>
  <r>
    <s v="CN15"/>
    <n v="15004449"/>
    <s v="陈 明"/>
    <s v="Chen Ming"/>
    <s v="Indirect Active"/>
    <s v="OP"/>
    <s v="GOM-CGC"/>
    <s v="GOM-CGCH"/>
    <s v="221010"/>
    <d v="2010-09-01T00:00:00"/>
    <s v="Senior Specialist"/>
    <s v="Product Specialist"/>
    <x v="1"/>
    <n v="2"/>
    <x v="2"/>
    <n v="20222"/>
    <n v="0"/>
    <n v="0"/>
    <n v="0"/>
    <n v="0"/>
    <n v="0"/>
    <n v="0"/>
    <n v="20222"/>
    <n v="20222"/>
    <n v="0"/>
    <x v="5"/>
    <s v="0.00%-0.00%"/>
    <m/>
    <m/>
    <m/>
    <m/>
    <n v="0"/>
    <n v="20222"/>
    <n v="0"/>
    <n v="0"/>
    <n v="14"/>
    <n v="450"/>
    <m/>
    <n v="688"/>
    <n v="289196"/>
    <n v="1"/>
    <m/>
    <m/>
    <m/>
    <s v="Tao Song（15000036）"/>
    <s v="Zhu Qianqian（11016705）"/>
    <m/>
    <m/>
    <m/>
    <m/>
    <s v="OK"/>
  </r>
  <r>
    <s v="CN15"/>
    <n v="15012982"/>
    <s v="陈 传文"/>
    <s v="Chen Chuanwen"/>
    <s v="Indirect Active"/>
    <s v="OP"/>
    <s v="GOM-CGC"/>
    <s v="GOM-CGCO"/>
    <s v="221012"/>
    <d v="2014-07-01T00:00:00"/>
    <s v="Senior Specialist"/>
    <s v="Product Specialist"/>
    <x v="1"/>
    <n v="2"/>
    <x v="1"/>
    <n v="16004"/>
    <n v="3.7500000000000006E-2"/>
    <n v="600"/>
    <n v="1.55E-2"/>
    <n v="248"/>
    <n v="5.2986753311672082E-2"/>
    <n v="848"/>
    <n v="16852"/>
    <n v="16852"/>
    <n v="848"/>
    <x v="40"/>
    <s v="4.24%-6.36%"/>
    <s v="Promotion"/>
    <s v="Product Manager"/>
    <s v="A6"/>
    <n v="0.122"/>
    <n v="1952"/>
    <n v="18804"/>
    <n v="2800"/>
    <n v="0.17495626093476635"/>
    <n v="14"/>
    <n v="450"/>
    <m/>
    <n v="688"/>
    <n v="269344"/>
    <n v="3"/>
    <m/>
    <s v="good performance and competence enhanced in last 2 years"/>
    <s v="Good performance and high competence"/>
    <s v="Tao Song（15000036）"/>
    <s v="Zhu Qianqian（11016705）"/>
    <m/>
    <m/>
    <m/>
    <m/>
    <s v="OK"/>
  </r>
  <r>
    <s v="CN15"/>
    <n v="15013693"/>
    <s v="聂 翔"/>
    <s v="Nie Xiang"/>
    <s v="Indirect Active"/>
    <s v="OP"/>
    <s v="GOM-CGC"/>
    <s v="GOM-CGCH"/>
    <s v="221010"/>
    <d v="2014-10-15T00:00:00"/>
    <s v="Professional"/>
    <s v="Product Manager"/>
    <x v="0"/>
    <n v="2"/>
    <x v="1"/>
    <n v="16370"/>
    <n v="4.4999999999999998E-2"/>
    <n v="737"/>
    <n v="4.2099999999999999E-2"/>
    <n v="689"/>
    <n v="8.7110568112400727E-2"/>
    <n v="1426"/>
    <n v="17796"/>
    <n v="18000"/>
    <n v="1630"/>
    <x v="166"/>
    <s v="6.97%-10.45%"/>
    <m/>
    <m/>
    <m/>
    <m/>
    <n v="0"/>
    <n v="18000"/>
    <n v="1630"/>
    <n v="9.9572388515577259E-2"/>
    <n v="14"/>
    <n v="450"/>
    <m/>
    <n v="688"/>
    <n v="258088"/>
    <n v="3"/>
    <m/>
    <m/>
    <m/>
    <s v="Tao Song（15000036）"/>
    <s v="Zhu Qianqian（11016705）"/>
    <m/>
    <m/>
    <m/>
    <m/>
    <s v="OK"/>
  </r>
  <r>
    <s v="CN15"/>
    <n v="15017520"/>
    <s v="庞 志鹏"/>
    <s v="Pang Zhipeng"/>
    <s v="Indirect Active"/>
    <s v="OP"/>
    <s v="GOM-CGC"/>
    <s v="GOM-CGCO"/>
    <s v="221012"/>
    <d v="2017-06-07T00:00:00"/>
    <s v="Professional"/>
    <s v="Digital Product Manager"/>
    <x v="0"/>
    <n v="2"/>
    <x v="3"/>
    <n v="21600"/>
    <n v="0"/>
    <n v="0"/>
    <n v="0"/>
    <n v="0"/>
    <n v="0"/>
    <n v="0"/>
    <n v="21600"/>
    <n v="21600"/>
    <n v="0"/>
    <x v="5"/>
    <s v="0.00%-0.00%"/>
    <m/>
    <m/>
    <m/>
    <m/>
    <n v="0"/>
    <n v="21600"/>
    <n v="0"/>
    <n v="0"/>
    <n v="14"/>
    <n v="450"/>
    <m/>
    <n v="688"/>
    <n v="308488"/>
    <n v="2"/>
    <m/>
    <m/>
    <m/>
    <s v="Tao Song（15000036）"/>
    <s v="Zhu Qianqian（11016705）"/>
    <m/>
    <m/>
    <m/>
    <m/>
    <s v="OK"/>
  </r>
  <r>
    <s v="CN15"/>
    <n v="11004452"/>
    <s v="程 伟"/>
    <s v="Cheng Wei"/>
    <s v="Indirect Active"/>
    <s v="OP"/>
    <s v="GOM-CGC"/>
    <s v="GOM-CGCP"/>
    <s v="130711"/>
    <d v="2007-08-02T00:00:00"/>
    <s v="Project Manager"/>
    <s v="Project Manager"/>
    <x v="0"/>
    <n v="2"/>
    <x v="1"/>
    <n v="25432"/>
    <n v="0.03"/>
    <n v="763"/>
    <n v="0"/>
    <n v="0"/>
    <n v="3.0001572821642026E-2"/>
    <n v="763"/>
    <n v="26195"/>
    <n v="26195"/>
    <n v="763"/>
    <x v="11"/>
    <s v="2.40%-3.60%"/>
    <m/>
    <m/>
    <m/>
    <m/>
    <n v="0"/>
    <n v="26195"/>
    <n v="763"/>
    <n v="3.0001572821642064E-2"/>
    <n v="14"/>
    <n v="450"/>
    <m/>
    <n v="688"/>
    <n v="372818"/>
    <n v="5"/>
    <m/>
    <m/>
    <m/>
    <s v="Tao Song（15000036）"/>
    <s v="Zhu Qianqian（11016705）"/>
    <m/>
    <m/>
    <m/>
    <m/>
    <s v="OK"/>
  </r>
  <r>
    <s v="CN15"/>
    <n v="15000773"/>
    <s v="李 红敏"/>
    <s v="Li Hongmin"/>
    <s v="Indirect Active"/>
    <s v="OP"/>
    <s v="GOM-CGC"/>
    <s v="GOM-CGCP"/>
    <s v="130711"/>
    <d v="2007-09-01T00:00:00"/>
    <s v="Senior Project Manager"/>
    <s v="Senior Project Manager"/>
    <x v="3"/>
    <n v="2"/>
    <x v="2"/>
    <n v="26264"/>
    <n v="2.5000000000000001E-2"/>
    <n v="657"/>
    <n v="0"/>
    <n v="0"/>
    <n v="2.501522997258605E-2"/>
    <n v="657"/>
    <n v="26921"/>
    <n v="26921"/>
    <n v="657"/>
    <x v="13"/>
    <s v="2.00%-3.00%"/>
    <m/>
    <m/>
    <m/>
    <m/>
    <n v="0"/>
    <n v="26921"/>
    <n v="657"/>
    <n v="2.5015229972586095E-2"/>
    <n v="14"/>
    <n v="450"/>
    <m/>
    <n v="688"/>
    <n v="382982"/>
    <n v="3"/>
    <m/>
    <m/>
    <m/>
    <s v="Tao Song（15000036）"/>
    <s v="Zhu Qianqian（11016705）"/>
    <m/>
    <m/>
    <m/>
    <m/>
    <s v="OK"/>
  </r>
  <r>
    <s v="CN15"/>
    <n v="15017772"/>
    <s v="毛 燕"/>
    <s v="Mao Yan"/>
    <s v="Indirect Active"/>
    <s v="OP"/>
    <s v="GOM-CGC"/>
    <s v="GOM-CGCP"/>
    <s v="130711"/>
    <d v="2017-07-05T00:00:00"/>
    <s v="Senior Project Manager"/>
    <s v="Senior Project Manager"/>
    <x v="3"/>
    <n v="2"/>
    <x v="2"/>
    <n v="28040"/>
    <n v="2.5000000000000001E-2"/>
    <n v="701"/>
    <n v="0"/>
    <n v="0"/>
    <n v="2.5000000000000001E-2"/>
    <n v="701"/>
    <n v="28741"/>
    <n v="28741"/>
    <n v="701"/>
    <x v="13"/>
    <s v="2.00%-3.00%"/>
    <m/>
    <m/>
    <m/>
    <m/>
    <n v="0"/>
    <n v="28741"/>
    <n v="701"/>
    <n v="2.4999999999999911E-2"/>
    <n v="14"/>
    <n v="450"/>
    <m/>
    <n v="688"/>
    <n v="408462"/>
    <n v="3"/>
    <m/>
    <m/>
    <m/>
    <s v="Tao Song（15000036）"/>
    <s v="Zhu Qianqian（11016705）"/>
    <m/>
    <m/>
    <m/>
    <m/>
    <s v="OK"/>
  </r>
  <r>
    <s v="CN15"/>
    <n v="15013625"/>
    <s v="苏 舒"/>
    <s v="Su Shu"/>
    <s v="Indirect Active"/>
    <s v="OP"/>
    <s v="GOM-CGC"/>
    <s v="GOM-CGCP"/>
    <s v="130711"/>
    <d v="2014-08-25T00:00:00"/>
    <s v="Director"/>
    <s v="Head of Project Management"/>
    <x v="5"/>
    <n v="2"/>
    <x v="2"/>
    <n v="37970"/>
    <n v="0.03"/>
    <n v="1139"/>
    <n v="0"/>
    <n v="0"/>
    <n v="2.9997366341848828E-2"/>
    <n v="1139"/>
    <n v="39109"/>
    <n v="39109"/>
    <n v="1139"/>
    <x v="11"/>
    <s v="2.40%-3.60%"/>
    <m/>
    <m/>
    <m/>
    <m/>
    <n v="0"/>
    <n v="39109"/>
    <n v="1139"/>
    <n v="2.9997366341848908E-2"/>
    <n v="14"/>
    <n v="550"/>
    <n v="1000"/>
    <n v="688"/>
    <n v="566814"/>
    <n v="4"/>
    <m/>
    <m/>
    <m/>
    <s v="Tao Song（15000036）"/>
    <s v="Zhu Qianqian（11016705）"/>
    <m/>
    <m/>
    <m/>
    <m/>
    <s v="OK"/>
  </r>
  <r>
    <s v="CN15"/>
    <n v="15014793"/>
    <s v="杨 婷"/>
    <s v="Yang Ting"/>
    <s v="Indirect Active"/>
    <s v="OP"/>
    <s v="GOM-CGC"/>
    <s v="GOM-CGCP"/>
    <s v="130711"/>
    <d v="2015-08-24T00:00:00"/>
    <s v="Senior Project Manager"/>
    <s v="Senior Project Manager"/>
    <x v="3"/>
    <n v="2"/>
    <x v="5"/>
    <n v="20188"/>
    <n v="0"/>
    <n v="0"/>
    <n v="0"/>
    <n v="0"/>
    <n v="0"/>
    <n v="0"/>
    <n v="20188"/>
    <n v="20188"/>
    <n v="0"/>
    <x v="5"/>
    <s v="0.00%-0.00%"/>
    <m/>
    <m/>
    <m/>
    <m/>
    <n v="0"/>
    <n v="20188"/>
    <n v="0"/>
    <n v="0"/>
    <n v="14"/>
    <n v="450"/>
    <m/>
    <n v="688"/>
    <n v="288720"/>
    <n v="3"/>
    <m/>
    <m/>
    <m/>
    <s v="Tao Song（15000036）"/>
    <s v="Zhu Qianqian（11016705）"/>
    <m/>
    <m/>
    <m/>
    <m/>
    <s v="OK"/>
  </r>
  <r>
    <s v="CN15"/>
    <n v="11009617"/>
    <s v="王 慧"/>
    <s v="Wang Hui"/>
    <s v="Indirect Active"/>
    <s v="OP"/>
    <s v="GOM-LCC"/>
    <s v="GOM-LCCI"/>
    <s v="223010"/>
    <d v="2013-06-13T00:00:00"/>
    <s v="Senior Professional"/>
    <s v="Senior Product Manager"/>
    <x v="3"/>
    <n v="2"/>
    <x v="2"/>
    <n v="25013"/>
    <n v="2.5000000000000001E-2"/>
    <n v="625"/>
    <n v="0"/>
    <n v="0"/>
    <n v="2.4987006756486626E-2"/>
    <n v="625"/>
    <n v="25638"/>
    <n v="25638"/>
    <n v="625"/>
    <x v="13"/>
    <s v="2.00%-3.00%"/>
    <m/>
    <m/>
    <m/>
    <m/>
    <n v="0"/>
    <n v="25638"/>
    <n v="625"/>
    <n v="2.4987006756486574E-2"/>
    <n v="14"/>
    <n v="450"/>
    <m/>
    <n v="688"/>
    <n v="365020"/>
    <n v="4"/>
    <m/>
    <m/>
    <m/>
    <s v="Zhou Yan（15001209）"/>
    <s v="Zhu Qianqian（11016705）"/>
    <m/>
    <m/>
    <m/>
    <m/>
    <s v="OK"/>
  </r>
  <r>
    <s v="CN15"/>
    <n v="11009955"/>
    <s v="高 益宏"/>
    <s v="Gao Yihong"/>
    <s v="Indirect Active"/>
    <s v="OP"/>
    <s v="GOM-LCC"/>
    <s v="GOM-LCCL"/>
    <s v="223010"/>
    <d v="2005-02-01T00:00:00"/>
    <s v="Manager"/>
    <s v="Manager"/>
    <x v="3"/>
    <n v="2"/>
    <x v="2"/>
    <n v="33004"/>
    <n v="0"/>
    <n v="0"/>
    <n v="0"/>
    <n v="0"/>
    <n v="0"/>
    <n v="0"/>
    <n v="33004"/>
    <n v="33004"/>
    <n v="0"/>
    <x v="5"/>
    <s v="0.00%-0.00%"/>
    <m/>
    <m/>
    <m/>
    <m/>
    <n v="0"/>
    <n v="33004"/>
    <n v="0"/>
    <n v="0"/>
    <n v="14"/>
    <n v="450"/>
    <m/>
    <n v="688"/>
    <n v="468144"/>
    <n v="3"/>
    <m/>
    <m/>
    <m/>
    <s v="Zhou Yan（15001209）"/>
    <s v="Zhu Qianqian（11016705）"/>
    <m/>
    <m/>
    <m/>
    <m/>
    <s v="OK"/>
  </r>
  <r>
    <s v="CN15"/>
    <n v="11010708"/>
    <s v="严 芳"/>
    <s v="Yan Fang"/>
    <s v="Indirect Active"/>
    <s v="OP"/>
    <s v="GOM-LCC"/>
    <s v="GOM-LCCI"/>
    <s v="223010"/>
    <d v="2014-04-14T00:00:00"/>
    <s v="Senior Professional"/>
    <s v="Senior Product Manager"/>
    <x v="3"/>
    <n v="2"/>
    <x v="2"/>
    <n v="23655"/>
    <n v="2.5000000000000001E-2"/>
    <n v="591"/>
    <n v="0"/>
    <n v="0"/>
    <n v="2.4984147114774889E-2"/>
    <n v="591"/>
    <n v="24246"/>
    <n v="24246"/>
    <n v="591"/>
    <x v="13"/>
    <s v="2.00%-3.00%"/>
    <m/>
    <m/>
    <m/>
    <m/>
    <n v="0"/>
    <n v="24246"/>
    <n v="591"/>
    <n v="2.4984147114774924E-2"/>
    <n v="14"/>
    <n v="450"/>
    <m/>
    <n v="688"/>
    <n v="345532"/>
    <n v="4"/>
    <m/>
    <m/>
    <m/>
    <s v="Zhou Yan（15001209）"/>
    <s v="Zhu Qianqian（11016705）"/>
    <m/>
    <m/>
    <m/>
    <m/>
    <s v="OK"/>
  </r>
  <r>
    <s v="CN15"/>
    <n v="11011888"/>
    <s v="史 德荣"/>
    <s v="Shi Derong"/>
    <s v="Indirect Active"/>
    <s v="OP"/>
    <s v="GOM-LCC"/>
    <s v="GOM-LCCL"/>
    <s v="223010"/>
    <d v="2014-12-04T00:00:00"/>
    <s v="Senior Specialist"/>
    <s v="Senior Specialist"/>
    <x v="1"/>
    <n v="2"/>
    <x v="3"/>
    <n v="13300"/>
    <n v="0"/>
    <n v="0"/>
    <n v="0"/>
    <n v="0"/>
    <n v="0"/>
    <n v="0"/>
    <n v="13300"/>
    <n v="13300"/>
    <n v="0"/>
    <x v="5"/>
    <s v="0.00%-0.00%"/>
    <m/>
    <m/>
    <m/>
    <m/>
    <n v="0"/>
    <n v="13300"/>
    <n v="0"/>
    <n v="0"/>
    <n v="14"/>
    <n v="450"/>
    <m/>
    <n v="688"/>
    <n v="192288"/>
    <n v="1"/>
    <m/>
    <m/>
    <m/>
    <s v="Zhou Yan（15001209）"/>
    <s v="Zhu Qianqian（11016705）"/>
    <m/>
    <m/>
    <m/>
    <m/>
    <s v="OK"/>
  </r>
  <r>
    <s v="CN15"/>
    <n v="11014402"/>
    <s v="尤 宾"/>
    <s v="You Bin"/>
    <s v="Indirect Active"/>
    <s v="OP"/>
    <s v="GOM-LCC"/>
    <s v="GOM-LCCI"/>
    <s v="223010"/>
    <d v="2017-01-09T00:00:00"/>
    <s v="Professional"/>
    <s v="Product Manager"/>
    <x v="0"/>
    <n v="2"/>
    <x v="2"/>
    <n v="21594"/>
    <n v="2.5000000000000001E-2"/>
    <n v="540"/>
    <n v="0"/>
    <n v="0"/>
    <n v="2.5006946373992776E-2"/>
    <n v="540"/>
    <n v="22134"/>
    <n v="22134"/>
    <n v="540"/>
    <x v="13"/>
    <s v="2.00%-3.00%"/>
    <m/>
    <m/>
    <m/>
    <m/>
    <n v="0"/>
    <n v="22134"/>
    <n v="540"/>
    <n v="2.5006946373992811E-2"/>
    <n v="14"/>
    <n v="450"/>
    <m/>
    <n v="688"/>
    <n v="315964"/>
    <n v="3"/>
    <m/>
    <m/>
    <m/>
    <s v="Zhou Yan（15001209）"/>
    <s v="Zhu Qianqian（11016705）"/>
    <m/>
    <m/>
    <m/>
    <m/>
    <s v="OK"/>
  </r>
  <r>
    <s v="CN15"/>
    <n v="11015745"/>
    <s v="王 忆磊"/>
    <s v="Wang Yilei"/>
    <s v="Indirect Active"/>
    <s v="OP"/>
    <s v="GOM-LCC"/>
    <s v="GOM-LCCL"/>
    <s v="223010"/>
    <d v="2017-12-18T00:00:00"/>
    <s v="Director"/>
    <s v="Head of Product Line WD &amp; Lifecycle"/>
    <x v="5"/>
    <n v="2"/>
    <x v="2"/>
    <n v="30480"/>
    <n v="0.03"/>
    <n v="914"/>
    <n v="0"/>
    <n v="0"/>
    <n v="2.9986876640419949E-2"/>
    <n v="914"/>
    <n v="31394"/>
    <n v="31394"/>
    <n v="914"/>
    <x v="11"/>
    <s v="2.40%-3.60%"/>
    <m/>
    <m/>
    <m/>
    <m/>
    <n v="0"/>
    <n v="31394"/>
    <n v="914"/>
    <n v="2.9986876640419879E-2"/>
    <n v="14"/>
    <n v="450"/>
    <n v="1000"/>
    <n v="688"/>
    <n v="457604"/>
    <n v="3"/>
    <m/>
    <m/>
    <m/>
    <s v="Zhou Yan（15001209）"/>
    <s v="Zhu Qianqian（11016705）"/>
    <m/>
    <m/>
    <m/>
    <m/>
    <s v="OK"/>
  </r>
  <r>
    <s v="CN15"/>
    <n v="11016645"/>
    <s v="蔡 行叶"/>
    <s v="Cai Xingye"/>
    <s v="Indirect Active"/>
    <s v="OP"/>
    <s v="GOM-LCC"/>
    <s v="GOM-LCCL"/>
    <s v="223010"/>
    <d v="2018-08-20T00:00:00"/>
    <s v="Professional"/>
    <s v="Product Manager"/>
    <x v="0"/>
    <n v="2"/>
    <x v="1"/>
    <n v="21710"/>
    <n v="3.7500000000000006E-2"/>
    <n v="814"/>
    <n v="1.55E-2"/>
    <n v="337"/>
    <n v="5.301704283740212E-2"/>
    <n v="1151"/>
    <n v="22861"/>
    <n v="22650"/>
    <n v="940"/>
    <x v="167"/>
    <s v="4.24%-6.36%"/>
    <s v="Promotion"/>
    <s v="Senior Product Manager"/>
    <s v="B"/>
    <n v="0.08"/>
    <n v="1737"/>
    <n v="24387"/>
    <n v="2677"/>
    <n v="0.12330723169046531"/>
    <n v="14"/>
    <n v="450"/>
    <m/>
    <n v="688"/>
    <n v="347506"/>
    <n v="3"/>
    <m/>
    <s v="Under the G2M target, she has leveraged the collaboration with DE and redefined the lifecycle process, enabling the fulfillment for high complexity requirements in short time—such as new CMF and new BT in the lifecycle loop. Meanwhile, she taken on the role of MPO for the Monaco project, driving the product realization for slim depth dryer on T27L.IPE result:BandB"/>
    <s v="Good performance and high competence"/>
    <s v="Zhou Yan（15001209）"/>
    <s v="Zhu Qianqian（11016705）"/>
    <m/>
    <m/>
    <m/>
    <m/>
    <s v="OK"/>
  </r>
  <r>
    <s v="CN15"/>
    <n v="15000070"/>
    <s v="冶 萍"/>
    <s v="Ye Ping"/>
    <s v="Indirect Active"/>
    <s v="OP"/>
    <s v="GOM-LCC"/>
    <s v="GOM-LCCI"/>
    <s v="223010"/>
    <d v="2005-06-01T00:00:00"/>
    <s v="Senior Professional"/>
    <s v="Senior Product Manager"/>
    <x v="3"/>
    <n v="2"/>
    <x v="2"/>
    <n v="27983"/>
    <n v="0"/>
    <n v="0"/>
    <n v="0"/>
    <n v="0"/>
    <n v="0"/>
    <n v="0"/>
    <n v="27983"/>
    <n v="28200"/>
    <n v="217"/>
    <x v="168"/>
    <s v="0.00%-0.00%"/>
    <m/>
    <m/>
    <m/>
    <m/>
    <n v="0"/>
    <n v="28200"/>
    <n v="217"/>
    <n v="7.7547082157023439E-3"/>
    <n v="14"/>
    <n v="450"/>
    <m/>
    <n v="688"/>
    <n v="400888"/>
    <n v="3"/>
    <m/>
    <s v="Ye Ping is leading two high complexity task: Monza project MPO and RGC dryer product owner marketing"/>
    <s v="Good performance and high competence"/>
    <s v="Zhou Yan（15001209）"/>
    <s v="Zhu Qianqian（11016705）"/>
    <m/>
    <m/>
    <m/>
    <m/>
    <s v="&gt;20"/>
  </r>
  <r>
    <s v="CN15"/>
    <n v="15004272"/>
    <s v="杨 婷"/>
    <s v="Yang Ting"/>
    <s v="Indirect Active"/>
    <s v="OP"/>
    <s v="GOM-LCC"/>
    <s v="GOM-LCCL"/>
    <s v="223010"/>
    <d v="2010-08-04T00:00:00"/>
    <s v="Professional"/>
    <s v="Product Manager"/>
    <x v="0"/>
    <n v="2"/>
    <x v="2"/>
    <n v="18218"/>
    <n v="2.5000000000000001E-2"/>
    <n v="455"/>
    <n v="0"/>
    <n v="0"/>
    <n v="2.4975299154682183E-2"/>
    <n v="455"/>
    <n v="18673"/>
    <n v="18673"/>
    <n v="455"/>
    <x v="13"/>
    <s v="2.00%-3.00%"/>
    <m/>
    <m/>
    <m/>
    <m/>
    <n v="0"/>
    <n v="18673"/>
    <n v="455"/>
    <n v="2.4975299154682107E-2"/>
    <n v="14"/>
    <n v="450"/>
    <m/>
    <n v="688"/>
    <n v="267510"/>
    <n v="3"/>
    <m/>
    <m/>
    <m/>
    <s v="Zhou Yan（15001209）"/>
    <s v="Zhu Qianqian（11016705）"/>
    <m/>
    <m/>
    <m/>
    <m/>
    <s v="OK"/>
  </r>
  <r>
    <s v="CN15"/>
    <n v="15005110"/>
    <s v="陆 飞"/>
    <s v="Lu Fei"/>
    <s v="Indirect Active"/>
    <s v="OP"/>
    <s v="GOM-LCC"/>
    <s v="GOM-LCCI"/>
    <s v="223010"/>
    <d v="2011-06-22T00:00:00"/>
    <s v="Director"/>
    <s v="Head of Product Portfolio &amp; Innovation"/>
    <x v="5"/>
    <n v="2"/>
    <x v="0"/>
    <n v="44255"/>
    <n v="0.05"/>
    <n v="2213"/>
    <n v="2.7E-2"/>
    <n v="1195"/>
    <n v="7.7008247655632134E-2"/>
    <n v="3408"/>
    <n v="47663"/>
    <n v="47663"/>
    <n v="3408"/>
    <x v="135"/>
    <s v="6.16%-9.24%"/>
    <m/>
    <m/>
    <m/>
    <m/>
    <n v="0"/>
    <n v="47663"/>
    <n v="3408"/>
    <n v="7.7008247655632189E-2"/>
    <n v="14"/>
    <n v="450"/>
    <n v="1000"/>
    <n v="688"/>
    <n v="685370"/>
    <n v="4"/>
    <m/>
    <m/>
    <m/>
    <s v="Zhou Yan（15001209）"/>
    <s v="Zhu Qianqian（11016705）"/>
    <m/>
    <m/>
    <m/>
    <m/>
    <s v="OK"/>
  </r>
  <r>
    <s v="CN15"/>
    <n v="15005465"/>
    <s v="陈 琳"/>
    <s v="Chen Lin"/>
    <s v="Indirect Active"/>
    <s v="OP"/>
    <s v="GOM-LCC"/>
    <s v="GOM-LCC"/>
    <s v="223010"/>
    <d v="2011-03-16T00:00:00"/>
    <s v="Project Manager"/>
    <s v="Project Manager"/>
    <x v="0"/>
    <n v="2"/>
    <x v="1"/>
    <n v="18025"/>
    <n v="3.7500000000000006E-2"/>
    <n v="676"/>
    <n v="1.55E-2"/>
    <n v="279"/>
    <n v="5.2981969486823856E-2"/>
    <n v="955"/>
    <n v="18980"/>
    <n v="18980"/>
    <n v="955"/>
    <x v="40"/>
    <s v="4.24%-6.36%"/>
    <m/>
    <m/>
    <m/>
    <m/>
    <n v="0"/>
    <n v="18980"/>
    <n v="955"/>
    <n v="5.2981969486823877E-2"/>
    <n v="14"/>
    <n v="450"/>
    <m/>
    <n v="688"/>
    <n v="271808"/>
    <n v="3"/>
    <m/>
    <m/>
    <m/>
    <s v="Zhou Yan（15001209）"/>
    <s v="Zhu Qianqian（11016705）"/>
    <m/>
    <m/>
    <m/>
    <m/>
    <s v="OK"/>
  </r>
  <r>
    <s v="CN15"/>
    <n v="15020888"/>
    <s v="张 利杰"/>
    <s v="Zhang Lijie"/>
    <s v="Indirect Active"/>
    <s v="OP"/>
    <s v="GOM-LCC"/>
    <s v="GOM-LCCI"/>
    <s v="223010"/>
    <d v="2021-01-06T00:00:00"/>
    <s v="Senior Specialist"/>
    <s v="Senior Innovation Specialist"/>
    <x v="1"/>
    <n v="2"/>
    <x v="1"/>
    <n v="18376"/>
    <n v="3.7500000000000006E-2"/>
    <n v="689"/>
    <n v="1.55E-2"/>
    <n v="285"/>
    <n v="5.3003918154114059E-2"/>
    <n v="974"/>
    <n v="19350"/>
    <n v="19160"/>
    <n v="784"/>
    <x v="169"/>
    <s v="4.24%-6.36%"/>
    <s v="Promotion"/>
    <s v="Product Manager"/>
    <s v="A6"/>
    <n v="7.0000000000000007E-2"/>
    <n v="1286"/>
    <n v="20446"/>
    <n v="2070"/>
    <n v="0.11264693077927723"/>
    <n v="14"/>
    <n v="450"/>
    <m/>
    <n v="688"/>
    <n v="292332"/>
    <n v="3"/>
    <m/>
    <s v="Working competence and performance fully fulfill current job requirement, driving RGC innovation push forward and global innovation strategy landing with high quality.IPE result:BandA6"/>
    <s v="Good performance and high competence"/>
    <s v="Zhou Yan（15001209）"/>
    <s v="Zhu Qianqian（11016705）"/>
    <m/>
    <m/>
    <m/>
    <m/>
    <s v="OK"/>
  </r>
  <r>
    <s v="CN15"/>
    <n v="15021942"/>
    <s v="高 玲文"/>
    <s v="Gao Lingwen"/>
    <s v="Indirect Active"/>
    <s v="OP"/>
    <s v="GOM-LCC"/>
    <s v="GOM-LCCL"/>
    <s v="223010"/>
    <d v="2021-10-18T00:00:00"/>
    <s v="Senior Specialist"/>
    <s v="Senior Specialist"/>
    <x v="1"/>
    <n v="2"/>
    <x v="2"/>
    <n v="18127"/>
    <n v="0"/>
    <n v="0"/>
    <n v="0"/>
    <n v="0"/>
    <n v="0"/>
    <n v="0"/>
    <n v="18127"/>
    <n v="18310"/>
    <n v="183"/>
    <x v="170"/>
    <s v="0.00%-0.00%"/>
    <m/>
    <m/>
    <m/>
    <m/>
    <n v="0"/>
    <n v="18310"/>
    <n v="183"/>
    <n v="1.0095437744800595E-2"/>
    <n v="14"/>
    <n v="450"/>
    <m/>
    <n v="688"/>
    <n v="262428"/>
    <n v="4"/>
    <m/>
    <s v="Lingwen started her MPO role by end of this year (A6) while she stays as A5 until next promotion window"/>
    <s v="Good performance and high competence"/>
    <s v="Zhou Yan（15001209）"/>
    <s v="Zhu Qianqian（11016705）"/>
    <m/>
    <m/>
    <m/>
    <m/>
    <s v="&gt;20"/>
  </r>
  <r>
    <s v="CN15"/>
    <n v="15000073"/>
    <s v="陈 爱芬"/>
    <s v="Chen Aifen"/>
    <s v="Indirect Active"/>
    <s v="OP"/>
    <s v="GOM-LCC"/>
    <s v="GOM-LCC"/>
    <s v="140711"/>
    <d v="2005-06-01T00:00:00"/>
    <s v="Director"/>
    <s v="Director"/>
    <x v="5"/>
    <n v="2"/>
    <x v="2"/>
    <n v="55066"/>
    <n v="0"/>
    <n v="0"/>
    <n v="0"/>
    <n v="0"/>
    <n v="0"/>
    <n v="0"/>
    <n v="55066"/>
    <n v="55066"/>
    <n v="0"/>
    <x v="5"/>
    <s v="0.00%-0.00%"/>
    <m/>
    <m/>
    <m/>
    <m/>
    <n v="0"/>
    <n v="55066"/>
    <n v="0"/>
    <n v="0"/>
    <n v="14"/>
    <n v="450"/>
    <n v="1000"/>
    <n v="688"/>
    <n v="789012"/>
    <n v="3"/>
    <m/>
    <m/>
    <m/>
    <s v="Zhou Yan（15001209）"/>
    <s v="Zhu Qianqian（11016705）"/>
    <m/>
    <m/>
    <m/>
    <m/>
    <s v="OK"/>
  </r>
  <r>
    <s v="CN15"/>
    <n v="15009314"/>
    <s v="陈 磊"/>
    <s v="Chen Lei"/>
    <s v="Indirect Active"/>
    <s v="OP"/>
    <s v="GOM-LCC"/>
    <s v="GOM-LCCPM"/>
    <s v="140711"/>
    <d v="2013-02-19T00:00:00"/>
    <s v="Senior Project Manager"/>
    <s v="Senior Project Manager"/>
    <x v="3"/>
    <n v="2"/>
    <x v="2"/>
    <n v="29069"/>
    <n v="2.5000000000000001E-2"/>
    <n v="727"/>
    <n v="0"/>
    <n v="0"/>
    <n v="2.5009460249750592E-2"/>
    <n v="727"/>
    <n v="29796"/>
    <n v="29796"/>
    <n v="727"/>
    <x v="13"/>
    <s v="2.00%-3.00%"/>
    <m/>
    <m/>
    <m/>
    <m/>
    <n v="0"/>
    <n v="29796"/>
    <n v="727"/>
    <n v="2.5009460249750592E-2"/>
    <n v="14"/>
    <n v="450"/>
    <m/>
    <n v="688"/>
    <n v="423232"/>
    <n v="3"/>
    <m/>
    <m/>
    <m/>
    <s v="Zhou Yan（15001209）"/>
    <s v="Zhu Qianqian（11016705）"/>
    <m/>
    <m/>
    <m/>
    <m/>
    <s v="OK"/>
  </r>
  <r>
    <s v="CN15"/>
    <n v="15009237"/>
    <s v="程 源"/>
    <s v="Cheng Yuan"/>
    <s v="Indirect Active"/>
    <s v="OP"/>
    <s v="GOM-LCC"/>
    <s v="GOM-LCCP"/>
    <s v="140711"/>
    <d v="2013-01-07T00:00:00"/>
    <s v="Senior Project Manager"/>
    <s v="Senior Project Manager"/>
    <x v="3"/>
    <n v="2"/>
    <x v="2"/>
    <n v="30391"/>
    <n v="0"/>
    <n v="0"/>
    <n v="0"/>
    <n v="0"/>
    <n v="0"/>
    <n v="0"/>
    <n v="30391"/>
    <n v="30391"/>
    <n v="0"/>
    <x v="5"/>
    <s v="0.00%-0.00%"/>
    <m/>
    <m/>
    <m/>
    <m/>
    <n v="0"/>
    <n v="30391"/>
    <n v="0"/>
    <n v="0"/>
    <n v="14"/>
    <n v="450"/>
    <m/>
    <n v="688"/>
    <n v="431562"/>
    <n v="3"/>
    <m/>
    <m/>
    <m/>
    <s v="Zhou Yan（15001209）"/>
    <s v="Zhu Qianqian（11016705）"/>
    <m/>
    <m/>
    <m/>
    <m/>
    <s v="OK"/>
  </r>
  <r>
    <s v="CN15"/>
    <n v="15016962"/>
    <s v="郭 敬坤"/>
    <s v="Guo Jingkun"/>
    <s v="Indirect Active"/>
    <s v="OP"/>
    <s v="GOM-LCC"/>
    <s v="GOM-LCCPM"/>
    <s v="140711"/>
    <d v="2017-04-12T00:00:00"/>
    <s v="Project Manager"/>
    <s v="Project Manager"/>
    <x v="0"/>
    <n v="2"/>
    <x v="0"/>
    <n v="25350"/>
    <n v="0.04"/>
    <n v="1014"/>
    <n v="0"/>
    <n v="0"/>
    <n v="0.04"/>
    <n v="1014"/>
    <n v="26364"/>
    <n v="26364"/>
    <n v="1014"/>
    <x v="12"/>
    <s v="3.20%-4.80%"/>
    <m/>
    <m/>
    <m/>
    <m/>
    <n v="0"/>
    <n v="26364"/>
    <n v="1014"/>
    <n v="4.0000000000000036E-2"/>
    <n v="14"/>
    <n v="450"/>
    <m/>
    <n v="688"/>
    <n v="375184"/>
    <n v="3"/>
    <m/>
    <m/>
    <m/>
    <s v="Zhou Yan（15001209）"/>
    <s v="Zhu Qianqian（11016705）"/>
    <m/>
    <m/>
    <m/>
    <m/>
    <s v="OK"/>
  </r>
  <r>
    <s v="CN15"/>
    <n v="15022171"/>
    <s v="李 焕"/>
    <s v="Li Huan"/>
    <s v="Indirect Active"/>
    <s v="OP"/>
    <s v="GOM-LCC"/>
    <s v="GOM-LCCPX"/>
    <s v="140711"/>
    <d v="2022-04-13T00:00:00"/>
    <s v="Engineer"/>
    <s v="Project Support Engineer"/>
    <x v="2"/>
    <n v="2"/>
    <x v="5"/>
    <n v="14653"/>
    <n v="0"/>
    <n v="0"/>
    <n v="0"/>
    <n v="0"/>
    <n v="0"/>
    <n v="0"/>
    <n v="14653"/>
    <n v="14653"/>
    <n v="0"/>
    <x v="5"/>
    <s v="0.00%-0.00%"/>
    <m/>
    <m/>
    <m/>
    <m/>
    <n v="0"/>
    <n v="14653"/>
    <n v="0"/>
    <n v="0"/>
    <n v="14"/>
    <n v="450"/>
    <m/>
    <n v="688"/>
    <n v="211230"/>
    <n v="2"/>
    <m/>
    <m/>
    <m/>
    <s v="Zhou Yan（15001209）"/>
    <s v="Zhu Qianqian（11016705）"/>
    <m/>
    <m/>
    <m/>
    <m/>
    <s v="OK"/>
  </r>
  <r>
    <s v="CN15"/>
    <n v="1120304"/>
    <s v="李 俊仪"/>
    <s v="Li Junyi"/>
    <s v="Indirect Active"/>
    <s v="OP"/>
    <s v="GOM-LCC"/>
    <s v="GOM-LCCPM"/>
    <s v="140711"/>
    <d v="2021-03-22T00:00:00"/>
    <s v="Project Manager"/>
    <s v="Project Manager"/>
    <x v="0"/>
    <n v="2"/>
    <x v="2"/>
    <n v="16320"/>
    <n v="0.03"/>
    <n v="490"/>
    <n v="0"/>
    <n v="0"/>
    <n v="3.002450980392157E-2"/>
    <n v="490"/>
    <n v="16810"/>
    <n v="16810"/>
    <n v="490"/>
    <x v="11"/>
    <s v="2.40%-3.60%"/>
    <m/>
    <m/>
    <m/>
    <m/>
    <n v="0"/>
    <n v="16810"/>
    <n v="490"/>
    <n v="3.0024509803921573E-2"/>
    <n v="14"/>
    <n v="850"/>
    <m/>
    <n v="688"/>
    <n v="246228"/>
    <n v="3"/>
    <m/>
    <m/>
    <m/>
    <s v="Zhou Yan（15001209）"/>
    <s v="Zhu Qianqian（11016705）"/>
    <m/>
    <m/>
    <m/>
    <m/>
    <s v="OK"/>
  </r>
  <r>
    <s v="CN15"/>
    <n v="15021165"/>
    <s v="万 希平"/>
    <s v="Wan Xiping"/>
    <s v="Indirect Active"/>
    <s v="OP"/>
    <s v="GOM-LCC"/>
    <s v="GOM-LCCPM"/>
    <s v="140711"/>
    <d v="2021-04-02T00:00:00"/>
    <s v="Project Manager"/>
    <s v="Technical Project Manager"/>
    <x v="0"/>
    <n v="2"/>
    <x v="2"/>
    <n v="21423"/>
    <n v="2.5000000000000001E-2"/>
    <n v="536"/>
    <n v="0"/>
    <n v="0"/>
    <n v="2.5019838491341082E-2"/>
    <n v="536"/>
    <n v="21959"/>
    <n v="21959"/>
    <n v="536"/>
    <x v="13"/>
    <s v="2.00%-3.00%"/>
    <m/>
    <m/>
    <m/>
    <m/>
    <n v="0"/>
    <n v="21959"/>
    <n v="536"/>
    <n v="2.5019838491341151E-2"/>
    <n v="14"/>
    <n v="450"/>
    <m/>
    <n v="688"/>
    <n v="313514"/>
    <n v="3"/>
    <m/>
    <m/>
    <m/>
    <s v="Zhou Yan（15001209）"/>
    <s v="Zhu Qianqian（11016705）"/>
    <m/>
    <m/>
    <m/>
    <m/>
    <s v="OK"/>
  </r>
  <r>
    <s v="CN15"/>
    <n v="15004591"/>
    <s v="吴 小波"/>
    <s v="Wu Xiaobo"/>
    <s v="Indirect Active"/>
    <s v="OP"/>
    <s v="GOM-LCC"/>
    <s v="GOM-LCCPX"/>
    <s v="140711"/>
    <d v="2010-10-08T00:00:00"/>
    <s v="Manager"/>
    <s v="Head of Project Excellence"/>
    <x v="3"/>
    <n v="2"/>
    <x v="2"/>
    <n v="27763"/>
    <n v="2.5000000000000001E-2"/>
    <n v="694"/>
    <n v="0"/>
    <n v="0"/>
    <n v="2.4997298562835429E-2"/>
    <n v="694"/>
    <n v="28457"/>
    <n v="28457"/>
    <n v="694"/>
    <x v="13"/>
    <s v="2.00%-3.00%"/>
    <m/>
    <m/>
    <m/>
    <m/>
    <n v="0"/>
    <n v="28457"/>
    <n v="694"/>
    <n v="2.4997298562835502E-2"/>
    <n v="14"/>
    <n v="450"/>
    <m/>
    <n v="688"/>
    <n v="404486"/>
    <n v="3"/>
    <m/>
    <m/>
    <m/>
    <s v="Zhou Yan（15001209）"/>
    <s v="Zhu Qianqian（11016705）"/>
    <m/>
    <m/>
    <m/>
    <m/>
    <s v="OK"/>
  </r>
  <r>
    <s v="CN15"/>
    <n v="11013809"/>
    <s v="徐 燏"/>
    <s v="Xu Yu"/>
    <s v="Indirect Active"/>
    <s v="OP"/>
    <s v="GOM-LCC"/>
    <s v="GOM-LCCP"/>
    <s v="140711"/>
    <d v="2016-06-20T00:00:00"/>
    <s v="Director"/>
    <s v="Head of Projects Greater China"/>
    <x v="5"/>
    <n v="2"/>
    <x v="1"/>
    <n v="40200"/>
    <n v="3.7500000000000006E-2"/>
    <n v="1508"/>
    <n v="1.55E-2"/>
    <n v="623"/>
    <n v="5.3009950248756217E-2"/>
    <n v="2131"/>
    <n v="42331"/>
    <n v="42331"/>
    <n v="2131"/>
    <x v="40"/>
    <s v="4.24%-6.36%"/>
    <m/>
    <m/>
    <m/>
    <m/>
    <n v="0"/>
    <n v="42331"/>
    <n v="2131"/>
    <n v="5.300995024875621E-2"/>
    <n v="14"/>
    <n v="450"/>
    <n v="1000"/>
    <n v="688"/>
    <n v="610722"/>
    <n v="5"/>
    <m/>
    <m/>
    <m/>
    <s v="Zhou Yan（15001209）"/>
    <s v="Zhu Qianqian（11016705）"/>
    <m/>
    <m/>
    <m/>
    <m/>
    <s v="OK"/>
  </r>
  <r>
    <s v="CN15"/>
    <n v="15002519"/>
    <s v="叶 庆宇"/>
    <s v="Ye Qingyu"/>
    <s v="Indirect Active"/>
    <s v="OP"/>
    <s v="GOM-LCC"/>
    <s v="GOM-LCCPM"/>
    <s v="140711"/>
    <d v="2009-06-22T00:00:00"/>
    <s v="Senior Project Manager"/>
    <s v="Senior Project Manager"/>
    <x v="3"/>
    <n v="2"/>
    <x v="1"/>
    <n v="32018"/>
    <n v="0.03"/>
    <n v="961"/>
    <n v="0"/>
    <n v="0"/>
    <n v="3.0014366918608284E-2"/>
    <n v="961"/>
    <n v="32979"/>
    <n v="32979"/>
    <n v="961"/>
    <x v="11"/>
    <s v="2.40%-3.60%"/>
    <m/>
    <m/>
    <m/>
    <m/>
    <n v="0"/>
    <n v="32979"/>
    <n v="961"/>
    <n v="3.0014366918608371E-2"/>
    <n v="14"/>
    <n v="450"/>
    <m/>
    <n v="688"/>
    <n v="467794"/>
    <n v="5"/>
    <m/>
    <m/>
    <m/>
    <s v="Zhou Yan（15001209）"/>
    <s v="Zhu Qianqian（11016705）"/>
    <m/>
    <m/>
    <m/>
    <m/>
    <s v="OK"/>
  </r>
  <r>
    <s v="CN15"/>
    <n v="1110031"/>
    <s v="朱 美斌"/>
    <s v="Zhu Meibin"/>
    <s v="Indirect Active"/>
    <s v="OP"/>
    <s v="PCP"/>
    <s v="PCP-BAUS"/>
    <s v="270004"/>
    <d v="2010-12-01T00:00:00"/>
    <s v="Functional Specialist"/>
    <s v="Functional Specialist"/>
    <x v="0"/>
    <n v="2"/>
    <x v="1"/>
    <n v="18991"/>
    <n v="3.7500000000000006E-2"/>
    <n v="712"/>
    <n v="0"/>
    <n v="0"/>
    <n v="3.7491443315254593E-2"/>
    <n v="712"/>
    <n v="19703"/>
    <n v="19703"/>
    <n v="712"/>
    <x v="73"/>
    <s v="3.00%-4.50%"/>
    <m/>
    <m/>
    <m/>
    <m/>
    <n v="0"/>
    <n v="19703"/>
    <n v="712"/>
    <n v="3.7491443315254669E-2"/>
    <n v="14"/>
    <n v="900"/>
    <m/>
    <n v="688"/>
    <n v="287330"/>
    <n v="4"/>
    <m/>
    <m/>
    <m/>
    <s v="Li Huihua（15000253）"/>
    <s v="Zhu Qianqian（11016705）"/>
    <m/>
    <m/>
    <m/>
    <m/>
    <s v="OK"/>
  </r>
  <r>
    <s v="CN15"/>
    <n v="1112085"/>
    <s v="沈 琳川"/>
    <s v="Shen Linchuan"/>
    <s v="Indirect Active"/>
    <s v="OP"/>
    <s v="PCP"/>
    <s v="PCP-OPGU"/>
    <s v="270004"/>
    <d v="1998-03-01T00:00:00"/>
    <s v="Director"/>
    <s v="Head of Purchasing, Quality GreaterChina"/>
    <x v="5"/>
    <n v="2"/>
    <x v="1"/>
    <n v="39751"/>
    <n v="3.7500000000000006E-2"/>
    <n v="1491"/>
    <n v="1.55E-2"/>
    <n v="616"/>
    <n v="5.300495585016729E-2"/>
    <n v="2107"/>
    <n v="41858"/>
    <n v="41450"/>
    <n v="1699"/>
    <x v="169"/>
    <s v="4.24%-6.36%"/>
    <m/>
    <m/>
    <m/>
    <m/>
    <n v="0"/>
    <n v="41450"/>
    <n v="1699"/>
    <n v="4.2741063117909039E-2"/>
    <n v="14"/>
    <n v="450"/>
    <n v="1000"/>
    <n v="688"/>
    <n v="598388"/>
    <n v="4"/>
    <m/>
    <m/>
    <m/>
    <s v="Li Huihua（15000253）"/>
    <s v="Zhu Qianqian（11016705）"/>
    <m/>
    <m/>
    <m/>
    <m/>
    <s v="OK"/>
  </r>
  <r>
    <s v="CN15"/>
    <n v="1120186"/>
    <s v="陈 超"/>
    <s v="Chen Chao"/>
    <s v="Indirect Active"/>
    <s v="OP"/>
    <s v="PCP"/>
    <s v="PCP-BVTG"/>
    <s v="270001"/>
    <d v="2017-08-21T00:00:00"/>
    <s v="Project Manager"/>
    <s v="Project Manager"/>
    <x v="0"/>
    <n v="2"/>
    <x v="2"/>
    <n v="20280"/>
    <n v="2.5000000000000001E-2"/>
    <n v="507"/>
    <n v="0"/>
    <n v="0"/>
    <n v="2.5000000000000001E-2"/>
    <n v="507"/>
    <n v="20787"/>
    <n v="20687"/>
    <n v="407"/>
    <x v="69"/>
    <s v="2.00%-3.00%"/>
    <m/>
    <m/>
    <m/>
    <m/>
    <n v="0"/>
    <n v="20687"/>
    <n v="407"/>
    <n v="2.0069033530571989E-2"/>
    <n v="14"/>
    <n v="450"/>
    <m/>
    <n v="688"/>
    <n v="295706"/>
    <n v="3"/>
    <m/>
    <m/>
    <s v="M"/>
    <s v="Li Huihua（15000253）"/>
    <s v="Zhu Qianqian（11016705）"/>
    <m/>
    <m/>
    <m/>
    <m/>
    <s v="OK"/>
  </r>
  <r>
    <s v="CN15"/>
    <n v="11005056"/>
    <s v="朱 春亮"/>
    <s v="Zhu Chunliang"/>
    <s v="Indirect Active"/>
    <s v="OP"/>
    <s v="PCP"/>
    <s v="PCP-BAUS"/>
    <s v="270004"/>
    <d v="2006-01-01T00:00:00"/>
    <s v="Manager"/>
    <s v="Manager"/>
    <x v="3"/>
    <n v="2"/>
    <x v="2"/>
    <n v="22591"/>
    <n v="2.5000000000000001E-2"/>
    <n v="565"/>
    <n v="0"/>
    <n v="0"/>
    <n v="2.5009959718471957E-2"/>
    <n v="565"/>
    <n v="23156"/>
    <n v="23156"/>
    <n v="565"/>
    <x v="13"/>
    <s v="2.00%-3.00%"/>
    <m/>
    <m/>
    <m/>
    <m/>
    <n v="0"/>
    <n v="23156"/>
    <n v="565"/>
    <n v="2.5009959718471864E-2"/>
    <n v="14"/>
    <n v="450"/>
    <m/>
    <n v="688"/>
    <n v="330272"/>
    <n v="3"/>
    <m/>
    <m/>
    <m/>
    <s v="Li Huihua（15000253）"/>
    <s v="Zhu Qianqian（11016705）"/>
    <m/>
    <m/>
    <m/>
    <m/>
    <s v="OK"/>
  </r>
  <r>
    <s v="CN15"/>
    <n v="11008167"/>
    <s v="李 阳"/>
    <s v="Li Yang"/>
    <s v="Indirect Active"/>
    <s v="OP"/>
    <s v="PCP"/>
    <s v="PCP-OPGU"/>
    <s v="131065"/>
    <d v="2011-09-09T00:00:00"/>
    <s v="Senior Specialist"/>
    <s v="Senior Specialist"/>
    <x v="1"/>
    <n v="2"/>
    <x v="2"/>
    <n v="13367"/>
    <n v="0.03"/>
    <n v="401"/>
    <n v="0"/>
    <n v="0"/>
    <n v="2.9999251888980324E-2"/>
    <n v="401"/>
    <n v="13768"/>
    <n v="13768"/>
    <n v="401"/>
    <x v="11"/>
    <s v="2.40%-3.60%"/>
    <m/>
    <m/>
    <m/>
    <m/>
    <n v="0"/>
    <n v="13768"/>
    <n v="401"/>
    <n v="2.9999251888980227E-2"/>
    <n v="14"/>
    <n v="450"/>
    <m/>
    <n v="688"/>
    <n v="198840"/>
    <n v="3"/>
    <m/>
    <m/>
    <m/>
    <s v="Li Huihua（15000253）"/>
    <s v="Zhu Qianqian（11016705）"/>
    <m/>
    <m/>
    <m/>
    <m/>
    <s v="OK"/>
  </r>
  <r>
    <s v="CN15"/>
    <n v="11008445"/>
    <s v="史 卫超"/>
    <s v="Shi Weichao"/>
    <s v="Indirect Active"/>
    <s v="OP"/>
    <s v="PCP"/>
    <s v="PCP-OPGU"/>
    <s v="270004"/>
    <d v="2012-01-09T00:00:00"/>
    <s v="Senior Engineer"/>
    <s v="Senior Engineer"/>
    <x v="1"/>
    <n v="2"/>
    <x v="2"/>
    <n v="17871"/>
    <n v="0"/>
    <n v="0"/>
    <n v="0"/>
    <n v="0"/>
    <n v="0"/>
    <n v="0"/>
    <n v="17871"/>
    <n v="17871"/>
    <n v="0"/>
    <x v="5"/>
    <s v="0.00%-0.00%"/>
    <m/>
    <m/>
    <m/>
    <m/>
    <n v="0"/>
    <n v="17871"/>
    <n v="0"/>
    <n v="0"/>
    <n v="14"/>
    <n v="450"/>
    <m/>
    <n v="688"/>
    <n v="256282"/>
    <n v="3"/>
    <m/>
    <m/>
    <m/>
    <s v="Li Huihua（15000253）"/>
    <s v="Zhu Qianqian（11016705）"/>
    <m/>
    <m/>
    <m/>
    <m/>
    <s v="OK"/>
  </r>
  <r>
    <s v="CN15"/>
    <n v="11009648"/>
    <s v="朱 婷婷"/>
    <s v="Zhu Tingting"/>
    <s v="Indirect Active"/>
    <s v="OP"/>
    <s v="PCP"/>
    <s v="PCP-OPG"/>
    <s v="270004"/>
    <d v="2006-12-11T00:00:00"/>
    <s v="Functional Specialist"/>
    <s v="Functional Specialist"/>
    <x v="0"/>
    <n v="2"/>
    <x v="2"/>
    <n v="15400"/>
    <n v="0.03"/>
    <n v="462"/>
    <n v="0"/>
    <n v="0"/>
    <n v="0.03"/>
    <n v="462"/>
    <n v="15862"/>
    <n v="15862"/>
    <n v="462"/>
    <x v="11"/>
    <s v="2.40%-3.60%"/>
    <m/>
    <m/>
    <m/>
    <m/>
    <n v="0"/>
    <n v="15862"/>
    <n v="462"/>
    <n v="3.0000000000000027E-2"/>
    <n v="14"/>
    <n v="450"/>
    <m/>
    <n v="688"/>
    <n v="228156"/>
    <n v="3"/>
    <m/>
    <m/>
    <m/>
    <s v="Li Huihua（15000253）"/>
    <s v="Zhu Qianqian（11016705）"/>
    <m/>
    <m/>
    <m/>
    <m/>
    <s v="OK"/>
  </r>
  <r>
    <s v="CN15"/>
    <n v="11011971"/>
    <s v="刘 淦"/>
    <s v="Liu Gan"/>
    <s v="Indirect Active"/>
    <s v="OP"/>
    <s v="PCP"/>
    <s v="PCP-BAUQGP"/>
    <s v="270005"/>
    <d v="2014-12-22T00:00:00"/>
    <s v="Senior Engineer"/>
    <s v="Senior Engineer"/>
    <x v="1"/>
    <n v="2"/>
    <x v="2"/>
    <n v="12685"/>
    <n v="2.5000000000000001E-2"/>
    <n v="317"/>
    <n v="0"/>
    <n v="0"/>
    <n v="2.4990145841545131E-2"/>
    <n v="317"/>
    <n v="13002"/>
    <n v="13002"/>
    <n v="317"/>
    <x v="13"/>
    <s v="2.00%-3.00%"/>
    <m/>
    <m/>
    <m/>
    <m/>
    <n v="0"/>
    <n v="13002"/>
    <n v="317"/>
    <n v="2.4990145841545131E-2"/>
    <n v="14"/>
    <n v="450"/>
    <m/>
    <n v="688"/>
    <n v="188116"/>
    <n v="3"/>
    <m/>
    <m/>
    <m/>
    <s v="Li Huihua（15000253）"/>
    <s v="Zhu Qianqian（11016705）"/>
    <m/>
    <m/>
    <m/>
    <m/>
    <s v="OK"/>
  </r>
  <r>
    <s v="CN15"/>
    <n v="11013378"/>
    <s v="陈 娟娟"/>
    <s v="Chen Juanjuan"/>
    <s v="Indirect Active"/>
    <s v="OP"/>
    <s v="PCP"/>
    <s v="PCP-OPGU"/>
    <s v="131065"/>
    <d v="2010-10-08T00:00:00"/>
    <s v="Supervisor"/>
    <s v="Supervisor"/>
    <x v="0"/>
    <n v="2"/>
    <x v="1"/>
    <n v="19073"/>
    <n v="3.7500000000000006E-2"/>
    <n v="715"/>
    <n v="1.55E-2"/>
    <n v="296"/>
    <n v="5.3006868347926388E-2"/>
    <n v="1011"/>
    <n v="20084"/>
    <n v="20237"/>
    <n v="1164"/>
    <x v="171"/>
    <s v="4.24%-6.36%"/>
    <m/>
    <m/>
    <m/>
    <m/>
    <n v="0"/>
    <n v="20237"/>
    <n v="1164"/>
    <n v="6.1028679284852894E-2"/>
    <n v="14"/>
    <n v="450"/>
    <m/>
    <n v="688"/>
    <n v="289406"/>
    <n v="3"/>
    <m/>
    <m/>
    <s v="P"/>
    <s v="Li Huihua（15000253）"/>
    <s v="Zhu Qianqian（11016705）"/>
    <m/>
    <m/>
    <m/>
    <m/>
    <s v="OK"/>
  </r>
  <r>
    <s v="CN15"/>
    <n v="11013380"/>
    <s v="卞 敏"/>
    <s v="Bian Min"/>
    <s v="Indirect Active"/>
    <s v="OP"/>
    <s v="PCP"/>
    <s v="PCP-BAUOG"/>
    <s v="270002"/>
    <d v="2010-12-22T00:00:00"/>
    <s v="Manager"/>
    <s v="Head of OEM Purchasing China"/>
    <x v="3"/>
    <n v="2"/>
    <x v="2"/>
    <n v="24513"/>
    <n v="2.5000000000000001E-2"/>
    <n v="613"/>
    <n v="0"/>
    <n v="0"/>
    <n v="2.5007139069065393E-2"/>
    <n v="613"/>
    <n v="25126"/>
    <n v="25126"/>
    <n v="613"/>
    <x v="13"/>
    <s v="2.00%-3.00%"/>
    <m/>
    <m/>
    <m/>
    <m/>
    <n v="0"/>
    <n v="25126"/>
    <n v="613"/>
    <n v="2.5007139069065376E-2"/>
    <n v="14"/>
    <n v="450"/>
    <m/>
    <n v="688"/>
    <n v="357852"/>
    <n v="4"/>
    <m/>
    <m/>
    <m/>
    <s v="Li Huihua（15000253）"/>
    <s v="Zhu Qianqian（11016705）"/>
    <m/>
    <m/>
    <m/>
    <m/>
    <s v="OK"/>
  </r>
  <r>
    <s v="CN15"/>
    <n v="11013438"/>
    <s v="张 开慧"/>
    <s v="Zhang Kaihui"/>
    <s v="Indirect Active"/>
    <s v="OP"/>
    <s v="PCP"/>
    <s v="PCP-OPGU"/>
    <s v="131065"/>
    <d v="2006-07-03T00:00:00"/>
    <s v="Supervisor"/>
    <s v="Supervisor"/>
    <x v="0"/>
    <n v="2"/>
    <x v="2"/>
    <n v="18617"/>
    <n v="2.5000000000000001E-2"/>
    <n v="465"/>
    <n v="0"/>
    <n v="0"/>
    <n v="2.4977171402481603E-2"/>
    <n v="465"/>
    <n v="19082"/>
    <n v="19000"/>
    <n v="383"/>
    <x v="88"/>
    <s v="2.00%-3.00%"/>
    <m/>
    <m/>
    <m/>
    <m/>
    <n v="0"/>
    <n v="19000"/>
    <n v="383"/>
    <n v="2.0572594940108546E-2"/>
    <n v="14"/>
    <n v="450"/>
    <m/>
    <n v="688"/>
    <n v="272088"/>
    <n v="3"/>
    <m/>
    <m/>
    <s v="M"/>
    <s v="Li Huihua（15000253）"/>
    <s v="Zhu Qianqian（11016705）"/>
    <m/>
    <m/>
    <m/>
    <m/>
    <s v="OK"/>
  </r>
  <r>
    <s v="CN15"/>
    <n v="11016830"/>
    <s v="江 陆宝"/>
    <s v="Jiang Lubao"/>
    <s v="Indirect Active"/>
    <s v="OP"/>
    <s v="PCP"/>
    <s v="PCP-BAUOG"/>
    <s v="270002"/>
    <d v="2019-01-23T00:00:00"/>
    <s v="Manager"/>
    <s v="Manager"/>
    <x v="3"/>
    <n v="2"/>
    <x v="2"/>
    <n v="22000"/>
    <n v="2.5000000000000001E-2"/>
    <n v="550"/>
    <n v="0"/>
    <n v="0"/>
    <n v="2.5000000000000001E-2"/>
    <n v="550"/>
    <n v="22550"/>
    <n v="22550"/>
    <n v="550"/>
    <x v="13"/>
    <s v="2.00%-3.00%"/>
    <m/>
    <m/>
    <m/>
    <m/>
    <n v="0"/>
    <n v="22550"/>
    <n v="550"/>
    <n v="2.4999999999999911E-2"/>
    <n v="14"/>
    <n v="450"/>
    <m/>
    <n v="688"/>
    <n v="321788"/>
    <n v="3"/>
    <m/>
    <m/>
    <m/>
    <s v="Li Huihua（15000253）"/>
    <s v="Zhu Qianqian（11016705）"/>
    <m/>
    <m/>
    <m/>
    <m/>
    <s v="OK"/>
  </r>
  <r>
    <s v="CN15"/>
    <n v="11018702"/>
    <s v="潘 昭贤"/>
    <s v="Pan Sally-Zhaoxian"/>
    <s v="Indirect Active"/>
    <s v="OP"/>
    <s v="PCP"/>
    <s v="PCP-BAUOG"/>
    <s v="270002"/>
    <d v="2021-08-11T00:00:00"/>
    <s v="Specialist"/>
    <s v="Specialist"/>
    <x v="2"/>
    <n v="2"/>
    <x v="2"/>
    <n v="12091"/>
    <n v="0"/>
    <n v="0"/>
    <n v="0"/>
    <n v="0"/>
    <n v="0"/>
    <n v="0"/>
    <n v="12091"/>
    <n v="12091"/>
    <n v="0"/>
    <x v="5"/>
    <s v="0.00%-0.00%"/>
    <m/>
    <m/>
    <m/>
    <m/>
    <n v="0"/>
    <n v="12091"/>
    <n v="0"/>
    <n v="0"/>
    <n v="14"/>
    <n v="550"/>
    <m/>
    <n v="688"/>
    <n v="176562"/>
    <n v="5"/>
    <m/>
    <m/>
    <m/>
    <s v="Li Huihua（15000253）"/>
    <s v="Zhu Qianqian（11016705）"/>
    <m/>
    <m/>
    <m/>
    <m/>
    <s v="OK"/>
  </r>
  <r>
    <s v="CN15"/>
    <n v="11021570"/>
    <s v="刘 兵根"/>
    <s v="Liu Binggen"/>
    <s v="Indirect Active"/>
    <s v="OP"/>
    <s v="PCP"/>
    <s v="PCP-OPGEE"/>
    <s v="270006"/>
    <d v="2024-12-18T00:00:00"/>
    <s v="Senior Specialist"/>
    <s v="Electronics Engineer"/>
    <x v="1"/>
    <n v="2"/>
    <x v="0"/>
    <n v="20000"/>
    <n v="0.03"/>
    <n v="600"/>
    <n v="0"/>
    <n v="0"/>
    <n v="0.03"/>
    <n v="600"/>
    <n v="20600"/>
    <n v="20480"/>
    <n v="480"/>
    <x v="32"/>
    <s v="2.40%-3.60%"/>
    <m/>
    <m/>
    <m/>
    <m/>
    <n v="0"/>
    <n v="20480"/>
    <n v="480"/>
    <n v="2.4000000000000021E-2"/>
    <n v="14"/>
    <n v="450"/>
    <m/>
    <n v="688"/>
    <n v="292808"/>
    <s v="NA"/>
    <m/>
    <m/>
    <s v="M"/>
    <s v="Li Huihua（15000253）"/>
    <s v="Zhu Qianqian（11016705）"/>
    <m/>
    <m/>
    <m/>
    <m/>
    <s v="OK"/>
  </r>
  <r>
    <s v="CN15"/>
    <n v="11021653"/>
    <s v="夏 音意"/>
    <s v="Xia Yinyi"/>
    <s v="Indirect Active"/>
    <s v="OP"/>
    <s v="PCP"/>
    <s v="PCP-SMD"/>
    <s v="270004"/>
    <d v="2025-02-19T00:00:00"/>
    <s v="Functional Specialist"/>
    <s v="Functional Specialist"/>
    <x v="0"/>
    <n v="2"/>
    <x v="2"/>
    <n v="23550"/>
    <n v="0"/>
    <n v="0"/>
    <n v="0"/>
    <n v="0"/>
    <n v="0"/>
    <n v="0"/>
    <n v="23550"/>
    <n v="23550"/>
    <n v="0"/>
    <x v="5"/>
    <s v="0.00%-0.00%"/>
    <m/>
    <m/>
    <m/>
    <m/>
    <n v="0"/>
    <n v="23550"/>
    <n v="0"/>
    <n v="0"/>
    <n v="14"/>
    <n v="450"/>
    <m/>
    <n v="688"/>
    <n v="335788"/>
    <e v="#N/A"/>
    <m/>
    <m/>
    <m/>
    <s v="Li Huihua（15000253）"/>
    <s v="Zhu Qianqian（11016705）"/>
    <m/>
    <m/>
    <m/>
    <m/>
    <s v="OK"/>
  </r>
  <r>
    <s v="CN15"/>
    <n v="15000096"/>
    <s v="李 立新"/>
    <s v="Li Lixin"/>
    <s v="Indirect Active"/>
    <s v="OP"/>
    <s v="PCP"/>
    <s v="PCP-OPGEV"/>
    <s v="270006"/>
    <d v="2005-07-08T00:00:00"/>
    <s v="Manager"/>
    <s v="Head of Verification &amp; Validation"/>
    <x v="3"/>
    <n v="2"/>
    <x v="2"/>
    <n v="23997"/>
    <n v="0"/>
    <n v="0"/>
    <n v="0"/>
    <n v="0"/>
    <n v="0"/>
    <n v="0"/>
    <n v="23997"/>
    <n v="23997"/>
    <n v="0"/>
    <x v="5"/>
    <s v="0.00%-0.00%"/>
    <m/>
    <m/>
    <m/>
    <m/>
    <n v="0"/>
    <n v="23997"/>
    <n v="0"/>
    <n v="0"/>
    <n v="14"/>
    <n v="450"/>
    <m/>
    <n v="688"/>
    <n v="342046"/>
    <n v="4"/>
    <m/>
    <m/>
    <m/>
    <s v="Li Huihua（15000253）"/>
    <s v="Zhu Qianqian（11016705）"/>
    <m/>
    <m/>
    <m/>
    <m/>
    <s v="OK"/>
  </r>
  <r>
    <s v="CN15"/>
    <n v="15000461"/>
    <s v="何 明明"/>
    <s v="He Mingming"/>
    <s v="Indirect Active"/>
    <s v="OP"/>
    <s v="PCP"/>
    <s v="PCP-BAUQG"/>
    <s v="131067"/>
    <d v="2006-04-01T00:00:00"/>
    <s v="Senior Engineer"/>
    <s v="Senior Engineer"/>
    <x v="1"/>
    <n v="2"/>
    <x v="0"/>
    <n v="11871"/>
    <n v="0.05"/>
    <n v="594"/>
    <n v="2.7E-2"/>
    <n v="321"/>
    <n v="7.7078594895122574E-2"/>
    <n v="915"/>
    <n v="12786"/>
    <n v="12912"/>
    <n v="1041"/>
    <x v="172"/>
    <s v="6.17%-9.25%"/>
    <m/>
    <m/>
    <m/>
    <m/>
    <n v="0"/>
    <n v="12912"/>
    <n v="1041"/>
    <n v="8.7692696487237765E-2"/>
    <n v="14"/>
    <n v="550"/>
    <m/>
    <n v="688"/>
    <n v="188056"/>
    <n v="2"/>
    <m/>
    <m/>
    <s v="P"/>
    <s v="Li Huihua（15000253）"/>
    <s v="Zhu Qianqian（11016705）"/>
    <m/>
    <m/>
    <m/>
    <m/>
    <s v="OK"/>
  </r>
  <r>
    <s v="CN15"/>
    <n v="15000553"/>
    <s v="汝 侃"/>
    <s v="Ru Kan"/>
    <s v="Indirect Active"/>
    <s v="OP"/>
    <s v="PCP"/>
    <s v="PCP-OPGEV"/>
    <s v="270006"/>
    <d v="2006-06-19T00:00:00"/>
    <s v="Functional Specialist"/>
    <s v="Functional Specialist"/>
    <x v="0"/>
    <n v="2"/>
    <x v="2"/>
    <n v="15040"/>
    <n v="2.5000000000000001E-2"/>
    <n v="376"/>
    <n v="0"/>
    <n v="0"/>
    <n v="2.5000000000000001E-2"/>
    <n v="376"/>
    <n v="15416"/>
    <n v="15350"/>
    <n v="310"/>
    <x v="88"/>
    <s v="2.00%-3.00%"/>
    <m/>
    <m/>
    <m/>
    <m/>
    <n v="0"/>
    <n v="15350"/>
    <n v="310"/>
    <n v="2.0611702127659504E-2"/>
    <n v="14"/>
    <n v="450"/>
    <m/>
    <n v="688"/>
    <n v="220988"/>
    <n v="3"/>
    <m/>
    <m/>
    <s v="M"/>
    <s v="Li Huihua（15000253）"/>
    <s v="Zhu Qianqian（11016705）"/>
    <m/>
    <m/>
    <m/>
    <m/>
    <s v="OK"/>
  </r>
  <r>
    <s v="CN15"/>
    <n v="15000652"/>
    <s v="陈 久卫"/>
    <s v="Chen Jiuwei"/>
    <s v="Indirect Active"/>
    <s v="OP"/>
    <s v="PCP"/>
    <s v="PCP-OPGEV"/>
    <s v="270006"/>
    <d v="2006-09-01T00:00:00"/>
    <s v="Technician"/>
    <s v="Quality Technician"/>
    <x v="7"/>
    <n v="2"/>
    <x v="1"/>
    <n v="5243"/>
    <n v="0.03"/>
    <n v="157"/>
    <n v="0"/>
    <n v="0"/>
    <n v="2.9944688155636088E-2"/>
    <n v="157"/>
    <n v="5400"/>
    <n v="5421"/>
    <n v="178"/>
    <x v="173"/>
    <s v="2.40%-3.59%"/>
    <m/>
    <m/>
    <m/>
    <m/>
    <n v="0"/>
    <n v="5421"/>
    <n v="178"/>
    <n v="3.3950028609574634E-2"/>
    <n v="14"/>
    <n v="450"/>
    <m/>
    <n v="688"/>
    <n v="81982"/>
    <n v="3"/>
    <m/>
    <m/>
    <s v="P"/>
    <s v="Li Huihua（15000253）"/>
    <s v="Zhu Qianqian（11016705）"/>
    <m/>
    <m/>
    <m/>
    <m/>
    <s v="OK"/>
  </r>
  <r>
    <s v="CN15"/>
    <n v="15000661"/>
    <s v="杨 勇"/>
    <s v="Yang Yong"/>
    <s v="Indirect Active"/>
    <s v="OP"/>
    <s v="PCP"/>
    <s v="PCP-BAUQGO"/>
    <s v="270005"/>
    <d v="2006-09-01T00:00:00"/>
    <s v="Senior Technician"/>
    <s v="Senior Technician"/>
    <x v="4"/>
    <n v="2"/>
    <x v="2"/>
    <n v="9381"/>
    <n v="2.5000000000000001E-2"/>
    <n v="235"/>
    <n v="0"/>
    <n v="0"/>
    <n v="2.5050634260739793E-2"/>
    <n v="235"/>
    <n v="9616"/>
    <n v="9660"/>
    <n v="279"/>
    <x v="99"/>
    <s v="2.00%-3.01%"/>
    <m/>
    <m/>
    <m/>
    <m/>
    <n v="0"/>
    <n v="9660"/>
    <n v="279"/>
    <n v="2.9740965781899664E-2"/>
    <n v="14"/>
    <n v="550"/>
    <m/>
    <n v="688"/>
    <n v="142528"/>
    <n v="3"/>
    <m/>
    <m/>
    <s v="P"/>
    <s v="Li Huihua（15000253）"/>
    <s v="Zhu Qianqian（11016705）"/>
    <m/>
    <m/>
    <m/>
    <m/>
    <s v="OK"/>
  </r>
  <r>
    <s v="CN15"/>
    <n v="15001064"/>
    <s v="夏 爱燕"/>
    <s v="Xia Aiyan"/>
    <s v="Indirect Active"/>
    <s v="OP"/>
    <s v="PCP"/>
    <s v="PCP-OPGEV"/>
    <s v="270006"/>
    <d v="2008-01-01T00:00:00"/>
    <s v="Technician"/>
    <s v="Quality Technician"/>
    <x v="7"/>
    <n v="2"/>
    <x v="2"/>
    <n v="5358"/>
    <n v="0"/>
    <n v="0"/>
    <n v="0"/>
    <n v="0"/>
    <n v="0"/>
    <n v="0"/>
    <n v="5358"/>
    <n v="5458"/>
    <n v="100"/>
    <x v="174"/>
    <s v="0.00%-0.00%"/>
    <m/>
    <m/>
    <m/>
    <m/>
    <n v="0"/>
    <n v="5458"/>
    <n v="100"/>
    <n v="1.8663680477790212E-2"/>
    <n v="14"/>
    <n v="550"/>
    <m/>
    <n v="688"/>
    <n v="83700"/>
    <n v="3"/>
    <m/>
    <s v="- Proactively takes on all kinds of testing assignments;_x000a_- Strong sense of accountability with steady work deliverables;_x000a_- Salary level is relatively low"/>
    <s v="Good performance and high competence"/>
    <s v="Li Huihua（15000253）"/>
    <s v="Zhu Qianqian（11016705）"/>
    <m/>
    <m/>
    <m/>
    <m/>
    <s v="&gt;20"/>
  </r>
  <r>
    <s v="CN15"/>
    <n v="15001337"/>
    <s v="黄 桃华"/>
    <s v="Huang Taohua"/>
    <s v="Indirect Active"/>
    <s v="OP"/>
    <s v="PCP"/>
    <s v="PCP-FDTG"/>
    <s v="270001"/>
    <d v="2008-01-03T00:00:00"/>
    <s v="Senior Specialist"/>
    <s v="Senior Specialist"/>
    <x v="1"/>
    <n v="2"/>
    <x v="2"/>
    <n v="19090"/>
    <n v="2.5000000000000001E-2"/>
    <n v="477"/>
    <n v="0"/>
    <n v="0"/>
    <n v="2.4986904138292299E-2"/>
    <n v="477"/>
    <n v="19567"/>
    <n v="19567"/>
    <n v="477"/>
    <x v="13"/>
    <s v="2.00%-3.00%"/>
    <m/>
    <m/>
    <m/>
    <m/>
    <n v="0"/>
    <n v="19567"/>
    <n v="477"/>
    <n v="2.498690413829241E-2"/>
    <n v="14"/>
    <n v="450"/>
    <m/>
    <n v="688"/>
    <n v="280026"/>
    <n v="3"/>
    <m/>
    <m/>
    <m/>
    <s v="Li Huihua（15000253）"/>
    <s v="Zhu Qianqian（11016705）"/>
    <m/>
    <m/>
    <m/>
    <m/>
    <s v="OK"/>
  </r>
  <r>
    <s v="CN15"/>
    <n v="15001410"/>
    <s v="王 炜"/>
    <s v="Wang Wei"/>
    <s v="Indirect Active"/>
    <s v="OP"/>
    <s v="PCP"/>
    <s v="PCP-BAUOG"/>
    <s v="270002"/>
    <d v="2008-03-04T00:00:00"/>
    <s v="Senior Specialist"/>
    <s v="Senior Specialist"/>
    <x v="1"/>
    <n v="2"/>
    <x v="0"/>
    <n v="17806"/>
    <n v="0.05"/>
    <n v="890"/>
    <n v="0"/>
    <n v="0"/>
    <n v="4.998315174660227E-2"/>
    <n v="890"/>
    <n v="18696"/>
    <n v="18696"/>
    <n v="890"/>
    <x v="139"/>
    <s v="4.00%-6.00%"/>
    <m/>
    <m/>
    <m/>
    <m/>
    <n v="0"/>
    <n v="18696"/>
    <n v="890"/>
    <n v="4.9983151746602283E-2"/>
    <n v="14"/>
    <n v="450"/>
    <m/>
    <n v="688"/>
    <n v="267832"/>
    <n v="3"/>
    <m/>
    <m/>
    <m/>
    <s v="Li Huihua（15000253）"/>
    <s v="Zhu Qianqian（11016705）"/>
    <m/>
    <m/>
    <m/>
    <m/>
    <s v="OK"/>
  </r>
  <r>
    <s v="CN15"/>
    <n v="15001451"/>
    <s v="徐 涛"/>
    <s v="Xu Tao"/>
    <s v="Indirect Active"/>
    <s v="OP"/>
    <s v="PCP"/>
    <s v="PCP-BAUQGO"/>
    <s v="270005"/>
    <d v="2008-03-18T00:00:00"/>
    <s v="Technician"/>
    <s v="Technician"/>
    <x v="7"/>
    <n v="2"/>
    <x v="2"/>
    <n v="6639"/>
    <n v="0"/>
    <n v="0"/>
    <n v="0"/>
    <n v="0"/>
    <n v="0"/>
    <n v="0"/>
    <n v="6639"/>
    <n v="6639"/>
    <n v="0"/>
    <x v="5"/>
    <s v="0.00%-0.00%"/>
    <m/>
    <m/>
    <m/>
    <m/>
    <n v="0"/>
    <n v="6639"/>
    <n v="0"/>
    <n v="0"/>
    <n v="14"/>
    <n v="450"/>
    <m/>
    <n v="688"/>
    <n v="99034"/>
    <n v="3"/>
    <m/>
    <m/>
    <m/>
    <s v="Li Huihua（15000253）"/>
    <s v="Zhu Qianqian（11016705）"/>
    <m/>
    <m/>
    <m/>
    <m/>
    <s v="OK"/>
  </r>
  <r>
    <s v="CN15"/>
    <n v="15001554"/>
    <s v="王 春青"/>
    <s v="Wang Chunqing"/>
    <s v="Indirect Active"/>
    <s v="OP"/>
    <s v="PCP"/>
    <s v="PCP-OPGE"/>
    <s v="270006"/>
    <d v="2008-04-22T00:00:00"/>
    <s v="Director"/>
    <s v="Head of Engineering Hub"/>
    <x v="5"/>
    <n v="2"/>
    <x v="2"/>
    <n v="26500"/>
    <n v="0.03"/>
    <n v="795"/>
    <n v="0"/>
    <n v="0"/>
    <n v="0.03"/>
    <n v="795"/>
    <n v="27295"/>
    <n v="27295"/>
    <n v="795"/>
    <x v="11"/>
    <s v="2.40%-3.60%"/>
    <m/>
    <m/>
    <m/>
    <m/>
    <n v="0"/>
    <n v="27295"/>
    <n v="795"/>
    <n v="3.0000000000000027E-2"/>
    <n v="14"/>
    <n v="450"/>
    <n v="1000"/>
    <n v="688"/>
    <n v="400218"/>
    <n v="5"/>
    <m/>
    <m/>
    <m/>
    <s v="Li Huihua（15000253）"/>
    <s v="Zhu Qianqian（11016705）"/>
    <m/>
    <m/>
    <m/>
    <m/>
    <s v="OK"/>
  </r>
  <r>
    <s v="CN15"/>
    <n v="15001559"/>
    <s v="费 瑜"/>
    <s v="Fei Yu"/>
    <s v="Indirect Active"/>
    <s v="OP"/>
    <s v="PCP"/>
    <s v="PCP-OPGEX"/>
    <s v="270006"/>
    <d v="2008-04-22T00:00:00"/>
    <s v="Senior Engineer"/>
    <s v="Senior Quality Engineer"/>
    <x v="1"/>
    <n v="2"/>
    <x v="2"/>
    <n v="19043"/>
    <n v="0"/>
    <n v="0"/>
    <n v="0"/>
    <n v="0"/>
    <n v="0"/>
    <n v="0"/>
    <n v="19043"/>
    <n v="19043"/>
    <n v="0"/>
    <x v="5"/>
    <s v="0.00%-0.00%"/>
    <m/>
    <m/>
    <m/>
    <m/>
    <n v="0"/>
    <n v="19043"/>
    <n v="0"/>
    <n v="0"/>
    <n v="14"/>
    <n v="450"/>
    <m/>
    <n v="688"/>
    <n v="272690"/>
    <n v="5"/>
    <m/>
    <m/>
    <m/>
    <s v="Li Huihua（15000253）"/>
    <s v="Zhu Qianqian（11016705）"/>
    <m/>
    <m/>
    <m/>
    <m/>
    <s v="OK"/>
  </r>
  <r>
    <s v="CN15"/>
    <n v="15001582"/>
    <s v="余 小晶"/>
    <s v="Yu Xiaojing"/>
    <s v="Indirect Active"/>
    <s v="OP"/>
    <s v="PCP"/>
    <s v="PCP-HCTG"/>
    <s v="270001"/>
    <d v="2008-05-06T00:00:00"/>
    <s v="Project Manager"/>
    <s v="Project Manager"/>
    <x v="0"/>
    <n v="2"/>
    <x v="3"/>
    <n v="25535"/>
    <n v="0"/>
    <n v="0"/>
    <n v="0"/>
    <n v="0"/>
    <n v="0"/>
    <n v="0"/>
    <n v="25535"/>
    <n v="25535"/>
    <n v="0"/>
    <x v="5"/>
    <s v="0.00%-0.00%"/>
    <m/>
    <m/>
    <m/>
    <m/>
    <n v="0"/>
    <n v="25535"/>
    <n v="0"/>
    <n v="0"/>
    <n v="14"/>
    <n v="450"/>
    <m/>
    <n v="688"/>
    <n v="363578"/>
    <n v="3"/>
    <m/>
    <m/>
    <m/>
    <s v="Li Huihua（15000253）"/>
    <s v="Zhu Qianqian（11016705）"/>
    <m/>
    <m/>
    <m/>
    <m/>
    <s v="OK"/>
  </r>
  <r>
    <s v="CN15"/>
    <n v="15001715"/>
    <s v="张 洋"/>
    <s v="Zhang Yang"/>
    <s v="Indirect Active"/>
    <s v="OP"/>
    <s v="PCP"/>
    <s v="PCP-BAUQGO"/>
    <s v="270005"/>
    <d v="2008-06-17T00:00:00"/>
    <s v="Senior Technician"/>
    <s v="Senior Technician"/>
    <x v="4"/>
    <n v="2"/>
    <x v="2"/>
    <n v="7498"/>
    <n v="0.03"/>
    <n v="225"/>
    <n v="0"/>
    <n v="0"/>
    <n v="3.0008002133902374E-2"/>
    <n v="225"/>
    <n v="7723"/>
    <n v="7760"/>
    <n v="262"/>
    <x v="175"/>
    <s v="2.40%-3.60%"/>
    <m/>
    <m/>
    <m/>
    <m/>
    <n v="0"/>
    <n v="7760"/>
    <n v="262"/>
    <n v="3.4942651373699674E-2"/>
    <n v="14"/>
    <n v="450"/>
    <m/>
    <n v="688"/>
    <n v="114728"/>
    <n v="4"/>
    <m/>
    <m/>
    <s v="P"/>
    <s v="Li Huihua（15000253）"/>
    <s v="Zhu Qianqian（11016705）"/>
    <m/>
    <m/>
    <m/>
    <m/>
    <s v="OK"/>
  </r>
  <r>
    <s v="CN15"/>
    <n v="15001898"/>
    <s v="严 金金"/>
    <s v="Yan Jinjin"/>
    <s v="Indirect Active"/>
    <s v="OP"/>
    <s v="PCP"/>
    <s v="PCP-FDTG"/>
    <s v="270001"/>
    <d v="2008-08-05T00:00:00"/>
    <s v="Project Manager"/>
    <s v="Project Manager"/>
    <x v="0"/>
    <n v="2"/>
    <x v="1"/>
    <n v="19706"/>
    <n v="3.7500000000000006E-2"/>
    <n v="739"/>
    <n v="0"/>
    <n v="0"/>
    <n v="3.750126864914239E-2"/>
    <n v="739"/>
    <n v="20445"/>
    <n v="20445"/>
    <n v="739"/>
    <x v="73"/>
    <s v="3.00%-4.50%"/>
    <m/>
    <m/>
    <m/>
    <m/>
    <n v="0"/>
    <n v="20445"/>
    <n v="739"/>
    <n v="3.7501268649142494E-2"/>
    <n v="14"/>
    <n v="450"/>
    <m/>
    <n v="688"/>
    <n v="292318"/>
    <n v="4"/>
    <m/>
    <m/>
    <m/>
    <s v="Li Huihua（15000253）"/>
    <s v="Zhu Qianqian（11016705）"/>
    <m/>
    <m/>
    <m/>
    <m/>
    <s v="OK"/>
  </r>
  <r>
    <s v="CN15"/>
    <n v="15002587"/>
    <s v="修 婧"/>
    <s v="Xiu Jing"/>
    <s v="Indirect Active"/>
    <s v="OP"/>
    <s v="PCP"/>
    <s v="PCP-BAUQG"/>
    <s v="131067"/>
    <d v="2009-07-07T00:00:00"/>
    <s v="Functional Specialist"/>
    <s v="Functional Specialist"/>
    <x v="0"/>
    <n v="2"/>
    <x v="2"/>
    <n v="13738"/>
    <n v="0.03"/>
    <n v="412"/>
    <n v="0"/>
    <n v="0"/>
    <n v="2.9989809288105983E-2"/>
    <n v="412"/>
    <n v="14150"/>
    <n v="14080"/>
    <n v="342"/>
    <x v="37"/>
    <s v="2.40%-3.60%"/>
    <m/>
    <m/>
    <m/>
    <m/>
    <n v="0"/>
    <n v="14080"/>
    <n v="342"/>
    <n v="2.4894453341097744E-2"/>
    <n v="14"/>
    <n v="450"/>
    <m/>
    <n v="688"/>
    <n v="203208"/>
    <n v="2"/>
    <m/>
    <m/>
    <s v="M"/>
    <s v="Li Huihua（15000253）"/>
    <s v="Zhu Qianqian（11016705）"/>
    <m/>
    <m/>
    <m/>
    <m/>
    <s v="OK"/>
  </r>
  <r>
    <s v="CN15"/>
    <n v="15002828"/>
    <s v="戴 秀荣"/>
    <s v="Dai Xiurong"/>
    <s v="Indirect Active"/>
    <s v="OP"/>
    <s v="PCP"/>
    <s v="PCP-OPGEE"/>
    <s v="270006"/>
    <d v="2010-04-01T00:00:00"/>
    <s v="Technician"/>
    <s v="Technician"/>
    <x v="7"/>
    <n v="2"/>
    <x v="1"/>
    <n v="5342"/>
    <n v="0.03"/>
    <n v="160"/>
    <n v="0"/>
    <n v="0"/>
    <n v="2.9951329090228379E-2"/>
    <n v="160"/>
    <n v="5502"/>
    <n v="6103"/>
    <n v="761"/>
    <x v="176"/>
    <s v="2.40%-3.59%"/>
    <s v="Promotion"/>
    <s v="Junior Engineer"/>
    <s v="A3"/>
    <n v="0.14099999999999999"/>
    <n v="753"/>
    <n v="6856"/>
    <n v="1514"/>
    <n v="0.28341445151628597"/>
    <n v="14"/>
    <n v="550"/>
    <m/>
    <n v="688"/>
    <n v="103272"/>
    <n v="3"/>
    <m/>
    <s v="- Switched from Test Technician to Packaging Engineer; fast role adaptation &amp; on-time project delivery_x000a_- Proactive optimization initiatives achieved cost savings RMB 200k+_x000a_- Salary below new role band level"/>
    <s v="Good performance and high competence"/>
    <s v="Li Huihua（15000253）"/>
    <s v="Zhu Qianqian（11016705）"/>
    <m/>
    <m/>
    <m/>
    <m/>
    <s v="&gt;20"/>
  </r>
  <r>
    <s v="CN15"/>
    <n v="15004586"/>
    <s v="谭 木生"/>
    <s v="Tan Musheng"/>
    <s v="Indirect Active"/>
    <s v="OP"/>
    <s v="PCP"/>
    <s v="PCP-OPGU"/>
    <s v="270004"/>
    <d v="2013-07-01T00:00:00"/>
    <s v="Technician"/>
    <s v="Technician"/>
    <x v="7"/>
    <n v="2"/>
    <x v="2"/>
    <n v="5140"/>
    <n v="2.5000000000000001E-2"/>
    <n v="129"/>
    <n v="0"/>
    <n v="0"/>
    <n v="2.5097276264591441E-2"/>
    <n v="129"/>
    <n v="5269"/>
    <n v="5285"/>
    <n v="145"/>
    <x v="177"/>
    <s v="2.01%-3.01%"/>
    <m/>
    <m/>
    <m/>
    <m/>
    <n v="0"/>
    <n v="5285"/>
    <n v="145"/>
    <n v="2.821011673151741E-2"/>
    <n v="14"/>
    <n v="550"/>
    <m/>
    <n v="688"/>
    <n v="81278"/>
    <n v="3"/>
    <m/>
    <m/>
    <s v="P"/>
    <s v="Li Huihua（15000253）"/>
    <s v="Zhu Qianqian（11016705）"/>
    <m/>
    <m/>
    <m/>
    <m/>
    <s v="OK"/>
  </r>
  <r>
    <s v="CN15"/>
    <n v="15004934"/>
    <s v="范 仁莉"/>
    <s v="Fan Renli"/>
    <s v="Indirect Active"/>
    <s v="OP"/>
    <s v="PCP"/>
    <s v="PCP-OPGU"/>
    <s v="131066"/>
    <d v="2010-11-17T00:00:00"/>
    <s v="Functional Specialist"/>
    <s v="Functional Specialist"/>
    <x v="0"/>
    <n v="2"/>
    <x v="2"/>
    <n v="14763"/>
    <n v="2.5000000000000001E-2"/>
    <n v="369"/>
    <n v="0"/>
    <n v="0"/>
    <n v="2.4994919731761836E-2"/>
    <n v="369"/>
    <n v="15132"/>
    <n v="15060"/>
    <n v="297"/>
    <x v="69"/>
    <s v="2.00%-3.00%"/>
    <m/>
    <m/>
    <m/>
    <m/>
    <n v="0"/>
    <n v="15060"/>
    <n v="297"/>
    <n v="2.0117862223125282E-2"/>
    <n v="14"/>
    <n v="510"/>
    <m/>
    <n v="688"/>
    <n v="217648"/>
    <n v="3"/>
    <m/>
    <m/>
    <s v="M"/>
    <s v="Li Huihua（15000253）"/>
    <s v="Zhu Qianqian（11016705）"/>
    <m/>
    <m/>
    <m/>
    <m/>
    <s v="OK"/>
  </r>
  <r>
    <s v="CN15"/>
    <n v="15006903"/>
    <s v="王 佳"/>
    <s v="Wang Jia"/>
    <s v="Indirect Active"/>
    <s v="OP"/>
    <s v="PCP"/>
    <s v="PCP-BAUQGP"/>
    <s v="270005"/>
    <d v="2011-08-03T00:00:00"/>
    <s v="Senior Engineer"/>
    <s v="Senior Engineer"/>
    <x v="1"/>
    <n v="2"/>
    <x v="2"/>
    <n v="15529"/>
    <n v="0"/>
    <n v="0"/>
    <n v="0"/>
    <n v="0"/>
    <n v="0"/>
    <n v="0"/>
    <n v="15529"/>
    <n v="15529"/>
    <n v="0"/>
    <x v="5"/>
    <s v="0.00%-0.00%"/>
    <m/>
    <m/>
    <m/>
    <m/>
    <n v="0"/>
    <n v="15529"/>
    <n v="0"/>
    <n v="0"/>
    <n v="14"/>
    <n v="450"/>
    <m/>
    <n v="688"/>
    <n v="223494"/>
    <n v="3"/>
    <m/>
    <m/>
    <m/>
    <s v="Li Huihua（15000253）"/>
    <s v="Zhu Qianqian（11016705）"/>
    <m/>
    <m/>
    <m/>
    <m/>
    <s v="OK"/>
  </r>
  <r>
    <s v="CN15"/>
    <n v="15007414"/>
    <s v="张 丽洁"/>
    <s v="Zhang Lijie"/>
    <s v="Indirect Active"/>
    <s v="OP"/>
    <s v="PCP"/>
    <s v="PCP-BAUOG"/>
    <s v="270002"/>
    <d v="2012-08-01T00:00:00"/>
    <s v="Specialist"/>
    <s v="Specialist"/>
    <x v="2"/>
    <n v="2"/>
    <x v="2"/>
    <n v="11326"/>
    <n v="2.5000000000000001E-2"/>
    <n v="283"/>
    <n v="0"/>
    <n v="0"/>
    <n v="2.4986756136323503E-2"/>
    <n v="283"/>
    <n v="11609"/>
    <n v="11609"/>
    <n v="283"/>
    <x v="13"/>
    <s v="2.00%-3.00%"/>
    <m/>
    <m/>
    <m/>
    <m/>
    <n v="0"/>
    <n v="11609"/>
    <n v="283"/>
    <n v="2.4986756136323507E-2"/>
    <n v="14"/>
    <n v="450"/>
    <m/>
    <n v="688"/>
    <n v="168614"/>
    <n v="3"/>
    <m/>
    <m/>
    <m/>
    <s v="Li Huihua（15000253）"/>
    <s v="Zhu Qianqian（11016705）"/>
    <m/>
    <m/>
    <m/>
    <m/>
    <s v="OK"/>
  </r>
  <r>
    <s v="CN15"/>
    <n v="15009235"/>
    <s v="张 琪"/>
    <s v="Zhang Qi"/>
    <s v="Indirect Active"/>
    <s v="OP"/>
    <s v="PCP"/>
    <s v="PCP-BAUOG"/>
    <s v="270002"/>
    <d v="2013-01-05T00:00:00"/>
    <s v="Senior Specialist"/>
    <s v="Senior Specialist"/>
    <x v="1"/>
    <n v="2"/>
    <x v="2"/>
    <n v="10152"/>
    <n v="3.5000000000000003E-2"/>
    <n v="355"/>
    <n v="0"/>
    <n v="0"/>
    <n v="3.496847911741529E-2"/>
    <n v="355"/>
    <n v="10507"/>
    <n v="10507"/>
    <n v="355"/>
    <x v="178"/>
    <s v="2.80%-4.20%"/>
    <m/>
    <m/>
    <m/>
    <m/>
    <n v="0"/>
    <n v="10507"/>
    <n v="355"/>
    <n v="3.4968479117415185E-2"/>
    <n v="14"/>
    <n v="450"/>
    <m/>
    <n v="688"/>
    <n v="153186"/>
    <n v="3"/>
    <m/>
    <m/>
    <m/>
    <s v="Li Huihua（15000253）"/>
    <s v="Zhu Qianqian（11016705）"/>
    <m/>
    <m/>
    <m/>
    <m/>
    <s v="OK"/>
  </r>
  <r>
    <s v="CN15"/>
    <n v="15009624"/>
    <s v="魏 兆勇"/>
    <s v="Wei Zhaoyong"/>
    <s v="Indirect Active"/>
    <s v="OP"/>
    <s v="PCP"/>
    <s v="PCP-BAUQGO"/>
    <s v="270005"/>
    <d v="2013-03-14T00:00:00"/>
    <s v="Technician"/>
    <s v="Technician"/>
    <x v="4"/>
    <n v="2"/>
    <x v="1"/>
    <n v="8111"/>
    <n v="4.4999999999999998E-2"/>
    <n v="365"/>
    <n v="1.55E-2"/>
    <n v="126"/>
    <n v="6.0535075822956481E-2"/>
    <n v="491"/>
    <n v="8602"/>
    <n v="8510"/>
    <n v="399"/>
    <x v="179"/>
    <s v="4.84%-7.26%"/>
    <s v="Promotion"/>
    <s v="Senior Technician"/>
    <s v="A3"/>
    <n v="0.10100000000000001"/>
    <n v="819"/>
    <n v="9329"/>
    <n v="1218"/>
    <n v="0.15016644063617313"/>
    <n v="14"/>
    <n v="450"/>
    <m/>
    <n v="688"/>
    <n v="136694"/>
    <n v="4"/>
    <m/>
    <s v="Good performance and high competence"/>
    <s v="Good performance and high competence"/>
    <s v="Li Huihua（15000253）"/>
    <s v="Zhu Qianqian（11016705）"/>
    <m/>
    <m/>
    <m/>
    <m/>
    <s v="OK"/>
  </r>
  <r>
    <s v="CN15"/>
    <n v="15010095"/>
    <s v="王 蕊"/>
    <s v="Wang Rui"/>
    <s v="Indirect Active"/>
    <s v="OP"/>
    <s v="PCP"/>
    <s v="PCP-BAUOG"/>
    <s v="270002"/>
    <d v="2013-04-22T00:00:00"/>
    <s v="Senior Specialist"/>
    <s v="Senior Specialist"/>
    <x v="1"/>
    <n v="2"/>
    <x v="2"/>
    <n v="10547"/>
    <n v="0.03"/>
    <n v="316"/>
    <n v="0"/>
    <n v="0"/>
    <n v="2.9961126386650234E-2"/>
    <n v="316"/>
    <n v="10863"/>
    <n v="10863"/>
    <n v="316"/>
    <x v="11"/>
    <s v="2.40%-3.60%"/>
    <m/>
    <m/>
    <m/>
    <m/>
    <n v="0"/>
    <n v="10863"/>
    <n v="316"/>
    <n v="2.9961126386650161E-2"/>
    <n v="14"/>
    <n v="450"/>
    <m/>
    <n v="688"/>
    <n v="158170"/>
    <n v="3"/>
    <m/>
    <m/>
    <m/>
    <s v="Li Huihua（15000253）"/>
    <s v="Zhu Qianqian（11016705）"/>
    <m/>
    <m/>
    <m/>
    <m/>
    <s v="OK"/>
  </r>
  <r>
    <s v="CN15"/>
    <n v="15010602"/>
    <s v="胡 学康"/>
    <s v="Hu Xuekang"/>
    <s v="Indirect Active"/>
    <s v="OP"/>
    <s v="PCP"/>
    <s v="PCP-BAUQGO"/>
    <s v="270005"/>
    <d v="2014-07-01T00:00:00"/>
    <s v="Inspector"/>
    <s v="Inspector"/>
    <x v="7"/>
    <n v="2"/>
    <x v="2"/>
    <n v="4785"/>
    <n v="0"/>
    <n v="0"/>
    <n v="0"/>
    <n v="0"/>
    <n v="0"/>
    <n v="0"/>
    <n v="4785"/>
    <n v="4785"/>
    <n v="0"/>
    <x v="5"/>
    <s v="0.00%-0.00%"/>
    <m/>
    <m/>
    <m/>
    <m/>
    <n v="0"/>
    <n v="4785"/>
    <n v="0"/>
    <n v="0"/>
    <n v="14"/>
    <n v="450"/>
    <m/>
    <n v="688"/>
    <n v="73078"/>
    <n v="3"/>
    <m/>
    <m/>
    <m/>
    <s v="Li Huihua（15000253）"/>
    <s v="Zhu Qianqian（11016705）"/>
    <m/>
    <m/>
    <m/>
    <m/>
    <s v="OK"/>
  </r>
  <r>
    <s v="CN15"/>
    <n v="15012886"/>
    <s v="杜 冬云"/>
    <s v="Du Dongyun"/>
    <s v="Indirect Active"/>
    <s v="OP"/>
    <s v="PCP"/>
    <s v="PCP-BAUQGP"/>
    <s v="270005"/>
    <d v="2014-04-02T00:00:00"/>
    <s v="Manager"/>
    <s v="Manager"/>
    <x v="3"/>
    <n v="2"/>
    <x v="1"/>
    <n v="21534"/>
    <n v="4.4999999999999998E-2"/>
    <n v="969"/>
    <n v="4.2099999999999999E-2"/>
    <n v="907"/>
    <n v="8.7118045880932485E-2"/>
    <n v="1876"/>
    <n v="23410"/>
    <n v="23410"/>
    <n v="1876"/>
    <x v="180"/>
    <s v="6.97%-10.45%"/>
    <m/>
    <m/>
    <m/>
    <m/>
    <n v="0"/>
    <n v="23410"/>
    <n v="1876"/>
    <n v="8.7118045880932415E-2"/>
    <n v="14"/>
    <n v="450"/>
    <m/>
    <n v="688"/>
    <n v="333828"/>
    <n v="4"/>
    <m/>
    <m/>
    <m/>
    <s v="Li Huihua（15000253）"/>
    <s v="Zhu Qianqian（11016705）"/>
    <m/>
    <m/>
    <m/>
    <m/>
    <s v="OK"/>
  </r>
  <r>
    <s v="CN15"/>
    <n v="15016219"/>
    <s v="王 莉"/>
    <s v="Wang Li"/>
    <s v="Indirect Active"/>
    <s v="OP"/>
    <s v="PCP"/>
    <s v="PCP-BVTG"/>
    <s v="270001"/>
    <d v="2016-12-23T00:00:00"/>
    <s v="Project Manager"/>
    <s v="Project Manager"/>
    <x v="0"/>
    <n v="2"/>
    <x v="0"/>
    <n v="18050"/>
    <n v="0.05"/>
    <n v="903"/>
    <n v="2.7E-2"/>
    <n v="487"/>
    <n v="7.7008310249307474E-2"/>
    <n v="1390"/>
    <n v="19440"/>
    <n v="19340"/>
    <n v="1290"/>
    <x v="181"/>
    <s v="6.16%-9.24%"/>
    <m/>
    <m/>
    <m/>
    <m/>
    <n v="0"/>
    <n v="19340"/>
    <n v="1290"/>
    <n v="7.1468144044321225E-2"/>
    <n v="14"/>
    <n v="450"/>
    <m/>
    <n v="688"/>
    <n v="276848"/>
    <n v="4"/>
    <m/>
    <m/>
    <s v="M"/>
    <s v="Li Huihua（15000253）"/>
    <s v="Zhu Qianqian（11016705）"/>
    <m/>
    <m/>
    <m/>
    <m/>
    <s v="OK"/>
  </r>
  <r>
    <s v="CN15"/>
    <n v="15016334"/>
    <s v="张 娟"/>
    <s v="Zhang Juan"/>
    <s v="Indirect Active"/>
    <s v="OP"/>
    <s v="PCP"/>
    <s v="PCP-BAUQGP"/>
    <s v="270005"/>
    <d v="2017-02-15T00:00:00"/>
    <s v="Functional Specialist"/>
    <s v="Functional Specialist"/>
    <x v="0"/>
    <n v="2"/>
    <x v="2"/>
    <n v="13277"/>
    <n v="0.03"/>
    <n v="398"/>
    <n v="0"/>
    <n v="0"/>
    <n v="2.9976651351962039E-2"/>
    <n v="398"/>
    <n v="13675"/>
    <n v="13675"/>
    <n v="398"/>
    <x v="11"/>
    <s v="2.40%-3.60%"/>
    <m/>
    <m/>
    <m/>
    <m/>
    <n v="0"/>
    <n v="13675"/>
    <n v="398"/>
    <n v="2.9976651351962147E-2"/>
    <n v="14"/>
    <n v="450"/>
    <m/>
    <n v="688"/>
    <n v="197538"/>
    <n v="3"/>
    <m/>
    <m/>
    <m/>
    <s v="Li Huihua（15000253）"/>
    <s v="Zhu Qianqian（11016705）"/>
    <m/>
    <m/>
    <m/>
    <m/>
    <s v="OK"/>
  </r>
  <r>
    <s v="CN15"/>
    <n v="15021229"/>
    <s v="黄 婕"/>
    <s v="Huang Jie"/>
    <s v="Indirect Active"/>
    <s v="OP"/>
    <s v="PCP"/>
    <s v="PCP-BAUQGP"/>
    <s v="270005"/>
    <d v="2021-04-21T00:00:00"/>
    <s v="Senior Engineer"/>
    <s v="Senior Engineer"/>
    <x v="1"/>
    <n v="2"/>
    <x v="2"/>
    <n v="12195"/>
    <n v="2.5000000000000001E-2"/>
    <n v="305"/>
    <n v="0"/>
    <n v="0"/>
    <n v="2.5010250102501026E-2"/>
    <n v="305"/>
    <n v="12500"/>
    <n v="12440"/>
    <n v="245"/>
    <x v="69"/>
    <s v="2.00%-3.00%"/>
    <m/>
    <m/>
    <m/>
    <m/>
    <n v="0"/>
    <n v="12440"/>
    <n v="245"/>
    <n v="2.009020090200897E-2"/>
    <n v="14"/>
    <n v="550"/>
    <m/>
    <n v="688"/>
    <n v="181448"/>
    <n v="2"/>
    <m/>
    <m/>
    <s v="M"/>
    <s v="Li Huihua（15000253）"/>
    <s v="Zhu Qianqian（11016705）"/>
    <m/>
    <m/>
    <m/>
    <m/>
    <s v="OK"/>
  </r>
  <r>
    <s v="CN15"/>
    <n v="15021652"/>
    <s v="马 中浩"/>
    <s v="Ma Zhonghao"/>
    <s v="Indirect Active"/>
    <s v="OP"/>
    <s v="PCP"/>
    <s v="PCP-BAUQG"/>
    <s v="131067"/>
    <d v="2021-08-04T00:00:00"/>
    <s v="Senior Engineer"/>
    <s v="Senior Engineer"/>
    <x v="1"/>
    <n v="2"/>
    <x v="1"/>
    <n v="15379"/>
    <n v="0.03"/>
    <n v="461"/>
    <n v="0"/>
    <n v="0"/>
    <n v="2.9975941218544768E-2"/>
    <n v="461"/>
    <n v="15840"/>
    <n v="15840"/>
    <n v="461"/>
    <x v="11"/>
    <s v="2.40%-3.60%"/>
    <m/>
    <m/>
    <m/>
    <m/>
    <n v="0"/>
    <n v="15840"/>
    <n v="461"/>
    <n v="2.9975941218544744E-2"/>
    <n v="14"/>
    <n v="450"/>
    <m/>
    <n v="688"/>
    <n v="227848"/>
    <n v="3"/>
    <m/>
    <m/>
    <m/>
    <s v="Li Huihua（15000253）"/>
    <s v="Zhu Qianqian（11016705）"/>
    <m/>
    <m/>
    <m/>
    <m/>
    <s v="OK"/>
  </r>
  <r>
    <s v="CN15"/>
    <n v="15022333"/>
    <s v="朱 步伟"/>
    <s v="Zhu Buwei"/>
    <s v="Indirect Active"/>
    <s v="OP"/>
    <s v="PCP"/>
    <s v="PCP-BAUQGP"/>
    <s v="270005"/>
    <d v="2023-04-06T00:00:00"/>
    <s v="Senior Engineer"/>
    <s v="Senior Engineer"/>
    <x v="1"/>
    <n v="2"/>
    <x v="0"/>
    <n v="12550"/>
    <n v="0.05"/>
    <n v="628"/>
    <n v="2.7E-2"/>
    <n v="339"/>
    <n v="7.7051792828685253E-2"/>
    <n v="967"/>
    <n v="13517"/>
    <n v="13517"/>
    <n v="967"/>
    <x v="182"/>
    <s v="6.16%-9.25%"/>
    <m/>
    <m/>
    <m/>
    <m/>
    <n v="0"/>
    <n v="13517"/>
    <n v="967"/>
    <n v="7.705179282868535E-2"/>
    <n v="14"/>
    <n v="450"/>
    <m/>
    <n v="688"/>
    <n v="195326"/>
    <n v="3"/>
    <m/>
    <m/>
    <m/>
    <s v="Li Huihua（15000253）"/>
    <s v="Zhu Qianqian（11016705）"/>
    <m/>
    <m/>
    <m/>
    <m/>
    <s v="OK"/>
  </r>
  <r>
    <s v="CN15"/>
    <n v="15000066"/>
    <s v="安 荣栓"/>
    <s v="An Rongshuan"/>
    <s v="Indirect Active"/>
    <s v="OP"/>
    <s v="PCP"/>
    <s v="PCP-OPGEX"/>
    <s v="150800"/>
    <d v="2004-12-10T00:00:00"/>
    <s v="Functional Specialist"/>
    <s v="Functional Specialist"/>
    <x v="0"/>
    <n v="2"/>
    <x v="2"/>
    <n v="20485"/>
    <n v="2.5000000000000001E-2"/>
    <n v="512"/>
    <n v="0"/>
    <n v="0"/>
    <n v="2.4993897974127412E-2"/>
    <n v="512"/>
    <n v="20997"/>
    <n v="20895"/>
    <n v="410"/>
    <x v="36"/>
    <s v="2.00%-3.00%"/>
    <m/>
    <m/>
    <m/>
    <m/>
    <n v="0"/>
    <n v="20895"/>
    <n v="410"/>
    <n v="2.0014644862094144E-2"/>
    <n v="14"/>
    <n v="2810"/>
    <m/>
    <n v="688"/>
    <n v="326938"/>
    <n v="3"/>
    <m/>
    <m/>
    <s v="M"/>
    <s v="Li Huihua（15000253）"/>
    <s v="Zhu Qianqian（11016705）"/>
    <m/>
    <m/>
    <m/>
    <m/>
    <s v="OK"/>
  </r>
  <r>
    <s v="CN15"/>
    <n v="15001163"/>
    <s v="曹 亮"/>
    <s v="Cao Liang"/>
    <s v="Indirect Active"/>
    <s v="OP"/>
    <s v="PCP"/>
    <s v="PCP-FDTG"/>
    <s v="150700"/>
    <d v="2011-08-03T00:00:00"/>
    <s v="Senior Project Manager"/>
    <s v="Senior Project Manager"/>
    <x v="3"/>
    <n v="2"/>
    <x v="2"/>
    <n v="28530"/>
    <n v="2.5000000000000001E-2"/>
    <n v="713"/>
    <n v="0"/>
    <n v="0"/>
    <n v="2.4991237294076412E-2"/>
    <n v="713"/>
    <n v="29243"/>
    <n v="29111"/>
    <n v="581"/>
    <x v="183"/>
    <s v="2.00%-3.00%"/>
    <m/>
    <m/>
    <m/>
    <m/>
    <n v="0"/>
    <n v="29111"/>
    <n v="581"/>
    <n v="2.0364528566421347E-2"/>
    <n v="14"/>
    <n v="450"/>
    <m/>
    <n v="688"/>
    <n v="413642"/>
    <n v="3"/>
    <m/>
    <m/>
    <s v="M"/>
    <s v="Li Huihua（15000253）"/>
    <s v="Zhu Qianqian（11016705）"/>
    <m/>
    <m/>
    <m/>
    <m/>
    <s v="OK"/>
  </r>
  <r>
    <s v="CN15"/>
    <n v="15014171"/>
    <s v="陈 泓旭"/>
    <s v="Chen Hongxu"/>
    <s v="Indirect Active"/>
    <s v="OP"/>
    <s v="PCP"/>
    <s v="PCP-OPGEV"/>
    <s v="150800"/>
    <d v="2014-12-08T00:00:00"/>
    <s v="Engineer"/>
    <s v="Lab Test Engineer"/>
    <x v="2"/>
    <n v="2"/>
    <x v="2"/>
    <n v="11824"/>
    <n v="0"/>
    <n v="0"/>
    <n v="0"/>
    <n v="0"/>
    <n v="0"/>
    <n v="0"/>
    <n v="11824"/>
    <n v="11824"/>
    <n v="0"/>
    <x v="5"/>
    <s v="0.00%-0.00%"/>
    <m/>
    <m/>
    <m/>
    <m/>
    <n v="0"/>
    <n v="11824"/>
    <n v="0"/>
    <n v="0"/>
    <n v="14"/>
    <n v="550"/>
    <m/>
    <n v="688"/>
    <n v="172824"/>
    <n v="3"/>
    <m/>
    <m/>
    <m/>
    <s v="Li Huihua（15000253）"/>
    <s v="Zhu Qianqian（11016705）"/>
    <m/>
    <m/>
    <m/>
    <m/>
    <s v="OK"/>
  </r>
  <r>
    <s v="CN15"/>
    <n v="15000459"/>
    <s v="陈 俊"/>
    <s v="Chen Jun"/>
    <s v="Indirect Active"/>
    <s v="OP"/>
    <s v="PCP"/>
    <s v="PCP-OPGEV"/>
    <s v="150800"/>
    <d v="2006-04-01T00:00:00"/>
    <s v="Junior Engineer"/>
    <s v="Junior Lab Engineer"/>
    <x v="4"/>
    <n v="2"/>
    <x v="2"/>
    <n v="9487"/>
    <n v="2.5000000000000001E-2"/>
    <n v="237"/>
    <n v="0"/>
    <n v="0"/>
    <n v="2.4981553705070096E-2"/>
    <n v="237"/>
    <n v="9724"/>
    <n v="9724"/>
    <n v="237"/>
    <x v="13"/>
    <s v="2.00%-3.00%"/>
    <m/>
    <m/>
    <m/>
    <m/>
    <n v="0"/>
    <n v="9724"/>
    <n v="237"/>
    <n v="2.4981553705070159E-2"/>
    <n v="14"/>
    <n v="550"/>
    <m/>
    <n v="688"/>
    <n v="143424"/>
    <n v="3"/>
    <m/>
    <m/>
    <m/>
    <s v="Li Huihua（15000253）"/>
    <s v="Zhu Qianqian（11016705）"/>
    <m/>
    <m/>
    <m/>
    <m/>
    <s v="OK"/>
  </r>
  <r>
    <s v="CN15"/>
    <n v="15014796"/>
    <s v="陈 宇轩"/>
    <s v="Chen Yuxuan"/>
    <s v="Indirect Active"/>
    <s v="OP"/>
    <s v="PCP"/>
    <s v="PCP-OPGEE"/>
    <s v="150800"/>
    <d v="2015-09-09T00:00:00"/>
    <s v="Engineer"/>
    <s v="Approbation Engineer"/>
    <x v="2"/>
    <n v="2"/>
    <x v="1"/>
    <n v="12030"/>
    <n v="0.03"/>
    <n v="361"/>
    <n v="0"/>
    <n v="0"/>
    <n v="3.000831255195345E-2"/>
    <n v="361"/>
    <n v="12391"/>
    <n v="12320"/>
    <n v="290"/>
    <x v="184"/>
    <s v="2.40%-3.60%"/>
    <s v="Promotion"/>
    <s v="senior engineer"/>
    <s v="A5"/>
    <n v="5.5E-2"/>
    <n v="662"/>
    <n v="12982"/>
    <n v="952"/>
    <n v="7.9135494596841216E-2"/>
    <n v="14"/>
    <n v="450"/>
    <m/>
    <n v="688"/>
    <n v="187836"/>
    <n v="4"/>
    <m/>
    <s v="Good performance and high competence"/>
    <s v="Good performance and high competence"/>
    <s v="Li Huihua（15000253）"/>
    <s v="Zhu Qianqian（11016705）"/>
    <m/>
    <m/>
    <m/>
    <m/>
    <s v="OK"/>
  </r>
  <r>
    <s v="CN15"/>
    <n v="15021739"/>
    <s v="代 梦华"/>
    <s v="Dai Menghua"/>
    <s v="Indirect Active"/>
    <s v="OP"/>
    <s v="PCP"/>
    <s v="PCP-HCTG"/>
    <s v="150700"/>
    <d v="2021-09-15T00:00:00"/>
    <s v="Senior Engineer"/>
    <s v="Senior Engineer"/>
    <x v="1"/>
    <n v="2"/>
    <x v="0"/>
    <n v="11507"/>
    <n v="0.05"/>
    <n v="575"/>
    <n v="2.7E-2"/>
    <n v="311"/>
    <n v="7.6996610758668635E-2"/>
    <n v="886"/>
    <n v="12393"/>
    <n v="12807"/>
    <n v="1300"/>
    <x v="185"/>
    <s v="6.16%-9.24%"/>
    <m/>
    <m/>
    <m/>
    <m/>
    <n v="0"/>
    <n v="12807"/>
    <n v="1300"/>
    <n v="0.11297471104545065"/>
    <n v="14"/>
    <n v="550"/>
    <m/>
    <n v="688"/>
    <n v="186586"/>
    <n v="2"/>
    <m/>
    <s v="Key position and high performance but with low basic salary, need to catch up"/>
    <s v="Good performance and high competence"/>
    <s v="Li Huihua（15000253）"/>
    <s v="Zhu Qianqian（11016705）"/>
    <m/>
    <m/>
    <m/>
    <m/>
    <s v="&gt;20"/>
  </r>
  <r>
    <s v="CN15"/>
    <n v="15022170"/>
    <s v="焦 阳"/>
    <s v="Jiao Yang"/>
    <s v="Indirect Active"/>
    <s v="OP"/>
    <s v="PCP"/>
    <s v="PCP-FDTG"/>
    <s v="150700"/>
    <d v="2022-04-20T00:00:00"/>
    <s v="Engineer"/>
    <s v="Structural Engineer"/>
    <x v="2"/>
    <n v="2"/>
    <x v="2"/>
    <n v="13237"/>
    <n v="2.5000000000000001E-2"/>
    <n v="331"/>
    <n v="0"/>
    <n v="0"/>
    <n v="2.500566593639042E-2"/>
    <n v="331"/>
    <n v="13568"/>
    <n v="13634"/>
    <n v="397"/>
    <x v="11"/>
    <s v="2.00%-3.00%"/>
    <m/>
    <m/>
    <m/>
    <m/>
    <n v="0"/>
    <n v="13634"/>
    <n v="397"/>
    <n v="2.9991689959960821E-2"/>
    <n v="14"/>
    <n v="450"/>
    <m/>
    <n v="688"/>
    <n v="196964"/>
    <n v="4"/>
    <m/>
    <m/>
    <s v="P"/>
    <s v="Li Huihua（15000253）"/>
    <s v="Zhu Qianqian（11016705）"/>
    <m/>
    <m/>
    <m/>
    <m/>
    <s v="OK"/>
  </r>
  <r>
    <s v="CN15"/>
    <n v="15001899"/>
    <s v="孔 秀梅"/>
    <s v="Kong Xiumei"/>
    <s v="Indirect Active"/>
    <s v="OP"/>
    <s v="PCP"/>
    <s v="PCP-HCTG"/>
    <s v="150700"/>
    <d v="2008-08-05T00:00:00"/>
    <s v="Senior Engineer"/>
    <s v="Senior Packing Engineer"/>
    <x v="1"/>
    <n v="2"/>
    <x v="2"/>
    <n v="17702"/>
    <n v="0"/>
    <n v="0"/>
    <n v="0"/>
    <n v="0"/>
    <n v="0"/>
    <n v="0"/>
    <n v="17702"/>
    <n v="17702"/>
    <n v="0"/>
    <x v="5"/>
    <s v="0.00%-0.00%"/>
    <m/>
    <m/>
    <m/>
    <m/>
    <n v="0"/>
    <n v="17702"/>
    <n v="0"/>
    <n v="0"/>
    <n v="14"/>
    <n v="450"/>
    <m/>
    <n v="688"/>
    <n v="253916"/>
    <n v="4"/>
    <m/>
    <m/>
    <m/>
    <s v="Li Huihua（15000253）"/>
    <s v="Zhu Qianqian（11016705）"/>
    <m/>
    <m/>
    <m/>
    <m/>
    <s v="OK"/>
  </r>
  <r>
    <s v="CN15"/>
    <n v="15014942"/>
    <s v="李 敏鑫"/>
    <s v="Li Minxin"/>
    <s v="Indirect Active"/>
    <s v="OP"/>
    <s v="PCP"/>
    <s v="PCP-OPGEE"/>
    <s v="270006"/>
    <d v="2015-11-18T00:00:00"/>
    <s v="Manager"/>
    <s v="Head of Engineering"/>
    <x v="3"/>
    <n v="2"/>
    <x v="2"/>
    <n v="23713"/>
    <n v="2.5000000000000001E-2"/>
    <n v="593"/>
    <n v="0"/>
    <n v="0"/>
    <n v="2.5007379918188334E-2"/>
    <n v="593"/>
    <n v="24306"/>
    <n v="24200"/>
    <n v="487"/>
    <x v="186"/>
    <s v="2.00%-3.00%"/>
    <m/>
    <m/>
    <m/>
    <m/>
    <n v="0"/>
    <n v="24200"/>
    <n v="487"/>
    <n v="2.0537258044110773E-2"/>
    <n v="14"/>
    <n v="450"/>
    <m/>
    <n v="688"/>
    <n v="344888"/>
    <n v="3"/>
    <m/>
    <m/>
    <s v="M"/>
    <s v="Li Huihua（15000253）"/>
    <s v="Zhu Qianqian（11016705）"/>
    <m/>
    <m/>
    <m/>
    <m/>
    <s v="OK"/>
  </r>
  <r>
    <s v="CN15"/>
    <n v="1220045"/>
    <s v="李 明文"/>
    <s v="Li Mingwen"/>
    <s v="Indirect Active"/>
    <s v="OP"/>
    <s v="PCP"/>
    <s v="PCP-HCTG"/>
    <s v="150700"/>
    <d v="2008-05-21T00:00:00"/>
    <s v="Senior Project Manager"/>
    <s v="Senior Project Manager"/>
    <x v="3"/>
    <n v="2"/>
    <x v="1"/>
    <n v="30300"/>
    <n v="0.03"/>
    <n v="909"/>
    <n v="0"/>
    <n v="0"/>
    <n v="0.03"/>
    <n v="909"/>
    <n v="31209"/>
    <n v="31058"/>
    <n v="758"/>
    <x v="13"/>
    <s v="2.40%-3.60%"/>
    <m/>
    <m/>
    <m/>
    <m/>
    <n v="0"/>
    <n v="31058"/>
    <n v="758"/>
    <n v="2.5016501650165113E-2"/>
    <n v="14"/>
    <n v="950"/>
    <m/>
    <n v="688"/>
    <n v="446900"/>
    <n v="3"/>
    <m/>
    <m/>
    <s v="M"/>
    <s v="Li Huihua（15000253）"/>
    <s v="Zhu Qianqian（11016705）"/>
    <m/>
    <m/>
    <m/>
    <m/>
    <s v="OK"/>
  </r>
  <r>
    <s v="CN15"/>
    <n v="15000542"/>
    <s v="凌 宇征"/>
    <s v="Ling Yuzheng"/>
    <s v="Indirect Active"/>
    <s v="OP"/>
    <s v="PCP"/>
    <s v="PCP-FDTG"/>
    <s v="150700"/>
    <d v="2006-06-05T00:00:00"/>
    <s v="Manager"/>
    <s v="Head of Series Support"/>
    <x v="3"/>
    <n v="2"/>
    <x v="0"/>
    <n v="35062"/>
    <n v="0.03"/>
    <n v="1052"/>
    <n v="0"/>
    <n v="0"/>
    <n v="3.0003992926815357E-2"/>
    <n v="1052"/>
    <n v="36114"/>
    <n v="36522"/>
    <n v="1460"/>
    <x v="187"/>
    <s v="2.40%-3.60%"/>
    <m/>
    <m/>
    <m/>
    <m/>
    <n v="0"/>
    <n v="36522"/>
    <n v="1460"/>
    <n v="4.164052250299477E-2"/>
    <n v="14"/>
    <n v="450"/>
    <m/>
    <n v="688"/>
    <n v="517396"/>
    <n v="5"/>
    <m/>
    <s v="Deliveravles over expectation, dual PMO role"/>
    <s v="Good performance and high competence"/>
    <s v="Li Huihua（15000253）"/>
    <s v="Zhu Qianqian（11016705）"/>
    <m/>
    <m/>
    <m/>
    <m/>
    <s v="OK"/>
  </r>
  <r>
    <s v="CN15"/>
    <n v="15005969"/>
    <s v="刘 立新"/>
    <s v="Liu Lixin"/>
    <s v="Indirect Active"/>
    <s v="OP"/>
    <s v="PCP"/>
    <s v="PCP-OPGEV"/>
    <s v="150800"/>
    <d v="2011-05-11T00:00:00"/>
    <s v="Senior Engineer"/>
    <s v="Senior Laboratory Engineer"/>
    <x v="1"/>
    <n v="2"/>
    <x v="3"/>
    <n v="11715"/>
    <n v="0"/>
    <n v="0"/>
    <n v="0"/>
    <n v="0"/>
    <n v="0"/>
    <n v="0"/>
    <n v="11715"/>
    <n v="11715"/>
    <n v="0"/>
    <x v="5"/>
    <s v="0.00%-0.00%"/>
    <m/>
    <m/>
    <m/>
    <m/>
    <n v="0"/>
    <n v="11715"/>
    <n v="0"/>
    <n v="0"/>
    <n v="14"/>
    <n v="450"/>
    <m/>
    <n v="688"/>
    <n v="170098"/>
    <n v="3"/>
    <m/>
    <m/>
    <m/>
    <s v="Li Huihua（15000253）"/>
    <s v="Zhu Qianqian（11016705）"/>
    <m/>
    <m/>
    <m/>
    <m/>
    <s v="OK"/>
  </r>
  <r>
    <s v="CN15"/>
    <n v="15000981"/>
    <s v="刘 尚杰"/>
    <s v="Liu Shangjie"/>
    <s v="Indirect Active"/>
    <s v="OP"/>
    <s v="PCP"/>
    <s v="PCP-OPGEV"/>
    <s v="150800"/>
    <d v="2007-05-10T00:00:00"/>
    <s v="Senior Engineer"/>
    <s v="Senior Test Engineer"/>
    <x v="1"/>
    <n v="2"/>
    <x v="2"/>
    <n v="11176"/>
    <n v="2.5000000000000001E-2"/>
    <n v="279"/>
    <n v="0"/>
    <n v="0"/>
    <n v="2.4964209019327131E-2"/>
    <n v="279"/>
    <n v="11455"/>
    <n v="11400"/>
    <n v="224"/>
    <x v="36"/>
    <s v="2.00%-3.00%"/>
    <m/>
    <m/>
    <m/>
    <m/>
    <n v="0"/>
    <n v="11400"/>
    <n v="224"/>
    <n v="2.004294917680749E-2"/>
    <n v="14"/>
    <n v="450"/>
    <m/>
    <n v="688"/>
    <n v="165688"/>
    <n v="3"/>
    <m/>
    <m/>
    <s v="M"/>
    <s v="Li Huihua（15000253）"/>
    <s v="Zhu Qianqian（11016705）"/>
    <m/>
    <m/>
    <m/>
    <m/>
    <s v="OK"/>
  </r>
  <r>
    <s v="CN15"/>
    <n v="15014978"/>
    <s v="刘 云"/>
    <s v="Liu Yun"/>
    <s v="Indirect Active"/>
    <s v="OP"/>
    <s v="PCP"/>
    <s v="PCP-HCTG"/>
    <s v="150700"/>
    <d v="2015-12-09T00:00:00"/>
    <s v="Senior Project Manager"/>
    <s v="Senior Project Manager"/>
    <x v="3"/>
    <n v="2"/>
    <x v="1"/>
    <n v="31520"/>
    <n v="0.03"/>
    <n v="946"/>
    <n v="0"/>
    <n v="0"/>
    <n v="3.0012690355329948E-2"/>
    <n v="946"/>
    <n v="32466"/>
    <n v="32300"/>
    <n v="780"/>
    <x v="188"/>
    <s v="2.40%-3.60%"/>
    <m/>
    <m/>
    <m/>
    <m/>
    <n v="0"/>
    <n v="32300"/>
    <n v="780"/>
    <n v="2.4746192893400965E-2"/>
    <n v="14"/>
    <n v="450"/>
    <m/>
    <n v="688"/>
    <n v="458288"/>
    <n v="4"/>
    <m/>
    <m/>
    <s v="M"/>
    <s v="Li Huihua（15000253）"/>
    <s v="Zhu Qianqian（11016705）"/>
    <m/>
    <m/>
    <m/>
    <m/>
    <s v="OK"/>
  </r>
  <r>
    <s v="CN15"/>
    <n v="15001836"/>
    <s v="卢 元明"/>
    <s v="Lu Yuanming"/>
    <s v="Indirect Active"/>
    <s v="OP"/>
    <s v="PCP"/>
    <s v="PCP-BVTG"/>
    <s v="150700"/>
    <d v="2008-07-22T00:00:00"/>
    <s v="Functional Specialist"/>
    <s v="Functional Specialist"/>
    <x v="0"/>
    <n v="2"/>
    <x v="2"/>
    <n v="25483"/>
    <n v="0"/>
    <n v="0"/>
    <n v="0"/>
    <n v="0"/>
    <n v="0"/>
    <n v="0"/>
    <n v="25483"/>
    <n v="25483"/>
    <n v="0"/>
    <x v="5"/>
    <s v="0.00%-0.00%"/>
    <m/>
    <m/>
    <m/>
    <m/>
    <n v="0"/>
    <n v="25483"/>
    <n v="0"/>
    <n v="0"/>
    <n v="14"/>
    <n v="450"/>
    <m/>
    <n v="688"/>
    <n v="362850"/>
    <n v="4"/>
    <m/>
    <m/>
    <m/>
    <s v="Li Huihua（15000253）"/>
    <s v="Zhu Qianqian（11016705）"/>
    <m/>
    <m/>
    <m/>
    <m/>
    <s v="OK"/>
  </r>
  <r>
    <s v="CN15"/>
    <n v="15003324"/>
    <s v="陆 鹏"/>
    <s v="Lu Peng"/>
    <s v="Indirect Active"/>
    <s v="OP"/>
    <s v="PCP"/>
    <s v="PCP-BVTG"/>
    <s v="150700"/>
    <d v="2010-03-01T00:00:00"/>
    <s v="Manager"/>
    <s v="Head of Construction"/>
    <x v="3"/>
    <n v="2"/>
    <x v="1"/>
    <n v="29626"/>
    <n v="0.03"/>
    <n v="889"/>
    <n v="0"/>
    <n v="0"/>
    <n v="3.0007425909673934E-2"/>
    <n v="889"/>
    <n v="30515"/>
    <n v="30515"/>
    <n v="889"/>
    <x v="11"/>
    <s v="2.40%-3.60%"/>
    <m/>
    <m/>
    <m/>
    <m/>
    <n v="0"/>
    <n v="30515"/>
    <n v="889"/>
    <n v="3.0007425909673868E-2"/>
    <n v="14"/>
    <n v="450"/>
    <m/>
    <n v="688"/>
    <n v="433298"/>
    <n v="3"/>
    <m/>
    <m/>
    <m/>
    <s v="Li Huihua（15000253）"/>
    <s v="Zhu Qianqian（11016705）"/>
    <m/>
    <m/>
    <m/>
    <m/>
    <s v="OK"/>
  </r>
  <r>
    <s v="CN15"/>
    <n v="15003876"/>
    <s v="宁 丽颖"/>
    <s v="Ning Liying"/>
    <s v="Indirect Active"/>
    <s v="OP"/>
    <s v="PCP"/>
    <s v="PCP-OPGEV"/>
    <s v="150800"/>
    <d v="2010-05-24T00:00:00"/>
    <s v="Junior Engineer"/>
    <s v="Junior Engineer"/>
    <x v="4"/>
    <n v="2"/>
    <x v="0"/>
    <n v="7746"/>
    <n v="0.05"/>
    <n v="387"/>
    <n v="2.7E-2"/>
    <n v="209"/>
    <n v="7.6942938290730706E-2"/>
    <n v="596"/>
    <n v="8342"/>
    <n v="8230"/>
    <n v="484"/>
    <x v="189"/>
    <s v="6.16%-9.23%"/>
    <s v="Promotion"/>
    <s v="Test Engineer"/>
    <s v="A4"/>
    <n v="6.5000000000000002E-2"/>
    <n v="503"/>
    <n v="8733"/>
    <n v="987"/>
    <n v="0.1274206041828041"/>
    <n v="14"/>
    <n v="450"/>
    <m/>
    <n v="688"/>
    <n v="128350"/>
    <n v="3"/>
    <m/>
    <s v="Good performance and high competence"/>
    <s v="Good performance and high competence"/>
    <s v="Li Huihua（15000253）"/>
    <s v="Zhu Qianqian（11016705）"/>
    <m/>
    <m/>
    <m/>
    <m/>
    <s v="OK"/>
  </r>
  <r>
    <s v="CN15"/>
    <n v="15010601"/>
    <s v="沈 金涛"/>
    <s v="Shen Jintao"/>
    <s v="Indirect Active"/>
    <s v="OP"/>
    <s v="PCP"/>
    <s v="PCP-OPGEV"/>
    <s v="150800"/>
    <d v="2013-05-29T00:00:00"/>
    <s v="Engineer"/>
    <s v="Engineer"/>
    <x v="2"/>
    <n v="2"/>
    <x v="2"/>
    <n v="11684"/>
    <n v="2.5000000000000001E-2"/>
    <n v="292"/>
    <n v="0"/>
    <n v="0"/>
    <n v="2.4991441287230399E-2"/>
    <n v="292"/>
    <n v="11976"/>
    <n v="11976"/>
    <n v="292"/>
    <x v="13"/>
    <s v="2.00%-3.00%"/>
    <m/>
    <m/>
    <m/>
    <m/>
    <n v="0"/>
    <n v="11976"/>
    <n v="292"/>
    <n v="2.4991441287230298E-2"/>
    <n v="14"/>
    <n v="450"/>
    <m/>
    <n v="688"/>
    <n v="173752"/>
    <n v="2"/>
    <m/>
    <m/>
    <m/>
    <s v="Li Huihua（15000253）"/>
    <s v="Zhu Qianqian（11016705）"/>
    <m/>
    <m/>
    <m/>
    <m/>
    <s v="OK"/>
  </r>
  <r>
    <s v="CN15"/>
    <n v="15021738"/>
    <s v="王 凯"/>
    <s v="Wang Kai"/>
    <s v="Indirect Active"/>
    <s v="OP"/>
    <s v="PCP"/>
    <s v="PCP-HCTG"/>
    <s v="150700"/>
    <d v="2021-09-15T00:00:00"/>
    <s v="Functional Specialist"/>
    <s v="Functional Specialist"/>
    <x v="0"/>
    <n v="2"/>
    <x v="2"/>
    <n v="19314"/>
    <n v="2.5000000000000001E-2"/>
    <n v="483"/>
    <n v="0"/>
    <n v="0"/>
    <n v="2.5007766387076732E-2"/>
    <n v="483"/>
    <n v="19797"/>
    <n v="19700"/>
    <n v="386"/>
    <x v="36"/>
    <s v="2.00%-3.00%"/>
    <m/>
    <m/>
    <m/>
    <m/>
    <n v="0"/>
    <n v="19700"/>
    <n v="386"/>
    <n v="1.9985502744123362E-2"/>
    <n v="14"/>
    <n v="550"/>
    <m/>
    <n v="688"/>
    <n v="283088"/>
    <n v="5"/>
    <m/>
    <m/>
    <s v="M"/>
    <s v="Li Huihua（15000253）"/>
    <s v="Zhu Qianqian（11016705）"/>
    <m/>
    <m/>
    <m/>
    <m/>
    <s v="OK"/>
  </r>
  <r>
    <s v="CN15"/>
    <n v="15013982"/>
    <s v="魏 晓晴"/>
    <s v="Wei Xiaoqing"/>
    <s v="Indirect Active"/>
    <s v="OP"/>
    <s v="PCP"/>
    <s v="PCP-OPGEX"/>
    <s v="150800"/>
    <d v="2015-01-28T00:00:00"/>
    <s v="Engineer"/>
    <s v="Product Engineer"/>
    <x v="2"/>
    <n v="2"/>
    <x v="1"/>
    <n v="16369"/>
    <n v="0.03"/>
    <n v="491"/>
    <n v="0"/>
    <n v="0"/>
    <n v="2.9995723623923269E-2"/>
    <n v="491"/>
    <n v="16860"/>
    <n v="16770"/>
    <n v="401"/>
    <x v="190"/>
    <s v="2.40%-3.60%"/>
    <s v="Promotion"/>
    <s v="senior engineer"/>
    <s v="A5"/>
    <n v="0.05"/>
    <n v="818"/>
    <n v="17588"/>
    <n v="1219"/>
    <n v="7.4470034821919384E-2"/>
    <n v="14"/>
    <n v="450"/>
    <m/>
    <n v="688"/>
    <n v="252320"/>
    <n v="3"/>
    <m/>
    <s v="Good performance and high competence"/>
    <s v="Good performance and high competence"/>
    <s v="Li Huihua（15000253）"/>
    <s v="Zhu Qianqian（11016705）"/>
    <m/>
    <m/>
    <m/>
    <m/>
    <s v="OK"/>
  </r>
  <r>
    <s v="CN15"/>
    <n v="15005189"/>
    <s v="熊 英杰"/>
    <s v="Xiong Yingjie"/>
    <s v="Indirect Active"/>
    <s v="OP"/>
    <s v="PCP"/>
    <s v="PCP-OPGEE"/>
    <s v="150800"/>
    <d v="2020-10-21T00:00:00"/>
    <s v="Associate Expert (CN)"/>
    <s v="Associate Expert (C)"/>
    <x v="0"/>
    <n v="2"/>
    <x v="2"/>
    <n v="26012"/>
    <n v="0"/>
    <n v="0"/>
    <n v="0"/>
    <n v="0"/>
    <n v="0"/>
    <n v="0"/>
    <n v="26012"/>
    <n v="26012"/>
    <n v="0"/>
    <x v="5"/>
    <s v="0.00%-0.00%"/>
    <m/>
    <m/>
    <m/>
    <m/>
    <n v="0"/>
    <n v="26012"/>
    <n v="0"/>
    <n v="0"/>
    <n v="14"/>
    <n v="450"/>
    <m/>
    <n v="688"/>
    <n v="370256"/>
    <n v="4"/>
    <m/>
    <m/>
    <m/>
    <s v="Li Huihua（15000253）"/>
    <s v="Zhu Qianqian（11016705）"/>
    <m/>
    <m/>
    <m/>
    <m/>
    <s v="OK"/>
  </r>
  <r>
    <s v="CN15"/>
    <n v="15007437"/>
    <s v="薛 庆飞"/>
    <s v="Xue Qingfei"/>
    <s v="Indirect Active"/>
    <s v="OP"/>
    <s v="PCP"/>
    <s v="PCP-OPGEE"/>
    <s v="150800"/>
    <d v="2011-12-14T00:00:00"/>
    <s v="Senior Engineer"/>
    <s v="Senior Constructing Engineer"/>
    <x v="1"/>
    <n v="2"/>
    <x v="2"/>
    <n v="18386"/>
    <n v="0"/>
    <n v="0"/>
    <n v="0"/>
    <n v="0"/>
    <n v="0"/>
    <n v="0"/>
    <n v="18386"/>
    <n v="18386"/>
    <n v="0"/>
    <x v="5"/>
    <s v="0.00%-0.00%"/>
    <m/>
    <m/>
    <m/>
    <m/>
    <n v="0"/>
    <n v="18386"/>
    <n v="0"/>
    <n v="0"/>
    <n v="14"/>
    <n v="450"/>
    <m/>
    <n v="688"/>
    <n v="263492"/>
    <n v="3"/>
    <m/>
    <m/>
    <m/>
    <s v="Li Huihua（15000253）"/>
    <s v="Zhu Qianqian（11016705）"/>
    <m/>
    <m/>
    <m/>
    <m/>
    <s v="OK"/>
  </r>
  <r>
    <s v="CN15"/>
    <n v="15001261"/>
    <s v="张 海玲"/>
    <s v="Zhang Hailing"/>
    <s v="Indirect Active"/>
    <s v="OP"/>
    <s v="PCP"/>
    <s v="PCP-OPGEE"/>
    <s v="150800"/>
    <d v="2007-10-16T00:00:00"/>
    <s v="Functional Specialist"/>
    <s v="Functional Specialist"/>
    <x v="0"/>
    <n v="2"/>
    <x v="2"/>
    <n v="22116"/>
    <n v="0"/>
    <n v="0"/>
    <n v="0"/>
    <n v="0"/>
    <n v="0"/>
    <n v="0"/>
    <n v="22116"/>
    <n v="22116"/>
    <n v="0"/>
    <x v="5"/>
    <s v="0.00%-0.00%"/>
    <m/>
    <m/>
    <m/>
    <m/>
    <n v="0"/>
    <n v="22116"/>
    <n v="0"/>
    <n v="0"/>
    <n v="14"/>
    <n v="450"/>
    <m/>
    <n v="688"/>
    <n v="315712"/>
    <n v="5"/>
    <m/>
    <m/>
    <m/>
    <s v="Li Huihua（15000253）"/>
    <s v="Zhu Qianqian（11016705）"/>
    <m/>
    <m/>
    <m/>
    <m/>
    <s v="OK"/>
  </r>
  <r>
    <s v="CN15"/>
    <n v="15022183"/>
    <s v="张 宏"/>
    <s v="Zhang Hong"/>
    <s v="Indirect Active"/>
    <s v="OP"/>
    <s v="PCP"/>
    <s v="PCP-OPGEE"/>
    <s v="150800"/>
    <d v="2022-05-05T00:00:00"/>
    <s v="Engineer"/>
    <s v="Mechanical Engineer"/>
    <x v="2"/>
    <n v="2"/>
    <x v="2"/>
    <n v="13343"/>
    <n v="2.5000000000000001E-2"/>
    <n v="334"/>
    <n v="0"/>
    <n v="0"/>
    <n v="2.5031851907367158E-2"/>
    <n v="334"/>
    <n v="13677"/>
    <n v="13677"/>
    <n v="334"/>
    <x v="13"/>
    <s v="2.00%-3.00%"/>
    <m/>
    <m/>
    <m/>
    <m/>
    <n v="0"/>
    <n v="13677"/>
    <n v="334"/>
    <n v="2.503185190736712E-2"/>
    <n v="14"/>
    <n v="450"/>
    <m/>
    <n v="688"/>
    <n v="197566"/>
    <n v="3"/>
    <m/>
    <m/>
    <m/>
    <s v="Li Huihua（15000253）"/>
    <s v="Zhu Qianqian（11016705）"/>
    <m/>
    <m/>
    <m/>
    <m/>
    <s v="OK"/>
  </r>
  <r>
    <s v="CN15"/>
    <n v="15020869"/>
    <s v="张 祎娴"/>
    <s v="Zhang Yixian"/>
    <s v="Indirect Active"/>
    <s v="OP"/>
    <s v="PCP"/>
    <s v="PCP-FDTG"/>
    <s v="150700"/>
    <d v="2021-01-06T00:00:00"/>
    <s v="Engineer"/>
    <s v="Product Engineer"/>
    <x v="2"/>
    <n v="2"/>
    <x v="2"/>
    <n v="13358"/>
    <n v="2.5000000000000001E-2"/>
    <n v="334"/>
    <n v="0"/>
    <n v="0"/>
    <n v="2.5003743075310676E-2"/>
    <n v="334"/>
    <n v="13692"/>
    <n v="13692"/>
    <n v="334"/>
    <x v="13"/>
    <s v="2.00%-3.00%"/>
    <m/>
    <m/>
    <m/>
    <m/>
    <n v="0"/>
    <n v="13692"/>
    <n v="334"/>
    <n v="2.5003743075310725E-2"/>
    <n v="14"/>
    <n v="450"/>
    <m/>
    <n v="688"/>
    <n v="197776"/>
    <n v="3"/>
    <m/>
    <m/>
    <m/>
    <s v="Li Huihua（15000253）"/>
    <s v="Zhu Qianqian（11016705）"/>
    <m/>
    <m/>
    <m/>
    <m/>
    <s v="OK"/>
  </r>
  <r>
    <s v="CN15"/>
    <n v="15000984"/>
    <s v="赵 亮"/>
    <s v="Zhao Liang"/>
    <s v="Indirect Active"/>
    <s v="OP"/>
    <s v="PCP"/>
    <s v="PCP-HCTG"/>
    <s v="150700"/>
    <d v="2007-09-01T00:00:00"/>
    <s v="Manager"/>
    <s v="Head of Laboratory"/>
    <x v="3"/>
    <n v="2"/>
    <x v="2"/>
    <n v="32995"/>
    <n v="0"/>
    <n v="0"/>
    <n v="0"/>
    <n v="0"/>
    <n v="0"/>
    <n v="0"/>
    <n v="32995"/>
    <n v="32995"/>
    <n v="0"/>
    <x v="5"/>
    <s v="0.00%-0.00%"/>
    <m/>
    <m/>
    <m/>
    <m/>
    <n v="0"/>
    <n v="32995"/>
    <n v="0"/>
    <n v="0"/>
    <n v="14"/>
    <n v="450"/>
    <m/>
    <n v="688"/>
    <n v="468018"/>
    <n v="3"/>
    <m/>
    <m/>
    <m/>
    <s v="Li Huihua（15000253）"/>
    <s v="Zhu Qianqian（11016705）"/>
    <m/>
    <m/>
    <m/>
    <m/>
    <s v="OK"/>
  </r>
  <r>
    <s v="CN15"/>
    <n v="15021832"/>
    <s v="赵 余"/>
    <s v="Zhao Yu"/>
    <s v="Indirect Active"/>
    <s v="OP"/>
    <s v="PCP"/>
    <s v="PCP-BVTG"/>
    <s v="150700"/>
    <d v="2021-10-11T00:00:00"/>
    <s v="Senior Engineer"/>
    <s v="Senior Engineer"/>
    <x v="1"/>
    <n v="2"/>
    <x v="2"/>
    <n v="16997"/>
    <n v="0"/>
    <n v="0"/>
    <n v="0"/>
    <n v="0"/>
    <n v="0"/>
    <n v="0"/>
    <n v="16997"/>
    <n v="17197"/>
    <n v="200"/>
    <x v="191"/>
    <s v="0.00%-0.00%"/>
    <m/>
    <m/>
    <m/>
    <m/>
    <n v="0"/>
    <n v="17197"/>
    <n v="200"/>
    <n v="1.1766782373360041E-2"/>
    <n v="14"/>
    <n v="450"/>
    <m/>
    <n v="688"/>
    <n v="246846"/>
    <n v="5"/>
    <m/>
    <s v="Performance Consistently exceeded expectations + rate 3 due to company promotion policy"/>
    <s v="Good performance and high competence"/>
    <s v="Li Huihua（15000253）"/>
    <s v="Zhu Qianqian（11016705）"/>
    <m/>
    <m/>
    <m/>
    <m/>
    <s v="&gt;20"/>
  </r>
  <r>
    <s v="CN15"/>
    <n v="15001263"/>
    <s v="周 月萍"/>
    <s v="Zhou Yueping"/>
    <s v="Indirect Active"/>
    <s v="OP"/>
    <s v="PCP"/>
    <s v="PCP-OPGE"/>
    <s v="150800"/>
    <d v="2007-10-16T00:00:00"/>
    <s v="Engineer"/>
    <s v="Engineer"/>
    <x v="2"/>
    <n v="2"/>
    <x v="2"/>
    <n v="10450"/>
    <n v="0"/>
    <n v="0"/>
    <n v="0"/>
    <n v="0"/>
    <n v="0"/>
    <n v="0"/>
    <n v="10450"/>
    <n v="10450"/>
    <n v="0"/>
    <x v="5"/>
    <s v="0.00%-0.00%"/>
    <m/>
    <m/>
    <m/>
    <m/>
    <n v="0"/>
    <n v="10450"/>
    <n v="0"/>
    <n v="0"/>
    <n v="14"/>
    <n v="550"/>
    <m/>
    <n v="688"/>
    <n v="153588"/>
    <n v="3"/>
    <m/>
    <m/>
    <m/>
    <s v="Li Huihua（15000253）"/>
    <s v="Zhu Qianqian（11016705）"/>
    <m/>
    <m/>
    <m/>
    <m/>
    <s v="OK"/>
  </r>
  <r>
    <s v="CN15"/>
    <n v="15021297"/>
    <s v="朱 灵玥"/>
    <s v="Zhu Lingyue"/>
    <s v="Indirect Active"/>
    <s v="OP"/>
    <s v="PCP"/>
    <s v="PCP-FDTG"/>
    <s v="150700"/>
    <d v="2021-05-21T00:00:00"/>
    <s v="Senior Engineer"/>
    <s v="Senior Engineer"/>
    <x v="1"/>
    <n v="2"/>
    <x v="2"/>
    <n v="14394"/>
    <n v="0.03"/>
    <n v="432"/>
    <n v="0"/>
    <n v="0"/>
    <n v="3.0012505210504376E-2"/>
    <n v="432"/>
    <n v="14826"/>
    <n v="14826"/>
    <n v="432"/>
    <x v="11"/>
    <s v="2.40%-3.60%"/>
    <m/>
    <m/>
    <m/>
    <m/>
    <n v="0"/>
    <n v="14826"/>
    <n v="432"/>
    <n v="3.001250521050447E-2"/>
    <n v="14"/>
    <n v="550"/>
    <m/>
    <n v="688"/>
    <n v="214852"/>
    <n v="3"/>
    <m/>
    <m/>
    <m/>
    <s v="Li Huihua（15000253）"/>
    <s v="Zhu Qianqian（11016705）"/>
    <m/>
    <m/>
    <m/>
    <m/>
    <s v="OK"/>
  </r>
  <r>
    <s v="CN15"/>
    <n v="15005035"/>
    <s v="朱 青梅"/>
    <s v="Zhu Qingmei"/>
    <s v="Indirect Active"/>
    <s v="OP"/>
    <s v="PCP"/>
    <s v="PCP-HCTG"/>
    <s v="150700"/>
    <d v="2010-12-08T00:00:00"/>
    <s v="Supervisor"/>
    <s v="Supervisor"/>
    <x v="0"/>
    <n v="2"/>
    <x v="2"/>
    <n v="24965"/>
    <n v="0"/>
    <n v="0"/>
    <n v="0"/>
    <n v="0"/>
    <n v="0"/>
    <n v="0"/>
    <n v="24965"/>
    <n v="24965"/>
    <n v="0"/>
    <x v="5"/>
    <s v="0.00%-0.00%"/>
    <m/>
    <m/>
    <m/>
    <m/>
    <n v="0"/>
    <n v="24965"/>
    <n v="0"/>
    <n v="0"/>
    <n v="14"/>
    <n v="450"/>
    <m/>
    <n v="688"/>
    <n v="355598"/>
    <n v="3"/>
    <m/>
    <m/>
    <m/>
    <s v="Li Huihua（15000253）"/>
    <s v="Zhu Qianqian（11016705）"/>
    <m/>
    <m/>
    <m/>
    <m/>
    <s v="OK"/>
  </r>
  <r>
    <s v="CN15"/>
    <n v="15002221"/>
    <s v="朱 莎"/>
    <s v="Zhu Sha"/>
    <s v="Indirect Active"/>
    <s v="OP"/>
    <s v="PCP"/>
    <s v="PCP-FDTG"/>
    <s v="150700"/>
    <d v="2009-09-01T00:00:00"/>
    <s v="Project Manager"/>
    <s v="Project Manager"/>
    <x v="0"/>
    <n v="2"/>
    <x v="1"/>
    <n v="20045"/>
    <n v="3.7500000000000006E-2"/>
    <n v="752"/>
    <n v="1.55E-2"/>
    <n v="311"/>
    <n v="5.3030680967822402E-2"/>
    <n v="1063"/>
    <n v="21108"/>
    <n v="21108"/>
    <n v="1063"/>
    <x v="40"/>
    <s v="4.24%-6.36%"/>
    <m/>
    <m/>
    <m/>
    <m/>
    <n v="0"/>
    <n v="21108"/>
    <n v="1063"/>
    <n v="5.3030680967822486E-2"/>
    <n v="14"/>
    <n v="450"/>
    <m/>
    <n v="688"/>
    <n v="301600"/>
    <n v="2"/>
    <m/>
    <m/>
    <m/>
    <s v="Li Huihua（15000253）"/>
    <s v="Zhu Qianqian（11016705）"/>
    <m/>
    <m/>
    <m/>
    <m/>
    <s v="OK"/>
  </r>
  <r>
    <s v="CN15"/>
    <n v="15020884"/>
    <s v="宗 楚瑶"/>
    <s v="Zong Chuyao"/>
    <s v="Indirect Active"/>
    <s v="OP"/>
    <s v="PCP"/>
    <s v="PCP-FDTG"/>
    <s v="150700"/>
    <d v="2021-02-03T00:00:00"/>
    <s v="Engineer"/>
    <s v="Nutrition Engineer"/>
    <x v="2"/>
    <n v="2"/>
    <x v="1"/>
    <n v="13215"/>
    <n v="3.7500000000000006E-2"/>
    <n v="496"/>
    <n v="0"/>
    <n v="0"/>
    <n v="3.7533106318577376E-2"/>
    <n v="496"/>
    <n v="13711"/>
    <n v="13777"/>
    <n v="562"/>
    <x v="192"/>
    <s v="3.00%-4.50%"/>
    <s v="Promotion"/>
    <s v="senior engineer"/>
    <s v="A5"/>
    <n v="0.1"/>
    <n v="1322"/>
    <n v="15099"/>
    <n v="1884"/>
    <n v="0.14256526674233827"/>
    <n v="14"/>
    <n v="550"/>
    <m/>
    <n v="688"/>
    <n v="218674"/>
    <n v="4"/>
    <m/>
    <s v="Good performance and high competence"/>
    <s v="Good performance and high competence"/>
    <s v="Li Huihua（15000253）"/>
    <s v="Zhu Qianqian（11016705）"/>
    <m/>
    <m/>
    <m/>
    <m/>
    <s v="OK"/>
  </r>
  <r>
    <s v="CN15"/>
    <n v="11020810"/>
    <s v="苏 堂飞"/>
    <s v="Su Tangfei"/>
    <s v="Indirect Active"/>
    <s v="OP"/>
    <s v="PCP"/>
    <s v="PCP-BAUQGO"/>
    <s v="935119"/>
    <d v="2024-01-08T00:00:00"/>
    <s v="Quality Inspector"/>
    <s v="Inspector"/>
    <x v="7"/>
    <n v="2"/>
    <x v="2"/>
    <n v="7500"/>
    <n v="0"/>
    <n v="0"/>
    <n v="0"/>
    <n v="0"/>
    <n v="0"/>
    <n v="0"/>
    <n v="7500"/>
    <n v="7500"/>
    <n v="0"/>
    <x v="5"/>
    <s v="0.00%-0.00%"/>
    <m/>
    <m/>
    <m/>
    <m/>
    <n v="0"/>
    <n v="7500"/>
    <n v="0"/>
    <n v="0"/>
    <n v="14"/>
    <n v="450"/>
    <m/>
    <n v="688"/>
    <n v="111088"/>
    <n v="3"/>
    <m/>
    <m/>
    <m/>
    <s v="Li Huihua（15000253）"/>
    <s v="Zhu Qianqian（11016705）"/>
    <m/>
    <m/>
    <m/>
    <m/>
    <s v="OK"/>
  </r>
  <r>
    <s v="CN15"/>
    <n v="11020811"/>
    <s v="张 玮麟"/>
    <s v="Zhang Weilin"/>
    <s v="Indirect Active"/>
    <s v="OP"/>
    <s v="PCP"/>
    <s v="PCP-BAUQGO"/>
    <s v="935119"/>
    <d v="2024-01-08T00:00:00"/>
    <s v="Quality Inspector"/>
    <s v="Inspector"/>
    <x v="7"/>
    <n v="2"/>
    <x v="3"/>
    <n v="6000"/>
    <n v="0"/>
    <n v="0"/>
    <n v="0"/>
    <n v="0"/>
    <n v="0"/>
    <n v="0"/>
    <n v="6000"/>
    <n v="6000"/>
    <n v="0"/>
    <x v="5"/>
    <s v="0.00%-0.00%"/>
    <m/>
    <m/>
    <m/>
    <m/>
    <n v="0"/>
    <n v="6000"/>
    <n v="0"/>
    <n v="0"/>
    <n v="14"/>
    <n v="450"/>
    <m/>
    <n v="688"/>
    <n v="90088"/>
    <n v="3"/>
    <m/>
    <m/>
    <m/>
    <s v="Li Huihua（15000253）"/>
    <s v="Zhu Qianqian（11016705）"/>
    <m/>
    <m/>
    <m/>
    <m/>
    <s v="OK"/>
  </r>
  <r>
    <s v="CN15"/>
    <n v="11020852"/>
    <s v="钟 志鹏"/>
    <s v="Zhong Zhipeng"/>
    <s v="Indirect Active"/>
    <s v="OP"/>
    <s v="PCP"/>
    <s v="PCP-BAUQGO"/>
    <s v="935119"/>
    <d v="2024-02-20T00:00:00"/>
    <s v="Quality Inspector"/>
    <s v="Inspector"/>
    <x v="7"/>
    <n v="2"/>
    <x v="2"/>
    <n v="8120"/>
    <n v="0"/>
    <n v="0"/>
    <n v="0"/>
    <n v="0"/>
    <n v="0"/>
    <n v="0"/>
    <n v="8120"/>
    <n v="8120"/>
    <n v="0"/>
    <x v="5"/>
    <s v="0.00%-0.00%"/>
    <m/>
    <m/>
    <m/>
    <m/>
    <n v="0"/>
    <n v="8120"/>
    <n v="0"/>
    <n v="0"/>
    <n v="14"/>
    <n v="450"/>
    <m/>
    <n v="688"/>
    <n v="119768"/>
    <n v="4"/>
    <m/>
    <m/>
    <m/>
    <s v="Li Huihua（15000253）"/>
    <s v="Zhu Qianqian（11016705）"/>
    <m/>
    <m/>
    <m/>
    <m/>
    <s v="OK"/>
  </r>
  <r>
    <s v="CN15"/>
    <n v="11020869"/>
    <s v="秦 杰"/>
    <s v="Qin Jie"/>
    <s v="Indirect Active"/>
    <s v="OP"/>
    <s v="PCP"/>
    <s v="PCP-BAUQGO"/>
    <s v="935119"/>
    <d v="2024-02-20T00:00:00"/>
    <s v="Quality Inspector"/>
    <s v="Inspector"/>
    <x v="7"/>
    <n v="2"/>
    <x v="2"/>
    <n v="7550"/>
    <n v="0"/>
    <n v="0"/>
    <n v="0"/>
    <n v="0"/>
    <n v="0"/>
    <n v="0"/>
    <n v="7550"/>
    <n v="7550"/>
    <n v="0"/>
    <x v="5"/>
    <s v="0.00%-0.00%"/>
    <m/>
    <m/>
    <m/>
    <m/>
    <n v="0"/>
    <n v="7550"/>
    <n v="0"/>
    <n v="0"/>
    <n v="14"/>
    <n v="450"/>
    <m/>
    <n v="688"/>
    <n v="111788"/>
    <n v="3"/>
    <m/>
    <m/>
    <m/>
    <s v="Li Huihua（15000253）"/>
    <s v="Zhu Qianqian（11016705）"/>
    <m/>
    <m/>
    <m/>
    <m/>
    <s v="OK"/>
  </r>
  <r>
    <s v="CN15"/>
    <n v="11017114"/>
    <s v="林 腾"/>
    <s v="Lin Teng"/>
    <s v="Indirect Active"/>
    <s v="OP"/>
    <s v="PCP"/>
    <s v="PCP-BAUQGP"/>
    <s v="935119"/>
    <d v="2020-04-07T00:00:00"/>
    <s v="Senior Engineer"/>
    <s v="Senior Engineer"/>
    <x v="1"/>
    <n v="2"/>
    <x v="1"/>
    <n v="17016"/>
    <n v="2.2499999999999999E-2"/>
    <n v="383"/>
    <n v="0"/>
    <n v="0"/>
    <n v="2.2508227550540667E-2"/>
    <n v="383"/>
    <n v="17399"/>
    <n v="17399"/>
    <n v="383"/>
    <x v="47"/>
    <s v="1.80%-2.70%"/>
    <s v="Promotion"/>
    <s v="Functional Specialist"/>
    <s v="A6"/>
    <n v="0.13"/>
    <n v="2212"/>
    <n v="19611"/>
    <n v="2595"/>
    <n v="0.15250352609308893"/>
    <n v="14"/>
    <n v="450"/>
    <m/>
    <n v="688"/>
    <n v="280642"/>
    <n v="5"/>
    <m/>
    <s v="Good performance and high competence"/>
    <s v="Good performance and high competence"/>
    <s v="Li Huihua（15000253）"/>
    <s v="Zhu Qianqian（11016705）"/>
    <m/>
    <m/>
    <m/>
    <m/>
    <s v="OK"/>
  </r>
  <r>
    <s v="CN15"/>
    <n v="11018712"/>
    <s v="李 鑫"/>
    <s v="Li Tina"/>
    <s v="Indirect Active"/>
    <s v="OP"/>
    <s v="PCP"/>
    <s v="PCP-BAUQGP"/>
    <s v="935119"/>
    <d v="2021-09-01T00:00:00"/>
    <s v="Senior Engineer"/>
    <s v="Senior Engineer"/>
    <x v="1"/>
    <n v="2"/>
    <x v="2"/>
    <n v="16843"/>
    <n v="0"/>
    <n v="0"/>
    <n v="0"/>
    <n v="0"/>
    <n v="0"/>
    <n v="0"/>
    <n v="16843"/>
    <n v="16843"/>
    <n v="0"/>
    <x v="5"/>
    <s v="0.00%-0.00%"/>
    <m/>
    <m/>
    <m/>
    <m/>
    <n v="0"/>
    <n v="16843"/>
    <n v="0"/>
    <n v="0"/>
    <n v="14"/>
    <n v="450"/>
    <m/>
    <n v="688"/>
    <n v="241890"/>
    <n v="3"/>
    <m/>
    <m/>
    <m/>
    <s v="Li Huihua（15000253）"/>
    <s v="Zhu Qianqian（11016705）"/>
    <m/>
    <m/>
    <m/>
    <m/>
    <s v="OK"/>
  </r>
  <r>
    <s v="CN15"/>
    <n v="11015971"/>
    <s v="董 剑波"/>
    <s v="Dong Jason"/>
    <s v="Indirect Active"/>
    <s v="OP"/>
    <s v="PCP"/>
    <s v="PCP-BAUQGP"/>
    <s v="935119"/>
    <d v="2018-04-09T00:00:00"/>
    <s v="Supervisor"/>
    <s v="Functional Specialist"/>
    <x v="0"/>
    <n v="2"/>
    <x v="2"/>
    <n v="20072"/>
    <n v="0"/>
    <n v="0"/>
    <n v="0"/>
    <n v="0"/>
    <n v="0"/>
    <n v="0"/>
    <n v="20072"/>
    <n v="20072"/>
    <n v="0"/>
    <x v="5"/>
    <s v="0.00%-0.00%"/>
    <m/>
    <m/>
    <m/>
    <m/>
    <n v="0"/>
    <n v="20072"/>
    <n v="0"/>
    <n v="0"/>
    <n v="14"/>
    <n v="450"/>
    <m/>
    <n v="688"/>
    <n v="287096"/>
    <n v="4"/>
    <m/>
    <m/>
    <m/>
    <s v="Li Huihua（15000253）"/>
    <s v="Zhu Qianqian（11016705）"/>
    <m/>
    <m/>
    <m/>
    <m/>
    <s v="OK"/>
  </r>
  <r>
    <s v="CN15"/>
    <n v="85713633"/>
    <s v="黄 宁"/>
    <s v="HUANG Ning"/>
    <s v="SO"/>
    <s v="OP"/>
    <s v="PCP"/>
    <s v="PCP-FDTG"/>
    <s v="150700"/>
    <d v="2022-10-10T00:00:00"/>
    <s v="Specialist"/>
    <s v="Specialist"/>
    <x v="2"/>
    <n v="2"/>
    <x v="2"/>
    <n v="14175"/>
    <n v="0"/>
    <n v="0"/>
    <n v="0"/>
    <n v="0"/>
    <n v="0"/>
    <n v="0"/>
    <n v="14175"/>
    <n v="14175"/>
    <n v="0"/>
    <x v="5"/>
    <s v="0.00%-0.00%"/>
    <m/>
    <m/>
    <m/>
    <m/>
    <n v="0"/>
    <n v="14175"/>
    <n v="0"/>
    <n v="0"/>
    <n v="14"/>
    <n v="450"/>
    <m/>
    <n v="1210"/>
    <n v="205060"/>
    <n v="3"/>
    <m/>
    <m/>
    <m/>
    <s v="Li Huihua（15000253）"/>
    <s v="Zhu Qianqian（11016705）"/>
    <m/>
    <m/>
    <m/>
    <m/>
    <s v="OK"/>
  </r>
  <r>
    <s v="CN15"/>
    <n v="11021401"/>
    <s v="牛 煜"/>
    <s v="Niu Yu"/>
    <s v="Indirect Active"/>
    <s v="OP"/>
    <s v="PCP"/>
    <s v="PCP-OPG"/>
    <s v="270004"/>
    <d v="2025-04-02T00:00:00"/>
    <s v="Specialist"/>
    <s v="Specialist"/>
    <x v="2"/>
    <n v="2"/>
    <x v="4"/>
    <n v="10529"/>
    <n v="0"/>
    <n v="0"/>
    <n v="0"/>
    <n v="0"/>
    <n v="0"/>
    <n v="0"/>
    <n v="10529"/>
    <n v="10529"/>
    <n v="0"/>
    <x v="5"/>
    <s v="0.00%-0.00%"/>
    <m/>
    <m/>
    <m/>
    <m/>
    <n v="0"/>
    <n v="10529"/>
    <n v="0"/>
    <n v="0"/>
    <n v="14"/>
    <n v="450"/>
    <m/>
    <n v="688"/>
    <n v="153494"/>
    <e v="#N/A"/>
    <m/>
    <m/>
    <m/>
    <s v="Li Huihua（15000253）"/>
    <s v="Zhu Qianqian（11016705）"/>
    <m/>
    <m/>
    <m/>
    <m/>
    <s v="OK"/>
  </r>
  <r>
    <s v="CN15"/>
    <n v="11007601"/>
    <s v="李 军"/>
    <s v="Li Jun"/>
    <s v="Indirect Active"/>
    <s v="OP"/>
    <s v="OP-TE"/>
    <s v="CN/OP-TEM"/>
    <s v="131020"/>
    <d v="2010-12-01T00:00:00"/>
    <s v="Senior Director"/>
    <s v="Head of Technical Market Access"/>
    <x v="6"/>
    <n v="1"/>
    <x v="2"/>
    <n v="95000"/>
    <n v="0"/>
    <n v="0"/>
    <n v="0"/>
    <n v="0"/>
    <n v="0"/>
    <n v="0"/>
    <n v="95000"/>
    <n v="95000"/>
    <n v="0"/>
    <x v="5"/>
    <s v="0.00%-0.00%"/>
    <m/>
    <m/>
    <m/>
    <m/>
    <n v="0"/>
    <n v="95000"/>
    <n v="0"/>
    <n v="0"/>
    <n v="13"/>
    <n v="450"/>
    <m/>
    <n v="0"/>
    <n v="1240400"/>
    <n v="3"/>
    <m/>
    <m/>
    <m/>
    <s v="Zhang Rui（11000448）"/>
    <s v="Xu Lan（11013544）"/>
    <s v="Wu Ellen"/>
    <m/>
    <m/>
    <m/>
    <s v="OK"/>
  </r>
  <r>
    <s v="CN15"/>
    <n v="1211009"/>
    <s v="吴 红兵"/>
    <s v="Wu Hongbing"/>
    <s v="Indirect Active"/>
    <s v="OP"/>
    <s v="OP-TE"/>
    <s v="CN/OP-TEE"/>
    <s v="131030"/>
    <d v="1991-07-01T00:00:00"/>
    <s v="Function Manager"/>
    <s v="Function Manager"/>
    <x v="3"/>
    <n v="2"/>
    <x v="2"/>
    <n v="25994"/>
    <n v="2.5000000000000001E-2"/>
    <n v="650"/>
    <n v="0"/>
    <n v="0"/>
    <n v="2.5005770562437486E-2"/>
    <n v="650"/>
    <n v="26644"/>
    <n v="26644"/>
    <n v="650"/>
    <x v="13"/>
    <s v="2.00%-3.00%"/>
    <m/>
    <m/>
    <m/>
    <m/>
    <n v="0"/>
    <n v="26644"/>
    <n v="650"/>
    <n v="2.5005770562437579E-2"/>
    <n v="14"/>
    <n v="450"/>
    <m/>
    <n v="688"/>
    <n v="379104"/>
    <n v="3"/>
    <m/>
    <m/>
    <m/>
    <s v="Zhang Rui（11000448）"/>
    <s v="Xu Lan（11013544）"/>
    <s v="Wu Ellen"/>
    <m/>
    <m/>
    <m/>
    <s v="OK"/>
  </r>
  <r>
    <s v="CN15"/>
    <n v="11007602"/>
    <s v="袁 海燕"/>
    <s v="Yuan Haiyan"/>
    <s v="Indirect Active"/>
    <s v="OP"/>
    <s v="OP-TE"/>
    <s v="CN/OP-TEM"/>
    <s v="131020"/>
    <d v="2010-12-08T00:00:00"/>
    <s v="Manager"/>
    <s v="Manager"/>
    <x v="3"/>
    <n v="2"/>
    <x v="2"/>
    <n v="20205"/>
    <n v="2.5000000000000001E-2"/>
    <n v="505"/>
    <n v="0"/>
    <n v="0"/>
    <n v="2.4993813412521652E-2"/>
    <n v="505"/>
    <n v="20710"/>
    <n v="20710"/>
    <n v="505"/>
    <x v="13"/>
    <s v="2.00%-3.00%"/>
    <m/>
    <m/>
    <m/>
    <m/>
    <n v="0"/>
    <n v="20710"/>
    <n v="505"/>
    <n v="2.4993813412521604E-2"/>
    <n v="14"/>
    <n v="450"/>
    <m/>
    <n v="688"/>
    <n v="296028"/>
    <n v="4"/>
    <m/>
    <m/>
    <m/>
    <s v="Zhang Rui（11000448）"/>
    <s v="Xu Lan（11013544）"/>
    <s v="Wu Ellen"/>
    <m/>
    <m/>
    <m/>
    <s v="OK"/>
  </r>
  <r>
    <s v="CN15"/>
    <n v="11007635"/>
    <s v="任 红梅"/>
    <s v="Ren Hongmei"/>
    <s v="Indirect Active"/>
    <s v="OP"/>
    <s v="OP-TE"/>
    <s v="CN/OP-TEB"/>
    <s v="130000"/>
    <d v="2011-05-15T00:00:00"/>
    <s v="Expert (CN)"/>
    <s v="Expert (CN)"/>
    <x v="3"/>
    <n v="2"/>
    <x v="1"/>
    <n v="22264"/>
    <n v="3.7500000000000006E-2"/>
    <n v="835"/>
    <n v="1.55E-2"/>
    <n v="345"/>
    <n v="5.3000359324469996E-2"/>
    <n v="1180"/>
    <n v="23444"/>
    <n v="23444"/>
    <n v="1180"/>
    <x v="40"/>
    <s v="4.24%-6.36%"/>
    <m/>
    <m/>
    <m/>
    <m/>
    <n v="0"/>
    <n v="23444"/>
    <n v="1180"/>
    <n v="5.3000359324469892E-2"/>
    <n v="14"/>
    <n v="550"/>
    <m/>
    <n v="688"/>
    <n v="335504"/>
    <n v="3"/>
    <m/>
    <m/>
    <m/>
    <s v="Zhang Rui（11000448）"/>
    <s v="Xu Lan（11013544）"/>
    <s v="Wu Ellen"/>
    <m/>
    <m/>
    <m/>
    <s v="OK"/>
  </r>
  <r>
    <s v="CN15"/>
    <n v="11008484"/>
    <s v="李 恺"/>
    <s v="Li Kai"/>
    <s v="Indirect Active"/>
    <s v="OP"/>
    <s v="OP-TE"/>
    <s v="CN/OP-TE"/>
    <s v="130000"/>
    <d v="2009-09-01T00:00:00"/>
    <s v="Project Director"/>
    <s v="Project Director"/>
    <x v="5"/>
    <n v="2"/>
    <x v="0"/>
    <n v="39155"/>
    <n v="0.05"/>
    <n v="1958"/>
    <n v="2.7E-2"/>
    <n v="1057"/>
    <n v="7.7001660068956715E-2"/>
    <n v="3015"/>
    <n v="42170"/>
    <n v="42170"/>
    <n v="3015"/>
    <x v="135"/>
    <s v="6.16%-9.24%"/>
    <m/>
    <m/>
    <m/>
    <m/>
    <n v="0"/>
    <n v="42170"/>
    <n v="3015"/>
    <n v="7.7001660068956701E-2"/>
    <n v="14"/>
    <n v="450"/>
    <n v="1000"/>
    <n v="688"/>
    <n v="608468"/>
    <n v="3"/>
    <m/>
    <m/>
    <m/>
    <s v="Zhang Rui（11000448）"/>
    <s v="Xu Lan（11013544）"/>
    <s v="Wu Ellen"/>
    <m/>
    <m/>
    <m/>
    <s v="OK"/>
  </r>
  <r>
    <s v="CN15"/>
    <n v="11014818"/>
    <s v="杨 晖"/>
    <s v="Yang Hui"/>
    <s v="Indirect Active"/>
    <s v="OP"/>
    <s v="OP-TE"/>
    <s v="CN/OP-TEI"/>
    <s v="131050"/>
    <d v="2017-06-05T00:00:00"/>
    <s v="Senior Engineer"/>
    <s v="Senior Engineer"/>
    <x v="1"/>
    <n v="2"/>
    <x v="1"/>
    <n v="20519"/>
    <n v="0.03"/>
    <n v="616"/>
    <n v="0"/>
    <n v="0"/>
    <n v="3.002095618694868E-2"/>
    <n v="616"/>
    <n v="21135"/>
    <n v="21135"/>
    <n v="616"/>
    <x v="11"/>
    <s v="2.40%-3.60%"/>
    <s v="Promotion"/>
    <m/>
    <s v="A6"/>
    <n v="7.0000000000000007E-2"/>
    <n v="1436"/>
    <n v="22571"/>
    <n v="2052"/>
    <n v="0.10000487353184861"/>
    <n v="14"/>
    <n v="450"/>
    <m/>
    <n v="688"/>
    <n v="322082"/>
    <n v="4"/>
    <m/>
    <m/>
    <m/>
    <s v="Zhang Rui（11000448）"/>
    <s v="Xu Lan（11013544）"/>
    <s v="Wu Ellen"/>
    <m/>
    <m/>
    <m/>
    <s v="OK"/>
  </r>
  <r>
    <s v="CN15"/>
    <n v="11015515"/>
    <s v="尹 旭萌"/>
    <s v="Yin Xumeng"/>
    <s v="Indirect Active"/>
    <s v="OP"/>
    <s v="OP-TE"/>
    <s v="CN/OP-TEM"/>
    <s v="131020"/>
    <d v="2017-10-23T00:00:00"/>
    <s v="Senior Specialist"/>
    <s v="Senior Specialist"/>
    <x v="1"/>
    <n v="2"/>
    <x v="1"/>
    <n v="13548"/>
    <n v="4.4999999999999998E-2"/>
    <n v="610"/>
    <n v="4.2099999999999999E-2"/>
    <n v="570"/>
    <n v="8.709772660171243E-2"/>
    <n v="1180"/>
    <n v="14728"/>
    <n v="14728"/>
    <n v="1180"/>
    <x v="180"/>
    <s v="6.97%-10.45%"/>
    <m/>
    <m/>
    <m/>
    <m/>
    <n v="0"/>
    <n v="14728"/>
    <n v="1180"/>
    <n v="8.7097726601712333E-2"/>
    <n v="14"/>
    <n v="510"/>
    <m/>
    <n v="688"/>
    <n v="213000"/>
    <n v="3"/>
    <m/>
    <m/>
    <m/>
    <s v="Zhang Rui（11000448）"/>
    <s v="Xu Lan（11013544）"/>
    <s v="Wu Ellen"/>
    <m/>
    <m/>
    <m/>
    <s v="OK"/>
  </r>
  <r>
    <s v="CN15"/>
    <n v="11015743"/>
    <s v="殷 利臻"/>
    <s v="Yin Lizhen"/>
    <s v="Indirect Active"/>
    <s v="OP"/>
    <s v="OP-TE"/>
    <s v="CN/OP-TEE"/>
    <s v="131030"/>
    <d v="2017-12-18T00:00:00"/>
    <s v="Engineer"/>
    <s v="Engineer"/>
    <x v="2"/>
    <n v="2"/>
    <x v="2"/>
    <n v="10225"/>
    <n v="0"/>
    <n v="0"/>
    <n v="0"/>
    <n v="0"/>
    <n v="0"/>
    <n v="0"/>
    <n v="10225"/>
    <n v="10225"/>
    <n v="0"/>
    <x v="5"/>
    <s v="0.00%-0.00%"/>
    <m/>
    <m/>
    <m/>
    <m/>
    <n v="0"/>
    <n v="10225"/>
    <n v="0"/>
    <n v="0"/>
    <n v="14"/>
    <n v="450"/>
    <m/>
    <n v="688"/>
    <n v="149238"/>
    <n v="3"/>
    <m/>
    <m/>
    <m/>
    <s v="Zhang Rui（11000448）"/>
    <s v="Xu Lan（11013544）"/>
    <s v="Wu Ellen"/>
    <m/>
    <m/>
    <m/>
    <s v="OK"/>
  </r>
  <r>
    <s v="CN15"/>
    <n v="11018028"/>
    <s v="徐 子悦"/>
    <s v="Xu Ziyue"/>
    <s v="Indirect Active"/>
    <s v="OP"/>
    <s v="OP-TE"/>
    <s v="CN/OP-TEI"/>
    <s v="131050"/>
    <d v="2021-02-22T00:00:00"/>
    <s v="Senior Engineer"/>
    <s v="Senior Engineer"/>
    <x v="1"/>
    <n v="2"/>
    <x v="2"/>
    <n v="12870"/>
    <n v="0.03"/>
    <n v="386"/>
    <n v="0"/>
    <n v="0"/>
    <n v="2.9992229992229991E-2"/>
    <n v="386"/>
    <n v="13256"/>
    <n v="13256"/>
    <n v="386"/>
    <x v="11"/>
    <s v="2.40%-3.60%"/>
    <m/>
    <m/>
    <m/>
    <m/>
    <n v="0"/>
    <n v="13256"/>
    <n v="386"/>
    <n v="2.9992229992229946E-2"/>
    <n v="14"/>
    <n v="550"/>
    <m/>
    <n v="688"/>
    <n v="192872"/>
    <n v="4"/>
    <m/>
    <m/>
    <m/>
    <s v="Zhang Rui（11000448）"/>
    <s v="Xu Lan（11013544）"/>
    <s v="Wu Ellen"/>
    <m/>
    <m/>
    <m/>
    <s v="OK"/>
  </r>
  <r>
    <s v="CN15"/>
    <n v="11022026"/>
    <s v="王 清源"/>
    <s v="Wang Kevin"/>
    <s v="Indirect Active"/>
    <s v="OP"/>
    <s v="OP-TE"/>
    <s v="CN/OP-TEE"/>
    <s v="131030"/>
    <d v="2025-07-16T00:00:00"/>
    <s v="Expert (CN)"/>
    <s v="Machine Safety Expert (CN)"/>
    <x v="3"/>
    <n v="2"/>
    <x v="2"/>
    <n v="34400"/>
    <n v="0"/>
    <n v="0"/>
    <n v="0"/>
    <n v="0"/>
    <n v="0"/>
    <n v="0"/>
    <n v="34400"/>
    <n v="34400"/>
    <n v="0"/>
    <x v="5"/>
    <s v="0.00%-0.00%"/>
    <m/>
    <m/>
    <m/>
    <m/>
    <n v="0"/>
    <n v="34400"/>
    <n v="0"/>
    <n v="0"/>
    <n v="14"/>
    <n v="450"/>
    <m/>
    <n v="688"/>
    <n v="487688"/>
    <e v="#N/A"/>
    <m/>
    <m/>
    <m/>
    <s v="Zhang Rui（11000448）"/>
    <s v="Xu Lan（11013544）"/>
    <s v="Wu Ellen"/>
    <m/>
    <m/>
    <m/>
    <s v="OK"/>
  </r>
  <r>
    <s v="CN15"/>
    <n v="15001000"/>
    <s v="王 亦铭"/>
    <s v="Wang Yiming"/>
    <s v="Indirect Active"/>
    <s v="OP"/>
    <s v="OP-TE"/>
    <s v="CN/OP-TEM"/>
    <s v="131020"/>
    <d v="2007-06-05T00:00:00"/>
    <s v="Manager"/>
    <s v="Manager"/>
    <x v="3"/>
    <n v="2"/>
    <x v="2"/>
    <n v="27500"/>
    <n v="0"/>
    <n v="0"/>
    <n v="0"/>
    <n v="0"/>
    <n v="0"/>
    <n v="0"/>
    <n v="27500"/>
    <n v="27500"/>
    <n v="0"/>
    <x v="5"/>
    <s v="0.00%-0.00%"/>
    <m/>
    <m/>
    <m/>
    <m/>
    <n v="0"/>
    <n v="27500"/>
    <n v="0"/>
    <n v="0"/>
    <n v="14"/>
    <n v="450"/>
    <m/>
    <n v="688"/>
    <n v="391088"/>
    <n v="3"/>
    <m/>
    <m/>
    <m/>
    <s v="Zhang Rui（11000448）"/>
    <s v="Xu Lan（11013544）"/>
    <s v="Wu Ellen"/>
    <m/>
    <m/>
    <m/>
    <s v="OK"/>
  </r>
  <r>
    <s v="CN15"/>
    <n v="15010200"/>
    <s v="陈 典江"/>
    <s v="Chen Dianjiang"/>
    <s v="Indirect Active"/>
    <s v="OP"/>
    <s v="OP-TE"/>
    <s v="CN/OP-TEE"/>
    <s v="131030"/>
    <d v="2010-12-16T00:00:00"/>
    <s v="Associate Expert (CN)"/>
    <s v="Associate Expert (C)"/>
    <x v="0"/>
    <n v="2"/>
    <x v="1"/>
    <n v="22818"/>
    <n v="2.2499999999999999E-2"/>
    <n v="513"/>
    <n v="0"/>
    <n v="0"/>
    <n v="2.2482250854588482E-2"/>
    <n v="513"/>
    <n v="23331"/>
    <n v="23331"/>
    <n v="513"/>
    <x v="47"/>
    <s v="1.80%-2.70%"/>
    <m/>
    <m/>
    <m/>
    <m/>
    <n v="0"/>
    <n v="23331"/>
    <n v="513"/>
    <n v="2.2482250854588548E-2"/>
    <n v="14"/>
    <n v="450"/>
    <m/>
    <n v="688"/>
    <n v="332722"/>
    <n v="3"/>
    <m/>
    <m/>
    <m/>
    <s v="Zhang Rui（11000448）"/>
    <s v="Xu Lan（11013544）"/>
    <s v="Wu Ellen"/>
    <m/>
    <m/>
    <m/>
    <s v="OK"/>
  </r>
  <r>
    <s v="CN15"/>
    <n v="15012715"/>
    <s v="韩 郁翀"/>
    <s v="Han Yuchong"/>
    <s v="Indirect Active"/>
    <s v="OP"/>
    <s v="OP-TE"/>
    <s v="CN/OP-TEE"/>
    <s v="131030"/>
    <d v="2014-07-01T00:00:00"/>
    <s v="Project Manager"/>
    <s v="Project Manager"/>
    <x v="0"/>
    <n v="2"/>
    <x v="0"/>
    <n v="20000"/>
    <n v="0.05"/>
    <n v="1000"/>
    <n v="2.7E-2"/>
    <n v="540"/>
    <n v="7.6999999999999999E-2"/>
    <n v="1540"/>
    <n v="21540"/>
    <n v="21540"/>
    <n v="1540"/>
    <x v="135"/>
    <s v="6.16%-9.24%"/>
    <m/>
    <m/>
    <m/>
    <m/>
    <n v="0"/>
    <n v="21540"/>
    <n v="1540"/>
    <n v="7.6999999999999957E-2"/>
    <n v="14"/>
    <n v="450"/>
    <m/>
    <n v="688"/>
    <n v="307648"/>
    <n v="5"/>
    <m/>
    <m/>
    <m/>
    <s v="Zhang Rui（11000448）"/>
    <s v="Xu Lan（11013544）"/>
    <s v="Wu Ellen"/>
    <m/>
    <m/>
    <m/>
    <s v="OK"/>
  </r>
  <r>
    <s v="CN15"/>
    <n v="15018212"/>
    <s v="杨 升晴"/>
    <s v="Yang Shengqing"/>
    <s v="Indirect Active"/>
    <s v="OP"/>
    <s v="OP-TE"/>
    <s v="CN/OP-TE"/>
    <s v="130000"/>
    <d v="2018-07-01T00:00:00"/>
    <s v="Senior Specialist"/>
    <s v="Senior Specialist"/>
    <x v="1"/>
    <n v="2"/>
    <x v="2"/>
    <n v="12271"/>
    <n v="0.03"/>
    <n v="368"/>
    <n v="0"/>
    <n v="0"/>
    <n v="2.9989405916388233E-2"/>
    <n v="368"/>
    <n v="12639"/>
    <n v="12639"/>
    <n v="368"/>
    <x v="11"/>
    <s v="2.40%-3.60%"/>
    <m/>
    <m/>
    <m/>
    <m/>
    <n v="0"/>
    <n v="12639"/>
    <n v="368"/>
    <n v="2.9989405916388323E-2"/>
    <n v="14"/>
    <n v="550"/>
    <m/>
    <n v="688"/>
    <n v="184234"/>
    <n v="3"/>
    <m/>
    <m/>
    <m/>
    <s v="Zhang Rui（11000448）"/>
    <s v="Xu Lan（11013544）"/>
    <s v="Wu Ellen"/>
    <m/>
    <m/>
    <m/>
    <s v="OK"/>
  </r>
  <r>
    <s v="CN15"/>
    <n v="11011050"/>
    <s v="孙 莉"/>
    <s v="Sun Li"/>
    <s v="Indirect Active"/>
    <s v="OP"/>
    <s v="CN/OP-RM"/>
    <s v="CN/OP-RMH"/>
    <s v="121054"/>
    <d v="2014-06-16T00:00:00"/>
    <s v="Senior Specialist"/>
    <s v="Senior Specialist"/>
    <x v="1"/>
    <n v="2"/>
    <x v="2"/>
    <n v="10700"/>
    <n v="2.5000000000000001E-2"/>
    <n v="268"/>
    <n v="0"/>
    <n v="0"/>
    <n v="2.5046728971962615E-2"/>
    <n v="268"/>
    <n v="10968"/>
    <n v="11000"/>
    <n v="300"/>
    <x v="193"/>
    <s v="2.00%-3.01%"/>
    <m/>
    <m/>
    <m/>
    <m/>
    <n v="0"/>
    <n v="11000"/>
    <n v="300"/>
    <n v="2.8037383177569986E-2"/>
    <n v="14"/>
    <n v="550"/>
    <m/>
    <n v="688"/>
    <n v="161288"/>
    <n v="5"/>
    <m/>
    <m/>
    <m/>
    <s v="Shen Fendi-Siyuan（11021165）"/>
    <s v="Mo Xiaohong（11005372）"/>
    <s v="Wu Ellen"/>
    <m/>
    <m/>
    <m/>
    <s v="OK"/>
  </r>
  <r>
    <s v="CN15"/>
    <n v="11016622"/>
    <s v="郑 寒"/>
    <s v="Zheng Han"/>
    <s v="Indirect Active"/>
    <s v="OP"/>
    <s v="CN/OP-RM"/>
    <s v="CN/OP-RMH"/>
    <s v="121054"/>
    <d v="2020-07-01T00:00:00"/>
    <s v="Specialist"/>
    <s v="Specialist"/>
    <x v="2"/>
    <n v="2"/>
    <x v="0"/>
    <n v="7962"/>
    <n v="0.04"/>
    <n v="318"/>
    <n v="0"/>
    <n v="0"/>
    <n v="3.9939713639788994E-2"/>
    <n v="318"/>
    <n v="8280"/>
    <n v="8300"/>
    <n v="338"/>
    <x v="192"/>
    <s v="3.20%-4.79%"/>
    <s v="Promotion"/>
    <s v="Senior Specialist"/>
    <s v="A5"/>
    <n v="0.11"/>
    <n v="876"/>
    <n v="9176"/>
    <n v="1214"/>
    <n v="0.15247425270032644"/>
    <n v="14"/>
    <n v="450"/>
    <m/>
    <n v="688"/>
    <n v="134552"/>
    <n v="5"/>
    <m/>
    <s v="Since May 2025, Zheng Han has served as RM TA alongside her core role, supporting the RM Head and team in delivering multiple workshops, events, and meetings — all on target. She demonstrates strong learning agility, proactive ownership, and creative thinking, with exceptional potential."/>
    <s v="Good performance and high potential"/>
    <s v="Shen Fendi-Siyuan（11021165）"/>
    <s v="Mo Xiaohong（11005372）"/>
    <s v="Wu Ellen"/>
    <m/>
    <m/>
    <m/>
    <s v="OK"/>
  </r>
  <r>
    <s v="CN15"/>
    <n v="11021405"/>
    <s v="刘 宇"/>
    <s v="Liu Anna"/>
    <s v="Disp_Indirect Active"/>
    <s v="OP"/>
    <s v="CN/OP-RM"/>
    <s v="CN/OP-RMH"/>
    <s v="121054"/>
    <d v="2024-09-18T00:00:00"/>
    <s v="Specialist"/>
    <s v="Specialist"/>
    <x v="2"/>
    <n v="2"/>
    <x v="2"/>
    <n v="7050"/>
    <n v="0"/>
    <n v="0"/>
    <n v="0"/>
    <n v="0"/>
    <n v="0"/>
    <n v="0"/>
    <n v="7050"/>
    <n v="7350"/>
    <n v="300"/>
    <x v="194"/>
    <s v="0.00%-0.00%"/>
    <m/>
    <m/>
    <m/>
    <m/>
    <n v="0"/>
    <n v="7350"/>
    <n v="300"/>
    <n v="4.2553191489361764E-2"/>
    <n v="14"/>
    <n v="450"/>
    <m/>
    <n v="0"/>
    <n v="108300"/>
    <n v="3"/>
    <m/>
    <s v="Since H2 2025, Anna has served as Headquarters Digital Project Lead alongside her core role, partnering with the RME team to launch multiple Finvis digital initiatives at HQ. She demonstrates strong learning agility and seamless team collaboration._x000a_"/>
    <s v="Enlarged responsibilities with proven performance"/>
    <s v="Shen Fendi-Siyuan（11021165）"/>
    <s v="Mo Xiaohong（11005372）"/>
    <s v="Wu Ellen"/>
    <m/>
    <m/>
    <m/>
    <s v="&gt;20"/>
  </r>
  <r>
    <s v="CN15"/>
    <n v="15021647"/>
    <s v="孙 姗姗"/>
    <s v="Sun Shanshan"/>
    <s v="Indirect Active"/>
    <s v="OP"/>
    <s v="CN/OP-RM"/>
    <s v="CN/OP-RMH"/>
    <s v="121054"/>
    <d v="2021-08-11T00:00:00"/>
    <s v="Senior Engineer"/>
    <s v="Senior Engineer"/>
    <x v="1"/>
    <n v="2"/>
    <x v="1"/>
    <n v="13900"/>
    <n v="3.7500000000000006E-2"/>
    <n v="521"/>
    <n v="1.55E-2"/>
    <n v="215"/>
    <n v="5.2949640287769786E-2"/>
    <n v="736"/>
    <n v="14636"/>
    <n v="14490"/>
    <n v="590"/>
    <x v="49"/>
    <s v="4.24%-6.35%"/>
    <m/>
    <m/>
    <m/>
    <m/>
    <n v="0"/>
    <n v="14490"/>
    <n v="590"/>
    <n v="4.2446043165467628E-2"/>
    <n v="14"/>
    <n v="450"/>
    <m/>
    <n v="688"/>
    <n v="208948"/>
    <n v="3"/>
    <m/>
    <m/>
    <m/>
    <s v="Shen Fendi-Siyuan（11021165）"/>
    <s v="Mo Xiaohong（11005372）"/>
    <s v="Wu Ellen"/>
    <m/>
    <m/>
    <m/>
    <s v="OK"/>
  </r>
  <r>
    <s v="CN15"/>
    <n v="11000460"/>
    <s v="谢 健琳"/>
    <s v="Xie Jianlin"/>
    <s v="Indirect Active"/>
    <s v="OP"/>
    <s v="CN/OP-RM"/>
    <s v="CN/OP-RMS"/>
    <s v="121053"/>
    <d v="2000-03-31T00:00:00"/>
    <s v="Senior Specialist"/>
    <s v="Senior Specialist"/>
    <x v="1"/>
    <n v="2"/>
    <x v="1"/>
    <n v="10660"/>
    <n v="3.7500000000000006E-2"/>
    <n v="400"/>
    <n v="1.55E-2"/>
    <n v="165"/>
    <n v="5.3001876172607883E-2"/>
    <n v="565"/>
    <n v="11225"/>
    <n v="11225"/>
    <n v="565"/>
    <x v="40"/>
    <s v="4.24%-6.36%"/>
    <m/>
    <m/>
    <m/>
    <m/>
    <n v="0"/>
    <n v="11225"/>
    <n v="565"/>
    <n v="5.3001876172607876E-2"/>
    <n v="14"/>
    <n v="450"/>
    <m/>
    <n v="688"/>
    <n v="163238"/>
    <n v="3"/>
    <m/>
    <m/>
    <m/>
    <s v="Fu Gang（1320032）"/>
    <s v="Mo Xiaohong（11005372）"/>
    <s v="Wu Ellen"/>
    <m/>
    <m/>
    <m/>
    <s v="OK"/>
  </r>
  <r>
    <s v="CN15"/>
    <n v="1120340"/>
    <s v="毛 林健"/>
    <s v="Mao Linjian"/>
    <s v="Indirect Active"/>
    <s v="OP"/>
    <s v="CN/OP-RM"/>
    <s v="CN/OP-RMCF"/>
    <s v="290300"/>
    <d v="2021-08-10T00:00:00"/>
    <s v="Specialist"/>
    <s v="Specialist of Firefighting"/>
    <x v="2"/>
    <n v="2"/>
    <x v="2"/>
    <n v="7700"/>
    <n v="2.5000000000000001E-2"/>
    <n v="193"/>
    <n v="0"/>
    <n v="0"/>
    <n v="2.5064935064935064E-2"/>
    <n v="193"/>
    <n v="7893"/>
    <n v="7900"/>
    <n v="200"/>
    <x v="6"/>
    <s v="2.01%-3.01%"/>
    <m/>
    <m/>
    <m/>
    <m/>
    <n v="0"/>
    <n v="7900"/>
    <n v="200"/>
    <n v="2.5974025974025983E-2"/>
    <n v="14"/>
    <n v="550"/>
    <m/>
    <n v="688"/>
    <n v="117888"/>
    <n v="3"/>
    <m/>
    <m/>
    <m/>
    <s v="Fu Gang（1320032）"/>
    <s v="Mo Xiaohong（11005372）"/>
    <s v="Wu Ellen"/>
    <m/>
    <m/>
    <m/>
    <s v="OK"/>
  </r>
  <r>
    <s v="CN15"/>
    <n v="1120346"/>
    <s v="孟 庆松"/>
    <s v="Meng Qingsong"/>
    <s v="Indirect Active"/>
    <s v="OP"/>
    <s v="CN/OP-RM"/>
    <s v="CN/OP-RMCF"/>
    <s v="290300"/>
    <d v="2021-09-01T00:00:00"/>
    <s v="Engineer"/>
    <s v="Engineer of Electrical"/>
    <x v="2"/>
    <n v="2"/>
    <x v="1"/>
    <n v="9580"/>
    <n v="3.7500000000000006E-2"/>
    <n v="359"/>
    <n v="1.55E-2"/>
    <n v="148"/>
    <n v="5.2922755741127349E-2"/>
    <n v="507"/>
    <n v="10087"/>
    <n v="10000"/>
    <n v="420"/>
    <x v="195"/>
    <s v="4.23%-6.35%"/>
    <s v="Promotion"/>
    <s v="senior engineer"/>
    <s v="A5"/>
    <n v="9.2999999999999999E-2"/>
    <n v="891"/>
    <n v="10891"/>
    <n v="1311"/>
    <n v="0.13684759916492695"/>
    <n v="14"/>
    <n v="450"/>
    <m/>
    <n v="688"/>
    <n v="158562"/>
    <n v="3"/>
    <m/>
    <s v="1. From 2025.09.01, took energy management platform tasks in EA and HA. 2. Lead energy efficiency project in EA and HA 3. As RM energy officer in RGC_x000a_"/>
    <s v="Good performance and high potential"/>
    <s v="Fu Gang（1320032）"/>
    <s v="Mo Xiaohong（11005372）"/>
    <s v="Wu Ellen"/>
    <m/>
    <m/>
    <m/>
    <s v="OK"/>
  </r>
  <r>
    <s v="CN15"/>
    <n v="1120381"/>
    <s v="樊 晓东"/>
    <s v="Fan Xiaodong"/>
    <s v="Indirect Active"/>
    <s v="OP"/>
    <s v="CN/OP-RM"/>
    <s v="CN/OP-RMCF"/>
    <s v="290300"/>
    <d v="2022-03-07T00:00:00"/>
    <s v="Engineer"/>
    <s v="Engineer of Anti-Explosion Management"/>
    <x v="2"/>
    <n v="2"/>
    <x v="1"/>
    <n v="9800"/>
    <n v="3.7500000000000006E-2"/>
    <n v="368"/>
    <n v="1.55E-2"/>
    <n v="152"/>
    <n v="5.3061224489795916E-2"/>
    <n v="520"/>
    <n v="10320"/>
    <n v="10400"/>
    <n v="600"/>
    <x v="196"/>
    <s v="4.24%-6.37%"/>
    <m/>
    <m/>
    <m/>
    <m/>
    <n v="0"/>
    <n v="10400"/>
    <n v="600"/>
    <n v="6.1224489795918435E-2"/>
    <n v="14"/>
    <n v="450"/>
    <m/>
    <n v="688"/>
    <n v="151688"/>
    <n v="4"/>
    <m/>
    <m/>
    <m/>
    <s v="Fu Gang（1320032）"/>
    <s v="Mo Xiaohong（11005372）"/>
    <s v="Wu Ellen"/>
    <m/>
    <m/>
    <m/>
    <s v="OK"/>
  </r>
  <r>
    <s v="CN15"/>
    <n v="1132154"/>
    <s v="徐 二明"/>
    <s v="Xu Erming"/>
    <s v="Indirect Active"/>
    <s v="OP"/>
    <s v="CN/OP-RM"/>
    <s v="CN/OP-RMCF"/>
    <s v="290300"/>
    <d v="2010-12-08T00:00:00"/>
    <s v="Functional Specialist"/>
    <s v="Functional Specialist"/>
    <x v="0"/>
    <n v="2"/>
    <x v="2"/>
    <n v="13740"/>
    <n v="0.03"/>
    <n v="412"/>
    <n v="0"/>
    <n v="0"/>
    <n v="2.9985443959243085E-2"/>
    <n v="412"/>
    <n v="14152"/>
    <n v="14100"/>
    <n v="360"/>
    <x v="15"/>
    <s v="2.40%-3.60%"/>
    <m/>
    <m/>
    <m/>
    <m/>
    <n v="0"/>
    <n v="14100"/>
    <n v="360"/>
    <n v="2.6200873362445476E-2"/>
    <n v="14"/>
    <n v="450"/>
    <m/>
    <n v="688"/>
    <n v="203488"/>
    <n v="2"/>
    <m/>
    <m/>
    <m/>
    <s v="Fu Gang（1320032）"/>
    <s v="Mo Xiaohong（11005372）"/>
    <s v="Wu Ellen"/>
    <m/>
    <m/>
    <m/>
    <s v="OK"/>
  </r>
  <r>
    <s v="CN15"/>
    <n v="1132162"/>
    <s v="夏 凯"/>
    <s v="Xia Kai"/>
    <s v="Indirect Active"/>
    <s v="OP"/>
    <s v="CN/OP-RM"/>
    <s v="CN/OP-RMCF"/>
    <s v="290300"/>
    <d v="2011-07-11T00:00:00"/>
    <s v="Senior Engineer"/>
    <s v="Senior Engineer of Electrical"/>
    <x v="1"/>
    <n v="2"/>
    <x v="1"/>
    <n v="8140"/>
    <n v="5.2500000000000005E-2"/>
    <n v="427"/>
    <n v="4.2099999999999999E-2"/>
    <n v="343"/>
    <n v="9.45945945945946E-2"/>
    <n v="770"/>
    <n v="8910"/>
    <n v="9500"/>
    <n v="1360"/>
    <x v="197"/>
    <s v="7.57%-11.35%"/>
    <m/>
    <m/>
    <m/>
    <m/>
    <n v="0"/>
    <n v="9500"/>
    <n v="1360"/>
    <n v="0.16707616707616713"/>
    <n v="14"/>
    <n v="450"/>
    <m/>
    <n v="688"/>
    <n v="139088"/>
    <n v="3"/>
    <m/>
    <s v="1.持续学习和成长，被评为问题解决specialist，成为部门内的问题解决专家。_x000a_2.勇于担当，主动承担电气安全管理工作，主动寻找解决方案，减少工厂隐患；在光伏项目及特种设备管理工作中也发挥了关键作用"/>
    <m/>
    <s v="Fu Gang（1320032）"/>
    <s v="Mo Xiaohong（11005372）"/>
    <s v="Wu Ellen"/>
    <m/>
    <m/>
    <m/>
    <s v="&gt;20"/>
  </r>
  <r>
    <s v="CN15"/>
    <n v="1133009"/>
    <s v="孙 殿莹"/>
    <s v="Sun Dianying"/>
    <s v="Indirect Active"/>
    <s v="OP"/>
    <s v="CN/OP-RM"/>
    <s v="CN/OP-RMCG"/>
    <s v="290113"/>
    <d v="2010-01-05T00:00:00"/>
    <s v="Supervisor"/>
    <s v="Supervisor of Food Service"/>
    <x v="0"/>
    <n v="2"/>
    <x v="2"/>
    <n v="10545"/>
    <n v="0.03"/>
    <n v="316"/>
    <n v="0"/>
    <n v="0"/>
    <n v="2.9966808914177336E-2"/>
    <n v="316"/>
    <n v="10861"/>
    <n v="10545"/>
    <n v="0"/>
    <x v="5"/>
    <s v="2.40%-3.60%"/>
    <m/>
    <m/>
    <m/>
    <m/>
    <n v="0"/>
    <n v="10545"/>
    <n v="0"/>
    <n v="0"/>
    <n v="14"/>
    <n v="450"/>
    <m/>
    <n v="688"/>
    <n v="153718"/>
    <n v="3"/>
    <m/>
    <s v="Less responsibility compared with the same level's"/>
    <s v="Less responsibility compared with the same level's"/>
    <s v="Fu Gang（1320032）"/>
    <s v="Mo Xiaohong（11005372）"/>
    <s v="Wu Ellen"/>
    <m/>
    <m/>
    <m/>
    <s v="0 increase"/>
  </r>
  <r>
    <s v="CN15"/>
    <n v="1320009"/>
    <s v="罗 飞翔"/>
    <s v="Luo Feixiang"/>
    <s v="Indirect Active"/>
    <s v="OP"/>
    <s v="CN/OP-RM"/>
    <s v="CN/OP-RMCF"/>
    <s v="290300"/>
    <d v="2004-08-01T00:00:00"/>
    <s v="Senior Engineer"/>
    <s v="Senior Engineer of Facility"/>
    <x v="1"/>
    <n v="2"/>
    <x v="2"/>
    <n v="9887"/>
    <n v="0.03"/>
    <n v="297"/>
    <n v="0"/>
    <n v="0"/>
    <n v="3.0039445736826136E-2"/>
    <n v="297"/>
    <n v="10184"/>
    <n v="10193"/>
    <n v="306"/>
    <x v="140"/>
    <s v="2.40%-3.60%"/>
    <m/>
    <m/>
    <m/>
    <m/>
    <n v="0"/>
    <n v="10193"/>
    <n v="306"/>
    <n v="3.0949731971275485E-2"/>
    <n v="14"/>
    <n v="450"/>
    <m/>
    <n v="688"/>
    <n v="148790"/>
    <n v="3"/>
    <m/>
    <m/>
    <m/>
    <s v="Fu Gang（1320032）"/>
    <s v="Mo Xiaohong（11005372）"/>
    <s v="Wu Ellen"/>
    <m/>
    <m/>
    <m/>
    <s v="OK"/>
  </r>
  <r>
    <s v="CN15"/>
    <n v="1332022"/>
    <s v="王 从军"/>
    <s v="Wang Congjun"/>
    <s v="Indirect Active"/>
    <s v="OP"/>
    <s v="CN/OP-RM"/>
    <s v="CN/OP-RMCG"/>
    <s v="290113"/>
    <d v="2001-10-22T00:00:00"/>
    <s v="Supervisor"/>
    <s v="Supervisor of Security Management"/>
    <x v="0"/>
    <n v="2"/>
    <x v="2"/>
    <n v="9000"/>
    <n v="3.5000000000000003E-2"/>
    <n v="315"/>
    <n v="0"/>
    <n v="0"/>
    <n v="3.5000000000000003E-2"/>
    <n v="315"/>
    <n v="9315"/>
    <n v="9000"/>
    <n v="0"/>
    <x v="5"/>
    <s v="2.80%-4.20%"/>
    <m/>
    <m/>
    <m/>
    <m/>
    <n v="0"/>
    <n v="9000"/>
    <n v="0"/>
    <n v="0"/>
    <n v="14"/>
    <n v="1580"/>
    <m/>
    <n v="688"/>
    <n v="145648"/>
    <n v="3"/>
    <m/>
    <s v="Less responsibility compared with the same level's"/>
    <s v="Less responsibility compared with the same level's"/>
    <s v="Fu Gang（1320032）"/>
    <s v="Mo Xiaohong（11005372）"/>
    <s v="Wu Ellen"/>
    <m/>
    <m/>
    <m/>
    <s v="0 increase"/>
  </r>
  <r>
    <s v="CN15"/>
    <n v="1334003"/>
    <s v="倪 斌"/>
    <s v="Ni Bin"/>
    <s v="Indirect Active"/>
    <s v="OP"/>
    <s v="CN/OP-RM"/>
    <s v="CN/OP-RMCG"/>
    <s v="290113"/>
    <d v="1993-09-01T00:00:00"/>
    <s v="Specialist"/>
    <s v="Specialist of Shuttle Bus Management"/>
    <x v="2"/>
    <n v="2"/>
    <x v="2"/>
    <n v="9932"/>
    <n v="0"/>
    <n v="0"/>
    <n v="0"/>
    <n v="0"/>
    <n v="0"/>
    <n v="0"/>
    <n v="9932"/>
    <n v="9932"/>
    <n v="0"/>
    <x v="5"/>
    <s v="0.00%-0.00%"/>
    <m/>
    <m/>
    <m/>
    <m/>
    <n v="0"/>
    <n v="9932"/>
    <n v="0"/>
    <n v="0"/>
    <n v="14"/>
    <n v="1216"/>
    <m/>
    <n v="688"/>
    <n v="154328"/>
    <n v="3"/>
    <m/>
    <m/>
    <m/>
    <s v="Fu Gang（1320032）"/>
    <s v="Mo Xiaohong（11005372）"/>
    <s v="Wu Ellen"/>
    <m/>
    <m/>
    <m/>
    <s v="OK"/>
  </r>
  <r>
    <s v="CN15"/>
    <n v="1700105"/>
    <s v="任 龙飞"/>
    <s v="Ren Longfei"/>
    <s v="Indirect Active"/>
    <s v="OP"/>
    <s v="CN/OP-RM"/>
    <s v="CN/OP-RMCG"/>
    <s v="290113"/>
    <d v="2008-07-01T00:00:00"/>
    <s v="Specialist"/>
    <s v="Security System Management"/>
    <x v="2"/>
    <n v="2"/>
    <x v="2"/>
    <n v="12500"/>
    <n v="0"/>
    <n v="0"/>
    <n v="0"/>
    <n v="0"/>
    <n v="0"/>
    <n v="0"/>
    <n v="12500"/>
    <n v="12500"/>
    <n v="0"/>
    <x v="5"/>
    <s v="0.00%-0.00%"/>
    <m/>
    <m/>
    <m/>
    <m/>
    <n v="0"/>
    <n v="12500"/>
    <n v="0"/>
    <n v="0"/>
    <n v="14"/>
    <n v="550"/>
    <m/>
    <n v="688"/>
    <n v="182288"/>
    <n v="4"/>
    <m/>
    <m/>
    <m/>
    <s v="Fu Gang（1320032）"/>
    <s v="Mo Xiaohong（11005372）"/>
    <s v="Wu Ellen"/>
    <m/>
    <m/>
    <m/>
    <s v="OK"/>
  </r>
  <r>
    <s v="CN15"/>
    <n v="1710128"/>
    <s v="刘 艳"/>
    <s v="Liu Yan"/>
    <s v="Indirect Active"/>
    <s v="OP"/>
    <s v="CN/OP-RM"/>
    <s v="CN/OP-RMCG"/>
    <s v="290113"/>
    <d v="2011-01-01T00:00:00"/>
    <s v="Senior Specialist"/>
    <s v="Senior Specialist"/>
    <x v="1"/>
    <n v="2"/>
    <x v="3"/>
    <n v="8628"/>
    <n v="0"/>
    <n v="0"/>
    <n v="0"/>
    <n v="0"/>
    <n v="0"/>
    <n v="0"/>
    <n v="8628"/>
    <n v="8628"/>
    <n v="0"/>
    <x v="5"/>
    <s v="0.00%-0.00%"/>
    <m/>
    <m/>
    <m/>
    <m/>
    <n v="0"/>
    <n v="8628"/>
    <n v="0"/>
    <n v="0"/>
    <n v="14"/>
    <n v="850"/>
    <m/>
    <n v="688"/>
    <n v="131680"/>
    <n v="5"/>
    <m/>
    <m/>
    <m/>
    <s v="Fu Gang（1320032）"/>
    <s v="Mo Xiaohong（11005372）"/>
    <s v="Wu Ellen"/>
    <m/>
    <m/>
    <m/>
    <s v="OK"/>
  </r>
  <r>
    <s v="CN15"/>
    <n v="11021147"/>
    <s v="尚 云"/>
    <s v="Shang Yun"/>
    <s v="Indirect Active"/>
    <s v="OP"/>
    <s v="CN/OP-RM"/>
    <s v="CN/OP-RMCF"/>
    <s v="290300"/>
    <d v="2018-05-20T00:00:00"/>
    <s v="Manager"/>
    <s v="Head of CN/OP-RMCF"/>
    <x v="3"/>
    <n v="2"/>
    <x v="2"/>
    <n v="18400"/>
    <n v="2.5000000000000001E-2"/>
    <n v="460"/>
    <n v="0"/>
    <n v="0"/>
    <n v="2.5000000000000001E-2"/>
    <n v="460"/>
    <n v="18860"/>
    <n v="18950"/>
    <n v="550"/>
    <x v="2"/>
    <s v="2.00%-3.00%"/>
    <m/>
    <m/>
    <m/>
    <m/>
    <n v="0"/>
    <n v="18950"/>
    <n v="550"/>
    <n v="2.9891304347826164E-2"/>
    <n v="14"/>
    <n v="5990"/>
    <m/>
    <n v="688"/>
    <n v="337868"/>
    <n v="4"/>
    <m/>
    <m/>
    <m/>
    <s v="Fu Gang（1320032）"/>
    <s v="Mo Xiaohong（11005372）"/>
    <s v="Wu Ellen"/>
    <m/>
    <m/>
    <m/>
    <s v="OK"/>
  </r>
  <r>
    <s v="CN15"/>
    <n v="15000037"/>
    <s v="魏 莹"/>
    <s v="Wei Ying"/>
    <s v="Indirect Active"/>
    <s v="OP"/>
    <s v="CN/OP-RM"/>
    <s v="CN/OP-RMCG"/>
    <s v="290113"/>
    <d v="2005-07-02T00:00:00"/>
    <s v="Manager"/>
    <s v="Head of CN/OP-RMCG"/>
    <x v="3"/>
    <n v="2"/>
    <x v="2"/>
    <n v="25792"/>
    <n v="0"/>
    <n v="0"/>
    <n v="0"/>
    <n v="0"/>
    <n v="0"/>
    <n v="0"/>
    <n v="25792"/>
    <n v="25920"/>
    <n v="128"/>
    <x v="198"/>
    <s v="0.00%-0.00%"/>
    <m/>
    <m/>
    <m/>
    <m/>
    <n v="0"/>
    <n v="25920"/>
    <n v="128"/>
    <n v="4.9627791563275903E-3"/>
    <n v="14"/>
    <n v="4250"/>
    <m/>
    <n v="688"/>
    <n v="414568"/>
    <n v="3"/>
    <m/>
    <s v="Recognition of Performance"/>
    <m/>
    <s v="Fu Gang（1320032）"/>
    <s v="Mo Xiaohong（11005372）"/>
    <s v="Wu Ellen"/>
    <m/>
    <m/>
    <m/>
    <s v="&gt;20"/>
  </r>
  <r>
    <s v="CN15"/>
    <n v="11011107"/>
    <s v="黄 海宏"/>
    <s v="Huang Haihong"/>
    <s v="Indirect Active"/>
    <s v="OP"/>
    <s v="CN/OP-RM"/>
    <s v="COS-SY"/>
    <s v="121053"/>
    <d v="2008-04-01T00:00:00"/>
    <s v="Manager"/>
    <s v="Head of Corporate Security"/>
    <x v="3"/>
    <n v="2"/>
    <x v="2"/>
    <n v="25563"/>
    <n v="2.5000000000000001E-2"/>
    <n v="639"/>
    <n v="0"/>
    <n v="0"/>
    <n v="2.4997066072057272E-2"/>
    <n v="639"/>
    <n v="26202"/>
    <n v="26200"/>
    <n v="637"/>
    <x v="37"/>
    <s v="2.00%-3.00%"/>
    <m/>
    <m/>
    <m/>
    <m/>
    <n v="0"/>
    <n v="26200"/>
    <n v="637"/>
    <n v="2.491882799358458E-2"/>
    <n v="14"/>
    <n v="450"/>
    <m/>
    <n v="688"/>
    <n v="372888"/>
    <n v="4"/>
    <m/>
    <m/>
    <m/>
    <s v="Chen Lianrong（15022534）"/>
    <s v="Mo Xiaohong（11005372）"/>
    <s v="Wu Ellen"/>
    <m/>
    <m/>
    <m/>
    <s v="OK"/>
  </r>
  <r>
    <s v="CN15"/>
    <n v="11011427"/>
    <s v="朱 斌"/>
    <s v="Zhu Bin"/>
    <s v="Indirect Active"/>
    <s v="OP"/>
    <s v="CN/OP-RM"/>
    <s v="CN/OP-RME"/>
    <s v="121053"/>
    <d v="2013-10-23T00:00:00"/>
    <s v="Engineer"/>
    <s v="Engineer"/>
    <x v="2"/>
    <n v="2"/>
    <x v="2"/>
    <n v="11480"/>
    <n v="0"/>
    <n v="0"/>
    <n v="0"/>
    <n v="0"/>
    <n v="0"/>
    <n v="0"/>
    <n v="11480"/>
    <n v="11480"/>
    <n v="0"/>
    <x v="5"/>
    <s v="0.00%-0.00%"/>
    <m/>
    <m/>
    <m/>
    <m/>
    <n v="0"/>
    <n v="11480"/>
    <n v="0"/>
    <n v="0"/>
    <n v="14"/>
    <n v="450"/>
    <m/>
    <n v="688"/>
    <n v="166808"/>
    <n v="2"/>
    <m/>
    <m/>
    <m/>
    <s v="Song Qing (11015244)"/>
    <s v="Mo Xiaohong（11005372）"/>
    <s v="Wu Ellen"/>
    <m/>
    <m/>
    <m/>
    <s v="OK"/>
  </r>
  <r>
    <s v="CN15"/>
    <n v="11012184"/>
    <s v="陈 雪"/>
    <s v="Chen Xue"/>
    <s v="Indirect Active"/>
    <s v="OP"/>
    <s v="CN/OP-RM"/>
    <s v="CN/OP-RME"/>
    <s v="121053"/>
    <d v="2015-03-01T00:00:00"/>
    <s v="Engineer"/>
    <s v="Engineer"/>
    <x v="2"/>
    <n v="2"/>
    <x v="2"/>
    <n v="11536"/>
    <n v="0"/>
    <n v="0"/>
    <n v="0"/>
    <n v="0"/>
    <n v="0"/>
    <n v="0"/>
    <n v="11536"/>
    <n v="11536"/>
    <n v="0"/>
    <x v="5"/>
    <s v="0.00%-0.00%"/>
    <m/>
    <m/>
    <m/>
    <m/>
    <n v="0"/>
    <n v="11536"/>
    <n v="0"/>
    <n v="0"/>
    <n v="14"/>
    <n v="450"/>
    <m/>
    <n v="688"/>
    <n v="167592"/>
    <n v="3"/>
    <m/>
    <m/>
    <m/>
    <s v="Song Qing (11015244)"/>
    <s v="Mo Xiaohong（11005372）"/>
    <s v="Wu Ellen"/>
    <m/>
    <m/>
    <m/>
    <s v="OK"/>
  </r>
  <r>
    <s v="CN15"/>
    <n v="11015244"/>
    <s v="宋 卿"/>
    <s v="Song Qing"/>
    <s v="Indirect Active"/>
    <s v="OP"/>
    <s v="CN/OP-RM"/>
    <s v="CN/OP-RME"/>
    <s v="121053"/>
    <d v="2012-08-01T00:00:00"/>
    <s v="Manager"/>
    <s v="Head of CN/OP-RME"/>
    <x v="3"/>
    <n v="2"/>
    <x v="2"/>
    <n v="31350"/>
    <n v="0"/>
    <n v="0"/>
    <n v="0"/>
    <n v="0"/>
    <n v="0"/>
    <n v="0"/>
    <n v="31350"/>
    <n v="31478"/>
    <n v="128"/>
    <x v="199"/>
    <s v="0.00%-0.00%"/>
    <m/>
    <m/>
    <m/>
    <m/>
    <n v="0"/>
    <n v="31478"/>
    <n v="128"/>
    <n v="4.0829346092503549E-3"/>
    <n v="14"/>
    <n v="450"/>
    <m/>
    <n v="688"/>
    <n v="446780"/>
    <n v="3"/>
    <m/>
    <s v="Recognition of Performance"/>
    <m/>
    <s v="Chen Lianrong（15022534）"/>
    <s v="Mo Xiaohong（11005372）"/>
    <s v="Wu Ellen"/>
    <m/>
    <m/>
    <m/>
    <s v="&gt;20"/>
  </r>
  <r>
    <s v="CN15"/>
    <n v="11018857"/>
    <s v="周 晓猛"/>
    <s v="Zhou Xiaomeng"/>
    <s v="Indirect Active"/>
    <s v="OP"/>
    <s v="CN/OP-RM"/>
    <s v="CN/OP-RME"/>
    <s v="121053"/>
    <d v="2021-10-11T00:00:00"/>
    <s v="Project Manager"/>
    <s v="Project Manager"/>
    <x v="0"/>
    <n v="2"/>
    <x v="2"/>
    <n v="22000"/>
    <n v="0"/>
    <n v="0"/>
    <n v="0"/>
    <n v="0"/>
    <n v="0"/>
    <n v="0"/>
    <n v="22000"/>
    <n v="22000"/>
    <n v="0"/>
    <x v="5"/>
    <s v="0.00%-0.00%"/>
    <m/>
    <m/>
    <m/>
    <m/>
    <n v="0"/>
    <n v="22000"/>
    <n v="0"/>
    <n v="0"/>
    <n v="14"/>
    <n v="450"/>
    <m/>
    <n v="688"/>
    <n v="314088"/>
    <n v="3"/>
    <m/>
    <m/>
    <m/>
    <s v="Song Qing (11015244)"/>
    <s v="Mo Xiaohong（11005372）"/>
    <s v="Wu Ellen"/>
    <m/>
    <m/>
    <m/>
    <s v="OK"/>
  </r>
  <r>
    <s v="CN15"/>
    <n v="11021165"/>
    <s v="沈 思源"/>
    <s v="Shen Fendi-Siyuan"/>
    <s v="Indirect Active"/>
    <s v="OP"/>
    <s v="CN/OP-RM"/>
    <s v="CN/OP-RMH"/>
    <s v="121054"/>
    <d v="2013-07-01T00:00:00"/>
    <s v="Manager"/>
    <s v="Head of CN/OP-RMH"/>
    <x v="3"/>
    <n v="2"/>
    <x v="0"/>
    <n v="23237"/>
    <n v="0.05"/>
    <n v="1162"/>
    <n v="2.7E-2"/>
    <n v="627"/>
    <n v="7.6989284331023797E-2"/>
    <n v="1789"/>
    <n v="25026"/>
    <n v="25000"/>
    <n v="1763"/>
    <x v="200"/>
    <s v="6.16%-9.24%"/>
    <m/>
    <m/>
    <m/>
    <m/>
    <n v="0"/>
    <n v="25000"/>
    <n v="1763"/>
    <n v="7.5870379136721677E-2"/>
    <n v="14"/>
    <n v="3012"/>
    <m/>
    <n v="688"/>
    <n v="386832"/>
    <n v="5"/>
    <m/>
    <m/>
    <m/>
    <s v="Chen Lianrong（15022534）"/>
    <s v="Mo Xiaohong（11005372）"/>
    <s v="Wu Ellen"/>
    <m/>
    <m/>
    <m/>
    <s v="OK"/>
  </r>
  <r>
    <s v="CN15"/>
    <n v="15012247"/>
    <s v="秦 嵘"/>
    <s v="Qin Rong"/>
    <s v="Indirect Active"/>
    <s v="OP"/>
    <s v="CN/OP-RM"/>
    <s v="CN/OP-RME"/>
    <s v="121053"/>
    <d v="2013-11-01T00:00:00"/>
    <s v="Functional Specialist"/>
    <s v="Functional Specialist"/>
    <x v="0"/>
    <n v="2"/>
    <x v="3"/>
    <n v="24700"/>
    <n v="0"/>
    <n v="0"/>
    <n v="0"/>
    <n v="0"/>
    <n v="0"/>
    <n v="0"/>
    <n v="24700"/>
    <n v="24700"/>
    <n v="0"/>
    <x v="5"/>
    <s v="0.00%-0.00%"/>
    <m/>
    <m/>
    <m/>
    <m/>
    <n v="0"/>
    <n v="24700"/>
    <n v="0"/>
    <n v="0"/>
    <n v="14"/>
    <n v="450"/>
    <m/>
    <n v="688"/>
    <n v="351888"/>
    <n v="3"/>
    <m/>
    <m/>
    <m/>
    <s v="Song Qing (11015244)"/>
    <s v="Mo Xiaohong（11005372）"/>
    <s v="Wu Ellen"/>
    <m/>
    <m/>
    <m/>
    <s v="OK"/>
  </r>
  <r>
    <s v="CN15"/>
    <n v="15014010"/>
    <s v="王 毅"/>
    <s v="Wang Yi"/>
    <s v="Indirect Active"/>
    <s v="OP"/>
    <s v="CN/OP-RM"/>
    <s v="CN/OP-RMNG"/>
    <s v="290104"/>
    <d v="2015-03-18T00:00:00"/>
    <s v="Manager"/>
    <s v="Manager"/>
    <x v="3"/>
    <n v="2"/>
    <x v="0"/>
    <n v="22000"/>
    <n v="0.06"/>
    <n v="1320"/>
    <n v="2.7E-2"/>
    <n v="594"/>
    <n v="8.6999999999999994E-2"/>
    <n v="1914"/>
    <n v="23914"/>
    <n v="23540"/>
    <n v="1540"/>
    <x v="31"/>
    <s v="6.96%-10.44%"/>
    <m/>
    <m/>
    <m/>
    <m/>
    <n v="0"/>
    <n v="23540"/>
    <n v="1540"/>
    <n v="7.0000000000000062E-2"/>
    <n v="14"/>
    <n v="450"/>
    <m/>
    <n v="688"/>
    <n v="335648"/>
    <n v="4"/>
    <m/>
    <m/>
    <m/>
    <s v="Chen Lianrong（15022534）"/>
    <s v="Mo Xiaohong（11005372）"/>
    <s v="Wu Ellen"/>
    <m/>
    <m/>
    <m/>
    <s v="OK"/>
  </r>
  <r>
    <s v="CN15"/>
    <n v="15015351"/>
    <s v="李 俊松"/>
    <s v="Li Junsong"/>
    <s v="Indirect Active"/>
    <s v="OP"/>
    <s v="CN/OP-RM"/>
    <s v="CN/OP-RM"/>
    <s v="121053"/>
    <d v="2016-06-15T00:00:00"/>
    <s v="Manager"/>
    <s v="HQ ES"/>
    <x v="3"/>
    <n v="2"/>
    <x v="3"/>
    <n v="35580"/>
    <n v="0"/>
    <n v="0"/>
    <n v="0"/>
    <n v="0"/>
    <n v="0"/>
    <n v="0"/>
    <n v="35580"/>
    <n v="35580"/>
    <n v="0"/>
    <x v="5"/>
    <s v="0.00%-0.00%"/>
    <m/>
    <m/>
    <m/>
    <m/>
    <n v="0"/>
    <n v="35580"/>
    <n v="0"/>
    <n v="0"/>
    <n v="14"/>
    <n v="450"/>
    <m/>
    <n v="688"/>
    <n v="504208"/>
    <n v="3"/>
    <m/>
    <m/>
    <m/>
    <s v="Chen Lianrong（15022534）"/>
    <s v="Mo Xiaohong（11005372）"/>
    <s v="Wu Ellen"/>
    <m/>
    <m/>
    <m/>
    <s v="OK"/>
  </r>
  <r>
    <s v="CN15"/>
    <n v="15022076"/>
    <s v="陈 海宁"/>
    <s v="Chen Haining"/>
    <s v="Indirect Active"/>
    <s v="OP"/>
    <s v="CN/OP-RM"/>
    <s v="CN/OP-RMNF"/>
    <s v="290300"/>
    <d v="2021-12-15T00:00:00"/>
    <s v="Senior Engineer"/>
    <s v="MEP Engineer"/>
    <x v="1"/>
    <n v="2"/>
    <x v="1"/>
    <n v="12700"/>
    <n v="3.7500000000000006E-2"/>
    <n v="476"/>
    <n v="1.55E-2"/>
    <n v="197"/>
    <n v="5.2992125984251966E-2"/>
    <n v="673"/>
    <n v="13373"/>
    <n v="12900"/>
    <n v="200"/>
    <x v="201"/>
    <s v="4.24%-6.36%"/>
    <m/>
    <m/>
    <m/>
    <m/>
    <n v="0"/>
    <n v="12900"/>
    <n v="200"/>
    <n v="1.5748031496062964E-2"/>
    <n v="14"/>
    <n v="450"/>
    <m/>
    <n v="688"/>
    <n v="186688"/>
    <n v="3"/>
    <m/>
    <m/>
    <m/>
    <s v="Chen Lianrong（15022534）"/>
    <s v="Mo Xiaohong（11005372）"/>
    <s v="Wu Ellen"/>
    <m/>
    <m/>
    <m/>
    <s v="&lt;20"/>
  </r>
  <r>
    <s v="CN15"/>
    <n v="15001949"/>
    <s v="葛 加国"/>
    <s v="Ge Jiaguo"/>
    <s v="Indirect Active"/>
    <s v="OP"/>
    <s v="CN/OP-RM"/>
    <s v="CN/OP-RMNG"/>
    <s v="290104"/>
    <d v="2008-08-22T00:00:00"/>
    <s v="Shift Leader"/>
    <s v="Security Shift Leader"/>
    <x v="4"/>
    <n v="2"/>
    <x v="2"/>
    <n v="9870"/>
    <n v="0"/>
    <n v="0"/>
    <n v="0"/>
    <n v="0"/>
    <n v="0"/>
    <n v="0"/>
    <n v="9870"/>
    <n v="9870"/>
    <n v="0"/>
    <x v="5"/>
    <s v="0.00%-0.00%"/>
    <m/>
    <m/>
    <m/>
    <m/>
    <n v="0"/>
    <n v="9870"/>
    <n v="0"/>
    <n v="0"/>
    <n v="14"/>
    <n v="450"/>
    <m/>
    <n v="688"/>
    <n v="144268"/>
    <n v="3"/>
    <m/>
    <m/>
    <m/>
    <s v="Chen Lianrong（15022534）"/>
    <s v="Mo Xiaohong（11005372）"/>
    <s v="Wu Ellen"/>
    <m/>
    <m/>
    <m/>
    <s v="OK"/>
  </r>
  <r>
    <s v="CN15"/>
    <n v="15018456"/>
    <s v="罗 慧"/>
    <s v="Luo Hui"/>
    <s v="Indirect Active"/>
    <s v="OP"/>
    <s v="CN/OP-RM"/>
    <s v="CN/OP-RMNG"/>
    <s v="290104"/>
    <d v="2017-11-03T00:00:00"/>
    <s v="Specialist"/>
    <s v="Specialist"/>
    <x v="2"/>
    <n v="2"/>
    <x v="1"/>
    <n v="6679"/>
    <n v="3.7500000000000006E-2"/>
    <n v="250"/>
    <n v="0"/>
    <n v="0"/>
    <n v="3.7430753106752507E-2"/>
    <n v="250"/>
    <n v="6929"/>
    <n v="7185"/>
    <n v="506"/>
    <x v="202"/>
    <s v="2.99%-4.49%"/>
    <m/>
    <m/>
    <m/>
    <m/>
    <n v="0"/>
    <n v="7185"/>
    <n v="506"/>
    <n v="7.5759844288067146E-2"/>
    <n v="14"/>
    <n v="450"/>
    <m/>
    <n v="688"/>
    <n v="106678"/>
    <n v="3"/>
    <m/>
    <s v="1.Optimized RMN internal purchasing process_x000a_2.Frame contract utility rate is top 3_x000a_3.SC order follow up professionally."/>
    <s v="Enlarged responsibilities with proven performance"/>
    <s v="Chen Lianrong（15022534）"/>
    <s v="Mo Xiaohong（11005372）"/>
    <s v="Wu Ellen"/>
    <m/>
    <m/>
    <m/>
    <s v="&gt;20"/>
  </r>
  <r>
    <s v="CN15"/>
    <n v="15022106"/>
    <s v="申 彧"/>
    <s v="Shen Yu"/>
    <s v="Indirect Active"/>
    <s v="OP"/>
    <s v="CN/OP-RM"/>
    <s v="CN/OP-RMNF"/>
    <s v="290300"/>
    <d v="2022-01-12T00:00:00"/>
    <s v="Senior Engineer"/>
    <s v="Civil Engineer"/>
    <x v="1"/>
    <n v="2"/>
    <x v="3"/>
    <n v="13520"/>
    <n v="0"/>
    <n v="0"/>
    <n v="0"/>
    <n v="0"/>
    <n v="0"/>
    <n v="0"/>
    <n v="13520"/>
    <n v="13520"/>
    <n v="0"/>
    <x v="5"/>
    <s v="0.00%-0.00%"/>
    <m/>
    <m/>
    <m/>
    <m/>
    <n v="0"/>
    <n v="13520"/>
    <n v="0"/>
    <n v="0"/>
    <n v="14"/>
    <n v="550"/>
    <m/>
    <n v="688"/>
    <n v="196568"/>
    <n v="5"/>
    <m/>
    <m/>
    <m/>
    <s v="Chen Lianrong（15022534）"/>
    <s v="Mo Xiaohong（11005372）"/>
    <s v="Wu Ellen"/>
    <m/>
    <m/>
    <m/>
    <s v="OK"/>
  </r>
  <r>
    <s v="CN15"/>
    <n v="15000274"/>
    <s v="盛 忠明"/>
    <s v="Sheng Zhongming"/>
    <s v="Indirect Active"/>
    <s v="OP"/>
    <s v="CN/OP-RM"/>
    <s v="CN/OP-RMNF"/>
    <s v="290300"/>
    <d v="2005-10-20T00:00:00"/>
    <s v="Engineer"/>
    <s v="Engineer"/>
    <x v="2"/>
    <n v="2"/>
    <x v="5"/>
    <n v="12735"/>
    <n v="0"/>
    <n v="0"/>
    <n v="0"/>
    <n v="0"/>
    <n v="0"/>
    <n v="0"/>
    <n v="12735"/>
    <n v="12735"/>
    <n v="0"/>
    <x v="5"/>
    <s v="0.00%-0.00%"/>
    <m/>
    <m/>
    <m/>
    <m/>
    <n v="0"/>
    <n v="12735"/>
    <n v="0"/>
    <n v="0"/>
    <n v="14"/>
    <n v="450"/>
    <m/>
    <n v="688"/>
    <n v="184378"/>
    <n v="4"/>
    <m/>
    <m/>
    <m/>
    <s v="Chen Lianrong（15022534）"/>
    <s v="Mo Xiaohong（11005372）"/>
    <s v="Wu Ellen"/>
    <m/>
    <m/>
    <m/>
    <s v="OK"/>
  </r>
  <r>
    <s v="CN15"/>
    <n v="15018979"/>
    <s v="臧 伟"/>
    <s v="Zang Wei"/>
    <s v="Indirect Active"/>
    <s v="OP"/>
    <s v="CN/OP-RM"/>
    <s v="CN/OP-RMNF"/>
    <s v="290300"/>
    <d v="2012-08-03T00:00:00"/>
    <s v="Engineer"/>
    <s v="DDC Engineer"/>
    <x v="2"/>
    <n v="2"/>
    <x v="2"/>
    <n v="10588"/>
    <n v="2.5000000000000001E-2"/>
    <n v="265"/>
    <n v="0"/>
    <n v="0"/>
    <n v="2.5028333962976955E-2"/>
    <n v="265"/>
    <n v="10853"/>
    <n v="10853"/>
    <n v="265"/>
    <x v="13"/>
    <s v="2.00%-3.00%"/>
    <m/>
    <m/>
    <m/>
    <m/>
    <n v="0"/>
    <n v="10853"/>
    <n v="265"/>
    <n v="2.5028333962976879E-2"/>
    <n v="14"/>
    <n v="450"/>
    <m/>
    <n v="688"/>
    <n v="158030"/>
    <n v="3"/>
    <m/>
    <m/>
    <m/>
    <s v="Chen Lianrong（15022534）"/>
    <s v="Mo Xiaohong（11005372）"/>
    <s v="Wu Ellen"/>
    <m/>
    <m/>
    <m/>
    <s v="OK"/>
  </r>
  <r>
    <s v="CN15"/>
    <n v="15004177"/>
    <s v="张 宏权"/>
    <s v="Zhang Hongquan"/>
    <s v="Indirect Active"/>
    <s v="OP"/>
    <s v="CN/OP-RM"/>
    <s v="CN/OP-RMNF"/>
    <s v="290300"/>
    <d v="2010-07-14T00:00:00"/>
    <s v="Junior Engineer"/>
    <s v="Junior Engineer"/>
    <x v="4"/>
    <n v="2"/>
    <x v="2"/>
    <n v="6725"/>
    <n v="0.03"/>
    <n v="202"/>
    <n v="0"/>
    <n v="0"/>
    <n v="3.0037174721189591E-2"/>
    <n v="202"/>
    <n v="6927"/>
    <n v="7200"/>
    <n v="475"/>
    <x v="203"/>
    <s v="2.40%-3.60%"/>
    <m/>
    <m/>
    <m/>
    <m/>
    <n v="0"/>
    <n v="7200"/>
    <n v="475"/>
    <n v="7.0631970260222943E-2"/>
    <n v="14"/>
    <n v="450"/>
    <m/>
    <n v="688"/>
    <n v="106888"/>
    <n v="2"/>
    <m/>
    <s v="1.Took over additional management work for special equipment, with excellent on-site management and implementation."/>
    <s v="Enlarged responsibilities with proven performance"/>
    <s v="Chen Lianrong（15022534）"/>
    <s v="Mo Xiaohong（11005372）"/>
    <s v="Wu Ellen"/>
    <m/>
    <m/>
    <m/>
    <s v="&gt;20"/>
  </r>
  <r>
    <s v="CN15"/>
    <n v="15013653"/>
    <s v="章 彬彬"/>
    <s v="Zhang Binbin"/>
    <s v="Indirect Active"/>
    <s v="OP"/>
    <s v="CN/OP-RM"/>
    <s v="CN/OP-RMNF"/>
    <s v="290300"/>
    <d v="2014-09-17T00:00:00"/>
    <s v="Senior Engineer"/>
    <s v="Senior Civil Engineer"/>
    <x v="1"/>
    <n v="2"/>
    <x v="1"/>
    <n v="12400"/>
    <n v="3.7500000000000006E-2"/>
    <n v="465"/>
    <n v="1.55E-2"/>
    <n v="192"/>
    <n v="5.2983870967741938E-2"/>
    <n v="657"/>
    <n v="13057"/>
    <n v="13180"/>
    <n v="780"/>
    <x v="204"/>
    <s v="4.24%-6.36%"/>
    <m/>
    <m/>
    <m/>
    <m/>
    <n v="0"/>
    <n v="13180"/>
    <n v="780"/>
    <n v="6.290322580645169E-2"/>
    <n v="14"/>
    <n v="450"/>
    <m/>
    <n v="688"/>
    <n v="190608"/>
    <n v="3"/>
    <m/>
    <m/>
    <m/>
    <s v="Chen Lianrong（15022534）"/>
    <s v="Mo Xiaohong（11005372）"/>
    <s v="Wu Ellen"/>
    <m/>
    <m/>
    <m/>
    <s v="OK"/>
  </r>
  <r>
    <s v="CN15"/>
    <n v="15013014"/>
    <s v="郑 玉阳"/>
    <s v="Zheng Yuyang"/>
    <s v="Indirect Active"/>
    <s v="OP"/>
    <s v="CN/OP-RM"/>
    <s v="CN/OP-RMNF"/>
    <s v="290300"/>
    <d v="2014-05-07T00:00:00"/>
    <s v="Senior Engineer"/>
    <s v="Senior Facility Engineer"/>
    <x v="1"/>
    <n v="2"/>
    <x v="0"/>
    <n v="12600"/>
    <n v="0.05"/>
    <n v="630"/>
    <n v="2.7E-2"/>
    <n v="340"/>
    <n v="7.6984126984126988E-2"/>
    <n v="970"/>
    <n v="13570"/>
    <n v="13400"/>
    <n v="800"/>
    <x v="205"/>
    <s v="6.16%-9.24%"/>
    <s v="Promotion"/>
    <s v="Functional Specialist"/>
    <s v="A6"/>
    <n v="8.4000000000000005E-2"/>
    <n v="1058"/>
    <n v="14458"/>
    <n v="1858"/>
    <n v="0.14746031746031751"/>
    <n v="14"/>
    <n v="450"/>
    <m/>
    <n v="688"/>
    <n v="208500"/>
    <n v="4"/>
    <m/>
    <s v="1. Take additional task as Sna Location Electrical Safety officer_x000a_2. From 2025.09.01, he took fire fighting system, air condition system in SCh ,and deliver good performance."/>
    <s v="Good performance and high potential"/>
    <s v="Chen Lianrong（15022534）"/>
    <s v="Mo Xiaohong（11005372）"/>
    <s v="Wu Ellen"/>
    <m/>
    <m/>
    <m/>
    <s v="OK"/>
  </r>
  <r>
    <s v="CN15"/>
    <n v="15016258"/>
    <s v="宗 楚玉"/>
    <s v="Zong Chuyu"/>
    <s v="Indirect Active"/>
    <s v="OP"/>
    <s v="CN/OP-RM"/>
    <s v="CN/OP-RMNG"/>
    <s v="290104"/>
    <d v="2016-12-19T00:00:00"/>
    <s v="Senior Specialist"/>
    <s v="Senior Specialist"/>
    <x v="1"/>
    <n v="2"/>
    <x v="2"/>
    <n v="9400"/>
    <n v="2.5000000000000001E-2"/>
    <n v="235"/>
    <n v="0"/>
    <n v="0"/>
    <n v="2.5000000000000001E-2"/>
    <n v="235"/>
    <n v="9635"/>
    <n v="9700"/>
    <n v="300"/>
    <x v="206"/>
    <s v="2.00%-3.00%"/>
    <m/>
    <m/>
    <m/>
    <m/>
    <n v="0"/>
    <n v="9700"/>
    <n v="300"/>
    <n v="3.1914893617021267E-2"/>
    <n v="14"/>
    <n v="450"/>
    <m/>
    <n v="688"/>
    <n v="141888"/>
    <n v="4"/>
    <m/>
    <m/>
    <m/>
    <s v="Chen Lianrong（15022534）"/>
    <s v="Mo Xiaohong（11005372）"/>
    <s v="Wu Ellen"/>
    <m/>
    <m/>
    <m/>
    <s v="OK"/>
  </r>
  <r>
    <s v="CN15"/>
    <n v="1320032"/>
    <s v="付 钢"/>
    <s v="Fu Gang"/>
    <s v="Indirect Active"/>
    <s v="OP"/>
    <s v="CN/OP-RM"/>
    <s v="CN/OP-RMC"/>
    <s v="290300"/>
    <d v="2013-11-18T00:00:00"/>
    <s v="Director"/>
    <s v="Head of Real Estate Management Site CZ"/>
    <x v="5"/>
    <n v="2"/>
    <x v="2"/>
    <n v="46478"/>
    <n v="2.5000000000000001E-2"/>
    <n v="1162"/>
    <n v="0"/>
    <n v="0"/>
    <n v="2.5001075777787339E-2"/>
    <n v="1162"/>
    <n v="47640"/>
    <n v="47500"/>
    <n v="1022"/>
    <x v="207"/>
    <s v="2.00%-3.00%"/>
    <m/>
    <m/>
    <m/>
    <m/>
    <n v="0"/>
    <n v="47500"/>
    <n v="1022"/>
    <n v="2.1988897973234556E-2"/>
    <n v="14"/>
    <n v="450"/>
    <n v="1000"/>
    <n v="688"/>
    <n v="683088"/>
    <n v="3"/>
    <m/>
    <m/>
    <m/>
    <s v="Chen Lianrong（15022534）"/>
    <s v="Mo Xiaohong（11005372）"/>
    <s v="Wu Ellen"/>
    <m/>
    <m/>
    <m/>
    <s v="OK"/>
  </r>
  <r>
    <s v="CN15"/>
    <n v="1150001"/>
    <s v="赵 标"/>
    <s v="Zhao Biao"/>
    <s v="Indirect Active"/>
    <s v="OP"/>
    <s v="SCh"/>
    <s v="FCLCh"/>
    <s v="310110"/>
    <d v="2015-08-17T00:00:00"/>
    <s v="Senior Director"/>
    <s v="Head of Factory Cooling Chuzhou"/>
    <x v="6"/>
    <n v="1"/>
    <x v="1"/>
    <n v="75809"/>
    <n v="8.3433644286953101E-2"/>
    <n v="6325"/>
    <n v="0"/>
    <n v="0"/>
    <n v="8.3433365431545073E-2"/>
    <n v="6325"/>
    <n v="82134"/>
    <n v="82000"/>
    <n v="6191"/>
    <x v="208"/>
    <s v="6.67%-10.01%"/>
    <m/>
    <m/>
    <m/>
    <m/>
    <n v="0"/>
    <n v="82000"/>
    <n v="6191"/>
    <n v="8.1665765278528868E-2"/>
    <n v="16"/>
    <n v="3950"/>
    <m/>
    <n v="0"/>
    <n v="1359400"/>
    <n v="3"/>
    <m/>
    <m/>
    <m/>
    <s v="Tan Tyler（11015792）"/>
    <s v="Wan Changju（15007713）"/>
    <s v="Zhao Chujun"/>
    <m/>
    <m/>
    <m/>
    <s v="OK"/>
  </r>
  <r>
    <s v="CN15"/>
    <n v="51200135"/>
    <s v="顾 银华"/>
    <s v="Gu Yinhua"/>
    <s v="Indirect Active"/>
    <s v="OP"/>
    <s v="SCh"/>
    <s v="FLCCh"/>
    <s v="340100"/>
    <d v="1996-09-01T00:00:00"/>
    <s v="Senior Director"/>
    <s v="Head of Factory Laundry Care Chuzhou"/>
    <x v="6"/>
    <n v="1"/>
    <x v="2"/>
    <n v="69530"/>
    <n v="2.5000000000000001E-2"/>
    <n v="1738"/>
    <n v="0"/>
    <n v="0"/>
    <n v="2.4996404429742557E-2"/>
    <n v="1738"/>
    <n v="71268"/>
    <n v="72000"/>
    <n v="2470"/>
    <x v="108"/>
    <s v="2.00%-3.00%"/>
    <m/>
    <m/>
    <m/>
    <m/>
    <n v="0"/>
    <n v="72000"/>
    <n v="2470"/>
    <n v="3.5524234143535116E-2"/>
    <n v="16"/>
    <n v="3450"/>
    <m/>
    <n v="0"/>
    <n v="1193400"/>
    <n v="3"/>
    <m/>
    <m/>
    <m/>
    <s v="Tan Tyler（11015792）"/>
    <s v="Wan Changju（15007713）"/>
    <s v="Zhao Chujun"/>
    <m/>
    <m/>
    <m/>
    <s v="OK"/>
  </r>
  <r>
    <s v="CN15"/>
    <n v="15010296"/>
    <s v="王 培"/>
    <s v="Wang Pei"/>
    <s v="Indirect Active"/>
    <s v="OP"/>
    <s v="SCh"/>
    <s v="SCh"/>
    <s v="390100"/>
    <d v="2013-05-14T00:00:00"/>
    <s v="Senior Project Manager"/>
    <s v="Senior Project Manager"/>
    <x v="3"/>
    <n v="2"/>
    <x v="0"/>
    <n v="21200"/>
    <n v="0.06"/>
    <n v="1272"/>
    <n v="2.7E-2"/>
    <n v="572"/>
    <n v="8.6981132075471701E-2"/>
    <n v="1844"/>
    <n v="23044"/>
    <n v="25000"/>
    <n v="3800"/>
    <x v="209"/>
    <s v="6.96%-10.44%"/>
    <m/>
    <m/>
    <m/>
    <m/>
    <n v="0"/>
    <n v="25000"/>
    <n v="3800"/>
    <n v="0.179245283018868"/>
    <n v="14"/>
    <n v="450"/>
    <m/>
    <n v="688"/>
    <n v="356088"/>
    <n v="4"/>
    <m/>
    <m/>
    <s v="Significantly enlarged responsibilities with proven performance"/>
    <s v="Tan Tyler（11015792）"/>
    <s v="Wan Changju（15007713）"/>
    <s v="Zhao Chujun"/>
    <m/>
    <m/>
    <m/>
    <s v="&gt;20"/>
  </r>
  <r>
    <s v="CN15"/>
    <n v="11017464"/>
    <s v="赵 宏旭"/>
    <s v="Zhao Hongxu"/>
    <s v="Indirect Active"/>
    <s v="OP"/>
    <s v="SCh"/>
    <s v="GPD-LCTC"/>
    <s v="140200"/>
    <d v="2017-09-15T00:00:00"/>
    <s v="Director"/>
    <s v="Head of Laundry Care Technology China"/>
    <x v="5"/>
    <n v="2"/>
    <x v="2"/>
    <n v="44400"/>
    <n v="2.5000000000000001E-2"/>
    <n v="1110"/>
    <n v="0"/>
    <n v="0"/>
    <n v="2.5000000000000001E-2"/>
    <n v="1110"/>
    <n v="45510"/>
    <n v="44400"/>
    <n v="0"/>
    <x v="5"/>
    <s v="2.00%-3.00%"/>
    <m/>
    <m/>
    <m/>
    <m/>
    <n v="0"/>
    <n v="44400"/>
    <n v="0"/>
    <n v="0"/>
    <n v="14"/>
    <n v="450"/>
    <n v="1000"/>
    <n v="688"/>
    <n v="639688"/>
    <n v="3"/>
    <m/>
    <m/>
    <s v="Internal balance"/>
    <s v="Tan Tyler（11015792）"/>
    <s v="Wan Changju（15007713）"/>
    <s v="Zhao Chujun"/>
    <m/>
    <m/>
    <m/>
    <s v="0 increase"/>
  </r>
  <r>
    <s v="CN15"/>
    <n v="1120400"/>
    <s v="刘 魁"/>
    <s v="Liu Kui"/>
    <s v="Indirect Active"/>
    <s v="OP"/>
    <s v="SCh"/>
    <s v="SCh-ME"/>
    <s v="290140"/>
    <d v="2025-11-28T00:00:00"/>
    <s v="Director"/>
    <s v="Head of Manufacturing Engineering"/>
    <x v="5"/>
    <n v="2"/>
    <x v="4"/>
    <n v="40000"/>
    <n v="2.5000000000000001E-2"/>
    <n v="1000"/>
    <n v="0"/>
    <n v="0"/>
    <n v="2.5000000000000001E-2"/>
    <n v="1000"/>
    <n v="41000"/>
    <n v="40000"/>
    <n v="0"/>
    <x v="5"/>
    <s v="2.00%-3.00%"/>
    <m/>
    <m/>
    <m/>
    <m/>
    <n v="0"/>
    <n v="40000"/>
    <n v="0"/>
    <n v="0"/>
    <n v="14"/>
    <n v="9050"/>
    <n v="1000"/>
    <n v="688"/>
    <n v="681288"/>
    <e v="#N/A"/>
    <m/>
    <m/>
    <s v="New joined/transferred employee (less than12 months)"/>
    <s v="Tan Tyler（11015792）"/>
    <s v="Wan Changju（15007713）"/>
    <s v="Zhao Chujun"/>
    <m/>
    <m/>
    <m/>
    <s v="0 increase"/>
  </r>
  <r>
    <s v="CN15"/>
    <n v="1115057"/>
    <s v="潘 玉琳"/>
    <s v="Pan Yulin"/>
    <s v="Indirect Active"/>
    <s v="OP"/>
    <s v="SCh"/>
    <s v="SCh"/>
    <s v="290140"/>
    <d v="1988-12-01T00:00:00"/>
    <s v="Labor Union Chairman"/>
    <s v="Head of Labor Union"/>
    <x v="3"/>
    <n v="2"/>
    <x v="1"/>
    <n v="26210"/>
    <n v="2.2499999999999999E-2"/>
    <n v="590"/>
    <n v="0"/>
    <n v="0"/>
    <n v="2.2510492178557804E-2"/>
    <n v="590"/>
    <n v="26800"/>
    <n v="27000"/>
    <n v="790"/>
    <x v="75"/>
    <s v="1.80%-2.70%"/>
    <m/>
    <m/>
    <m/>
    <m/>
    <n v="0"/>
    <n v="27000"/>
    <n v="790"/>
    <n v="3.0141167493323184E-2"/>
    <n v="14"/>
    <n v="450"/>
    <m/>
    <n v="688"/>
    <n v="384088"/>
    <n v="3"/>
    <m/>
    <m/>
    <s v="Good performance/talent"/>
    <s v="Tan Tyler（11015792）"/>
    <s v="Wan Changju（15007713）"/>
    <s v="Zhao Chujun"/>
    <m/>
    <m/>
    <m/>
    <s v="OK"/>
  </r>
  <r>
    <s v="CN15"/>
    <n v="1119108"/>
    <s v="宋 德亮"/>
    <s v="Song Deliang"/>
    <s v="Indirect Active"/>
    <s v="OP"/>
    <s v="SCh"/>
    <s v="SCh-PS"/>
    <s v="290143"/>
    <d v="2004-08-02T00:00:00"/>
    <s v="Supervisor"/>
    <s v="Supervisor of PS"/>
    <x v="0"/>
    <n v="2"/>
    <x v="2"/>
    <n v="15234"/>
    <n v="0.03"/>
    <n v="457"/>
    <n v="0"/>
    <n v="0"/>
    <n v="2.9998687147170803E-2"/>
    <n v="457"/>
    <n v="15691"/>
    <n v="15234"/>
    <n v="0"/>
    <x v="5"/>
    <s v="2.40%-3.60%"/>
    <m/>
    <m/>
    <m/>
    <m/>
    <n v="0"/>
    <n v="15234"/>
    <n v="0"/>
    <n v="0"/>
    <n v="14"/>
    <n v="600"/>
    <m/>
    <n v="688"/>
    <n v="221164"/>
    <n v="3"/>
    <m/>
    <m/>
    <m/>
    <s v="Tan Tyler（11015792）"/>
    <s v="Wan Changju（15007713）"/>
    <s v="Zhao Chujun"/>
    <m/>
    <m/>
    <m/>
    <s v="0 increase"/>
  </r>
  <r>
    <s v="CN15"/>
    <n v="1120003"/>
    <s v="费 忠喜"/>
    <s v="Fei Zhongxi"/>
    <s v="Indirect Active"/>
    <s v="OP"/>
    <s v="SCh"/>
    <s v="SCh-RC"/>
    <s v="190101"/>
    <d v="1991-08-01T00:00:00"/>
    <s v="Director"/>
    <s v="Head of Return Management Center"/>
    <x v="5"/>
    <n v="2"/>
    <x v="2"/>
    <n v="44060"/>
    <n v="0"/>
    <n v="0"/>
    <n v="0"/>
    <n v="0"/>
    <n v="0"/>
    <n v="0"/>
    <n v="44060"/>
    <n v="44060"/>
    <n v="0"/>
    <x v="5"/>
    <s v="0.00%-0.00%"/>
    <m/>
    <m/>
    <m/>
    <m/>
    <n v="0"/>
    <n v="44060"/>
    <n v="0"/>
    <n v="0"/>
    <n v="14"/>
    <n v="450"/>
    <n v="1000"/>
    <n v="688"/>
    <n v="634928"/>
    <n v="4"/>
    <m/>
    <m/>
    <m/>
    <s v="Tan Tyler（11015792）"/>
    <s v="Wan Changju（15007713）"/>
    <s v="Zhao Chujun"/>
    <m/>
    <m/>
    <m/>
    <s v="OK"/>
  </r>
  <r>
    <s v="CN15"/>
    <n v="1120097"/>
    <s v="蒋 小燕"/>
    <s v="Jiang Xiaoyan"/>
    <s v="Indirect Active"/>
    <s v="OP"/>
    <s v="SCh"/>
    <s v="SCh-ES"/>
    <s v="290135"/>
    <d v="2023-05-17T00:00:00"/>
    <s v="Manager"/>
    <s v="Head of Work Safety Management"/>
    <x v="3"/>
    <n v="2"/>
    <x v="2"/>
    <n v="23924"/>
    <n v="2.5000000000000001E-2"/>
    <n v="598"/>
    <n v="0"/>
    <n v="0"/>
    <n v="2.499582009697375E-2"/>
    <n v="598"/>
    <n v="24522"/>
    <n v="23924"/>
    <n v="0"/>
    <x v="5"/>
    <s v="2.00%-3.00%"/>
    <m/>
    <m/>
    <m/>
    <m/>
    <n v="0"/>
    <n v="23924"/>
    <n v="0"/>
    <n v="0"/>
    <n v="14"/>
    <n v="450"/>
    <m/>
    <n v="688"/>
    <n v="341024"/>
    <n v="4"/>
    <m/>
    <m/>
    <s v="Internal balance"/>
    <s v="Tan Tyler（11015792）"/>
    <s v="Wan Changju（15007713）"/>
    <s v="Zhao Chujun"/>
    <m/>
    <m/>
    <m/>
    <s v="0 increase"/>
  </r>
  <r>
    <s v="CN15"/>
    <n v="1120185"/>
    <s v="郝 喜东"/>
    <s v="Hao Xidong"/>
    <s v="Indirect Active"/>
    <s v="OP"/>
    <s v="SCh"/>
    <s v="SCh-ES"/>
    <s v="290135"/>
    <d v="2017-08-01T00:00:00"/>
    <s v="Senior Engineer"/>
    <s v="Senior EHS Engineer"/>
    <x v="1"/>
    <n v="2"/>
    <x v="2"/>
    <n v="13042"/>
    <n v="0"/>
    <n v="0"/>
    <n v="0"/>
    <n v="0"/>
    <n v="0"/>
    <n v="0"/>
    <n v="13042"/>
    <n v="13042"/>
    <n v="0"/>
    <x v="5"/>
    <s v="0.00%-0.00%"/>
    <m/>
    <m/>
    <m/>
    <m/>
    <n v="0"/>
    <n v="13042"/>
    <n v="0"/>
    <n v="0"/>
    <n v="14"/>
    <n v="850"/>
    <m/>
    <n v="688"/>
    <n v="193476"/>
    <n v="3"/>
    <m/>
    <m/>
    <m/>
    <s v="Tan Tyler（11015792）"/>
    <s v="Wan Changju（15007713）"/>
    <s v="Zhao Chujun"/>
    <m/>
    <m/>
    <m/>
    <s v="OK"/>
  </r>
  <r>
    <s v="CN15"/>
    <n v="1120261"/>
    <s v="里 爽"/>
    <s v="Li Shuang"/>
    <s v="Indirect Active"/>
    <s v="OP"/>
    <s v="SCh"/>
    <s v="SCh-ES"/>
    <s v="290135"/>
    <d v="2020-08-14T00:00:00"/>
    <s v="Senior Engineer"/>
    <s v="Senior Engineer"/>
    <x v="1"/>
    <n v="2"/>
    <x v="2"/>
    <n v="9602"/>
    <n v="2.5000000000000001E-2"/>
    <n v="240"/>
    <n v="0"/>
    <n v="0"/>
    <n v="2.4994792751510102E-2"/>
    <n v="240"/>
    <n v="9842"/>
    <n v="9602"/>
    <n v="0"/>
    <x v="5"/>
    <s v="2.00%-3.00%"/>
    <m/>
    <m/>
    <m/>
    <m/>
    <n v="0"/>
    <n v="9602"/>
    <n v="0"/>
    <n v="0"/>
    <n v="14"/>
    <n v="850"/>
    <m/>
    <n v="688"/>
    <n v="145316"/>
    <n v="4"/>
    <m/>
    <m/>
    <s v="Internal balance"/>
    <s v="Tan Tyler（11015792）"/>
    <s v="Wan Changju（15007713）"/>
    <s v="Zhao Chujun"/>
    <m/>
    <m/>
    <m/>
    <s v="0 increase"/>
  </r>
  <r>
    <s v="CN15"/>
    <n v="1120273"/>
    <s v="冯 倩"/>
    <s v="Feng Qian"/>
    <s v="Indirect Active"/>
    <s v="OP"/>
    <s v="SCh"/>
    <s v="SCh-ES"/>
    <s v="290135"/>
    <d v="2020-10-20T00:00:00"/>
    <s v="Functional Specialist"/>
    <s v="Functional Specialist"/>
    <x v="0"/>
    <n v="2"/>
    <x v="2"/>
    <n v="12302"/>
    <n v="0.03"/>
    <n v="369"/>
    <n v="0"/>
    <n v="0"/>
    <n v="2.9995122744269225E-2"/>
    <n v="369"/>
    <n v="12671"/>
    <n v="13808"/>
    <n v="1506"/>
    <x v="210"/>
    <s v="2.40%-3.60%"/>
    <m/>
    <m/>
    <m/>
    <m/>
    <n v="0"/>
    <n v="13808"/>
    <n v="1506"/>
    <n v="0.12241911884246459"/>
    <n v="14"/>
    <n v="450"/>
    <m/>
    <n v="688"/>
    <n v="199400"/>
    <n v="4"/>
    <m/>
    <m/>
    <m/>
    <s v="Tan Tyler（11015792）"/>
    <s v="Wan Changju（15007713）"/>
    <s v="Zhao Chujun"/>
    <m/>
    <m/>
    <m/>
    <s v="&gt;20"/>
  </r>
  <r>
    <s v="CN15"/>
    <n v="1120339"/>
    <s v="戴 田辉"/>
    <s v="Dai Tianhui"/>
    <s v="Indirect Active"/>
    <s v="OP"/>
    <s v="SCh"/>
    <s v="SCh-ES"/>
    <s v="290135"/>
    <d v="2021-08-04T00:00:00"/>
    <s v="Senior Engineer"/>
    <s v="Senior Engineer of Safety"/>
    <x v="1"/>
    <n v="2"/>
    <x v="0"/>
    <n v="11247"/>
    <n v="0.05"/>
    <n v="562"/>
    <n v="2.7E-2"/>
    <n v="304"/>
    <n v="7.6998310660620614E-2"/>
    <n v="866"/>
    <n v="12113"/>
    <n v="12000"/>
    <n v="753"/>
    <x v="211"/>
    <s v="6.16%-9.24%"/>
    <m/>
    <m/>
    <m/>
    <m/>
    <n v="0"/>
    <n v="12000"/>
    <n v="753"/>
    <n v="6.6951186983195576E-2"/>
    <n v="14"/>
    <n v="450"/>
    <m/>
    <n v="688"/>
    <n v="174088"/>
    <n v="5"/>
    <m/>
    <m/>
    <m/>
    <s v="Tan Tyler（11015792）"/>
    <s v="Wan Changju（15007713）"/>
    <s v="Zhao Chujun"/>
    <m/>
    <m/>
    <m/>
    <s v="OK"/>
  </r>
  <r>
    <s v="CN15"/>
    <n v="1120397"/>
    <s v="方 月"/>
    <s v="Fang Hedy-Yue"/>
    <s v="Indirect Active"/>
    <s v="OP"/>
    <s v="SCh"/>
    <s v="SCh"/>
    <s v="290140"/>
    <d v="2025-07-02T00:00:00"/>
    <s v="Senior Specialist"/>
    <s v="Senior Team Assistant"/>
    <x v="1"/>
    <n v="2"/>
    <x v="2"/>
    <n v="10500"/>
    <n v="2.5000000000000001E-2"/>
    <n v="263"/>
    <n v="0"/>
    <n v="0"/>
    <n v="2.5047619047619048E-2"/>
    <n v="263"/>
    <n v="10763"/>
    <n v="10500"/>
    <n v="0"/>
    <x v="5"/>
    <s v="2.00%-3.01%"/>
    <m/>
    <m/>
    <m/>
    <m/>
    <n v="0"/>
    <n v="10500"/>
    <n v="0"/>
    <n v="0"/>
    <n v="14"/>
    <n v="450"/>
    <m/>
    <n v="688"/>
    <n v="153088"/>
    <e v="#N/A"/>
    <m/>
    <m/>
    <s v="Internal balance"/>
    <s v="Tan Tyler（11015792）"/>
    <s v="Wan Changju（15007713）"/>
    <s v="Zhao Chujun"/>
    <m/>
    <m/>
    <m/>
    <s v="0 increase"/>
  </r>
  <r>
    <s v="CN15"/>
    <n v="1120399"/>
    <s v="张 莹"/>
    <s v="Zhang Zoe-Ying"/>
    <s v="Indirect Active"/>
    <s v="OP"/>
    <s v="SCh"/>
    <s v="SCh-ES"/>
    <s v="290135"/>
    <d v="2025-09-17T00:00:00"/>
    <s v="Senior Engineer"/>
    <s v="Senior EHS Engineer"/>
    <x v="1"/>
    <n v="2"/>
    <x v="2"/>
    <n v="14550"/>
    <n v="0"/>
    <n v="0"/>
    <n v="0"/>
    <n v="0"/>
    <n v="0"/>
    <n v="0"/>
    <n v="14550"/>
    <n v="14550"/>
    <n v="0"/>
    <x v="5"/>
    <s v="0.00%-0.00%"/>
    <m/>
    <m/>
    <m/>
    <m/>
    <n v="0"/>
    <n v="14550"/>
    <n v="0"/>
    <n v="0"/>
    <n v="14"/>
    <n v="450"/>
    <m/>
    <n v="688"/>
    <n v="209788"/>
    <e v="#N/A"/>
    <m/>
    <m/>
    <m/>
    <s v="Tan Tyler（11015792）"/>
    <s v="Wan Changju（15007713）"/>
    <s v="Zhao Chujun"/>
    <m/>
    <m/>
    <m/>
    <s v="OK"/>
  </r>
  <r>
    <s v="CN15"/>
    <n v="1610011"/>
    <s v="魏 玲"/>
    <s v="Wei Ling"/>
    <s v="Indirect Active"/>
    <s v="OP"/>
    <s v="SCh"/>
    <s v="SCh-ES"/>
    <s v="290135"/>
    <d v="2004-01-01T00:00:00"/>
    <s v="Engineer"/>
    <s v="Safety Engineer"/>
    <x v="2"/>
    <n v="2"/>
    <x v="2"/>
    <n v="9388"/>
    <n v="2.5000000000000001E-2"/>
    <n v="235"/>
    <n v="0"/>
    <n v="0"/>
    <n v="2.5031955688112485E-2"/>
    <n v="235"/>
    <n v="9623"/>
    <n v="9388"/>
    <n v="0"/>
    <x v="5"/>
    <s v="2.00%-3.00%"/>
    <m/>
    <m/>
    <m/>
    <m/>
    <n v="0"/>
    <n v="9388"/>
    <n v="0"/>
    <n v="0"/>
    <n v="14"/>
    <n v="450"/>
    <m/>
    <n v="688"/>
    <n v="137520"/>
    <n v="3"/>
    <m/>
    <m/>
    <s v="Internal balance"/>
    <s v="Tan Tyler（11015792）"/>
    <s v="Wan Changju（15007713）"/>
    <s v="Zhao Chujun"/>
    <m/>
    <m/>
    <m/>
    <s v="0 increase"/>
  </r>
  <r>
    <s v="CN15"/>
    <n v="1708055"/>
    <s v="张 原"/>
    <s v="Zhang Yuan"/>
    <s v="Indirect Active"/>
    <s v="OP"/>
    <s v="SCh"/>
    <s v="SCh-PS"/>
    <s v="290143"/>
    <d v="2011-08-09T00:00:00"/>
    <s v="Senior Specialist"/>
    <s v="Senior Specialist"/>
    <x v="1"/>
    <n v="2"/>
    <x v="1"/>
    <n v="6500"/>
    <n v="5.2500000000000005E-2"/>
    <n v="341"/>
    <n v="9.0300000000000005E-2"/>
    <n v="587"/>
    <n v="0.14276923076923076"/>
    <n v="928"/>
    <n v="7428"/>
    <n v="7500"/>
    <n v="1000"/>
    <x v="212"/>
    <s v="11.42%-17.13%"/>
    <m/>
    <m/>
    <m/>
    <m/>
    <n v="0"/>
    <n v="7500"/>
    <n v="1000"/>
    <n v="0.15384615384615374"/>
    <n v="14"/>
    <n v="450"/>
    <m/>
    <n v="688"/>
    <n v="111088"/>
    <n v="3"/>
    <m/>
    <m/>
    <m/>
    <s v="Tan Tyler（11015792）"/>
    <s v="Wan Changju（15007713）"/>
    <s v="Zhao Chujun"/>
    <m/>
    <m/>
    <m/>
    <s v="OK"/>
  </r>
  <r>
    <s v="CN15"/>
    <n v="1714002"/>
    <s v="吴 翔"/>
    <s v="Wu Xiang"/>
    <s v="Indirect Active"/>
    <s v="OP"/>
    <s v="SCh"/>
    <s v="SCh-ES"/>
    <s v="290135"/>
    <d v="2017-07-01T00:00:00"/>
    <s v="Engineer"/>
    <s v="Engineer"/>
    <x v="2"/>
    <n v="2"/>
    <x v="1"/>
    <n v="6851"/>
    <n v="4.4999999999999998E-2"/>
    <n v="308"/>
    <n v="4.2099999999999999E-2"/>
    <n v="288"/>
    <n v="8.6994599328565167E-2"/>
    <n v="596"/>
    <n v="7447"/>
    <n v="7500"/>
    <n v="649"/>
    <x v="213"/>
    <s v="6.96%-10.44%"/>
    <m/>
    <m/>
    <m/>
    <m/>
    <n v="0"/>
    <n v="7500"/>
    <n v="649"/>
    <n v="9.4730696248722879E-2"/>
    <n v="14"/>
    <n v="450"/>
    <m/>
    <n v="688"/>
    <n v="111088"/>
    <n v="3"/>
    <m/>
    <m/>
    <m/>
    <s v="Tan Tyler（11015792）"/>
    <s v="Wan Changju（15007713）"/>
    <s v="Zhao Chujun"/>
    <m/>
    <m/>
    <m/>
    <s v="OK"/>
  </r>
  <r>
    <s v="CN15"/>
    <n v="1110045"/>
    <s v="占 绍忠"/>
    <s v="Zhan Shaozhong"/>
    <s v="Indirect Active"/>
    <s v="OP"/>
    <s v="SCh"/>
    <s v="FCLCh-VBR"/>
    <s v="310400"/>
    <d v="2014-04-28T00:00:00"/>
    <s v="Supervisor"/>
    <s v="Head of FCLCh-VBR"/>
    <x v="0"/>
    <n v="2"/>
    <x v="2"/>
    <n v="17113"/>
    <n v="0"/>
    <n v="0"/>
    <n v="0"/>
    <n v="0"/>
    <n v="0"/>
    <n v="0"/>
    <n v="17113"/>
    <n v="17113"/>
    <n v="0"/>
    <x v="5"/>
    <s v="0.00%-0.00%"/>
    <m/>
    <m/>
    <m/>
    <m/>
    <n v="0"/>
    <n v="17113"/>
    <n v="0"/>
    <n v="0"/>
    <n v="14"/>
    <n v="900"/>
    <m/>
    <n v="688"/>
    <n v="251070"/>
    <n v="5"/>
    <m/>
    <m/>
    <m/>
    <s v="Zhao Biao（1150001）"/>
    <s v="Cao Wei（1114141）"/>
    <s v="Cheng Cheng"/>
    <m/>
    <m/>
    <m/>
    <s v="OK"/>
  </r>
  <r>
    <s v="CN15"/>
    <n v="1118214"/>
    <s v="梁 凯"/>
    <s v="Liang Kai"/>
    <s v="Indirect Active"/>
    <s v="OP"/>
    <s v="SCh"/>
    <s v="FCLCh-VB1"/>
    <s v="310400"/>
    <d v="2004-08-02T00:00:00"/>
    <s v="Supervisor"/>
    <s v="Head of FCLCh-VB1"/>
    <x v="0"/>
    <n v="2"/>
    <x v="2"/>
    <n v="15173"/>
    <n v="2.5000000000000001E-2"/>
    <n v="379"/>
    <n v="0"/>
    <n v="0"/>
    <n v="2.497858037303104E-2"/>
    <n v="379"/>
    <n v="15552"/>
    <n v="15552"/>
    <n v="379"/>
    <x v="13"/>
    <s v="2.00%-3.00%"/>
    <m/>
    <m/>
    <m/>
    <m/>
    <n v="0"/>
    <n v="15552"/>
    <n v="379"/>
    <n v="2.4978580373031134E-2"/>
    <n v="14"/>
    <n v="450"/>
    <m/>
    <n v="688"/>
    <n v="223816"/>
    <n v="5"/>
    <m/>
    <m/>
    <m/>
    <s v="Zhao Biao（1150001）"/>
    <s v="Cao Wei（1114141）"/>
    <s v="Cheng Cheng"/>
    <m/>
    <m/>
    <m/>
    <s v="OK"/>
  </r>
  <r>
    <s v="CN15"/>
    <n v="1118259"/>
    <s v="胡 宏波"/>
    <s v="Hu Hongbo"/>
    <s v="Indirect Active"/>
    <s v="OP"/>
    <s v="SCh"/>
    <s v="FCLCh-VB3"/>
    <s v="310400"/>
    <d v="2003-04-04T00:00:00"/>
    <s v="Supervisor"/>
    <s v="Head of FCLCh-VB3"/>
    <x v="0"/>
    <n v="2"/>
    <x v="1"/>
    <n v="14894"/>
    <n v="3.7500000000000006E-2"/>
    <n v="559"/>
    <n v="1.55E-2"/>
    <n v="231"/>
    <n v="5.3041493218745801E-2"/>
    <n v="790"/>
    <n v="15684"/>
    <n v="16380"/>
    <n v="1486"/>
    <x v="214"/>
    <s v="4.24%-6.36%"/>
    <m/>
    <m/>
    <m/>
    <m/>
    <n v="0"/>
    <n v="16380"/>
    <n v="1486"/>
    <n v="9.9771720155767518E-2"/>
    <n v="14"/>
    <n v="450"/>
    <m/>
    <n v="688"/>
    <n v="235408"/>
    <n v="5"/>
    <m/>
    <s v="High performer and responsible for a big production line with more than 350 direct employees, even can be promote to Band B"/>
    <m/>
    <s v="Zhao Biao（1150001）"/>
    <s v="Cao Wei（1114141）"/>
    <s v="Cheng Cheng"/>
    <m/>
    <m/>
    <m/>
    <s v="&gt;20"/>
  </r>
  <r>
    <s v="CN15"/>
    <n v="1120067"/>
    <s v="王 德利"/>
    <s v="Wang Deli"/>
    <s v="Indirect Active"/>
    <s v="OP"/>
    <s v="SCh"/>
    <s v="FCLCh-VB"/>
    <s v="310400"/>
    <d v="2007-04-28T00:00:00"/>
    <s v="Director"/>
    <s v="Head of FCLCh-VB"/>
    <x v="5"/>
    <n v="2"/>
    <x v="1"/>
    <n v="36610"/>
    <n v="3.7500000000000006E-2"/>
    <n v="1373"/>
    <n v="0"/>
    <n v="0"/>
    <n v="3.750341436765911E-2"/>
    <n v="1373"/>
    <n v="37983"/>
    <n v="37708"/>
    <n v="1098"/>
    <x v="11"/>
    <s v="3.00%-4.50%"/>
    <m/>
    <m/>
    <m/>
    <m/>
    <n v="0"/>
    <n v="37708"/>
    <n v="1098"/>
    <n v="2.9991805517618042E-2"/>
    <n v="14"/>
    <n v="950"/>
    <n v="1000"/>
    <n v="688"/>
    <n v="552000"/>
    <n v="4"/>
    <m/>
    <m/>
    <m/>
    <s v="Zhao Biao（1150001）"/>
    <s v="Cao Wei（1114141）"/>
    <s v="Cheng Cheng"/>
    <m/>
    <m/>
    <m/>
    <s v="OK"/>
  </r>
  <r>
    <s v="CN15"/>
    <n v="1213118"/>
    <s v="张 远峰"/>
    <s v="Zhang Yuanfeng"/>
    <s v="Indirect Active"/>
    <s v="OP"/>
    <s v="SCh"/>
    <s v="FCLCh-VB2"/>
    <s v="310400"/>
    <d v="2006-07-26T00:00:00"/>
    <s v="Supervisor"/>
    <s v="Head of FCLCh-VB2"/>
    <x v="0"/>
    <n v="2"/>
    <x v="0"/>
    <n v="17489"/>
    <n v="0.04"/>
    <n v="700"/>
    <n v="0"/>
    <n v="0"/>
    <n v="4.0025158671164733E-2"/>
    <n v="700"/>
    <n v="18189"/>
    <n v="18059"/>
    <n v="570"/>
    <x v="215"/>
    <s v="3.20%-4.80%"/>
    <s v="Promotion"/>
    <s v="FCLCh-VB2"/>
    <m/>
    <n v="0.1"/>
    <n v="1749"/>
    <n v="19808"/>
    <n v="2319"/>
    <n v="0.13259763279775849"/>
    <n v="14"/>
    <n v="450"/>
    <m/>
    <n v="688"/>
    <n v="283400"/>
    <n v="4"/>
    <m/>
    <s v="High performer and responsible for a big production line with more than 200 direct employees, promote to Band B"/>
    <m/>
    <s v="Zhao Biao（1150001）"/>
    <s v="Cao Wei（1114141）"/>
    <s v="Cheng Cheng"/>
    <m/>
    <m/>
    <m/>
    <s v="OK"/>
  </r>
  <r>
    <s v="CN15"/>
    <n v="1110056"/>
    <s v="刘 香莲"/>
    <s v="Liu Xianglian"/>
    <s v="Indirect Active"/>
    <s v="OP"/>
    <s v="SCh"/>
    <s v="FCLCh"/>
    <s v="310110"/>
    <d v="2017-09-20T00:00:00"/>
    <s v="Senior Team Assistant"/>
    <s v="Senior Team Assistant"/>
    <x v="1"/>
    <n v="2"/>
    <x v="1"/>
    <n v="11219"/>
    <n v="3.7500000000000006E-2"/>
    <n v="421"/>
    <n v="1.55E-2"/>
    <n v="174"/>
    <n v="5.3035029860058827E-2"/>
    <n v="595"/>
    <n v="11814"/>
    <n v="11814"/>
    <n v="595"/>
    <x v="40"/>
    <s v="4.24%-6.36%"/>
    <m/>
    <m/>
    <m/>
    <m/>
    <n v="0"/>
    <n v="11814"/>
    <n v="595"/>
    <n v="5.3035029860058813E-2"/>
    <n v="14"/>
    <n v="450"/>
    <m/>
    <n v="688"/>
    <n v="171484"/>
    <n v="4"/>
    <m/>
    <m/>
    <m/>
    <s v="Zhao Biao（1150001）"/>
    <s v="Cao Wei（1114141）"/>
    <s v="Cheng Cheng"/>
    <m/>
    <m/>
    <m/>
    <s v="OK"/>
  </r>
  <r>
    <s v="CN15"/>
    <n v="1120021"/>
    <s v="朱 晓宁"/>
    <s v="Zhu Xiaoning"/>
    <s v="Indirect Active"/>
    <s v="OP"/>
    <s v="SCh"/>
    <s v="FCLCh"/>
    <s v="310110"/>
    <d v="1994-07-01T00:00:00"/>
    <s v="Senior Engineer"/>
    <s v="TPM Senior Engineer"/>
    <x v="1"/>
    <n v="2"/>
    <x v="2"/>
    <n v="23796"/>
    <n v="0"/>
    <n v="0"/>
    <n v="0"/>
    <n v="0"/>
    <n v="0"/>
    <n v="0"/>
    <n v="23796"/>
    <n v="23796"/>
    <n v="0"/>
    <x v="5"/>
    <s v="0.00%-0.00%"/>
    <m/>
    <m/>
    <m/>
    <m/>
    <n v="0"/>
    <n v="23796"/>
    <n v="0"/>
    <n v="0"/>
    <n v="14"/>
    <n v="450"/>
    <m/>
    <n v="688"/>
    <n v="339232"/>
    <n v="3"/>
    <m/>
    <m/>
    <m/>
    <s v="Zhao Biao（1150001）"/>
    <s v="Cao Wei（1114141）"/>
    <s v="Cheng Cheng"/>
    <m/>
    <m/>
    <m/>
    <s v="OK"/>
  </r>
  <r>
    <s v="CN15"/>
    <n v="1120364"/>
    <s v="陈 建军"/>
    <s v="Chen Jianjun"/>
    <s v="Indirect Active"/>
    <s v="OP"/>
    <s v="SCh"/>
    <s v="FCLCh"/>
    <s v="310110"/>
    <d v="2021-11-17T00:00:00"/>
    <s v="Functional Specialist"/>
    <s v="Functional Specialist"/>
    <x v="0"/>
    <n v="2"/>
    <x v="0"/>
    <n v="20946"/>
    <n v="0.04"/>
    <n v="838"/>
    <n v="0"/>
    <n v="0"/>
    <n v="4.0007638689964674E-2"/>
    <n v="838"/>
    <n v="21784"/>
    <n v="21951"/>
    <n v="1005"/>
    <x v="216"/>
    <s v="3.20%-4.80%"/>
    <m/>
    <m/>
    <m/>
    <m/>
    <n v="0"/>
    <n v="21951"/>
    <n v="1005"/>
    <n v="4.7980521340590165E-2"/>
    <n v="14"/>
    <n v="450"/>
    <m/>
    <n v="688"/>
    <n v="313402"/>
    <n v="3"/>
    <m/>
    <m/>
    <m/>
    <s v="Zhao Biao（1150001）"/>
    <s v="Cao Wei（1114141）"/>
    <s v="Cheng Cheng"/>
    <m/>
    <m/>
    <m/>
    <s v="OK"/>
  </r>
  <r>
    <s v="CN15"/>
    <n v="1120152"/>
    <s v="杨 进"/>
    <s v="Yang Jin"/>
    <s v="Indirect Active"/>
    <s v="OP"/>
    <s v="SCh"/>
    <s v="FCLCh-NP"/>
    <s v="310206"/>
    <d v="2013-10-21T00:00:00"/>
    <s v="Senior Engineer"/>
    <s v="Senior Engineer of IE"/>
    <x v="1"/>
    <n v="2"/>
    <x v="2"/>
    <n v="14474"/>
    <n v="2.5000000000000001E-2"/>
    <n v="362"/>
    <n v="0"/>
    <n v="0"/>
    <n v="2.5010363410252867E-2"/>
    <n v="362"/>
    <n v="14836"/>
    <n v="14892"/>
    <n v="418"/>
    <x v="116"/>
    <s v="2.00%-3.00%"/>
    <m/>
    <m/>
    <m/>
    <m/>
    <n v="0"/>
    <n v="14892"/>
    <n v="418"/>
    <n v="2.887936990465656E-2"/>
    <n v="14"/>
    <n v="450"/>
    <m/>
    <n v="688"/>
    <n v="214576"/>
    <n v="5"/>
    <m/>
    <m/>
    <m/>
    <s v="Zhao Biao（1150001）"/>
    <s v="Cao Wei（1114141）"/>
    <s v="Cheng Cheng"/>
    <m/>
    <m/>
    <m/>
    <s v="OK"/>
  </r>
  <r>
    <s v="CN15"/>
    <n v="1120272"/>
    <s v="闫 程程"/>
    <s v="Yan Chengcheng"/>
    <s v="Indirect Active"/>
    <s v="OP"/>
    <s v="SCh"/>
    <s v="FCLCh-NP"/>
    <s v="310206"/>
    <d v="2020-10-14T00:00:00"/>
    <s v="Senior Engineer"/>
    <s v="Senior Engineer"/>
    <x v="1"/>
    <n v="2"/>
    <x v="1"/>
    <n v="10580"/>
    <n v="4.4999999999999998E-2"/>
    <n v="476"/>
    <n v="4.2099999999999999E-2"/>
    <n v="445"/>
    <n v="8.7051039697542534E-2"/>
    <n v="921"/>
    <n v="11501"/>
    <n v="11638"/>
    <n v="1058"/>
    <x v="217"/>
    <s v="6.96%-10.45%"/>
    <m/>
    <m/>
    <m/>
    <m/>
    <n v="0"/>
    <n v="11638"/>
    <n v="1058"/>
    <n v="0.10000000000000009"/>
    <n v="14"/>
    <n v="450"/>
    <m/>
    <n v="688"/>
    <n v="169020"/>
    <n v="3"/>
    <m/>
    <m/>
    <m/>
    <s v="Zhao Biao（1150001）"/>
    <s v="Cao Wei（1114141）"/>
    <s v="Cheng Cheng"/>
    <m/>
    <m/>
    <m/>
    <s v="OK"/>
  </r>
  <r>
    <s v="CN15"/>
    <n v="1705009"/>
    <s v="夏 梅"/>
    <s v="Xia Mei"/>
    <s v="Indirect Active"/>
    <s v="OP"/>
    <s v="SCh"/>
    <s v="FCLCh-NP"/>
    <s v="310206"/>
    <d v="2008-08-04T00:00:00"/>
    <s v="Project Manager"/>
    <s v="Project Manager"/>
    <x v="0"/>
    <n v="2"/>
    <x v="1"/>
    <n v="16525"/>
    <n v="4.4999999999999998E-2"/>
    <n v="744"/>
    <n v="4.2099999999999999E-2"/>
    <n v="696"/>
    <n v="8.7140695915279884E-2"/>
    <n v="1440"/>
    <n v="17965"/>
    <n v="17700"/>
    <n v="1175"/>
    <x v="218"/>
    <s v="6.97%-10.46%"/>
    <m/>
    <m/>
    <m/>
    <m/>
    <n v="0"/>
    <n v="17700"/>
    <n v="1175"/>
    <n v="7.1104387291981874E-2"/>
    <n v="14"/>
    <n v="450"/>
    <m/>
    <n v="688"/>
    <n v="253888"/>
    <n v="4"/>
    <m/>
    <m/>
    <m/>
    <s v="Zhao Biao（1150001）"/>
    <s v="Cao Wei（1114141）"/>
    <s v="Cheng Cheng"/>
    <m/>
    <m/>
    <m/>
    <s v="OK"/>
  </r>
  <r>
    <s v="CN15"/>
    <n v="1705053"/>
    <s v="吴 健"/>
    <s v="Wu Jian"/>
    <s v="Indirect Active"/>
    <s v="OP"/>
    <s v="SCh"/>
    <s v="FCLCh-NP"/>
    <s v="310206"/>
    <d v="2008-08-04T00:00:00"/>
    <s v="Manager"/>
    <s v="Head of FCLCh-NP"/>
    <x v="3"/>
    <n v="2"/>
    <x v="0"/>
    <n v="20245"/>
    <n v="0.05"/>
    <n v="1012"/>
    <n v="2.7E-2"/>
    <n v="547"/>
    <n v="7.7006668313163745E-2"/>
    <n v="1559"/>
    <n v="21804"/>
    <n v="22116"/>
    <n v="1871"/>
    <x v="219"/>
    <s v="6.16%-9.24%"/>
    <m/>
    <m/>
    <m/>
    <m/>
    <n v="0"/>
    <n v="22116"/>
    <n v="1871"/>
    <n v="9.24178809582612E-2"/>
    <n v="14"/>
    <n v="1950"/>
    <m/>
    <n v="688"/>
    <n v="333712"/>
    <n v="4"/>
    <m/>
    <m/>
    <m/>
    <s v="Zhao Biao（1150001）"/>
    <s v="Cao Wei（1114141）"/>
    <s v="Cheng Cheng"/>
    <m/>
    <m/>
    <m/>
    <s v="OK"/>
  </r>
  <r>
    <s v="CN15"/>
    <n v="1706025"/>
    <s v="夏 鹏"/>
    <s v="Xia Peng"/>
    <s v="Indirect Active"/>
    <s v="OP"/>
    <s v="SCh"/>
    <s v="FCLCh-NP"/>
    <s v="310206"/>
    <d v="2009-07-29T00:00:00"/>
    <s v="Engineer"/>
    <s v="Engineer"/>
    <x v="2"/>
    <n v="2"/>
    <x v="0"/>
    <n v="7980"/>
    <n v="0.06"/>
    <n v="479"/>
    <n v="7.7799999999999994E-2"/>
    <n v="621"/>
    <n v="0.13784461152882205"/>
    <n v="1100"/>
    <n v="9080"/>
    <n v="9080"/>
    <n v="1100"/>
    <x v="72"/>
    <s v="11.03%-16.54%"/>
    <m/>
    <m/>
    <m/>
    <m/>
    <n v="0"/>
    <n v="9080"/>
    <n v="1100"/>
    <n v="0.1378446115288221"/>
    <n v="14"/>
    <n v="450"/>
    <m/>
    <n v="688"/>
    <n v="133208"/>
    <n v="4"/>
    <m/>
    <m/>
    <m/>
    <s v="Zhao Biao（1150001）"/>
    <s v="Cao Wei（1114141）"/>
    <s v="Cheng Cheng"/>
    <m/>
    <m/>
    <m/>
    <s v="OK"/>
  </r>
  <r>
    <s v="CN15"/>
    <n v="1712016"/>
    <s v="冯 玉"/>
    <s v="Feng Yu"/>
    <s v="Indirect Active"/>
    <s v="OP"/>
    <s v="SCh"/>
    <s v="FCLCh-NP"/>
    <s v="310206"/>
    <d v="2015-07-09T00:00:00"/>
    <s v="Junior Engineer"/>
    <s v="Junior Engineer of IE"/>
    <x v="4"/>
    <n v="2"/>
    <x v="2"/>
    <n v="6600"/>
    <n v="0.03"/>
    <n v="198"/>
    <n v="0"/>
    <n v="0"/>
    <n v="0.03"/>
    <n v="198"/>
    <n v="6798"/>
    <n v="6828"/>
    <n v="228"/>
    <x v="105"/>
    <s v="2.40%-3.60%"/>
    <m/>
    <m/>
    <m/>
    <m/>
    <n v="0"/>
    <n v="6828"/>
    <n v="228"/>
    <n v="3.4545454545454435E-2"/>
    <n v="14"/>
    <n v="450"/>
    <m/>
    <n v="688"/>
    <n v="101680"/>
    <n v="3"/>
    <m/>
    <m/>
    <m/>
    <s v="Zhao Biao（1150001）"/>
    <s v="Cao Wei（1114141）"/>
    <s v="Cheng Cheng"/>
    <m/>
    <m/>
    <m/>
    <s v="OK"/>
  </r>
  <r>
    <s v="CN15"/>
    <n v="1117039"/>
    <s v="沈 培侠"/>
    <s v="Shen Peixia"/>
    <s v="Indirect Active"/>
    <s v="OP"/>
    <s v="SCh"/>
    <s v="FCLCh-VF"/>
    <s v="310401"/>
    <d v="1993-07-01T00:00:00"/>
    <s v="Senior Director"/>
    <s v="Head of FCLCh-VF"/>
    <x v="6"/>
    <n v="1"/>
    <x v="2"/>
    <n v="49218"/>
    <n v="0"/>
    <n v="0"/>
    <n v="0"/>
    <n v="0"/>
    <n v="0"/>
    <n v="0"/>
    <n v="49218"/>
    <n v="49218"/>
    <n v="0"/>
    <x v="5"/>
    <s v="0.00%-0.00%"/>
    <m/>
    <m/>
    <m/>
    <m/>
    <n v="0"/>
    <n v="49218"/>
    <n v="0"/>
    <n v="0"/>
    <n v="16"/>
    <n v="450"/>
    <n v="5000"/>
    <n v="0"/>
    <n v="852888"/>
    <n v="3"/>
    <m/>
    <m/>
    <m/>
    <s v="Zhao Biao（1150001）"/>
    <s v="Cao Wei（1114141）"/>
    <s v="Cheng Cheng"/>
    <m/>
    <m/>
    <m/>
    <s v="OK"/>
  </r>
  <r>
    <s v="CN15"/>
    <n v="1118190"/>
    <s v="俞 俊杰"/>
    <s v="Yu Junjie"/>
    <s v="Indirect Active"/>
    <s v="OP"/>
    <s v="SCh"/>
    <s v="FCLCh-VFC"/>
    <s v="310401"/>
    <d v="2003-07-21T00:00:00"/>
    <s v="Supervisor"/>
    <s v="Head of FCLCh-VFC"/>
    <x v="0"/>
    <n v="2"/>
    <x v="2"/>
    <n v="14127"/>
    <n v="2.5000000000000001E-2"/>
    <n v="353"/>
    <n v="0"/>
    <n v="0"/>
    <n v="2.4987612373469244E-2"/>
    <n v="353"/>
    <n v="14480"/>
    <n v="14480"/>
    <n v="353"/>
    <x v="13"/>
    <s v="2.00%-3.00%"/>
    <m/>
    <m/>
    <m/>
    <m/>
    <n v="0"/>
    <n v="14480"/>
    <n v="353"/>
    <n v="2.4987612373469137E-2"/>
    <n v="14"/>
    <n v="450"/>
    <m/>
    <n v="688"/>
    <n v="208808"/>
    <n v="3"/>
    <m/>
    <m/>
    <m/>
    <s v="Zhao Biao（1150001）"/>
    <s v="Cao Wei（1114141）"/>
    <s v="Cheng Cheng"/>
    <m/>
    <m/>
    <m/>
    <s v="OK"/>
  </r>
  <r>
    <s v="CN15"/>
    <n v="1120051"/>
    <s v="杨 吉宏"/>
    <s v="Yang Jihong"/>
    <s v="Indirect Active"/>
    <s v="OP"/>
    <s v="SCh"/>
    <s v="FCLCh-VFF"/>
    <s v="310401"/>
    <d v="2005-06-23T00:00:00"/>
    <s v="Manager"/>
    <s v="Head of FCLCh-VFF"/>
    <x v="3"/>
    <n v="2"/>
    <x v="2"/>
    <n v="28001"/>
    <n v="0"/>
    <n v="0"/>
    <n v="0"/>
    <n v="0"/>
    <n v="0"/>
    <n v="0"/>
    <n v="28001"/>
    <n v="28001"/>
    <n v="0"/>
    <x v="5"/>
    <s v="0.00%-0.00%"/>
    <m/>
    <m/>
    <m/>
    <m/>
    <n v="0"/>
    <n v="28001"/>
    <n v="0"/>
    <n v="0"/>
    <n v="14"/>
    <n v="450"/>
    <m/>
    <n v="688"/>
    <n v="398102"/>
    <n v="3"/>
    <m/>
    <m/>
    <m/>
    <s v="Zhao Biao（1150001）"/>
    <s v="Cao Wei（1114141）"/>
    <s v="Cheng Cheng"/>
    <m/>
    <m/>
    <m/>
    <s v="OK"/>
  </r>
  <r>
    <s v="CN15"/>
    <n v="1120055"/>
    <s v="刘 文胜"/>
    <s v="Liu Wensheng"/>
    <s v="Indirect Active"/>
    <s v="OP"/>
    <s v="SCh"/>
    <s v="FCLCh-VFM"/>
    <s v="310203"/>
    <d v="2005-11-07T00:00:00"/>
    <s v="Supervisor"/>
    <s v="Supervisor"/>
    <x v="0"/>
    <n v="2"/>
    <x v="5"/>
    <n v="15901"/>
    <n v="0"/>
    <n v="0"/>
    <n v="0"/>
    <n v="0"/>
    <n v="0"/>
    <n v="0"/>
    <n v="15901"/>
    <n v="15901"/>
    <n v="0"/>
    <x v="5"/>
    <s v="0.00%-0.00%"/>
    <m/>
    <m/>
    <m/>
    <m/>
    <n v="0"/>
    <n v="15901"/>
    <n v="0"/>
    <n v="0"/>
    <n v="14"/>
    <n v="450"/>
    <m/>
    <n v="688"/>
    <n v="228702"/>
    <n v="3"/>
    <s v="Written Warningx1"/>
    <m/>
    <m/>
    <s v="Zhao Biao（1150001）"/>
    <s v="Cao Wei（1114141）"/>
    <s v="Cheng Cheng"/>
    <m/>
    <m/>
    <m/>
    <s v="OK"/>
  </r>
  <r>
    <s v="CN15"/>
    <n v="1120199"/>
    <s v="杨 君芳"/>
    <s v="Yang Junfang"/>
    <s v="Indirect Active"/>
    <s v="OP"/>
    <s v="SCh"/>
    <s v="FCLCh-VS1"/>
    <s v="310401"/>
    <d v="2018-01-24T00:00:00"/>
    <s v="Supervisor"/>
    <s v="Head of FCLCh-VS1"/>
    <x v="0"/>
    <n v="2"/>
    <x v="1"/>
    <n v="15678"/>
    <n v="3.7500000000000006E-2"/>
    <n v="588"/>
    <n v="1.55E-2"/>
    <n v="243"/>
    <n v="5.3004209720627631E-2"/>
    <n v="831"/>
    <n v="16509"/>
    <n v="16509"/>
    <n v="831"/>
    <x v="40"/>
    <s v="4.24%-6.36%"/>
    <m/>
    <m/>
    <m/>
    <m/>
    <n v="0"/>
    <n v="16509"/>
    <n v="831"/>
    <n v="5.3004209720627582E-2"/>
    <n v="14"/>
    <n v="450"/>
    <m/>
    <n v="688"/>
    <n v="237214"/>
    <n v="5"/>
    <m/>
    <m/>
    <m/>
    <s v="Zhao Biao（1150001）"/>
    <s v="Cao Wei（1114141）"/>
    <s v="Cheng Cheng"/>
    <m/>
    <m/>
    <m/>
    <s v="OK"/>
  </r>
  <r>
    <s v="CN15"/>
    <n v="1132026"/>
    <s v="吴 非"/>
    <s v="Wu Fei"/>
    <s v="Indirect Active"/>
    <s v="OP"/>
    <s v="SCh"/>
    <s v="FCLCh-VFM"/>
    <s v="310203"/>
    <d v="1993-07-01T00:00:00"/>
    <s v="Manager"/>
    <s v="Head of FCLCh-VFM"/>
    <x v="3"/>
    <n v="2"/>
    <x v="3"/>
    <n v="24000"/>
    <n v="0"/>
    <n v="0"/>
    <n v="0"/>
    <n v="0"/>
    <n v="0"/>
    <n v="0"/>
    <n v="24000"/>
    <n v="24000"/>
    <n v="0"/>
    <x v="5"/>
    <s v="0.00%-0.00%"/>
    <m/>
    <m/>
    <m/>
    <m/>
    <n v="0"/>
    <n v="24000"/>
    <n v="0"/>
    <n v="0"/>
    <n v="14"/>
    <n v="450"/>
    <m/>
    <n v="688"/>
    <n v="342088"/>
    <n v="4"/>
    <s v="Written Warningx1"/>
    <m/>
    <m/>
    <s v="Zhao Biao（1150001）"/>
    <s v="Cao Wei（1114141）"/>
    <s v="Cheng Cheng"/>
    <m/>
    <m/>
    <m/>
    <s v="OK"/>
  </r>
  <r>
    <s v="CN15"/>
    <n v="1132119"/>
    <s v="马 儒林"/>
    <s v="Ma Rulin"/>
    <s v="Indirect Active"/>
    <s v="OP"/>
    <s v="SCh"/>
    <s v="FCLCh-VFM"/>
    <s v="310203"/>
    <d v="2007-06-18T00:00:00"/>
    <s v="Engineer"/>
    <s v="Engineer of Electric Program (SbS)"/>
    <x v="2"/>
    <n v="2"/>
    <x v="2"/>
    <n v="17608"/>
    <n v="0"/>
    <n v="0"/>
    <n v="0"/>
    <n v="0"/>
    <n v="0"/>
    <n v="0"/>
    <n v="17608"/>
    <n v="17608"/>
    <n v="0"/>
    <x v="5"/>
    <s v="0.00%-0.00%"/>
    <m/>
    <m/>
    <m/>
    <m/>
    <n v="0"/>
    <n v="17608"/>
    <n v="0"/>
    <n v="0"/>
    <n v="14"/>
    <n v="450"/>
    <m/>
    <n v="688"/>
    <n v="252600"/>
    <n v="3"/>
    <m/>
    <m/>
    <m/>
    <s v="Zhao Biao（1150001）"/>
    <s v="Cao Wei（1114141）"/>
    <s v="Cheng Cheng"/>
    <m/>
    <m/>
    <m/>
    <s v="OK"/>
  </r>
  <r>
    <s v="CN15"/>
    <n v="1132124"/>
    <s v="金 鑫"/>
    <s v="Jin Xin"/>
    <s v="Indirect Active"/>
    <s v="OP"/>
    <s v="SCh"/>
    <s v="FCLCh-VFM"/>
    <s v="310203"/>
    <d v="2003-07-21T00:00:00"/>
    <s v="Senior Engineer"/>
    <s v="Senior Engineer"/>
    <x v="1"/>
    <n v="2"/>
    <x v="1"/>
    <n v="12754"/>
    <n v="3.7500000000000006E-2"/>
    <n v="478"/>
    <n v="1.55E-2"/>
    <n v="198"/>
    <n v="5.3002979457425124E-2"/>
    <n v="676"/>
    <n v="13430"/>
    <n v="13430"/>
    <n v="676"/>
    <x v="40"/>
    <s v="4.24%-6.36%"/>
    <s v="Promotion"/>
    <s v="Funcation specialist"/>
    <m/>
    <n v="0.1"/>
    <n v="1275"/>
    <n v="14705"/>
    <n v="1951"/>
    <n v="0.15297161674768689"/>
    <n v="14"/>
    <n v="450"/>
    <m/>
    <n v="688"/>
    <n v="211958"/>
    <n v="3"/>
    <m/>
    <m/>
    <m/>
    <s v="Zhao Biao（1150001）"/>
    <s v="Cao Wei（1114141）"/>
    <s v="Cheng Cheng"/>
    <m/>
    <m/>
    <m/>
    <s v="OK"/>
  </r>
  <r>
    <s v="CN15"/>
    <n v="1132207"/>
    <s v="嵇 海敏"/>
    <s v="Ji Haimin"/>
    <s v="Indirect Active"/>
    <s v="OP"/>
    <s v="SCh"/>
    <s v="FCLCh-VFM"/>
    <s v="310203"/>
    <d v="2016-09-01T00:00:00"/>
    <s v="Senior Engineer"/>
    <s v="Senior Engineer of Electrical"/>
    <x v="1"/>
    <n v="2"/>
    <x v="2"/>
    <n v="13558"/>
    <n v="2.5000000000000001E-2"/>
    <n v="339"/>
    <n v="0"/>
    <n v="0"/>
    <n v="2.5003687859566307E-2"/>
    <n v="339"/>
    <n v="13897"/>
    <n v="13897"/>
    <n v="339"/>
    <x v="13"/>
    <s v="2.00%-3.00%"/>
    <m/>
    <m/>
    <m/>
    <m/>
    <n v="0"/>
    <n v="13897"/>
    <n v="339"/>
    <n v="2.5003687859566304E-2"/>
    <n v="14"/>
    <n v="850"/>
    <m/>
    <n v="688"/>
    <n v="205446"/>
    <n v="3"/>
    <m/>
    <m/>
    <m/>
    <s v="Zhao Biao（1150001）"/>
    <s v="Cao Wei（1114141）"/>
    <s v="Cheng Cheng"/>
    <m/>
    <m/>
    <m/>
    <s v="OK"/>
  </r>
  <r>
    <s v="CN15"/>
    <n v="1705014"/>
    <s v="周 荣山"/>
    <s v="Zhou Rongshan"/>
    <s v="Indirect Active"/>
    <s v="OP"/>
    <s v="SCh"/>
    <s v="FCLCh-VFM"/>
    <s v="310203"/>
    <d v="2008-08-04T00:00:00"/>
    <s v="Functional Specialist"/>
    <s v="Functional Specialist"/>
    <x v="0"/>
    <n v="2"/>
    <x v="2"/>
    <n v="13734"/>
    <n v="2.5000000000000001E-2"/>
    <n v="343"/>
    <n v="0"/>
    <n v="0"/>
    <n v="2.4974515800203875E-2"/>
    <n v="343"/>
    <n v="14077"/>
    <n v="14077"/>
    <n v="343"/>
    <x v="13"/>
    <s v="2.00%-3.00%"/>
    <m/>
    <m/>
    <m/>
    <m/>
    <n v="0"/>
    <n v="14077"/>
    <n v="343"/>
    <n v="2.4974515800203934E-2"/>
    <n v="14"/>
    <n v="450"/>
    <m/>
    <n v="688"/>
    <n v="203166"/>
    <n v="3"/>
    <m/>
    <m/>
    <m/>
    <s v="Zhao Biao（1150001）"/>
    <s v="Cao Wei（1114141）"/>
    <s v="Cheng Cheng"/>
    <m/>
    <m/>
    <m/>
    <s v="OK"/>
  </r>
  <r>
    <s v="CN15"/>
    <n v="1705036"/>
    <s v="郑 小东"/>
    <s v="Zheng Xiaodong"/>
    <s v="Indirect Active"/>
    <s v="OP"/>
    <s v="SCh"/>
    <s v="FCLCh-VFM"/>
    <s v="310203"/>
    <d v="2008-08-04T00:00:00"/>
    <s v="Supervisor"/>
    <s v="Supervisor"/>
    <x v="0"/>
    <n v="2"/>
    <x v="0"/>
    <n v="13933"/>
    <n v="0.06"/>
    <n v="836"/>
    <n v="7.7799999999999994E-2"/>
    <n v="1084"/>
    <n v="0.137802339768894"/>
    <n v="1920"/>
    <n v="15853"/>
    <n v="15853"/>
    <n v="1920"/>
    <x v="72"/>
    <s v="11.02%-16.54%"/>
    <m/>
    <m/>
    <m/>
    <m/>
    <n v="0"/>
    <n v="15853"/>
    <n v="1920"/>
    <n v="0.13780233976889389"/>
    <n v="14"/>
    <n v="450"/>
    <m/>
    <n v="688"/>
    <n v="228030"/>
    <n v="4"/>
    <m/>
    <m/>
    <m/>
    <s v="Zhao Biao（1150001）"/>
    <s v="Cao Wei（1114141）"/>
    <s v="Cheng Cheng"/>
    <m/>
    <m/>
    <m/>
    <s v="OK"/>
  </r>
  <r>
    <s v="CN15"/>
    <n v="1110043"/>
    <s v="张 超"/>
    <s v="Zhang Chao"/>
    <s v="Indirect Active"/>
    <s v="OP"/>
    <s v="SCh"/>
    <s v="FCLCh-MEA"/>
    <s v="310201"/>
    <d v="2013-10-25T00:00:00"/>
    <s v="Director"/>
    <s v="Head of FCLCh-MEA"/>
    <x v="5"/>
    <n v="2"/>
    <x v="2"/>
    <n v="28746"/>
    <n v="0.03"/>
    <n v="862"/>
    <n v="0"/>
    <n v="0"/>
    <n v="2.9986780769498365E-2"/>
    <n v="862"/>
    <n v="29608"/>
    <n v="29500"/>
    <n v="754"/>
    <x v="15"/>
    <s v="2.40%-3.60%"/>
    <m/>
    <m/>
    <m/>
    <m/>
    <n v="0"/>
    <n v="29500"/>
    <n v="754"/>
    <n v="2.6229736311139007E-2"/>
    <n v="14"/>
    <n v="950"/>
    <n v="1000"/>
    <n v="688"/>
    <n v="437088"/>
    <n v="5"/>
    <m/>
    <m/>
    <m/>
    <s v="Zhao Biao（1150001）"/>
    <s v="Cao Wei（1114141）"/>
    <s v="Cheng Cheng"/>
    <m/>
    <m/>
    <m/>
    <s v="OK"/>
  </r>
  <r>
    <s v="CN15"/>
    <n v="1120040"/>
    <s v="文 军"/>
    <s v="Wen Jun"/>
    <s v="Indirect Active"/>
    <s v="OP"/>
    <s v="SCh"/>
    <s v="FCLCh-ME"/>
    <s v="310110"/>
    <d v="2002-09-03T00:00:00"/>
    <s v="Senior Engineer"/>
    <s v="Senior Engineer of IE"/>
    <x v="1"/>
    <n v="2"/>
    <x v="2"/>
    <n v="15662"/>
    <n v="0"/>
    <n v="0"/>
    <n v="0"/>
    <n v="0"/>
    <n v="0"/>
    <n v="0"/>
    <n v="15662"/>
    <n v="15662"/>
    <n v="0"/>
    <x v="5"/>
    <s v="0.00%-0.00%"/>
    <m/>
    <m/>
    <m/>
    <m/>
    <n v="0"/>
    <n v="15662"/>
    <n v="0"/>
    <n v="0"/>
    <n v="14"/>
    <n v="450"/>
    <m/>
    <n v="688"/>
    <n v="225356"/>
    <n v="3"/>
    <m/>
    <m/>
    <m/>
    <s v="Zhao Biao（1150001）"/>
    <s v="Cao Wei（1114141）"/>
    <s v="Cheng Cheng"/>
    <m/>
    <m/>
    <m/>
    <s v="OK"/>
  </r>
  <r>
    <s v="CN15"/>
    <n v="1120066"/>
    <s v="黄 溢谊"/>
    <s v="Huang Yiyi"/>
    <s v="Indirect Active"/>
    <s v="OP"/>
    <s v="SCh"/>
    <s v="FCLCh-MET"/>
    <s v="310204"/>
    <d v="2007-03-23T00:00:00"/>
    <s v="Manager"/>
    <s v="Head of FCLCh-MET"/>
    <x v="3"/>
    <n v="2"/>
    <x v="2"/>
    <n v="22880"/>
    <n v="0.03"/>
    <n v="686"/>
    <n v="0"/>
    <n v="0"/>
    <n v="2.9982517482517481E-2"/>
    <n v="686"/>
    <n v="23566"/>
    <n v="23430"/>
    <n v="550"/>
    <x v="32"/>
    <s v="2.40%-3.60%"/>
    <m/>
    <m/>
    <m/>
    <m/>
    <n v="0"/>
    <n v="23430"/>
    <n v="550"/>
    <n v="2.4038461538461453E-2"/>
    <n v="14"/>
    <n v="900"/>
    <m/>
    <n v="688"/>
    <n v="339508"/>
    <n v="4"/>
    <m/>
    <m/>
    <m/>
    <s v="Zhao Biao（1150001）"/>
    <s v="Cao Wei（1114141）"/>
    <s v="Cheng Cheng"/>
    <m/>
    <m/>
    <m/>
    <s v="OK"/>
  </r>
  <r>
    <s v="CN15"/>
    <n v="1120140"/>
    <s v="胡 杰"/>
    <s v="Hu Jie"/>
    <s v="Indirect Active"/>
    <s v="OP"/>
    <s v="SCh"/>
    <s v="FCLCh-MEI"/>
    <s v="290134"/>
    <d v="2011-09-01T00:00:00"/>
    <s v="Manager"/>
    <s v="Head of FCLCh-MEI"/>
    <x v="3"/>
    <n v="2"/>
    <x v="2"/>
    <n v="24186"/>
    <n v="2.5000000000000001E-2"/>
    <n v="605"/>
    <n v="0"/>
    <n v="0"/>
    <n v="2.5014471181675348E-2"/>
    <n v="605"/>
    <n v="24791"/>
    <n v="24669"/>
    <n v="483"/>
    <x v="36"/>
    <s v="2.00%-3.00%"/>
    <m/>
    <m/>
    <m/>
    <m/>
    <n v="0"/>
    <n v="24669"/>
    <n v="483"/>
    <n v="1.9970230711982229E-2"/>
    <n v="14"/>
    <n v="450"/>
    <m/>
    <n v="688"/>
    <n v="351454"/>
    <n v="5"/>
    <m/>
    <m/>
    <m/>
    <s v="Zhao Biao（1150001）"/>
    <s v="Cao Wei（1114141）"/>
    <s v="Cheng Cheng"/>
    <m/>
    <m/>
    <m/>
    <s v="OK"/>
  </r>
  <r>
    <s v="CN15"/>
    <n v="1214051"/>
    <s v="靳 武卿"/>
    <s v="Jin Wuqing"/>
    <s v="Indirect Active"/>
    <s v="OP"/>
    <s v="SCh"/>
    <s v="FCLCh-MEW"/>
    <s v="290301"/>
    <d v="2008-07-09T00:00:00"/>
    <s v="Supervisor"/>
    <s v="Head of FCLCh-MEW"/>
    <x v="0"/>
    <n v="2"/>
    <x v="0"/>
    <n v="18500"/>
    <n v="0.05"/>
    <n v="925"/>
    <n v="2.7E-2"/>
    <n v="500"/>
    <n v="7.7027027027027031E-2"/>
    <n v="1425"/>
    <n v="19925"/>
    <n v="20325"/>
    <n v="1825"/>
    <x v="220"/>
    <s v="6.16%-9.24%"/>
    <s v="Promotion"/>
    <s v="Manager"/>
    <s v="B"/>
    <n v="0.05"/>
    <n v="925"/>
    <n v="21250"/>
    <n v="2750"/>
    <n v="0.14864864864864868"/>
    <n v="14"/>
    <n v="900"/>
    <m/>
    <n v="688"/>
    <n v="308988"/>
    <n v="5"/>
    <m/>
    <s v="High performer, global project, promotion and new step"/>
    <m/>
    <s v="Zhao Biao（1150001）"/>
    <s v="Cao Wei（1114141）"/>
    <s v="Cheng Cheng"/>
    <m/>
    <m/>
    <m/>
    <s v="OK"/>
  </r>
  <r>
    <s v="CN15"/>
    <n v="1120133"/>
    <s v="谢 东宁"/>
    <s v="Xie Dongning"/>
    <s v="Indirect Active"/>
    <s v="OP"/>
    <s v="SCh"/>
    <s v="GPD-CLA"/>
    <s v="190401"/>
    <d v="2011-05-30T00:00:00"/>
    <s v="Senior Engineer"/>
    <s v="Senior Engineer of NPI"/>
    <x v="1"/>
    <n v="2"/>
    <x v="2"/>
    <n v="15114"/>
    <n v="0"/>
    <n v="0"/>
    <n v="0"/>
    <n v="0"/>
    <n v="0"/>
    <n v="0"/>
    <n v="15114"/>
    <n v="15369"/>
    <n v="255"/>
    <x v="221"/>
    <s v="0.00%-0.00%"/>
    <m/>
    <m/>
    <m/>
    <m/>
    <n v="0"/>
    <n v="15369"/>
    <n v="255"/>
    <n v="1.6871774513695925E-2"/>
    <n v="14"/>
    <n v="850"/>
    <m/>
    <n v="688"/>
    <n v="226054"/>
    <n v="3"/>
    <m/>
    <s v="Discussed with global CLA head due to global responsibilites of team member"/>
    <m/>
    <s v="Zhao Biao（1150001）"/>
    <s v="Cao Wei（1114141）"/>
    <s v="Cheng Cheng"/>
    <m/>
    <m/>
    <m/>
    <s v="&gt;20"/>
  </r>
  <r>
    <s v="CN15"/>
    <n v="1132006"/>
    <s v="方 文存"/>
    <s v="Fang Wencun"/>
    <s v="Indirect Active"/>
    <s v="OP"/>
    <s v="SCh"/>
    <s v="GPD-CLA"/>
    <s v="190401"/>
    <d v="1992-07-01T00:00:00"/>
    <s v="Function Manager"/>
    <s v="Function Manager"/>
    <x v="3"/>
    <n v="2"/>
    <x v="2"/>
    <n v="24151"/>
    <n v="2.5000000000000001E-2"/>
    <n v="604"/>
    <n v="0"/>
    <n v="0"/>
    <n v="2.5009316384414722E-2"/>
    <n v="604"/>
    <n v="24755"/>
    <n v="24500"/>
    <n v="349"/>
    <x v="222"/>
    <s v="2.00%-3.00%"/>
    <m/>
    <m/>
    <m/>
    <m/>
    <n v="0"/>
    <n v="24500"/>
    <n v="349"/>
    <n v="1.4450747381060891E-2"/>
    <n v="14"/>
    <n v="450"/>
    <m/>
    <n v="688"/>
    <n v="349088"/>
    <n v="2"/>
    <m/>
    <s v="Discussed with global CLA head due to global responsibilites of team member"/>
    <m/>
    <s v="Zhao Biao（1150001）"/>
    <s v="Cao Wei（1114141）"/>
    <s v="Cheng Cheng"/>
    <m/>
    <m/>
    <m/>
    <s v="&lt;20"/>
  </r>
  <r>
    <s v="CN15"/>
    <n v="15006708"/>
    <s v="谢 强"/>
    <s v="Xie Qiang"/>
    <s v="Indirect Active"/>
    <s v="OP"/>
    <s v="SCh"/>
    <s v="FCLCh-MEA"/>
    <s v="310201"/>
    <d v="2011-07-13T00:00:00"/>
    <s v="Senior Engineer"/>
    <s v="Senior Industrial Engineer"/>
    <x v="1"/>
    <n v="2"/>
    <x v="3"/>
    <n v="10690"/>
    <n v="0"/>
    <n v="0"/>
    <n v="0"/>
    <n v="0"/>
    <n v="0"/>
    <n v="0"/>
    <n v="10690"/>
    <n v="10690"/>
    <n v="0"/>
    <x v="5"/>
    <s v="0.00%-0.00%"/>
    <m/>
    <m/>
    <m/>
    <m/>
    <n v="0"/>
    <n v="10690"/>
    <n v="0"/>
    <n v="0"/>
    <n v="14"/>
    <n v="450"/>
    <m/>
    <n v="688"/>
    <n v="155748"/>
    <n v="2"/>
    <m/>
    <m/>
    <m/>
    <s v="Zhao Biao（1150001）"/>
    <s v="Cao Wei（1114141）"/>
    <s v="Cheng Cheng"/>
    <m/>
    <m/>
    <m/>
    <s v="OK"/>
  </r>
  <r>
    <s v="CN15"/>
    <n v="1120127"/>
    <s v="汤 辉"/>
    <s v="Tang Hui"/>
    <s v="Indirect Active"/>
    <s v="OP"/>
    <s v="SCh"/>
    <s v="FCLCh-MEA"/>
    <s v="310201"/>
    <d v="2011-04-01T00:00:00"/>
    <s v="Senior Engineer"/>
    <s v="Senior IE Engineer"/>
    <x v="1"/>
    <n v="2"/>
    <x v="2"/>
    <n v="11695"/>
    <n v="2.5000000000000001E-2"/>
    <n v="292"/>
    <n v="0"/>
    <n v="0"/>
    <n v="2.4967935014963659E-2"/>
    <n v="292"/>
    <n v="11987"/>
    <n v="11695"/>
    <n v="0"/>
    <x v="5"/>
    <s v="2.00%-3.00%"/>
    <m/>
    <m/>
    <m/>
    <m/>
    <n v="0"/>
    <n v="11695"/>
    <n v="0"/>
    <n v="0"/>
    <n v="14"/>
    <n v="850"/>
    <m/>
    <n v="688"/>
    <n v="174618"/>
    <n v="3"/>
    <m/>
    <s v="Consider basic salary"/>
    <m/>
    <s v="Zhao Biao（1150001）"/>
    <s v="Cao Wei（1114141）"/>
    <s v="Cheng Cheng"/>
    <m/>
    <m/>
    <m/>
    <s v="0 increase"/>
  </r>
  <r>
    <s v="CN15"/>
    <n v="1120306"/>
    <s v="杨 信敏"/>
    <s v="Yang Xinmin"/>
    <s v="Indirect Active"/>
    <s v="OP"/>
    <s v="SCh"/>
    <s v="FCLCh-MEA"/>
    <s v="310201"/>
    <d v="2021-03-25T00:00:00"/>
    <s v="Engineer"/>
    <s v="IE Engineer"/>
    <x v="2"/>
    <n v="2"/>
    <x v="2"/>
    <n v="9195"/>
    <n v="2.5000000000000001E-2"/>
    <n v="230"/>
    <n v="0"/>
    <n v="0"/>
    <n v="2.5013594344752584E-2"/>
    <n v="230"/>
    <n v="9425"/>
    <n v="9195"/>
    <n v="0"/>
    <x v="5"/>
    <s v="2.00%-3.00%"/>
    <m/>
    <m/>
    <m/>
    <m/>
    <n v="0"/>
    <n v="9195"/>
    <n v="0"/>
    <n v="0"/>
    <n v="14"/>
    <n v="450"/>
    <m/>
    <n v="688"/>
    <n v="134818"/>
    <n v="3"/>
    <m/>
    <s v="Consider basic salary"/>
    <m/>
    <s v="Zhao Biao（1150001）"/>
    <s v="Cao Wei（1114141）"/>
    <s v="Cheng Cheng"/>
    <m/>
    <m/>
    <m/>
    <s v="0 increase"/>
  </r>
  <r>
    <s v="CN15"/>
    <n v="1120325"/>
    <s v="刘 京京"/>
    <s v="Liu Jingjing"/>
    <s v="Indirect Active"/>
    <s v="OP"/>
    <s v="SCh"/>
    <s v="FCLCh-MEA"/>
    <s v="310201"/>
    <d v="2021-05-31T00:00:00"/>
    <s v="Senior Engineer"/>
    <s v="Senior Engineer"/>
    <x v="1"/>
    <n v="2"/>
    <x v="2"/>
    <n v="13000"/>
    <n v="2.5000000000000001E-2"/>
    <n v="325"/>
    <n v="0"/>
    <n v="0"/>
    <n v="2.5000000000000001E-2"/>
    <n v="325"/>
    <n v="13325"/>
    <n v="13000"/>
    <n v="0"/>
    <x v="5"/>
    <s v="2.00%-3.00%"/>
    <m/>
    <m/>
    <m/>
    <m/>
    <n v="0"/>
    <n v="13000"/>
    <n v="0"/>
    <n v="0"/>
    <n v="14"/>
    <n v="450"/>
    <m/>
    <n v="688"/>
    <n v="188088"/>
    <n v="5"/>
    <m/>
    <s v="Consider basic salary"/>
    <m/>
    <s v="Zhao Biao（1150001）"/>
    <s v="Cao Wei（1114141）"/>
    <s v="Cheng Cheng"/>
    <m/>
    <m/>
    <m/>
    <s v="0 increase"/>
  </r>
  <r>
    <s v="CN15"/>
    <n v="1120349"/>
    <s v="陈 新同"/>
    <s v="Chen Xintong"/>
    <s v="Indirect Active"/>
    <s v="OP"/>
    <s v="SCh"/>
    <s v="FCLCh-MEA"/>
    <s v="310201"/>
    <d v="2021-09-06T00:00:00"/>
    <s v="Senior Engineer"/>
    <s v="Senior IE Engineer"/>
    <x v="1"/>
    <n v="2"/>
    <x v="2"/>
    <n v="11357"/>
    <n v="0.03"/>
    <n v="341"/>
    <n v="0"/>
    <n v="0"/>
    <n v="3.0025534912388834E-2"/>
    <n v="341"/>
    <n v="11698"/>
    <n v="11500"/>
    <n v="143"/>
    <x v="151"/>
    <s v="2.40%-3.60%"/>
    <m/>
    <m/>
    <m/>
    <m/>
    <n v="0"/>
    <n v="11500"/>
    <n v="143"/>
    <n v="1.2591353350356549E-2"/>
    <n v="14"/>
    <n v="450"/>
    <m/>
    <n v="688"/>
    <n v="167088"/>
    <n v="3"/>
    <m/>
    <s v="Consider basic salary"/>
    <m/>
    <s v="Zhao Biao（1150001）"/>
    <s v="Cao Wei（1114141）"/>
    <s v="Cheng Cheng"/>
    <m/>
    <m/>
    <m/>
    <s v="&lt;20"/>
  </r>
  <r>
    <s v="CN15"/>
    <n v="1120353"/>
    <s v="徐 迟"/>
    <s v="Xu Chi"/>
    <s v="Indirect Active"/>
    <s v="OP"/>
    <s v="SCh"/>
    <s v="FCLCh-MEA"/>
    <s v="310201"/>
    <d v="2021-09-13T00:00:00"/>
    <s v="Senior Engineer"/>
    <s v="Senior Engineer"/>
    <x v="1"/>
    <n v="2"/>
    <x v="2"/>
    <n v="9274"/>
    <n v="0.03"/>
    <n v="278"/>
    <n v="0"/>
    <n v="0"/>
    <n v="2.9976277765796852E-2"/>
    <n v="278"/>
    <n v="9552"/>
    <n v="10200"/>
    <n v="926"/>
    <x v="214"/>
    <s v="2.40%-3.60%"/>
    <m/>
    <m/>
    <m/>
    <m/>
    <n v="0"/>
    <n v="10200"/>
    <n v="926"/>
    <n v="9.9849040327798066E-2"/>
    <n v="14"/>
    <n v="450"/>
    <m/>
    <n v="688"/>
    <n v="148888"/>
    <n v="4"/>
    <m/>
    <s v="Future potential functional specialist"/>
    <m/>
    <s v="Zhao Biao（1150001）"/>
    <s v="Cao Wei（1114141）"/>
    <s v="Cheng Cheng"/>
    <m/>
    <m/>
    <m/>
    <s v="&gt;20"/>
  </r>
  <r>
    <s v="CN15"/>
    <n v="1120360"/>
    <s v="鲁 飞"/>
    <s v="Lu Fei"/>
    <s v="Indirect Active"/>
    <s v="OP"/>
    <s v="SCh"/>
    <s v="FCLCh-MEA"/>
    <s v="310201"/>
    <d v="2021-11-17T00:00:00"/>
    <s v="Engineer"/>
    <s v="IE Engineer"/>
    <x v="2"/>
    <n v="2"/>
    <x v="2"/>
    <n v="9465"/>
    <n v="2.5000000000000001E-2"/>
    <n v="237"/>
    <n v="0"/>
    <n v="0"/>
    <n v="2.5039619651347069E-2"/>
    <n v="237"/>
    <n v="9702"/>
    <n v="9715"/>
    <n v="250"/>
    <x v="223"/>
    <s v="2.00%-3.00%"/>
    <m/>
    <m/>
    <m/>
    <m/>
    <n v="0"/>
    <n v="9715"/>
    <n v="250"/>
    <n v="2.6413100898045494E-2"/>
    <n v="14"/>
    <n v="450"/>
    <m/>
    <n v="688"/>
    <n v="142098"/>
    <n v="4"/>
    <m/>
    <m/>
    <m/>
    <s v="Zhao Biao（1150001）"/>
    <s v="Cao Wei（1114141）"/>
    <s v="Cheng Cheng"/>
    <m/>
    <m/>
    <m/>
    <s v="OK"/>
  </r>
  <r>
    <s v="CN15"/>
    <n v="1120393"/>
    <s v="王 怡璇"/>
    <s v="Wang Yixuan"/>
    <s v="Indirect Active"/>
    <s v="OP"/>
    <s v="SCh"/>
    <s v="FCLCh-MEA"/>
    <s v="310201"/>
    <d v="2022-12-14T00:00:00"/>
    <s v="Engineer"/>
    <s v="IE Engineer"/>
    <x v="2"/>
    <n v="2"/>
    <x v="1"/>
    <n v="10312"/>
    <n v="3.7500000000000006E-2"/>
    <n v="387"/>
    <n v="0"/>
    <n v="0"/>
    <n v="3.7529092319627616E-2"/>
    <n v="387"/>
    <n v="10699"/>
    <n v="10312"/>
    <n v="0"/>
    <x v="5"/>
    <s v="3.00%-4.50%"/>
    <m/>
    <m/>
    <m/>
    <m/>
    <n v="0"/>
    <n v="10312"/>
    <n v="0"/>
    <n v="0"/>
    <n v="14"/>
    <n v="450"/>
    <m/>
    <n v="688"/>
    <n v="150456"/>
    <n v="3"/>
    <m/>
    <s v="Performance fell short of expactations"/>
    <m/>
    <s v="Zhao Biao（1150001）"/>
    <s v="Cao Wei（1114141）"/>
    <s v="Cheng Cheng"/>
    <m/>
    <m/>
    <m/>
    <s v="0 increase"/>
  </r>
  <r>
    <s v="CN15"/>
    <n v="1706029"/>
    <s v="王 蕾"/>
    <s v="Wang Lei"/>
    <s v="Indirect Active"/>
    <s v="OP"/>
    <s v="SCh"/>
    <s v="FCLCh-MEA"/>
    <s v="310201"/>
    <d v="2009-07-29T00:00:00"/>
    <s v="Engineer"/>
    <s v="Engineer"/>
    <x v="2"/>
    <n v="2"/>
    <x v="0"/>
    <n v="8050"/>
    <n v="0.06"/>
    <n v="483"/>
    <n v="2.7E-2"/>
    <n v="217"/>
    <n v="8.6956521739130432E-2"/>
    <n v="700"/>
    <n v="8750"/>
    <n v="9600"/>
    <n v="1550"/>
    <x v="224"/>
    <s v="6.96%-10.43%"/>
    <m/>
    <m/>
    <m/>
    <m/>
    <n v="0"/>
    <n v="9600"/>
    <n v="1550"/>
    <n v="0.19254658385093171"/>
    <n v="14"/>
    <n v="450"/>
    <m/>
    <n v="688"/>
    <n v="140488"/>
    <n v="3"/>
    <m/>
    <s v="High performance"/>
    <m/>
    <s v="Zhao Biao（1150001）"/>
    <s v="Cao Wei（1114141）"/>
    <s v="Cheng Cheng"/>
    <m/>
    <m/>
    <m/>
    <s v="&gt;20"/>
  </r>
  <r>
    <s v="CN15"/>
    <n v="1707015"/>
    <s v="蒋 梅"/>
    <s v="Jiang Mei"/>
    <s v="Indirect Active"/>
    <s v="OP"/>
    <s v="SCh"/>
    <s v="FCLCh-MEA"/>
    <s v="310201"/>
    <d v="2010-08-01T00:00:00"/>
    <s v="Engineer"/>
    <s v="Engineer"/>
    <x v="2"/>
    <n v="2"/>
    <x v="1"/>
    <n v="7774"/>
    <n v="3.7500000000000006E-2"/>
    <n v="292"/>
    <n v="1.55E-2"/>
    <n v="120"/>
    <n v="5.2997170054026238E-2"/>
    <n v="412"/>
    <n v="8186"/>
    <n v="8600"/>
    <n v="826"/>
    <x v="225"/>
    <s v="4.24%-6.36%"/>
    <m/>
    <m/>
    <m/>
    <m/>
    <n v="0"/>
    <n v="8600"/>
    <n v="826"/>
    <n v="0.10625160792384869"/>
    <n v="14"/>
    <n v="450"/>
    <m/>
    <n v="688"/>
    <n v="126488"/>
    <n v="3"/>
    <m/>
    <s v="Low basic salary and high performance in new role"/>
    <m/>
    <s v="Zhao Biao（1150001）"/>
    <s v="Cao Wei（1114141）"/>
    <s v="Cheng Cheng"/>
    <m/>
    <m/>
    <m/>
    <s v="&gt;20"/>
  </r>
  <r>
    <s v="CN15"/>
    <n v="1708038"/>
    <s v="朱 婷婷"/>
    <s v="Zhu Tingting"/>
    <s v="Indirect Active"/>
    <s v="OP"/>
    <s v="SCh"/>
    <s v="FCLCh-MEA"/>
    <s v="310201"/>
    <d v="2011-08-09T00:00:00"/>
    <s v="Engineer"/>
    <s v="Engineer"/>
    <x v="2"/>
    <n v="2"/>
    <x v="2"/>
    <n v="8789"/>
    <n v="2.5000000000000001E-2"/>
    <n v="220"/>
    <n v="0"/>
    <n v="0"/>
    <n v="2.5031289111389236E-2"/>
    <n v="220"/>
    <n v="9009"/>
    <n v="8789"/>
    <n v="0"/>
    <x v="5"/>
    <s v="2.00%-3.00%"/>
    <m/>
    <m/>
    <m/>
    <m/>
    <n v="0"/>
    <n v="8789"/>
    <n v="0"/>
    <n v="0"/>
    <n v="14"/>
    <n v="450"/>
    <m/>
    <n v="688"/>
    <n v="129134"/>
    <n v="3"/>
    <m/>
    <s v="EDSP box 7 and PL 3, not recommend to increace"/>
    <m/>
    <s v="Zhao Biao（1150001）"/>
    <s v="Cao Wei（1114141）"/>
    <s v="Cheng Cheng"/>
    <m/>
    <m/>
    <m/>
    <s v="0 increase"/>
  </r>
  <r>
    <s v="CN15"/>
    <n v="1709034"/>
    <s v="鲍 国玉"/>
    <s v="Bao Guoyu"/>
    <s v="Indirect Active"/>
    <s v="OP"/>
    <s v="SCh"/>
    <s v="FCLCh-MEA"/>
    <s v="310201"/>
    <d v="2012-07-25T00:00:00"/>
    <s v="Junior Engineer"/>
    <s v="Junior Time Management Engineer"/>
    <x v="4"/>
    <n v="2"/>
    <x v="2"/>
    <n v="7050"/>
    <n v="2.5000000000000001E-2"/>
    <n v="176"/>
    <n v="0"/>
    <n v="0"/>
    <n v="2.4964539007092199E-2"/>
    <n v="176"/>
    <n v="7226"/>
    <n v="7050"/>
    <n v="0"/>
    <x v="5"/>
    <s v="2.00%-3.00%"/>
    <m/>
    <m/>
    <m/>
    <m/>
    <n v="0"/>
    <n v="7050"/>
    <n v="0"/>
    <n v="0"/>
    <n v="14"/>
    <n v="450"/>
    <m/>
    <n v="688"/>
    <n v="104788"/>
    <n v="3"/>
    <m/>
    <s v="EDSP box 7 and PL 3, not recommend to increace"/>
    <m/>
    <s v="Zhao Biao（1150001）"/>
    <s v="Cao Wei（1114141）"/>
    <s v="Cheng Cheng"/>
    <m/>
    <m/>
    <m/>
    <s v="0 increase"/>
  </r>
  <r>
    <s v="CN15"/>
    <n v="1710062"/>
    <s v="牛 义"/>
    <s v="Niu Yi"/>
    <s v="Indirect Active"/>
    <s v="OP"/>
    <s v="SCh"/>
    <s v="FCLCh-MEA"/>
    <s v="310201"/>
    <d v="2013-07-05T00:00:00"/>
    <s v="Engineer"/>
    <s v="Engineer"/>
    <x v="2"/>
    <n v="2"/>
    <x v="1"/>
    <n v="9468"/>
    <n v="3.7500000000000006E-2"/>
    <n v="355"/>
    <n v="1.55E-2"/>
    <n v="147"/>
    <n v="5.3020701309674692E-2"/>
    <n v="502"/>
    <n v="9970"/>
    <n v="10000"/>
    <n v="532"/>
    <x v="226"/>
    <s v="4.24%-6.36%"/>
    <m/>
    <m/>
    <m/>
    <m/>
    <n v="0"/>
    <n v="10000"/>
    <n v="532"/>
    <n v="5.618926911702582E-2"/>
    <n v="14"/>
    <n v="550"/>
    <m/>
    <n v="688"/>
    <n v="147288"/>
    <n v="3"/>
    <m/>
    <m/>
    <m/>
    <s v="Zhao Biao（1150001）"/>
    <s v="Cao Wei（1114141）"/>
    <s v="Cheng Cheng"/>
    <m/>
    <m/>
    <m/>
    <s v="OK"/>
  </r>
  <r>
    <s v="CN15"/>
    <n v="1120236"/>
    <s v="王 朝霞"/>
    <s v="Wang zhaoxia"/>
    <s v="Indirect Active"/>
    <s v="OP"/>
    <s v="SCh"/>
    <s v="FCLCh-MEW"/>
    <s v="290301"/>
    <d v="2019-03-01T00:00:00"/>
    <s v="Engineer"/>
    <s v="Mould Engineer"/>
    <x v="2"/>
    <n v="2"/>
    <x v="1"/>
    <n v="9504"/>
    <n v="4.4999999999999998E-2"/>
    <n v="428"/>
    <n v="4.2099999999999999E-2"/>
    <n v="400"/>
    <n v="8.7121212121212127E-2"/>
    <n v="828"/>
    <n v="10332"/>
    <n v="10332"/>
    <n v="828"/>
    <x v="180"/>
    <s v="6.97%-10.45%"/>
    <m/>
    <m/>
    <m/>
    <m/>
    <n v="0"/>
    <n v="10332"/>
    <n v="828"/>
    <n v="8.7121212121212155E-2"/>
    <n v="14"/>
    <n v="450"/>
    <m/>
    <n v="688"/>
    <n v="150736"/>
    <n v="3"/>
    <m/>
    <m/>
    <m/>
    <s v="Zhao Biao（1150001）"/>
    <s v="Cao Wei（1114141）"/>
    <s v="Cheng Cheng"/>
    <m/>
    <m/>
    <m/>
    <s v="OK"/>
  </r>
  <r>
    <s v="CN15"/>
    <n v="1132015"/>
    <s v="陆 峰"/>
    <s v="Lu Feng"/>
    <s v="Indirect Active"/>
    <s v="OP"/>
    <s v="SCh"/>
    <s v="FCLCh-MEW"/>
    <s v="290301"/>
    <d v="1993-08-01T00:00:00"/>
    <s v="Engineer"/>
    <s v="Engineer of Foaming"/>
    <x v="2"/>
    <n v="2"/>
    <x v="5"/>
    <n v="8937"/>
    <n v="0"/>
    <n v="0"/>
    <n v="0"/>
    <n v="0"/>
    <n v="0"/>
    <n v="0"/>
    <n v="8937"/>
    <n v="8740"/>
    <n v="-197"/>
    <x v="227"/>
    <s v="0.00%-0.00%"/>
    <s v="Demotion"/>
    <s v="Mould make technician"/>
    <s v="Rank 44"/>
    <m/>
    <n v="0"/>
    <n v="8740"/>
    <n v="-197"/>
    <n v="-2.2043191227481218E-2"/>
    <n v="14"/>
    <n v="450"/>
    <m/>
    <n v="688"/>
    <n v="128448"/>
    <n v="1"/>
    <m/>
    <s v="Demotion"/>
    <s v="Salary adjustment letter already signed"/>
    <s v="Zhao Biao（1150001）"/>
    <s v="Cao Wei（1114141）"/>
    <s v="Cheng Cheng"/>
    <m/>
    <m/>
    <m/>
    <s v="&lt;20"/>
  </r>
  <r>
    <s v="CN15"/>
    <n v="1132205"/>
    <s v="邓 欣"/>
    <s v="Deng Xin"/>
    <s v="Indirect Active"/>
    <s v="OP"/>
    <s v="SCh"/>
    <s v="FCLCh-MEW"/>
    <s v="290301"/>
    <d v="2015-08-03T00:00:00"/>
    <s v="Functional Specialist"/>
    <s v="Functional Specialist"/>
    <x v="0"/>
    <n v="2"/>
    <x v="2"/>
    <n v="14985"/>
    <n v="2.5000000000000001E-2"/>
    <n v="375"/>
    <n v="0"/>
    <n v="0"/>
    <n v="2.5025025025025027E-2"/>
    <n v="375"/>
    <n v="15360"/>
    <n v="15360"/>
    <n v="375"/>
    <x v="13"/>
    <s v="2.00%-3.00%"/>
    <m/>
    <m/>
    <m/>
    <m/>
    <n v="0"/>
    <n v="15360"/>
    <n v="375"/>
    <n v="2.5025025025025016E-2"/>
    <n v="14"/>
    <n v="850"/>
    <m/>
    <n v="688"/>
    <n v="225928"/>
    <n v="5"/>
    <m/>
    <m/>
    <m/>
    <s v="Zhao Biao（1150001）"/>
    <s v="Cao Wei（1114141）"/>
    <s v="Cheng Cheng"/>
    <m/>
    <m/>
    <m/>
    <s v="OK"/>
  </r>
  <r>
    <s v="CN15"/>
    <n v="1120179"/>
    <s v="董 福兵"/>
    <s v="Dong Fubing"/>
    <s v="Indirect Active"/>
    <s v="OP"/>
    <s v="SCh"/>
    <s v="FCLCh-MEI"/>
    <s v="290134"/>
    <d v="2017-04-10T00:00:00"/>
    <s v="Engineer"/>
    <s v="Engineer"/>
    <x v="2"/>
    <n v="2"/>
    <x v="2"/>
    <n v="8780"/>
    <n v="2.5000000000000001E-2"/>
    <n v="220"/>
    <n v="0"/>
    <n v="0"/>
    <n v="2.5056947608200455E-2"/>
    <n v="220"/>
    <n v="9000"/>
    <n v="9200"/>
    <n v="420"/>
    <x v="228"/>
    <s v="2.00%-3.01%"/>
    <m/>
    <m/>
    <m/>
    <m/>
    <n v="0"/>
    <n v="9200"/>
    <n v="420"/>
    <n v="4.7835990888382751E-2"/>
    <n v="14"/>
    <n v="450"/>
    <m/>
    <n v="688"/>
    <n v="134888"/>
    <n v="3"/>
    <m/>
    <s v="Good performance, salary adjustment to better level"/>
    <m/>
    <s v="Zhao Biao（1150001）"/>
    <s v="Cao Wei（1114141）"/>
    <s v="Cheng Cheng"/>
    <m/>
    <m/>
    <m/>
    <s v="&gt;20"/>
  </r>
  <r>
    <s v="CN15"/>
    <n v="1120190"/>
    <s v="俞 勇"/>
    <s v="Yu Yong"/>
    <s v="Indirect Active"/>
    <s v="OP"/>
    <s v="SCh"/>
    <s v="FCLCh-MEI"/>
    <s v="290134"/>
    <d v="2017-11-17T00:00:00"/>
    <s v="Senior Engineer"/>
    <s v="MES Senior Engineer"/>
    <x v="1"/>
    <n v="2"/>
    <x v="2"/>
    <n v="16916"/>
    <n v="0"/>
    <n v="0"/>
    <n v="0"/>
    <n v="0"/>
    <n v="0"/>
    <n v="0"/>
    <n v="16916"/>
    <n v="16916"/>
    <n v="0"/>
    <x v="5"/>
    <s v="0.00%-0.00%"/>
    <m/>
    <m/>
    <m/>
    <m/>
    <n v="0"/>
    <n v="16916"/>
    <n v="0"/>
    <n v="0"/>
    <n v="14"/>
    <n v="450"/>
    <m/>
    <n v="688"/>
    <n v="242912"/>
    <n v="3"/>
    <m/>
    <m/>
    <m/>
    <s v="Zhao Biao（1150001）"/>
    <s v="Cao Wei（1114141）"/>
    <s v="Cheng Cheng"/>
    <m/>
    <m/>
    <m/>
    <s v="OK"/>
  </r>
  <r>
    <s v="CN15"/>
    <n v="1120231"/>
    <s v="邹 俊"/>
    <s v="Zou Jun"/>
    <s v="Indirect Active"/>
    <s v="OP"/>
    <s v="SCh"/>
    <s v="FCLCh-MEI"/>
    <s v="290134"/>
    <d v="2018-12-27T00:00:00"/>
    <s v="Associate Expert (CN)"/>
    <s v="Associate Expert (CN)"/>
    <x v="0"/>
    <n v="2"/>
    <x v="0"/>
    <n v="16862"/>
    <n v="0.06"/>
    <n v="1012"/>
    <n v="7.7799999999999994E-2"/>
    <n v="1312"/>
    <n v="0.13782469457952792"/>
    <n v="2324"/>
    <n v="19186"/>
    <n v="19000"/>
    <n v="2138"/>
    <x v="229"/>
    <s v="11.03%-16.54%"/>
    <m/>
    <m/>
    <m/>
    <m/>
    <n v="0"/>
    <n v="19000"/>
    <n v="2138"/>
    <n v="0.1267939746174831"/>
    <n v="14"/>
    <n v="450"/>
    <m/>
    <n v="688"/>
    <n v="272088"/>
    <n v="4"/>
    <m/>
    <m/>
    <m/>
    <s v="Zhao Biao（1150001）"/>
    <s v="Cao Wei（1114141）"/>
    <s v="Cheng Cheng"/>
    <m/>
    <m/>
    <m/>
    <s v="OK"/>
  </r>
  <r>
    <s v="CN15"/>
    <n v="1120267"/>
    <s v="程 明辉"/>
    <s v="Cheng Minghui"/>
    <s v="Indirect Active"/>
    <s v="OP"/>
    <s v="SCh"/>
    <s v="FCLCh-MEI"/>
    <s v="290134"/>
    <d v="2020-09-17T00:00:00"/>
    <s v="Functional Specialist"/>
    <s v="Functional Specialist"/>
    <x v="0"/>
    <n v="2"/>
    <x v="2"/>
    <n v="14782"/>
    <n v="0.03"/>
    <n v="443"/>
    <n v="0"/>
    <n v="0"/>
    <n v="2.9968881071573535E-2"/>
    <n v="443"/>
    <n v="15225"/>
    <n v="15225"/>
    <n v="443"/>
    <x v="11"/>
    <s v="2.40%-3.60%"/>
    <m/>
    <m/>
    <m/>
    <m/>
    <n v="0"/>
    <n v="15225"/>
    <n v="443"/>
    <n v="2.9968881071573472E-2"/>
    <n v="14"/>
    <n v="450"/>
    <m/>
    <n v="688"/>
    <n v="219238"/>
    <n v="3"/>
    <m/>
    <m/>
    <m/>
    <s v="Zhao Biao（1150001）"/>
    <s v="Cao Wei（1114141）"/>
    <s v="Cheng Cheng"/>
    <m/>
    <m/>
    <m/>
    <s v="OK"/>
  </r>
  <r>
    <s v="CN15"/>
    <n v="1211015"/>
    <s v="任 明珠"/>
    <s v="Ren Mingzhu"/>
    <s v="Indirect Active"/>
    <s v="OP"/>
    <s v="SCh"/>
    <s v="FCLCh-MEI"/>
    <s v="290134"/>
    <d v="2003-09-26T00:00:00"/>
    <s v="Manager"/>
    <s v="Function Manager"/>
    <x v="3"/>
    <n v="2"/>
    <x v="2"/>
    <n v="24174"/>
    <n v="2.5000000000000001E-2"/>
    <n v="604"/>
    <n v="0"/>
    <n v="0"/>
    <n v="2.4985521634814264E-2"/>
    <n v="604"/>
    <n v="24778"/>
    <n v="24174"/>
    <n v="0"/>
    <x v="5"/>
    <s v="2.00%-3.00%"/>
    <m/>
    <m/>
    <m/>
    <m/>
    <n v="0"/>
    <n v="24174"/>
    <n v="0"/>
    <n v="0"/>
    <n v="14"/>
    <n v="450"/>
    <m/>
    <n v="688"/>
    <n v="344524"/>
    <n v="4"/>
    <m/>
    <s v="Role in organization"/>
    <m/>
    <s v="Zhao Biao（1150001）"/>
    <s v="Cao Wei（1114141）"/>
    <s v="Cheng Cheng"/>
    <m/>
    <m/>
    <m/>
    <s v="0 increase"/>
  </r>
  <r>
    <s v="CN15"/>
    <n v="1711083"/>
    <s v="缠 倩倩"/>
    <s v="Chan Qianqian"/>
    <s v="Indirect Active"/>
    <s v="OP"/>
    <s v="SCh"/>
    <s v="FCLCh-MEI"/>
    <s v="290134"/>
    <d v="2012-07-09T00:00:00"/>
    <s v="Functional Specialist"/>
    <s v="Functional Specialist"/>
    <x v="0"/>
    <n v="2"/>
    <x v="1"/>
    <n v="11850"/>
    <n v="5.2500000000000005E-2"/>
    <n v="622"/>
    <n v="9.0300000000000005E-2"/>
    <n v="1070"/>
    <n v="0.14278481012658228"/>
    <n v="1692"/>
    <n v="13542"/>
    <n v="13000"/>
    <n v="1150"/>
    <x v="230"/>
    <s v="11.42%-17.13%"/>
    <m/>
    <m/>
    <m/>
    <m/>
    <n v="0"/>
    <n v="13000"/>
    <n v="1150"/>
    <n v="9.704641350210963E-2"/>
    <n v="14"/>
    <n v="850"/>
    <m/>
    <n v="688"/>
    <n v="192888"/>
    <n v="3"/>
    <m/>
    <s v="Good performance but not critcal processes, a little reduced"/>
    <m/>
    <s v="Zhao Biao（1150001）"/>
    <s v="Cao Wei（1114141）"/>
    <s v="Cheng Cheng"/>
    <m/>
    <m/>
    <m/>
    <s v="OK"/>
  </r>
  <r>
    <s v="CN15"/>
    <n v="1116073"/>
    <s v="王 敏"/>
    <s v="Wang Min"/>
    <s v="Indirect Active"/>
    <s v="OP"/>
    <s v="SCh"/>
    <s v="FCLCh-MET"/>
    <s v="310204"/>
    <d v="2005-08-02T00:00:00"/>
    <s v="Engineer"/>
    <s v="Thermoforming Engineer"/>
    <x v="2"/>
    <n v="2"/>
    <x v="0"/>
    <n v="8880"/>
    <n v="0.05"/>
    <n v="444"/>
    <n v="2.7E-2"/>
    <n v="240"/>
    <n v="7.7027027027027031E-2"/>
    <n v="684"/>
    <n v="9564"/>
    <n v="10200"/>
    <n v="1320"/>
    <x v="231"/>
    <s v="6.16%-9.24%"/>
    <s v="Promotion"/>
    <s v="senior engineer"/>
    <s v="A5"/>
    <n v="8.9700000000000002E-2"/>
    <n v="797"/>
    <n v="10997"/>
    <n v="2117"/>
    <n v="0.23840090090090094"/>
    <n v="14"/>
    <n v="450"/>
    <m/>
    <n v="688"/>
    <n v="160046"/>
    <n v="4"/>
    <m/>
    <s v="High performer, recognized in CL"/>
    <m/>
    <s v="Zhao Biao（1150001）"/>
    <s v="Cao Wei（1114141）"/>
    <s v="Cheng Cheng"/>
    <m/>
    <m/>
    <m/>
    <s v="&gt;20"/>
  </r>
  <r>
    <s v="CN15"/>
    <n v="1120071"/>
    <s v="梁 龙玉"/>
    <s v="Liang Longyu"/>
    <s v="Indirect Active"/>
    <s v="OP"/>
    <s v="SCh"/>
    <s v="FCLCh-MET"/>
    <s v="310204"/>
    <d v="2007-06-15T00:00:00"/>
    <s v="Functional Specialist"/>
    <s v="Functional Specialist"/>
    <x v="0"/>
    <n v="2"/>
    <x v="2"/>
    <n v="17720"/>
    <n v="2.5000000000000001E-2"/>
    <n v="443"/>
    <n v="0"/>
    <n v="0"/>
    <n v="2.5000000000000001E-2"/>
    <n v="443"/>
    <n v="18163"/>
    <n v="17897"/>
    <n v="177"/>
    <x v="87"/>
    <s v="2.00%-3.00%"/>
    <m/>
    <m/>
    <m/>
    <m/>
    <n v="0"/>
    <n v="17897"/>
    <n v="177"/>
    <n v="9.9887133182843257E-3"/>
    <n v="14"/>
    <n v="450"/>
    <m/>
    <n v="688"/>
    <n v="256646"/>
    <n v="3"/>
    <m/>
    <s v="EDSP box 7 and PL 3, increace less than recommend "/>
    <m/>
    <s v="Zhao Biao（1150001）"/>
    <s v="Cao Wei（1114141）"/>
    <s v="Cheng Cheng"/>
    <m/>
    <m/>
    <m/>
    <s v="&lt;20"/>
  </r>
  <r>
    <s v="CN15"/>
    <n v="1120073"/>
    <s v="张 玉朝"/>
    <s v="Zhang Yuchao"/>
    <s v="Indirect Active"/>
    <s v="OP"/>
    <s v="SCh"/>
    <s v="FCLCh-MET"/>
    <s v="310204"/>
    <d v="2007-09-26T00:00:00"/>
    <s v="Senior Engineer"/>
    <s v="Senior Engineer of Foaming"/>
    <x v="1"/>
    <n v="2"/>
    <x v="1"/>
    <n v="14899"/>
    <n v="0.03"/>
    <n v="447"/>
    <n v="0"/>
    <n v="0"/>
    <n v="3.0002013557956911E-2"/>
    <n v="447"/>
    <n v="15346"/>
    <n v="15256"/>
    <n v="357"/>
    <x v="32"/>
    <s v="2.40%-3.60%"/>
    <m/>
    <m/>
    <m/>
    <m/>
    <n v="0"/>
    <n v="15256"/>
    <n v="357"/>
    <n v="2.3961339687227357E-2"/>
    <n v="14"/>
    <n v="850"/>
    <m/>
    <n v="688"/>
    <n v="224472"/>
    <n v="3"/>
    <m/>
    <m/>
    <m/>
    <s v="Zhao Biao（1150001）"/>
    <s v="Cao Wei（1114141）"/>
    <s v="Cheng Cheng"/>
    <m/>
    <m/>
    <m/>
    <s v="OK"/>
  </r>
  <r>
    <s v="CN15"/>
    <n v="1120076"/>
    <s v="程 贺彬"/>
    <s v="Cheng Hebin"/>
    <s v="Indirect Active"/>
    <s v="OP"/>
    <s v="SCh"/>
    <s v="FCLCh-MET"/>
    <s v="310204"/>
    <d v="2007-12-06T00:00:00"/>
    <s v="Senior Engineer"/>
    <s v="Senior Punching, Laser Cutting Engineer"/>
    <x v="1"/>
    <n v="2"/>
    <x v="2"/>
    <n v="15793"/>
    <n v="0"/>
    <n v="0"/>
    <n v="0"/>
    <n v="0"/>
    <n v="0"/>
    <n v="0"/>
    <n v="15793"/>
    <n v="15793"/>
    <n v="0"/>
    <x v="5"/>
    <s v="0.00%-0.00%"/>
    <m/>
    <m/>
    <m/>
    <m/>
    <n v="0"/>
    <n v="15793"/>
    <n v="0"/>
    <n v="0"/>
    <n v="14"/>
    <n v="450"/>
    <m/>
    <n v="688"/>
    <n v="227190"/>
    <n v="4"/>
    <m/>
    <m/>
    <m/>
    <s v="Zhao Biao（1150001）"/>
    <s v="Cao Wei（1114141）"/>
    <s v="Cheng Cheng"/>
    <m/>
    <m/>
    <m/>
    <s v="OK"/>
  </r>
  <r>
    <s v="CN15"/>
    <n v="1120081"/>
    <s v="谢 忠林"/>
    <s v="Xie Zhonglin"/>
    <s v="Indirect Active"/>
    <s v="OP"/>
    <s v="SCh"/>
    <s v="FCLCh-MET"/>
    <s v="310204"/>
    <d v="2008-05-30T00:00:00"/>
    <s v="Senior Engineer"/>
    <s v="Senior Injection Molding Engineer"/>
    <x v="1"/>
    <n v="2"/>
    <x v="3"/>
    <n v="11650"/>
    <n v="0"/>
    <n v="0"/>
    <n v="0"/>
    <n v="0"/>
    <n v="0"/>
    <n v="0"/>
    <n v="11650"/>
    <n v="11650"/>
    <n v="0"/>
    <x v="5"/>
    <s v="0.00%-0.00%"/>
    <m/>
    <m/>
    <m/>
    <m/>
    <n v="0"/>
    <n v="11650"/>
    <n v="0"/>
    <n v="0"/>
    <n v="14"/>
    <n v="850"/>
    <m/>
    <n v="688"/>
    <n v="173988"/>
    <n v="3"/>
    <m/>
    <m/>
    <m/>
    <s v="Zhao Biao（1150001）"/>
    <s v="Cao Wei（1114141）"/>
    <s v="Cheng Cheng"/>
    <m/>
    <m/>
    <m/>
    <s v="OK"/>
  </r>
  <r>
    <s v="CN15"/>
    <n v="1120092"/>
    <s v="金 保国"/>
    <s v="Jin Baoguo"/>
    <s v="Indirect Active"/>
    <s v="OP"/>
    <s v="SCh"/>
    <s v="FCLCh-MET"/>
    <s v="310204"/>
    <d v="2008-11-28T00:00:00"/>
    <s v="Functional Specialist"/>
    <s v="Functional Specialist"/>
    <x v="0"/>
    <n v="2"/>
    <x v="1"/>
    <n v="19500"/>
    <n v="3.7500000000000006E-2"/>
    <n v="731"/>
    <n v="0"/>
    <n v="0"/>
    <n v="3.7487179487179487E-2"/>
    <n v="731"/>
    <n v="20231"/>
    <n v="20100"/>
    <n v="600"/>
    <x v="232"/>
    <s v="3.00%-4.50%"/>
    <m/>
    <m/>
    <m/>
    <m/>
    <n v="0"/>
    <n v="20100"/>
    <n v="600"/>
    <n v="3.076923076923066E-2"/>
    <n v="14"/>
    <n v="450"/>
    <m/>
    <n v="688"/>
    <n v="287488"/>
    <n v="3"/>
    <m/>
    <m/>
    <m/>
    <s v="Zhao Biao（1150001）"/>
    <s v="Cao Wei（1114141）"/>
    <s v="Cheng Cheng"/>
    <m/>
    <m/>
    <m/>
    <s v="OK"/>
  </r>
  <r>
    <s v="CN15"/>
    <n v="1120120"/>
    <s v="顾 巧时"/>
    <s v="Gu Qiaoshi"/>
    <s v="Indirect Active"/>
    <s v="OP"/>
    <s v="SCh"/>
    <s v="FCLCh-MET"/>
    <s v="310204"/>
    <d v="2011-02-23T00:00:00"/>
    <s v="Senior Engineer"/>
    <s v="Senior Metal Mold Engineer"/>
    <x v="1"/>
    <n v="2"/>
    <x v="3"/>
    <n v="11450"/>
    <n v="0"/>
    <n v="0"/>
    <n v="0"/>
    <n v="0"/>
    <n v="0"/>
    <n v="0"/>
    <n v="11450"/>
    <n v="11450"/>
    <n v="0"/>
    <x v="5"/>
    <s v="0.00%-0.00%"/>
    <m/>
    <m/>
    <m/>
    <m/>
    <n v="0"/>
    <n v="11450"/>
    <n v="0"/>
    <n v="0"/>
    <n v="14"/>
    <n v="850"/>
    <m/>
    <n v="688"/>
    <n v="171188"/>
    <n v="3"/>
    <m/>
    <m/>
    <m/>
    <s v="Zhao Biao（1150001）"/>
    <s v="Cao Wei（1114141）"/>
    <s v="Cheng Cheng"/>
    <m/>
    <m/>
    <m/>
    <s v="OK"/>
  </r>
  <r>
    <s v="CN15"/>
    <n v="1120123"/>
    <s v="孙 大伟"/>
    <s v="Sun Dawei"/>
    <s v="Indirect Active"/>
    <s v="OP"/>
    <s v="SCh"/>
    <s v="FCLCh-MET"/>
    <s v="310204"/>
    <d v="2011-03-01T00:00:00"/>
    <s v="Senior Engineer"/>
    <s v="Senior Engineer"/>
    <x v="1"/>
    <n v="2"/>
    <x v="2"/>
    <n v="10515"/>
    <n v="0.03"/>
    <n v="315"/>
    <n v="0"/>
    <n v="0"/>
    <n v="2.9957203994293864E-2"/>
    <n v="315"/>
    <n v="10830"/>
    <n v="10515"/>
    <n v="0"/>
    <x v="5"/>
    <s v="2.40%-3.59%"/>
    <m/>
    <m/>
    <m/>
    <m/>
    <n v="0"/>
    <n v="10515"/>
    <n v="0"/>
    <n v="0"/>
    <n v="14"/>
    <n v="850"/>
    <m/>
    <n v="688"/>
    <n v="158098"/>
    <n v="3"/>
    <m/>
    <s v="Low/middle performer EDSP2025"/>
    <m/>
    <s v="Zhao Biao（1150001）"/>
    <s v="Cao Wei（1114141）"/>
    <s v="Cheng Cheng"/>
    <m/>
    <m/>
    <m/>
    <s v="0 increase"/>
  </r>
  <r>
    <s v="CN15"/>
    <n v="1120124"/>
    <s v="林 冠军"/>
    <s v="Lin Guanjun"/>
    <s v="Indirect Active"/>
    <s v="OP"/>
    <s v="SCh"/>
    <s v="FCLCh-MET"/>
    <s v="310204"/>
    <d v="2011-03-04T00:00:00"/>
    <s v="Senior Engineer"/>
    <s v="Senior Foaming Engineer"/>
    <x v="1"/>
    <n v="2"/>
    <x v="2"/>
    <n v="12896"/>
    <n v="2.5000000000000001E-2"/>
    <n v="322"/>
    <n v="0"/>
    <n v="0"/>
    <n v="2.4968982630272953E-2"/>
    <n v="322"/>
    <n v="13218"/>
    <n v="12896"/>
    <n v="0"/>
    <x v="5"/>
    <s v="2.00%-3.00%"/>
    <m/>
    <m/>
    <m/>
    <m/>
    <n v="0"/>
    <n v="12896"/>
    <n v="0"/>
    <n v="0"/>
    <n v="14"/>
    <n v="450"/>
    <m/>
    <n v="688"/>
    <n v="186632"/>
    <n v="3"/>
    <m/>
    <s v="Low/middle performer EDSP2025"/>
    <m/>
    <s v="Zhao Biao（1150001）"/>
    <s v="Cao Wei（1114141）"/>
    <s v="Cheng Cheng"/>
    <m/>
    <m/>
    <m/>
    <s v="0 increase"/>
  </r>
  <r>
    <s v="CN15"/>
    <n v="1120143"/>
    <s v="王 珲"/>
    <s v="Wang Hui"/>
    <s v="Indirect Active"/>
    <s v="OP"/>
    <s v="SCh"/>
    <s v="FCLCh-MET"/>
    <s v="310204"/>
    <d v="2011-10-10T00:00:00"/>
    <s v="Senior Engineer"/>
    <s v="Senior Engineer"/>
    <x v="1"/>
    <n v="2"/>
    <x v="3"/>
    <n v="10300"/>
    <n v="0"/>
    <n v="0"/>
    <n v="0"/>
    <n v="0"/>
    <n v="0"/>
    <n v="0"/>
    <n v="10300"/>
    <n v="10300"/>
    <n v="0"/>
    <x v="5"/>
    <s v="0.00%-0.00%"/>
    <m/>
    <m/>
    <m/>
    <m/>
    <n v="0"/>
    <n v="10300"/>
    <n v="0"/>
    <n v="0"/>
    <n v="14"/>
    <n v="850"/>
    <m/>
    <n v="688"/>
    <n v="155088"/>
    <n v="3"/>
    <m/>
    <m/>
    <m/>
    <s v="Zhao Biao（1150001）"/>
    <s v="Cao Wei（1114141）"/>
    <s v="Cheng Cheng"/>
    <m/>
    <m/>
    <m/>
    <s v="OK"/>
  </r>
  <r>
    <s v="CN15"/>
    <n v="1120162"/>
    <s v="吴 庸"/>
    <s v="Wu Yong"/>
    <s v="Indirect Active"/>
    <s v="OP"/>
    <s v="SCh"/>
    <s v="FCLCh-MET"/>
    <s v="310204"/>
    <d v="2014-06-09T00:00:00"/>
    <s v="Associate Expert (CN)"/>
    <s v="Associate Expert (CN)"/>
    <x v="0"/>
    <n v="2"/>
    <x v="2"/>
    <n v="14427"/>
    <n v="0.03"/>
    <n v="433"/>
    <n v="0"/>
    <n v="0"/>
    <n v="3.0013169751161018E-2"/>
    <n v="433"/>
    <n v="14860"/>
    <n v="14427"/>
    <n v="0"/>
    <x v="5"/>
    <s v="2.40%-3.60%"/>
    <m/>
    <m/>
    <m/>
    <m/>
    <n v="0"/>
    <n v="14427"/>
    <n v="0"/>
    <n v="0"/>
    <n v="14"/>
    <n v="450"/>
    <m/>
    <n v="688"/>
    <n v="208066"/>
    <n v="3"/>
    <m/>
    <s v="Middle performer, budget better alocation to high performers"/>
    <m/>
    <s v="Zhao Biao（1150001）"/>
    <s v="Cao Wei（1114141）"/>
    <s v="Cheng Cheng"/>
    <m/>
    <m/>
    <m/>
    <s v="0 increase"/>
  </r>
  <r>
    <s v="CN15"/>
    <n v="1120196"/>
    <s v="陈 晨"/>
    <s v="Chen Chen"/>
    <s v="Indirect Active"/>
    <s v="OP"/>
    <s v="SCh"/>
    <s v="FCLCh-MET"/>
    <s v="310204"/>
    <d v="2017-12-25T00:00:00"/>
    <s v="Expert (CN)"/>
    <s v="Expert (CN)"/>
    <x v="3"/>
    <n v="2"/>
    <x v="2"/>
    <n v="17480"/>
    <n v="0.03"/>
    <n v="524"/>
    <n v="0"/>
    <n v="0"/>
    <n v="2.9977116704805493E-2"/>
    <n v="524"/>
    <n v="18004"/>
    <n v="19228"/>
    <n v="1748"/>
    <x v="217"/>
    <s v="2.40%-3.60%"/>
    <m/>
    <m/>
    <m/>
    <m/>
    <n v="0"/>
    <n v="19228"/>
    <n v="1748"/>
    <n v="0.10000000000000009"/>
    <n v="14"/>
    <n v="450"/>
    <m/>
    <n v="688"/>
    <n v="275280"/>
    <n v="4"/>
    <m/>
    <s v="Critical expert for CL"/>
    <m/>
    <s v="Zhao Biao（1150001）"/>
    <s v="Cao Wei（1114141）"/>
    <s v="Cheng Cheng"/>
    <m/>
    <m/>
    <m/>
    <s v="&gt;20"/>
  </r>
  <r>
    <s v="CN15"/>
    <n v="1120225"/>
    <s v="桂 全"/>
    <s v="Gui Quan"/>
    <s v="Indirect Active"/>
    <s v="OP"/>
    <s v="SCh"/>
    <s v="FCLCh-MET"/>
    <s v="310204"/>
    <d v="2018-07-30T00:00:00"/>
    <s v="Senior Engineer"/>
    <s v="Senior Engineer"/>
    <x v="1"/>
    <n v="2"/>
    <x v="2"/>
    <n v="10285"/>
    <n v="0.03"/>
    <n v="309"/>
    <n v="0"/>
    <n v="0"/>
    <n v="3.0043753038405445E-2"/>
    <n v="309"/>
    <n v="10594"/>
    <n v="10594"/>
    <n v="309"/>
    <x v="11"/>
    <s v="2.40%-3.61%"/>
    <m/>
    <m/>
    <m/>
    <m/>
    <n v="0"/>
    <n v="10594"/>
    <n v="309"/>
    <n v="3.0043753038405452E-2"/>
    <n v="14"/>
    <n v="450"/>
    <m/>
    <n v="688"/>
    <n v="154404"/>
    <n v="3"/>
    <m/>
    <m/>
    <m/>
    <s v="Zhao Biao（1150001）"/>
    <s v="Cao Wei（1114141）"/>
    <s v="Cheng Cheng"/>
    <m/>
    <m/>
    <m/>
    <s v="OK"/>
  </r>
  <r>
    <s v="CN15"/>
    <n v="1120374"/>
    <s v="张 道其"/>
    <s v="Zhang Daoqi"/>
    <s v="Indirect Active"/>
    <s v="OP"/>
    <s v="SCh"/>
    <s v="FCLCh-MET"/>
    <s v="310204"/>
    <d v="2021-12-24T00:00:00"/>
    <s v="Engineer"/>
    <s v="Mould Engineer"/>
    <x v="2"/>
    <n v="2"/>
    <x v="2"/>
    <n v="10000"/>
    <n v="0.03"/>
    <n v="300"/>
    <n v="0"/>
    <n v="0"/>
    <n v="0.03"/>
    <n v="300"/>
    <n v="10300"/>
    <n v="10101"/>
    <n v="101"/>
    <x v="170"/>
    <s v="2.40%-3.60%"/>
    <m/>
    <m/>
    <m/>
    <m/>
    <n v="0"/>
    <n v="10101"/>
    <n v="101"/>
    <n v="1.0099999999999998E-2"/>
    <n v="14"/>
    <n v="450"/>
    <m/>
    <n v="688"/>
    <n v="147502"/>
    <n v="3"/>
    <m/>
    <s v="Middle performer, budget better alocation to high performers, overcapacity"/>
    <m/>
    <s v="Zhao Biao（1150001）"/>
    <s v="Cao Wei（1114141）"/>
    <s v="Cheng Cheng"/>
    <m/>
    <m/>
    <m/>
    <s v="&lt;20"/>
  </r>
  <r>
    <s v="CN15"/>
    <n v="1132111"/>
    <s v="唐 浩"/>
    <s v="Tang Hao"/>
    <s v="Indirect Active"/>
    <s v="OP"/>
    <s v="SCh"/>
    <s v="FCLCh-MET"/>
    <s v="310204"/>
    <d v="2003-05-19T00:00:00"/>
    <s v="Engineer"/>
    <s v="Mould Engineer"/>
    <x v="2"/>
    <n v="2"/>
    <x v="2"/>
    <n v="10600"/>
    <n v="0.03"/>
    <n v="318"/>
    <n v="0"/>
    <n v="0"/>
    <n v="0.03"/>
    <n v="318"/>
    <n v="10918"/>
    <n v="10600"/>
    <n v="0"/>
    <x v="5"/>
    <s v="2.40%-3.60%"/>
    <m/>
    <m/>
    <m/>
    <m/>
    <n v="0"/>
    <n v="10600"/>
    <n v="0"/>
    <n v="0"/>
    <n v="14"/>
    <n v="500"/>
    <m/>
    <n v="688"/>
    <n v="155088"/>
    <n v="3"/>
    <m/>
    <s v="Middle performer, budget better alocation to high performers, overcapacity"/>
    <m/>
    <s v="Zhao Biao（1150001）"/>
    <s v="Cao Wei（1114141）"/>
    <s v="Cheng Cheng"/>
    <m/>
    <m/>
    <m/>
    <s v="0 increase"/>
  </r>
  <r>
    <s v="CN15"/>
    <n v="1132192"/>
    <s v="尚 磊"/>
    <s v="Shang Lei"/>
    <s v="Indirect Active"/>
    <s v="OP"/>
    <s v="SCh"/>
    <s v="FCLCh-MET"/>
    <s v="310204"/>
    <d v="2012-10-22T00:00:00"/>
    <s v="Functional Specialist"/>
    <s v="Functional Specialist"/>
    <x v="0"/>
    <n v="2"/>
    <x v="2"/>
    <n v="14907"/>
    <n v="0.03"/>
    <n v="447"/>
    <n v="0"/>
    <n v="0"/>
    <n v="2.9985912658482591E-2"/>
    <n v="447"/>
    <n v="15354"/>
    <n v="15407"/>
    <n v="500"/>
    <x v="233"/>
    <s v="2.40%-3.60%"/>
    <m/>
    <m/>
    <m/>
    <m/>
    <n v="0"/>
    <n v="15407"/>
    <n v="500"/>
    <n v="3.3541289327161827E-2"/>
    <n v="14"/>
    <n v="450"/>
    <m/>
    <n v="688"/>
    <n v="221786"/>
    <n v="3"/>
    <m/>
    <m/>
    <m/>
    <s v="Zhao Biao（1150001）"/>
    <s v="Cao Wei（1114141）"/>
    <s v="Cheng Cheng"/>
    <m/>
    <m/>
    <m/>
    <s v="OK"/>
  </r>
  <r>
    <s v="CN15"/>
    <n v="1132193"/>
    <s v="曹 友飞"/>
    <s v="Cao Youfei"/>
    <s v="Indirect Active"/>
    <s v="OP"/>
    <s v="SCh"/>
    <s v="FCLCh-MET"/>
    <s v="310204"/>
    <d v="2012-10-22T00:00:00"/>
    <s v="Senior Engineer"/>
    <s v="Senior Mould Engineer"/>
    <x v="1"/>
    <n v="2"/>
    <x v="5"/>
    <n v="11360"/>
    <n v="0"/>
    <n v="0"/>
    <n v="0"/>
    <n v="0"/>
    <n v="0"/>
    <n v="0"/>
    <n v="11360"/>
    <n v="11360"/>
    <n v="0"/>
    <x v="5"/>
    <s v="0.00%-0.00%"/>
    <m/>
    <m/>
    <m/>
    <m/>
    <n v="0"/>
    <n v="11360"/>
    <n v="0"/>
    <n v="0"/>
    <n v="14"/>
    <n v="450"/>
    <m/>
    <n v="688"/>
    <n v="165128"/>
    <n v="3"/>
    <s v="Written Warningx1"/>
    <m/>
    <m/>
    <s v="Zhao Biao（1150001）"/>
    <s v="Cao Wei（1114141）"/>
    <s v="Cheng Cheng"/>
    <m/>
    <m/>
    <m/>
    <s v="OK"/>
  </r>
  <r>
    <s v="CN15"/>
    <n v="1132201"/>
    <s v="吴 易飞"/>
    <s v="Wu Yifei"/>
    <s v="Indirect Active"/>
    <s v="OP"/>
    <s v="SCh"/>
    <s v="FCLCh-MET"/>
    <s v="310204"/>
    <d v="2014-03-11T00:00:00"/>
    <s v="Senior Engineer"/>
    <s v="Senior Foaming Mould Engineer"/>
    <x v="1"/>
    <n v="2"/>
    <x v="2"/>
    <n v="12185"/>
    <n v="2.5000000000000001E-2"/>
    <n v="305"/>
    <n v="0"/>
    <n v="0"/>
    <n v="2.5030775543701273E-2"/>
    <n v="305"/>
    <n v="12490"/>
    <n v="12550"/>
    <n v="365"/>
    <x v="11"/>
    <s v="2.00%-3.00%"/>
    <m/>
    <m/>
    <m/>
    <m/>
    <n v="0"/>
    <n v="12550"/>
    <n v="365"/>
    <n v="2.9954862535904736E-2"/>
    <n v="14"/>
    <n v="850"/>
    <m/>
    <n v="688"/>
    <n v="186588"/>
    <n v="3"/>
    <m/>
    <m/>
    <m/>
    <s v="Zhao Biao（1150001）"/>
    <s v="Cao Wei（1114141）"/>
    <s v="Cheng Cheng"/>
    <m/>
    <m/>
    <m/>
    <s v="OK"/>
  </r>
  <r>
    <s v="CN15"/>
    <n v="1132203"/>
    <s v="汪 恒"/>
    <s v="Wang Heng"/>
    <s v="Indirect Active"/>
    <s v="OP"/>
    <s v="SCh"/>
    <s v="FCLCh-MET"/>
    <s v="310204"/>
    <d v="2015-02-05T00:00:00"/>
    <s v="Engineer"/>
    <s v="Mould Engineer"/>
    <x v="2"/>
    <n v="2"/>
    <x v="2"/>
    <n v="10336"/>
    <n v="0.03"/>
    <n v="310"/>
    <n v="0"/>
    <n v="0"/>
    <n v="2.9992260061919504E-2"/>
    <n v="310"/>
    <n v="10646"/>
    <n v="10439"/>
    <n v="103"/>
    <x v="87"/>
    <s v="2.40%-3.60%"/>
    <m/>
    <m/>
    <m/>
    <m/>
    <n v="0"/>
    <n v="10439"/>
    <n v="103"/>
    <n v="9.9651702786378582E-3"/>
    <n v="14"/>
    <n v="550"/>
    <m/>
    <n v="688"/>
    <n v="153434"/>
    <n v="3"/>
    <m/>
    <s v="Middle performer, budget better alocation to high performers, overcapacity"/>
    <m/>
    <s v="Zhao Biao（1150001）"/>
    <s v="Cao Wei（1114141）"/>
    <s v="Cheng Cheng"/>
    <m/>
    <m/>
    <m/>
    <s v="&lt;20"/>
  </r>
  <r>
    <s v="CN15"/>
    <n v="1213113"/>
    <s v="王 金良"/>
    <s v="Wang Jinliang"/>
    <s v="Indirect Active"/>
    <s v="OP"/>
    <s v="SCh"/>
    <s v="FCLCh-MET"/>
    <s v="310204"/>
    <d v="2006-01-02T00:00:00"/>
    <s v="Engineer"/>
    <s v="Thermoforming Engineer"/>
    <x v="2"/>
    <n v="2"/>
    <x v="5"/>
    <n v="9505"/>
    <n v="0"/>
    <n v="0"/>
    <n v="0"/>
    <n v="0"/>
    <n v="0"/>
    <n v="0"/>
    <n v="9505"/>
    <n v="9505"/>
    <n v="0"/>
    <x v="5"/>
    <s v="0.00%-0.00%"/>
    <m/>
    <m/>
    <m/>
    <m/>
    <n v="0"/>
    <n v="9505"/>
    <n v="0"/>
    <n v="0"/>
    <n v="14"/>
    <n v="450"/>
    <m/>
    <n v="688"/>
    <n v="139158"/>
    <n v="2"/>
    <m/>
    <m/>
    <m/>
    <s v="Zhao Biao（1150001）"/>
    <s v="Cao Wei（1114141）"/>
    <s v="Cheng Cheng"/>
    <m/>
    <m/>
    <m/>
    <s v="OK"/>
  </r>
  <r>
    <s v="CN15"/>
    <n v="1320012"/>
    <s v="岳 忠宁"/>
    <s v="Yue Zhongning"/>
    <s v="Indirect Active"/>
    <s v="OP"/>
    <s v="SCh"/>
    <s v="FCLCh-MET"/>
    <s v="310204"/>
    <d v="2006-03-27T00:00:00"/>
    <s v="Engineer"/>
    <s v="Injection Engineer"/>
    <x v="2"/>
    <n v="2"/>
    <x v="3"/>
    <n v="9540"/>
    <n v="0"/>
    <n v="0"/>
    <n v="0"/>
    <n v="0"/>
    <n v="0"/>
    <n v="0"/>
    <n v="9540"/>
    <n v="9540"/>
    <n v="0"/>
    <x v="5"/>
    <s v="0.00%-0.00%"/>
    <m/>
    <m/>
    <m/>
    <m/>
    <n v="0"/>
    <n v="9540"/>
    <n v="0"/>
    <n v="0"/>
    <n v="14"/>
    <n v="450"/>
    <m/>
    <n v="688"/>
    <n v="139648"/>
    <n v="2"/>
    <m/>
    <m/>
    <m/>
    <s v="Zhao Biao（1150001）"/>
    <s v="Cao Wei（1114141）"/>
    <s v="Cheng Cheng"/>
    <m/>
    <m/>
    <m/>
    <s v="OK"/>
  </r>
  <r>
    <s v="CN15"/>
    <n v="1705021"/>
    <s v="马 骏"/>
    <s v="Ma Jun"/>
    <s v="Indirect Active"/>
    <s v="OP"/>
    <s v="SCh"/>
    <s v="FCLCh-MET"/>
    <s v="310204"/>
    <d v="2008-08-04T00:00:00"/>
    <s v="Senior Engineer"/>
    <s v="Senior Door Gasket Extrusion  Engineer"/>
    <x v="1"/>
    <n v="2"/>
    <x v="1"/>
    <n v="11633"/>
    <n v="3.7500000000000006E-2"/>
    <n v="436"/>
    <n v="1.55E-2"/>
    <n v="180"/>
    <n v="5.295280667067824E-2"/>
    <n v="616"/>
    <n v="12249"/>
    <n v="12800"/>
    <n v="1167"/>
    <x v="234"/>
    <s v="4.24%-6.35%"/>
    <s v="Promotion"/>
    <s v="Functional Specialist"/>
    <s v="A6"/>
    <n v="0.05"/>
    <n v="582"/>
    <n v="13382"/>
    <n v="1749"/>
    <n v="0.15034814751138992"/>
    <n v="14"/>
    <n v="450"/>
    <m/>
    <n v="688"/>
    <n v="193436"/>
    <n v="4"/>
    <m/>
    <s v="Recognition in CL, act as informal GPO"/>
    <m/>
    <s v="Zhao Biao（1150001）"/>
    <s v="Cao Wei（1114141）"/>
    <s v="Cheng Cheng"/>
    <m/>
    <m/>
    <m/>
    <s v="&gt;20"/>
  </r>
  <r>
    <s v="CN15"/>
    <n v="1120216"/>
    <s v="何 其云"/>
    <s v="He Qiyun"/>
    <s v="Indirect Active"/>
    <s v="OP"/>
    <s v="SCh"/>
    <s v="SCh-RCP"/>
    <s v="190101"/>
    <d v="2018-05-02T00:00:00"/>
    <s v="Manager"/>
    <s v="Head of SCh-RCP"/>
    <x v="3"/>
    <n v="2"/>
    <x v="2"/>
    <n v="15307"/>
    <n v="3.5000000000000003E-2"/>
    <n v="536"/>
    <n v="0"/>
    <n v="0"/>
    <n v="3.5016659044881424E-2"/>
    <n v="536"/>
    <n v="15843"/>
    <n v="15843"/>
    <n v="536"/>
    <x v="178"/>
    <s v="2.80%-4.20%"/>
    <m/>
    <m/>
    <m/>
    <m/>
    <n v="0"/>
    <n v="15843"/>
    <n v="536"/>
    <n v="3.5016659044881493E-2"/>
    <n v="14"/>
    <n v="450"/>
    <m/>
    <n v="688"/>
    <n v="227890"/>
    <n v="5"/>
    <m/>
    <m/>
    <m/>
    <s v="Fei Zhongxi（1120003）"/>
    <s v="Li Mingzhe（15018080）"/>
    <s v="Cheng Cheng"/>
    <m/>
    <m/>
    <m/>
    <s v="OK"/>
  </r>
  <r>
    <s v="CN15"/>
    <n v="1140016"/>
    <s v="陆 瑞峰"/>
    <s v="Lu Ruifeng"/>
    <s v="Indirect Active"/>
    <s v="OP"/>
    <s v="SCh"/>
    <s v="SCh-RCE"/>
    <s v="190101"/>
    <d v="2017-07-05T00:00:00"/>
    <s v="Manager"/>
    <s v="Head of SCh-RCE"/>
    <x v="3"/>
    <n v="2"/>
    <x v="3"/>
    <n v="19674"/>
    <n v="0"/>
    <n v="0"/>
    <n v="0"/>
    <n v="0"/>
    <n v="0"/>
    <n v="0"/>
    <n v="19674"/>
    <n v="19674"/>
    <n v="0"/>
    <x v="5"/>
    <s v="0.00%-0.00%"/>
    <m/>
    <m/>
    <m/>
    <m/>
    <n v="0"/>
    <n v="19674"/>
    <n v="0"/>
    <n v="0"/>
    <n v="14"/>
    <n v="950"/>
    <m/>
    <n v="688"/>
    <n v="287524"/>
    <n v="3"/>
    <m/>
    <m/>
    <m/>
    <s v="Fei Zhongxi（1120003）"/>
    <s v="Li Mingzhe（15018080）"/>
    <s v="Cheng Cheng"/>
    <m/>
    <m/>
    <m/>
    <s v="OK"/>
  </r>
  <r>
    <s v="CN15"/>
    <n v="1213117"/>
    <s v="朱 永成"/>
    <s v="Zhu Yongcheng"/>
    <s v="Indirect Active"/>
    <s v="OP"/>
    <s v="SCh"/>
    <s v="SCh-RCQ"/>
    <s v="190101"/>
    <d v="2006-07-26T00:00:00"/>
    <s v="Manager"/>
    <s v="Head of Quality Management"/>
    <x v="3"/>
    <n v="2"/>
    <x v="2"/>
    <n v="18990"/>
    <n v="0.03"/>
    <n v="570"/>
    <n v="0"/>
    <n v="0"/>
    <n v="3.0015797788309637E-2"/>
    <n v="570"/>
    <n v="19560"/>
    <n v="19560"/>
    <n v="570"/>
    <x v="11"/>
    <s v="2.40%-3.60%"/>
    <m/>
    <m/>
    <m/>
    <m/>
    <n v="0"/>
    <n v="19560"/>
    <n v="570"/>
    <n v="3.0015797788309539E-2"/>
    <n v="14"/>
    <n v="450"/>
    <m/>
    <n v="688"/>
    <n v="279928"/>
    <n v="3"/>
    <m/>
    <m/>
    <m/>
    <s v="Fei Zhongxi（1120003）"/>
    <s v="Li Mingzhe（15018080）"/>
    <s v="Cheng Cheng"/>
    <m/>
    <m/>
    <m/>
    <s v="OK"/>
  </r>
  <r>
    <s v="CN15"/>
    <n v="11009293"/>
    <s v="郑 婉君"/>
    <s v="Zheng Wanjun"/>
    <s v="Indirect Active"/>
    <s v="OP"/>
    <s v="SCh"/>
    <s v="SCh-RC"/>
    <s v="190101"/>
    <d v="2012-12-04T00:00:00"/>
    <s v="Specialist"/>
    <s v="Specialist"/>
    <x v="2"/>
    <n v="2"/>
    <x v="2"/>
    <n v="7431"/>
    <n v="0"/>
    <n v="0"/>
    <n v="0"/>
    <n v="0"/>
    <n v="0"/>
    <n v="0"/>
    <n v="7431"/>
    <n v="7431"/>
    <n v="0"/>
    <x v="5"/>
    <s v="0.00%-0.00%"/>
    <m/>
    <m/>
    <m/>
    <m/>
    <n v="0"/>
    <n v="7431"/>
    <n v="0"/>
    <n v="0"/>
    <n v="14"/>
    <n v="450"/>
    <m/>
    <n v="688"/>
    <n v="110122"/>
    <n v="4"/>
    <m/>
    <m/>
    <m/>
    <s v="Fei Zhongxi（1120003）"/>
    <s v="Li Mingzhe（15018080）"/>
    <s v="Cheng Cheng"/>
    <m/>
    <m/>
    <m/>
    <s v="OK"/>
  </r>
  <r>
    <s v="CN15"/>
    <n v="11009379"/>
    <s v="黄 大伟"/>
    <s v="Huang Dawei"/>
    <s v="Indirect Active"/>
    <s v="OP"/>
    <s v="SCh"/>
    <s v="SCh-RCQ"/>
    <s v="190101"/>
    <d v="2004-08-01T00:00:00"/>
    <s v="Engineer"/>
    <s v="Quality Engineer"/>
    <x v="2"/>
    <n v="2"/>
    <x v="2"/>
    <n v="8914"/>
    <n v="0"/>
    <n v="0"/>
    <n v="0"/>
    <n v="0"/>
    <n v="0"/>
    <n v="0"/>
    <n v="8914"/>
    <n v="8914"/>
    <n v="0"/>
    <x v="5"/>
    <s v="0.00%-0.00%"/>
    <m/>
    <m/>
    <m/>
    <m/>
    <n v="0"/>
    <n v="8914"/>
    <n v="0"/>
    <n v="0"/>
    <n v="14"/>
    <n v="450"/>
    <m/>
    <n v="688"/>
    <n v="130884"/>
    <n v="3"/>
    <m/>
    <m/>
    <m/>
    <s v="Fei Zhongxi（1120003）"/>
    <s v="Li Mingzhe（15018080）"/>
    <s v="Cheng Cheng"/>
    <m/>
    <m/>
    <m/>
    <s v="OK"/>
  </r>
  <r>
    <s v="CN15"/>
    <n v="11011390"/>
    <s v="王 威"/>
    <s v="Wang Wei"/>
    <s v="Indirect Active"/>
    <s v="OP"/>
    <s v="SCh"/>
    <s v="SCh-RCL"/>
    <s v="190101"/>
    <d v="2014-08-01T00:00:00"/>
    <s v="Manager"/>
    <s v="Head of Logistics"/>
    <x v="3"/>
    <n v="2"/>
    <x v="1"/>
    <n v="17670"/>
    <n v="3.7500000000000006E-2"/>
    <n v="663"/>
    <n v="1.55E-2"/>
    <n v="274"/>
    <n v="5.3027730616864742E-2"/>
    <n v="937"/>
    <n v="18607"/>
    <n v="18607"/>
    <n v="937"/>
    <x v="40"/>
    <s v="4.24%-6.36%"/>
    <m/>
    <m/>
    <m/>
    <m/>
    <n v="0"/>
    <n v="18607"/>
    <n v="937"/>
    <n v="5.3027730616864721E-2"/>
    <n v="14"/>
    <n v="950"/>
    <m/>
    <n v="688"/>
    <n v="272586"/>
    <n v="3"/>
    <m/>
    <m/>
    <m/>
    <s v="Fei Zhongxi（1120003）"/>
    <s v="Li Mingzhe（15018080）"/>
    <s v="Cheng Cheng"/>
    <m/>
    <m/>
    <m/>
    <s v="OK"/>
  </r>
  <r>
    <s v="CN15"/>
    <n v="1110027"/>
    <s v="李 洁"/>
    <s v="Li Jie"/>
    <s v="Indirect Active"/>
    <s v="OP"/>
    <s v="SCh"/>
    <s v="FDCCh-MEA"/>
    <s v="320200"/>
    <d v="2010-07-19T00:00:00"/>
    <s v="Associate Expert (CN)"/>
    <s v="Associate Expert (CN)"/>
    <x v="0"/>
    <n v="2"/>
    <x v="2"/>
    <n v="16060"/>
    <n v="2.5000000000000001E-2"/>
    <n v="402"/>
    <n v="0"/>
    <n v="0"/>
    <n v="2.5031133250311331E-2"/>
    <n v="402"/>
    <n v="16462"/>
    <n v="16060"/>
    <n v="0"/>
    <x v="5"/>
    <s v="2.00%-3.00%"/>
    <m/>
    <m/>
    <m/>
    <m/>
    <n v="0"/>
    <n v="16060"/>
    <n v="0"/>
    <n v="0"/>
    <n v="14"/>
    <n v="850"/>
    <m/>
    <n v="688"/>
    <n v="235728"/>
    <n v="3"/>
    <m/>
    <m/>
    <m/>
    <s v="Lin Xianzhong（1132204）"/>
    <s v="Li Mingzhe（15018080）"/>
    <s v="Cheng Cheng"/>
    <m/>
    <m/>
    <m/>
    <s v="0 increase"/>
  </r>
  <r>
    <s v="CN15"/>
    <n v="1120098"/>
    <s v="张 凡敏"/>
    <s v="Zhang Fanmin"/>
    <s v="Indirect Active"/>
    <s v="OP"/>
    <s v="SCh"/>
    <s v="FDCCh"/>
    <s v="320100"/>
    <d v="2010-03-22T00:00:00"/>
    <s v="Functional Specialist"/>
    <s v="Functional Specialist"/>
    <x v="0"/>
    <n v="2"/>
    <x v="2"/>
    <n v="15375"/>
    <n v="2.5000000000000001E-2"/>
    <n v="384"/>
    <n v="0"/>
    <n v="0"/>
    <n v="2.4975609756097562E-2"/>
    <n v="384"/>
    <n v="15759"/>
    <n v="15880"/>
    <n v="505"/>
    <x v="235"/>
    <s v="2.00%-3.00%"/>
    <m/>
    <m/>
    <m/>
    <m/>
    <n v="0"/>
    <n v="15880"/>
    <n v="505"/>
    <n v="3.2845528455284656E-2"/>
    <n v="14"/>
    <n v="450"/>
    <m/>
    <n v="688"/>
    <n v="228408"/>
    <n v="3"/>
    <m/>
    <s v="Cross factory Kyoben and Dragon boat with good performance"/>
    <m/>
    <s v="Lin Xianzhong（1132204）"/>
    <s v="Li Mingzhe（15018080）"/>
    <s v="Cheng Cheng"/>
    <m/>
    <m/>
    <m/>
    <s v="OK"/>
  </r>
  <r>
    <s v="CN15"/>
    <n v="1120158"/>
    <s v="陶 开仲"/>
    <s v="Tao Kaizhong"/>
    <s v="Indirect Active"/>
    <s v="OP"/>
    <s v="SCh"/>
    <s v="FDCCh-MEA"/>
    <s v="320200"/>
    <d v="2020-12-14T00:00:00"/>
    <s v="Senior Engineer"/>
    <s v="Senior Process Engineer"/>
    <x v="1"/>
    <n v="2"/>
    <x v="0"/>
    <n v="16000"/>
    <n v="0.04"/>
    <n v="640"/>
    <n v="0"/>
    <n v="0"/>
    <n v="0.04"/>
    <n v="640"/>
    <n v="16640"/>
    <n v="16200"/>
    <n v="200"/>
    <x v="155"/>
    <s v="3.20%-4.80%"/>
    <s v="Promotion"/>
    <s v="Head of MEA"/>
    <s v="A6"/>
    <n v="9.2999999999999999E-2"/>
    <n v="1488"/>
    <n v="17688"/>
    <n v="1688"/>
    <n v="0.10549999999999993"/>
    <n v="14"/>
    <n v="450"/>
    <m/>
    <n v="688"/>
    <n v="253720"/>
    <n v="4"/>
    <m/>
    <s v="Blance with promotion budget"/>
    <m/>
    <s v="Lin Xianzhong（1132204）"/>
    <s v="Li Mingzhe（15018080）"/>
    <s v="Cheng Cheng"/>
    <m/>
    <m/>
    <m/>
    <s v="&lt;20"/>
  </r>
  <r>
    <s v="CN15"/>
    <n v="1120241"/>
    <s v="李 尧"/>
    <s v="Li Yao"/>
    <s v="Indirect Active"/>
    <s v="OP"/>
    <s v="SCh"/>
    <s v="FDCCh-MEF"/>
    <s v="320200"/>
    <d v="2019-12-23T00:00:00"/>
    <s v="Supervisor"/>
    <s v="Head of FDCCh-MEF"/>
    <x v="0"/>
    <n v="2"/>
    <x v="1"/>
    <n v="15651"/>
    <n v="4.4999999999999998E-2"/>
    <n v="704"/>
    <n v="4.2099999999999999E-2"/>
    <n v="659"/>
    <n v="8.7087087087087081E-2"/>
    <n v="1363"/>
    <n v="17014"/>
    <n v="16750"/>
    <n v="1099"/>
    <x v="236"/>
    <s v="6.97%-10.45%"/>
    <m/>
    <m/>
    <m/>
    <m/>
    <n v="0"/>
    <n v="16750"/>
    <n v="1099"/>
    <n v="7.0219155325538241E-2"/>
    <n v="14"/>
    <n v="450"/>
    <m/>
    <n v="688"/>
    <n v="240588"/>
    <n v="4"/>
    <m/>
    <m/>
    <m/>
    <s v="Lin Xianzhong（1132204）"/>
    <s v="Li Mingzhe（15018080）"/>
    <s v="Cheng Cheng"/>
    <m/>
    <m/>
    <m/>
    <s v="OK"/>
  </r>
  <r>
    <s v="CN15"/>
    <n v="1120309"/>
    <s v="田 兆东"/>
    <s v="Tian Zhaodong"/>
    <s v="Indirect Active"/>
    <s v="OP"/>
    <s v="SCh"/>
    <s v="FDCCh"/>
    <s v="320100"/>
    <d v="2021-04-06T00:00:00"/>
    <s v="Associate Expert (CN)"/>
    <s v="Associate Expert (CN)"/>
    <x v="0"/>
    <n v="2"/>
    <x v="1"/>
    <n v="12100"/>
    <n v="4.4999999999999998E-2"/>
    <n v="545"/>
    <n v="4.2099999999999999E-2"/>
    <n v="509"/>
    <n v="8.7107438016528926E-2"/>
    <n v="1054"/>
    <n v="13154"/>
    <n v="13000"/>
    <n v="900"/>
    <x v="237"/>
    <s v="6.97%-10.45%"/>
    <m/>
    <m/>
    <m/>
    <m/>
    <n v="0"/>
    <n v="13000"/>
    <n v="900"/>
    <n v="7.4380165289256173E-2"/>
    <n v="14"/>
    <n v="850"/>
    <m/>
    <n v="688"/>
    <n v="192888"/>
    <n v="4"/>
    <m/>
    <m/>
    <m/>
    <s v="Lin Xianzhong（1132204）"/>
    <s v="Li Mingzhe（15018080）"/>
    <s v="Cheng Cheng"/>
    <m/>
    <m/>
    <m/>
    <s v="OK"/>
  </r>
  <r>
    <s v="CN15"/>
    <n v="1120331"/>
    <s v="Schlesinger Marc"/>
    <s v="Schlesinger Marc"/>
    <s v="Indirect Active"/>
    <s v="OP"/>
    <s v="SCh"/>
    <s v="FDCCh"/>
    <s v="320100"/>
    <d v="2021-07-08T00:00:00"/>
    <s v="Senior Expert (CN)"/>
    <s v="Senior Expert (CN)"/>
    <x v="5"/>
    <n v="2"/>
    <x v="2"/>
    <n v="64430"/>
    <n v="0"/>
    <n v="0"/>
    <n v="0"/>
    <n v="0"/>
    <n v="0"/>
    <n v="0"/>
    <n v="64430"/>
    <n v="64430"/>
    <n v="0"/>
    <x v="5"/>
    <s v="0.00%-0.00%"/>
    <m/>
    <m/>
    <m/>
    <m/>
    <n v="0"/>
    <n v="64430"/>
    <n v="0"/>
    <n v="0"/>
    <n v="14"/>
    <n v="450"/>
    <n v="1000"/>
    <n v="688"/>
    <n v="920108"/>
    <n v="3"/>
    <m/>
    <m/>
    <m/>
    <s v="Lin Xianzhong（1132204）"/>
    <s v="Li Mingzhe（15018080）"/>
    <s v="Cheng Cheng"/>
    <m/>
    <m/>
    <m/>
    <s v="OK"/>
  </r>
  <r>
    <s v="CN15"/>
    <n v="1120352"/>
    <s v="桑 刘兵"/>
    <s v="Sang Liubing"/>
    <s v="Indirect Active"/>
    <s v="OP"/>
    <s v="SCh"/>
    <s v="FDCCh-MEA"/>
    <s v="320200"/>
    <d v="2021-09-06T00:00:00"/>
    <s v="Functional Specialist"/>
    <s v="Functional Specialist"/>
    <x v="0"/>
    <n v="2"/>
    <x v="2"/>
    <n v="12522"/>
    <n v="0.03"/>
    <n v="376"/>
    <n v="0"/>
    <n v="0"/>
    <n v="3.0027152212106691E-2"/>
    <n v="376"/>
    <n v="12898"/>
    <n v="13500"/>
    <n v="978"/>
    <x v="238"/>
    <s v="2.40%-3.60%"/>
    <m/>
    <m/>
    <m/>
    <m/>
    <n v="0"/>
    <n v="13500"/>
    <n v="978"/>
    <n v="7.8102539530426451E-2"/>
    <n v="14"/>
    <n v="450"/>
    <m/>
    <n v="688"/>
    <n v="195088"/>
    <n v="5"/>
    <m/>
    <s v="Workplan 2025 Preliminary PL4"/>
    <m/>
    <s v="Lin Xianzhong（1132204）"/>
    <s v="Li Mingzhe（15018080）"/>
    <s v="Cheng Cheng"/>
    <m/>
    <m/>
    <m/>
    <s v="&gt;20"/>
  </r>
  <r>
    <s v="CN15"/>
    <n v="1120361"/>
    <s v="黄 洋"/>
    <s v="Huang Yang"/>
    <s v="Indirect Active"/>
    <s v="OP"/>
    <s v="SCh"/>
    <s v="FDCCh-MEA"/>
    <s v="320200"/>
    <d v="2021-11-17T00:00:00"/>
    <s v="Engineer"/>
    <s v="Engineer of IE"/>
    <x v="2"/>
    <n v="2"/>
    <x v="2"/>
    <n v="11150"/>
    <n v="2.5000000000000001E-2"/>
    <n v="279"/>
    <n v="0"/>
    <n v="0"/>
    <n v="2.5022421524663677E-2"/>
    <n v="279"/>
    <n v="11429"/>
    <n v="11429"/>
    <n v="279"/>
    <x v="13"/>
    <s v="2.00%-3.00%"/>
    <m/>
    <m/>
    <m/>
    <m/>
    <n v="0"/>
    <n v="11429"/>
    <n v="279"/>
    <n v="2.5022421524663718E-2"/>
    <n v="14"/>
    <n v="450"/>
    <m/>
    <n v="688"/>
    <n v="166094"/>
    <n v="2"/>
    <m/>
    <m/>
    <m/>
    <s v="Lin Xianzhong（1132204）"/>
    <s v="Li Mingzhe（15018080）"/>
    <s v="Cheng Cheng"/>
    <m/>
    <m/>
    <m/>
    <s v="OK"/>
  </r>
  <r>
    <s v="CN15"/>
    <n v="1120384"/>
    <s v="王 园园"/>
    <s v="Wang Yuanyuan"/>
    <s v="Indirect Active"/>
    <s v="OP"/>
    <s v="SCh"/>
    <s v="FDCCh-ME"/>
    <s v="320200"/>
    <d v="2022-04-20T00:00:00"/>
    <s v="Engineer"/>
    <s v="Engineer of Project Support"/>
    <x v="2"/>
    <n v="2"/>
    <x v="2"/>
    <n v="8066"/>
    <n v="0.03"/>
    <n v="242"/>
    <n v="0"/>
    <n v="0"/>
    <n v="3.0002479543763949E-2"/>
    <n v="242"/>
    <n v="8308"/>
    <n v="8500"/>
    <n v="434"/>
    <x v="239"/>
    <s v="2.40%-3.60%"/>
    <m/>
    <m/>
    <m/>
    <m/>
    <n v="0"/>
    <n v="8500"/>
    <n v="434"/>
    <n v="5.3806099677659258E-2"/>
    <n v="14"/>
    <n v="450"/>
    <m/>
    <n v="688"/>
    <n v="125088"/>
    <n v="3"/>
    <m/>
    <s v="Salary low in the role, blance slary_x000a_Extra role in DT with good performance"/>
    <m/>
    <s v="Lin Xianzhong（1132204）"/>
    <s v="Li Mingzhe（15018080）"/>
    <s v="Cheng Cheng"/>
    <m/>
    <m/>
    <m/>
    <s v="&gt;20"/>
  </r>
  <r>
    <s v="CN15"/>
    <n v="1132189"/>
    <s v="李 松波"/>
    <s v="Li Songbo"/>
    <s v="Indirect Active"/>
    <s v="OP"/>
    <s v="SCh"/>
    <s v="FDCCh-MEF"/>
    <s v="320200"/>
    <d v="2011-07-11T00:00:00"/>
    <s v="Junior Engineer"/>
    <s v="Junior Engineer"/>
    <x v="4"/>
    <n v="2"/>
    <x v="2"/>
    <n v="8000"/>
    <n v="2.5000000000000001E-2"/>
    <n v="200"/>
    <n v="0"/>
    <n v="0"/>
    <n v="2.5000000000000001E-2"/>
    <n v="200"/>
    <n v="8200"/>
    <n v="8360"/>
    <n v="360"/>
    <x v="240"/>
    <s v="2.00%-3.00%"/>
    <m/>
    <m/>
    <m/>
    <m/>
    <n v="0"/>
    <n v="8360"/>
    <n v="360"/>
    <n v="4.4999999999999929E-2"/>
    <n v="14"/>
    <n v="450"/>
    <m/>
    <n v="688"/>
    <n v="123128"/>
    <n v="3"/>
    <m/>
    <s v="Salary low in the role, blance slary_x000a_Excellent performance in tool maintenance, and HPT Star individually ranking 2 in SCh"/>
    <m/>
    <s v="Lin Xianzhong（1132204）"/>
    <s v="Li Mingzhe（15018080）"/>
    <s v="Cheng Cheng"/>
    <m/>
    <m/>
    <m/>
    <s v="&gt;20"/>
  </r>
  <r>
    <s v="CN15"/>
    <n v="1320006"/>
    <s v="李 魏陈"/>
    <s v="Li Weichen"/>
    <s v="Indirect Active"/>
    <s v="OP"/>
    <s v="SCh"/>
    <s v="FDCCh-MEM"/>
    <s v="320201"/>
    <d v="2006-08-01T00:00:00"/>
    <s v="Manager"/>
    <s v="Head of FDCCh-MEM"/>
    <x v="3"/>
    <n v="2"/>
    <x v="0"/>
    <n v="15600"/>
    <n v="0.06"/>
    <n v="936"/>
    <n v="7.7799999999999994E-2"/>
    <n v="1214"/>
    <n v="0.13782051282051283"/>
    <n v="2150"/>
    <n v="17750"/>
    <n v="17320"/>
    <n v="1720"/>
    <x v="241"/>
    <s v="11.03%-16.54%"/>
    <m/>
    <m/>
    <m/>
    <m/>
    <n v="0"/>
    <n v="17320"/>
    <n v="1720"/>
    <n v="0.11025641025641031"/>
    <n v="14"/>
    <n v="900"/>
    <m/>
    <n v="688"/>
    <n v="253968"/>
    <n v="3"/>
    <m/>
    <m/>
    <m/>
    <s v="Lin Xianzhong（1132204）"/>
    <s v="Li Mingzhe（15018080）"/>
    <s v="Cheng Cheng"/>
    <m/>
    <m/>
    <m/>
    <s v="OK"/>
  </r>
  <r>
    <s v="CN15"/>
    <n v="1320011"/>
    <s v="杨 波"/>
    <s v="Yang Bo"/>
    <s v="Indirect Active"/>
    <s v="OP"/>
    <s v="SCh"/>
    <s v="FDCCh-MEF"/>
    <s v="320200"/>
    <d v="2003-07-21T00:00:00"/>
    <s v="Associate Expert (CN)"/>
    <s v="Associate Expert (CN)"/>
    <x v="0"/>
    <n v="2"/>
    <x v="2"/>
    <n v="15700"/>
    <n v="2.5000000000000001E-2"/>
    <n v="393"/>
    <n v="0"/>
    <n v="0"/>
    <n v="2.5031847133757962E-2"/>
    <n v="393"/>
    <n v="16093"/>
    <n v="16093"/>
    <n v="393"/>
    <x v="13"/>
    <s v="2.00%-3.00%"/>
    <m/>
    <m/>
    <m/>
    <m/>
    <n v="0"/>
    <n v="16093"/>
    <n v="393"/>
    <n v="2.5031847133758056E-2"/>
    <n v="14"/>
    <n v="450"/>
    <m/>
    <n v="688"/>
    <n v="231390"/>
    <n v="3"/>
    <m/>
    <m/>
    <m/>
    <s v="Lin Xianzhong（1132204）"/>
    <s v="Li Mingzhe（15018080）"/>
    <s v="Cheng Cheng"/>
    <m/>
    <m/>
    <m/>
    <s v="OK"/>
  </r>
  <r>
    <s v="CN15"/>
    <n v="1320017"/>
    <s v="杨 善奎"/>
    <s v="Yang Shankui"/>
    <s v="Indirect Active"/>
    <s v="OP"/>
    <s v="SCh"/>
    <s v="FDCCh-MEF"/>
    <s v="320200"/>
    <d v="2021-05-07T00:00:00"/>
    <s v="Engineer"/>
    <s v="Process Engineer"/>
    <x v="2"/>
    <n v="2"/>
    <x v="2"/>
    <n v="9800"/>
    <n v="2.5000000000000001E-2"/>
    <n v="245"/>
    <n v="0"/>
    <n v="0"/>
    <n v="2.5000000000000001E-2"/>
    <n v="245"/>
    <n v="10045"/>
    <n v="9800"/>
    <n v="0"/>
    <x v="5"/>
    <s v="2.00%-3.00%"/>
    <m/>
    <m/>
    <m/>
    <m/>
    <n v="0"/>
    <n v="9800"/>
    <n v="0"/>
    <n v="0"/>
    <n v="14"/>
    <n v="450"/>
    <m/>
    <n v="688"/>
    <n v="143288"/>
    <n v="3"/>
    <m/>
    <m/>
    <m/>
    <s v="Lin Xianzhong（1132204）"/>
    <s v="Li Mingzhe（15018080）"/>
    <s v="Cheng Cheng"/>
    <m/>
    <m/>
    <m/>
    <s v="0 increase"/>
  </r>
  <r>
    <s v="CN15"/>
    <n v="1707035"/>
    <s v="关 凌龙"/>
    <s v="Guan Linglong"/>
    <s v="Indirect Active"/>
    <s v="OP"/>
    <s v="SCh"/>
    <s v="FDCCh-PDF"/>
    <s v="320100"/>
    <d v="2010-08-01T00:00:00"/>
    <s v="Supervisor"/>
    <s v="Head of FDCCh-PDF"/>
    <x v="0"/>
    <n v="2"/>
    <x v="2"/>
    <n v="10680"/>
    <n v="0.03"/>
    <n v="320"/>
    <n v="0"/>
    <n v="0"/>
    <n v="2.9962546816479401E-2"/>
    <n v="320"/>
    <n v="11000"/>
    <n v="11215"/>
    <n v="535"/>
    <x v="242"/>
    <s v="2.40%-3.60%"/>
    <m/>
    <m/>
    <m/>
    <m/>
    <n v="0"/>
    <n v="11215"/>
    <n v="535"/>
    <n v="5.0093632958801537E-2"/>
    <n v="14"/>
    <n v="450"/>
    <m/>
    <n v="688"/>
    <n v="163098"/>
    <n v="3"/>
    <m/>
    <s v="BOSCH Problem solving Expert certified"/>
    <m/>
    <s v="Lin Xianzhong（1132204）"/>
    <s v="Li Mingzhe（15018080）"/>
    <s v="Cheng Cheng"/>
    <m/>
    <m/>
    <m/>
    <s v="&gt;20"/>
  </r>
  <r>
    <s v="CN15"/>
    <n v="1709011"/>
    <s v="池 驰"/>
    <s v="Chi Chi"/>
    <s v="Indirect Active"/>
    <s v="OP"/>
    <s v="SCh"/>
    <s v="FDCCh-PDA"/>
    <s v="320100"/>
    <d v="2012-07-25T00:00:00"/>
    <s v="Supervisor"/>
    <s v="Head of FDCCh-PDA"/>
    <x v="0"/>
    <n v="2"/>
    <x v="1"/>
    <n v="11614"/>
    <n v="4.4999999999999998E-2"/>
    <n v="523"/>
    <n v="4.2099999999999999E-2"/>
    <n v="489"/>
    <n v="8.7136214913035998E-2"/>
    <n v="1012"/>
    <n v="12626"/>
    <n v="12450"/>
    <n v="836"/>
    <x v="243"/>
    <s v="6.97%-10.46%"/>
    <m/>
    <m/>
    <m/>
    <m/>
    <n v="0"/>
    <n v="12450"/>
    <n v="836"/>
    <n v="7.1982090580334113E-2"/>
    <n v="14"/>
    <n v="450"/>
    <m/>
    <n v="688"/>
    <n v="180388"/>
    <n v="4"/>
    <m/>
    <m/>
    <m/>
    <s v="Lin Xianzhong（1132204）"/>
    <s v="Li Mingzhe（15018080）"/>
    <s v="Cheng Cheng"/>
    <m/>
    <m/>
    <m/>
    <s v="OK"/>
  </r>
  <r>
    <s v="CN15"/>
    <n v="1710029"/>
    <s v="席 春节"/>
    <s v="Xi Chunjie"/>
    <s v="Indirect Active"/>
    <s v="OP"/>
    <s v="SCh"/>
    <s v="FDCCh-MEF"/>
    <s v="320200"/>
    <d v="2013-07-05T00:00:00"/>
    <s v="Specialist"/>
    <s v="External Tool Specialist"/>
    <x v="4"/>
    <n v="2"/>
    <x v="2"/>
    <n v="7000"/>
    <n v="2.5000000000000001E-2"/>
    <n v="175"/>
    <n v="0"/>
    <n v="0"/>
    <n v="2.5000000000000001E-2"/>
    <n v="175"/>
    <n v="7175"/>
    <n v="7350"/>
    <n v="350"/>
    <x v="139"/>
    <s v="2.00%-3.00%"/>
    <m/>
    <m/>
    <m/>
    <m/>
    <n v="0"/>
    <n v="7350"/>
    <n v="350"/>
    <n v="5.0000000000000044E-2"/>
    <n v="14"/>
    <n v="550"/>
    <m/>
    <n v="688"/>
    <n v="110188"/>
    <n v="3"/>
    <m/>
    <s v="Salary low in the role, blance slary_x000a_Extra role in DT with good performance"/>
    <m/>
    <s v="Lin Xianzhong（1132204）"/>
    <s v="Li Mingzhe（15018080）"/>
    <s v="Cheng Cheng"/>
    <m/>
    <m/>
    <m/>
    <s v="&gt;20"/>
  </r>
  <r>
    <s v="CN15"/>
    <n v="1711031"/>
    <s v="王 丹姝"/>
    <s v="Wang Danshu"/>
    <s v="Indirect Active"/>
    <s v="OP"/>
    <s v="SCh"/>
    <s v="FDCCh"/>
    <s v="320100"/>
    <d v="2014-06-24T00:00:00"/>
    <s v="Team Assistant"/>
    <s v="Team Assistant"/>
    <x v="2"/>
    <n v="2"/>
    <x v="1"/>
    <n v="6569"/>
    <n v="3.7500000000000006E-2"/>
    <n v="246"/>
    <n v="1.55E-2"/>
    <n v="102"/>
    <n v="5.2976099862992843E-2"/>
    <n v="348"/>
    <n v="6917"/>
    <n v="6917"/>
    <n v="348"/>
    <x v="40"/>
    <s v="4.24%-6.36%"/>
    <m/>
    <m/>
    <m/>
    <m/>
    <n v="0"/>
    <n v="6917"/>
    <n v="348"/>
    <n v="5.2976099862992898E-2"/>
    <n v="14"/>
    <n v="450"/>
    <m/>
    <n v="688"/>
    <n v="102926"/>
    <n v="4"/>
    <m/>
    <m/>
    <m/>
    <s v="Lin Xianzhong（1132204）"/>
    <s v="Li Mingzhe（15018080）"/>
    <s v="Cheng Cheng"/>
    <m/>
    <m/>
    <m/>
    <s v="OK"/>
  </r>
  <r>
    <s v="CN15"/>
    <n v="1712026"/>
    <s v="朱 思诺"/>
    <s v="Zhu Sinuo"/>
    <s v="Indirect Active"/>
    <s v="OP"/>
    <s v="SCh"/>
    <s v="FDCCh-PD"/>
    <s v="320100"/>
    <d v="2015-07-09T00:00:00"/>
    <s v="Junior Engineer"/>
    <s v="Junior Production Engineer"/>
    <x v="4"/>
    <n v="2"/>
    <x v="3"/>
    <n v="6490"/>
    <n v="0"/>
    <n v="0"/>
    <n v="0"/>
    <n v="0"/>
    <n v="0"/>
    <n v="0"/>
    <n v="6490"/>
    <n v="6490"/>
    <n v="0"/>
    <x v="5"/>
    <s v="0.00%-0.00%"/>
    <m/>
    <m/>
    <m/>
    <m/>
    <n v="0"/>
    <n v="6490"/>
    <n v="0"/>
    <n v="0"/>
    <n v="14"/>
    <n v="450"/>
    <m/>
    <n v="688"/>
    <n v="96948"/>
    <n v="3"/>
    <m/>
    <m/>
    <m/>
    <s v="Lin Xianzhong（1132204）"/>
    <s v="Li Mingzhe（15018080）"/>
    <s v="Cheng Cheng"/>
    <m/>
    <m/>
    <m/>
    <s v="OK"/>
  </r>
  <r>
    <s v="CN15"/>
    <n v="1716016"/>
    <s v="郭 赛东"/>
    <s v="Guo Saidong"/>
    <s v="Indirect Active"/>
    <s v="OP"/>
    <s v="SCh"/>
    <s v="FDCCh-MEA"/>
    <s v="320200"/>
    <d v="2019-08-01T00:00:00"/>
    <s v="Junior Engineer"/>
    <s v="Junior Engineer of Assembly"/>
    <x v="4"/>
    <n v="2"/>
    <x v="2"/>
    <n v="6830"/>
    <n v="0.03"/>
    <n v="205"/>
    <n v="0"/>
    <n v="0"/>
    <n v="3.0014641288433383E-2"/>
    <n v="205"/>
    <n v="7035"/>
    <n v="7175"/>
    <n v="345"/>
    <x v="244"/>
    <s v="2.40%-3.60%"/>
    <m/>
    <m/>
    <m/>
    <m/>
    <n v="0"/>
    <n v="7175"/>
    <n v="345"/>
    <n v="5.051244509516839E-2"/>
    <n v="14"/>
    <n v="450"/>
    <m/>
    <n v="688"/>
    <n v="106538"/>
    <n v="3"/>
    <m/>
    <s v="Salary low in the role, blance slary_x000a_Extra role in DT with good performance"/>
    <m/>
    <s v="Lin Xianzhong（1132204）"/>
    <s v="Li Mingzhe（15018080）"/>
    <s v="Cheng Cheng"/>
    <m/>
    <m/>
    <m/>
    <s v="&gt;20"/>
  </r>
  <r>
    <s v="CN15"/>
    <n v="15005103"/>
    <s v="朱 世远"/>
    <s v="Zhu Shiyuan"/>
    <s v="Indirect Active"/>
    <s v="OP"/>
    <s v="SCh"/>
    <s v="FDCCh-PD"/>
    <s v="320100"/>
    <d v="2011-01-05T00:00:00"/>
    <s v="Director"/>
    <s v="Head of FDCCh-PD"/>
    <x v="5"/>
    <n v="2"/>
    <x v="2"/>
    <n v="27869"/>
    <n v="2.5000000000000001E-2"/>
    <n v="697"/>
    <n v="0"/>
    <n v="0"/>
    <n v="2.5009867594818616E-2"/>
    <n v="697"/>
    <n v="28566"/>
    <n v="28425"/>
    <n v="556"/>
    <x v="36"/>
    <s v="2.00%-3.00%"/>
    <m/>
    <m/>
    <m/>
    <m/>
    <n v="0"/>
    <n v="28425"/>
    <n v="556"/>
    <n v="1.9950482615092024E-2"/>
    <n v="14"/>
    <n v="2950"/>
    <n v="1000"/>
    <n v="688"/>
    <n v="446038"/>
    <n v="3"/>
    <m/>
    <m/>
    <m/>
    <s v="Lin Xianzhong（1132204）"/>
    <s v="Li Mingzhe（15018080）"/>
    <s v="Cheng Cheng"/>
    <m/>
    <m/>
    <m/>
    <s v="OK"/>
  </r>
  <r>
    <s v="CN15"/>
    <n v="15000139"/>
    <s v="张 新"/>
    <s v="Zhang xin"/>
    <s v="Indirect Active"/>
    <s v="OP"/>
    <s v="SCh"/>
    <s v="FLCCh-V2"/>
    <s v="340100"/>
    <d v="2004-12-01T00:00:00"/>
    <s v="Manager"/>
    <s v="Head of FLCCh-V2"/>
    <x v="3"/>
    <n v="2"/>
    <x v="2"/>
    <n v="19965"/>
    <n v="2.5000000000000001E-2"/>
    <n v="499"/>
    <n v="0"/>
    <n v="0"/>
    <n v="2.499373904332582E-2"/>
    <n v="499"/>
    <n v="20464"/>
    <n v="20450"/>
    <n v="485"/>
    <x v="245"/>
    <s v="2.00%-3.00%"/>
    <m/>
    <m/>
    <m/>
    <m/>
    <n v="0"/>
    <n v="20450"/>
    <n v="485"/>
    <n v="2.4292511895817714E-2"/>
    <n v="14"/>
    <n v="450"/>
    <m/>
    <n v="688"/>
    <n v="292388"/>
    <n v="3"/>
    <m/>
    <m/>
    <m/>
    <s v="Gu Yinhua（51200135）"/>
    <s v="Fan Ivy-Linlin（11022356）"/>
    <s v="Cheng Cheng"/>
    <m/>
    <m/>
    <m/>
    <s v="OK"/>
  </r>
  <r>
    <s v="CN15"/>
    <n v="1120298"/>
    <s v="俞 玲玲"/>
    <s v="Yu Lingling"/>
    <s v="Indirect Active"/>
    <s v="OP"/>
    <s v="SCh"/>
    <s v="FLCCh"/>
    <s v="340100"/>
    <d v="2021-03-01T00:00:00"/>
    <s v="Specialist"/>
    <s v="Team Assistant"/>
    <x v="2"/>
    <n v="2"/>
    <x v="1"/>
    <n v="8260"/>
    <n v="0.03"/>
    <n v="248"/>
    <n v="0"/>
    <n v="0"/>
    <n v="3.0024213075060532E-2"/>
    <n v="248"/>
    <n v="8508"/>
    <n v="8550"/>
    <n v="290"/>
    <x v="246"/>
    <s v="2.40%-3.60%"/>
    <m/>
    <m/>
    <m/>
    <m/>
    <n v="0"/>
    <n v="8550"/>
    <n v="290"/>
    <n v="3.510895883777243E-2"/>
    <n v="14"/>
    <n v="450"/>
    <m/>
    <n v="688"/>
    <n v="125788"/>
    <n v="4"/>
    <m/>
    <m/>
    <m/>
    <s v="Gu Yinhua（51200135）"/>
    <s v="Fan Ivy-Linlin（11022356）"/>
    <s v="Cheng Cheng"/>
    <m/>
    <m/>
    <m/>
    <s v="OK"/>
  </r>
  <r>
    <s v="CN15"/>
    <n v="1114123"/>
    <s v="贲 波"/>
    <s v="Ben Bo"/>
    <s v="Indirect Active"/>
    <s v="OP"/>
    <s v="SCh"/>
    <s v="FLCCh-MT"/>
    <s v="340406"/>
    <d v="2003-07-21T00:00:00"/>
    <s v="Engineer"/>
    <s v="Maintenance Engineer"/>
    <x v="2"/>
    <n v="2"/>
    <x v="1"/>
    <n v="7685"/>
    <n v="4.4999999999999998E-2"/>
    <n v="346"/>
    <n v="4.2099999999999999E-2"/>
    <n v="324"/>
    <n v="8.718282368249837E-2"/>
    <n v="670"/>
    <n v="8355"/>
    <n v="8355"/>
    <n v="670"/>
    <x v="61"/>
    <s v="6.97%-10.46%"/>
    <m/>
    <m/>
    <m/>
    <m/>
    <n v="0"/>
    <n v="8355"/>
    <n v="670"/>
    <n v="8.71828236824983E-2"/>
    <n v="14"/>
    <n v="450"/>
    <m/>
    <n v="688"/>
    <n v="123058"/>
    <n v="3"/>
    <m/>
    <m/>
    <m/>
    <s v="Gu Yinhua（51200135）"/>
    <s v="Fan Ivy-Linlin（11022356）"/>
    <s v="Cheng Cheng"/>
    <m/>
    <m/>
    <m/>
    <s v="OK"/>
  </r>
  <r>
    <s v="CN15"/>
    <n v="1120131"/>
    <s v="宁 正斌"/>
    <s v="Ning Zhengbin"/>
    <s v="Indirect Active"/>
    <s v="OP"/>
    <s v="SCh"/>
    <s v="FLCCh-MEA"/>
    <s v="340200"/>
    <d v="2020-06-01T00:00:00"/>
    <s v="Associate Expert (CN)"/>
    <s v="Associate Expert (CN)"/>
    <x v="0"/>
    <n v="2"/>
    <x v="2"/>
    <n v="14964"/>
    <n v="0.03"/>
    <n v="449"/>
    <n v="0"/>
    <n v="0"/>
    <n v="3.0005346164127238E-2"/>
    <n v="449"/>
    <n v="15413"/>
    <n v="15350"/>
    <n v="386"/>
    <x v="247"/>
    <s v="2.40%-3.60%"/>
    <m/>
    <m/>
    <m/>
    <m/>
    <n v="0"/>
    <n v="15350"/>
    <n v="386"/>
    <n v="2.5795241913926681E-2"/>
    <n v="14"/>
    <n v="500"/>
    <m/>
    <n v="688"/>
    <n v="221588"/>
    <n v="3"/>
    <m/>
    <m/>
    <m/>
    <s v="Gu Yinhua（51200135）"/>
    <s v="Fan Ivy-Linlin（11022356）"/>
    <s v="Cheng Cheng"/>
    <m/>
    <m/>
    <m/>
    <s v="OK"/>
  </r>
  <r>
    <s v="CN15"/>
    <n v="1120255"/>
    <s v="杜 津"/>
    <s v="Du Jin"/>
    <s v="Indirect Active"/>
    <s v="OP"/>
    <s v="SCh"/>
    <s v="FLCCh-ME"/>
    <s v="340200"/>
    <d v="2020-06-28T00:00:00"/>
    <s v="Engineer"/>
    <s v="Engineer of Testing"/>
    <x v="2"/>
    <n v="2"/>
    <x v="1"/>
    <n v="9207"/>
    <n v="3.7500000000000006E-2"/>
    <n v="345"/>
    <n v="1.55E-2"/>
    <n v="143"/>
    <n v="5.3003149777343328E-2"/>
    <n v="488"/>
    <n v="9695"/>
    <n v="9559"/>
    <n v="352"/>
    <x v="248"/>
    <s v="4.24%-6.36%"/>
    <s v="Promotion"/>
    <s v="senior engineer"/>
    <s v="A5"/>
    <n v="7.4999999999999997E-2"/>
    <n v="691"/>
    <n v="10250"/>
    <n v="1043"/>
    <n v="0.11328337134788757"/>
    <n v="14"/>
    <n v="450"/>
    <m/>
    <n v="688"/>
    <n v="149588"/>
    <n v="3"/>
    <m/>
    <m/>
    <s v="Good performance and high competence"/>
    <s v="Gu Yinhua（51200135）"/>
    <s v="Fan Ivy-Linlin（11022356）"/>
    <s v="Cheng Cheng"/>
    <m/>
    <m/>
    <m/>
    <s v="OK"/>
  </r>
  <r>
    <s v="CN15"/>
    <n v="1120264"/>
    <s v="朱 永杰"/>
    <s v="Zhu Yongjie"/>
    <s v="Indirect Active"/>
    <s v="OP"/>
    <s v="SCh"/>
    <s v="FLCCh-ME"/>
    <s v="340200"/>
    <d v="2020-09-01T00:00:00"/>
    <s v="Senior Engineer"/>
    <s v="Senior Engineer of Testing"/>
    <x v="1"/>
    <n v="2"/>
    <x v="1"/>
    <n v="11125"/>
    <n v="4.4999999999999998E-2"/>
    <n v="501"/>
    <n v="1.55E-2"/>
    <n v="172"/>
    <n v="6.0494382022471913E-2"/>
    <n v="673"/>
    <n v="11798"/>
    <n v="11666"/>
    <n v="541"/>
    <x v="249"/>
    <s v="4.84%-7.26%"/>
    <s v="Promotion"/>
    <s v="Functional Specialist"/>
    <s v="A6"/>
    <n v="7.4999999999999997E-2"/>
    <n v="834"/>
    <n v="12500"/>
    <n v="1375"/>
    <n v="0.12359550561797761"/>
    <n v="14"/>
    <n v="450"/>
    <m/>
    <n v="688"/>
    <n v="181088"/>
    <n v="5"/>
    <m/>
    <m/>
    <s v="Good performance and high competence"/>
    <s v="Gu Yinhua（51200135）"/>
    <s v="Fan Ivy-Linlin（11022356）"/>
    <s v="Cheng Cheng"/>
    <m/>
    <m/>
    <m/>
    <s v="OK"/>
  </r>
  <r>
    <s v="CN15"/>
    <n v="1120282"/>
    <s v="陈 国超"/>
    <s v="Chen Guochao"/>
    <s v="Indirect Active"/>
    <s v="OP"/>
    <s v="SCh"/>
    <s v="FLCCh-MEA"/>
    <s v="340200"/>
    <d v="2020-12-07T00:00:00"/>
    <s v="Senior Engineer"/>
    <s v="Senior Engineer"/>
    <x v="1"/>
    <n v="2"/>
    <x v="2"/>
    <n v="10000"/>
    <n v="0.03"/>
    <n v="300"/>
    <n v="0"/>
    <n v="0"/>
    <n v="0.03"/>
    <n v="300"/>
    <n v="10300"/>
    <n v="10300"/>
    <n v="300"/>
    <x v="11"/>
    <s v="2.40%-3.60%"/>
    <m/>
    <m/>
    <m/>
    <m/>
    <n v="0"/>
    <n v="10300"/>
    <n v="300"/>
    <n v="3.0000000000000027E-2"/>
    <n v="14"/>
    <n v="450"/>
    <m/>
    <n v="688"/>
    <n v="150288"/>
    <n v="4"/>
    <m/>
    <m/>
    <m/>
    <s v="Gu Yinhua（51200135）"/>
    <s v="Fan Ivy-Linlin（11022356）"/>
    <s v="Cheng Cheng"/>
    <m/>
    <m/>
    <m/>
    <s v="OK"/>
  </r>
  <r>
    <s v="CN15"/>
    <n v="1120289"/>
    <s v="丁 幸幸"/>
    <s v="Ding Xingxing"/>
    <s v="Indirect Active"/>
    <s v="OP"/>
    <s v="SCh"/>
    <s v="FLCCh-MEA"/>
    <s v="340200"/>
    <d v="2021-01-04T00:00:00"/>
    <s v="Associate Expert (CN)"/>
    <s v="Associate Expert (CN)"/>
    <x v="0"/>
    <n v="2"/>
    <x v="2"/>
    <n v="13624"/>
    <n v="0.03"/>
    <n v="409"/>
    <n v="0"/>
    <n v="0"/>
    <n v="3.0020551967116851E-2"/>
    <n v="409"/>
    <n v="14033"/>
    <n v="13624"/>
    <n v="0"/>
    <x v="5"/>
    <s v="2.40%-3.60%"/>
    <m/>
    <m/>
    <m/>
    <m/>
    <n v="0"/>
    <n v="13624"/>
    <n v="0"/>
    <n v="0"/>
    <n v="14"/>
    <n v="450"/>
    <m/>
    <n v="688"/>
    <n v="196824"/>
    <n v="3"/>
    <m/>
    <s v="EDSP Box 7, rating 3, no increase"/>
    <s v="Internal balance"/>
    <s v="Gu Yinhua（51200135）"/>
    <s v="Fan Ivy-Linlin（11022356）"/>
    <s v="Cheng Cheng"/>
    <m/>
    <m/>
    <m/>
    <s v="0 increase"/>
  </r>
  <r>
    <s v="CN15"/>
    <n v="1120291"/>
    <s v="袁 善荣"/>
    <s v="Yuan Shanrong"/>
    <s v="Indirect Active"/>
    <s v="OP"/>
    <s v="SCh"/>
    <s v="FLCCh-MEA"/>
    <s v="340200"/>
    <d v="2021-01-14T00:00:00"/>
    <s v="Engineer"/>
    <s v="Engineer of Assembly"/>
    <x v="2"/>
    <n v="2"/>
    <x v="2"/>
    <n v="8784"/>
    <n v="2.5000000000000001E-2"/>
    <n v="220"/>
    <n v="0"/>
    <n v="0"/>
    <n v="2.5045537340619307E-2"/>
    <n v="220"/>
    <n v="9004"/>
    <n v="9003"/>
    <n v="219"/>
    <x v="37"/>
    <s v="2.00%-3.01%"/>
    <m/>
    <m/>
    <m/>
    <m/>
    <n v="0"/>
    <n v="9003"/>
    <n v="219"/>
    <n v="2.4931693989071135E-2"/>
    <n v="14"/>
    <n v="450"/>
    <m/>
    <n v="688"/>
    <n v="132130"/>
    <n v="3"/>
    <m/>
    <m/>
    <m/>
    <s v="Gu Yinhua（51200135）"/>
    <s v="Fan Ivy-Linlin（11022356）"/>
    <s v="Cheng Cheng"/>
    <m/>
    <m/>
    <m/>
    <s v="OK"/>
  </r>
  <r>
    <s v="CN15"/>
    <n v="1120292"/>
    <s v="王 亚梅"/>
    <s v="Wang Yamei"/>
    <s v="Indirect Active"/>
    <s v="OP"/>
    <s v="SCh"/>
    <s v="FLCCh"/>
    <s v="340100"/>
    <d v="2021-02-01T00:00:00"/>
    <s v="Engineer"/>
    <s v="Project Support and External Tool Engine"/>
    <x v="2"/>
    <n v="2"/>
    <x v="2"/>
    <n v="7100"/>
    <n v="2.5000000000000001E-2"/>
    <n v="178"/>
    <n v="0"/>
    <n v="0"/>
    <n v="2.5070422535211266E-2"/>
    <n v="178"/>
    <n v="7278"/>
    <n v="7278"/>
    <n v="178"/>
    <x v="82"/>
    <s v="2.01%-3.01%"/>
    <m/>
    <m/>
    <m/>
    <m/>
    <n v="0"/>
    <n v="7278"/>
    <n v="178"/>
    <n v="2.507042253521119E-2"/>
    <n v="14"/>
    <n v="450"/>
    <m/>
    <n v="688"/>
    <n v="107980"/>
    <n v="3"/>
    <m/>
    <m/>
    <m/>
    <s v="Gu Yinhua（51200135）"/>
    <s v="Fan Ivy-Linlin（11022356）"/>
    <s v="Cheng Cheng"/>
    <m/>
    <m/>
    <m/>
    <s v="OK"/>
  </r>
  <r>
    <s v="CN15"/>
    <n v="1120297"/>
    <s v="王 辉"/>
    <s v="Wang Hui"/>
    <s v="Indirect Active"/>
    <s v="OP"/>
    <s v="SCh"/>
    <s v="FLCCh"/>
    <s v="340100"/>
    <d v="2021-03-12T00:00:00"/>
    <s v="Supervisor"/>
    <s v="Supervisor of Production System Coordina"/>
    <x v="0"/>
    <n v="2"/>
    <x v="3"/>
    <n v="16202"/>
    <n v="0"/>
    <n v="0"/>
    <n v="0"/>
    <n v="0"/>
    <n v="0"/>
    <n v="0"/>
    <n v="16202"/>
    <n v="16202"/>
    <n v="0"/>
    <x v="5"/>
    <s v="0.00%-0.00%"/>
    <m/>
    <m/>
    <m/>
    <m/>
    <n v="0"/>
    <n v="16202"/>
    <n v="0"/>
    <n v="0"/>
    <n v="14"/>
    <n v="950"/>
    <m/>
    <n v="688"/>
    <n v="238916"/>
    <n v="3"/>
    <m/>
    <m/>
    <m/>
    <s v="Gu Yinhua（51200135）"/>
    <s v="Fan Ivy-Linlin（11022356）"/>
    <s v="Cheng Cheng"/>
    <m/>
    <m/>
    <m/>
    <s v="OK"/>
  </r>
  <r>
    <s v="CN15"/>
    <n v="1120359"/>
    <s v="张 涛"/>
    <s v="Zhang Tao"/>
    <s v="Indirect Active"/>
    <s v="OP"/>
    <s v="SCh"/>
    <s v="FLCCh-MEF"/>
    <s v="340200"/>
    <d v="2021-10-22T00:00:00"/>
    <s v="Senior Engineer"/>
    <s v="Senior Engineer"/>
    <x v="1"/>
    <n v="2"/>
    <x v="3"/>
    <n v="10210"/>
    <n v="0"/>
    <n v="0"/>
    <n v="0"/>
    <n v="0"/>
    <n v="0"/>
    <n v="0"/>
    <n v="10210"/>
    <n v="10510"/>
    <n v="300"/>
    <x v="110"/>
    <s v="0.00%-0.00%"/>
    <m/>
    <m/>
    <m/>
    <m/>
    <n v="0"/>
    <n v="10510"/>
    <n v="300"/>
    <n v="2.938295788442713E-2"/>
    <n v="14"/>
    <n v="450"/>
    <m/>
    <n v="688"/>
    <n v="153228"/>
    <n v="4"/>
    <m/>
    <s v="High performer,2025Rating affected by promotion"/>
    <s v="Good performance/talent"/>
    <s v="Gu Yinhua（51200135）"/>
    <s v="Fan Ivy-Linlin（11022356）"/>
    <s v="Cheng Cheng"/>
    <m/>
    <m/>
    <m/>
    <s v="&gt;20"/>
  </r>
  <r>
    <s v="CN15"/>
    <n v="1709015"/>
    <s v="张 静"/>
    <s v="Zhang Jing"/>
    <s v="Indirect Active"/>
    <s v="OP"/>
    <s v="SCh"/>
    <s v="FLCCh-MEA"/>
    <s v="340200"/>
    <d v="2012-07-25T00:00:00"/>
    <s v="Engineer"/>
    <s v="Engineer of Process Planning"/>
    <x v="2"/>
    <n v="2"/>
    <x v="1"/>
    <n v="7563"/>
    <n v="4.4999999999999998E-2"/>
    <n v="340"/>
    <n v="4.2099999999999999E-2"/>
    <n v="318"/>
    <n v="8.7002512230596324E-2"/>
    <n v="658"/>
    <n v="8221"/>
    <n v="8220"/>
    <n v="657"/>
    <x v="250"/>
    <s v="6.96%-10.44%"/>
    <m/>
    <m/>
    <m/>
    <m/>
    <n v="0"/>
    <n v="8220"/>
    <n v="657"/>
    <n v="8.6870289567631875E-2"/>
    <n v="14"/>
    <n v="450"/>
    <m/>
    <n v="688"/>
    <n v="121168"/>
    <n v="3"/>
    <m/>
    <m/>
    <m/>
    <s v="Gu Yinhua（51200135）"/>
    <s v="Fan Ivy-Linlin（11022356）"/>
    <s v="Cheng Cheng"/>
    <m/>
    <m/>
    <m/>
    <s v="OK"/>
  </r>
  <r>
    <s v="CN15"/>
    <n v="1710386"/>
    <s v="刘 云飞"/>
    <s v="Liu Yunfei"/>
    <s v="Indirect Active"/>
    <s v="OP"/>
    <s v="SCh"/>
    <s v="FLCCh-ME"/>
    <s v="340200"/>
    <d v="2021-07-01T00:00:00"/>
    <s v="Engineer"/>
    <s v="Engineer of Electrical"/>
    <x v="2"/>
    <n v="2"/>
    <x v="2"/>
    <n v="7136"/>
    <n v="0.03"/>
    <n v="214"/>
    <n v="0"/>
    <n v="0"/>
    <n v="2.9988789237668161E-2"/>
    <n v="214"/>
    <n v="7350"/>
    <n v="7136"/>
    <n v="0"/>
    <x v="5"/>
    <s v="2.40%-3.60%"/>
    <m/>
    <m/>
    <m/>
    <m/>
    <n v="0"/>
    <n v="7136"/>
    <n v="0"/>
    <n v="0"/>
    <n v="14"/>
    <n v="450"/>
    <m/>
    <n v="688"/>
    <n v="105992"/>
    <n v="3"/>
    <m/>
    <s v="EDSP Box 7, rating 3, no increase"/>
    <s v="Internal balance"/>
    <s v="Gu Yinhua（51200135）"/>
    <s v="Fan Ivy-Linlin（11022356）"/>
    <s v="Cheng Cheng"/>
    <m/>
    <m/>
    <m/>
    <s v="0 increase"/>
  </r>
  <r>
    <s v="CN15"/>
    <n v="15001283"/>
    <s v="戴 军"/>
    <s v="Dai Jun"/>
    <s v="Indirect Active"/>
    <s v="OP"/>
    <s v="SCh"/>
    <s v="FLCCh-ME"/>
    <s v="340200"/>
    <d v="2007-11-06T00:00:00"/>
    <s v="Director"/>
    <s v="Head of Manufacturing Engineering"/>
    <x v="5"/>
    <n v="2"/>
    <x v="2"/>
    <n v="37454"/>
    <n v="2.5000000000000001E-2"/>
    <n v="936"/>
    <n v="0"/>
    <n v="0"/>
    <n v="2.4990655203716558E-2"/>
    <n v="936"/>
    <n v="38390"/>
    <n v="38250"/>
    <n v="796"/>
    <x v="51"/>
    <s v="2.00%-3.00%"/>
    <m/>
    <m/>
    <m/>
    <m/>
    <n v="0"/>
    <n v="38250"/>
    <n v="796"/>
    <n v="2.1252736690340113E-2"/>
    <n v="14"/>
    <n v="3450"/>
    <n v="1000"/>
    <n v="688"/>
    <n v="589588"/>
    <n v="3"/>
    <m/>
    <m/>
    <m/>
    <s v="Gu Yinhua（51200135）"/>
    <s v="Fan Ivy-Linlin（11022356）"/>
    <s v="Cheng Cheng"/>
    <m/>
    <m/>
    <m/>
    <s v="OK"/>
  </r>
  <r>
    <s v="CN15"/>
    <n v="15003275"/>
    <s v="潘 明友"/>
    <s v="Pan Mingyou"/>
    <s v="Indirect Active"/>
    <s v="OP"/>
    <s v="SCh"/>
    <s v="FLCCh-MEF"/>
    <s v="340200"/>
    <d v="2010-02-01T00:00:00"/>
    <s v="Manager"/>
    <s v="Head of Fabrication Engineering"/>
    <x v="3"/>
    <n v="2"/>
    <x v="2"/>
    <n v="19543"/>
    <n v="0.03"/>
    <n v="586"/>
    <n v="0"/>
    <n v="0"/>
    <n v="2.9985160927186203E-2"/>
    <n v="586"/>
    <n v="20129"/>
    <n v="20100"/>
    <n v="557"/>
    <x v="251"/>
    <s v="2.40%-3.60%"/>
    <m/>
    <m/>
    <m/>
    <m/>
    <n v="0"/>
    <n v="20100"/>
    <n v="557"/>
    <n v="2.850125364580669E-2"/>
    <n v="14"/>
    <n v="2950"/>
    <m/>
    <n v="688"/>
    <n v="317488"/>
    <n v="3"/>
    <m/>
    <s v="20260701 transfer to FLCCh-V1 head，BOX5"/>
    <m/>
    <s v="Gu Yinhua（51200135）"/>
    <s v="Fan Ivy-Linlin（11022356）"/>
    <s v="Cheng Cheng"/>
    <m/>
    <m/>
    <m/>
    <s v="OK"/>
  </r>
  <r>
    <s v="CN15"/>
    <n v="15013871"/>
    <s v="康 焘"/>
    <s v="Kang Tao"/>
    <s v="Indirect Active"/>
    <s v="OP"/>
    <s v="SCh"/>
    <s v="FLCCh-MT"/>
    <s v="340406"/>
    <d v="2014-12-17T00:00:00"/>
    <s v="Manager"/>
    <s v="Head of Maintenance"/>
    <x v="3"/>
    <n v="2"/>
    <x v="0"/>
    <n v="21504"/>
    <n v="0.05"/>
    <n v="1075"/>
    <n v="2.7E-2"/>
    <n v="581"/>
    <n v="7.7008928571428575E-2"/>
    <n v="1656"/>
    <n v="23160"/>
    <n v="23100"/>
    <n v="1596"/>
    <x v="252"/>
    <s v="6.16%-9.24%"/>
    <m/>
    <m/>
    <m/>
    <m/>
    <n v="0"/>
    <n v="23100"/>
    <n v="1596"/>
    <n v="7.421875E-2"/>
    <n v="14"/>
    <n v="3950"/>
    <m/>
    <n v="688"/>
    <n v="371488"/>
    <n v="4"/>
    <m/>
    <m/>
    <m/>
    <s v="Gu Yinhua（51200135）"/>
    <s v="Fan Ivy-Linlin（11022356）"/>
    <s v="Cheng Cheng"/>
    <m/>
    <m/>
    <m/>
    <s v="OK"/>
  </r>
  <r>
    <s v="CN15"/>
    <n v="15014018"/>
    <s v="王 晓峰"/>
    <s v="Wang Xiaofeng"/>
    <s v="Indirect Active"/>
    <s v="OP"/>
    <s v="SCh"/>
    <s v="FLCCh-MEA"/>
    <s v="340200"/>
    <d v="2021-05-31T00:00:00"/>
    <s v="Manager"/>
    <s v="Head of FLCCh-MEA"/>
    <x v="3"/>
    <n v="2"/>
    <x v="3"/>
    <n v="19357"/>
    <n v="0"/>
    <n v="0"/>
    <n v="0"/>
    <n v="0"/>
    <n v="0"/>
    <n v="0"/>
    <n v="19357"/>
    <n v="19357"/>
    <n v="0"/>
    <x v="5"/>
    <s v="0.00%-0.00%"/>
    <m/>
    <m/>
    <m/>
    <m/>
    <n v="0"/>
    <n v="19357"/>
    <n v="0"/>
    <n v="0"/>
    <n v="14"/>
    <n v="450"/>
    <m/>
    <n v="688"/>
    <n v="277086"/>
    <n v="4"/>
    <m/>
    <m/>
    <m/>
    <s v="Gu Yinhua（51200135）"/>
    <s v="Fan Ivy-Linlin（11022356）"/>
    <s v="Cheng Cheng"/>
    <m/>
    <m/>
    <m/>
    <s v="OK"/>
  </r>
  <r>
    <s v="CN15"/>
    <n v="15019895"/>
    <s v="栾 文力"/>
    <s v="Luan Wenli"/>
    <s v="Indirect Active"/>
    <s v="OP"/>
    <s v="SCh"/>
    <s v="FLCCh"/>
    <s v="340100"/>
    <d v="2019-10-23T00:00:00"/>
    <s v="Expert (CN)"/>
    <s v="Expert (CN)"/>
    <x v="3"/>
    <n v="2"/>
    <x v="2"/>
    <n v="22010"/>
    <n v="2.5000000000000001E-2"/>
    <n v="550"/>
    <n v="0"/>
    <n v="0"/>
    <n v="2.4988641526578828E-2"/>
    <n v="550"/>
    <n v="22560"/>
    <n v="22560"/>
    <n v="550"/>
    <x v="13"/>
    <s v="2.00%-3.00%"/>
    <m/>
    <m/>
    <m/>
    <m/>
    <n v="0"/>
    <n v="22560"/>
    <n v="550"/>
    <n v="2.4988641526578759E-2"/>
    <n v="14"/>
    <n v="4250"/>
    <m/>
    <n v="688"/>
    <n v="367528"/>
    <n v="3"/>
    <m/>
    <m/>
    <m/>
    <s v="Gu Yinhua（51200135）"/>
    <s v="Fan Ivy-Linlin（11022356）"/>
    <s v="Cheng Cheng"/>
    <m/>
    <m/>
    <m/>
    <s v="OK"/>
  </r>
  <r>
    <s v="CN15"/>
    <n v="15022150"/>
    <s v="赵 伟豪"/>
    <s v="Zhao Weihao"/>
    <s v="Indirect Active"/>
    <s v="OP"/>
    <s v="SCh"/>
    <s v="FLCCh-MEF"/>
    <s v="340200"/>
    <d v="2022-03-02T00:00:00"/>
    <s v="Engineer"/>
    <s v="Prefabrication Engineer"/>
    <x v="2"/>
    <n v="2"/>
    <x v="2"/>
    <n v="9632"/>
    <n v="2.5000000000000001E-2"/>
    <n v="241"/>
    <n v="0"/>
    <n v="0"/>
    <n v="2.502076411960133E-2"/>
    <n v="241"/>
    <n v="9873"/>
    <n v="9920"/>
    <n v="288"/>
    <x v="2"/>
    <s v="2.00%-3.00%"/>
    <m/>
    <m/>
    <m/>
    <m/>
    <n v="0"/>
    <n v="9920"/>
    <n v="288"/>
    <n v="2.9900332225913706E-2"/>
    <n v="14"/>
    <n v="450"/>
    <m/>
    <n v="688"/>
    <n v="144968"/>
    <n v="3"/>
    <m/>
    <m/>
    <m/>
    <s v="Gu Yinhua（51200135）"/>
    <s v="Fan Ivy-Linlin（11022356）"/>
    <s v="Cheng Cheng"/>
    <m/>
    <m/>
    <m/>
    <s v="OK"/>
  </r>
  <r>
    <s v="CN15"/>
    <n v="51202544"/>
    <s v="杨 龙军"/>
    <s v="Yang Longjun"/>
    <s v="Indirect Active"/>
    <s v="OP"/>
    <s v="SCh"/>
    <s v="FLCCh-MT"/>
    <s v="340406"/>
    <d v="2020-11-02T00:00:00"/>
    <s v="Engineer"/>
    <s v="Engineer"/>
    <x v="2"/>
    <n v="2"/>
    <x v="3"/>
    <n v="8953"/>
    <n v="0"/>
    <n v="0"/>
    <n v="0"/>
    <n v="0"/>
    <n v="0"/>
    <n v="0"/>
    <n v="8953"/>
    <n v="9100"/>
    <n v="147"/>
    <x v="253"/>
    <s v="0.00%-0.00%"/>
    <m/>
    <m/>
    <m/>
    <m/>
    <n v="0"/>
    <n v="9100"/>
    <n v="147"/>
    <n v="1.6419077404222104E-2"/>
    <n v="14"/>
    <n v="450"/>
    <m/>
    <n v="688"/>
    <n v="133488"/>
    <n v="5"/>
    <m/>
    <s v="High Performer,2025Rating affected by promotion"/>
    <s v="Good performance/talent"/>
    <s v="Gu Yinhua（51200135）"/>
    <s v="Fan Ivy-Linlin（11022356）"/>
    <s v="Cheng Cheng"/>
    <m/>
    <m/>
    <m/>
    <s v="&gt;20"/>
  </r>
  <r>
    <s v="CN15"/>
    <n v="1120401"/>
    <s v="杨 阳"/>
    <s v="Yang Yang"/>
    <s v="Indirect Active"/>
    <s v="OP"/>
    <s v="SCh"/>
    <s v="FLCCh-ME"/>
    <s v="340200"/>
    <d v="2025-12-01T00:00:00"/>
    <s v="Senior Engineer"/>
    <s v="Senior Electrical Engineer"/>
    <x v="1"/>
    <n v="2"/>
    <x v="4"/>
    <n v="17800"/>
    <n v="0"/>
    <n v="0"/>
    <n v="0"/>
    <n v="0"/>
    <n v="0"/>
    <n v="0"/>
    <n v="17800"/>
    <n v="17800"/>
    <n v="0"/>
    <x v="5"/>
    <s v="0.00%-0.00%"/>
    <m/>
    <m/>
    <m/>
    <m/>
    <n v="0"/>
    <n v="17800"/>
    <n v="0"/>
    <n v="0"/>
    <n v="14"/>
    <n v="450"/>
    <m/>
    <n v="688"/>
    <n v="255288"/>
    <e v="#N/A"/>
    <m/>
    <m/>
    <m/>
    <s v="Gu Yinhua（51200135）"/>
    <s v="Fan Ivy-Linlin（11022356）"/>
    <s v="Cheng Cheng"/>
    <m/>
    <m/>
    <m/>
    <s v="OK"/>
  </r>
  <r>
    <s v="CN15"/>
    <n v="1120247"/>
    <s v="郭 蕾"/>
    <s v="Guo Lei"/>
    <s v="Indirect Active"/>
    <s v="OP"/>
    <s v="SC"/>
    <s v="SCh-SC2MX"/>
    <s v="290153"/>
    <d v="2020-02-10T00:00:00"/>
    <s v="Planner"/>
    <s v="Material Planner"/>
    <x v="2"/>
    <n v="2"/>
    <x v="2"/>
    <n v="8070"/>
    <n v="2.5000000000000001E-2"/>
    <n v="202"/>
    <n v="0"/>
    <n v="0"/>
    <n v="2.5030978934324658E-2"/>
    <n v="202"/>
    <n v="8272"/>
    <n v="8272"/>
    <n v="202"/>
    <x v="13"/>
    <s v="2.00%-3.00%"/>
    <m/>
    <m/>
    <m/>
    <m/>
    <n v="0"/>
    <n v="8272"/>
    <n v="202"/>
    <n v="2.5030978934324599E-2"/>
    <n v="14"/>
    <n v="850"/>
    <m/>
    <n v="688"/>
    <n v="126696"/>
    <n v="3"/>
    <m/>
    <m/>
    <m/>
    <s v="Zhou Chuancui（1520041）"/>
    <s v="Shao Xiao（11018043）"/>
    <s v="Cheng Cheng"/>
    <m/>
    <m/>
    <m/>
    <s v="OK"/>
  </r>
  <r>
    <s v="CN15"/>
    <n v="1120248"/>
    <s v="李 龙浩"/>
    <s v="Li Longhao"/>
    <s v="Indirect Active"/>
    <s v="OP"/>
    <s v="SC"/>
    <s v="SCh-SC2ME"/>
    <s v="290153"/>
    <d v="2020-02-24T00:00:00"/>
    <s v="Senior Planner"/>
    <s v="Senior Material Planner"/>
    <x v="1"/>
    <n v="2"/>
    <x v="2"/>
    <n v="10051"/>
    <n v="0.03"/>
    <n v="302"/>
    <n v="0"/>
    <n v="0"/>
    <n v="3.0046761516267038E-2"/>
    <n v="302"/>
    <n v="10353"/>
    <n v="10353"/>
    <n v="302"/>
    <x v="11"/>
    <s v="2.40%-3.61%"/>
    <m/>
    <m/>
    <m/>
    <m/>
    <n v="0"/>
    <n v="10353"/>
    <n v="302"/>
    <n v="3.0046761516266951E-2"/>
    <n v="14"/>
    <n v="450"/>
    <m/>
    <n v="688"/>
    <n v="151030"/>
    <n v="3"/>
    <m/>
    <m/>
    <m/>
    <s v="Zhou Chuancui（1520041）"/>
    <s v="Shao Xiao（11018043）"/>
    <s v="Cheng Cheng"/>
    <m/>
    <m/>
    <m/>
    <s v="OK"/>
  </r>
  <r>
    <s v="CN15"/>
    <n v="1120275"/>
    <s v="杨 淑芳"/>
    <s v="Yang Shufang"/>
    <s v="Indirect Active"/>
    <s v="OP"/>
    <s v="SC"/>
    <s v="SCh-SC2MX"/>
    <s v="290153"/>
    <d v="2020-11-02T00:00:00"/>
    <s v="Senior Planner"/>
    <s v="Senior Material Planner"/>
    <x v="1"/>
    <n v="2"/>
    <x v="1"/>
    <n v="8695"/>
    <n v="4.4999999999999998E-2"/>
    <n v="391"/>
    <n v="4.2099999999999999E-2"/>
    <n v="366"/>
    <n v="8.7061529614721106E-2"/>
    <n v="757"/>
    <n v="9452"/>
    <n v="9452"/>
    <n v="757"/>
    <x v="180"/>
    <s v="6.96%-10.45%"/>
    <m/>
    <m/>
    <m/>
    <m/>
    <n v="0"/>
    <n v="9452"/>
    <n v="757"/>
    <n v="8.7061529614721023E-2"/>
    <n v="14"/>
    <n v="450"/>
    <m/>
    <n v="688"/>
    <n v="138416"/>
    <n v="2"/>
    <m/>
    <m/>
    <m/>
    <s v="Zhou Chuancui（1520041）"/>
    <s v="Shao Xiao（11018043）"/>
    <s v="Cheng Cheng"/>
    <m/>
    <m/>
    <m/>
    <s v="OK"/>
  </r>
  <r>
    <s v="CN15"/>
    <n v="1120301"/>
    <s v="范 敬敬"/>
    <s v="Fan jingjing"/>
    <s v="Indirect Active"/>
    <s v="OP"/>
    <s v="SC"/>
    <s v="SCh-SC2MS"/>
    <s v="290153"/>
    <d v="2021-03-05T00:00:00"/>
    <s v="Planner"/>
    <s v="Material Planner"/>
    <x v="2"/>
    <n v="2"/>
    <x v="1"/>
    <n v="7180"/>
    <n v="3.7500000000000006E-2"/>
    <n v="269"/>
    <n v="1.55E-2"/>
    <n v="111"/>
    <n v="5.2924791086350974E-2"/>
    <n v="380"/>
    <n v="7560"/>
    <n v="7560"/>
    <n v="380"/>
    <x v="254"/>
    <s v="4.23%-6.35%"/>
    <m/>
    <m/>
    <m/>
    <m/>
    <n v="0"/>
    <n v="7560"/>
    <n v="380"/>
    <n v="5.2924791086351064E-2"/>
    <n v="14"/>
    <n v="450"/>
    <m/>
    <n v="688"/>
    <n v="111928"/>
    <n v="3"/>
    <m/>
    <m/>
    <m/>
    <s v="Zhou Chuancui（1520041）"/>
    <s v="Shao Xiao（11018043）"/>
    <s v="Cheng Cheng"/>
    <m/>
    <m/>
    <m/>
    <s v="OK"/>
  </r>
  <r>
    <s v="CN15"/>
    <n v="1120350"/>
    <s v="吴 梦菲"/>
    <s v="Wu Mengfei"/>
    <s v="Indirect Active"/>
    <s v="OP"/>
    <s v="SC"/>
    <s v="SCh-SC2MP"/>
    <s v="290153"/>
    <d v="2021-09-06T00:00:00"/>
    <s v="Planner"/>
    <s v="Material Planner"/>
    <x v="2"/>
    <n v="2"/>
    <x v="2"/>
    <n v="7243"/>
    <n v="2.5000000000000001E-2"/>
    <n v="181"/>
    <n v="0"/>
    <n v="0"/>
    <n v="2.4989645174651388E-2"/>
    <n v="181"/>
    <n v="7424"/>
    <n v="7424"/>
    <n v="181"/>
    <x v="13"/>
    <s v="2.00%-3.00%"/>
    <m/>
    <m/>
    <m/>
    <m/>
    <n v="0"/>
    <n v="7424"/>
    <n v="181"/>
    <n v="2.4989645174651409E-2"/>
    <n v="14"/>
    <n v="450"/>
    <m/>
    <n v="688"/>
    <n v="110024"/>
    <n v="3"/>
    <m/>
    <m/>
    <m/>
    <s v="Zhou Chuancui（1520041）"/>
    <s v="Shao Xiao（11018043）"/>
    <s v="Cheng Cheng"/>
    <m/>
    <m/>
    <m/>
    <s v="OK"/>
  </r>
  <r>
    <s v="CN15"/>
    <n v="1230108"/>
    <s v="崔 文霜"/>
    <s v="Cui Wenshuang"/>
    <s v="Indirect Active"/>
    <s v="OP"/>
    <s v="SC"/>
    <s v="SCh-SC2ME"/>
    <s v="290153"/>
    <d v="2017-05-22T00:00:00"/>
    <s v="Senior Planner"/>
    <s v="Senior Material Planner"/>
    <x v="1"/>
    <n v="2"/>
    <x v="1"/>
    <n v="9451"/>
    <n v="4.4999999999999998E-2"/>
    <n v="425"/>
    <n v="4.2099999999999999E-2"/>
    <n v="398"/>
    <n v="8.7080732197651042E-2"/>
    <n v="823"/>
    <n v="10274"/>
    <n v="10110"/>
    <n v="659"/>
    <x v="255"/>
    <s v="6.97%-10.45%"/>
    <s v="Promotion"/>
    <s v="funcational specialist "/>
    <s v="A6"/>
    <n v="0.05"/>
    <n v="473"/>
    <n v="10583"/>
    <n v="1132"/>
    <n v="0.11977568511268655"/>
    <n v="14"/>
    <n v="450"/>
    <m/>
    <n v="688"/>
    <n v="154250"/>
    <n v="4"/>
    <m/>
    <s v="She is the candidate in future MM OPEX study1 and She can be also candidate for expert role after Step-2 either in MM or GPL-SCS MM LPO._x0009__x000a_1.Excellent in managing electronic suppliers, with significant contributions following the MP group consolidation._x000a_2._x0009_Drove the following key and complex projects from the supply chain side:_x000a__x0009_Resolution of TFT bottleneck and contribution to ratio (through local source introduction)._x000a__x0009_Key leading role in supply and demand management during the Delta factory relocation (over 10 months), ensuring demand supply with no OB risk._x000a_3._x0009_MP digitalization pioneer; subject matter expert in Power BI and Quick BI. Key deliverables include inventory and OB stock Quick BI reports in MP."/>
    <m/>
    <s v="Zhou Chuancui（1520041）"/>
    <s v="Shao Xiao（11018043）"/>
    <s v="Cheng Cheng"/>
    <m/>
    <m/>
    <m/>
    <s v="OK"/>
  </r>
  <r>
    <s v="CN15"/>
    <n v="1421099"/>
    <s v="杨 丽"/>
    <s v="Yang Li"/>
    <s v="Indirect Active"/>
    <s v="OP"/>
    <s v="SC"/>
    <s v="SCh-SC2MM"/>
    <s v="290153"/>
    <d v="2004-02-01T00:00:00"/>
    <s v="Senior Planner"/>
    <s v="Senior Material Planner"/>
    <x v="1"/>
    <n v="2"/>
    <x v="2"/>
    <n v="10600"/>
    <n v="2.5000000000000001E-2"/>
    <n v="265"/>
    <n v="0"/>
    <n v="0"/>
    <n v="2.5000000000000001E-2"/>
    <n v="265"/>
    <n v="10865"/>
    <n v="10865"/>
    <n v="265"/>
    <x v="13"/>
    <s v="2.00%-3.00%"/>
    <m/>
    <m/>
    <m/>
    <m/>
    <n v="0"/>
    <n v="10865"/>
    <n v="265"/>
    <n v="2.4999999999999911E-2"/>
    <n v="14"/>
    <n v="450"/>
    <m/>
    <n v="688"/>
    <n v="158198"/>
    <n v="3"/>
    <m/>
    <m/>
    <m/>
    <s v="Zhou Chuancui（1520041）"/>
    <s v="Shao Xiao（11018043）"/>
    <s v="Cheng Cheng"/>
    <m/>
    <m/>
    <m/>
    <s v="OK"/>
  </r>
  <r>
    <s v="CN15"/>
    <n v="1421147"/>
    <s v="牛 菊"/>
    <s v="Niu Ju"/>
    <s v="Indirect Active"/>
    <s v="OP"/>
    <s v="SC"/>
    <s v="SCh-SC2MS"/>
    <s v="290153"/>
    <d v="2010-09-20T00:00:00"/>
    <s v="Supervisor"/>
    <s v="Head of SCh-SC2MS"/>
    <x v="0"/>
    <n v="2"/>
    <x v="3"/>
    <n v="12187"/>
    <n v="0"/>
    <n v="0"/>
    <n v="0"/>
    <n v="0"/>
    <n v="0"/>
    <n v="0"/>
    <n v="12187"/>
    <n v="12500"/>
    <n v="313"/>
    <x v="125"/>
    <s v="0.00%-0.00%"/>
    <m/>
    <m/>
    <m/>
    <m/>
    <n v="0"/>
    <n v="12500"/>
    <n v="313"/>
    <n v="2.5683104947895385E-2"/>
    <n v="14"/>
    <n v="450"/>
    <m/>
    <n v="688"/>
    <n v="181088"/>
    <n v="4"/>
    <m/>
    <s v="She was promoted in 2025, demonstrating exceptional _x000a_performance—particularly in taking on the dual role of Materials Group Head and FDCCh Speaker"/>
    <s v="Internal balance"/>
    <s v="Zhou Chuancui（1520041）"/>
    <s v="Shao Xiao（11018043）"/>
    <s v="Cheng Cheng"/>
    <m/>
    <m/>
    <m/>
    <s v="&gt;20"/>
  </r>
  <r>
    <s v="CN15"/>
    <n v="1421192"/>
    <s v="方 智松"/>
    <s v="Fang Zhisong"/>
    <s v="Indirect Active"/>
    <s v="OP"/>
    <s v="SC"/>
    <s v="SCh-SC2MS"/>
    <s v="290153"/>
    <d v="2013-08-14T00:00:00"/>
    <s v="Planner"/>
    <s v="Material Planner"/>
    <x v="2"/>
    <n v="2"/>
    <x v="2"/>
    <n v="8455"/>
    <n v="2.5000000000000001E-2"/>
    <n v="211"/>
    <n v="0"/>
    <n v="0"/>
    <n v="2.4955647545830871E-2"/>
    <n v="211"/>
    <n v="8666"/>
    <n v="8455"/>
    <n v="0"/>
    <x v="5"/>
    <s v="2.00%-2.99%"/>
    <m/>
    <m/>
    <m/>
    <m/>
    <n v="0"/>
    <n v="8455"/>
    <n v="0"/>
    <n v="0"/>
    <n v="14"/>
    <n v="950"/>
    <m/>
    <n v="688"/>
    <n v="130458"/>
    <n v="2"/>
    <m/>
    <s v="Low performer"/>
    <s v="Low performer"/>
    <s v="Zhou Chuancui（1520041）"/>
    <s v="Shao Xiao（11018043）"/>
    <s v="Cheng Cheng"/>
    <m/>
    <m/>
    <m/>
    <s v="0 increase"/>
  </r>
  <r>
    <s v="CN15"/>
    <n v="1421193"/>
    <s v="张 广志"/>
    <s v="Zhang Guangzhi"/>
    <s v="Indirect Active"/>
    <s v="OP"/>
    <s v="SC"/>
    <s v="SCh-SC2ME"/>
    <s v="290153"/>
    <d v="2013-09-09T00:00:00"/>
    <s v="Supervisor"/>
    <s v="Head of SCh-SC2ME"/>
    <x v="0"/>
    <n v="2"/>
    <x v="0"/>
    <n v="15816"/>
    <n v="0.05"/>
    <n v="791"/>
    <n v="0"/>
    <n v="0"/>
    <n v="5.0012645422357109E-2"/>
    <n v="791"/>
    <n v="16607"/>
    <n v="16607"/>
    <n v="791"/>
    <x v="139"/>
    <s v="4.00%-6.00%"/>
    <m/>
    <m/>
    <m/>
    <m/>
    <n v="0"/>
    <n v="16607"/>
    <n v="791"/>
    <n v="5.001264542235706E-2"/>
    <n v="14"/>
    <n v="900"/>
    <m/>
    <n v="688"/>
    <n v="243986"/>
    <n v="5"/>
    <m/>
    <m/>
    <m/>
    <s v="Zhou Chuancui（1520041）"/>
    <s v="Shao Xiao（11018043）"/>
    <s v="Cheng Cheng"/>
    <m/>
    <m/>
    <m/>
    <s v="OK"/>
  </r>
  <r>
    <s v="CN15"/>
    <n v="1421203"/>
    <s v="陈 开华"/>
    <s v="Chen Kaihua"/>
    <s v="Indirect Active"/>
    <s v="OP"/>
    <s v="SC"/>
    <s v="SCh-SC2MP"/>
    <s v="290153"/>
    <d v="2014-10-27T00:00:00"/>
    <s v="Supervisor"/>
    <s v="Head of SCh-SC2MP"/>
    <x v="0"/>
    <n v="2"/>
    <x v="0"/>
    <n v="16206"/>
    <n v="0.05"/>
    <n v="810"/>
    <n v="0"/>
    <n v="0"/>
    <n v="4.9981488337652723E-2"/>
    <n v="810"/>
    <n v="17016"/>
    <n v="17016"/>
    <n v="810"/>
    <x v="139"/>
    <s v="4.00%-6.00%"/>
    <s v="Promotion"/>
    <s v="Manager"/>
    <s v="B"/>
    <n v="0.05"/>
    <n v="810"/>
    <n v="17826"/>
    <n v="1620"/>
    <n v="9.9962976675305404E-2"/>
    <n v="14"/>
    <n v="900"/>
    <m/>
    <n v="688"/>
    <n v="261052"/>
    <n v="5"/>
    <m/>
    <s v="Performance is average but potential is low,internal balance needed too."/>
    <s v="Internal balance"/>
    <s v="Zhou Chuancui（1520041）"/>
    <s v="Shao Xiao（11018043）"/>
    <s v="Cheng Cheng"/>
    <m/>
    <s v="Need to Apply IPE "/>
    <m/>
    <s v="OK"/>
  </r>
  <r>
    <s v="CN15"/>
    <n v="1520008"/>
    <s v="孙 泽华"/>
    <s v="Sun Zehua"/>
    <s v="Indirect Active"/>
    <s v="OP"/>
    <s v="SC"/>
    <s v="SCh-SC2MP"/>
    <s v="290153"/>
    <d v="1991-07-01T00:00:00"/>
    <s v="Senior Planner"/>
    <s v="Senior Material Planner"/>
    <x v="1"/>
    <n v="2"/>
    <x v="2"/>
    <n v="10860"/>
    <n v="2.5000000000000001E-2"/>
    <n v="272"/>
    <n v="0"/>
    <n v="0"/>
    <n v="2.5046040515653775E-2"/>
    <n v="272"/>
    <n v="11132"/>
    <n v="11132"/>
    <n v="272"/>
    <x v="13"/>
    <s v="2.00%-3.01%"/>
    <m/>
    <m/>
    <m/>
    <m/>
    <n v="0"/>
    <n v="11132"/>
    <n v="272"/>
    <n v="2.5046040515653845E-2"/>
    <n v="14"/>
    <n v="450"/>
    <m/>
    <n v="688"/>
    <n v="161936"/>
    <n v="3"/>
    <m/>
    <s v="1. Very experienced materials planner in materials planning for plastic parts management_x000a_2. Manage &gt; 1,400 parts (the highest volume among all planners) in materials planning_x000a_3.  Introduce JIT material (&gt; 130 Parts ) to optimize material stock for both value &amp; volume_x000a_4. Good performance in material management （PIPO）_x000a_5. Actively solve material delivery bottlenecks_x000a_6. Willing to share experience in plastic material area and support colleagues"/>
    <s v="Internal balance"/>
    <s v="Zhou Chuancui（1520041）"/>
    <s v="Shao Xiao（11018043）"/>
    <s v="Cheng Cheng"/>
    <m/>
    <m/>
    <m/>
    <s v="OK"/>
  </r>
  <r>
    <s v="CN15"/>
    <n v="1520011"/>
    <s v="徐 昌虎"/>
    <s v="Xu Changhu"/>
    <s v="Indirect Active"/>
    <s v="OP"/>
    <s v="SC"/>
    <s v="SCh-SC2MP"/>
    <s v="290153"/>
    <d v="1985-03-01T00:00:00"/>
    <s v="Planner"/>
    <s v="Material Planner"/>
    <x v="2"/>
    <n v="2"/>
    <x v="2"/>
    <n v="8035"/>
    <n v="2.5000000000000001E-2"/>
    <n v="201"/>
    <n v="0"/>
    <n v="0"/>
    <n v="2.5015556938394523E-2"/>
    <n v="201"/>
    <n v="8236"/>
    <n v="8035"/>
    <n v="0"/>
    <x v="5"/>
    <s v="2.00%-3.00%"/>
    <m/>
    <m/>
    <m/>
    <m/>
    <n v="0"/>
    <n v="8035"/>
    <n v="0"/>
    <n v="0"/>
    <n v="14"/>
    <n v="450"/>
    <m/>
    <n v="688"/>
    <n v="118578"/>
    <n v="2"/>
    <m/>
    <s v="Low performer"/>
    <s v="Low performer"/>
    <s v="Zhou Chuancui（1520041）"/>
    <s v="Shao Xiao（11018043）"/>
    <s v="Cheng Cheng"/>
    <m/>
    <m/>
    <m/>
    <s v="0 increase"/>
  </r>
  <r>
    <s v="CN15"/>
    <n v="1520004"/>
    <s v="关 敬好"/>
    <s v="Guan Jinghao"/>
    <s v="Indirect Active"/>
    <s v="OP"/>
    <s v="SC"/>
    <s v="SCh-SC2"/>
    <s v="290150"/>
    <d v="1992-07-01T00:00:00"/>
    <s v="Supervisor"/>
    <s v="Project Management"/>
    <x v="0"/>
    <n v="2"/>
    <x v="2"/>
    <n v="16374"/>
    <n v="0.03"/>
    <n v="491"/>
    <n v="0"/>
    <n v="0"/>
    <n v="2.9986564064981066E-2"/>
    <n v="491"/>
    <n v="16865"/>
    <n v="16374"/>
    <n v="0"/>
    <x v="5"/>
    <s v="2.40%-3.60%"/>
    <m/>
    <m/>
    <m/>
    <m/>
    <n v="0"/>
    <n v="16374"/>
    <n v="0"/>
    <n v="0"/>
    <n v="14"/>
    <n v="450"/>
    <m/>
    <n v="688"/>
    <n v="235324"/>
    <n v="3"/>
    <m/>
    <s v="Performance is average but potential is low,internal balance needed too."/>
    <s v="Internal balance"/>
    <s v="Cao Xuelian（15020877）"/>
    <s v="Shao Xiao（11018043）"/>
    <s v="Cheng Cheng"/>
    <m/>
    <m/>
    <m/>
    <s v="0 increase"/>
  </r>
  <r>
    <s v="CN15"/>
    <n v="15009989"/>
    <s v="徐 通庆"/>
    <s v="Xu Tongqing"/>
    <s v="Indirect Active"/>
    <s v="OP"/>
    <s v="SC"/>
    <s v="SCh-SC2"/>
    <s v="390500"/>
    <d v="2013-04-09T00:00:00"/>
    <s v="Senior Project Manager"/>
    <s v="Senior Project Manager"/>
    <x v="3"/>
    <n v="2"/>
    <x v="0"/>
    <n v="23470"/>
    <n v="0.05"/>
    <n v="1174"/>
    <n v="2.7E-2"/>
    <n v="634"/>
    <n v="7.7034512143161482E-2"/>
    <n v="1808"/>
    <n v="25278"/>
    <n v="25250"/>
    <n v="1780"/>
    <x v="202"/>
    <s v="6.16%-9.24%"/>
    <m/>
    <m/>
    <m/>
    <m/>
    <n v="0"/>
    <n v="25250"/>
    <n v="1780"/>
    <n v="7.5841499786962085E-2"/>
    <n v="14"/>
    <n v="450"/>
    <m/>
    <n v="688"/>
    <n v="359588"/>
    <n v="5"/>
    <m/>
    <s v="Less responsibility compare with job level"/>
    <s v="Less responsibility compare with job level"/>
    <s v="Pastirmaci Ali Kaan（1600047）"/>
    <s v="Shao Xiao（11018043）"/>
    <s v="Cheng Cheng"/>
    <m/>
    <m/>
    <m/>
    <s v="OK"/>
  </r>
  <r>
    <s v="CN15"/>
    <n v="1009417"/>
    <s v="杨 洁"/>
    <s v="Yang Jie"/>
    <s v="Indirect Active"/>
    <s v="OP"/>
    <s v="SC"/>
    <s v="SCh-SC2"/>
    <s v="290150"/>
    <d v="2013-12-26T00:00:00"/>
    <s v="Team Assistant"/>
    <s v="Team Assistant"/>
    <x v="2"/>
    <n v="2"/>
    <x v="2"/>
    <n v="6162"/>
    <n v="2.5000000000000001E-2"/>
    <n v="154"/>
    <n v="0"/>
    <n v="0"/>
    <n v="2.4991885751379422E-2"/>
    <n v="154"/>
    <n v="6316"/>
    <n v="6500"/>
    <n v="338"/>
    <x v="256"/>
    <s v="2.00%-3.00%"/>
    <m/>
    <m/>
    <m/>
    <m/>
    <n v="0"/>
    <n v="6500"/>
    <n v="338"/>
    <n v="5.4852320675105481E-2"/>
    <n v="14"/>
    <n v="450"/>
    <m/>
    <n v="688"/>
    <n v="97088"/>
    <n v="3"/>
    <m/>
    <s v="Internal balance"/>
    <s v="Internal balance"/>
    <s v="Pastirmaci Ali Kaan（1600047）"/>
    <s v="Shao Xiao（11018043）"/>
    <s v="Cheng Cheng"/>
    <m/>
    <m/>
    <m/>
    <s v="&gt;20"/>
  </r>
  <r>
    <s v="CN15"/>
    <n v="1120031"/>
    <s v="王 小庆"/>
    <s v="Wang Xiaoqing"/>
    <s v="Indirect Active"/>
    <s v="OP"/>
    <s v="SC"/>
    <s v="SCh-SC2L"/>
    <s v="290150"/>
    <d v="2000-02-28T00:00:00"/>
    <s v="Director"/>
    <s v="Head of Internal Logistics"/>
    <x v="5"/>
    <n v="2"/>
    <x v="2"/>
    <n v="29250"/>
    <n v="0.03"/>
    <n v="878"/>
    <n v="0"/>
    <n v="0"/>
    <n v="3.0017094017094018E-2"/>
    <n v="878"/>
    <n v="30128"/>
    <n v="29250"/>
    <n v="0"/>
    <x v="5"/>
    <s v="2.40%-3.60%"/>
    <m/>
    <m/>
    <m/>
    <m/>
    <n v="0"/>
    <n v="29250"/>
    <n v="0"/>
    <n v="0"/>
    <n v="14"/>
    <n v="950"/>
    <n v="1000"/>
    <n v="688"/>
    <n v="433588"/>
    <n v="4"/>
    <m/>
    <s v="Internal balance"/>
    <s v="Internal balance"/>
    <s v="Pastirmaci Ali Kaan（1600047）"/>
    <s v="Shao Xiao（11018043）"/>
    <s v="Cheng Cheng"/>
    <m/>
    <m/>
    <m/>
    <s v="0 increase"/>
  </r>
  <r>
    <s v="CN15"/>
    <n v="1421065"/>
    <s v="杨 芳芳"/>
    <s v="Yang Fangfang"/>
    <s v="Indirect Active"/>
    <s v="OP"/>
    <s v="SC"/>
    <s v="SCh-SC2P"/>
    <s v="290154"/>
    <d v="2008-07-01T00:00:00"/>
    <s v="Manager"/>
    <s v="Head of Supply Fulfillment"/>
    <x v="3"/>
    <n v="2"/>
    <x v="2"/>
    <n v="23249"/>
    <n v="0"/>
    <n v="0"/>
    <n v="0"/>
    <n v="0"/>
    <n v="0"/>
    <n v="0"/>
    <n v="23249"/>
    <n v="24000"/>
    <n v="751"/>
    <x v="257"/>
    <s v="0.00%-0.00%"/>
    <m/>
    <m/>
    <m/>
    <m/>
    <n v="0"/>
    <n v="24000"/>
    <n v="751"/>
    <n v="3.2302464622134375E-2"/>
    <n v="14"/>
    <n v="950"/>
    <m/>
    <n v="688"/>
    <n v="348088"/>
    <n v="3"/>
    <m/>
    <s v="Good contribution"/>
    <s v="Internal balance"/>
    <s v="Pastirmaci Ali Kaan（1600047）"/>
    <s v="Shao Xiao（11018043）"/>
    <s v="Cheng Cheng"/>
    <m/>
    <m/>
    <m/>
    <s v="&gt;20"/>
  </r>
  <r>
    <s v="CN15"/>
    <n v="1520041"/>
    <s v="周 传翠"/>
    <s v="Zhou Chuancui"/>
    <s v="Indirect Active"/>
    <s v="OP"/>
    <s v="SC"/>
    <s v="SCh-SC2M"/>
    <s v="290153"/>
    <d v="2004-04-19T00:00:00"/>
    <s v="Director"/>
    <s v="Head of SCh-SC2M"/>
    <x v="5"/>
    <n v="2"/>
    <x v="2"/>
    <n v="27180"/>
    <n v="3.5000000000000003E-2"/>
    <n v="951"/>
    <n v="0"/>
    <n v="0"/>
    <n v="3.4988962472406182E-2"/>
    <n v="951"/>
    <n v="28131"/>
    <n v="28131"/>
    <n v="951"/>
    <x v="178"/>
    <s v="2.80%-4.20%"/>
    <m/>
    <m/>
    <m/>
    <m/>
    <n v="0"/>
    <n v="28131"/>
    <n v="951"/>
    <n v="3.4988962472406238E-2"/>
    <n v="14"/>
    <n v="450"/>
    <n v="1000"/>
    <n v="688"/>
    <n v="411922"/>
    <n v="5"/>
    <m/>
    <s v="Internal balance"/>
    <s v="Internal balance"/>
    <s v="Pastirmaci Ali Kaan（1600047）"/>
    <s v="Shao Xiao（11018043）"/>
    <s v="Cheng Cheng"/>
    <m/>
    <m/>
    <m/>
    <s v="OK"/>
  </r>
  <r>
    <s v="CN15"/>
    <n v="1007574"/>
    <s v="刘 柱"/>
    <s v="Liu Zhu"/>
    <s v="Indirect Active"/>
    <s v="OP"/>
    <s v="SC"/>
    <s v="SCh-SC2L11"/>
    <s v="290155"/>
    <d v="2012-03-26T00:00:00"/>
    <s v="Supervisor"/>
    <s v="Head of SCh-SC2L11"/>
    <x v="0"/>
    <n v="2"/>
    <x v="2"/>
    <n v="10350"/>
    <n v="0.03"/>
    <n v="311"/>
    <n v="0"/>
    <n v="0"/>
    <n v="3.0048309178743963E-2"/>
    <n v="311"/>
    <n v="10661"/>
    <n v="10350"/>
    <n v="0"/>
    <x v="5"/>
    <s v="2.40%-3.61%"/>
    <m/>
    <m/>
    <m/>
    <m/>
    <n v="0"/>
    <n v="10350"/>
    <n v="0"/>
    <n v="0"/>
    <n v="14"/>
    <n v="450"/>
    <m/>
    <n v="688"/>
    <n v="150988"/>
    <n v="3"/>
    <m/>
    <s v="Less responsibility compare with job level"/>
    <s v="Internal balance"/>
    <s v="Wang Xiaoqing（1120031）"/>
    <s v="Shao Xiao（11018043）"/>
    <s v="Cheng Cheng"/>
    <m/>
    <m/>
    <m/>
    <s v="0 increase"/>
  </r>
  <r>
    <s v="CN15"/>
    <n v="1007719"/>
    <s v="谢 立翾"/>
    <s v="Xie Lixuan"/>
    <s v="Indirect Active"/>
    <s v="OP"/>
    <s v="SC"/>
    <s v="SCh-SC2L3"/>
    <s v="290155"/>
    <d v="2012-04-24T00:00:00"/>
    <s v="Manager"/>
    <s v="Head of SCh-SC2L3"/>
    <x v="3"/>
    <n v="2"/>
    <x v="2"/>
    <n v="18100"/>
    <n v="2.5000000000000001E-2"/>
    <n v="453"/>
    <n v="0"/>
    <n v="0"/>
    <n v="2.5027624309392264E-2"/>
    <n v="453"/>
    <n v="18553"/>
    <n v="18553"/>
    <n v="453"/>
    <x v="13"/>
    <s v="2.00%-3.00%"/>
    <m/>
    <m/>
    <m/>
    <m/>
    <n v="0"/>
    <n v="18553"/>
    <n v="453"/>
    <n v="2.5027624309392316E-2"/>
    <n v="14"/>
    <n v="450"/>
    <m/>
    <n v="688"/>
    <n v="265830"/>
    <n v="3"/>
    <m/>
    <s v="at least 15% increase by consider the merit, he already work as the experts in the logistics automation."/>
    <s v="Combined with promotion"/>
    <s v="Wang Xiaoqing（1120031）"/>
    <s v="Shao Xiao（11018043）"/>
    <s v="Cheng Cheng"/>
    <m/>
    <m/>
    <m/>
    <s v="OK"/>
  </r>
  <r>
    <s v="CN15"/>
    <n v="1119081"/>
    <s v="王 峰"/>
    <s v="Wang Feng"/>
    <s v="Indirect Active"/>
    <s v="OP"/>
    <s v="SC"/>
    <s v="SCh-SC2L12"/>
    <s v="290155"/>
    <d v="2001-07-16T00:00:00"/>
    <s v="Supervisor"/>
    <s v="Head of SCh-SC2L12"/>
    <x v="0"/>
    <n v="2"/>
    <x v="2"/>
    <n v="15590"/>
    <n v="0"/>
    <n v="0"/>
    <n v="0"/>
    <n v="0"/>
    <n v="0"/>
    <n v="0"/>
    <n v="15590"/>
    <n v="15590"/>
    <n v="0"/>
    <x v="5"/>
    <s v="0.00%-0.00%"/>
    <m/>
    <m/>
    <m/>
    <m/>
    <n v="0"/>
    <n v="15590"/>
    <n v="0"/>
    <n v="0"/>
    <n v="14"/>
    <n v="450"/>
    <m/>
    <n v="688"/>
    <n v="224348"/>
    <n v="3"/>
    <m/>
    <m/>
    <m/>
    <s v="Wang Xiaoqing（1120031）"/>
    <s v="Shao Xiao（11018043）"/>
    <s v="Cheng Cheng"/>
    <m/>
    <m/>
    <m/>
    <s v="OK"/>
  </r>
  <r>
    <s v="CN15"/>
    <n v="1421181"/>
    <s v="程 艳"/>
    <s v="Cheng Yan"/>
    <s v="Indirect Active"/>
    <s v="OP"/>
    <s v="SC"/>
    <s v="SCh-SC2L"/>
    <s v="290150"/>
    <d v="2012-02-06T00:00:00"/>
    <s v="Manager"/>
    <s v="Manager"/>
    <x v="3"/>
    <n v="2"/>
    <x v="2"/>
    <n v="19300"/>
    <n v="2.5000000000000001E-2"/>
    <n v="483"/>
    <n v="0"/>
    <n v="0"/>
    <n v="2.5025906735751294E-2"/>
    <n v="483"/>
    <n v="19783"/>
    <n v="19300"/>
    <n v="0"/>
    <x v="5"/>
    <s v="2.00%-3.00%"/>
    <m/>
    <m/>
    <m/>
    <m/>
    <n v="0"/>
    <n v="19300"/>
    <n v="0"/>
    <n v="0"/>
    <n v="14"/>
    <n v="450"/>
    <m/>
    <n v="688"/>
    <n v="276288"/>
    <n v="4"/>
    <m/>
    <m/>
    <s v="Less responsibility compare with job level"/>
    <s v="Wang Xiaoqing（1120031）"/>
    <s v="Shao Xiao（11018043）"/>
    <s v="Cheng Cheng"/>
    <m/>
    <s v="Not recommend for increase, but you can propose based on actual performance. "/>
    <m/>
    <s v="0 increase"/>
  </r>
  <r>
    <s v="CN15"/>
    <n v="1706023"/>
    <s v="王 迎凯"/>
    <s v="Wang Yingkai"/>
    <s v="Indirect Active"/>
    <s v="OP"/>
    <s v="SC"/>
    <s v="SCh-SC2L4"/>
    <s v="290155"/>
    <d v="2009-07-29T00:00:00"/>
    <s v="Supervisor"/>
    <s v="Head of SCh-SC2L4"/>
    <x v="0"/>
    <n v="2"/>
    <x v="1"/>
    <n v="13329"/>
    <n v="3.7500000000000006E-2"/>
    <n v="500"/>
    <n v="1.55E-2"/>
    <n v="207"/>
    <n v="5.3042238727586469E-2"/>
    <n v="707"/>
    <n v="14036"/>
    <n v="14150"/>
    <n v="821"/>
    <x v="258"/>
    <s v="4.24%-6.37%"/>
    <m/>
    <m/>
    <m/>
    <m/>
    <n v="0"/>
    <n v="14150"/>
    <n v="821"/>
    <n v="6.159501838097392E-2"/>
    <n v="14"/>
    <n v="450"/>
    <m/>
    <n v="688"/>
    <n v="204188"/>
    <n v="4"/>
    <m/>
    <m/>
    <m/>
    <s v="Wang Xiaoqing（1120031）"/>
    <s v="Shao Xiao（11018043）"/>
    <s v="Cheng Cheng"/>
    <m/>
    <m/>
    <m/>
    <s v="OK"/>
  </r>
  <r>
    <s v="CN15"/>
    <n v="1707038"/>
    <s v="湛 承国"/>
    <s v="Zhan Chengguo"/>
    <s v="Indirect Active"/>
    <s v="OP"/>
    <s v="SC"/>
    <s v="SCh-SC2LSW"/>
    <s v="290152"/>
    <d v="2010-08-02T00:00:00"/>
    <s v="Supervisor"/>
    <s v="Head of SCh-SC2LSW"/>
    <x v="0"/>
    <n v="2"/>
    <x v="1"/>
    <n v="9294"/>
    <n v="4.4999999999999998E-2"/>
    <n v="418"/>
    <n v="4.2099999999999999E-2"/>
    <n v="391"/>
    <n v="8.7045405638046053E-2"/>
    <n v="809"/>
    <n v="10103"/>
    <n v="10000"/>
    <n v="706"/>
    <x v="259"/>
    <s v="6.96%-10.45%"/>
    <s v="Promotion"/>
    <s v="SC2LS head"/>
    <s v="B"/>
    <n v="0.1"/>
    <n v="929"/>
    <n v="10929"/>
    <n v="1635"/>
    <n v="0.17591994835377656"/>
    <n v="14"/>
    <n v="450"/>
    <m/>
    <n v="688"/>
    <n v="159094"/>
    <n v="4"/>
    <m/>
    <m/>
    <m/>
    <s v="Wang Xiaoqing（1120031）"/>
    <s v="Shao Xiao（11018043）"/>
    <s v="Cheng Cheng"/>
    <m/>
    <s v="Can give more budget considering B balance,Proposed 15%-20%"/>
    <m/>
    <s v="OK"/>
  </r>
  <r>
    <s v="CN15"/>
    <n v="1709022"/>
    <s v="吴 凡"/>
    <s v="Wu Fan"/>
    <s v="Indirect Active"/>
    <s v="OP"/>
    <s v="SC"/>
    <s v="SCh-SC2LS"/>
    <s v="290152"/>
    <d v="2012-07-25T00:00:00"/>
    <s v="Functional Specialist"/>
    <s v="Safety Functional Specialist"/>
    <x v="0"/>
    <n v="2"/>
    <x v="2"/>
    <n v="8880"/>
    <n v="0.03"/>
    <n v="266"/>
    <n v="0"/>
    <n v="0"/>
    <n v="2.9954954954954954E-2"/>
    <n v="266"/>
    <n v="9146"/>
    <n v="9600"/>
    <n v="720"/>
    <x v="260"/>
    <s v="2.40%-3.59%"/>
    <m/>
    <m/>
    <m/>
    <m/>
    <n v="0"/>
    <n v="9600"/>
    <n v="720"/>
    <n v="8.1081081081081141E-2"/>
    <n v="14"/>
    <n v="450"/>
    <m/>
    <n v="688"/>
    <n v="140488"/>
    <n v="3"/>
    <m/>
    <s v="Internal balance"/>
    <s v="Good performers with relatively lower salary"/>
    <s v="Wang Xiaoqing（1120031）"/>
    <s v="Shao Xiao（11018043）"/>
    <s v="Cheng Cheng"/>
    <m/>
    <m/>
    <m/>
    <s v="&gt;20"/>
  </r>
  <r>
    <s v="CN15"/>
    <n v="1002314"/>
    <s v="武 镜娜"/>
    <s v="Wu Jingna"/>
    <s v="Indirect Active"/>
    <s v="OP"/>
    <s v="SC"/>
    <s v="SCh-SC2P"/>
    <s v="290154"/>
    <d v="2007-03-19T00:00:00"/>
    <s v="Planner"/>
    <s v="Planner"/>
    <x v="2"/>
    <n v="2"/>
    <x v="2"/>
    <n v="6569"/>
    <n v="0.03"/>
    <n v="197"/>
    <n v="0"/>
    <n v="0"/>
    <n v="2.9989343887958594E-2"/>
    <n v="197"/>
    <n v="6766"/>
    <n v="6766"/>
    <n v="197"/>
    <x v="11"/>
    <s v="2.40%-3.60%"/>
    <m/>
    <m/>
    <m/>
    <m/>
    <n v="0"/>
    <n v="6766"/>
    <n v="197"/>
    <n v="2.9989343887958597E-2"/>
    <n v="14"/>
    <n v="450"/>
    <m/>
    <n v="688"/>
    <n v="100812"/>
    <n v="2"/>
    <m/>
    <m/>
    <m/>
    <s v="Yang Fangfang（1421065）"/>
    <s v="Shao Xiao（11018043）"/>
    <s v="Cheng Cheng"/>
    <m/>
    <m/>
    <m/>
    <s v="OK"/>
  </r>
  <r>
    <s v="CN15"/>
    <n v="1007579"/>
    <s v="张 大卫"/>
    <s v="Zhang Dawei"/>
    <s v="Indirect Active"/>
    <s v="OP"/>
    <s v="SC"/>
    <s v="SCh-SC2P"/>
    <s v="290154"/>
    <d v="2012-03-26T00:00:00"/>
    <s v="Functional Specialist"/>
    <s v="Functional Specialist"/>
    <x v="0"/>
    <n v="2"/>
    <x v="2"/>
    <n v="9848"/>
    <n v="0.03"/>
    <n v="295"/>
    <n v="0"/>
    <n v="0"/>
    <n v="2.99553208773355E-2"/>
    <n v="295"/>
    <n v="10143"/>
    <n v="10500"/>
    <n v="652"/>
    <x v="261"/>
    <s v="2.40%-3.59%"/>
    <m/>
    <m/>
    <m/>
    <m/>
    <n v="0"/>
    <n v="10500"/>
    <n v="652"/>
    <n v="6.6206336311941616E-2"/>
    <n v="14"/>
    <n v="450"/>
    <m/>
    <n v="688"/>
    <n v="153088"/>
    <n v="4"/>
    <m/>
    <s v="Internal balance"/>
    <s v="Good performers with relatively lower salary"/>
    <s v="Yang Fangfang（1421065）"/>
    <s v="Shao Xiao（11018043）"/>
    <s v="Cheng Cheng"/>
    <m/>
    <m/>
    <m/>
    <s v="&gt;20"/>
  </r>
  <r>
    <s v="CN15"/>
    <n v="1007682"/>
    <s v="余 彩云"/>
    <s v="Yu Caiyun"/>
    <s v="Indirect Active"/>
    <s v="OP"/>
    <s v="SC"/>
    <s v="SCh-SC2P"/>
    <s v="290154"/>
    <d v="2012-04-24T00:00:00"/>
    <s v="Planner"/>
    <s v="Planner"/>
    <x v="2"/>
    <n v="2"/>
    <x v="2"/>
    <n v="6622"/>
    <n v="0.03"/>
    <n v="199"/>
    <n v="0"/>
    <n v="0"/>
    <n v="3.0051344004832378E-2"/>
    <n v="199"/>
    <n v="6821"/>
    <n v="6821"/>
    <n v="199"/>
    <x v="75"/>
    <s v="2.40%-3.61%"/>
    <m/>
    <m/>
    <m/>
    <m/>
    <n v="0"/>
    <n v="6821"/>
    <n v="199"/>
    <n v="3.0051344004832448E-2"/>
    <n v="14"/>
    <n v="550"/>
    <m/>
    <n v="688"/>
    <n v="102782"/>
    <n v="3"/>
    <m/>
    <m/>
    <m/>
    <s v="Yang Fangfang（1421065）"/>
    <s v="Shao Xiao（11018043）"/>
    <s v="Cheng Cheng"/>
    <m/>
    <m/>
    <m/>
    <s v="OK"/>
  </r>
  <r>
    <s v="CN15"/>
    <n v="1117218"/>
    <s v="唐 池"/>
    <s v="Tang Chi"/>
    <s v="Indirect Active"/>
    <s v="OP"/>
    <s v="SC"/>
    <s v="SCh-SC2P"/>
    <s v="290154"/>
    <d v="2005-08-02T00:00:00"/>
    <s v="Senior Planner"/>
    <s v="Senior Production Planner"/>
    <x v="1"/>
    <n v="2"/>
    <x v="2"/>
    <n v="9600"/>
    <n v="2.5000000000000001E-2"/>
    <n v="240"/>
    <n v="0"/>
    <n v="0"/>
    <n v="2.5000000000000001E-2"/>
    <n v="240"/>
    <n v="9840"/>
    <n v="10000"/>
    <n v="400"/>
    <x v="262"/>
    <s v="2.00%-3.00%"/>
    <m/>
    <m/>
    <m/>
    <m/>
    <n v="0"/>
    <n v="10000"/>
    <n v="400"/>
    <n v="4.1666666666666741E-2"/>
    <n v="14"/>
    <n v="450"/>
    <m/>
    <n v="688"/>
    <n v="146088"/>
    <n v="3"/>
    <m/>
    <s v="Internal balance"/>
    <s v="Internal balance"/>
    <s v="Yang Fangfang（1421065）"/>
    <s v="Shao Xiao（11018043）"/>
    <s v="Cheng Cheng"/>
    <m/>
    <m/>
    <m/>
    <s v="&gt;20"/>
  </r>
  <r>
    <s v="CN15"/>
    <n v="11008282"/>
    <s v="朱 晓燕"/>
    <s v="Zhu Xiaoyan"/>
    <s v="Indirect Active"/>
    <s v="OP"/>
    <s v="SC"/>
    <s v="SCh-SC2P"/>
    <s v="290154"/>
    <d v="2011-10-27T00:00:00"/>
    <s v="Senior Planner"/>
    <s v="Senior Production Planner"/>
    <x v="1"/>
    <n v="2"/>
    <x v="1"/>
    <n v="10500"/>
    <n v="3.7500000000000006E-2"/>
    <n v="394"/>
    <n v="1.55E-2"/>
    <n v="163"/>
    <n v="5.3047619047619045E-2"/>
    <n v="557"/>
    <n v="11057"/>
    <n v="10950"/>
    <n v="450"/>
    <x v="263"/>
    <s v="4.24%-6.37%"/>
    <s v="Promotion"/>
    <s v="Functional Specialist"/>
    <s v="A6"/>
    <n v="0.05"/>
    <n v="525"/>
    <n v="11475"/>
    <n v="975"/>
    <n v="9.2857142857142749E-2"/>
    <n v="14"/>
    <n v="450"/>
    <m/>
    <n v="688"/>
    <n v="166738"/>
    <n v="4"/>
    <m/>
    <s v="1.Proficient in SAP systems_x000a_2.Be proficient in lean manufacturing and continuous improvement methodologies, and fully utilize digital, AI - related statistical and analytical capabilities. _x000a_3. She is leading the LC Inhouse Production Planning and coverage optimization project. After the completion of this project, standardization will be achieved and introduced to other EA and HA factories."/>
    <m/>
    <s v="Yang Fangfang（1421065）"/>
    <s v="Shao Xiao（11018043）"/>
    <s v="Cheng Cheng"/>
    <m/>
    <s v="budget need to be discussed, need consider internal balance with Dawei"/>
    <m/>
    <s v="OK"/>
  </r>
  <r>
    <s v="CN15"/>
    <n v="1007578"/>
    <s v="宋 枫"/>
    <s v="Song Feng"/>
    <s v="Indirect Active"/>
    <s v="OP"/>
    <s v="SC"/>
    <s v="SCh-SC2S"/>
    <s v="290151"/>
    <d v="2012-03-26T00:00:00"/>
    <s v="Supervisor"/>
    <s v="Supervisor of SCh-SC2S"/>
    <x v="0"/>
    <n v="2"/>
    <x v="2"/>
    <n v="15300"/>
    <n v="2.5000000000000001E-2"/>
    <n v="383"/>
    <n v="0"/>
    <n v="0"/>
    <n v="2.5032679738562092E-2"/>
    <n v="383"/>
    <n v="15683"/>
    <n v="15683"/>
    <n v="383"/>
    <x v="13"/>
    <s v="2.00%-3.00%"/>
    <m/>
    <m/>
    <m/>
    <m/>
    <n v="0"/>
    <n v="15683"/>
    <n v="383"/>
    <n v="2.5032679738562047E-2"/>
    <n v="14"/>
    <n v="450"/>
    <m/>
    <n v="688"/>
    <n v="225650"/>
    <n v="3"/>
    <m/>
    <m/>
    <m/>
    <s v="Ma Ruiming（11007900）"/>
    <s v="Shao Xiao（11018043）"/>
    <s v="Wu Ellen"/>
    <m/>
    <m/>
    <m/>
    <s v="OK"/>
  </r>
  <r>
    <s v="CN15"/>
    <n v="1118315"/>
    <s v="王 虎"/>
    <s v="Wang Hu"/>
    <s v="Indirect Active"/>
    <s v="OP"/>
    <s v="SC"/>
    <s v="SCh-SC2S"/>
    <s v="290151"/>
    <d v="2007-08-01T00:00:00"/>
    <s v="Engineer"/>
    <s v="Engineer"/>
    <x v="2"/>
    <n v="2"/>
    <x v="2"/>
    <n v="6926"/>
    <n v="0.03"/>
    <n v="208"/>
    <n v="0"/>
    <n v="0"/>
    <n v="3.003176436615651E-2"/>
    <n v="208"/>
    <n v="7134"/>
    <n v="7285"/>
    <n v="359"/>
    <x v="264"/>
    <s v="2.40%-3.60%"/>
    <m/>
    <m/>
    <m/>
    <m/>
    <n v="0"/>
    <n v="7285"/>
    <n v="359"/>
    <n v="5.1833670228125905E-2"/>
    <n v="14"/>
    <n v="550"/>
    <m/>
    <n v="688"/>
    <n v="109278"/>
    <n v="3"/>
    <m/>
    <s v="Internal balance"/>
    <s v="Internal balance"/>
    <s v="Ma Ruiming（11007900）"/>
    <s v="Shao Xiao（11018043）"/>
    <s v="Wu Ellen"/>
    <m/>
    <m/>
    <m/>
    <s v="&gt;20"/>
  </r>
  <r>
    <s v="CN15"/>
    <n v="1120250"/>
    <s v="孔 翎搏"/>
    <s v="Kong Lingbo"/>
    <s v="Indirect Active"/>
    <s v="OP"/>
    <s v="SC"/>
    <s v="SCh-SC2S"/>
    <s v="290151"/>
    <d v="2020-03-09T00:00:00"/>
    <s v="Senior Engineer"/>
    <s v="Senior Engineer of Logistics"/>
    <x v="1"/>
    <n v="2"/>
    <x v="3"/>
    <n v="10426"/>
    <n v="0"/>
    <n v="0"/>
    <n v="0"/>
    <n v="0"/>
    <n v="0"/>
    <n v="0"/>
    <n v="10426"/>
    <n v="10426"/>
    <n v="0"/>
    <x v="5"/>
    <s v="0.00%-0.00%"/>
    <m/>
    <m/>
    <m/>
    <m/>
    <n v="0"/>
    <n v="10426"/>
    <n v="0"/>
    <n v="0"/>
    <n v="14"/>
    <n v="850"/>
    <m/>
    <n v="688"/>
    <n v="156852"/>
    <n v="2"/>
    <m/>
    <m/>
    <m/>
    <s v="Ma Ruiming（11007900）"/>
    <s v="Shao Xiao（11018043）"/>
    <s v="Wu Ellen"/>
    <m/>
    <m/>
    <m/>
    <s v="OK"/>
  </r>
  <r>
    <s v="CN15"/>
    <n v="1120290"/>
    <s v="王 君丽"/>
    <s v="Wang Olivia"/>
    <s v="Indirect Active"/>
    <s v="OP"/>
    <s v="SC"/>
    <s v="SCh-SC2S"/>
    <s v="290151"/>
    <d v="2021-01-11T00:00:00"/>
    <s v="Senior Engineer"/>
    <s v="Senior Packaging Engineer"/>
    <x v="1"/>
    <n v="2"/>
    <x v="2"/>
    <n v="12110"/>
    <n v="0.03"/>
    <n v="363"/>
    <n v="0"/>
    <n v="0"/>
    <n v="2.9975227085053676E-2"/>
    <n v="363"/>
    <n v="12473"/>
    <n v="12500"/>
    <n v="390"/>
    <x v="265"/>
    <s v="2.40%-3.60%"/>
    <m/>
    <m/>
    <m/>
    <m/>
    <n v="0"/>
    <n v="12500"/>
    <n v="390"/>
    <n v="3.2204789430222869E-2"/>
    <n v="14"/>
    <n v="450"/>
    <m/>
    <n v="688"/>
    <n v="181088"/>
    <n v="4"/>
    <m/>
    <m/>
    <m/>
    <s v="Ma Ruiming（11007900）"/>
    <s v="Shao Xiao（11018043）"/>
    <s v="Wu Ellen"/>
    <m/>
    <m/>
    <m/>
    <s v="OK"/>
  </r>
  <r>
    <s v="CN15"/>
    <n v="1120312"/>
    <s v="李 超"/>
    <s v="Li Chao"/>
    <s v="Indirect Active"/>
    <s v="OP"/>
    <s v="SC"/>
    <s v="SCh-SC2S"/>
    <s v="290151"/>
    <d v="2021-04-28T00:00:00"/>
    <s v="Engineer"/>
    <s v="Engineer of Logistics"/>
    <x v="2"/>
    <n v="2"/>
    <x v="0"/>
    <n v="10600"/>
    <n v="0.03"/>
    <n v="318"/>
    <n v="0"/>
    <n v="0"/>
    <n v="0.03"/>
    <n v="318"/>
    <n v="10918"/>
    <n v="10750"/>
    <n v="150"/>
    <x v="150"/>
    <s v="2.40%-3.60%"/>
    <s v="Promotion"/>
    <s v="senior engineer"/>
    <s v="A5"/>
    <n v="7.0000000000000007E-2"/>
    <n v="742"/>
    <n v="11492"/>
    <n v="892"/>
    <n v="8.4150943396226419E-2"/>
    <n v="14"/>
    <n v="850"/>
    <m/>
    <n v="688"/>
    <n v="171776"/>
    <n v="3"/>
    <m/>
    <s v="Combined with promotion"/>
    <s v="Combined with promotion"/>
    <s v="Ma Ruiming（11007900）"/>
    <s v="Shao Xiao（11018043）"/>
    <s v="Wu Ellen"/>
    <m/>
    <s v="No use of salary increase budget, only use promotion budget.Not reasonable,proposed rate VS benchmark:10%"/>
    <m/>
    <s v="&lt;20"/>
  </r>
  <r>
    <s v="CN15"/>
    <n v="11016594"/>
    <s v="石 雪斌"/>
    <s v="Shi Xuebin"/>
    <s v="Indirect Active"/>
    <s v="OP"/>
    <s v="SC"/>
    <s v="SCh-SC2S"/>
    <s v="290151"/>
    <d v="2022-01-21T00:00:00"/>
    <s v="Engineer"/>
    <s v="Engineer of Logistics Planning"/>
    <x v="2"/>
    <n v="2"/>
    <x v="1"/>
    <n v="9930"/>
    <n v="0.03"/>
    <n v="298"/>
    <n v="0"/>
    <n v="0"/>
    <n v="3.001007049345418E-2"/>
    <n v="298"/>
    <n v="10228"/>
    <n v="10200"/>
    <n v="270"/>
    <x v="102"/>
    <s v="2.40%-3.60%"/>
    <m/>
    <m/>
    <m/>
    <m/>
    <n v="0"/>
    <n v="10200"/>
    <n v="270"/>
    <n v="2.7190332326284095E-2"/>
    <n v="14"/>
    <n v="450"/>
    <m/>
    <n v="688"/>
    <n v="148888"/>
    <n v="3"/>
    <m/>
    <m/>
    <m/>
    <s v="Ma Ruiming（11007900）"/>
    <s v="Shao Xiao（11018043）"/>
    <s v="Wu Ellen"/>
    <m/>
    <m/>
    <m/>
    <s v="OK"/>
  </r>
  <r>
    <s v="CN15"/>
    <n v="15022682"/>
    <s v="董 小语"/>
    <s v="Dong Xiaoyu"/>
    <s v="Indirect Active"/>
    <s v="OP"/>
    <s v="SNa"/>
    <s v="SNa-ES"/>
    <s v="290125"/>
    <d v="2025-09-10T00:00:00"/>
    <s v="Senior Engineer"/>
    <s v="Senior EHS Engineer"/>
    <x v="1"/>
    <n v="2"/>
    <x v="2"/>
    <n v="13550"/>
    <n v="0"/>
    <n v="0"/>
    <n v="0"/>
    <n v="0"/>
    <n v="0"/>
    <n v="0"/>
    <n v="13550"/>
    <n v="13550"/>
    <n v="0"/>
    <x v="5"/>
    <s v="0.00%-0.00%"/>
    <m/>
    <m/>
    <m/>
    <m/>
    <n v="0"/>
    <n v="13550"/>
    <n v="0"/>
    <n v="0"/>
    <n v="14"/>
    <n v="450"/>
    <m/>
    <n v="688"/>
    <n v="195788"/>
    <e v="#N/A"/>
    <m/>
    <m/>
    <m/>
    <s v="Yao Da (15022352)"/>
    <s v="Xu Lan（11013544）"/>
    <m/>
    <m/>
    <m/>
    <m/>
    <m/>
  </r>
  <r>
    <s v="CN15"/>
    <n v="15020704"/>
    <s v="黄 丽华"/>
    <s v="Huang Lihua"/>
    <s v="Indirect Active"/>
    <s v="OP"/>
    <s v="SNa"/>
    <s v="SNa-ES"/>
    <s v="290125"/>
    <d v="2009-09-01T00:00:00"/>
    <s v="Senior Engineer"/>
    <s v="Senior EHS Engineer"/>
    <x v="1"/>
    <n v="2"/>
    <x v="1"/>
    <n v="15852"/>
    <n v="2.2499999999999999E-2"/>
    <n v="357"/>
    <n v="0"/>
    <n v="0"/>
    <n v="2.2520817562452687E-2"/>
    <n v="357"/>
    <n v="16209"/>
    <n v="16284"/>
    <n v="432"/>
    <x v="266"/>
    <s v="1.80%-2.70%"/>
    <m/>
    <m/>
    <m/>
    <m/>
    <n v="0"/>
    <n v="16284"/>
    <n v="432"/>
    <n v="2.7252081756245161E-2"/>
    <n v="14"/>
    <n v="450"/>
    <m/>
    <n v="688"/>
    <n v="234064"/>
    <n v="3"/>
    <m/>
    <m/>
    <m/>
    <s v="Yao Da (15022352)"/>
    <s v="Xu Lan（11013544）"/>
    <m/>
    <m/>
    <m/>
    <m/>
    <m/>
  </r>
  <r>
    <s v="CN15"/>
    <n v="15022687"/>
    <s v="马 航帆"/>
    <s v="Ma Hangfan"/>
    <s v="Indirect Active"/>
    <s v="OP"/>
    <s v="SNa"/>
    <s v="SNa-ES"/>
    <s v="290125"/>
    <d v="2025-10-01T00:00:00"/>
    <s v="Senior Engineer"/>
    <s v="Senior EHS Engineer"/>
    <x v="1"/>
    <n v="2"/>
    <x v="2"/>
    <n v="18000"/>
    <n v="0"/>
    <n v="0"/>
    <n v="0"/>
    <n v="0"/>
    <n v="0"/>
    <n v="0"/>
    <n v="18000"/>
    <n v="18050"/>
    <n v="50"/>
    <x v="267"/>
    <s v="0.00%-0.00%"/>
    <m/>
    <m/>
    <m/>
    <m/>
    <n v="0"/>
    <n v="18050"/>
    <n v="50"/>
    <n v="2.7777777777777679E-3"/>
    <n v="14"/>
    <n v="450"/>
    <m/>
    <n v="688"/>
    <n v="258788"/>
    <e v="#N/A"/>
    <m/>
    <m/>
    <m/>
    <s v="Yao Da (15022352)"/>
    <s v="Xu Lan（11013544）"/>
    <m/>
    <m/>
    <m/>
    <m/>
    <m/>
  </r>
  <r>
    <s v="CN15"/>
    <n v="15020880"/>
    <s v="徐 萍"/>
    <s v="Xu Ping"/>
    <s v="Indirect Active"/>
    <s v="OP"/>
    <s v="SNa"/>
    <s v="SNa-ES"/>
    <s v="290125"/>
    <d v="2021-02-03T00:00:00"/>
    <s v="Engineer"/>
    <s v="EHS Engineer"/>
    <x v="2"/>
    <n v="2"/>
    <x v="5"/>
    <n v="10113"/>
    <n v="0"/>
    <n v="0"/>
    <n v="0"/>
    <n v="0"/>
    <n v="0"/>
    <n v="0"/>
    <n v="10113"/>
    <n v="10113"/>
    <n v="0"/>
    <x v="5"/>
    <s v="0.00%-0.00%"/>
    <m/>
    <m/>
    <m/>
    <m/>
    <n v="0"/>
    <n v="10113"/>
    <n v="0"/>
    <n v="0"/>
    <n v="14"/>
    <n v="550"/>
    <m/>
    <n v="688"/>
    <n v="148870"/>
    <n v="3"/>
    <m/>
    <m/>
    <m/>
    <s v="Yao Da (15022352)"/>
    <s v="Xu Lan（11013544）"/>
    <m/>
    <m/>
    <m/>
    <m/>
    <m/>
  </r>
  <r>
    <s v="CN15"/>
    <n v="15022527"/>
    <s v="于 涛"/>
    <s v="Yu Tao"/>
    <s v="Indirect Active"/>
    <s v="OP"/>
    <s v="SNa"/>
    <s v="SNa-ES"/>
    <s v="290125"/>
    <d v="2024-01-09T00:00:00"/>
    <s v="Senior Engineer"/>
    <s v="Senior EHS Engineer"/>
    <x v="1"/>
    <n v="2"/>
    <x v="2"/>
    <n v="20066"/>
    <n v="0"/>
    <n v="0"/>
    <n v="0"/>
    <n v="0"/>
    <n v="0"/>
    <n v="0"/>
    <n v="20066"/>
    <n v="20116"/>
    <n v="50"/>
    <x v="268"/>
    <s v="0.00%-0.00%"/>
    <m/>
    <m/>
    <m/>
    <m/>
    <n v="0"/>
    <n v="20116"/>
    <n v="50"/>
    <n v="2.4917771354528995E-3"/>
    <n v="14"/>
    <n v="450"/>
    <m/>
    <n v="688"/>
    <n v="287712"/>
    <n v="3"/>
    <m/>
    <m/>
    <m/>
    <s v="Yao Da (15022352)"/>
    <s v="Xu Lan（11013544）"/>
    <m/>
    <m/>
    <m/>
    <m/>
    <m/>
  </r>
  <r>
    <s v="CN15"/>
    <n v="15022528"/>
    <s v="张 万良"/>
    <s v="Zhang Wanliang"/>
    <s v="Indirect Active"/>
    <s v="OP"/>
    <s v="SNa"/>
    <s v="SNa-ES"/>
    <s v="290125"/>
    <d v="2024-01-23T00:00:00"/>
    <s v="Engineer"/>
    <s v="EHS Engineer"/>
    <x v="2"/>
    <n v="2"/>
    <x v="1"/>
    <n v="15000"/>
    <n v="1.4999999999999998E-2"/>
    <n v="225"/>
    <n v="0"/>
    <n v="0"/>
    <n v="1.4999999999999999E-2"/>
    <n v="225"/>
    <n v="15225"/>
    <n v="15000"/>
    <n v="0"/>
    <x v="5"/>
    <s v="1.20%-1.80%"/>
    <m/>
    <m/>
    <m/>
    <m/>
    <n v="0"/>
    <n v="15000"/>
    <n v="0"/>
    <n v="0"/>
    <n v="14"/>
    <n v="550"/>
    <m/>
    <n v="688"/>
    <n v="217288"/>
    <n v="4"/>
    <m/>
    <m/>
    <m/>
    <s v="Yao Da (15022352)"/>
    <s v="Xu Lan（11013544）"/>
    <m/>
    <m/>
    <m/>
    <m/>
    <m/>
  </r>
  <r>
    <s v="CN15"/>
    <n v="15021556"/>
    <s v="张 云静"/>
    <s v="Zhang Yunjing"/>
    <s v="Indirect Active"/>
    <s v="OP"/>
    <s v="SNa"/>
    <s v="SNa-ES"/>
    <s v="290125"/>
    <d v="2021-07-21T00:00:00"/>
    <s v="Engineer"/>
    <s v="EHS Engineer"/>
    <x v="2"/>
    <n v="2"/>
    <x v="3"/>
    <n v="10599"/>
    <n v="0"/>
    <n v="0"/>
    <n v="0"/>
    <n v="0"/>
    <n v="0"/>
    <n v="0"/>
    <n v="10599"/>
    <n v="10599"/>
    <n v="0"/>
    <x v="5"/>
    <s v="0.00%-0.00%"/>
    <m/>
    <m/>
    <m/>
    <m/>
    <n v="0"/>
    <n v="10599"/>
    <n v="0"/>
    <n v="0"/>
    <n v="14"/>
    <n v="450"/>
    <m/>
    <n v="688"/>
    <n v="154474"/>
    <n v="3"/>
    <m/>
    <m/>
    <m/>
    <s v="Yao Da (15022352)"/>
    <s v="Xu Lan（1101354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5AAAA-5557-4387-926F-26862565F325}" name="数据透视表1" cacheId="9"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5:D12" firstHeaderRow="0" firstDataRow="1" firstDataCol="1" rowPageCount="1" colPageCount="1"/>
  <pivotFields count="52">
    <pivotField showAll="0"/>
    <pivotField dataField="1" showAll="0"/>
    <pivotField showAll="0"/>
    <pivotField showAll="0"/>
    <pivotField showAll="0"/>
    <pivotField showAll="0"/>
    <pivotField showAll="0"/>
    <pivotField showAll="0"/>
    <pivotField showAll="0"/>
    <pivotField showAll="0"/>
    <pivotField showAll="0"/>
    <pivotField showAll="0"/>
    <pivotField multipleItemSelectionAllowed="1" showAll="0">
      <items count="9">
        <item x="7"/>
        <item x="4"/>
        <item x="2"/>
        <item x="1"/>
        <item x="0"/>
        <item x="3"/>
        <item x="5"/>
        <item x="6"/>
        <item t="default"/>
      </items>
    </pivotField>
    <pivotField showAll="0"/>
    <pivotField axis="axisRow" showAll="0">
      <items count="7">
        <item x="5"/>
        <item x="3"/>
        <item x="2"/>
        <item x="1"/>
        <item x="0"/>
        <item x="4"/>
        <item t="default"/>
      </items>
    </pivotField>
    <pivotField dataField="1" numFmtId="164" showAll="0"/>
    <pivotField numFmtId="10" showAll="0"/>
    <pivotField numFmtId="164" showAll="0"/>
    <pivotField numFmtId="10" showAll="0"/>
    <pivotField numFmtId="164" showAll="0"/>
    <pivotField numFmtId="10" showAll="0"/>
    <pivotField numFmtId="164" showAll="0"/>
    <pivotField numFmtId="164" showAll="0"/>
    <pivotField numFmtId="37" showAll="0"/>
    <pivotField numFmtId="166" showAll="0"/>
    <pivotField axis="axisPage" dataField="1" numFmtId="10" multipleItemSelectionAllowed="1" showAll="0">
      <items count="271">
        <item x="227"/>
        <item h="1" x="5"/>
        <item x="268"/>
        <item x="267"/>
        <item x="199"/>
        <item x="93"/>
        <item m="1" x="269"/>
        <item x="198"/>
        <item x="77"/>
        <item x="44"/>
        <item x="45"/>
        <item x="35"/>
        <item x="168"/>
        <item x="95"/>
        <item x="29"/>
        <item x="148"/>
        <item x="22"/>
        <item x="55"/>
        <item x="87"/>
        <item x="170"/>
        <item x="90"/>
        <item x="191"/>
        <item x="136"/>
        <item x="155"/>
        <item x="151"/>
        <item x="25"/>
        <item x="150"/>
        <item x="46"/>
        <item x="222"/>
        <item x="147"/>
        <item x="149"/>
        <item x="112"/>
        <item x="158"/>
        <item x="201"/>
        <item x="156"/>
        <item x="253"/>
        <item x="221"/>
        <item x="16"/>
        <item x="42"/>
        <item x="174"/>
        <item x="134"/>
        <item x="70"/>
        <item x="26"/>
        <item x="36"/>
        <item x="69"/>
        <item x="10"/>
        <item x="23"/>
        <item x="183"/>
        <item x="186"/>
        <item x="88"/>
        <item x="121"/>
        <item x="51"/>
        <item x="162"/>
        <item x="207"/>
        <item x="124"/>
        <item x="47"/>
        <item x="143"/>
        <item x="58"/>
        <item x="59"/>
        <item x="32"/>
        <item x="184"/>
        <item x="245"/>
        <item x="190"/>
        <item x="188"/>
        <item x="37"/>
        <item x="13"/>
        <item x="82"/>
        <item x="18"/>
        <item x="125"/>
        <item x="247"/>
        <item x="6"/>
        <item x="15"/>
        <item x="223"/>
        <item x="24"/>
        <item x="103"/>
        <item x="102"/>
        <item x="266"/>
        <item x="64"/>
        <item x="193"/>
        <item x="177"/>
        <item x="4"/>
        <item x="107"/>
        <item x="251"/>
        <item x="57"/>
        <item x="60"/>
        <item x="116"/>
        <item x="115"/>
        <item x="109"/>
        <item x="160"/>
        <item x="110"/>
        <item x="132"/>
        <item x="79"/>
        <item x="99"/>
        <item x="2"/>
        <item x="11"/>
        <item x="75"/>
        <item x="84"/>
        <item x="66"/>
        <item x="86"/>
        <item x="232"/>
        <item x="140"/>
        <item x="20"/>
        <item x="65"/>
        <item x="98"/>
        <item x="206"/>
        <item x="142"/>
        <item x="265"/>
        <item x="257"/>
        <item x="215"/>
        <item x="235"/>
        <item x="34"/>
        <item x="52"/>
        <item x="233"/>
        <item x="144"/>
        <item x="138"/>
        <item x="165"/>
        <item x="173"/>
        <item x="146"/>
        <item x="106"/>
        <item x="105"/>
        <item x="175"/>
        <item x="178"/>
        <item x="246"/>
        <item x="163"/>
        <item x="108"/>
        <item x="119"/>
        <item x="39"/>
        <item x="73"/>
        <item x="161"/>
        <item x="248"/>
        <item x="3"/>
        <item x="94"/>
        <item x="12"/>
        <item x="68"/>
        <item x="164"/>
        <item x="187"/>
        <item x="262"/>
        <item x="49"/>
        <item x="192"/>
        <item x="194"/>
        <item x="169"/>
        <item x="263"/>
        <item x="33"/>
        <item x="167"/>
        <item x="195"/>
        <item x="130"/>
        <item x="240"/>
        <item x="122"/>
        <item x="152"/>
        <item x="228"/>
        <item x="216"/>
        <item x="249"/>
        <item x="179"/>
        <item x="139"/>
        <item x="242"/>
        <item x="244"/>
        <item x="27"/>
        <item x="264"/>
        <item x="159"/>
        <item x="254"/>
        <item x="40"/>
        <item x="113"/>
        <item x="101"/>
        <item x="239"/>
        <item x="62"/>
        <item x="256"/>
        <item x="56"/>
        <item x="8"/>
        <item x="226"/>
        <item x="17"/>
        <item x="0"/>
        <item x="74"/>
        <item x="120"/>
        <item x="137"/>
        <item x="127"/>
        <item x="114"/>
        <item x="67"/>
        <item x="1"/>
        <item x="171"/>
        <item x="196"/>
        <item x="258"/>
        <item x="76"/>
        <item x="78"/>
        <item x="189"/>
        <item x="204"/>
        <item x="157"/>
        <item x="205"/>
        <item x="131"/>
        <item x="133"/>
        <item x="129"/>
        <item x="261"/>
        <item x="43"/>
        <item x="54"/>
        <item x="211"/>
        <item x="255"/>
        <item x="31"/>
        <item x="236"/>
        <item x="203"/>
        <item x="218"/>
        <item x="71"/>
        <item x="181"/>
        <item x="243"/>
        <item x="7"/>
        <item x="50"/>
        <item x="53"/>
        <item x="252"/>
        <item x="237"/>
        <item x="202"/>
        <item x="200"/>
        <item x="259"/>
        <item x="28"/>
        <item x="135"/>
        <item x="182"/>
        <item x="238"/>
        <item x="38"/>
        <item x="63"/>
        <item x="118"/>
        <item x="260"/>
        <item x="208"/>
        <item x="89"/>
        <item x="141"/>
        <item x="128"/>
        <item x="154"/>
        <item x="250"/>
        <item x="14"/>
        <item x="180"/>
        <item x="61"/>
        <item x="172"/>
        <item x="100"/>
        <item x="126"/>
        <item x="104"/>
        <item x="219"/>
        <item x="9"/>
        <item x="145"/>
        <item x="83"/>
        <item x="153"/>
        <item x="30"/>
        <item x="213"/>
        <item x="85"/>
        <item x="230"/>
        <item x="80"/>
        <item x="220"/>
        <item x="166"/>
        <item x="214"/>
        <item x="217"/>
        <item x="234"/>
        <item x="48"/>
        <item x="81"/>
        <item x="19"/>
        <item x="97"/>
        <item x="225"/>
        <item x="241"/>
        <item x="185"/>
        <item x="111"/>
        <item x="91"/>
        <item x="210"/>
        <item x="41"/>
        <item x="21"/>
        <item x="229"/>
        <item x="72"/>
        <item x="176"/>
        <item x="92"/>
        <item x="231"/>
        <item x="212"/>
        <item x="123"/>
        <item x="197"/>
        <item x="209"/>
        <item x="224"/>
        <item x="96"/>
        <item x="117"/>
        <item t="default"/>
      </items>
    </pivotField>
    <pivotField showAll="0"/>
    <pivotField showAll="0"/>
    <pivotField showAll="0"/>
    <pivotField showAll="0"/>
    <pivotField showAll="0"/>
    <pivotField numFmtId="164" multipleItemSelectionAllowed="1" showAll="0"/>
    <pivotField numFmtId="164" showAll="0"/>
    <pivotField numFmtId="164" showAll="0"/>
    <pivotField numFmtId="165" multipleItemSelectionAllowed="1" showAll="0"/>
    <pivotField numFmtId="164" showAll="0"/>
    <pivotField numFmtId="164"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5">
        <item n="Band A" sd="0" x="3"/>
        <item sd="0" x="0"/>
        <item sd="0" x="1"/>
        <item sd="0" x="2"/>
        <item t="default"/>
      </items>
    </pivotField>
  </pivotFields>
  <rowFields count="1">
    <field x="14"/>
  </rowFields>
  <rowItems count="7">
    <i>
      <x/>
    </i>
    <i>
      <x v="1"/>
    </i>
    <i>
      <x v="2"/>
    </i>
    <i>
      <x v="3"/>
    </i>
    <i>
      <x v="4"/>
    </i>
    <i>
      <x v="5"/>
    </i>
    <i t="grand">
      <x/>
    </i>
  </rowItems>
  <colFields count="1">
    <field x="-2"/>
  </colFields>
  <colItems count="3">
    <i>
      <x/>
    </i>
    <i i="1">
      <x v="1"/>
    </i>
    <i i="2">
      <x v="2"/>
    </i>
  </colItems>
  <pageFields count="1">
    <pageField fld="25" hier="-1"/>
  </pageFields>
  <dataFields count="3">
    <dataField name="平均值项:Adjusted basic increase/decreased % by DH " fld="25" subtotal="average" baseField="51" baseItem="0" numFmtId="10"/>
    <dataField name="计数项:Pers.no." fld="1" subtotal="count" baseField="6" baseItem="1"/>
    <dataField name="求和项: Basic salary "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6B06C9-7582-428B-8515-0E9B18DCD57C}" name="表1" displayName="表1" ref="A1:BA795" totalsRowShown="0" headerRowDxfId="245" dataDxfId="244" tableBorderDxfId="243" headerRowCellStyle="Comma">
  <autoFilter ref="A1:BA795" xr:uid="{EE6B06C9-7582-428B-8515-0E9B18DCD57C}"/>
  <tableColumns count="53">
    <tableColumn id="1" xr3:uid="{FC5B8899-F985-4E37-9F50-DB41EC2644F6}" name="Company code" dataDxfId="242"/>
    <tableColumn id="2" xr3:uid="{7D82A221-4544-4222-8DF1-65CBA2662EE0}" name="Pers.no." dataDxfId="241"/>
    <tableColumn id="5" xr3:uid="{084C0C1E-8939-46C1-8C41-DC386912C304}" name="Subgroup" dataDxfId="240"/>
    <tableColumn id="6" xr3:uid="{0B633A2C-5BB0-47F2-9A4A-23361AF42BC4}" name="Area" dataDxfId="239"/>
    <tableColumn id="7" xr3:uid="{9E0C1470-9E9B-4E1D-8982-4D85A0642C23}" name="Subarea" dataDxfId="238"/>
    <tableColumn id="8" xr3:uid="{C39D002F-737E-4AB0-9AFB-91788F162533}" name="Dept." dataDxfId="237"/>
    <tableColumn id="9" xr3:uid="{5F143CB0-FED5-4E0F-BEBD-1DE53DF6FBB2}" name="Cost ctr" dataDxfId="236"/>
    <tableColumn id="10" xr3:uid="{3462E31D-6CAD-4399-85B3-22FED5A3D6E2}" name="Join date " dataDxfId="235"/>
    <tableColumn id="11" xr3:uid="{DFA229C7-67B7-42C0-96B7-EFE3E30BA684}" name="Job" dataDxfId="234"/>
    <tableColumn id="12" xr3:uid="{442B350A-8057-426D-8D30-8819AC8DE368}" name="Position" dataDxfId="233"/>
    <tableColumn id="13" xr3:uid="{7222125F-E6C2-41C0-B248-FEBBCB9DC361}" name="Band Level" dataDxfId="232"/>
    <tableColumn id="14" xr3:uid="{827EC5BB-73FC-45B5-A457-A2ABA8884B92}" name="Workplan type" dataDxfId="231"/>
    <tableColumn id="15" xr3:uid="{CD3ECFC5-8BAE-4806-8F0D-70D6B5B82FAF}" name="2025 Performance Level" dataDxfId="230"/>
    <tableColumn id="16" xr3:uid="{03F9C496-F9B2-4F71-9E3F-5CE997B7A787}" name=" Basic salary " dataDxfId="229" dataCellStyle="Warning Text"/>
    <tableColumn id="17" xr3:uid="{17F6D94E-9E7F-49B0-8BFD-68EEF5BEF5A7}" name="①_x000a_Merit increase %" dataDxfId="228" dataCellStyle="Percent"/>
    <tableColumn id="18" xr3:uid="{04BFAD49-5DE8-46A3-B5B6-9BB5E07B398E}" name="Merit Increase amount" dataDxfId="227" dataCellStyle="Warning Text">
      <calculatedColumnFormula>ROUND(N2*O2,0)</calculatedColumnFormula>
    </tableColumn>
    <tableColumn id="19" xr3:uid="{974CC897-8BFA-46DF-9BEB-6F785F82740F}" name="② _x000a_Equity Increase%_x000a_" dataDxfId="226" dataCellStyle="Percent"/>
    <tableColumn id="20" xr3:uid="{90C2A821-788C-40A3-9C60-E872A0D97B13}" name="Equity Increase_x000a_amount" dataDxfId="225" dataCellStyle="Warning Text">
      <calculatedColumnFormula>ROUND(N2*Q2,0)</calculatedColumnFormula>
    </tableColumn>
    <tableColumn id="21" xr3:uid="{DE993537-3D2B-4234-B984-8225F1807FF6}" name="Total recommended Increase % _x000a_(①+②)" dataDxfId="224" dataCellStyle="Percent">
      <calculatedColumnFormula>T2/N2</calculatedColumnFormula>
    </tableColumn>
    <tableColumn id="22" xr3:uid="{5AD70E76-839F-4116-B155-D203D59664EC}" name="Total Recommended Increase amount" dataDxfId="223" dataCellStyle="Warning Text">
      <calculatedColumnFormula>P2+R2</calculatedColumnFormula>
    </tableColumn>
    <tableColumn id="23" xr3:uid="{8C1CBE3B-1535-45BF-BE15-3256C9C8C13D}" name="Recommended new basic salary" dataDxfId="222" dataCellStyle="Warning Text">
      <calculatedColumnFormula>N2+T2</calculatedColumnFormula>
    </tableColumn>
    <tableColumn id="24" xr3:uid="{C377F3F5-0FE1-4CFA-9836-3C3039982D0E}" name="Adjutsed basic salary_x000a_(input by DH)" dataDxfId="221" dataCellStyle="Warning Text">
      <calculatedColumnFormula>U2</calculatedColumnFormula>
    </tableColumn>
    <tableColumn id="25" xr3:uid="{5D6D0808-0AE8-404E-B342-4D9824ED4708}" name="Adjutsed increased/decreased basic salary by DH" dataDxfId="220" dataCellStyle="Warning Text">
      <calculatedColumnFormula>V2-N2</calculatedColumnFormula>
    </tableColumn>
    <tableColumn id="26" xr3:uid="{41E70A96-8117-4193-A1CB-C267E27523EA}" name="Adjusted basic increase/decreased % by DH " dataDxfId="219" dataCellStyle="Percent">
      <calculatedColumnFormula>ROUND(V2/N2-1,4)</calculatedColumnFormula>
    </tableColumn>
    <tableColumn id="27" xr3:uid="{83C43C40-A707-42DD-B5B4-2DD9499F918E}" name="Adjustment range reference " dataDxfId="218" dataCellStyle="Percent">
      <calculatedColumnFormula>IF(OR(L2=1,L2=2,L2=4),TEXT(S2*0.8,"0.00%")&amp;"-"&amp;TEXT(S2*1.2,"0.00%"),IF(OR(L2=3,L2=6),TEXT(0,"0.00%")&amp;"-"&amp;TEXT(7%*1.2,"0.00%"),IF(OR(L2=5,L2=7),TEXT((R2/N2),"0.00%")&amp;"-"&amp;TEXT((R2/N2)+7%,"0.00%"),"")))</calculatedColumnFormula>
    </tableColumn>
    <tableColumn id="28" xr3:uid="{2267F2B7-D5E9-4F00-B72D-D53DDA0EDD18}" name="Promotion or demotion" dataDxfId="217" dataCellStyle="Warning Text"/>
    <tableColumn id="29" xr3:uid="{A28A6A6E-FF36-4956-996D-0E6322AF996A}" name="New position title" dataDxfId="216" dataCellStyle="Warning Text"/>
    <tableColumn id="30" xr3:uid="{49683CEC-8F73-4243-8502-5EDC7AA6D62F}" name="New band" dataDxfId="215" dataCellStyle="Warning Text"/>
    <tableColumn id="31" xr3:uid="{6873CE1E-E1E8-4D76-B410-E71265CFF70F}" name="③_x000a_Promotion increase/Demotion decrease %_x000a_(±5%-±20%)" dataDxfId="214" dataCellStyle="Percent"/>
    <tableColumn id="32" xr3:uid="{2A9DD354-ABE2-4DEC-90C0-EEE44BDE5810}" name="Promotion increase/Demotion decrease amount" dataDxfId="213" dataCellStyle="Warning Text">
      <calculatedColumnFormula>ROUND(N2*AC2,0)</calculatedColumnFormula>
    </tableColumn>
    <tableColumn id="33" xr3:uid="{0991873A-F76C-4D03-8ACE-C37B69C058AC}" name="Final new basic salary _x000a_" dataDxfId="212" dataCellStyle="Warning Text">
      <calculatedColumnFormula>V2+AD2</calculatedColumnFormula>
    </tableColumn>
    <tableColumn id="34" xr3:uid="{66F20E5D-760B-4665-88C2-CBB8C1C48EB2}" name="Final increase/decrease amount" dataDxfId="211">
      <calculatedColumnFormula>AE2-N2</calculatedColumnFormula>
    </tableColumn>
    <tableColumn id="35" xr3:uid="{0939A3C2-DE1A-4C5B-BE05-72A444972956}" name="Final increase/decrease rate" dataDxfId="210" dataCellStyle="Percent">
      <calculatedColumnFormula>AE2/N2-1</calculatedColumnFormula>
    </tableColumn>
    <tableColumn id="36" xr3:uid="{AF2866F9-0C41-44CD-ABC3-F1E477F49D63}" name="Pay months" dataDxfId="209"/>
    <tableColumn id="37" xr3:uid="{F450B4CB-8FD1-4D4D-A5D3-0E6A9AB058F8}" name="Monthly allowance/bonus" dataDxfId="208"/>
    <tableColumn id="38" xr3:uid="{5DE8F9F0-31C6-4CBB-9978-A0E8404E9124}" name="Monthly Car Allowance" dataDxfId="207"/>
    <tableColumn id="39" xr3:uid="{C1CEF1C7-9BEA-4BF5-B056-D6E28C607F8E}" name="Other income(e.g.:festival bonus)_x000a_" dataDxfId="206"/>
    <tableColumn id="40" xr3:uid="{7732C8DC-CE5C-42E9-87CB-C69EF17CD4A7}" name="Annual target cash" dataDxfId="205">
      <calculatedColumnFormula>AE2*AH2+AI2*12+AK2+IF(AB2="",AJ2,IF(AB2="D",5000,IF(AB2="C",1000,0)))*12</calculatedColumnFormula>
    </tableColumn>
    <tableColumn id="41" xr3:uid="{3D1663CC-03CB-42C0-9A2B-231602F94C45}" name="2024 Performance Level" dataDxfId="204"/>
    <tableColumn id="42" xr3:uid="{7CFF7A95-331D-4364-AF91-337A4082B5A2}" name="Disciplinary Records" dataDxfId="203"/>
    <tableColumn id="43" xr3:uid="{B67D0F83-990C-43EF-A3C8-37A8458B42AD}" name="Justifications by DH" dataDxfId="202"/>
    <tableColumn id="44" xr3:uid="{1CFD1CF8-1421-42B8-9E20-7C281E178944}" name="HR Remark" dataDxfId="201"/>
    <tableColumn id="45" xr3:uid="{C58A92B0-DC2C-4714-ADE0-5AB8FA9945FC}" name="Responsible ASR Manager" dataDxfId="200"/>
    <tableColumn id="46" xr3:uid="{390178A9-0EC1-4F9C-A244-0DE9C06F3C79}" name="Responsible ASR HRBP" dataDxfId="199"/>
    <tableColumn id="47" xr3:uid="{670C64FB-E501-48CB-AF50-258CBD86A630}" name="PY" dataDxfId="198"/>
    <tableColumn id="48" xr3:uid="{CEE61C4F-3AB6-4C33-8DF7-EC4645940D8F}" name="85% of LMW (for Technician/Counsellor)" dataDxfId="197"/>
    <tableColumn id="49" xr3:uid="{8E72137F-950D-4E5B-9A28-08B9EFC0D1EC}" name="Editable column 1" dataDxfId="196"/>
    <tableColumn id="50" xr3:uid="{5D5A422E-F1B3-4B46-BD7E-D4EE796CA121}" name="Editable column 2" dataDxfId="195"/>
    <tableColumn id="51" xr3:uid="{79AF2AE9-356C-48F3-BC24-1814FDF54C89}" name=" -   " dataDxfId="194"/>
    <tableColumn id="52" xr3:uid="{2C1BBF97-8B6D-403B-AB1E-390A99EB3785}" name="Service Year" dataDxfId="190"/>
    <tableColumn id="53" xr3:uid="{149BCE07-3847-4839-8698-28A06C3AF078}" name="CR" dataDxfId="188"/>
    <tableColumn id="54" xr3:uid="{4E7762EB-F552-4036-A1B0-20EEB441176D}" name="BSH CR" dataDxfId="189"/>
    <tableColumn id="55" xr3:uid="{6A7A7AA2-BD4A-440D-B4D4-7C3C833D2A96}" name="Dept CR" dataDxfId="1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EED63B-938C-4FB0-AAB5-5DCA9EF111C8}" name="表2" displayName="表2" ref="A8:AX1162" totalsRowShown="0" headerRowDxfId="193" tableBorderDxfId="192" headerRowCellStyle="Comma">
  <autoFilter ref="A8:AX1162" xr:uid="{78EED63B-938C-4FB0-AAB5-5DCA9EF111C8}"/>
  <tableColumns count="50">
    <tableColumn id="1" xr3:uid="{86063985-64A0-4D07-A015-E9693516F34E}" name="Company code" dataDxfId="191"/>
    <tableColumn id="2" xr3:uid="{824A1CF2-3345-4140-88CA-CB8EE2DCBFCE}" name="Pers.no."/>
    <tableColumn id="3" xr3:uid="{1F988FA2-B1C4-40AE-8723-366ED3403028}" name="Name_C"/>
    <tableColumn id="5" xr3:uid="{7F6A260B-BBF0-43BD-ACB5-EBA1271D5797}" name="Subgroup"/>
    <tableColumn id="6" xr3:uid="{6820CFAF-5177-438A-B702-FC480DE68F25}" name="Area"/>
    <tableColumn id="7" xr3:uid="{139C5C24-77C5-480F-B961-29B24AEA6238}" name="Subarea"/>
    <tableColumn id="8" xr3:uid="{776A5F99-227F-41E5-BE2D-E49A1AE56DA5}" name="Dept."/>
    <tableColumn id="9" xr3:uid="{04A994F5-F1A3-4909-B24A-E811FE228DFB}" name="Cost ctr"/>
    <tableColumn id="10" xr3:uid="{FE946976-CC45-46AD-834C-C4928F422AB6}" name="Join date "/>
    <tableColumn id="11" xr3:uid="{0364FA15-1DC6-4E8C-864D-8BC729E96761}" name="Job"/>
    <tableColumn id="12" xr3:uid="{3EA9BAC1-4D08-4126-866A-A07FAC3061CE}" name="Position"/>
    <tableColumn id="13" xr3:uid="{CCD8F5E4-E736-4657-A45D-A29FBFC213A4}" name="Band Level"/>
    <tableColumn id="14" xr3:uid="{C6206D46-4B87-44EC-8518-5CDA5588D3A8}" name="Workplan type"/>
    <tableColumn id="15" xr3:uid="{77149ED9-5691-4F05-842D-FA5C7781DD9C}" name="2025 Performance Level"/>
    <tableColumn id="16" xr3:uid="{A6BDB534-C75F-47E3-89AF-89D378361EBB}" name=" Basic salary "/>
    <tableColumn id="17" xr3:uid="{2D3962E0-F421-48D1-826C-44CA9E120F9F}" name="①_x000a_Merit increase %"/>
    <tableColumn id="18" xr3:uid="{DD13D2CD-1FA0-4447-A64B-3105CEFCBDC9}" name="Merit Increase amount"/>
    <tableColumn id="19" xr3:uid="{B94F94F9-C5F7-464C-BEF1-A010AA2F5660}" name="② _x000a_Equity Increase%_x000a_"/>
    <tableColumn id="20" xr3:uid="{1DCC0E40-075E-492C-B64E-D012B0616CA9}" name="Equity Increase_x000a_amount"/>
    <tableColumn id="21" xr3:uid="{759D41E8-691B-429A-B044-039BF4E30348}" name="Total recommended Increase % _x000a_(①+②)"/>
    <tableColumn id="22" xr3:uid="{851E01EF-4B05-4A86-B694-4DDC01081167}" name="Total Recommended Increase amount"/>
    <tableColumn id="23" xr3:uid="{5E2ED529-4D35-4229-82AE-94D5E674FFD9}" name="Recommended new basic salary"/>
    <tableColumn id="24" xr3:uid="{CC1FE6FD-DCEE-4427-AD55-AA84EFE4FA95}" name="Adjutsed basic salary_x000a_(input by DH)"/>
    <tableColumn id="25" xr3:uid="{66C310B7-0035-4018-9B9E-21F204DEA13E}" name="Adjutsed increased/decreased basic salary by DH"/>
    <tableColumn id="26" xr3:uid="{1B5F7ACA-A6C3-4073-9A8F-C479D3C995B8}" name="Adjusted basic increase/decreased % by DH "/>
    <tableColumn id="27" xr3:uid="{EE452E23-1D63-4ABC-9493-C1B39CAD4952}" name="Adjustment range reference "/>
    <tableColumn id="28" xr3:uid="{7343FEA1-C76F-4077-A097-65D9095011D4}" name="Promotion or demotion"/>
    <tableColumn id="29" xr3:uid="{CA429226-5771-4406-8742-EDB29D071ECA}" name="New position title"/>
    <tableColumn id="30" xr3:uid="{5D5C28A0-147B-4FF4-9DA7-EAFAF4276D15}" name="New band"/>
    <tableColumn id="31" xr3:uid="{9872488F-5D90-40BF-A6A0-41A1CBA6BBEB}" name="③_x000a_Promotion increase/Demotion decrease %_x000a_(±5%-±20%)"/>
    <tableColumn id="32" xr3:uid="{2116AA59-8273-44EE-93ED-0F13E8F65342}" name="Promotion increase/Demotion decrease amount"/>
    <tableColumn id="33" xr3:uid="{0E16B7E0-2784-4567-99ED-17F554AF4412}" name="Final new basic salary _x000a_"/>
    <tableColumn id="34" xr3:uid="{7C410A83-1DD2-43A3-A395-AB9B2637DB64}" name="Final increase/decrease amount"/>
    <tableColumn id="35" xr3:uid="{4F61BDAC-62A4-4D03-B2E6-B1027B67BF8B}" name="Final increase/decrease rate"/>
    <tableColumn id="36" xr3:uid="{9C401E86-C470-4435-A3D2-E24BE871C06B}" name="Pay months"/>
    <tableColumn id="37" xr3:uid="{E89F1A7E-BD41-4527-9E2C-EC63DDACCC7F}" name="Monthly allowance/bonus"/>
    <tableColumn id="38" xr3:uid="{11EE6675-3FAB-4261-BC12-BFE083187755}" name="Monthly Car Allowance"/>
    <tableColumn id="39" xr3:uid="{2083C1B9-593F-4441-A91C-8B375CA29C36}" name="Other income(e.g.:festival bonus)_x000a_"/>
    <tableColumn id="40" xr3:uid="{73D24F1F-989A-4C78-8B17-B474903407C9}" name="Annual target cash"/>
    <tableColumn id="41" xr3:uid="{0AA138F4-662C-4581-AFEA-D03A33C7645E}" name="2024 Performance Level"/>
    <tableColumn id="42" xr3:uid="{3997F95E-A5F6-4D75-A533-20DEF5AA8C8E}" name="Disciplinary Records"/>
    <tableColumn id="43" xr3:uid="{FC91700E-B835-47BB-AB24-08B7F7197422}" name="Justifications by DH"/>
    <tableColumn id="44" xr3:uid="{3E18A010-317B-4ACA-B2BE-5790D5DFDEAF}" name="HR Remark"/>
    <tableColumn id="45" xr3:uid="{60EFDDDF-892F-4396-92F2-DC52A28205F6}" name="Responsible ASR Manager"/>
    <tableColumn id="46" xr3:uid="{D59A437F-010A-4C9A-8034-82310176A331}" name="Responsible ASR HRBP"/>
    <tableColumn id="47" xr3:uid="{08D83A2C-0361-422D-97F7-CA1355C4B404}" name="PY"/>
    <tableColumn id="48" xr3:uid="{12CA5641-5F85-45A2-BA76-61DDF9BFEC73}" name="85% of LMW (for Technician/Counsellor)"/>
    <tableColumn id="49" xr3:uid="{2D8495F2-9D34-480F-8362-CD7028FFD387}" name="Editable column 1"/>
    <tableColumn id="50" xr3:uid="{1A9EABAD-0DBD-4374-84F2-D42E46D2585D}" name="Editable column 2"/>
    <tableColumn id="51" xr3:uid="{1F6238D3-ACCF-438E-B255-1886CFA1CC72}" name="Editable column 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5" dT="2026-06-26T10:29:14.47" personId="{575A4906-B76F-451F-B1D4-2B8B1AB13584}" id="{C8ADA101-ED2D-4F3B-91F0-E90A5BB240F6}">
    <text>去掉Band 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2.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96E7-9A3B-4C67-8CFA-6FFA7430C7A8}">
  <dimension ref="A1:O42"/>
  <sheetViews>
    <sheetView workbookViewId="0">
      <selection activeCell="E36" sqref="E36"/>
    </sheetView>
  </sheetViews>
  <sheetFormatPr defaultRowHeight="14.5"/>
  <cols>
    <col min="1" max="1" width="12.1796875" customWidth="1"/>
    <col min="2" max="2" width="16.90625" customWidth="1"/>
    <col min="3" max="3" width="17.453125" customWidth="1"/>
    <col min="6" max="6" width="11.453125" customWidth="1"/>
    <col min="9" max="9" width="15.36328125" customWidth="1"/>
    <col min="10" max="10" width="13.1796875" customWidth="1"/>
    <col min="11" max="11" width="14.26953125" customWidth="1"/>
  </cols>
  <sheetData>
    <row r="1" spans="1:15" ht="48.5">
      <c r="A1" s="147" t="s">
        <v>5</v>
      </c>
      <c r="B1" s="147" t="s">
        <v>2005</v>
      </c>
      <c r="C1" s="147" t="s">
        <v>2012</v>
      </c>
      <c r="D1" s="147" t="s">
        <v>2006</v>
      </c>
      <c r="E1" s="147" t="s">
        <v>2013</v>
      </c>
      <c r="F1" s="147"/>
      <c r="G1" s="147" t="s">
        <v>2006</v>
      </c>
      <c r="H1" s="148" t="s">
        <v>2007</v>
      </c>
      <c r="I1" s="147" t="s">
        <v>2008</v>
      </c>
      <c r="J1" s="147" t="s">
        <v>2009</v>
      </c>
      <c r="K1" s="147" t="s">
        <v>2010</v>
      </c>
      <c r="L1" s="148" t="s">
        <v>2011</v>
      </c>
    </row>
    <row r="2" spans="1:15">
      <c r="A2" s="146" t="s">
        <v>1914</v>
      </c>
      <c r="B2">
        <v>38</v>
      </c>
      <c r="C2">
        <f ca="1">SUMIF(白领!E:E,数据分析!$A2,白领!T1:T1937)</f>
        <v>9315</v>
      </c>
      <c r="D2">
        <f>COUNTIFS(白领!E:E,$A2,白领!X:X,"&lt;&gt;0")</f>
        <v>11</v>
      </c>
      <c r="E2">
        <f>SUMIF(白领!E:E,数据分析!$A2,白领!W:W)</f>
        <v>9315</v>
      </c>
      <c r="F2" s="143">
        <f ca="1">E2/C2</f>
        <v>1</v>
      </c>
    </row>
    <row r="3" spans="1:15">
      <c r="A3" s="146" t="s">
        <v>1722</v>
      </c>
      <c r="B3">
        <v>16</v>
      </c>
      <c r="C3">
        <f ca="1">SUMIF(白领!E:E,数据分析!$A3,白领!T2:T1938)</f>
        <v>14481</v>
      </c>
      <c r="D3">
        <f>COUNTIFS(白领!E:E,$A3,白领!X:X,"&lt;&gt;0")</f>
        <v>10</v>
      </c>
      <c r="E3">
        <f>SUMIF(白领!E:E,数据分析!$A3,白领!W:W)</f>
        <v>12320</v>
      </c>
      <c r="F3" s="143">
        <f t="shared" ref="F3:F11" ca="1" si="0">E3/C3</f>
        <v>0.85076997444927838</v>
      </c>
    </row>
    <row r="4" spans="1:15">
      <c r="A4" s="146" t="s">
        <v>1902</v>
      </c>
      <c r="B4">
        <v>15</v>
      </c>
      <c r="C4">
        <f ca="1">SUMIF(白领!E:E,数据分析!$A4,白领!T3:T1939)</f>
        <v>6572</v>
      </c>
      <c r="D4">
        <f>COUNTIFS(白领!E:E,$A4,白领!X:X,"&lt;&gt;0")</f>
        <v>9</v>
      </c>
      <c r="E4">
        <f>SUMIF(白领!E:E,数据分析!$A4,白领!W:W)</f>
        <v>7067</v>
      </c>
      <c r="F4" s="143">
        <f t="shared" ca="1" si="0"/>
        <v>1.0753195374315276</v>
      </c>
    </row>
    <row r="5" spans="1:15">
      <c r="A5" s="146" t="s">
        <v>1935</v>
      </c>
      <c r="B5">
        <v>9</v>
      </c>
      <c r="C5">
        <f ca="1">SUMIF(白领!E:E,数据分析!$A5,白领!T4:T1940)</f>
        <v>18276</v>
      </c>
      <c r="D5">
        <f>COUNTIFS(白领!E:E,$A5,白领!X:X,"&lt;&gt;0")</f>
        <v>18</v>
      </c>
      <c r="E5">
        <f>SUMIF(白领!E:E,数据分析!$A5,白领!W:W)</f>
        <v>16165</v>
      </c>
      <c r="F5" s="143">
        <f t="shared" ca="1" si="0"/>
        <v>0.88449332457868246</v>
      </c>
    </row>
    <row r="6" spans="1:15">
      <c r="A6" s="146" t="s">
        <v>1753</v>
      </c>
      <c r="B6">
        <v>23</v>
      </c>
      <c r="C6">
        <f ca="1">SUMIF(白领!E:E,数据分析!$A6,白领!T5:T1941)</f>
        <v>45803</v>
      </c>
      <c r="D6">
        <f>COUNTIFS(白领!E:E,$A6,白领!X:X,"&lt;&gt;0")</f>
        <v>87</v>
      </c>
      <c r="E6">
        <f>SUMIF(白领!E:E,数据分析!$A6,白领!W:W)</f>
        <v>50456</v>
      </c>
      <c r="F6" s="143">
        <f t="shared" ca="1" si="0"/>
        <v>1.1015872322773617</v>
      </c>
    </row>
    <row r="7" spans="1:15">
      <c r="A7" s="146" t="s">
        <v>1604</v>
      </c>
      <c r="B7">
        <v>152</v>
      </c>
      <c r="C7">
        <f ca="1">SUMIF(白领!E:E,数据分析!$A7,白领!T6:T1942)</f>
        <v>66324</v>
      </c>
      <c r="D7">
        <f>COUNTIFS(白领!E:E,$A7,白领!X:X,"&lt;&gt;0")</f>
        <v>110</v>
      </c>
      <c r="E7">
        <f>SUMIF(白领!E:E,数据分析!$A7,白领!W:W)</f>
        <v>72365</v>
      </c>
      <c r="F7" s="143">
        <f t="shared" ca="1" si="0"/>
        <v>1.0910831674808517</v>
      </c>
    </row>
    <row r="8" spans="1:15">
      <c r="A8" s="146" t="s">
        <v>2001</v>
      </c>
      <c r="B8">
        <v>151</v>
      </c>
      <c r="C8">
        <f ca="1">SUMIF(白领!E:E,数据分析!$A8,白领!T7:T1943)</f>
        <v>35317</v>
      </c>
      <c r="D8">
        <f>COUNTIFS(白领!E:E,$A8,白领!X:X,"&lt;&gt;0")</f>
        <v>59</v>
      </c>
      <c r="E8">
        <f>SUMIF(白领!E:E,数据分析!$A8,白领!W:W)</f>
        <v>33643</v>
      </c>
      <c r="F8" s="143">
        <f t="shared" ca="1" si="0"/>
        <v>0.95260073052637539</v>
      </c>
    </row>
    <row r="9" spans="1:15">
      <c r="A9" s="146" t="s">
        <v>1414</v>
      </c>
      <c r="B9">
        <v>14</v>
      </c>
      <c r="C9">
        <f ca="1">SUMIF(白领!E:E,数据分析!$A9,白领!T8:T1944)</f>
        <v>24910</v>
      </c>
      <c r="D9">
        <f>COUNTIFS(白领!E:E,$A9,白领!X:X,"&lt;&gt;0")</f>
        <v>25</v>
      </c>
      <c r="E9">
        <f>SUMIF(白领!E:E,数据分析!$A9,白领!W:W)</f>
        <v>14433</v>
      </c>
      <c r="F9" s="143">
        <f t="shared" ca="1" si="0"/>
        <v>0.57940586109995984</v>
      </c>
    </row>
    <row r="10" spans="1:15">
      <c r="A10" s="146" t="s">
        <v>319</v>
      </c>
      <c r="B10">
        <v>86</v>
      </c>
      <c r="C10">
        <f ca="1">SUMIF(白领!E:E,数据分析!$A10,白领!T9:T1945)</f>
        <v>25597</v>
      </c>
      <c r="D10">
        <f>COUNTIFS(白领!E:E,$A10,白领!X:X,"&lt;&gt;0")</f>
        <v>51</v>
      </c>
      <c r="E10">
        <f>SUMIF(白领!E:E,数据分析!$A10,白领!W:W)</f>
        <v>26345</v>
      </c>
      <c r="F10" s="143">
        <f t="shared" ca="1" si="0"/>
        <v>1.0292221744735712</v>
      </c>
    </row>
    <row r="11" spans="1:15">
      <c r="A11" s="146" t="s">
        <v>62</v>
      </c>
      <c r="B11">
        <v>29</v>
      </c>
      <c r="C11">
        <f ca="1">SUMIF(白领!E:E,数据分析!$A11,白领!T10:T1946)</f>
        <v>38434</v>
      </c>
      <c r="D11">
        <f>COUNTIFS(白领!E:E,$A11,白领!X:X,"&lt;&gt;0")</f>
        <v>61</v>
      </c>
      <c r="E11">
        <f>SUMIF(白领!E:E,数据分析!$A11,白领!W:W)</f>
        <v>38426.744000000006</v>
      </c>
      <c r="F11" s="143">
        <f t="shared" ca="1" si="0"/>
        <v>0.99981120882551922</v>
      </c>
    </row>
    <row r="12" spans="1:15">
      <c r="A12" s="146" t="s">
        <v>2035</v>
      </c>
      <c r="B12">
        <v>82</v>
      </c>
      <c r="C12">
        <f ca="1">SUMIF(白领!E:E,数据分析!$A12,白领!T11:T1947)</f>
        <v>64901</v>
      </c>
    </row>
    <row r="13" spans="1:15">
      <c r="A13" s="146" t="s">
        <v>2288</v>
      </c>
      <c r="C13">
        <f ca="1">SUM(C2:C12)</f>
        <v>349930</v>
      </c>
    </row>
    <row r="14" spans="1:15">
      <c r="A14" s="146"/>
      <c r="J14">
        <v>5.0000000000000001E-3</v>
      </c>
    </row>
    <row r="15" spans="1:15">
      <c r="A15" s="146" t="s">
        <v>2003</v>
      </c>
      <c r="B15" t="s">
        <v>2014</v>
      </c>
      <c r="C15" t="s">
        <v>2015</v>
      </c>
      <c r="D15" t="s">
        <v>2034</v>
      </c>
      <c r="E15" s="247" t="s">
        <v>2287</v>
      </c>
      <c r="F15" s="143" t="s">
        <v>2037</v>
      </c>
      <c r="G15" t="s">
        <v>2038</v>
      </c>
      <c r="I15" t="s">
        <v>2041</v>
      </c>
      <c r="J15" t="s">
        <v>2008</v>
      </c>
      <c r="K15" t="s">
        <v>2042</v>
      </c>
      <c r="L15" s="247"/>
      <c r="M15" t="s">
        <v>2043</v>
      </c>
      <c r="O15" t="s">
        <v>2289</v>
      </c>
    </row>
    <row r="16" spans="1:15" hidden="1">
      <c r="A16" s="146" t="s">
        <v>1414</v>
      </c>
      <c r="B16" s="149">
        <v>14433</v>
      </c>
      <c r="C16" s="150">
        <v>14433</v>
      </c>
      <c r="D16">
        <f>B16-C16</f>
        <v>0</v>
      </c>
      <c r="E16" s="243">
        <f>C16/B16</f>
        <v>1</v>
      </c>
      <c r="F16">
        <v>38</v>
      </c>
      <c r="G16">
        <v>25</v>
      </c>
      <c r="H16" s="143">
        <f>G16/F16</f>
        <v>0.65789473684210531</v>
      </c>
      <c r="I16" s="149">
        <v>565057</v>
      </c>
      <c r="J16" s="149">
        <f t="shared" ref="J16:J28" si="1">I16*$J$14</f>
        <v>2825.2849999999999</v>
      </c>
      <c r="K16" s="149">
        <v>2825</v>
      </c>
      <c r="L16" s="243">
        <f>K16/J16</f>
        <v>0.99989912522099544</v>
      </c>
      <c r="M16">
        <v>3</v>
      </c>
      <c r="N16" s="243">
        <f t="shared" ref="N16:N28" si="2">M16/F16</f>
        <v>7.8947368421052627E-2</v>
      </c>
    </row>
    <row r="17" spans="1:15" hidden="1">
      <c r="A17" s="146" t="s">
        <v>1914</v>
      </c>
      <c r="B17" s="149">
        <v>9315</v>
      </c>
      <c r="C17" s="150">
        <v>9315</v>
      </c>
      <c r="D17">
        <f t="shared" ref="D17:D28" si="3">B17-C17</f>
        <v>0</v>
      </c>
      <c r="E17" s="243">
        <f t="shared" ref="E17:E28" si="4">C17/B17</f>
        <v>1</v>
      </c>
      <c r="F17">
        <v>16</v>
      </c>
      <c r="G17">
        <v>11</v>
      </c>
      <c r="H17" s="143">
        <f t="shared" ref="H17:H28" si="5">G17/F17</f>
        <v>0.6875</v>
      </c>
      <c r="I17" s="149">
        <v>391477</v>
      </c>
      <c r="J17" s="149">
        <f t="shared" si="1"/>
        <v>1957.385</v>
      </c>
      <c r="K17" s="149">
        <v>1952</v>
      </c>
      <c r="L17" s="243">
        <f>K17/J17</f>
        <v>0.99724888052171645</v>
      </c>
      <c r="M17">
        <v>1</v>
      </c>
      <c r="N17" s="243">
        <f t="shared" si="2"/>
        <v>6.25E-2</v>
      </c>
    </row>
    <row r="18" spans="1:15" hidden="1">
      <c r="A18" s="146" t="s">
        <v>1722</v>
      </c>
      <c r="B18" s="149">
        <v>12320</v>
      </c>
      <c r="C18" s="150">
        <v>12320</v>
      </c>
      <c r="D18">
        <f t="shared" si="3"/>
        <v>0</v>
      </c>
      <c r="E18" s="243">
        <f t="shared" si="4"/>
        <v>1</v>
      </c>
      <c r="F18">
        <v>15</v>
      </c>
      <c r="G18">
        <v>10</v>
      </c>
      <c r="H18" s="143">
        <f t="shared" si="5"/>
        <v>0.66666666666666663</v>
      </c>
      <c r="I18" s="149">
        <v>415631</v>
      </c>
      <c r="J18" s="149">
        <f t="shared" si="1"/>
        <v>2078.1550000000002</v>
      </c>
      <c r="K18" s="149">
        <v>0</v>
      </c>
      <c r="L18" s="243">
        <v>0</v>
      </c>
      <c r="N18" s="243">
        <f t="shared" si="2"/>
        <v>0</v>
      </c>
    </row>
    <row r="19" spans="1:15" hidden="1">
      <c r="A19" s="146" t="s">
        <v>1902</v>
      </c>
      <c r="B19" s="149">
        <v>7067</v>
      </c>
      <c r="C19" s="150">
        <v>7067</v>
      </c>
      <c r="D19">
        <f t="shared" si="3"/>
        <v>0</v>
      </c>
      <c r="E19" s="243">
        <f t="shared" si="4"/>
        <v>1</v>
      </c>
      <c r="F19">
        <v>9</v>
      </c>
      <c r="G19">
        <v>9</v>
      </c>
      <c r="H19" s="143">
        <f t="shared" si="5"/>
        <v>1</v>
      </c>
      <c r="I19" s="149">
        <v>202173</v>
      </c>
      <c r="J19" s="149">
        <f t="shared" si="1"/>
        <v>1010.865</v>
      </c>
      <c r="K19" s="149">
        <v>1010</v>
      </c>
      <c r="L19" s="243">
        <f t="shared" ref="L19:L28" si="6">K19/J19</f>
        <v>0.99914429721080456</v>
      </c>
      <c r="M19">
        <v>1</v>
      </c>
      <c r="N19" s="243">
        <f t="shared" si="2"/>
        <v>0.1111111111111111</v>
      </c>
    </row>
    <row r="20" spans="1:15" hidden="1">
      <c r="A20" s="146" t="s">
        <v>1935</v>
      </c>
      <c r="B20" s="149">
        <v>16166</v>
      </c>
      <c r="C20" s="150">
        <v>16165</v>
      </c>
      <c r="D20">
        <f t="shared" si="3"/>
        <v>1</v>
      </c>
      <c r="E20" s="243">
        <f t="shared" si="4"/>
        <v>0.99993814177904239</v>
      </c>
      <c r="F20">
        <v>23</v>
      </c>
      <c r="G20">
        <v>18</v>
      </c>
      <c r="H20" s="143">
        <f t="shared" si="5"/>
        <v>0.78260869565217395</v>
      </c>
      <c r="I20" s="149">
        <v>605993</v>
      </c>
      <c r="J20" s="149">
        <f t="shared" si="1"/>
        <v>3029.9650000000001</v>
      </c>
      <c r="K20" s="149">
        <v>3023</v>
      </c>
      <c r="L20" s="243">
        <f>K20/J20</f>
        <v>0.99770129357929871</v>
      </c>
      <c r="M20">
        <v>2</v>
      </c>
      <c r="N20" s="243">
        <f t="shared" si="2"/>
        <v>8.6956521739130432E-2</v>
      </c>
    </row>
    <row r="21" spans="1:15">
      <c r="A21" s="146" t="s">
        <v>1753</v>
      </c>
      <c r="B21" s="149">
        <v>50456</v>
      </c>
      <c r="C21" s="150">
        <v>50456</v>
      </c>
      <c r="D21">
        <f t="shared" si="3"/>
        <v>0</v>
      </c>
      <c r="E21" s="243">
        <f t="shared" si="4"/>
        <v>1</v>
      </c>
      <c r="F21">
        <v>152</v>
      </c>
      <c r="G21">
        <v>87</v>
      </c>
      <c r="H21" s="143">
        <f t="shared" si="5"/>
        <v>0.57236842105263153</v>
      </c>
      <c r="I21" s="149">
        <v>2057648</v>
      </c>
      <c r="J21" s="149">
        <f t="shared" si="1"/>
        <v>10288.24</v>
      </c>
      <c r="K21" s="149">
        <v>9474</v>
      </c>
      <c r="L21" s="243">
        <f t="shared" si="6"/>
        <v>0.92085721172911983</v>
      </c>
      <c r="M21">
        <v>8</v>
      </c>
      <c r="N21" s="243">
        <f t="shared" si="2"/>
        <v>5.2631578947368418E-2</v>
      </c>
      <c r="O21">
        <v>0</v>
      </c>
    </row>
    <row r="22" spans="1:15">
      <c r="A22" s="146" t="s">
        <v>1604</v>
      </c>
      <c r="B22" s="149">
        <v>68266</v>
      </c>
      <c r="C22" s="150">
        <v>72365</v>
      </c>
      <c r="D22" s="149">
        <f>B22-C22</f>
        <v>-4099</v>
      </c>
      <c r="E22" s="243">
        <f t="shared" si="4"/>
        <v>1.0600445316848797</v>
      </c>
      <c r="F22">
        <v>151</v>
      </c>
      <c r="G22">
        <v>110</v>
      </c>
      <c r="H22" s="143">
        <f t="shared" si="5"/>
        <v>0.72847682119205293</v>
      </c>
      <c r="I22" s="149">
        <v>2138146</v>
      </c>
      <c r="J22" s="149">
        <f t="shared" si="1"/>
        <v>10690.73</v>
      </c>
      <c r="K22" s="149">
        <v>10691</v>
      </c>
      <c r="L22" s="243">
        <f>K22/J22</f>
        <v>1.0000252555251139</v>
      </c>
      <c r="M22">
        <v>13</v>
      </c>
      <c r="N22" s="243">
        <f t="shared" si="2"/>
        <v>8.6092715231788075E-2</v>
      </c>
    </row>
    <row r="23" spans="1:15">
      <c r="A23" s="146" t="s">
        <v>2032</v>
      </c>
      <c r="B23" s="149">
        <v>9953</v>
      </c>
      <c r="C23" s="150">
        <v>9953</v>
      </c>
      <c r="D23">
        <f t="shared" si="3"/>
        <v>0</v>
      </c>
      <c r="E23" s="243">
        <f t="shared" si="4"/>
        <v>1</v>
      </c>
      <c r="F23">
        <v>14</v>
      </c>
      <c r="G23">
        <v>10</v>
      </c>
      <c r="H23" s="143">
        <f t="shared" si="5"/>
        <v>0.7142857142857143</v>
      </c>
      <c r="I23" s="149">
        <v>281769</v>
      </c>
      <c r="J23" s="149">
        <f t="shared" si="1"/>
        <v>1408.845</v>
      </c>
      <c r="K23" s="149">
        <v>1436</v>
      </c>
      <c r="L23" s="243">
        <f t="shared" si="6"/>
        <v>1.0192746540605957</v>
      </c>
      <c r="M23">
        <v>1</v>
      </c>
      <c r="N23" s="243">
        <f t="shared" si="2"/>
        <v>7.1428571428571425E-2</v>
      </c>
    </row>
    <row r="24" spans="1:15">
      <c r="A24" s="146" t="s">
        <v>2001</v>
      </c>
      <c r="B24" s="149">
        <v>33643</v>
      </c>
      <c r="C24" s="150">
        <v>33643</v>
      </c>
      <c r="D24">
        <f t="shared" si="3"/>
        <v>0</v>
      </c>
      <c r="E24" s="243">
        <f t="shared" si="4"/>
        <v>1</v>
      </c>
      <c r="F24">
        <v>86</v>
      </c>
      <c r="G24">
        <v>59</v>
      </c>
      <c r="H24" s="143">
        <f t="shared" si="5"/>
        <v>0.68604651162790697</v>
      </c>
      <c r="I24" s="149">
        <v>1418496</v>
      </c>
      <c r="J24" s="149">
        <f t="shared" si="1"/>
        <v>7092.4800000000005</v>
      </c>
      <c r="K24" s="149">
        <v>7089</v>
      </c>
      <c r="L24" s="243">
        <f t="shared" si="6"/>
        <v>0.99950933946940979</v>
      </c>
      <c r="M24">
        <v>7</v>
      </c>
      <c r="N24" s="243">
        <f t="shared" si="2"/>
        <v>8.1395348837209308E-2</v>
      </c>
    </row>
    <row r="25" spans="1:15">
      <c r="A25" s="146" t="s">
        <v>319</v>
      </c>
      <c r="B25" s="149">
        <v>26990</v>
      </c>
      <c r="C25" s="150">
        <v>26345</v>
      </c>
      <c r="D25">
        <f t="shared" si="3"/>
        <v>645</v>
      </c>
      <c r="E25" s="243">
        <f t="shared" si="4"/>
        <v>0.97610226009633194</v>
      </c>
      <c r="F25">
        <v>66</v>
      </c>
      <c r="G25">
        <v>51</v>
      </c>
      <c r="H25" s="143">
        <f t="shared" si="5"/>
        <v>0.77272727272727271</v>
      </c>
      <c r="I25" s="149">
        <v>841434</v>
      </c>
      <c r="J25" s="149">
        <f t="shared" si="1"/>
        <v>4207.17</v>
      </c>
      <c r="K25" s="149">
        <v>4048</v>
      </c>
      <c r="L25" s="243">
        <f t="shared" si="6"/>
        <v>0.96216696734384399</v>
      </c>
      <c r="M25">
        <v>6</v>
      </c>
      <c r="N25" s="243">
        <f t="shared" si="2"/>
        <v>9.0909090909090912E-2</v>
      </c>
    </row>
    <row r="26" spans="1:15">
      <c r="A26" s="146" t="s">
        <v>62</v>
      </c>
      <c r="B26" s="149">
        <v>38293</v>
      </c>
      <c r="C26" s="150">
        <v>38476.744000000006</v>
      </c>
      <c r="D26" s="149">
        <f>B26-C26</f>
        <v>-183.74400000000605</v>
      </c>
      <c r="E26" s="243">
        <f>C26/B26</f>
        <v>1.0047983704593531</v>
      </c>
      <c r="F26">
        <v>82</v>
      </c>
      <c r="G26">
        <v>62</v>
      </c>
      <c r="H26" s="143">
        <f t="shared" si="5"/>
        <v>0.75609756097560976</v>
      </c>
      <c r="I26" s="149">
        <v>1370342</v>
      </c>
      <c r="J26" s="149">
        <f t="shared" si="1"/>
        <v>6851.71</v>
      </c>
      <c r="K26" s="149">
        <v>8701</v>
      </c>
      <c r="L26" s="243">
        <f t="shared" si="6"/>
        <v>1.2699019660785409</v>
      </c>
      <c r="M26">
        <v>6</v>
      </c>
      <c r="N26" s="243">
        <f t="shared" si="2"/>
        <v>7.3170731707317069E-2</v>
      </c>
    </row>
    <row r="27" spans="1:15">
      <c r="A27" s="240" t="s">
        <v>2035</v>
      </c>
      <c r="B27" s="149">
        <v>74651</v>
      </c>
      <c r="C27" s="150">
        <v>73144</v>
      </c>
      <c r="D27">
        <f t="shared" si="3"/>
        <v>1507</v>
      </c>
      <c r="E27" s="243">
        <f t="shared" si="4"/>
        <v>0.97981272856358259</v>
      </c>
      <c r="F27">
        <v>142</v>
      </c>
      <c r="G27">
        <v>92</v>
      </c>
      <c r="H27" s="143">
        <f t="shared" si="5"/>
        <v>0.647887323943662</v>
      </c>
      <c r="I27" s="149">
        <v>2083527</v>
      </c>
      <c r="J27" s="149">
        <f t="shared" si="1"/>
        <v>10417.635</v>
      </c>
      <c r="K27" s="149">
        <v>8341</v>
      </c>
      <c r="L27" s="243">
        <f t="shared" si="6"/>
        <v>0.80066157050040632</v>
      </c>
      <c r="M27">
        <v>9</v>
      </c>
      <c r="N27" s="243">
        <f t="shared" si="2"/>
        <v>6.3380281690140844E-2</v>
      </c>
    </row>
    <row r="28" spans="1:15">
      <c r="A28" s="146" t="s">
        <v>2277</v>
      </c>
      <c r="B28" s="242">
        <v>361553</v>
      </c>
      <c r="C28" s="241">
        <v>363682.74400000001</v>
      </c>
      <c r="D28">
        <f t="shared" si="3"/>
        <v>-2129.7440000000061</v>
      </c>
      <c r="E28" s="243">
        <f t="shared" si="4"/>
        <v>1.0058905444015125</v>
      </c>
      <c r="F28" s="244">
        <v>794</v>
      </c>
      <c r="G28" s="244">
        <v>544</v>
      </c>
      <c r="H28" s="143">
        <f t="shared" si="5"/>
        <v>0.68513853904282118</v>
      </c>
      <c r="I28" s="242">
        <v>12371693</v>
      </c>
      <c r="J28" s="149">
        <f t="shared" si="1"/>
        <v>61858.465000000004</v>
      </c>
      <c r="K28" s="242">
        <v>58590</v>
      </c>
      <c r="L28" s="243">
        <f t="shared" si="6"/>
        <v>0.94716220326514722</v>
      </c>
      <c r="M28" s="244">
        <v>57</v>
      </c>
      <c r="N28" s="243">
        <f t="shared" si="2"/>
        <v>7.1788413098236775E-2</v>
      </c>
    </row>
    <row r="30" spans="1:15">
      <c r="G30" t="s">
        <v>2292</v>
      </c>
    </row>
    <row r="31" spans="1:15">
      <c r="A31" t="s">
        <v>2283</v>
      </c>
      <c r="B31">
        <v>14</v>
      </c>
      <c r="C31">
        <v>1</v>
      </c>
      <c r="D31" s="143">
        <f>C31/B31</f>
        <v>7.1428571428571425E-2</v>
      </c>
      <c r="E31" s="249">
        <v>-2.1999999999999999E-2</v>
      </c>
      <c r="F31">
        <v>1</v>
      </c>
      <c r="G31" t="s">
        <v>2291</v>
      </c>
    </row>
    <row r="32" spans="1:15">
      <c r="A32" t="s">
        <v>2284</v>
      </c>
      <c r="B32">
        <v>47</v>
      </c>
      <c r="C32">
        <v>6</v>
      </c>
      <c r="D32" s="143">
        <f t="shared" ref="D32:D37" si="7">C32/B32</f>
        <v>0.1276595744680851</v>
      </c>
      <c r="E32" s="249">
        <v>2.0160000000000001E-2</v>
      </c>
      <c r="F32">
        <v>5</v>
      </c>
      <c r="G32" t="s">
        <v>2293</v>
      </c>
    </row>
    <row r="33" spans="1:7">
      <c r="A33" t="s">
        <v>2285</v>
      </c>
      <c r="B33">
        <v>482</v>
      </c>
      <c r="C33">
        <v>305</v>
      </c>
      <c r="D33" s="143">
        <f t="shared" si="7"/>
        <v>0.63278008298755184</v>
      </c>
      <c r="E33" s="249">
        <v>2.9135081967213167E-2</v>
      </c>
      <c r="F33">
        <v>305</v>
      </c>
    </row>
    <row r="34" spans="1:7">
      <c r="A34" t="s">
        <v>2286</v>
      </c>
      <c r="B34">
        <v>170</v>
      </c>
      <c r="C34">
        <v>163</v>
      </c>
      <c r="D34" s="143">
        <f t="shared" si="7"/>
        <v>0.95882352941176474</v>
      </c>
      <c r="E34" s="249">
        <v>5.4025153374233144E-2</v>
      </c>
      <c r="F34">
        <v>163</v>
      </c>
    </row>
    <row r="35" spans="1:7">
      <c r="A35" t="s">
        <v>2278</v>
      </c>
      <c r="B35">
        <v>75</v>
      </c>
      <c r="C35">
        <v>67</v>
      </c>
      <c r="D35" s="143">
        <f t="shared" si="7"/>
        <v>0.89333333333333331</v>
      </c>
      <c r="E35" s="249">
        <v>8.327462686567165E-2</v>
      </c>
      <c r="F35">
        <v>67</v>
      </c>
    </row>
    <row r="36" spans="1:7">
      <c r="A36" t="s">
        <v>2277</v>
      </c>
      <c r="B36">
        <v>6</v>
      </c>
      <c r="C36">
        <v>2</v>
      </c>
      <c r="D36" s="143">
        <f t="shared" si="7"/>
        <v>0.33333333333333331</v>
      </c>
      <c r="E36" s="249">
        <v>6.5450000000000008E-2</v>
      </c>
      <c r="F36">
        <v>2</v>
      </c>
    </row>
    <row r="37" spans="1:7">
      <c r="B37" s="244">
        <v>794</v>
      </c>
      <c r="C37" s="244">
        <v>544</v>
      </c>
      <c r="D37" s="143">
        <f t="shared" si="7"/>
        <v>0.68513853904282118</v>
      </c>
      <c r="E37" s="250">
        <v>4.3243830570902475E-2</v>
      </c>
      <c r="F37" s="244">
        <v>543</v>
      </c>
    </row>
    <row r="38" spans="1:7">
      <c r="A38" t="s">
        <v>2279</v>
      </c>
      <c r="B38">
        <v>607</v>
      </c>
      <c r="C38" s="248">
        <v>398</v>
      </c>
      <c r="D38" s="243">
        <f>C38/B38</f>
        <v>0.6556836902800659</v>
      </c>
      <c r="E38" s="251">
        <v>4.4312311557788947E-2</v>
      </c>
    </row>
    <row r="39" spans="1:7">
      <c r="A39" t="s">
        <v>2280</v>
      </c>
      <c r="B39">
        <v>138</v>
      </c>
      <c r="C39" s="248">
        <v>109</v>
      </c>
      <c r="D39" s="243">
        <f t="shared" ref="D39:D42" si="8">C39/B39</f>
        <v>0.78985507246376807</v>
      </c>
      <c r="E39" s="251">
        <v>3.9050458715596315E-2</v>
      </c>
    </row>
    <row r="40" spans="1:7">
      <c r="A40" t="s">
        <v>2281</v>
      </c>
      <c r="B40">
        <v>42</v>
      </c>
      <c r="C40" s="248">
        <v>34</v>
      </c>
      <c r="D40" s="243">
        <f t="shared" si="8"/>
        <v>0.80952380952380953</v>
      </c>
      <c r="E40" s="251">
        <v>4.0932352941176468E-2</v>
      </c>
    </row>
    <row r="41" spans="1:7">
      <c r="A41" t="s">
        <v>2282</v>
      </c>
      <c r="B41">
        <v>7</v>
      </c>
      <c r="C41" s="248">
        <v>3</v>
      </c>
      <c r="D41" s="243">
        <f t="shared" si="8"/>
        <v>0.42857142857142855</v>
      </c>
      <c r="E41" s="251">
        <v>6.7199999999999996E-2</v>
      </c>
      <c r="G41" t="s">
        <v>2294</v>
      </c>
    </row>
    <row r="42" spans="1:7">
      <c r="A42" t="s">
        <v>2277</v>
      </c>
      <c r="B42">
        <v>794</v>
      </c>
      <c r="C42" s="244">
        <v>544</v>
      </c>
      <c r="D42" s="243">
        <f t="shared" si="8"/>
        <v>0.68513853904282118</v>
      </c>
      <c r="E42" s="252">
        <v>4.3172977941176499E-2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CC3C-04A2-4B98-A364-E12B3677A55C}">
  <dimension ref="A3:D12"/>
  <sheetViews>
    <sheetView workbookViewId="0">
      <selection activeCell="C6" sqref="C6:C12"/>
    </sheetView>
  </sheetViews>
  <sheetFormatPr defaultRowHeight="14.5"/>
  <cols>
    <col min="1" max="1" width="8.90625" customWidth="1"/>
    <col min="2" max="2" width="19.54296875" customWidth="1"/>
    <col min="3" max="3" width="14.36328125" bestFit="1" customWidth="1"/>
    <col min="4" max="6" width="18" bestFit="1" customWidth="1"/>
  </cols>
  <sheetData>
    <row r="3" spans="1:4">
      <c r="A3" s="145" t="s">
        <v>25</v>
      </c>
      <c r="B3" t="s">
        <v>2039</v>
      </c>
    </row>
    <row r="5" spans="1:4">
      <c r="A5" s="145" t="s">
        <v>2003</v>
      </c>
      <c r="B5" t="s">
        <v>2290</v>
      </c>
      <c r="C5" t="s">
        <v>2036</v>
      </c>
      <c r="D5" t="s">
        <v>2040</v>
      </c>
    </row>
    <row r="6" spans="1:4">
      <c r="A6" s="146">
        <v>1</v>
      </c>
      <c r="B6" s="249">
        <v>-2.1999999999999999E-2</v>
      </c>
      <c r="C6">
        <v>1</v>
      </c>
      <c r="D6" s="149">
        <v>8937</v>
      </c>
    </row>
    <row r="7" spans="1:4">
      <c r="A7" s="146">
        <v>2</v>
      </c>
      <c r="B7" s="249">
        <v>2.0160000000000001E-2</v>
      </c>
      <c r="C7">
        <v>5</v>
      </c>
      <c r="D7" s="149">
        <v>74430</v>
      </c>
    </row>
    <row r="8" spans="1:4">
      <c r="A8" s="146">
        <v>3</v>
      </c>
      <c r="B8" s="249">
        <v>2.9135081967213167E-2</v>
      </c>
      <c r="C8">
        <v>305</v>
      </c>
      <c r="D8" s="149">
        <v>4773822</v>
      </c>
    </row>
    <row r="9" spans="1:4">
      <c r="A9" s="146">
        <v>4</v>
      </c>
      <c r="B9" s="249">
        <v>5.4025153374233144E-2</v>
      </c>
      <c r="C9">
        <v>163</v>
      </c>
      <c r="D9" s="149">
        <v>2641918</v>
      </c>
    </row>
    <row r="10" spans="1:4">
      <c r="A10" s="146">
        <v>5</v>
      </c>
      <c r="B10" s="249">
        <v>8.327462686567165E-2</v>
      </c>
      <c r="C10">
        <v>67</v>
      </c>
      <c r="D10" s="149">
        <v>1314375</v>
      </c>
    </row>
    <row r="11" spans="1:4">
      <c r="A11" s="146" t="s">
        <v>176</v>
      </c>
      <c r="B11" s="249">
        <v>6.5450000000000008E-2</v>
      </c>
      <c r="C11">
        <v>2</v>
      </c>
      <c r="D11" s="149">
        <v>13420</v>
      </c>
    </row>
    <row r="12" spans="1:4">
      <c r="A12" s="146" t="s">
        <v>2004</v>
      </c>
      <c r="B12" s="249">
        <v>4.3243830570902475E-2</v>
      </c>
      <c r="C12">
        <v>543</v>
      </c>
      <c r="D12" s="149">
        <v>8826902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795"/>
  <sheetViews>
    <sheetView tabSelected="1" topLeftCell="AR790" workbookViewId="0">
      <selection activeCell="AX792" sqref="AX792"/>
    </sheetView>
  </sheetViews>
  <sheetFormatPr defaultColWidth="8.7265625" defaultRowHeight="20" customHeight="1"/>
  <cols>
    <col min="1" max="1" width="11.6328125" style="55" customWidth="1"/>
    <col min="2" max="2" width="11.453125" style="55" customWidth="1"/>
    <col min="3" max="3" width="14.81640625" style="55" customWidth="1"/>
    <col min="4" max="4" width="10.6328125" style="55" customWidth="1"/>
    <col min="5" max="5" width="14.54296875" style="55" customWidth="1"/>
    <col min="6" max="6" width="14.26953125" style="55" customWidth="1"/>
    <col min="7" max="7" width="11.26953125" style="55" customWidth="1"/>
    <col min="8" max="8" width="13.08984375" style="112" customWidth="1"/>
    <col min="9" max="10" width="18.90625" style="55" customWidth="1"/>
    <col min="11" max="11" width="14.453125" style="55" customWidth="1"/>
    <col min="12" max="12" width="17.90625" style="113" customWidth="1"/>
    <col min="13" max="13" width="27.54296875" style="113" customWidth="1"/>
    <col min="14" max="14" width="16.6328125" style="55" customWidth="1"/>
    <col min="15" max="15" width="13.6328125" style="114" customWidth="1"/>
    <col min="16" max="16" width="27.26953125" style="114" customWidth="1"/>
    <col min="17" max="17" width="15" style="115" customWidth="1"/>
    <col min="18" max="18" width="12.08984375" style="115" customWidth="1"/>
    <col min="19" max="19" width="15.90625" style="115" customWidth="1"/>
    <col min="20" max="20" width="43.453125" style="115" customWidth="1"/>
    <col min="21" max="21" width="37.54296875" style="115" customWidth="1"/>
    <col min="22" max="22" width="21.26953125" style="115" customWidth="1"/>
    <col min="23" max="24" width="46.7265625" style="115" customWidth="1"/>
    <col min="25" max="25" width="33.54296875" style="115" customWidth="1"/>
    <col min="26" max="26" width="27.1796875" style="55" customWidth="1"/>
    <col min="27" max="27" width="21.08984375" style="55" customWidth="1"/>
    <col min="28" max="28" width="13.1796875" style="55" customWidth="1"/>
    <col min="29" max="29" width="9.36328125" style="55" customWidth="1"/>
    <col min="30" max="30" width="46.7265625" style="55" customWidth="1"/>
    <col min="31" max="31" width="12.6328125" style="55" customWidth="1"/>
    <col min="32" max="32" width="37.08984375" style="116" customWidth="1"/>
    <col min="33" max="33" width="33.08984375" style="116" customWidth="1"/>
    <col min="34" max="34" width="15.1796875" style="55" customWidth="1"/>
    <col min="35" max="35" width="29.7265625" style="55" customWidth="1"/>
    <col min="36" max="36" width="27" style="55" customWidth="1"/>
    <col min="37" max="37" width="13.6328125" style="55" customWidth="1"/>
    <col min="38" max="38" width="22.453125" style="55" customWidth="1"/>
    <col min="39" max="39" width="27.54296875" style="55" customWidth="1"/>
    <col min="40" max="40" width="24.453125" style="55" customWidth="1"/>
    <col min="41" max="41" width="25.08984375" style="55" customWidth="1"/>
    <col min="42" max="42" width="15.6328125" style="55" customWidth="1"/>
    <col min="43" max="43" width="30.6328125" style="55" customWidth="1"/>
    <col min="44" max="44" width="27.7265625" style="55" customWidth="1"/>
    <col min="45" max="45" width="14.81640625" style="55" customWidth="1"/>
    <col min="46" max="46" width="18.54296875" style="55" hidden="1" customWidth="1"/>
    <col min="47" max="49" width="22.90625" style="55" customWidth="1"/>
    <col min="50" max="16384" width="8.7265625" style="55"/>
  </cols>
  <sheetData>
    <row r="1" spans="1:53" s="85" customFormat="1" ht="20" customHeight="1">
      <c r="A1" s="117" t="s">
        <v>313</v>
      </c>
      <c r="B1" s="370" t="s">
        <v>2</v>
      </c>
      <c r="C1" s="212" t="s">
        <v>4</v>
      </c>
      <c r="D1" s="212" t="s">
        <v>5</v>
      </c>
      <c r="E1" s="212" t="s">
        <v>6</v>
      </c>
      <c r="F1" s="212" t="s">
        <v>7</v>
      </c>
      <c r="G1" s="212" t="s">
        <v>8</v>
      </c>
      <c r="H1" s="213" t="s">
        <v>9</v>
      </c>
      <c r="I1" s="212" t="s">
        <v>314</v>
      </c>
      <c r="J1" s="212" t="s">
        <v>11</v>
      </c>
      <c r="K1" s="212" t="s">
        <v>12</v>
      </c>
      <c r="L1" s="214" t="s">
        <v>13</v>
      </c>
      <c r="M1" s="215" t="s">
        <v>14</v>
      </c>
      <c r="N1" s="216" t="s">
        <v>15</v>
      </c>
      <c r="O1" s="217" t="s">
        <v>16</v>
      </c>
      <c r="P1" s="218" t="s">
        <v>17</v>
      </c>
      <c r="Q1" s="217" t="s">
        <v>18</v>
      </c>
      <c r="R1" s="218" t="s">
        <v>19</v>
      </c>
      <c r="S1" s="218" t="s">
        <v>2033</v>
      </c>
      <c r="T1" s="218" t="s">
        <v>21</v>
      </c>
      <c r="U1" s="218" t="s">
        <v>22</v>
      </c>
      <c r="V1" s="219" t="s">
        <v>23</v>
      </c>
      <c r="W1" s="220" t="s">
        <v>24</v>
      </c>
      <c r="X1" s="221" t="s">
        <v>25</v>
      </c>
      <c r="Y1" s="221" t="s">
        <v>26</v>
      </c>
      <c r="Z1" s="222" t="s">
        <v>27</v>
      </c>
      <c r="AA1" s="222" t="s">
        <v>28</v>
      </c>
      <c r="AB1" s="222" t="s">
        <v>29</v>
      </c>
      <c r="AC1" s="219" t="s">
        <v>30</v>
      </c>
      <c r="AD1" s="221" t="s">
        <v>31</v>
      </c>
      <c r="AE1" s="223" t="s">
        <v>32</v>
      </c>
      <c r="AF1" s="223" t="s">
        <v>315</v>
      </c>
      <c r="AG1" s="223" t="s">
        <v>316</v>
      </c>
      <c r="AH1" s="224" t="s">
        <v>35</v>
      </c>
      <c r="AI1" s="225" t="s">
        <v>36</v>
      </c>
      <c r="AJ1" s="225" t="s">
        <v>37</v>
      </c>
      <c r="AK1" s="224" t="s">
        <v>38</v>
      </c>
      <c r="AL1" s="225" t="s">
        <v>39</v>
      </c>
      <c r="AM1" s="225" t="s">
        <v>40</v>
      </c>
      <c r="AN1" s="225" t="s">
        <v>317</v>
      </c>
      <c r="AO1" s="226" t="s">
        <v>42</v>
      </c>
      <c r="AP1" s="226" t="s">
        <v>43</v>
      </c>
      <c r="AQ1" s="227" t="s">
        <v>44</v>
      </c>
      <c r="AR1" s="227" t="s">
        <v>45</v>
      </c>
      <c r="AS1" s="227" t="s">
        <v>46</v>
      </c>
      <c r="AT1" s="227" t="s">
        <v>47</v>
      </c>
      <c r="AU1" s="226" t="s">
        <v>48</v>
      </c>
      <c r="AV1" s="226" t="s">
        <v>49</v>
      </c>
      <c r="AW1" s="228" t="s">
        <v>2002</v>
      </c>
      <c r="AX1" s="228" t="s">
        <v>2331</v>
      </c>
      <c r="AY1" s="228" t="s">
        <v>3126</v>
      </c>
      <c r="AZ1" s="228" t="s">
        <v>3127</v>
      </c>
      <c r="BA1" s="228" t="s">
        <v>3128</v>
      </c>
    </row>
    <row r="2" spans="1:53" s="98" customFormat="1" ht="20" customHeight="1">
      <c r="A2" s="86" t="s">
        <v>318</v>
      </c>
      <c r="B2" s="371" t="s">
        <v>2332</v>
      </c>
      <c r="C2" s="151" t="s">
        <v>51</v>
      </c>
      <c r="D2" s="151" t="s">
        <v>52</v>
      </c>
      <c r="E2" s="151" t="s">
        <v>62</v>
      </c>
      <c r="F2" s="151" t="s">
        <v>64</v>
      </c>
      <c r="G2" s="151" t="s">
        <v>65</v>
      </c>
      <c r="H2" s="152">
        <v>38808</v>
      </c>
      <c r="I2" s="151" t="s">
        <v>66</v>
      </c>
      <c r="J2" s="151" t="s">
        <v>67</v>
      </c>
      <c r="K2" s="151" t="s">
        <v>61</v>
      </c>
      <c r="L2" s="153">
        <v>2</v>
      </c>
      <c r="M2" s="153">
        <v>5</v>
      </c>
      <c r="N2" s="154">
        <v>15840</v>
      </c>
      <c r="O2" s="155">
        <v>0.05</v>
      </c>
      <c r="P2" s="156">
        <f t="shared" ref="P2:P58" si="0">ROUND(N2*O2,0)</f>
        <v>792</v>
      </c>
      <c r="Q2" s="155">
        <v>0</v>
      </c>
      <c r="R2" s="156">
        <f t="shared" ref="R2:R58" si="1">ROUND(N2*Q2,0)</f>
        <v>0</v>
      </c>
      <c r="S2" s="155">
        <f t="shared" ref="S2:S58" si="2">T2/N2</f>
        <v>0.05</v>
      </c>
      <c r="T2" s="156">
        <f t="shared" ref="T2:T58" si="3">P2+R2</f>
        <v>792</v>
      </c>
      <c r="U2" s="156">
        <f t="shared" ref="U2:U58" si="4">N2+T2</f>
        <v>16632</v>
      </c>
      <c r="V2" s="157">
        <v>16780</v>
      </c>
      <c r="W2" s="158">
        <f>V2-N2</f>
        <v>940</v>
      </c>
      <c r="X2" s="159">
        <f t="shared" ref="X2:X58" si="5">ROUND(V2/N2-1,4)</f>
        <v>5.9299999999999999E-2</v>
      </c>
      <c r="Y2" s="160" t="str">
        <f t="shared" ref="Y2:Y22" si="6">IF(OR(L2=1,L2=2,L2=4),
    TEXT(S2*0.8,"0.00%") &amp; "-" &amp; TEXT(S2*1.2,"0.00%"),
    IF(OR(L2=3,L2=6),
        TEXT(0,"0.00%") &amp; "-" &amp; TEXT(7%*1.2,"0.00%"),
        IF(OR(L2=5,L2=7),
            TEXT((R2/N2),"0.00%") &amp; "-" &amp; TEXT((R2/N2)+7%,"0.00%"),
            ""
        )
    )
)</f>
        <v>4.00%-6.00%</v>
      </c>
      <c r="Z2" s="161"/>
      <c r="AA2" s="161"/>
      <c r="AB2" s="161"/>
      <c r="AC2" s="162"/>
      <c r="AD2" s="154">
        <f t="shared" ref="AD2:AD58" si="7">ROUND(N2*AC2,0)</f>
        <v>0</v>
      </c>
      <c r="AE2" s="163">
        <f t="shared" ref="AE2:AE58" si="8">V2+AD2</f>
        <v>16780</v>
      </c>
      <c r="AF2" s="164">
        <f t="shared" ref="AF2:AF58" si="9">AE2-N2</f>
        <v>940</v>
      </c>
      <c r="AG2" s="165">
        <f t="shared" ref="AG2:AG58" si="10">AE2/N2-1</f>
        <v>5.9343434343434254E-2</v>
      </c>
      <c r="AH2" s="166">
        <v>14</v>
      </c>
      <c r="AI2" s="166">
        <v>450</v>
      </c>
      <c r="AJ2" s="166"/>
      <c r="AK2" s="166">
        <v>688</v>
      </c>
      <c r="AL2" s="166">
        <f t="shared" ref="AL2:AL58" si="11">AE2*AH2+AI2*12+AK2+IF(AB2="",AJ2,IF(AB2="D",5000,IF(AB2="C",1000,0)))*12</f>
        <v>241008</v>
      </c>
      <c r="AM2" s="153">
        <v>4</v>
      </c>
      <c r="AN2" s="166"/>
      <c r="AO2" s="167"/>
      <c r="AP2" s="167"/>
      <c r="AQ2" s="151" t="s">
        <v>68</v>
      </c>
      <c r="AR2" s="151" t="s">
        <v>69</v>
      </c>
      <c r="AS2" s="151" t="s">
        <v>59</v>
      </c>
      <c r="AT2" s="166"/>
      <c r="AU2" s="167"/>
      <c r="AV2" s="167"/>
      <c r="AW2" s="168" t="str">
        <f t="shared" ref="AW2:AW33" si="12">_xlfn.LET(_xlpm.actual,X2,_xlpm.low,VALUE(_xlfn.TEXTBEFORE(Y2,"-")),_xlpm.high,VALUE(_xlfn.TEXTAFTER(Y2,"-")),IF(AND(_xlpm.actual=0,OR(_xlpm.low&lt;&gt;0,_xlpm.high&lt;&gt;0)),"0 increase",IF(_xlpm.actual&gt;_xlpm.high*1.2,"&gt;20",IF(_xlpm.actual&lt;_xlpm.low*0.8,"&lt;20","OK"))))</f>
        <v>OK</v>
      </c>
      <c r="AX2" s="369" t="s">
        <v>3129</v>
      </c>
      <c r="AY2" s="369" t="s">
        <v>3130</v>
      </c>
      <c r="AZ2" s="369"/>
      <c r="BA2" s="369"/>
    </row>
    <row r="3" spans="1:53" s="98" customFormat="1" ht="20" customHeight="1">
      <c r="A3" s="86" t="s">
        <v>318</v>
      </c>
      <c r="B3" s="371" t="s">
        <v>2333</v>
      </c>
      <c r="C3" s="151" t="s">
        <v>51</v>
      </c>
      <c r="D3" s="151" t="s">
        <v>52</v>
      </c>
      <c r="E3" s="151" t="s">
        <v>62</v>
      </c>
      <c r="F3" s="151" t="s">
        <v>70</v>
      </c>
      <c r="G3" s="151" t="s">
        <v>65</v>
      </c>
      <c r="H3" s="152">
        <v>45063</v>
      </c>
      <c r="I3" s="151" t="s">
        <v>71</v>
      </c>
      <c r="J3" s="151" t="s">
        <v>72</v>
      </c>
      <c r="K3" s="151" t="s">
        <v>61</v>
      </c>
      <c r="L3" s="153">
        <v>2</v>
      </c>
      <c r="M3" s="153">
        <v>4</v>
      </c>
      <c r="N3" s="154">
        <v>16456</v>
      </c>
      <c r="O3" s="155">
        <v>4.4999999999999998E-2</v>
      </c>
      <c r="P3" s="156">
        <f t="shared" si="0"/>
        <v>741</v>
      </c>
      <c r="Q3" s="155">
        <v>1.55E-2</v>
      </c>
      <c r="R3" s="156">
        <f t="shared" si="1"/>
        <v>255</v>
      </c>
      <c r="S3" s="155">
        <f>T3/N3</f>
        <v>6.0525036460865336E-2</v>
      </c>
      <c r="T3" s="156">
        <f t="shared" si="3"/>
        <v>996</v>
      </c>
      <c r="U3" s="156">
        <f t="shared" si="4"/>
        <v>17452</v>
      </c>
      <c r="V3" s="157">
        <v>17456</v>
      </c>
      <c r="W3" s="158">
        <f t="shared" ref="W3:W58" si="13">V3-N3</f>
        <v>1000</v>
      </c>
      <c r="X3" s="159">
        <f t="shared" si="5"/>
        <v>6.08E-2</v>
      </c>
      <c r="Y3" s="160" t="str">
        <f t="shared" si="6"/>
        <v>4.84%-7.26%</v>
      </c>
      <c r="Z3" s="161"/>
      <c r="AA3" s="161"/>
      <c r="AB3" s="161"/>
      <c r="AC3" s="162"/>
      <c r="AD3" s="154">
        <f t="shared" si="7"/>
        <v>0</v>
      </c>
      <c r="AE3" s="163">
        <f t="shared" si="8"/>
        <v>17456</v>
      </c>
      <c r="AF3" s="164">
        <f t="shared" si="9"/>
        <v>1000</v>
      </c>
      <c r="AG3" s="165">
        <f t="shared" si="10"/>
        <v>6.0768108896451123E-2</v>
      </c>
      <c r="AH3" s="166">
        <v>14</v>
      </c>
      <c r="AI3" s="166">
        <v>450</v>
      </c>
      <c r="AJ3" s="166"/>
      <c r="AK3" s="166">
        <v>688</v>
      </c>
      <c r="AL3" s="166">
        <f t="shared" si="11"/>
        <v>250472</v>
      </c>
      <c r="AM3" s="153">
        <v>5</v>
      </c>
      <c r="AN3" s="166"/>
      <c r="AO3" s="167"/>
      <c r="AP3" s="167"/>
      <c r="AQ3" s="151" t="s">
        <v>68</v>
      </c>
      <c r="AR3" s="151" t="s">
        <v>69</v>
      </c>
      <c r="AS3" s="151" t="s">
        <v>59</v>
      </c>
      <c r="AT3" s="166"/>
      <c r="AU3" s="167"/>
      <c r="AV3" s="167"/>
      <c r="AW3" s="169" t="str">
        <f t="shared" si="12"/>
        <v>OK</v>
      </c>
      <c r="AX3" s="21" t="s">
        <v>3131</v>
      </c>
      <c r="AY3" s="21" t="s">
        <v>3132</v>
      </c>
      <c r="AZ3" s="21"/>
      <c r="BA3" s="21"/>
    </row>
    <row r="4" spans="1:53" s="98" customFormat="1" ht="20" customHeight="1">
      <c r="A4" s="86" t="s">
        <v>318</v>
      </c>
      <c r="B4" s="371" t="s">
        <v>2334</v>
      </c>
      <c r="C4" s="151" t="s">
        <v>51</v>
      </c>
      <c r="D4" s="151" t="s">
        <v>52</v>
      </c>
      <c r="E4" s="151" t="s">
        <v>62</v>
      </c>
      <c r="F4" s="151" t="s">
        <v>70</v>
      </c>
      <c r="G4" s="151" t="s">
        <v>65</v>
      </c>
      <c r="H4" s="152">
        <v>42291</v>
      </c>
      <c r="I4" s="151" t="s">
        <v>73</v>
      </c>
      <c r="J4" s="151" t="s">
        <v>73</v>
      </c>
      <c r="K4" s="151" t="s">
        <v>61</v>
      </c>
      <c r="L4" s="153">
        <v>2</v>
      </c>
      <c r="M4" s="153">
        <v>3</v>
      </c>
      <c r="N4" s="154">
        <v>13630</v>
      </c>
      <c r="O4" s="155">
        <v>0.03</v>
      </c>
      <c r="P4" s="156">
        <f t="shared" si="0"/>
        <v>409</v>
      </c>
      <c r="Q4" s="155">
        <v>0</v>
      </c>
      <c r="R4" s="156">
        <f t="shared" si="1"/>
        <v>0</v>
      </c>
      <c r="S4" s="155">
        <f t="shared" si="2"/>
        <v>3.0007336757153339E-2</v>
      </c>
      <c r="T4" s="156">
        <f t="shared" si="3"/>
        <v>409</v>
      </c>
      <c r="U4" s="156">
        <f t="shared" si="4"/>
        <v>14039</v>
      </c>
      <c r="V4" s="157">
        <v>14038</v>
      </c>
      <c r="W4" s="158">
        <f t="shared" si="13"/>
        <v>408</v>
      </c>
      <c r="X4" s="159">
        <f t="shared" si="5"/>
        <v>2.9899999999999999E-2</v>
      </c>
      <c r="Y4" s="160" t="str">
        <f t="shared" si="6"/>
        <v>2.40%-3.60%</v>
      </c>
      <c r="Z4" s="161"/>
      <c r="AA4" s="161"/>
      <c r="AB4" s="161"/>
      <c r="AC4" s="162"/>
      <c r="AD4" s="154">
        <f t="shared" si="7"/>
        <v>0</v>
      </c>
      <c r="AE4" s="163">
        <f t="shared" si="8"/>
        <v>14038</v>
      </c>
      <c r="AF4" s="164">
        <f t="shared" si="9"/>
        <v>408</v>
      </c>
      <c r="AG4" s="165">
        <f t="shared" si="10"/>
        <v>2.9933969185619969E-2</v>
      </c>
      <c r="AH4" s="166">
        <v>14</v>
      </c>
      <c r="AI4" s="166">
        <v>450</v>
      </c>
      <c r="AJ4" s="166"/>
      <c r="AK4" s="166">
        <v>688</v>
      </c>
      <c r="AL4" s="166">
        <f t="shared" si="11"/>
        <v>202620</v>
      </c>
      <c r="AM4" s="153">
        <v>4</v>
      </c>
      <c r="AN4" s="166"/>
      <c r="AO4" s="167"/>
      <c r="AP4" s="167"/>
      <c r="AQ4" s="151" t="s">
        <v>68</v>
      </c>
      <c r="AR4" s="151" t="s">
        <v>69</v>
      </c>
      <c r="AS4" s="151" t="s">
        <v>59</v>
      </c>
      <c r="AT4" s="166"/>
      <c r="AU4" s="167"/>
      <c r="AV4" s="167"/>
      <c r="AW4" s="170" t="str">
        <f t="shared" si="12"/>
        <v>OK</v>
      </c>
      <c r="AX4" s="21" t="s">
        <v>3133</v>
      </c>
      <c r="AY4" s="21" t="s">
        <v>3132</v>
      </c>
      <c r="AZ4" s="21"/>
      <c r="BA4" s="21"/>
    </row>
    <row r="5" spans="1:53" s="98" customFormat="1" ht="20" customHeight="1">
      <c r="A5" s="86" t="s">
        <v>318</v>
      </c>
      <c r="B5" s="371" t="s">
        <v>2335</v>
      </c>
      <c r="C5" s="151" t="s">
        <v>51</v>
      </c>
      <c r="D5" s="151" t="s">
        <v>52</v>
      </c>
      <c r="E5" s="151" t="s">
        <v>62</v>
      </c>
      <c r="F5" s="151" t="s">
        <v>70</v>
      </c>
      <c r="G5" s="151" t="s">
        <v>65</v>
      </c>
      <c r="H5" s="152">
        <v>44664</v>
      </c>
      <c r="I5" s="151" t="s">
        <v>74</v>
      </c>
      <c r="J5" s="151" t="s">
        <v>75</v>
      </c>
      <c r="K5" s="151" t="s">
        <v>76</v>
      </c>
      <c r="L5" s="153">
        <v>2</v>
      </c>
      <c r="M5" s="153">
        <v>4</v>
      </c>
      <c r="N5" s="154">
        <v>14440</v>
      </c>
      <c r="O5" s="155">
        <v>3.7500000000000006E-2</v>
      </c>
      <c r="P5" s="156">
        <f t="shared" si="0"/>
        <v>542</v>
      </c>
      <c r="Q5" s="155">
        <v>0</v>
      </c>
      <c r="R5" s="156">
        <f t="shared" si="1"/>
        <v>0</v>
      </c>
      <c r="S5" s="155">
        <f t="shared" si="2"/>
        <v>3.753462603878116E-2</v>
      </c>
      <c r="T5" s="156">
        <f t="shared" si="3"/>
        <v>542</v>
      </c>
      <c r="U5" s="156">
        <f t="shared" si="4"/>
        <v>14982</v>
      </c>
      <c r="V5" s="157">
        <v>15000</v>
      </c>
      <c r="W5" s="158">
        <f t="shared" si="13"/>
        <v>560</v>
      </c>
      <c r="X5" s="159">
        <f t="shared" si="5"/>
        <v>3.8800000000000001E-2</v>
      </c>
      <c r="Y5" s="160" t="str">
        <f t="shared" si="6"/>
        <v>3.00%-4.50%</v>
      </c>
      <c r="Z5" s="161"/>
      <c r="AA5" s="161"/>
      <c r="AB5" s="161"/>
      <c r="AC5" s="162"/>
      <c r="AD5" s="154">
        <f t="shared" si="7"/>
        <v>0</v>
      </c>
      <c r="AE5" s="163">
        <f t="shared" si="8"/>
        <v>15000</v>
      </c>
      <c r="AF5" s="164">
        <f t="shared" si="9"/>
        <v>560</v>
      </c>
      <c r="AG5" s="165">
        <f t="shared" si="10"/>
        <v>3.8781163434903121E-2</v>
      </c>
      <c r="AH5" s="166">
        <v>14</v>
      </c>
      <c r="AI5" s="166">
        <v>450</v>
      </c>
      <c r="AJ5" s="166"/>
      <c r="AK5" s="166">
        <v>688</v>
      </c>
      <c r="AL5" s="166">
        <f t="shared" si="11"/>
        <v>216088</v>
      </c>
      <c r="AM5" s="153">
        <v>2</v>
      </c>
      <c r="AN5" s="166"/>
      <c r="AO5" s="167"/>
      <c r="AP5" s="167"/>
      <c r="AQ5" s="151" t="s">
        <v>68</v>
      </c>
      <c r="AR5" s="151" t="s">
        <v>69</v>
      </c>
      <c r="AS5" s="151" t="s">
        <v>59</v>
      </c>
      <c r="AT5" s="166"/>
      <c r="AU5" s="167"/>
      <c r="AV5" s="167"/>
      <c r="AW5" s="169" t="str">
        <f t="shared" si="12"/>
        <v>OK</v>
      </c>
      <c r="AX5" s="21" t="s">
        <v>3131</v>
      </c>
      <c r="AY5" s="21" t="s">
        <v>3130</v>
      </c>
      <c r="AZ5" s="21"/>
      <c r="BA5" s="21"/>
    </row>
    <row r="6" spans="1:53" s="98" customFormat="1" ht="20" customHeight="1">
      <c r="A6" s="86" t="s">
        <v>318</v>
      </c>
      <c r="B6" s="371" t="s">
        <v>2336</v>
      </c>
      <c r="C6" s="151" t="s">
        <v>51</v>
      </c>
      <c r="D6" s="151" t="s">
        <v>52</v>
      </c>
      <c r="E6" s="151" t="s">
        <v>62</v>
      </c>
      <c r="F6" s="151" t="s">
        <v>70</v>
      </c>
      <c r="G6" s="151" t="s">
        <v>65</v>
      </c>
      <c r="H6" s="152">
        <v>42795</v>
      </c>
      <c r="I6" s="151" t="s">
        <v>60</v>
      </c>
      <c r="J6" s="151" t="s">
        <v>60</v>
      </c>
      <c r="K6" s="151" t="s">
        <v>61</v>
      </c>
      <c r="L6" s="153">
        <v>2</v>
      </c>
      <c r="M6" s="153">
        <v>3</v>
      </c>
      <c r="N6" s="154">
        <v>14284</v>
      </c>
      <c r="O6" s="155">
        <v>0.03</v>
      </c>
      <c r="P6" s="156">
        <f t="shared" si="0"/>
        <v>429</v>
      </c>
      <c r="Q6" s="155">
        <v>0</v>
      </c>
      <c r="R6" s="156">
        <f t="shared" si="1"/>
        <v>0</v>
      </c>
      <c r="S6" s="155">
        <f t="shared" si="2"/>
        <v>3.0033604032483899E-2</v>
      </c>
      <c r="T6" s="156">
        <f t="shared" si="3"/>
        <v>429</v>
      </c>
      <c r="U6" s="156">
        <f t="shared" si="4"/>
        <v>14713</v>
      </c>
      <c r="V6" s="157">
        <v>14688</v>
      </c>
      <c r="W6" s="158">
        <f t="shared" si="13"/>
        <v>404</v>
      </c>
      <c r="X6" s="159">
        <f t="shared" si="5"/>
        <v>2.8299999999999999E-2</v>
      </c>
      <c r="Y6" s="160" t="str">
        <f t="shared" si="6"/>
        <v>2.40%-3.60%</v>
      </c>
      <c r="Z6" s="161"/>
      <c r="AA6" s="161"/>
      <c r="AB6" s="161"/>
      <c r="AC6" s="162"/>
      <c r="AD6" s="154">
        <f t="shared" si="7"/>
        <v>0</v>
      </c>
      <c r="AE6" s="163">
        <f t="shared" si="8"/>
        <v>14688</v>
      </c>
      <c r="AF6" s="164">
        <f t="shared" si="9"/>
        <v>404</v>
      </c>
      <c r="AG6" s="165">
        <f t="shared" si="10"/>
        <v>2.828339400728086E-2</v>
      </c>
      <c r="AH6" s="166">
        <v>14</v>
      </c>
      <c r="AI6" s="166">
        <v>450</v>
      </c>
      <c r="AJ6" s="166"/>
      <c r="AK6" s="166">
        <v>688</v>
      </c>
      <c r="AL6" s="166">
        <f t="shared" si="11"/>
        <v>211720</v>
      </c>
      <c r="AM6" s="153">
        <v>2</v>
      </c>
      <c r="AN6" s="166"/>
      <c r="AO6" s="167"/>
      <c r="AP6" s="167"/>
      <c r="AQ6" s="151" t="s">
        <v>68</v>
      </c>
      <c r="AR6" s="151" t="s">
        <v>69</v>
      </c>
      <c r="AS6" s="151" t="s">
        <v>59</v>
      </c>
      <c r="AT6" s="166"/>
      <c r="AU6" s="167"/>
      <c r="AV6" s="167"/>
      <c r="AW6" s="170" t="str">
        <f t="shared" si="12"/>
        <v>OK</v>
      </c>
      <c r="AX6" s="21" t="s">
        <v>3133</v>
      </c>
      <c r="AY6" s="21" t="s">
        <v>3132</v>
      </c>
      <c r="AZ6" s="21"/>
      <c r="BA6" s="21"/>
    </row>
    <row r="7" spans="1:53" s="98" customFormat="1" ht="20" customHeight="1">
      <c r="A7" s="86" t="s">
        <v>318</v>
      </c>
      <c r="B7" s="371" t="s">
        <v>2337</v>
      </c>
      <c r="C7" s="151" t="s">
        <v>51</v>
      </c>
      <c r="D7" s="151" t="s">
        <v>52</v>
      </c>
      <c r="E7" s="151" t="s">
        <v>62</v>
      </c>
      <c r="F7" s="151" t="s">
        <v>70</v>
      </c>
      <c r="G7" s="151" t="s">
        <v>77</v>
      </c>
      <c r="H7" s="152">
        <v>45854</v>
      </c>
      <c r="I7" s="151" t="s">
        <v>60</v>
      </c>
      <c r="J7" s="151" t="s">
        <v>78</v>
      </c>
      <c r="K7" s="151" t="s">
        <v>61</v>
      </c>
      <c r="L7" s="153">
        <v>2</v>
      </c>
      <c r="M7" s="153">
        <v>3</v>
      </c>
      <c r="N7" s="154">
        <v>23000</v>
      </c>
      <c r="O7" s="155">
        <v>0</v>
      </c>
      <c r="P7" s="156">
        <f t="shared" si="0"/>
        <v>0</v>
      </c>
      <c r="Q7" s="155">
        <v>0</v>
      </c>
      <c r="R7" s="156">
        <f t="shared" si="1"/>
        <v>0</v>
      </c>
      <c r="S7" s="155">
        <f t="shared" si="2"/>
        <v>0</v>
      </c>
      <c r="T7" s="156">
        <f t="shared" si="3"/>
        <v>0</v>
      </c>
      <c r="U7" s="156">
        <f t="shared" si="4"/>
        <v>23000</v>
      </c>
      <c r="V7" s="157">
        <v>23000</v>
      </c>
      <c r="W7" s="158">
        <f t="shared" si="13"/>
        <v>0</v>
      </c>
      <c r="X7" s="159">
        <f t="shared" si="5"/>
        <v>0</v>
      </c>
      <c r="Y7" s="160" t="str">
        <f t="shared" si="6"/>
        <v>0.00%-0.00%</v>
      </c>
      <c r="Z7" s="161"/>
      <c r="AA7" s="161"/>
      <c r="AB7" s="161"/>
      <c r="AC7" s="162"/>
      <c r="AD7" s="154">
        <f t="shared" si="7"/>
        <v>0</v>
      </c>
      <c r="AE7" s="163">
        <f t="shared" si="8"/>
        <v>23000</v>
      </c>
      <c r="AF7" s="164">
        <f t="shared" si="9"/>
        <v>0</v>
      </c>
      <c r="AG7" s="165">
        <f t="shared" si="10"/>
        <v>0</v>
      </c>
      <c r="AH7" s="166">
        <v>14</v>
      </c>
      <c r="AI7" s="166">
        <v>450</v>
      </c>
      <c r="AJ7" s="166"/>
      <c r="AK7" s="166">
        <v>688</v>
      </c>
      <c r="AL7" s="166">
        <f t="shared" si="11"/>
        <v>328088</v>
      </c>
      <c r="AM7" s="153" t="e">
        <v>#N/A</v>
      </c>
      <c r="AN7" s="166"/>
      <c r="AO7" s="167"/>
      <c r="AP7" s="167"/>
      <c r="AQ7" s="151" t="s">
        <v>68</v>
      </c>
      <c r="AR7" s="151" t="s">
        <v>69</v>
      </c>
      <c r="AS7" s="151" t="s">
        <v>59</v>
      </c>
      <c r="AT7" s="166"/>
      <c r="AU7" s="167"/>
      <c r="AV7" s="167"/>
      <c r="AW7" s="169" t="str">
        <f t="shared" si="12"/>
        <v>OK</v>
      </c>
      <c r="AX7" s="21" t="s">
        <v>3131</v>
      </c>
      <c r="AY7" s="21" t="s">
        <v>3134</v>
      </c>
      <c r="AZ7" s="21"/>
      <c r="BA7" s="21"/>
    </row>
    <row r="8" spans="1:53" s="98" customFormat="1" ht="20" customHeight="1">
      <c r="A8" s="86" t="s">
        <v>318</v>
      </c>
      <c r="B8" s="371" t="s">
        <v>2338</v>
      </c>
      <c r="C8" s="151" t="s">
        <v>51</v>
      </c>
      <c r="D8" s="151" t="s">
        <v>52</v>
      </c>
      <c r="E8" s="151" t="s">
        <v>62</v>
      </c>
      <c r="F8" s="151" t="s">
        <v>79</v>
      </c>
      <c r="G8" s="151" t="s">
        <v>80</v>
      </c>
      <c r="H8" s="152">
        <v>40962</v>
      </c>
      <c r="I8" s="151" t="s">
        <v>71</v>
      </c>
      <c r="J8" s="151" t="s">
        <v>81</v>
      </c>
      <c r="K8" s="151" t="s">
        <v>61</v>
      </c>
      <c r="L8" s="153">
        <v>2</v>
      </c>
      <c r="M8" s="153">
        <v>3</v>
      </c>
      <c r="N8" s="154">
        <v>16100</v>
      </c>
      <c r="O8" s="155">
        <v>2.5000000000000001E-2</v>
      </c>
      <c r="P8" s="156">
        <f t="shared" si="0"/>
        <v>403</v>
      </c>
      <c r="Q8" s="155">
        <v>0</v>
      </c>
      <c r="R8" s="156">
        <f t="shared" si="1"/>
        <v>0</v>
      </c>
      <c r="S8" s="155">
        <f t="shared" si="2"/>
        <v>2.5031055900621119E-2</v>
      </c>
      <c r="T8" s="156">
        <f t="shared" si="3"/>
        <v>403</v>
      </c>
      <c r="U8" s="156">
        <f t="shared" si="4"/>
        <v>16503</v>
      </c>
      <c r="V8" s="157">
        <v>16518</v>
      </c>
      <c r="W8" s="158">
        <f t="shared" si="13"/>
        <v>418</v>
      </c>
      <c r="X8" s="159">
        <f t="shared" si="5"/>
        <v>2.5999999999999999E-2</v>
      </c>
      <c r="Y8" s="160" t="str">
        <f t="shared" si="6"/>
        <v>2.00%-3.00%</v>
      </c>
      <c r="Z8" s="161"/>
      <c r="AA8" s="161"/>
      <c r="AB8" s="161"/>
      <c r="AC8" s="162"/>
      <c r="AD8" s="154">
        <f t="shared" si="7"/>
        <v>0</v>
      </c>
      <c r="AE8" s="163">
        <f t="shared" si="8"/>
        <v>16518</v>
      </c>
      <c r="AF8" s="164">
        <f t="shared" si="9"/>
        <v>418</v>
      </c>
      <c r="AG8" s="165">
        <f t="shared" si="10"/>
        <v>2.5962732919254661E-2</v>
      </c>
      <c r="AH8" s="166">
        <v>14</v>
      </c>
      <c r="AI8" s="166">
        <v>450</v>
      </c>
      <c r="AJ8" s="166"/>
      <c r="AK8" s="166">
        <v>688</v>
      </c>
      <c r="AL8" s="166">
        <f t="shared" si="11"/>
        <v>237340</v>
      </c>
      <c r="AM8" s="153">
        <v>3</v>
      </c>
      <c r="AN8" s="166"/>
      <c r="AO8" s="167"/>
      <c r="AP8" s="167"/>
      <c r="AQ8" s="151" t="s">
        <v>68</v>
      </c>
      <c r="AR8" s="151" t="s">
        <v>69</v>
      </c>
      <c r="AS8" s="151" t="s">
        <v>59</v>
      </c>
      <c r="AT8" s="166"/>
      <c r="AU8" s="167"/>
      <c r="AV8" s="167"/>
      <c r="AW8" s="170" t="str">
        <f t="shared" si="12"/>
        <v>OK</v>
      </c>
      <c r="AX8" s="21" t="s">
        <v>3135</v>
      </c>
      <c r="AY8" s="21" t="s">
        <v>3130</v>
      </c>
      <c r="AZ8" s="21"/>
      <c r="BA8" s="21"/>
    </row>
    <row r="9" spans="1:53" s="98" customFormat="1" ht="20" customHeight="1">
      <c r="A9" s="86" t="s">
        <v>318</v>
      </c>
      <c r="B9" s="371" t="s">
        <v>2339</v>
      </c>
      <c r="C9" s="151" t="s">
        <v>51</v>
      </c>
      <c r="D9" s="151" t="s">
        <v>52</v>
      </c>
      <c r="E9" s="151" t="s">
        <v>62</v>
      </c>
      <c r="F9" s="151" t="s">
        <v>70</v>
      </c>
      <c r="G9" s="151" t="s">
        <v>65</v>
      </c>
      <c r="H9" s="152">
        <v>43864</v>
      </c>
      <c r="I9" s="151" t="s">
        <v>60</v>
      </c>
      <c r="J9" s="151" t="s">
        <v>60</v>
      </c>
      <c r="K9" s="151" t="s">
        <v>61</v>
      </c>
      <c r="L9" s="153">
        <v>2</v>
      </c>
      <c r="M9" s="153">
        <v>4</v>
      </c>
      <c r="N9" s="154">
        <v>13111</v>
      </c>
      <c r="O9" s="155">
        <v>4.4999999999999998E-2</v>
      </c>
      <c r="P9" s="156">
        <f t="shared" si="0"/>
        <v>590</v>
      </c>
      <c r="Q9" s="155">
        <v>4.2099999999999999E-2</v>
      </c>
      <c r="R9" s="156">
        <f t="shared" si="1"/>
        <v>552</v>
      </c>
      <c r="S9" s="155">
        <f t="shared" si="2"/>
        <v>8.7102433071466701E-2</v>
      </c>
      <c r="T9" s="156">
        <f t="shared" si="3"/>
        <v>1142</v>
      </c>
      <c r="U9" s="156">
        <f t="shared" si="4"/>
        <v>14253</v>
      </c>
      <c r="V9" s="157">
        <v>14066</v>
      </c>
      <c r="W9" s="158">
        <f t="shared" si="13"/>
        <v>955</v>
      </c>
      <c r="X9" s="159">
        <f t="shared" si="5"/>
        <v>7.2800000000000004E-2</v>
      </c>
      <c r="Y9" s="160" t="str">
        <f t="shared" si="6"/>
        <v>6.97%-10.45%</v>
      </c>
      <c r="Z9" s="161"/>
      <c r="AA9" s="161"/>
      <c r="AB9" s="161"/>
      <c r="AC9" s="162"/>
      <c r="AD9" s="154">
        <f t="shared" si="7"/>
        <v>0</v>
      </c>
      <c r="AE9" s="163">
        <f t="shared" si="8"/>
        <v>14066</v>
      </c>
      <c r="AF9" s="164">
        <f t="shared" si="9"/>
        <v>955</v>
      </c>
      <c r="AG9" s="165">
        <f t="shared" si="10"/>
        <v>7.2839600335596E-2</v>
      </c>
      <c r="AH9" s="166">
        <v>14</v>
      </c>
      <c r="AI9" s="166">
        <v>850</v>
      </c>
      <c r="AJ9" s="166"/>
      <c r="AK9" s="166">
        <v>688</v>
      </c>
      <c r="AL9" s="166">
        <f t="shared" si="11"/>
        <v>207812</v>
      </c>
      <c r="AM9" s="153">
        <v>3</v>
      </c>
      <c r="AN9" s="166"/>
      <c r="AO9" s="167"/>
      <c r="AP9" s="167"/>
      <c r="AQ9" s="151" t="s">
        <v>68</v>
      </c>
      <c r="AR9" s="151" t="s">
        <v>69</v>
      </c>
      <c r="AS9" s="151" t="s">
        <v>59</v>
      </c>
      <c r="AT9" s="166"/>
      <c r="AU9" s="167"/>
      <c r="AV9" s="167"/>
      <c r="AW9" s="169" t="str">
        <f>_xlfn.LET(_xlpm.actual,X9,_xlpm.low,VALUE(_xlfn.TEXTBEFORE(Y9,"-")),_xlpm.high,VALUE(_xlfn.TEXTAFTER(Y9,"-")),IF(AND(_xlpm.actual=0,OR(_xlpm.low&lt;&gt;0,_xlpm.high&lt;&gt;0)),"0 increase",IF(_xlpm.actual&gt;_xlpm.high*1.2,"&gt;20",IF(_xlpm.actual&lt;_xlpm.low*0.8,"&lt;20","OK"))))</f>
        <v>OK</v>
      </c>
      <c r="AX9" s="21" t="s">
        <v>3133</v>
      </c>
      <c r="AY9" s="21" t="s">
        <v>3132</v>
      </c>
      <c r="AZ9" s="21"/>
      <c r="BA9" s="21"/>
    </row>
    <row r="10" spans="1:53" s="98" customFormat="1" ht="20" customHeight="1">
      <c r="A10" s="86" t="s">
        <v>318</v>
      </c>
      <c r="B10" s="371" t="s">
        <v>2340</v>
      </c>
      <c r="C10" s="151" t="s">
        <v>51</v>
      </c>
      <c r="D10" s="151" t="s">
        <v>52</v>
      </c>
      <c r="E10" s="151" t="s">
        <v>62</v>
      </c>
      <c r="F10" s="151" t="s">
        <v>70</v>
      </c>
      <c r="G10" s="151" t="s">
        <v>65</v>
      </c>
      <c r="H10" s="152">
        <v>38608</v>
      </c>
      <c r="I10" s="151" t="s">
        <v>82</v>
      </c>
      <c r="J10" s="151" t="s">
        <v>83</v>
      </c>
      <c r="K10" s="151" t="s">
        <v>84</v>
      </c>
      <c r="L10" s="153">
        <v>2</v>
      </c>
      <c r="M10" s="153">
        <v>2</v>
      </c>
      <c r="N10" s="154">
        <v>12256</v>
      </c>
      <c r="O10" s="155">
        <v>0</v>
      </c>
      <c r="P10" s="156">
        <f t="shared" si="0"/>
        <v>0</v>
      </c>
      <c r="Q10" s="155">
        <v>0</v>
      </c>
      <c r="R10" s="156">
        <f t="shared" si="1"/>
        <v>0</v>
      </c>
      <c r="S10" s="155">
        <f t="shared" si="2"/>
        <v>0</v>
      </c>
      <c r="T10" s="156">
        <f t="shared" si="3"/>
        <v>0</v>
      </c>
      <c r="U10" s="156">
        <f t="shared" si="4"/>
        <v>12256</v>
      </c>
      <c r="V10" s="157">
        <v>12256</v>
      </c>
      <c r="W10" s="158">
        <f t="shared" si="13"/>
        <v>0</v>
      </c>
      <c r="X10" s="159">
        <f t="shared" si="5"/>
        <v>0</v>
      </c>
      <c r="Y10" s="160" t="str">
        <f t="shared" si="6"/>
        <v>0.00%-0.00%</v>
      </c>
      <c r="Z10" s="161"/>
      <c r="AA10" s="161"/>
      <c r="AB10" s="161"/>
      <c r="AC10" s="162"/>
      <c r="AD10" s="154">
        <f t="shared" si="7"/>
        <v>0</v>
      </c>
      <c r="AE10" s="163">
        <f t="shared" si="8"/>
        <v>12256</v>
      </c>
      <c r="AF10" s="164">
        <f t="shared" si="9"/>
        <v>0</v>
      </c>
      <c r="AG10" s="165">
        <f t="shared" si="10"/>
        <v>0</v>
      </c>
      <c r="AH10" s="166">
        <v>14</v>
      </c>
      <c r="AI10" s="166">
        <v>450</v>
      </c>
      <c r="AJ10" s="166"/>
      <c r="AK10" s="166">
        <v>688</v>
      </c>
      <c r="AL10" s="166">
        <f t="shared" si="11"/>
        <v>177672</v>
      </c>
      <c r="AM10" s="153">
        <v>3</v>
      </c>
      <c r="AN10" s="166"/>
      <c r="AO10" s="167"/>
      <c r="AP10" s="167"/>
      <c r="AQ10" s="151" t="s">
        <v>68</v>
      </c>
      <c r="AR10" s="151" t="s">
        <v>69</v>
      </c>
      <c r="AS10" s="151" t="s">
        <v>59</v>
      </c>
      <c r="AT10" s="166"/>
      <c r="AU10" s="167"/>
      <c r="AV10" s="167"/>
      <c r="AW10" s="170" t="str">
        <f t="shared" si="12"/>
        <v>OK</v>
      </c>
      <c r="AX10" s="21" t="s">
        <v>3129</v>
      </c>
      <c r="AY10" s="21">
        <v>0</v>
      </c>
      <c r="AZ10" s="21"/>
      <c r="BA10" s="21"/>
    </row>
    <row r="11" spans="1:53" s="98" customFormat="1" ht="20" customHeight="1">
      <c r="A11" s="86" t="s">
        <v>318</v>
      </c>
      <c r="B11" s="371" t="s">
        <v>2341</v>
      </c>
      <c r="C11" s="151" t="s">
        <v>51</v>
      </c>
      <c r="D11" s="151" t="s">
        <v>52</v>
      </c>
      <c r="E11" s="151" t="s">
        <v>62</v>
      </c>
      <c r="F11" s="151" t="s">
        <v>70</v>
      </c>
      <c r="G11" s="151" t="s">
        <v>65</v>
      </c>
      <c r="H11" s="152">
        <v>42248</v>
      </c>
      <c r="I11" s="151" t="s">
        <v>85</v>
      </c>
      <c r="J11" s="151" t="s">
        <v>86</v>
      </c>
      <c r="K11" s="151" t="s">
        <v>76</v>
      </c>
      <c r="L11" s="153">
        <v>2</v>
      </c>
      <c r="M11" s="153">
        <v>4</v>
      </c>
      <c r="N11" s="154">
        <v>11666</v>
      </c>
      <c r="O11" s="155">
        <v>3.7500000000000006E-2</v>
      </c>
      <c r="P11" s="156">
        <f t="shared" si="0"/>
        <v>437</v>
      </c>
      <c r="Q11" s="155">
        <v>1.55E-2</v>
      </c>
      <c r="R11" s="156">
        <f t="shared" si="1"/>
        <v>181</v>
      </c>
      <c r="S11" s="155">
        <f t="shared" si="2"/>
        <v>5.2974455683181897E-2</v>
      </c>
      <c r="T11" s="156">
        <f t="shared" si="3"/>
        <v>618</v>
      </c>
      <c r="U11" s="156">
        <f t="shared" si="4"/>
        <v>12284</v>
      </c>
      <c r="V11" s="157">
        <v>12312</v>
      </c>
      <c r="W11" s="158">
        <f t="shared" si="13"/>
        <v>646</v>
      </c>
      <c r="X11" s="159">
        <f t="shared" si="5"/>
        <v>5.5399999999999998E-2</v>
      </c>
      <c r="Y11" s="160" t="str">
        <f t="shared" si="6"/>
        <v>4.24%-6.36%</v>
      </c>
      <c r="Z11" s="161" t="s">
        <v>87</v>
      </c>
      <c r="AA11" s="161" t="s">
        <v>88</v>
      </c>
      <c r="AB11" s="161" t="s">
        <v>89</v>
      </c>
      <c r="AC11" s="162">
        <v>6.4600000000000005E-2</v>
      </c>
      <c r="AD11" s="154">
        <f t="shared" si="7"/>
        <v>754</v>
      </c>
      <c r="AE11" s="163">
        <f t="shared" si="8"/>
        <v>13066</v>
      </c>
      <c r="AF11" s="164">
        <f t="shared" si="9"/>
        <v>1400</v>
      </c>
      <c r="AG11" s="165">
        <f t="shared" si="10"/>
        <v>0.12000685753471618</v>
      </c>
      <c r="AH11" s="166">
        <v>14</v>
      </c>
      <c r="AI11" s="166">
        <v>550</v>
      </c>
      <c r="AJ11" s="166"/>
      <c r="AK11" s="166">
        <v>688</v>
      </c>
      <c r="AL11" s="166">
        <f t="shared" si="11"/>
        <v>190212</v>
      </c>
      <c r="AM11" s="153">
        <v>4</v>
      </c>
      <c r="AN11" s="166"/>
      <c r="AO11" s="167" t="s">
        <v>90</v>
      </c>
      <c r="AP11" s="167" t="s">
        <v>90</v>
      </c>
      <c r="AQ11" s="151" t="s">
        <v>68</v>
      </c>
      <c r="AR11" s="151" t="s">
        <v>69</v>
      </c>
      <c r="AS11" s="151" t="s">
        <v>59</v>
      </c>
      <c r="AT11" s="166"/>
      <c r="AU11" s="167"/>
      <c r="AV11" s="167"/>
      <c r="AW11" s="169" t="str">
        <f t="shared" si="12"/>
        <v>OK</v>
      </c>
      <c r="AX11" s="21" t="s">
        <v>3133</v>
      </c>
      <c r="AY11" s="21" t="s">
        <v>3130</v>
      </c>
      <c r="AZ11" s="21"/>
      <c r="BA11" s="21"/>
    </row>
    <row r="12" spans="1:53" s="98" customFormat="1" ht="20" customHeight="1">
      <c r="A12" s="86" t="s">
        <v>318</v>
      </c>
      <c r="B12" s="371" t="s">
        <v>2342</v>
      </c>
      <c r="C12" s="151" t="s">
        <v>51</v>
      </c>
      <c r="D12" s="151" t="s">
        <v>52</v>
      </c>
      <c r="E12" s="151" t="s">
        <v>62</v>
      </c>
      <c r="F12" s="151" t="s">
        <v>91</v>
      </c>
      <c r="G12" s="151" t="s">
        <v>92</v>
      </c>
      <c r="H12" s="152">
        <v>38614</v>
      </c>
      <c r="I12" s="151" t="s">
        <v>66</v>
      </c>
      <c r="J12" s="151" t="s">
        <v>93</v>
      </c>
      <c r="K12" s="151" t="s">
        <v>61</v>
      </c>
      <c r="L12" s="153">
        <v>2</v>
      </c>
      <c r="M12" s="153">
        <v>3</v>
      </c>
      <c r="N12" s="154">
        <v>15800</v>
      </c>
      <c r="O12" s="155">
        <v>2.5000000000000001E-2</v>
      </c>
      <c r="P12" s="156">
        <f t="shared" si="0"/>
        <v>395</v>
      </c>
      <c r="Q12" s="155">
        <v>0</v>
      </c>
      <c r="R12" s="156">
        <f t="shared" si="1"/>
        <v>0</v>
      </c>
      <c r="S12" s="155">
        <f t="shared" si="2"/>
        <v>2.5000000000000001E-2</v>
      </c>
      <c r="T12" s="156">
        <f t="shared" si="3"/>
        <v>395</v>
      </c>
      <c r="U12" s="156">
        <f t="shared" si="4"/>
        <v>16195</v>
      </c>
      <c r="V12" s="157">
        <v>16272</v>
      </c>
      <c r="W12" s="158">
        <f t="shared" si="13"/>
        <v>472</v>
      </c>
      <c r="X12" s="159">
        <f t="shared" si="5"/>
        <v>2.9899999999999999E-2</v>
      </c>
      <c r="Y12" s="160" t="str">
        <f t="shared" si="6"/>
        <v>2.00%-3.00%</v>
      </c>
      <c r="Z12" s="161"/>
      <c r="AA12" s="161"/>
      <c r="AB12" s="161"/>
      <c r="AC12" s="162"/>
      <c r="AD12" s="154">
        <f t="shared" si="7"/>
        <v>0</v>
      </c>
      <c r="AE12" s="163">
        <f t="shared" si="8"/>
        <v>16272</v>
      </c>
      <c r="AF12" s="164">
        <f t="shared" si="9"/>
        <v>472</v>
      </c>
      <c r="AG12" s="165">
        <f t="shared" si="10"/>
        <v>2.9873417721518969E-2</v>
      </c>
      <c r="AH12" s="166">
        <v>14</v>
      </c>
      <c r="AI12" s="166">
        <v>450</v>
      </c>
      <c r="AJ12" s="166"/>
      <c r="AK12" s="166">
        <v>688</v>
      </c>
      <c r="AL12" s="166">
        <f t="shared" si="11"/>
        <v>233896</v>
      </c>
      <c r="AM12" s="153">
        <v>5</v>
      </c>
      <c r="AN12" s="166"/>
      <c r="AO12" s="167"/>
      <c r="AP12" s="167"/>
      <c r="AQ12" s="151" t="s">
        <v>94</v>
      </c>
      <c r="AR12" s="151" t="s">
        <v>69</v>
      </c>
      <c r="AS12" s="151" t="s">
        <v>59</v>
      </c>
      <c r="AT12" s="166"/>
      <c r="AU12" s="167"/>
      <c r="AV12" s="167"/>
      <c r="AW12" s="170" t="str">
        <f t="shared" si="12"/>
        <v>OK</v>
      </c>
      <c r="AX12" s="21" t="s">
        <v>3129</v>
      </c>
      <c r="AY12" s="21" t="s">
        <v>3130</v>
      </c>
      <c r="AZ12" s="21"/>
      <c r="BA12" s="21"/>
    </row>
    <row r="13" spans="1:53" s="98" customFormat="1" ht="20" customHeight="1">
      <c r="A13" s="86" t="s">
        <v>318</v>
      </c>
      <c r="B13" s="371" t="s">
        <v>2343</v>
      </c>
      <c r="C13" s="151" t="s">
        <v>51</v>
      </c>
      <c r="D13" s="151" t="s">
        <v>52</v>
      </c>
      <c r="E13" s="151" t="s">
        <v>62</v>
      </c>
      <c r="F13" s="151" t="s">
        <v>95</v>
      </c>
      <c r="G13" s="151" t="s">
        <v>92</v>
      </c>
      <c r="H13" s="152">
        <v>38600</v>
      </c>
      <c r="I13" s="151" t="s">
        <v>74</v>
      </c>
      <c r="J13" s="151" t="s">
        <v>74</v>
      </c>
      <c r="K13" s="151" t="s">
        <v>76</v>
      </c>
      <c r="L13" s="153">
        <v>2</v>
      </c>
      <c r="M13" s="153">
        <v>3</v>
      </c>
      <c r="N13" s="154">
        <v>14610</v>
      </c>
      <c r="O13" s="155">
        <v>2.5000000000000001E-2</v>
      </c>
      <c r="P13" s="156">
        <f t="shared" si="0"/>
        <v>365</v>
      </c>
      <c r="Q13" s="155">
        <v>0</v>
      </c>
      <c r="R13" s="156">
        <f t="shared" si="1"/>
        <v>0</v>
      </c>
      <c r="S13" s="155">
        <f t="shared" si="2"/>
        <v>2.4982888432580425E-2</v>
      </c>
      <c r="T13" s="156">
        <f t="shared" si="3"/>
        <v>365</v>
      </c>
      <c r="U13" s="156">
        <f t="shared" si="4"/>
        <v>14975</v>
      </c>
      <c r="V13" s="157">
        <v>14610</v>
      </c>
      <c r="W13" s="158">
        <f t="shared" si="13"/>
        <v>0</v>
      </c>
      <c r="X13" s="159">
        <f t="shared" si="5"/>
        <v>0</v>
      </c>
      <c r="Y13" s="160" t="str">
        <f t="shared" si="6"/>
        <v>2.00%-3.00%</v>
      </c>
      <c r="Z13" s="161"/>
      <c r="AA13" s="161"/>
      <c r="AB13" s="161"/>
      <c r="AC13" s="162"/>
      <c r="AD13" s="154">
        <f t="shared" si="7"/>
        <v>0</v>
      </c>
      <c r="AE13" s="163">
        <f t="shared" si="8"/>
        <v>14610</v>
      </c>
      <c r="AF13" s="164">
        <f t="shared" si="9"/>
        <v>0</v>
      </c>
      <c r="AG13" s="165">
        <f t="shared" si="10"/>
        <v>0</v>
      </c>
      <c r="AH13" s="166">
        <v>14</v>
      </c>
      <c r="AI13" s="166">
        <v>450</v>
      </c>
      <c r="AJ13" s="166"/>
      <c r="AK13" s="166">
        <v>688</v>
      </c>
      <c r="AL13" s="166">
        <f t="shared" si="11"/>
        <v>210628</v>
      </c>
      <c r="AM13" s="153">
        <v>3</v>
      </c>
      <c r="AN13" s="166"/>
      <c r="AO13" s="167" t="s">
        <v>96</v>
      </c>
      <c r="AP13" s="167" t="s">
        <v>97</v>
      </c>
      <c r="AQ13" s="151" t="s">
        <v>94</v>
      </c>
      <c r="AR13" s="151" t="s">
        <v>69</v>
      </c>
      <c r="AS13" s="151" t="s">
        <v>59</v>
      </c>
      <c r="AT13" s="166"/>
      <c r="AU13" s="167" t="s">
        <v>98</v>
      </c>
      <c r="AV13" s="167"/>
      <c r="AW13" s="169" t="str">
        <f t="shared" si="12"/>
        <v>0 increase</v>
      </c>
      <c r="AX13" s="21" t="s">
        <v>3129</v>
      </c>
      <c r="AY13" s="21" t="s">
        <v>3130</v>
      </c>
      <c r="AZ13" s="21"/>
      <c r="BA13" s="21"/>
    </row>
    <row r="14" spans="1:53" s="98" customFormat="1" ht="20" customHeight="1">
      <c r="A14" s="86" t="s">
        <v>318</v>
      </c>
      <c r="B14" s="371" t="s">
        <v>2344</v>
      </c>
      <c r="C14" s="151" t="s">
        <v>51</v>
      </c>
      <c r="D14" s="151" t="s">
        <v>52</v>
      </c>
      <c r="E14" s="151" t="s">
        <v>62</v>
      </c>
      <c r="F14" s="151" t="s">
        <v>95</v>
      </c>
      <c r="G14" s="151" t="s">
        <v>92</v>
      </c>
      <c r="H14" s="152">
        <v>41091</v>
      </c>
      <c r="I14" s="151" t="s">
        <v>71</v>
      </c>
      <c r="J14" s="151" t="s">
        <v>99</v>
      </c>
      <c r="K14" s="151" t="s">
        <v>61</v>
      </c>
      <c r="L14" s="153">
        <v>2</v>
      </c>
      <c r="M14" s="153">
        <v>3</v>
      </c>
      <c r="N14" s="154">
        <v>13100</v>
      </c>
      <c r="O14" s="155">
        <v>0.03</v>
      </c>
      <c r="P14" s="156">
        <f t="shared" si="0"/>
        <v>393</v>
      </c>
      <c r="Q14" s="155">
        <v>0</v>
      </c>
      <c r="R14" s="156">
        <f t="shared" si="1"/>
        <v>0</v>
      </c>
      <c r="S14" s="155">
        <f t="shared" si="2"/>
        <v>0.03</v>
      </c>
      <c r="T14" s="156">
        <f t="shared" si="3"/>
        <v>393</v>
      </c>
      <c r="U14" s="156">
        <f t="shared" si="4"/>
        <v>13493</v>
      </c>
      <c r="V14" s="157">
        <v>14312</v>
      </c>
      <c r="W14" s="158">
        <f t="shared" si="13"/>
        <v>1212</v>
      </c>
      <c r="X14" s="159">
        <f t="shared" si="5"/>
        <v>9.2499999999999999E-2</v>
      </c>
      <c r="Y14" s="160" t="str">
        <f t="shared" si="6"/>
        <v>2.40%-3.60%</v>
      </c>
      <c r="Z14" s="161"/>
      <c r="AA14" s="161"/>
      <c r="AB14" s="161"/>
      <c r="AC14" s="162"/>
      <c r="AD14" s="154">
        <f t="shared" si="7"/>
        <v>0</v>
      </c>
      <c r="AE14" s="163">
        <f t="shared" si="8"/>
        <v>14312</v>
      </c>
      <c r="AF14" s="164">
        <f t="shared" si="9"/>
        <v>1212</v>
      </c>
      <c r="AG14" s="165">
        <f t="shared" si="10"/>
        <v>9.2519083969465621E-2</v>
      </c>
      <c r="AH14" s="166">
        <v>14</v>
      </c>
      <c r="AI14" s="166">
        <v>450</v>
      </c>
      <c r="AJ14" s="166"/>
      <c r="AK14" s="166">
        <v>688</v>
      </c>
      <c r="AL14" s="166">
        <f t="shared" si="11"/>
        <v>206456</v>
      </c>
      <c r="AM14" s="153">
        <v>2</v>
      </c>
      <c r="AN14" s="166"/>
      <c r="AO14" s="167" t="s">
        <v>100</v>
      </c>
      <c r="AP14" s="167" t="s">
        <v>101</v>
      </c>
      <c r="AQ14" s="151" t="s">
        <v>94</v>
      </c>
      <c r="AR14" s="151" t="s">
        <v>69</v>
      </c>
      <c r="AS14" s="151" t="s">
        <v>59</v>
      </c>
      <c r="AT14" s="166"/>
      <c r="AU14" s="167" t="s">
        <v>102</v>
      </c>
      <c r="AV14" s="167" t="s">
        <v>103</v>
      </c>
      <c r="AW14" s="170" t="str">
        <f t="shared" si="12"/>
        <v>&gt;20</v>
      </c>
      <c r="AX14" s="21" t="s">
        <v>3135</v>
      </c>
      <c r="AY14" s="21" t="s">
        <v>3132</v>
      </c>
      <c r="AZ14" s="21"/>
      <c r="BA14" s="21"/>
    </row>
    <row r="15" spans="1:53" s="98" customFormat="1" ht="20" customHeight="1">
      <c r="A15" s="86" t="s">
        <v>318</v>
      </c>
      <c r="B15" s="371" t="s">
        <v>2345</v>
      </c>
      <c r="C15" s="151" t="s">
        <v>51</v>
      </c>
      <c r="D15" s="151" t="s">
        <v>52</v>
      </c>
      <c r="E15" s="151" t="s">
        <v>62</v>
      </c>
      <c r="F15" s="151" t="s">
        <v>104</v>
      </c>
      <c r="G15" s="151" t="s">
        <v>92</v>
      </c>
      <c r="H15" s="152">
        <v>39546</v>
      </c>
      <c r="I15" s="151" t="s">
        <v>71</v>
      </c>
      <c r="J15" s="151" t="s">
        <v>105</v>
      </c>
      <c r="K15" s="151" t="s">
        <v>61</v>
      </c>
      <c r="L15" s="153">
        <v>2</v>
      </c>
      <c r="M15" s="153">
        <v>3</v>
      </c>
      <c r="N15" s="154">
        <v>15326</v>
      </c>
      <c r="O15" s="155">
        <v>0.03</v>
      </c>
      <c r="P15" s="156">
        <f t="shared" si="0"/>
        <v>460</v>
      </c>
      <c r="Q15" s="155">
        <v>0</v>
      </c>
      <c r="R15" s="156">
        <f t="shared" si="1"/>
        <v>0</v>
      </c>
      <c r="S15" s="155">
        <f t="shared" si="2"/>
        <v>3.0014354691374135E-2</v>
      </c>
      <c r="T15" s="156">
        <f t="shared" si="3"/>
        <v>460</v>
      </c>
      <c r="U15" s="156">
        <f t="shared" si="4"/>
        <v>15786</v>
      </c>
      <c r="V15" s="157">
        <v>15326</v>
      </c>
      <c r="W15" s="158">
        <f t="shared" si="13"/>
        <v>0</v>
      </c>
      <c r="X15" s="159">
        <f t="shared" si="5"/>
        <v>0</v>
      </c>
      <c r="Y15" s="160" t="str">
        <f t="shared" si="6"/>
        <v>2.40%-3.60%</v>
      </c>
      <c r="Z15" s="161"/>
      <c r="AA15" s="161"/>
      <c r="AB15" s="161"/>
      <c r="AC15" s="162"/>
      <c r="AD15" s="154">
        <f t="shared" si="7"/>
        <v>0</v>
      </c>
      <c r="AE15" s="163">
        <f t="shared" si="8"/>
        <v>15326</v>
      </c>
      <c r="AF15" s="164">
        <f t="shared" si="9"/>
        <v>0</v>
      </c>
      <c r="AG15" s="165">
        <f t="shared" si="10"/>
        <v>0</v>
      </c>
      <c r="AH15" s="166">
        <v>14</v>
      </c>
      <c r="AI15" s="166">
        <v>450</v>
      </c>
      <c r="AJ15" s="166"/>
      <c r="AK15" s="166">
        <v>688</v>
      </c>
      <c r="AL15" s="166">
        <f t="shared" si="11"/>
        <v>220652</v>
      </c>
      <c r="AM15" s="153">
        <v>4</v>
      </c>
      <c r="AN15" s="166"/>
      <c r="AO15" s="167" t="s">
        <v>106</v>
      </c>
      <c r="AP15" s="167" t="s">
        <v>107</v>
      </c>
      <c r="AQ15" s="151" t="s">
        <v>94</v>
      </c>
      <c r="AR15" s="151" t="s">
        <v>69</v>
      </c>
      <c r="AS15" s="151" t="s">
        <v>59</v>
      </c>
      <c r="AT15" s="166"/>
      <c r="AU15" s="167" t="s">
        <v>98</v>
      </c>
      <c r="AV15" s="167"/>
      <c r="AW15" s="169" t="str">
        <f t="shared" si="12"/>
        <v>0 increase</v>
      </c>
      <c r="AX15" s="21" t="s">
        <v>3129</v>
      </c>
      <c r="AY15" s="21" t="s">
        <v>3132</v>
      </c>
      <c r="AZ15" s="21"/>
      <c r="BA15" s="21"/>
    </row>
    <row r="16" spans="1:53" s="98" customFormat="1" ht="20" customHeight="1">
      <c r="A16" s="86" t="s">
        <v>318</v>
      </c>
      <c r="B16" s="371" t="s">
        <v>2346</v>
      </c>
      <c r="C16" s="151" t="s">
        <v>51</v>
      </c>
      <c r="D16" s="151" t="s">
        <v>52</v>
      </c>
      <c r="E16" s="151" t="s">
        <v>62</v>
      </c>
      <c r="F16" s="151" t="s">
        <v>95</v>
      </c>
      <c r="G16" s="151" t="s">
        <v>108</v>
      </c>
      <c r="H16" s="152">
        <v>44713</v>
      </c>
      <c r="I16" s="151" t="s">
        <v>74</v>
      </c>
      <c r="J16" s="151" t="s">
        <v>109</v>
      </c>
      <c r="K16" s="151" t="s">
        <v>76</v>
      </c>
      <c r="L16" s="153">
        <v>2</v>
      </c>
      <c r="M16" s="153">
        <v>3</v>
      </c>
      <c r="N16" s="154">
        <v>14850</v>
      </c>
      <c r="O16" s="155">
        <v>2.5000000000000001E-2</v>
      </c>
      <c r="P16" s="156">
        <f t="shared" si="0"/>
        <v>371</v>
      </c>
      <c r="Q16" s="155">
        <v>0</v>
      </c>
      <c r="R16" s="156">
        <f t="shared" si="1"/>
        <v>0</v>
      </c>
      <c r="S16" s="155">
        <f t="shared" si="2"/>
        <v>2.4983164983164982E-2</v>
      </c>
      <c r="T16" s="156">
        <f t="shared" si="3"/>
        <v>371</v>
      </c>
      <c r="U16" s="156">
        <f t="shared" si="4"/>
        <v>15221</v>
      </c>
      <c r="V16" s="157">
        <v>15150</v>
      </c>
      <c r="W16" s="158">
        <f t="shared" si="13"/>
        <v>300</v>
      </c>
      <c r="X16" s="159">
        <f t="shared" si="5"/>
        <v>2.0199999999999999E-2</v>
      </c>
      <c r="Y16" s="160" t="str">
        <f t="shared" si="6"/>
        <v>2.00%-3.00%</v>
      </c>
      <c r="Z16" s="161"/>
      <c r="AA16" s="161"/>
      <c r="AB16" s="161"/>
      <c r="AC16" s="162"/>
      <c r="AD16" s="154">
        <f t="shared" si="7"/>
        <v>0</v>
      </c>
      <c r="AE16" s="163">
        <f t="shared" si="8"/>
        <v>15150</v>
      </c>
      <c r="AF16" s="164">
        <f t="shared" si="9"/>
        <v>300</v>
      </c>
      <c r="AG16" s="165">
        <f t="shared" si="10"/>
        <v>2.020202020202011E-2</v>
      </c>
      <c r="AH16" s="166">
        <v>14</v>
      </c>
      <c r="AI16" s="166">
        <v>450</v>
      </c>
      <c r="AJ16" s="166"/>
      <c r="AK16" s="166">
        <v>688</v>
      </c>
      <c r="AL16" s="166">
        <f t="shared" si="11"/>
        <v>218188</v>
      </c>
      <c r="AM16" s="153">
        <v>3</v>
      </c>
      <c r="AN16" s="166"/>
      <c r="AO16" s="167"/>
      <c r="AP16" s="167"/>
      <c r="AQ16" s="151" t="s">
        <v>94</v>
      </c>
      <c r="AR16" s="151" t="s">
        <v>69</v>
      </c>
      <c r="AS16" s="151" t="s">
        <v>59</v>
      </c>
      <c r="AT16" s="166"/>
      <c r="AU16" s="167"/>
      <c r="AV16" s="167"/>
      <c r="AW16" s="170" t="str">
        <f t="shared" si="12"/>
        <v>OK</v>
      </c>
      <c r="AX16" s="21" t="s">
        <v>3131</v>
      </c>
      <c r="AY16" s="21" t="s">
        <v>3130</v>
      </c>
      <c r="AZ16" s="21"/>
      <c r="BA16" s="21"/>
    </row>
    <row r="17" spans="1:53" s="98" customFormat="1" ht="20" customHeight="1">
      <c r="A17" s="86" t="s">
        <v>318</v>
      </c>
      <c r="B17" s="371" t="s">
        <v>2347</v>
      </c>
      <c r="C17" s="151" t="s">
        <v>51</v>
      </c>
      <c r="D17" s="151" t="s">
        <v>52</v>
      </c>
      <c r="E17" s="151" t="s">
        <v>62</v>
      </c>
      <c r="F17" s="151" t="s">
        <v>95</v>
      </c>
      <c r="G17" s="151" t="s">
        <v>92</v>
      </c>
      <c r="H17" s="152">
        <v>42893</v>
      </c>
      <c r="I17" s="151" t="s">
        <v>74</v>
      </c>
      <c r="J17" s="151" t="s">
        <v>74</v>
      </c>
      <c r="K17" s="151" t="s">
        <v>76</v>
      </c>
      <c r="L17" s="153">
        <v>2</v>
      </c>
      <c r="M17" s="153">
        <v>2</v>
      </c>
      <c r="N17" s="154">
        <v>13610</v>
      </c>
      <c r="O17" s="155">
        <v>0</v>
      </c>
      <c r="P17" s="156">
        <f t="shared" si="0"/>
        <v>0</v>
      </c>
      <c r="Q17" s="155">
        <v>0</v>
      </c>
      <c r="R17" s="156">
        <f t="shared" si="1"/>
        <v>0</v>
      </c>
      <c r="S17" s="155">
        <f t="shared" si="2"/>
        <v>0</v>
      </c>
      <c r="T17" s="156">
        <f t="shared" si="3"/>
        <v>0</v>
      </c>
      <c r="U17" s="156">
        <f t="shared" si="4"/>
        <v>13610</v>
      </c>
      <c r="V17" s="157">
        <v>13610</v>
      </c>
      <c r="W17" s="158">
        <f t="shared" si="13"/>
        <v>0</v>
      </c>
      <c r="X17" s="159">
        <f t="shared" si="5"/>
        <v>0</v>
      </c>
      <c r="Y17" s="160" t="str">
        <f t="shared" si="6"/>
        <v>0.00%-0.00%</v>
      </c>
      <c r="Z17" s="161"/>
      <c r="AA17" s="161"/>
      <c r="AB17" s="161"/>
      <c r="AC17" s="162"/>
      <c r="AD17" s="154">
        <f t="shared" si="7"/>
        <v>0</v>
      </c>
      <c r="AE17" s="163">
        <f t="shared" si="8"/>
        <v>13610</v>
      </c>
      <c r="AF17" s="164">
        <f t="shared" si="9"/>
        <v>0</v>
      </c>
      <c r="AG17" s="165">
        <f t="shared" si="10"/>
        <v>0</v>
      </c>
      <c r="AH17" s="166">
        <v>14</v>
      </c>
      <c r="AI17" s="166">
        <v>550</v>
      </c>
      <c r="AJ17" s="166"/>
      <c r="AK17" s="166">
        <v>688</v>
      </c>
      <c r="AL17" s="166">
        <f t="shared" si="11"/>
        <v>197828</v>
      </c>
      <c r="AM17" s="153">
        <v>3</v>
      </c>
      <c r="AN17" s="166"/>
      <c r="AO17" s="167"/>
      <c r="AP17" s="167"/>
      <c r="AQ17" s="151" t="s">
        <v>94</v>
      </c>
      <c r="AR17" s="151" t="s">
        <v>69</v>
      </c>
      <c r="AS17" s="151" t="s">
        <v>59</v>
      </c>
      <c r="AT17" s="166"/>
      <c r="AU17" s="167"/>
      <c r="AV17" s="167"/>
      <c r="AW17" s="169" t="str">
        <f t="shared" si="12"/>
        <v>OK</v>
      </c>
      <c r="AX17" s="21" t="s">
        <v>3133</v>
      </c>
      <c r="AY17" s="21">
        <v>0</v>
      </c>
      <c r="AZ17" s="21"/>
      <c r="BA17" s="21"/>
    </row>
    <row r="18" spans="1:53" s="98" customFormat="1" ht="20" customHeight="1">
      <c r="A18" s="86" t="s">
        <v>318</v>
      </c>
      <c r="B18" s="371" t="s">
        <v>2348</v>
      </c>
      <c r="C18" s="151" t="s">
        <v>51</v>
      </c>
      <c r="D18" s="151" t="s">
        <v>52</v>
      </c>
      <c r="E18" s="151" t="s">
        <v>62</v>
      </c>
      <c r="F18" s="151" t="s">
        <v>63</v>
      </c>
      <c r="G18" s="151" t="s">
        <v>110</v>
      </c>
      <c r="H18" s="152">
        <v>42298</v>
      </c>
      <c r="I18" s="151" t="s">
        <v>111</v>
      </c>
      <c r="J18" s="151" t="s">
        <v>111</v>
      </c>
      <c r="K18" s="151" t="s">
        <v>56</v>
      </c>
      <c r="L18" s="153">
        <v>2</v>
      </c>
      <c r="M18" s="153">
        <v>2</v>
      </c>
      <c r="N18" s="154">
        <v>20200</v>
      </c>
      <c r="O18" s="155">
        <v>0</v>
      </c>
      <c r="P18" s="156">
        <f t="shared" si="0"/>
        <v>0</v>
      </c>
      <c r="Q18" s="155">
        <v>0</v>
      </c>
      <c r="R18" s="156">
        <f t="shared" si="1"/>
        <v>0</v>
      </c>
      <c r="S18" s="155">
        <f t="shared" si="2"/>
        <v>0</v>
      </c>
      <c r="T18" s="156">
        <f t="shared" si="3"/>
        <v>0</v>
      </c>
      <c r="U18" s="156">
        <f t="shared" si="4"/>
        <v>20200</v>
      </c>
      <c r="V18" s="157">
        <f t="shared" ref="V18:V22" si="14">U18</f>
        <v>20200</v>
      </c>
      <c r="W18" s="158">
        <f t="shared" si="13"/>
        <v>0</v>
      </c>
      <c r="X18" s="159">
        <f t="shared" si="5"/>
        <v>0</v>
      </c>
      <c r="Y18" s="160" t="str">
        <f t="shared" si="6"/>
        <v>0.00%-0.00%</v>
      </c>
      <c r="Z18" s="161"/>
      <c r="AA18" s="161"/>
      <c r="AB18" s="161"/>
      <c r="AC18" s="162"/>
      <c r="AD18" s="154">
        <f t="shared" si="7"/>
        <v>0</v>
      </c>
      <c r="AE18" s="163">
        <f t="shared" si="8"/>
        <v>20200</v>
      </c>
      <c r="AF18" s="164">
        <f t="shared" si="9"/>
        <v>0</v>
      </c>
      <c r="AG18" s="165">
        <f t="shared" si="10"/>
        <v>0</v>
      </c>
      <c r="AH18" s="166">
        <v>14</v>
      </c>
      <c r="AI18" s="166">
        <v>450</v>
      </c>
      <c r="AJ18" s="166"/>
      <c r="AK18" s="166">
        <v>688</v>
      </c>
      <c r="AL18" s="166">
        <f t="shared" si="11"/>
        <v>288888</v>
      </c>
      <c r="AM18" s="153">
        <v>3</v>
      </c>
      <c r="AN18" s="166"/>
      <c r="AO18" s="167"/>
      <c r="AP18" s="167"/>
      <c r="AQ18" s="151" t="s">
        <v>112</v>
      </c>
      <c r="AR18" s="151" t="s">
        <v>69</v>
      </c>
      <c r="AS18" s="151" t="s">
        <v>59</v>
      </c>
      <c r="AT18" s="166"/>
      <c r="AU18" s="167"/>
      <c r="AV18" s="167"/>
      <c r="AW18" s="170" t="str">
        <f t="shared" si="12"/>
        <v>OK</v>
      </c>
      <c r="AX18" s="21" t="s">
        <v>3133</v>
      </c>
      <c r="AY18" s="21">
        <v>0</v>
      </c>
      <c r="AZ18" s="21"/>
      <c r="BA18" s="21"/>
    </row>
    <row r="19" spans="1:53" s="98" customFormat="1" ht="20" customHeight="1">
      <c r="A19" s="86" t="s">
        <v>318</v>
      </c>
      <c r="B19" s="371" t="s">
        <v>2349</v>
      </c>
      <c r="C19" s="151" t="s">
        <v>51</v>
      </c>
      <c r="D19" s="151" t="s">
        <v>52</v>
      </c>
      <c r="E19" s="151" t="s">
        <v>62</v>
      </c>
      <c r="F19" s="151" t="s">
        <v>113</v>
      </c>
      <c r="G19" s="151" t="s">
        <v>92</v>
      </c>
      <c r="H19" s="152">
        <v>41801</v>
      </c>
      <c r="I19" s="151" t="s">
        <v>111</v>
      </c>
      <c r="J19" s="151" t="s">
        <v>114</v>
      </c>
      <c r="K19" s="151" t="s">
        <v>56</v>
      </c>
      <c r="L19" s="153">
        <v>2</v>
      </c>
      <c r="M19" s="153">
        <v>4</v>
      </c>
      <c r="N19" s="154">
        <v>23800</v>
      </c>
      <c r="O19" s="155">
        <v>0.03</v>
      </c>
      <c r="P19" s="156">
        <f t="shared" si="0"/>
        <v>714</v>
      </c>
      <c r="Q19" s="155">
        <v>0</v>
      </c>
      <c r="R19" s="156">
        <f t="shared" si="1"/>
        <v>0</v>
      </c>
      <c r="S19" s="155">
        <f t="shared" si="2"/>
        <v>0.03</v>
      </c>
      <c r="T19" s="156">
        <f t="shared" si="3"/>
        <v>714</v>
      </c>
      <c r="U19" s="156">
        <f t="shared" si="4"/>
        <v>24514</v>
      </c>
      <c r="V19" s="157">
        <f t="shared" si="14"/>
        <v>24514</v>
      </c>
      <c r="W19" s="158">
        <f t="shared" si="13"/>
        <v>714</v>
      </c>
      <c r="X19" s="159">
        <f t="shared" si="5"/>
        <v>0.03</v>
      </c>
      <c r="Y19" s="160" t="str">
        <f t="shared" si="6"/>
        <v>2.40%-3.60%</v>
      </c>
      <c r="Z19" s="161" t="s">
        <v>87</v>
      </c>
      <c r="AA19" s="161" t="s">
        <v>114</v>
      </c>
      <c r="AB19" s="161" t="s">
        <v>115</v>
      </c>
      <c r="AC19" s="162">
        <v>0.09</v>
      </c>
      <c r="AD19" s="154">
        <f t="shared" si="7"/>
        <v>2142</v>
      </c>
      <c r="AE19" s="163">
        <f t="shared" si="8"/>
        <v>26656</v>
      </c>
      <c r="AF19" s="164">
        <f t="shared" si="9"/>
        <v>2856</v>
      </c>
      <c r="AG19" s="165">
        <f t="shared" si="10"/>
        <v>0.12000000000000011</v>
      </c>
      <c r="AH19" s="166">
        <v>14</v>
      </c>
      <c r="AI19" s="166">
        <v>450</v>
      </c>
      <c r="AJ19" s="166"/>
      <c r="AK19" s="166">
        <v>688</v>
      </c>
      <c r="AL19" s="166">
        <f t="shared" si="11"/>
        <v>391272</v>
      </c>
      <c r="AM19" s="153">
        <v>5</v>
      </c>
      <c r="AN19" s="166"/>
      <c r="AO19" s="167" t="s">
        <v>90</v>
      </c>
      <c r="AP19" s="167" t="s">
        <v>90</v>
      </c>
      <c r="AQ19" s="151" t="s">
        <v>112</v>
      </c>
      <c r="AR19" s="151" t="s">
        <v>69</v>
      </c>
      <c r="AS19" s="151" t="s">
        <v>59</v>
      </c>
      <c r="AT19" s="166"/>
      <c r="AU19" s="167"/>
      <c r="AV19" s="167"/>
      <c r="AW19" s="169" t="str">
        <f t="shared" si="12"/>
        <v>OK</v>
      </c>
      <c r="AX19" s="21" t="s">
        <v>3135</v>
      </c>
      <c r="AY19" s="21" t="s">
        <v>3136</v>
      </c>
      <c r="AZ19" s="21"/>
      <c r="BA19" s="21"/>
    </row>
    <row r="20" spans="1:53" s="98" customFormat="1" ht="20" customHeight="1">
      <c r="A20" s="86" t="s">
        <v>318</v>
      </c>
      <c r="B20" s="371" t="s">
        <v>2350</v>
      </c>
      <c r="C20" s="151" t="s">
        <v>51</v>
      </c>
      <c r="D20" s="151" t="s">
        <v>52</v>
      </c>
      <c r="E20" s="151" t="s">
        <v>62</v>
      </c>
      <c r="F20" s="151" t="s">
        <v>116</v>
      </c>
      <c r="G20" s="151" t="s">
        <v>65</v>
      </c>
      <c r="H20" s="152">
        <v>40646</v>
      </c>
      <c r="I20" s="151" t="s">
        <v>111</v>
      </c>
      <c r="J20" s="151" t="s">
        <v>117</v>
      </c>
      <c r="K20" s="151" t="s">
        <v>56</v>
      </c>
      <c r="L20" s="153">
        <v>2</v>
      </c>
      <c r="M20" s="153">
        <v>5</v>
      </c>
      <c r="N20" s="154">
        <v>24500</v>
      </c>
      <c r="O20" s="155">
        <v>0.04</v>
      </c>
      <c r="P20" s="156">
        <f t="shared" si="0"/>
        <v>980</v>
      </c>
      <c r="Q20" s="155">
        <v>0</v>
      </c>
      <c r="R20" s="156">
        <f t="shared" si="1"/>
        <v>0</v>
      </c>
      <c r="S20" s="155">
        <f t="shared" si="2"/>
        <v>0.04</v>
      </c>
      <c r="T20" s="156">
        <f t="shared" si="3"/>
        <v>980</v>
      </c>
      <c r="U20" s="156">
        <f t="shared" si="4"/>
        <v>25480</v>
      </c>
      <c r="V20" s="157">
        <f t="shared" si="14"/>
        <v>25480</v>
      </c>
      <c r="W20" s="158">
        <f t="shared" si="13"/>
        <v>980</v>
      </c>
      <c r="X20" s="159">
        <f t="shared" si="5"/>
        <v>0.04</v>
      </c>
      <c r="Y20" s="160" t="str">
        <f t="shared" si="6"/>
        <v>3.20%-4.80%</v>
      </c>
      <c r="Z20" s="161" t="s">
        <v>87</v>
      </c>
      <c r="AA20" s="161" t="s">
        <v>117</v>
      </c>
      <c r="AB20" s="161" t="s">
        <v>115</v>
      </c>
      <c r="AC20" s="162">
        <v>0.08</v>
      </c>
      <c r="AD20" s="154">
        <f t="shared" si="7"/>
        <v>1960</v>
      </c>
      <c r="AE20" s="163">
        <f t="shared" si="8"/>
        <v>27440</v>
      </c>
      <c r="AF20" s="164">
        <f t="shared" si="9"/>
        <v>2940</v>
      </c>
      <c r="AG20" s="165">
        <f t="shared" si="10"/>
        <v>0.12000000000000011</v>
      </c>
      <c r="AH20" s="166">
        <v>14</v>
      </c>
      <c r="AI20" s="166">
        <v>450</v>
      </c>
      <c r="AJ20" s="166"/>
      <c r="AK20" s="166">
        <v>688</v>
      </c>
      <c r="AL20" s="166">
        <f t="shared" si="11"/>
        <v>402248</v>
      </c>
      <c r="AM20" s="153">
        <v>3</v>
      </c>
      <c r="AN20" s="166"/>
      <c r="AO20" s="167" t="s">
        <v>90</v>
      </c>
      <c r="AP20" s="167" t="s">
        <v>90</v>
      </c>
      <c r="AQ20" s="151" t="s">
        <v>112</v>
      </c>
      <c r="AR20" s="151" t="s">
        <v>69</v>
      </c>
      <c r="AS20" s="151" t="s">
        <v>59</v>
      </c>
      <c r="AT20" s="166"/>
      <c r="AU20" s="167"/>
      <c r="AV20" s="167"/>
      <c r="AW20" s="170" t="str">
        <f t="shared" si="12"/>
        <v>OK</v>
      </c>
      <c r="AX20" s="21" t="s">
        <v>3135</v>
      </c>
      <c r="AY20" s="21" t="s">
        <v>3136</v>
      </c>
      <c r="AZ20" s="21"/>
      <c r="BA20" s="21"/>
    </row>
    <row r="21" spans="1:53" s="98" customFormat="1" ht="20" customHeight="1">
      <c r="A21" s="86" t="s">
        <v>318</v>
      </c>
      <c r="B21" s="371" t="s">
        <v>2351</v>
      </c>
      <c r="C21" s="151" t="s">
        <v>51</v>
      </c>
      <c r="D21" s="151" t="s">
        <v>52</v>
      </c>
      <c r="E21" s="151" t="s">
        <v>62</v>
      </c>
      <c r="F21" s="151" t="s">
        <v>63</v>
      </c>
      <c r="G21" s="151" t="s">
        <v>110</v>
      </c>
      <c r="H21" s="152">
        <v>44930</v>
      </c>
      <c r="I21" s="151" t="s">
        <v>74</v>
      </c>
      <c r="J21" s="151" t="s">
        <v>118</v>
      </c>
      <c r="K21" s="151" t="s">
        <v>76</v>
      </c>
      <c r="L21" s="153">
        <v>2</v>
      </c>
      <c r="M21" s="153">
        <v>3</v>
      </c>
      <c r="N21" s="154">
        <v>14375</v>
      </c>
      <c r="O21" s="155">
        <v>2.5000000000000001E-2</v>
      </c>
      <c r="P21" s="156">
        <f t="shared" si="0"/>
        <v>359</v>
      </c>
      <c r="Q21" s="155">
        <v>0</v>
      </c>
      <c r="R21" s="156">
        <f t="shared" si="1"/>
        <v>0</v>
      </c>
      <c r="S21" s="155">
        <f t="shared" si="2"/>
        <v>2.497391304347826E-2</v>
      </c>
      <c r="T21" s="156">
        <f t="shared" si="3"/>
        <v>359</v>
      </c>
      <c r="U21" s="156">
        <f t="shared" si="4"/>
        <v>14734</v>
      </c>
      <c r="V21" s="157">
        <f t="shared" si="14"/>
        <v>14734</v>
      </c>
      <c r="W21" s="158">
        <f t="shared" si="13"/>
        <v>359</v>
      </c>
      <c r="X21" s="159">
        <f t="shared" si="5"/>
        <v>2.5000000000000001E-2</v>
      </c>
      <c r="Y21" s="160" t="str">
        <f t="shared" si="6"/>
        <v>2.00%-3.00%</v>
      </c>
      <c r="Z21" s="161"/>
      <c r="AA21" s="161"/>
      <c r="AB21" s="161"/>
      <c r="AC21" s="162"/>
      <c r="AD21" s="154">
        <f t="shared" si="7"/>
        <v>0</v>
      </c>
      <c r="AE21" s="163">
        <f t="shared" si="8"/>
        <v>14734</v>
      </c>
      <c r="AF21" s="164">
        <f t="shared" si="9"/>
        <v>359</v>
      </c>
      <c r="AG21" s="165">
        <f t="shared" si="10"/>
        <v>2.4973913043478291E-2</v>
      </c>
      <c r="AH21" s="166">
        <v>14</v>
      </c>
      <c r="AI21" s="166">
        <v>450</v>
      </c>
      <c r="AJ21" s="166"/>
      <c r="AK21" s="166">
        <v>688</v>
      </c>
      <c r="AL21" s="166">
        <f t="shared" si="11"/>
        <v>212364</v>
      </c>
      <c r="AM21" s="153">
        <v>4</v>
      </c>
      <c r="AN21" s="166"/>
      <c r="AO21" s="167"/>
      <c r="AP21" s="167"/>
      <c r="AQ21" s="151" t="s">
        <v>112</v>
      </c>
      <c r="AR21" s="151" t="s">
        <v>69</v>
      </c>
      <c r="AS21" s="151" t="s">
        <v>59</v>
      </c>
      <c r="AT21" s="166"/>
      <c r="AU21" s="167"/>
      <c r="AV21" s="167"/>
      <c r="AW21" s="169" t="str">
        <f t="shared" si="12"/>
        <v>OK</v>
      </c>
      <c r="AX21" s="21" t="s">
        <v>3131</v>
      </c>
      <c r="AY21" s="21" t="s">
        <v>3130</v>
      </c>
      <c r="AZ21" s="21"/>
      <c r="BA21" s="21"/>
    </row>
    <row r="22" spans="1:53" s="98" customFormat="1" ht="20" customHeight="1">
      <c r="A22" s="86" t="s">
        <v>318</v>
      </c>
      <c r="B22" s="371" t="s">
        <v>2352</v>
      </c>
      <c r="C22" s="151" t="s">
        <v>51</v>
      </c>
      <c r="D22" s="151" t="s">
        <v>52</v>
      </c>
      <c r="E22" s="151" t="s">
        <v>62</v>
      </c>
      <c r="F22" s="151" t="s">
        <v>63</v>
      </c>
      <c r="G22" s="151" t="s">
        <v>110</v>
      </c>
      <c r="H22" s="152">
        <v>40360</v>
      </c>
      <c r="I22" s="151" t="s">
        <v>74</v>
      </c>
      <c r="J22" s="151" t="s">
        <v>74</v>
      </c>
      <c r="K22" s="151" t="s">
        <v>76</v>
      </c>
      <c r="L22" s="153">
        <v>2</v>
      </c>
      <c r="M22" s="153">
        <v>4</v>
      </c>
      <c r="N22" s="154">
        <v>9891</v>
      </c>
      <c r="O22" s="155">
        <v>4.4999999999999998E-2</v>
      </c>
      <c r="P22" s="156">
        <f t="shared" si="0"/>
        <v>445</v>
      </c>
      <c r="Q22" s="155">
        <v>4.2099999999999999E-2</v>
      </c>
      <c r="R22" s="156">
        <f t="shared" si="1"/>
        <v>416</v>
      </c>
      <c r="S22" s="155">
        <f t="shared" si="2"/>
        <v>8.7048832271762203E-2</v>
      </c>
      <c r="T22" s="156">
        <f t="shared" si="3"/>
        <v>861</v>
      </c>
      <c r="U22" s="156">
        <f t="shared" si="4"/>
        <v>10752</v>
      </c>
      <c r="V22" s="157">
        <f t="shared" si="14"/>
        <v>10752</v>
      </c>
      <c r="W22" s="158">
        <f t="shared" si="13"/>
        <v>861</v>
      </c>
      <c r="X22" s="159">
        <f t="shared" si="5"/>
        <v>8.6999999999999994E-2</v>
      </c>
      <c r="Y22" s="160" t="str">
        <f t="shared" si="6"/>
        <v>6.96%-10.45%</v>
      </c>
      <c r="Z22" s="161"/>
      <c r="AA22" s="161"/>
      <c r="AB22" s="161"/>
      <c r="AC22" s="162"/>
      <c r="AD22" s="154">
        <f t="shared" si="7"/>
        <v>0</v>
      </c>
      <c r="AE22" s="163">
        <f t="shared" si="8"/>
        <v>10752</v>
      </c>
      <c r="AF22" s="164">
        <f t="shared" si="9"/>
        <v>861</v>
      </c>
      <c r="AG22" s="165">
        <f t="shared" si="10"/>
        <v>8.7048832271762189E-2</v>
      </c>
      <c r="AH22" s="166">
        <v>14</v>
      </c>
      <c r="AI22" s="166">
        <v>450</v>
      </c>
      <c r="AJ22" s="166"/>
      <c r="AK22" s="166">
        <v>688</v>
      </c>
      <c r="AL22" s="166">
        <f t="shared" si="11"/>
        <v>156616</v>
      </c>
      <c r="AM22" s="153">
        <v>3</v>
      </c>
      <c r="AN22" s="166"/>
      <c r="AO22" s="167"/>
      <c r="AP22" s="167"/>
      <c r="AQ22" s="151" t="s">
        <v>112</v>
      </c>
      <c r="AR22" s="151" t="s">
        <v>69</v>
      </c>
      <c r="AS22" s="151" t="s">
        <v>59</v>
      </c>
      <c r="AT22" s="166"/>
      <c r="AU22" s="167"/>
      <c r="AV22" s="167"/>
      <c r="AW22" s="170" t="str">
        <f t="shared" si="12"/>
        <v>OK</v>
      </c>
      <c r="AX22" s="21" t="s">
        <v>3135</v>
      </c>
      <c r="AY22" s="21" t="s">
        <v>3132</v>
      </c>
      <c r="AZ22" s="21"/>
      <c r="BA22" s="21"/>
    </row>
    <row r="23" spans="1:53" ht="20" customHeight="1">
      <c r="A23" s="86" t="s">
        <v>318</v>
      </c>
      <c r="B23" s="371" t="s">
        <v>2353</v>
      </c>
      <c r="C23" s="151" t="s">
        <v>51</v>
      </c>
      <c r="D23" s="151" t="s">
        <v>52</v>
      </c>
      <c r="E23" s="151" t="s">
        <v>62</v>
      </c>
      <c r="F23" s="151" t="s">
        <v>120</v>
      </c>
      <c r="G23" s="151" t="s">
        <v>121</v>
      </c>
      <c r="H23" s="152">
        <v>44686</v>
      </c>
      <c r="I23" s="151" t="s">
        <v>82</v>
      </c>
      <c r="J23" s="151" t="s">
        <v>122</v>
      </c>
      <c r="K23" s="151" t="s">
        <v>84</v>
      </c>
      <c r="L23" s="153">
        <v>2</v>
      </c>
      <c r="M23" s="153">
        <v>3</v>
      </c>
      <c r="N23" s="171">
        <v>8200</v>
      </c>
      <c r="O23" s="155">
        <v>2.5000000000000001E-2</v>
      </c>
      <c r="P23" s="172">
        <f t="shared" si="0"/>
        <v>205</v>
      </c>
      <c r="Q23" s="155">
        <v>0</v>
      </c>
      <c r="R23" s="172">
        <f t="shared" si="1"/>
        <v>0</v>
      </c>
      <c r="S23" s="155">
        <f t="shared" si="2"/>
        <v>2.5000000000000001E-2</v>
      </c>
      <c r="T23" s="172">
        <f t="shared" si="3"/>
        <v>205</v>
      </c>
      <c r="U23" s="172">
        <f t="shared" si="4"/>
        <v>8405</v>
      </c>
      <c r="V23" s="173">
        <v>8415</v>
      </c>
      <c r="W23" s="174">
        <f t="shared" si="13"/>
        <v>215</v>
      </c>
      <c r="X23" s="159">
        <f t="shared" si="5"/>
        <v>2.6200000000000001E-2</v>
      </c>
      <c r="Y23" s="160" t="str">
        <f t="shared" ref="Y23:Y69" si="15">IF(OR(L23=1,L23=2,L23=4),TEXT(S23*0.8,"0.00%")&amp;"-"&amp;TEXT(S23*1.2,"0.00%"),IF(OR(L23=3,L23=6),TEXT(0,"0.00%")&amp;"-"&amp;TEXT(7%*1.2,"0.00%"),IF(OR(L23=5,L23=7),TEXT((R23/N23),"0.00%")&amp;"-"&amp;TEXT((R23/N23)+7%,"0.00%"),"")))</f>
        <v>2.00%-3.00%</v>
      </c>
      <c r="Z23" s="175"/>
      <c r="AA23" s="175"/>
      <c r="AB23" s="175"/>
      <c r="AC23" s="162"/>
      <c r="AD23" s="171">
        <f t="shared" si="7"/>
        <v>0</v>
      </c>
      <c r="AE23" s="176">
        <f t="shared" si="8"/>
        <v>8415</v>
      </c>
      <c r="AF23" s="164">
        <f t="shared" si="9"/>
        <v>215</v>
      </c>
      <c r="AG23" s="165">
        <f t="shared" si="10"/>
        <v>2.6219512195121863E-2</v>
      </c>
      <c r="AH23" s="166">
        <v>14</v>
      </c>
      <c r="AI23" s="166">
        <v>550</v>
      </c>
      <c r="AJ23" s="166"/>
      <c r="AK23" s="166">
        <v>688</v>
      </c>
      <c r="AL23" s="166">
        <f t="shared" si="11"/>
        <v>125098</v>
      </c>
      <c r="AM23" s="153">
        <v>3</v>
      </c>
      <c r="AN23" s="166"/>
      <c r="AO23" s="167"/>
      <c r="AP23" s="167"/>
      <c r="AQ23" s="151" t="s">
        <v>123</v>
      </c>
      <c r="AR23" s="151" t="s">
        <v>124</v>
      </c>
      <c r="AS23" s="151" t="s">
        <v>59</v>
      </c>
      <c r="AT23" s="166"/>
      <c r="AU23" s="167"/>
      <c r="AV23" s="167"/>
      <c r="AW23" s="169" t="str">
        <f t="shared" si="12"/>
        <v>OK</v>
      </c>
      <c r="AX23" s="21" t="s">
        <v>3131</v>
      </c>
      <c r="AY23" s="21" t="s">
        <v>3130</v>
      </c>
      <c r="AZ23" s="21"/>
      <c r="BA23" s="21"/>
    </row>
    <row r="24" spans="1:53" ht="20" customHeight="1">
      <c r="A24" s="86" t="s">
        <v>318</v>
      </c>
      <c r="B24" s="371" t="s">
        <v>2354</v>
      </c>
      <c r="C24" s="151" t="s">
        <v>51</v>
      </c>
      <c r="D24" s="151" t="s">
        <v>52</v>
      </c>
      <c r="E24" s="151" t="s">
        <v>62</v>
      </c>
      <c r="F24" s="151" t="s">
        <v>125</v>
      </c>
      <c r="G24" s="151" t="s">
        <v>126</v>
      </c>
      <c r="H24" s="152">
        <v>40310</v>
      </c>
      <c r="I24" s="151" t="s">
        <v>71</v>
      </c>
      <c r="J24" s="151" t="s">
        <v>127</v>
      </c>
      <c r="K24" s="151" t="s">
        <v>61</v>
      </c>
      <c r="L24" s="153">
        <v>2</v>
      </c>
      <c r="M24" s="153">
        <v>3</v>
      </c>
      <c r="N24" s="171">
        <v>15324</v>
      </c>
      <c r="O24" s="155">
        <v>0.03</v>
      </c>
      <c r="P24" s="172">
        <f t="shared" si="0"/>
        <v>460</v>
      </c>
      <c r="Q24" s="155">
        <v>0</v>
      </c>
      <c r="R24" s="172">
        <f t="shared" si="1"/>
        <v>0</v>
      </c>
      <c r="S24" s="155">
        <f t="shared" si="2"/>
        <v>3.001827199164709E-2</v>
      </c>
      <c r="T24" s="172">
        <f t="shared" si="3"/>
        <v>460</v>
      </c>
      <c r="U24" s="172">
        <f t="shared" si="4"/>
        <v>15784</v>
      </c>
      <c r="V24" s="173">
        <v>15600</v>
      </c>
      <c r="W24" s="174">
        <f t="shared" si="13"/>
        <v>276</v>
      </c>
      <c r="X24" s="159">
        <f t="shared" si="5"/>
        <v>1.7999999999999999E-2</v>
      </c>
      <c r="Y24" s="160" t="str">
        <f t="shared" si="15"/>
        <v>2.40%-3.60%</v>
      </c>
      <c r="Z24" s="175"/>
      <c r="AA24" s="175"/>
      <c r="AB24" s="175"/>
      <c r="AC24" s="162"/>
      <c r="AD24" s="171">
        <f t="shared" si="7"/>
        <v>0</v>
      </c>
      <c r="AE24" s="176">
        <f t="shared" si="8"/>
        <v>15600</v>
      </c>
      <c r="AF24" s="164">
        <f t="shared" si="9"/>
        <v>276</v>
      </c>
      <c r="AG24" s="165">
        <f t="shared" si="10"/>
        <v>1.8010963194988294E-2</v>
      </c>
      <c r="AH24" s="166">
        <v>14</v>
      </c>
      <c r="AI24" s="166">
        <v>450</v>
      </c>
      <c r="AJ24" s="166"/>
      <c r="AK24" s="166">
        <v>688</v>
      </c>
      <c r="AL24" s="166">
        <f t="shared" si="11"/>
        <v>224488</v>
      </c>
      <c r="AM24" s="153">
        <v>3</v>
      </c>
      <c r="AN24" s="166"/>
      <c r="AO24" s="167"/>
      <c r="AP24" s="167" t="s">
        <v>128</v>
      </c>
      <c r="AQ24" s="151" t="s">
        <v>123</v>
      </c>
      <c r="AR24" s="151" t="s">
        <v>124</v>
      </c>
      <c r="AS24" s="151" t="s">
        <v>59</v>
      </c>
      <c r="AT24" s="166"/>
      <c r="AU24" s="167" t="s">
        <v>102</v>
      </c>
      <c r="AV24" s="167" t="s">
        <v>129</v>
      </c>
      <c r="AW24" s="170" t="str">
        <f t="shared" si="12"/>
        <v>&lt;20</v>
      </c>
      <c r="AX24" s="21" t="s">
        <v>3129</v>
      </c>
      <c r="AY24" s="21" t="s">
        <v>3132</v>
      </c>
      <c r="AZ24" s="21"/>
      <c r="BA24" s="21"/>
    </row>
    <row r="25" spans="1:53" ht="20" customHeight="1">
      <c r="A25" s="86" t="s">
        <v>318</v>
      </c>
      <c r="B25" s="371" t="s">
        <v>2355</v>
      </c>
      <c r="C25" s="151" t="s">
        <v>51</v>
      </c>
      <c r="D25" s="151" t="s">
        <v>52</v>
      </c>
      <c r="E25" s="151" t="s">
        <v>62</v>
      </c>
      <c r="F25" s="151" t="s">
        <v>130</v>
      </c>
      <c r="G25" s="151" t="s">
        <v>131</v>
      </c>
      <c r="H25" s="152">
        <v>42781</v>
      </c>
      <c r="I25" s="151" t="s">
        <v>111</v>
      </c>
      <c r="J25" s="151" t="s">
        <v>132</v>
      </c>
      <c r="K25" s="151" t="s">
        <v>56</v>
      </c>
      <c r="L25" s="153">
        <v>2</v>
      </c>
      <c r="M25" s="153">
        <v>4</v>
      </c>
      <c r="N25" s="171">
        <v>20300</v>
      </c>
      <c r="O25" s="155">
        <v>3.7500000000000006E-2</v>
      </c>
      <c r="P25" s="172">
        <f t="shared" si="0"/>
        <v>761</v>
      </c>
      <c r="Q25" s="155">
        <v>1.55E-2</v>
      </c>
      <c r="R25" s="172">
        <f t="shared" si="1"/>
        <v>315</v>
      </c>
      <c r="S25" s="155">
        <f t="shared" si="2"/>
        <v>5.3004926108374387E-2</v>
      </c>
      <c r="T25" s="172">
        <f t="shared" si="3"/>
        <v>1076</v>
      </c>
      <c r="U25" s="172">
        <f t="shared" si="4"/>
        <v>21376</v>
      </c>
      <c r="V25" s="173">
        <v>21500</v>
      </c>
      <c r="W25" s="174">
        <f t="shared" si="13"/>
        <v>1200</v>
      </c>
      <c r="X25" s="159">
        <f t="shared" si="5"/>
        <v>5.91E-2</v>
      </c>
      <c r="Y25" s="160" t="str">
        <f t="shared" si="15"/>
        <v>4.24%-6.36%</v>
      </c>
      <c r="Z25" s="175"/>
      <c r="AA25" s="175"/>
      <c r="AB25" s="175"/>
      <c r="AC25" s="162"/>
      <c r="AD25" s="171">
        <f t="shared" si="7"/>
        <v>0</v>
      </c>
      <c r="AE25" s="176">
        <f t="shared" si="8"/>
        <v>21500</v>
      </c>
      <c r="AF25" s="164">
        <f t="shared" si="9"/>
        <v>1200</v>
      </c>
      <c r="AG25" s="165">
        <f t="shared" si="10"/>
        <v>5.9113300492610765E-2</v>
      </c>
      <c r="AH25" s="166">
        <v>14</v>
      </c>
      <c r="AI25" s="166">
        <v>450</v>
      </c>
      <c r="AJ25" s="166"/>
      <c r="AK25" s="166">
        <v>688</v>
      </c>
      <c r="AL25" s="166">
        <f t="shared" si="11"/>
        <v>307088</v>
      </c>
      <c r="AM25" s="153">
        <v>3</v>
      </c>
      <c r="AN25" s="166"/>
      <c r="AO25" s="167"/>
      <c r="AP25" s="167"/>
      <c r="AQ25" s="151" t="s">
        <v>123</v>
      </c>
      <c r="AR25" s="151" t="s">
        <v>124</v>
      </c>
      <c r="AS25" s="151" t="s">
        <v>59</v>
      </c>
      <c r="AT25" s="166"/>
      <c r="AU25" s="167"/>
      <c r="AV25" s="167"/>
      <c r="AW25" s="169" t="str">
        <f t="shared" si="12"/>
        <v>OK</v>
      </c>
      <c r="AX25" s="21" t="s">
        <v>3133</v>
      </c>
      <c r="AY25" s="21" t="s">
        <v>3130</v>
      </c>
      <c r="AZ25" s="21"/>
      <c r="BA25" s="21"/>
    </row>
    <row r="26" spans="1:53" ht="20" customHeight="1">
      <c r="A26" s="86" t="s">
        <v>318</v>
      </c>
      <c r="B26" s="371" t="s">
        <v>2356</v>
      </c>
      <c r="C26" s="151" t="s">
        <v>51</v>
      </c>
      <c r="D26" s="151" t="s">
        <v>52</v>
      </c>
      <c r="E26" s="151" t="s">
        <v>62</v>
      </c>
      <c r="F26" s="151" t="s">
        <v>133</v>
      </c>
      <c r="G26" s="151" t="s">
        <v>121</v>
      </c>
      <c r="H26" s="152">
        <v>39547</v>
      </c>
      <c r="I26" s="151" t="s">
        <v>111</v>
      </c>
      <c r="J26" s="151" t="s">
        <v>134</v>
      </c>
      <c r="K26" s="151" t="s">
        <v>56</v>
      </c>
      <c r="L26" s="153">
        <v>2</v>
      </c>
      <c r="M26" s="153">
        <v>3</v>
      </c>
      <c r="N26" s="171">
        <v>27011</v>
      </c>
      <c r="O26" s="155">
        <v>2.5000000000000001E-2</v>
      </c>
      <c r="P26" s="172">
        <f t="shared" si="0"/>
        <v>675</v>
      </c>
      <c r="Q26" s="155">
        <v>0</v>
      </c>
      <c r="R26" s="172">
        <f t="shared" si="1"/>
        <v>0</v>
      </c>
      <c r="S26" s="155">
        <f t="shared" si="2"/>
        <v>2.498981896264485E-2</v>
      </c>
      <c r="T26" s="172">
        <f t="shared" si="3"/>
        <v>675</v>
      </c>
      <c r="U26" s="172">
        <f t="shared" si="4"/>
        <v>27686</v>
      </c>
      <c r="V26" s="173">
        <v>27700</v>
      </c>
      <c r="W26" s="174">
        <f t="shared" si="13"/>
        <v>689</v>
      </c>
      <c r="X26" s="159">
        <f t="shared" si="5"/>
        <v>2.5499999999999998E-2</v>
      </c>
      <c r="Y26" s="160" t="str">
        <f t="shared" si="15"/>
        <v>2.00%-3.00%</v>
      </c>
      <c r="Z26" s="175"/>
      <c r="AA26" s="175"/>
      <c r="AB26" s="175"/>
      <c r="AC26" s="162"/>
      <c r="AD26" s="171">
        <f t="shared" si="7"/>
        <v>0</v>
      </c>
      <c r="AE26" s="176">
        <f t="shared" si="8"/>
        <v>27700</v>
      </c>
      <c r="AF26" s="164">
        <f t="shared" si="9"/>
        <v>689</v>
      </c>
      <c r="AG26" s="165">
        <f t="shared" si="10"/>
        <v>2.5508126318907198E-2</v>
      </c>
      <c r="AH26" s="166">
        <v>14</v>
      </c>
      <c r="AI26" s="166">
        <v>450</v>
      </c>
      <c r="AJ26" s="166"/>
      <c r="AK26" s="166">
        <v>688</v>
      </c>
      <c r="AL26" s="166">
        <f t="shared" si="11"/>
        <v>393888</v>
      </c>
      <c r="AM26" s="153">
        <v>4</v>
      </c>
      <c r="AN26" s="166"/>
      <c r="AO26" s="167"/>
      <c r="AP26" s="167"/>
      <c r="AQ26" s="151" t="s">
        <v>123</v>
      </c>
      <c r="AR26" s="151" t="s">
        <v>124</v>
      </c>
      <c r="AS26" s="151" t="s">
        <v>59</v>
      </c>
      <c r="AT26" s="166"/>
      <c r="AU26" s="167"/>
      <c r="AV26" s="167"/>
      <c r="AW26" s="170" t="str">
        <f t="shared" si="12"/>
        <v>OK</v>
      </c>
      <c r="AX26" s="21" t="s">
        <v>3129</v>
      </c>
      <c r="AY26" s="21" t="s">
        <v>3130</v>
      </c>
      <c r="AZ26" s="21"/>
      <c r="BA26" s="21"/>
    </row>
    <row r="27" spans="1:53" ht="20" customHeight="1">
      <c r="A27" s="86" t="s">
        <v>318</v>
      </c>
      <c r="B27" s="371" t="s">
        <v>2357</v>
      </c>
      <c r="C27" s="151" t="s">
        <v>51</v>
      </c>
      <c r="D27" s="151" t="s">
        <v>52</v>
      </c>
      <c r="E27" s="151" t="s">
        <v>62</v>
      </c>
      <c r="F27" s="151" t="s">
        <v>120</v>
      </c>
      <c r="G27" s="151" t="s">
        <v>121</v>
      </c>
      <c r="H27" s="152">
        <v>45000</v>
      </c>
      <c r="I27" s="151" t="s">
        <v>74</v>
      </c>
      <c r="J27" s="151" t="s">
        <v>135</v>
      </c>
      <c r="K27" s="151" t="s">
        <v>76</v>
      </c>
      <c r="L27" s="153">
        <v>2</v>
      </c>
      <c r="M27" s="153">
        <v>5</v>
      </c>
      <c r="N27" s="171">
        <v>13610</v>
      </c>
      <c r="O27" s="155">
        <v>0.05</v>
      </c>
      <c r="P27" s="172">
        <f t="shared" si="0"/>
        <v>681</v>
      </c>
      <c r="Q27" s="155">
        <v>2.7E-2</v>
      </c>
      <c r="R27" s="172">
        <f t="shared" si="1"/>
        <v>367</v>
      </c>
      <c r="S27" s="155">
        <f t="shared" si="2"/>
        <v>7.700220426157238E-2</v>
      </c>
      <c r="T27" s="172">
        <f t="shared" si="3"/>
        <v>1048</v>
      </c>
      <c r="U27" s="172">
        <f t="shared" si="4"/>
        <v>14658</v>
      </c>
      <c r="V27" s="173">
        <v>15000</v>
      </c>
      <c r="W27" s="174">
        <f t="shared" si="13"/>
        <v>1390</v>
      </c>
      <c r="X27" s="159">
        <f t="shared" si="5"/>
        <v>0.1021</v>
      </c>
      <c r="Y27" s="160" t="str">
        <f t="shared" si="15"/>
        <v>6.16%-9.24%</v>
      </c>
      <c r="Z27" s="175"/>
      <c r="AA27" s="175"/>
      <c r="AB27" s="175"/>
      <c r="AC27" s="162"/>
      <c r="AD27" s="171">
        <f t="shared" si="7"/>
        <v>0</v>
      </c>
      <c r="AE27" s="176">
        <f t="shared" si="8"/>
        <v>15000</v>
      </c>
      <c r="AF27" s="164">
        <f t="shared" si="9"/>
        <v>1390</v>
      </c>
      <c r="AG27" s="165">
        <f t="shared" si="10"/>
        <v>0.10213078618662741</v>
      </c>
      <c r="AH27" s="166">
        <v>14</v>
      </c>
      <c r="AI27" s="166">
        <v>450</v>
      </c>
      <c r="AJ27" s="166"/>
      <c r="AK27" s="166">
        <v>688</v>
      </c>
      <c r="AL27" s="166">
        <f t="shared" si="11"/>
        <v>216088</v>
      </c>
      <c r="AM27" s="153">
        <v>3</v>
      </c>
      <c r="AN27" s="166"/>
      <c r="AO27" s="167"/>
      <c r="AP27" s="167" t="s">
        <v>136</v>
      </c>
      <c r="AQ27" s="151" t="s">
        <v>123</v>
      </c>
      <c r="AR27" s="151" t="s">
        <v>124</v>
      </c>
      <c r="AS27" s="151" t="s">
        <v>59</v>
      </c>
      <c r="AT27" s="166"/>
      <c r="AU27" s="167" t="s">
        <v>102</v>
      </c>
      <c r="AV27" s="167" t="s">
        <v>103</v>
      </c>
      <c r="AW27" s="169" t="str">
        <f t="shared" si="12"/>
        <v>OK</v>
      </c>
      <c r="AX27" s="21" t="s">
        <v>3131</v>
      </c>
      <c r="AY27" s="21" t="s">
        <v>3130</v>
      </c>
      <c r="AZ27" s="21"/>
      <c r="BA27" s="21"/>
    </row>
    <row r="28" spans="1:53" ht="20" customHeight="1">
      <c r="A28" s="86" t="s">
        <v>318</v>
      </c>
      <c r="B28" s="371" t="s">
        <v>2358</v>
      </c>
      <c r="C28" s="151" t="s">
        <v>51</v>
      </c>
      <c r="D28" s="151" t="s">
        <v>52</v>
      </c>
      <c r="E28" s="151" t="s">
        <v>62</v>
      </c>
      <c r="F28" s="151" t="s">
        <v>120</v>
      </c>
      <c r="G28" s="151" t="s">
        <v>121</v>
      </c>
      <c r="H28" s="152">
        <v>44391</v>
      </c>
      <c r="I28" s="151" t="s">
        <v>82</v>
      </c>
      <c r="J28" s="151" t="s">
        <v>137</v>
      </c>
      <c r="K28" s="151" t="s">
        <v>84</v>
      </c>
      <c r="L28" s="153">
        <v>2</v>
      </c>
      <c r="M28" s="153">
        <v>4</v>
      </c>
      <c r="N28" s="171">
        <v>10500</v>
      </c>
      <c r="O28" s="155">
        <v>3.7500000000000006E-2</v>
      </c>
      <c r="P28" s="172">
        <f t="shared" si="0"/>
        <v>394</v>
      </c>
      <c r="Q28" s="155">
        <v>0</v>
      </c>
      <c r="R28" s="172">
        <f t="shared" si="1"/>
        <v>0</v>
      </c>
      <c r="S28" s="155">
        <f t="shared" si="2"/>
        <v>3.7523809523809522E-2</v>
      </c>
      <c r="T28" s="172">
        <f t="shared" si="3"/>
        <v>394</v>
      </c>
      <c r="U28" s="172">
        <f t="shared" si="4"/>
        <v>10894</v>
      </c>
      <c r="V28" s="173">
        <v>10827</v>
      </c>
      <c r="W28" s="174">
        <f t="shared" si="13"/>
        <v>327</v>
      </c>
      <c r="X28" s="159">
        <f t="shared" si="5"/>
        <v>3.1099999999999999E-2</v>
      </c>
      <c r="Y28" s="160" t="str">
        <f t="shared" si="15"/>
        <v>3.00%-4.50%</v>
      </c>
      <c r="Z28" s="175" t="s">
        <v>87</v>
      </c>
      <c r="AA28" s="175" t="s">
        <v>138</v>
      </c>
      <c r="AB28" s="175" t="s">
        <v>139</v>
      </c>
      <c r="AC28" s="162">
        <v>0.11169999999999999</v>
      </c>
      <c r="AD28" s="171">
        <f t="shared" si="7"/>
        <v>1173</v>
      </c>
      <c r="AE28" s="176">
        <f t="shared" si="8"/>
        <v>12000</v>
      </c>
      <c r="AF28" s="164">
        <f t="shared" si="9"/>
        <v>1500</v>
      </c>
      <c r="AG28" s="165">
        <f t="shared" si="10"/>
        <v>0.14285714285714279</v>
      </c>
      <c r="AH28" s="166">
        <v>14</v>
      </c>
      <c r="AI28" s="166">
        <v>500</v>
      </c>
      <c r="AJ28" s="166"/>
      <c r="AK28" s="166">
        <v>688</v>
      </c>
      <c r="AL28" s="166">
        <f t="shared" si="11"/>
        <v>174688</v>
      </c>
      <c r="AM28" s="153">
        <v>3</v>
      </c>
      <c r="AN28" s="166"/>
      <c r="AO28" s="167"/>
      <c r="AP28" s="167" t="s">
        <v>90</v>
      </c>
      <c r="AQ28" s="151" t="s">
        <v>123</v>
      </c>
      <c r="AR28" s="151" t="s">
        <v>124</v>
      </c>
      <c r="AS28" s="151" t="s">
        <v>59</v>
      </c>
      <c r="AT28" s="166"/>
      <c r="AU28" s="167"/>
      <c r="AV28" s="167"/>
      <c r="AW28" s="170" t="str">
        <f t="shared" si="12"/>
        <v>OK</v>
      </c>
      <c r="AX28" s="21" t="s">
        <v>3131</v>
      </c>
      <c r="AY28" s="21" t="s">
        <v>3130</v>
      </c>
      <c r="AZ28" s="21"/>
      <c r="BA28" s="21"/>
    </row>
    <row r="29" spans="1:53" ht="20" customHeight="1">
      <c r="A29" s="86" t="s">
        <v>318</v>
      </c>
      <c r="B29" s="371" t="s">
        <v>2359</v>
      </c>
      <c r="C29" s="151" t="s">
        <v>51</v>
      </c>
      <c r="D29" s="151" t="s">
        <v>52</v>
      </c>
      <c r="E29" s="151" t="s">
        <v>62</v>
      </c>
      <c r="F29" s="151" t="s">
        <v>133</v>
      </c>
      <c r="G29" s="151" t="s">
        <v>121</v>
      </c>
      <c r="H29" s="152">
        <v>41738</v>
      </c>
      <c r="I29" s="151" t="s">
        <v>140</v>
      </c>
      <c r="J29" s="151" t="s">
        <v>141</v>
      </c>
      <c r="K29" s="151" t="s">
        <v>61</v>
      </c>
      <c r="L29" s="153">
        <v>2</v>
      </c>
      <c r="M29" s="153">
        <v>5</v>
      </c>
      <c r="N29" s="171">
        <v>16000</v>
      </c>
      <c r="O29" s="155">
        <v>0.06</v>
      </c>
      <c r="P29" s="172">
        <f t="shared" si="0"/>
        <v>960</v>
      </c>
      <c r="Q29" s="155">
        <v>7.7799999999999994E-2</v>
      </c>
      <c r="R29" s="172">
        <f t="shared" si="1"/>
        <v>1245</v>
      </c>
      <c r="S29" s="155">
        <f t="shared" si="2"/>
        <v>0.1378125</v>
      </c>
      <c r="T29" s="172">
        <f t="shared" si="3"/>
        <v>2205</v>
      </c>
      <c r="U29" s="172">
        <f t="shared" si="4"/>
        <v>18205</v>
      </c>
      <c r="V29" s="173">
        <v>18000</v>
      </c>
      <c r="W29" s="174">
        <f t="shared" si="13"/>
        <v>2000</v>
      </c>
      <c r="X29" s="159">
        <f t="shared" si="5"/>
        <v>0.125</v>
      </c>
      <c r="Y29" s="160" t="str">
        <f t="shared" si="15"/>
        <v>11.03%-16.54%</v>
      </c>
      <c r="Z29" s="175"/>
      <c r="AA29" s="175"/>
      <c r="AB29" s="175"/>
      <c r="AC29" s="162"/>
      <c r="AD29" s="171">
        <f t="shared" si="7"/>
        <v>0</v>
      </c>
      <c r="AE29" s="176">
        <f t="shared" si="8"/>
        <v>18000</v>
      </c>
      <c r="AF29" s="164">
        <f t="shared" si="9"/>
        <v>2000</v>
      </c>
      <c r="AG29" s="165">
        <f t="shared" si="10"/>
        <v>0.125</v>
      </c>
      <c r="AH29" s="166">
        <v>14</v>
      </c>
      <c r="AI29" s="166">
        <v>500</v>
      </c>
      <c r="AJ29" s="166"/>
      <c r="AK29" s="166">
        <v>688</v>
      </c>
      <c r="AL29" s="166">
        <f t="shared" si="11"/>
        <v>258688</v>
      </c>
      <c r="AM29" s="153">
        <v>4</v>
      </c>
      <c r="AN29" s="166"/>
      <c r="AO29" s="167"/>
      <c r="AP29" s="167"/>
      <c r="AQ29" s="151" t="s">
        <v>123</v>
      </c>
      <c r="AR29" s="151" t="s">
        <v>124</v>
      </c>
      <c r="AS29" s="151" t="s">
        <v>59</v>
      </c>
      <c r="AT29" s="166"/>
      <c r="AU29" s="167"/>
      <c r="AV29" s="167"/>
      <c r="AW29" s="169" t="str">
        <f t="shared" si="12"/>
        <v>OK</v>
      </c>
      <c r="AX29" s="21" t="s">
        <v>3135</v>
      </c>
      <c r="AY29" s="21">
        <v>0</v>
      </c>
      <c r="AZ29" s="21"/>
      <c r="BA29" s="21"/>
    </row>
    <row r="30" spans="1:53" ht="20" customHeight="1">
      <c r="A30" s="86" t="s">
        <v>318</v>
      </c>
      <c r="B30" s="371" t="s">
        <v>2360</v>
      </c>
      <c r="C30" s="151" t="s">
        <v>51</v>
      </c>
      <c r="D30" s="151" t="s">
        <v>52</v>
      </c>
      <c r="E30" s="151" t="s">
        <v>62</v>
      </c>
      <c r="F30" s="151" t="s">
        <v>133</v>
      </c>
      <c r="G30" s="151" t="s">
        <v>121</v>
      </c>
      <c r="H30" s="152">
        <v>39420</v>
      </c>
      <c r="I30" s="151" t="s">
        <v>60</v>
      </c>
      <c r="J30" s="151" t="s">
        <v>60</v>
      </c>
      <c r="K30" s="151" t="s">
        <v>61</v>
      </c>
      <c r="L30" s="153">
        <v>2</v>
      </c>
      <c r="M30" s="153">
        <v>3</v>
      </c>
      <c r="N30" s="171">
        <v>20306</v>
      </c>
      <c r="O30" s="155">
        <v>0</v>
      </c>
      <c r="P30" s="172">
        <f t="shared" si="0"/>
        <v>0</v>
      </c>
      <c r="Q30" s="155">
        <v>0</v>
      </c>
      <c r="R30" s="172">
        <f t="shared" si="1"/>
        <v>0</v>
      </c>
      <c r="S30" s="155">
        <f t="shared" si="2"/>
        <v>0</v>
      </c>
      <c r="T30" s="172">
        <f t="shared" si="3"/>
        <v>0</v>
      </c>
      <c r="U30" s="172">
        <f t="shared" si="4"/>
        <v>20306</v>
      </c>
      <c r="V30" s="173">
        <v>20500</v>
      </c>
      <c r="W30" s="174">
        <f t="shared" si="13"/>
        <v>194</v>
      </c>
      <c r="X30" s="159">
        <f t="shared" si="5"/>
        <v>9.5999999999999992E-3</v>
      </c>
      <c r="Y30" s="160" t="str">
        <f t="shared" si="15"/>
        <v>0.00%-0.00%</v>
      </c>
      <c r="Z30" s="175"/>
      <c r="AA30" s="175"/>
      <c r="AB30" s="175"/>
      <c r="AC30" s="162"/>
      <c r="AD30" s="171">
        <f t="shared" si="7"/>
        <v>0</v>
      </c>
      <c r="AE30" s="176">
        <f t="shared" si="8"/>
        <v>20500</v>
      </c>
      <c r="AF30" s="164">
        <f t="shared" si="9"/>
        <v>194</v>
      </c>
      <c r="AG30" s="165">
        <f t="shared" si="10"/>
        <v>9.5538264552348373E-3</v>
      </c>
      <c r="AH30" s="166">
        <v>14</v>
      </c>
      <c r="AI30" s="166">
        <v>600</v>
      </c>
      <c r="AJ30" s="166"/>
      <c r="AK30" s="166">
        <v>688</v>
      </c>
      <c r="AL30" s="166">
        <f t="shared" si="11"/>
        <v>294888</v>
      </c>
      <c r="AM30" s="153">
        <v>4</v>
      </c>
      <c r="AN30" s="166"/>
      <c r="AO30" s="167"/>
      <c r="AP30" s="167" t="s">
        <v>90</v>
      </c>
      <c r="AQ30" s="151" t="s">
        <v>123</v>
      </c>
      <c r="AR30" s="151" t="s">
        <v>124</v>
      </c>
      <c r="AS30" s="151" t="s">
        <v>59</v>
      </c>
      <c r="AT30" s="166"/>
      <c r="AU30" s="167" t="s">
        <v>102</v>
      </c>
      <c r="AV30" s="167" t="s">
        <v>103</v>
      </c>
      <c r="AW30" s="170" t="str">
        <f t="shared" si="12"/>
        <v>&gt;20</v>
      </c>
      <c r="AX30" s="21" t="s">
        <v>3129</v>
      </c>
      <c r="AY30" s="21" t="s">
        <v>3134</v>
      </c>
      <c r="AZ30" s="21"/>
      <c r="BA30" s="21"/>
    </row>
    <row r="31" spans="1:53" ht="20" customHeight="1">
      <c r="A31" s="86" t="s">
        <v>318</v>
      </c>
      <c r="B31" s="371" t="s">
        <v>2361</v>
      </c>
      <c r="C31" s="151" t="s">
        <v>51</v>
      </c>
      <c r="D31" s="151" t="s">
        <v>52</v>
      </c>
      <c r="E31" s="151" t="s">
        <v>62</v>
      </c>
      <c r="F31" s="151" t="s">
        <v>133</v>
      </c>
      <c r="G31" s="151" t="s">
        <v>121</v>
      </c>
      <c r="H31" s="152">
        <v>44391</v>
      </c>
      <c r="I31" s="151" t="s">
        <v>74</v>
      </c>
      <c r="J31" s="151" t="s">
        <v>142</v>
      </c>
      <c r="K31" s="151" t="s">
        <v>76</v>
      </c>
      <c r="L31" s="153">
        <v>2</v>
      </c>
      <c r="M31" s="153">
        <v>3</v>
      </c>
      <c r="N31" s="171">
        <v>13330</v>
      </c>
      <c r="O31" s="155">
        <v>2.5000000000000001E-2</v>
      </c>
      <c r="P31" s="172">
        <f t="shared" si="0"/>
        <v>333</v>
      </c>
      <c r="Q31" s="155">
        <v>0</v>
      </c>
      <c r="R31" s="172">
        <f t="shared" si="1"/>
        <v>0</v>
      </c>
      <c r="S31" s="155">
        <f t="shared" si="2"/>
        <v>2.4981245311327831E-2</v>
      </c>
      <c r="T31" s="172">
        <f t="shared" si="3"/>
        <v>333</v>
      </c>
      <c r="U31" s="172">
        <f t="shared" si="4"/>
        <v>13663</v>
      </c>
      <c r="V31" s="173">
        <v>13600</v>
      </c>
      <c r="W31" s="174">
        <f t="shared" si="13"/>
        <v>270</v>
      </c>
      <c r="X31" s="159">
        <f t="shared" si="5"/>
        <v>2.0299999999999999E-2</v>
      </c>
      <c r="Y31" s="160" t="str">
        <f t="shared" si="15"/>
        <v>2.00%-3.00%</v>
      </c>
      <c r="Z31" s="175"/>
      <c r="AA31" s="175"/>
      <c r="AB31" s="175"/>
      <c r="AC31" s="162"/>
      <c r="AD31" s="171">
        <f t="shared" si="7"/>
        <v>0</v>
      </c>
      <c r="AE31" s="176">
        <f t="shared" si="8"/>
        <v>13600</v>
      </c>
      <c r="AF31" s="164">
        <f t="shared" si="9"/>
        <v>270</v>
      </c>
      <c r="AG31" s="165">
        <f t="shared" si="10"/>
        <v>2.025506376594155E-2</v>
      </c>
      <c r="AH31" s="166">
        <v>14</v>
      </c>
      <c r="AI31" s="166">
        <v>450</v>
      </c>
      <c r="AJ31" s="166"/>
      <c r="AK31" s="166">
        <v>688</v>
      </c>
      <c r="AL31" s="166">
        <f t="shared" si="11"/>
        <v>196488</v>
      </c>
      <c r="AM31" s="153">
        <v>3</v>
      </c>
      <c r="AN31" s="166"/>
      <c r="AO31" s="167"/>
      <c r="AP31" s="167"/>
      <c r="AQ31" s="151" t="s">
        <v>123</v>
      </c>
      <c r="AR31" s="151" t="s">
        <v>124</v>
      </c>
      <c r="AS31" s="151" t="s">
        <v>59</v>
      </c>
      <c r="AT31" s="166"/>
      <c r="AU31" s="167"/>
      <c r="AV31" s="167"/>
      <c r="AW31" s="169" t="str">
        <f t="shared" si="12"/>
        <v>OK</v>
      </c>
      <c r="AX31" s="21" t="s">
        <v>3131</v>
      </c>
      <c r="AY31" s="21" t="s">
        <v>3130</v>
      </c>
      <c r="AZ31" s="21"/>
      <c r="BA31" s="21"/>
    </row>
    <row r="32" spans="1:53" ht="20" customHeight="1">
      <c r="A32" s="86" t="s">
        <v>318</v>
      </c>
      <c r="B32" s="371" t="s">
        <v>2362</v>
      </c>
      <c r="C32" s="151" t="s">
        <v>51</v>
      </c>
      <c r="D32" s="151" t="s">
        <v>52</v>
      </c>
      <c r="E32" s="151" t="s">
        <v>62</v>
      </c>
      <c r="F32" s="151" t="s">
        <v>130</v>
      </c>
      <c r="G32" s="151" t="s">
        <v>143</v>
      </c>
      <c r="H32" s="152">
        <v>44503</v>
      </c>
      <c r="I32" s="151" t="s">
        <v>82</v>
      </c>
      <c r="J32" s="151" t="s">
        <v>144</v>
      </c>
      <c r="K32" s="151" t="s">
        <v>84</v>
      </c>
      <c r="L32" s="153">
        <v>2</v>
      </c>
      <c r="M32" s="153">
        <v>3</v>
      </c>
      <c r="N32" s="171">
        <v>9450</v>
      </c>
      <c r="O32" s="155">
        <v>2.5000000000000001E-2</v>
      </c>
      <c r="P32" s="172">
        <f t="shared" si="0"/>
        <v>236</v>
      </c>
      <c r="Q32" s="155">
        <v>0</v>
      </c>
      <c r="R32" s="172">
        <f t="shared" si="1"/>
        <v>0</v>
      </c>
      <c r="S32" s="155">
        <f t="shared" si="2"/>
        <v>2.4973544973544974E-2</v>
      </c>
      <c r="T32" s="172">
        <f t="shared" si="3"/>
        <v>236</v>
      </c>
      <c r="U32" s="172">
        <f t="shared" si="4"/>
        <v>9686</v>
      </c>
      <c r="V32" s="173">
        <v>9700</v>
      </c>
      <c r="W32" s="174">
        <f t="shared" si="13"/>
        <v>250</v>
      </c>
      <c r="X32" s="159">
        <f t="shared" si="5"/>
        <v>2.6499999999999999E-2</v>
      </c>
      <c r="Y32" s="160" t="str">
        <f t="shared" si="15"/>
        <v>2.00%-3.00%</v>
      </c>
      <c r="Z32" s="175"/>
      <c r="AA32" s="175"/>
      <c r="AB32" s="175"/>
      <c r="AC32" s="162"/>
      <c r="AD32" s="171">
        <f t="shared" si="7"/>
        <v>0</v>
      </c>
      <c r="AE32" s="176">
        <f t="shared" si="8"/>
        <v>9700</v>
      </c>
      <c r="AF32" s="164">
        <f t="shared" si="9"/>
        <v>250</v>
      </c>
      <c r="AG32" s="165">
        <f t="shared" si="10"/>
        <v>2.6455026455026509E-2</v>
      </c>
      <c r="AH32" s="166">
        <v>14</v>
      </c>
      <c r="AI32" s="166">
        <v>450</v>
      </c>
      <c r="AJ32" s="166"/>
      <c r="AK32" s="166">
        <v>688</v>
      </c>
      <c r="AL32" s="166">
        <f t="shared" si="11"/>
        <v>141888</v>
      </c>
      <c r="AM32" s="153">
        <v>2</v>
      </c>
      <c r="AN32" s="166"/>
      <c r="AO32" s="167"/>
      <c r="AP32" s="167"/>
      <c r="AQ32" s="151" t="s">
        <v>123</v>
      </c>
      <c r="AR32" s="151" t="s">
        <v>124</v>
      </c>
      <c r="AS32" s="151" t="s">
        <v>59</v>
      </c>
      <c r="AT32" s="166"/>
      <c r="AU32" s="167"/>
      <c r="AV32" s="167"/>
      <c r="AW32" s="170" t="str">
        <f t="shared" si="12"/>
        <v>OK</v>
      </c>
      <c r="AX32" s="21" t="s">
        <v>3131</v>
      </c>
      <c r="AY32" s="21" t="s">
        <v>3130</v>
      </c>
      <c r="AZ32" s="21"/>
      <c r="BA32" s="21"/>
    </row>
    <row r="33" spans="1:53" ht="20" customHeight="1">
      <c r="A33" s="86" t="s">
        <v>318</v>
      </c>
      <c r="B33" s="371" t="s">
        <v>2363</v>
      </c>
      <c r="C33" s="151" t="s">
        <v>51</v>
      </c>
      <c r="D33" s="151" t="s">
        <v>52</v>
      </c>
      <c r="E33" s="151" t="s">
        <v>62</v>
      </c>
      <c r="F33" s="151" t="s">
        <v>145</v>
      </c>
      <c r="G33" s="151" t="s">
        <v>146</v>
      </c>
      <c r="H33" s="152">
        <v>38869</v>
      </c>
      <c r="I33" s="151" t="s">
        <v>147</v>
      </c>
      <c r="J33" s="151" t="s">
        <v>148</v>
      </c>
      <c r="K33" s="151" t="s">
        <v>84</v>
      </c>
      <c r="L33" s="153">
        <v>2</v>
      </c>
      <c r="M33" s="153">
        <v>3</v>
      </c>
      <c r="N33" s="171">
        <v>7900</v>
      </c>
      <c r="O33" s="155">
        <v>0</v>
      </c>
      <c r="P33" s="172">
        <f t="shared" si="0"/>
        <v>0</v>
      </c>
      <c r="Q33" s="155">
        <v>0</v>
      </c>
      <c r="R33" s="172">
        <f t="shared" si="1"/>
        <v>0</v>
      </c>
      <c r="S33" s="155">
        <f t="shared" si="2"/>
        <v>0</v>
      </c>
      <c r="T33" s="172">
        <f t="shared" si="3"/>
        <v>0</v>
      </c>
      <c r="U33" s="172">
        <f t="shared" si="4"/>
        <v>7900</v>
      </c>
      <c r="V33" s="173">
        <v>8000</v>
      </c>
      <c r="W33" s="174">
        <f t="shared" si="13"/>
        <v>100</v>
      </c>
      <c r="X33" s="159">
        <f t="shared" si="5"/>
        <v>1.2699999999999999E-2</v>
      </c>
      <c r="Y33" s="160" t="str">
        <f t="shared" si="15"/>
        <v>0.00%-0.00%</v>
      </c>
      <c r="Z33" s="175"/>
      <c r="AA33" s="175"/>
      <c r="AB33" s="175"/>
      <c r="AC33" s="162"/>
      <c r="AD33" s="171">
        <f t="shared" si="7"/>
        <v>0</v>
      </c>
      <c r="AE33" s="176">
        <f t="shared" si="8"/>
        <v>8000</v>
      </c>
      <c r="AF33" s="164">
        <f t="shared" si="9"/>
        <v>100</v>
      </c>
      <c r="AG33" s="165">
        <f t="shared" si="10"/>
        <v>1.2658227848101333E-2</v>
      </c>
      <c r="AH33" s="166">
        <v>14</v>
      </c>
      <c r="AI33" s="166">
        <v>650</v>
      </c>
      <c r="AJ33" s="166"/>
      <c r="AK33" s="166">
        <v>688</v>
      </c>
      <c r="AL33" s="166">
        <f t="shared" si="11"/>
        <v>120488</v>
      </c>
      <c r="AM33" s="153">
        <v>3</v>
      </c>
      <c r="AN33" s="166"/>
      <c r="AO33" s="167"/>
      <c r="AP33" s="167" t="s">
        <v>128</v>
      </c>
      <c r="AQ33" s="151" t="s">
        <v>123</v>
      </c>
      <c r="AR33" s="151" t="s">
        <v>124</v>
      </c>
      <c r="AS33" s="151" t="s">
        <v>59</v>
      </c>
      <c r="AT33" s="166"/>
      <c r="AU33" s="167" t="s">
        <v>102</v>
      </c>
      <c r="AV33" s="167" t="s">
        <v>103</v>
      </c>
      <c r="AW33" s="169" t="str">
        <f t="shared" si="12"/>
        <v>&gt;20</v>
      </c>
      <c r="AX33" s="21" t="s">
        <v>3129</v>
      </c>
      <c r="AY33" s="21" t="s">
        <v>3134</v>
      </c>
      <c r="AZ33" s="21"/>
      <c r="BA33" s="21"/>
    </row>
    <row r="34" spans="1:53" ht="20" customHeight="1">
      <c r="A34" s="86" t="s">
        <v>318</v>
      </c>
      <c r="B34" s="371" t="s">
        <v>2364</v>
      </c>
      <c r="C34" s="151" t="s">
        <v>51</v>
      </c>
      <c r="D34" s="151" t="s">
        <v>52</v>
      </c>
      <c r="E34" s="151" t="s">
        <v>62</v>
      </c>
      <c r="F34" s="151" t="s">
        <v>120</v>
      </c>
      <c r="G34" s="151" t="s">
        <v>121</v>
      </c>
      <c r="H34" s="152">
        <v>43908</v>
      </c>
      <c r="I34" s="151" t="s">
        <v>82</v>
      </c>
      <c r="J34" s="151" t="s">
        <v>122</v>
      </c>
      <c r="K34" s="151" t="s">
        <v>84</v>
      </c>
      <c r="L34" s="153">
        <v>2</v>
      </c>
      <c r="M34" s="153">
        <v>3</v>
      </c>
      <c r="N34" s="171">
        <v>10100</v>
      </c>
      <c r="O34" s="155">
        <v>2.5000000000000001E-2</v>
      </c>
      <c r="P34" s="172">
        <f t="shared" si="0"/>
        <v>253</v>
      </c>
      <c r="Q34" s="155">
        <v>0</v>
      </c>
      <c r="R34" s="172">
        <f t="shared" si="1"/>
        <v>0</v>
      </c>
      <c r="S34" s="155">
        <f t="shared" si="2"/>
        <v>2.5049504950495051E-2</v>
      </c>
      <c r="T34" s="172">
        <f t="shared" si="3"/>
        <v>253</v>
      </c>
      <c r="U34" s="172">
        <f t="shared" si="4"/>
        <v>10353</v>
      </c>
      <c r="V34" s="173">
        <v>10300</v>
      </c>
      <c r="W34" s="174">
        <f t="shared" si="13"/>
        <v>200</v>
      </c>
      <c r="X34" s="159">
        <f t="shared" si="5"/>
        <v>1.9800000000000002E-2</v>
      </c>
      <c r="Y34" s="160" t="str">
        <f t="shared" si="15"/>
        <v>2.00%-3.01%</v>
      </c>
      <c r="Z34" s="175"/>
      <c r="AA34" s="175"/>
      <c r="AB34" s="175"/>
      <c r="AC34" s="162"/>
      <c r="AD34" s="171">
        <f t="shared" si="7"/>
        <v>0</v>
      </c>
      <c r="AE34" s="176">
        <f t="shared" si="8"/>
        <v>10300</v>
      </c>
      <c r="AF34" s="164">
        <f t="shared" si="9"/>
        <v>200</v>
      </c>
      <c r="AG34" s="165">
        <f t="shared" si="10"/>
        <v>1.980198019801982E-2</v>
      </c>
      <c r="AH34" s="166">
        <v>14</v>
      </c>
      <c r="AI34" s="166">
        <v>450</v>
      </c>
      <c r="AJ34" s="166"/>
      <c r="AK34" s="166">
        <v>688</v>
      </c>
      <c r="AL34" s="166">
        <f t="shared" si="11"/>
        <v>150288</v>
      </c>
      <c r="AM34" s="153">
        <v>3</v>
      </c>
      <c r="AN34" s="166"/>
      <c r="AO34" s="167"/>
      <c r="AP34" s="167" t="s">
        <v>136</v>
      </c>
      <c r="AQ34" s="151" t="s">
        <v>123</v>
      </c>
      <c r="AR34" s="151" t="s">
        <v>124</v>
      </c>
      <c r="AS34" s="151" t="s">
        <v>59</v>
      </c>
      <c r="AT34" s="166"/>
      <c r="AU34" s="167" t="s">
        <v>102</v>
      </c>
      <c r="AV34" s="167" t="s">
        <v>129</v>
      </c>
      <c r="AW34" s="170" t="str">
        <f t="shared" ref="AW34:AW58" si="16">_xlfn.LET(_xlpm.actual,X34,_xlpm.low,VALUE(_xlfn.TEXTBEFORE(Y34,"-")),_xlpm.high,VALUE(_xlfn.TEXTAFTER(Y34,"-")),IF(AND(_xlpm.actual=0,OR(_xlpm.low&lt;&gt;0,_xlpm.high&lt;&gt;0)),"0 increase",IF(_xlpm.actual&gt;_xlpm.high*1.2,"&gt;20",IF(_xlpm.actual&lt;_xlpm.low*0.8,"&lt;20","OK"))))</f>
        <v>OK</v>
      </c>
      <c r="AX34" s="21" t="s">
        <v>3133</v>
      </c>
      <c r="AY34" s="21" t="s">
        <v>3130</v>
      </c>
      <c r="AZ34" s="21"/>
      <c r="BA34" s="21"/>
    </row>
    <row r="35" spans="1:53" ht="20" customHeight="1">
      <c r="A35" s="86" t="s">
        <v>318</v>
      </c>
      <c r="B35" s="371" t="s">
        <v>2365</v>
      </c>
      <c r="C35" s="151" t="s">
        <v>51</v>
      </c>
      <c r="D35" s="151" t="s">
        <v>52</v>
      </c>
      <c r="E35" s="151" t="s">
        <v>62</v>
      </c>
      <c r="F35" s="151" t="s">
        <v>130</v>
      </c>
      <c r="G35" s="151" t="s">
        <v>143</v>
      </c>
      <c r="H35" s="152">
        <v>38881</v>
      </c>
      <c r="I35" s="151" t="s">
        <v>82</v>
      </c>
      <c r="J35" s="151" t="s">
        <v>82</v>
      </c>
      <c r="K35" s="151" t="s">
        <v>84</v>
      </c>
      <c r="L35" s="153">
        <v>2</v>
      </c>
      <c r="M35" s="153">
        <v>4</v>
      </c>
      <c r="N35" s="171">
        <v>9800</v>
      </c>
      <c r="O35" s="155">
        <v>3.7500000000000006E-2</v>
      </c>
      <c r="P35" s="172">
        <f t="shared" si="0"/>
        <v>368</v>
      </c>
      <c r="Q35" s="155">
        <v>1.55E-2</v>
      </c>
      <c r="R35" s="172">
        <f t="shared" si="1"/>
        <v>152</v>
      </c>
      <c r="S35" s="155">
        <f t="shared" si="2"/>
        <v>5.3061224489795916E-2</v>
      </c>
      <c r="T35" s="172">
        <f t="shared" si="3"/>
        <v>520</v>
      </c>
      <c r="U35" s="172">
        <f t="shared" si="4"/>
        <v>10320</v>
      </c>
      <c r="V35" s="173">
        <v>10300</v>
      </c>
      <c r="W35" s="174">
        <f t="shared" si="13"/>
        <v>500</v>
      </c>
      <c r="X35" s="159">
        <f t="shared" si="5"/>
        <v>5.0999999999999997E-2</v>
      </c>
      <c r="Y35" s="160" t="str">
        <f t="shared" si="15"/>
        <v>4.24%-6.37%</v>
      </c>
      <c r="Z35" s="175"/>
      <c r="AA35" s="175"/>
      <c r="AB35" s="175"/>
      <c r="AC35" s="162"/>
      <c r="AD35" s="171">
        <f t="shared" si="7"/>
        <v>0</v>
      </c>
      <c r="AE35" s="176">
        <f t="shared" si="8"/>
        <v>10300</v>
      </c>
      <c r="AF35" s="164">
        <f t="shared" si="9"/>
        <v>500</v>
      </c>
      <c r="AG35" s="165">
        <f t="shared" si="10"/>
        <v>5.1020408163265252E-2</v>
      </c>
      <c r="AH35" s="166">
        <v>14</v>
      </c>
      <c r="AI35" s="166">
        <v>550</v>
      </c>
      <c r="AJ35" s="166"/>
      <c r="AK35" s="166">
        <v>688</v>
      </c>
      <c r="AL35" s="166">
        <f t="shared" si="11"/>
        <v>151488</v>
      </c>
      <c r="AM35" s="153">
        <v>3</v>
      </c>
      <c r="AN35" s="166"/>
      <c r="AO35" s="167"/>
      <c r="AP35" s="167"/>
      <c r="AQ35" s="151" t="s">
        <v>123</v>
      </c>
      <c r="AR35" s="151" t="s">
        <v>124</v>
      </c>
      <c r="AS35" s="151" t="s">
        <v>59</v>
      </c>
      <c r="AT35" s="166"/>
      <c r="AU35" s="167"/>
      <c r="AV35" s="167"/>
      <c r="AW35" s="169" t="str">
        <f t="shared" si="16"/>
        <v>OK</v>
      </c>
      <c r="AX35" s="21" t="s">
        <v>3129</v>
      </c>
      <c r="AY35" s="21" t="s">
        <v>3130</v>
      </c>
      <c r="AZ35" s="21"/>
      <c r="BA35" s="21"/>
    </row>
    <row r="36" spans="1:53" ht="20" customHeight="1">
      <c r="A36" s="86" t="s">
        <v>318</v>
      </c>
      <c r="B36" s="371" t="s">
        <v>2366</v>
      </c>
      <c r="C36" s="151" t="s">
        <v>51</v>
      </c>
      <c r="D36" s="151" t="s">
        <v>52</v>
      </c>
      <c r="E36" s="151" t="s">
        <v>62</v>
      </c>
      <c r="F36" s="151" t="s">
        <v>145</v>
      </c>
      <c r="G36" s="151" t="s">
        <v>146</v>
      </c>
      <c r="H36" s="152">
        <v>42683</v>
      </c>
      <c r="I36" s="151" t="s">
        <v>140</v>
      </c>
      <c r="J36" s="151" t="s">
        <v>141</v>
      </c>
      <c r="K36" s="151" t="s">
        <v>61</v>
      </c>
      <c r="L36" s="153">
        <v>2</v>
      </c>
      <c r="M36" s="153">
        <v>4</v>
      </c>
      <c r="N36" s="171">
        <v>12360</v>
      </c>
      <c r="O36" s="155">
        <v>4.4999999999999998E-2</v>
      </c>
      <c r="P36" s="172">
        <f t="shared" si="0"/>
        <v>556</v>
      </c>
      <c r="Q36" s="155">
        <v>4.2099999999999999E-2</v>
      </c>
      <c r="R36" s="172">
        <f t="shared" si="1"/>
        <v>520</v>
      </c>
      <c r="S36" s="155">
        <f t="shared" si="2"/>
        <v>8.705501618122978E-2</v>
      </c>
      <c r="T36" s="172">
        <f t="shared" si="3"/>
        <v>1076</v>
      </c>
      <c r="U36" s="172">
        <f t="shared" si="4"/>
        <v>13436</v>
      </c>
      <c r="V36" s="173">
        <v>13300</v>
      </c>
      <c r="W36" s="174">
        <f t="shared" si="13"/>
        <v>940</v>
      </c>
      <c r="X36" s="159">
        <f t="shared" si="5"/>
        <v>7.6100000000000001E-2</v>
      </c>
      <c r="Y36" s="160" t="str">
        <f t="shared" si="15"/>
        <v>6.96%-10.45%</v>
      </c>
      <c r="Z36" s="175"/>
      <c r="AA36" s="175"/>
      <c r="AB36" s="175"/>
      <c r="AC36" s="162"/>
      <c r="AD36" s="171">
        <f t="shared" si="7"/>
        <v>0</v>
      </c>
      <c r="AE36" s="176">
        <f t="shared" si="8"/>
        <v>13300</v>
      </c>
      <c r="AF36" s="164">
        <f t="shared" si="9"/>
        <v>940</v>
      </c>
      <c r="AG36" s="165">
        <f t="shared" si="10"/>
        <v>7.6051779935275121E-2</v>
      </c>
      <c r="AH36" s="166">
        <v>14</v>
      </c>
      <c r="AI36" s="166">
        <v>450</v>
      </c>
      <c r="AJ36" s="166"/>
      <c r="AK36" s="166">
        <v>688</v>
      </c>
      <c r="AL36" s="166">
        <f t="shared" si="11"/>
        <v>192288</v>
      </c>
      <c r="AM36" s="153">
        <v>3</v>
      </c>
      <c r="AN36" s="166"/>
      <c r="AO36" s="167"/>
      <c r="AP36" s="167"/>
      <c r="AQ36" s="151" t="s">
        <v>123</v>
      </c>
      <c r="AR36" s="151" t="s">
        <v>124</v>
      </c>
      <c r="AS36" s="151" t="s">
        <v>59</v>
      </c>
      <c r="AT36" s="166"/>
      <c r="AU36" s="167"/>
      <c r="AV36" s="167"/>
      <c r="AW36" s="170" t="str">
        <f t="shared" si="16"/>
        <v>OK</v>
      </c>
      <c r="AX36" s="21" t="s">
        <v>3133</v>
      </c>
      <c r="AY36" s="21" t="s">
        <v>3132</v>
      </c>
      <c r="AZ36" s="21"/>
      <c r="BA36" s="21"/>
    </row>
    <row r="37" spans="1:53" ht="20" customHeight="1">
      <c r="A37" s="86" t="s">
        <v>318</v>
      </c>
      <c r="B37" s="371" t="s">
        <v>2367</v>
      </c>
      <c r="C37" s="151" t="s">
        <v>51</v>
      </c>
      <c r="D37" s="151" t="s">
        <v>52</v>
      </c>
      <c r="E37" s="151" t="s">
        <v>62</v>
      </c>
      <c r="F37" s="151" t="s">
        <v>120</v>
      </c>
      <c r="G37" s="151" t="s">
        <v>121</v>
      </c>
      <c r="H37" s="152">
        <v>39392</v>
      </c>
      <c r="I37" s="151" t="s">
        <v>74</v>
      </c>
      <c r="J37" s="151" t="s">
        <v>75</v>
      </c>
      <c r="K37" s="151" t="s">
        <v>76</v>
      </c>
      <c r="L37" s="153">
        <v>2</v>
      </c>
      <c r="M37" s="153">
        <v>3</v>
      </c>
      <c r="N37" s="171">
        <v>12500</v>
      </c>
      <c r="O37" s="155">
        <v>2.5000000000000001E-2</v>
      </c>
      <c r="P37" s="172">
        <f t="shared" si="0"/>
        <v>313</v>
      </c>
      <c r="Q37" s="155">
        <v>0</v>
      </c>
      <c r="R37" s="172">
        <f t="shared" si="1"/>
        <v>0</v>
      </c>
      <c r="S37" s="155">
        <f t="shared" si="2"/>
        <v>2.504E-2</v>
      </c>
      <c r="T37" s="172">
        <f t="shared" si="3"/>
        <v>313</v>
      </c>
      <c r="U37" s="172">
        <f t="shared" si="4"/>
        <v>12813</v>
      </c>
      <c r="V37" s="173">
        <v>12600</v>
      </c>
      <c r="W37" s="174">
        <f t="shared" si="13"/>
        <v>100</v>
      </c>
      <c r="X37" s="159">
        <f t="shared" si="5"/>
        <v>8.0000000000000002E-3</v>
      </c>
      <c r="Y37" s="160" t="str">
        <f t="shared" si="15"/>
        <v>2.00%-3.00%</v>
      </c>
      <c r="Z37" s="175"/>
      <c r="AA37" s="175"/>
      <c r="AB37" s="175"/>
      <c r="AC37" s="162"/>
      <c r="AD37" s="171">
        <f t="shared" si="7"/>
        <v>0</v>
      </c>
      <c r="AE37" s="176">
        <f t="shared" si="8"/>
        <v>12600</v>
      </c>
      <c r="AF37" s="164">
        <f t="shared" si="9"/>
        <v>100</v>
      </c>
      <c r="AG37" s="165">
        <f t="shared" si="10"/>
        <v>8.0000000000000071E-3</v>
      </c>
      <c r="AH37" s="166">
        <v>14</v>
      </c>
      <c r="AI37" s="166">
        <v>450</v>
      </c>
      <c r="AJ37" s="166"/>
      <c r="AK37" s="166">
        <v>688</v>
      </c>
      <c r="AL37" s="166">
        <f t="shared" si="11"/>
        <v>182488</v>
      </c>
      <c r="AM37" s="153">
        <v>3</v>
      </c>
      <c r="AN37" s="166"/>
      <c r="AO37" s="167"/>
      <c r="AP37" s="167" t="s">
        <v>149</v>
      </c>
      <c r="AQ37" s="151" t="s">
        <v>123</v>
      </c>
      <c r="AR37" s="151" t="s">
        <v>124</v>
      </c>
      <c r="AS37" s="151" t="s">
        <v>59</v>
      </c>
      <c r="AT37" s="166"/>
      <c r="AU37" s="167" t="s">
        <v>102</v>
      </c>
      <c r="AV37" s="167" t="s">
        <v>129</v>
      </c>
      <c r="AW37" s="169" t="str">
        <f t="shared" si="16"/>
        <v>&lt;20</v>
      </c>
      <c r="AX37" s="21" t="s">
        <v>3129</v>
      </c>
      <c r="AY37" s="21" t="s">
        <v>3130</v>
      </c>
      <c r="AZ37" s="21"/>
      <c r="BA37" s="21"/>
    </row>
    <row r="38" spans="1:53" ht="20" customHeight="1">
      <c r="A38" s="86" t="s">
        <v>318</v>
      </c>
      <c r="B38" s="371" t="s">
        <v>2368</v>
      </c>
      <c r="C38" s="151" t="s">
        <v>51</v>
      </c>
      <c r="D38" s="151" t="s">
        <v>52</v>
      </c>
      <c r="E38" s="151" t="s">
        <v>62</v>
      </c>
      <c r="F38" s="151" t="s">
        <v>120</v>
      </c>
      <c r="G38" s="151" t="s">
        <v>121</v>
      </c>
      <c r="H38" s="152">
        <v>42830</v>
      </c>
      <c r="I38" s="151" t="s">
        <v>71</v>
      </c>
      <c r="J38" s="151" t="s">
        <v>150</v>
      </c>
      <c r="K38" s="151" t="s">
        <v>61</v>
      </c>
      <c r="L38" s="153">
        <v>2</v>
      </c>
      <c r="M38" s="153">
        <v>5</v>
      </c>
      <c r="N38" s="171">
        <v>18000</v>
      </c>
      <c r="O38" s="155">
        <v>0.05</v>
      </c>
      <c r="P38" s="172">
        <f t="shared" si="0"/>
        <v>900</v>
      </c>
      <c r="Q38" s="155">
        <v>2.7E-2</v>
      </c>
      <c r="R38" s="172">
        <f t="shared" si="1"/>
        <v>486</v>
      </c>
      <c r="S38" s="155">
        <f t="shared" si="2"/>
        <v>7.6999999999999999E-2</v>
      </c>
      <c r="T38" s="172">
        <f t="shared" si="3"/>
        <v>1386</v>
      </c>
      <c r="U38" s="172">
        <f t="shared" si="4"/>
        <v>19386</v>
      </c>
      <c r="V38" s="173">
        <v>19700</v>
      </c>
      <c r="W38" s="174">
        <f t="shared" si="13"/>
        <v>1700</v>
      </c>
      <c r="X38" s="159">
        <f t="shared" si="5"/>
        <v>9.4399999999999998E-2</v>
      </c>
      <c r="Y38" s="160" t="str">
        <f t="shared" si="15"/>
        <v>6.16%-9.24%</v>
      </c>
      <c r="Z38" s="175"/>
      <c r="AA38" s="175"/>
      <c r="AB38" s="175"/>
      <c r="AC38" s="162"/>
      <c r="AD38" s="171">
        <f t="shared" si="7"/>
        <v>0</v>
      </c>
      <c r="AE38" s="176">
        <f t="shared" si="8"/>
        <v>19700</v>
      </c>
      <c r="AF38" s="164">
        <f t="shared" si="9"/>
        <v>1700</v>
      </c>
      <c r="AG38" s="165">
        <f t="shared" si="10"/>
        <v>9.4444444444444553E-2</v>
      </c>
      <c r="AH38" s="166">
        <v>14</v>
      </c>
      <c r="AI38" s="166">
        <v>450</v>
      </c>
      <c r="AJ38" s="166"/>
      <c r="AK38" s="166">
        <v>688</v>
      </c>
      <c r="AL38" s="166">
        <f t="shared" si="11"/>
        <v>281888</v>
      </c>
      <c r="AM38" s="153">
        <v>5</v>
      </c>
      <c r="AN38" s="166"/>
      <c r="AO38" s="167"/>
      <c r="AP38" s="167" t="s">
        <v>151</v>
      </c>
      <c r="AQ38" s="151" t="s">
        <v>123</v>
      </c>
      <c r="AR38" s="151" t="s">
        <v>124</v>
      </c>
      <c r="AS38" s="151" t="s">
        <v>59</v>
      </c>
      <c r="AT38" s="166"/>
      <c r="AU38" s="167" t="s">
        <v>102</v>
      </c>
      <c r="AV38" s="167" t="s">
        <v>103</v>
      </c>
      <c r="AW38" s="170" t="str">
        <f t="shared" si="16"/>
        <v>OK</v>
      </c>
      <c r="AX38" s="21" t="s">
        <v>3133</v>
      </c>
      <c r="AY38" s="21" t="s">
        <v>3130</v>
      </c>
      <c r="AZ38" s="21"/>
      <c r="BA38" s="21"/>
    </row>
    <row r="39" spans="1:53" ht="20" customHeight="1">
      <c r="A39" s="86" t="s">
        <v>318</v>
      </c>
      <c r="B39" s="371" t="s">
        <v>2369</v>
      </c>
      <c r="C39" s="151" t="s">
        <v>51</v>
      </c>
      <c r="D39" s="151" t="s">
        <v>52</v>
      </c>
      <c r="E39" s="151" t="s">
        <v>62</v>
      </c>
      <c r="F39" s="151" t="s">
        <v>152</v>
      </c>
      <c r="G39" s="151" t="s">
        <v>153</v>
      </c>
      <c r="H39" s="152">
        <v>38852</v>
      </c>
      <c r="I39" s="151" t="s">
        <v>74</v>
      </c>
      <c r="J39" s="151" t="s">
        <v>135</v>
      </c>
      <c r="K39" s="151" t="s">
        <v>76</v>
      </c>
      <c r="L39" s="153">
        <v>2</v>
      </c>
      <c r="M39" s="153">
        <v>4</v>
      </c>
      <c r="N39" s="171">
        <v>10000</v>
      </c>
      <c r="O39" s="155">
        <v>4.4999999999999998E-2</v>
      </c>
      <c r="P39" s="172">
        <f t="shared" si="0"/>
        <v>450</v>
      </c>
      <c r="Q39" s="155">
        <v>4.2099999999999999E-2</v>
      </c>
      <c r="R39" s="172">
        <f t="shared" si="1"/>
        <v>421</v>
      </c>
      <c r="S39" s="155">
        <f t="shared" si="2"/>
        <v>8.7099999999999997E-2</v>
      </c>
      <c r="T39" s="172">
        <f t="shared" si="3"/>
        <v>871</v>
      </c>
      <c r="U39" s="172">
        <f t="shared" si="4"/>
        <v>10871</v>
      </c>
      <c r="V39" s="173">
        <v>10700</v>
      </c>
      <c r="W39" s="174">
        <f t="shared" si="13"/>
        <v>700</v>
      </c>
      <c r="X39" s="159">
        <f t="shared" si="5"/>
        <v>7.0000000000000007E-2</v>
      </c>
      <c r="Y39" s="160" t="str">
        <f t="shared" si="15"/>
        <v>6.97%-10.45%</v>
      </c>
      <c r="Z39" s="175"/>
      <c r="AA39" s="175"/>
      <c r="AB39" s="175"/>
      <c r="AC39" s="162"/>
      <c r="AD39" s="171">
        <f t="shared" si="7"/>
        <v>0</v>
      </c>
      <c r="AE39" s="176">
        <f t="shared" si="8"/>
        <v>10700</v>
      </c>
      <c r="AF39" s="164">
        <f t="shared" si="9"/>
        <v>700</v>
      </c>
      <c r="AG39" s="165">
        <f t="shared" si="10"/>
        <v>7.0000000000000062E-2</v>
      </c>
      <c r="AH39" s="166">
        <v>14</v>
      </c>
      <c r="AI39" s="166">
        <v>450</v>
      </c>
      <c r="AJ39" s="166"/>
      <c r="AK39" s="166">
        <v>688</v>
      </c>
      <c r="AL39" s="166">
        <f t="shared" si="11"/>
        <v>155888</v>
      </c>
      <c r="AM39" s="153">
        <v>3</v>
      </c>
      <c r="AN39" s="166"/>
      <c r="AO39" s="167"/>
      <c r="AP39" s="167"/>
      <c r="AQ39" s="151" t="s">
        <v>123</v>
      </c>
      <c r="AR39" s="151" t="s">
        <v>124</v>
      </c>
      <c r="AS39" s="151" t="s">
        <v>59</v>
      </c>
      <c r="AT39" s="166"/>
      <c r="AU39" s="167"/>
      <c r="AV39" s="167"/>
      <c r="AW39" s="169" t="str">
        <f t="shared" si="16"/>
        <v>OK</v>
      </c>
      <c r="AX39" s="21" t="s">
        <v>3129</v>
      </c>
      <c r="AY39" s="21" t="s">
        <v>3132</v>
      </c>
      <c r="AZ39" s="21"/>
      <c r="BA39" s="21"/>
    </row>
    <row r="40" spans="1:53" ht="20" customHeight="1">
      <c r="A40" s="86" t="s">
        <v>318</v>
      </c>
      <c r="B40" s="371" t="s">
        <v>2370</v>
      </c>
      <c r="C40" s="151" t="s">
        <v>51</v>
      </c>
      <c r="D40" s="151" t="s">
        <v>52</v>
      </c>
      <c r="E40" s="151" t="s">
        <v>62</v>
      </c>
      <c r="F40" s="151" t="s">
        <v>160</v>
      </c>
      <c r="G40" s="151" t="s">
        <v>161</v>
      </c>
      <c r="H40" s="152">
        <v>41976</v>
      </c>
      <c r="I40" s="151" t="s">
        <v>60</v>
      </c>
      <c r="J40" s="151" t="s">
        <v>162</v>
      </c>
      <c r="K40" s="151" t="s">
        <v>61</v>
      </c>
      <c r="L40" s="153">
        <v>2</v>
      </c>
      <c r="M40" s="153">
        <v>3</v>
      </c>
      <c r="N40" s="171">
        <v>14666</v>
      </c>
      <c r="O40" s="177">
        <v>0.03</v>
      </c>
      <c r="P40" s="172">
        <f t="shared" si="0"/>
        <v>440</v>
      </c>
      <c r="Q40" s="177">
        <v>0</v>
      </c>
      <c r="R40" s="172">
        <f t="shared" si="1"/>
        <v>0</v>
      </c>
      <c r="S40" s="177">
        <f t="shared" si="2"/>
        <v>3.0001363698349926E-2</v>
      </c>
      <c r="T40" s="172">
        <f t="shared" si="3"/>
        <v>440</v>
      </c>
      <c r="U40" s="172">
        <f t="shared" si="4"/>
        <v>15106</v>
      </c>
      <c r="V40" s="173">
        <v>15017.984</v>
      </c>
      <c r="W40" s="174">
        <f t="shared" si="13"/>
        <v>351.98400000000038</v>
      </c>
      <c r="X40" s="178">
        <f t="shared" si="5"/>
        <v>2.4E-2</v>
      </c>
      <c r="Y40" s="179" t="str">
        <f t="shared" si="15"/>
        <v>2.40%-3.60%</v>
      </c>
      <c r="Z40" s="175"/>
      <c r="AA40" s="175"/>
      <c r="AB40" s="175"/>
      <c r="AC40" s="180"/>
      <c r="AD40" s="171">
        <f t="shared" si="7"/>
        <v>0</v>
      </c>
      <c r="AE40" s="176">
        <f t="shared" si="8"/>
        <v>15017.984</v>
      </c>
      <c r="AF40" s="164">
        <f t="shared" si="9"/>
        <v>351.98400000000038</v>
      </c>
      <c r="AG40" s="181">
        <f t="shared" si="10"/>
        <v>2.4000000000000021E-2</v>
      </c>
      <c r="AH40" s="166">
        <v>14</v>
      </c>
      <c r="AI40" s="166">
        <v>450</v>
      </c>
      <c r="AJ40" s="166"/>
      <c r="AK40" s="166">
        <v>688</v>
      </c>
      <c r="AL40" s="166">
        <f t="shared" si="11"/>
        <v>216339.77600000001</v>
      </c>
      <c r="AM40" s="153">
        <v>5</v>
      </c>
      <c r="AN40" s="166"/>
      <c r="AO40" s="167"/>
      <c r="AP40" s="167"/>
      <c r="AQ40" s="151" t="s">
        <v>163</v>
      </c>
      <c r="AR40" s="151" t="s">
        <v>164</v>
      </c>
      <c r="AS40" s="151" t="s">
        <v>59</v>
      </c>
      <c r="AT40" s="182"/>
      <c r="AU40" s="167"/>
      <c r="AV40" s="167"/>
      <c r="AW40" s="169" t="str">
        <f t="shared" si="16"/>
        <v>OK</v>
      </c>
      <c r="AX40" s="21" t="s">
        <v>3135</v>
      </c>
      <c r="AY40" s="21" t="s">
        <v>3132</v>
      </c>
      <c r="AZ40" s="21"/>
      <c r="BA40" s="21"/>
    </row>
    <row r="41" spans="1:53" ht="20" customHeight="1">
      <c r="A41" s="86" t="s">
        <v>318</v>
      </c>
      <c r="B41" s="371" t="s">
        <v>2371</v>
      </c>
      <c r="C41" s="151" t="s">
        <v>51</v>
      </c>
      <c r="D41" s="151" t="s">
        <v>52</v>
      </c>
      <c r="E41" s="151" t="s">
        <v>62</v>
      </c>
      <c r="F41" s="151" t="s">
        <v>165</v>
      </c>
      <c r="G41" s="151" t="s">
        <v>161</v>
      </c>
      <c r="H41" s="152">
        <v>40373</v>
      </c>
      <c r="I41" s="151" t="s">
        <v>55</v>
      </c>
      <c r="J41" s="151" t="s">
        <v>55</v>
      </c>
      <c r="K41" s="151" t="s">
        <v>56</v>
      </c>
      <c r="L41" s="153">
        <v>2</v>
      </c>
      <c r="M41" s="153">
        <v>4</v>
      </c>
      <c r="N41" s="171">
        <v>23000</v>
      </c>
      <c r="O41" s="177">
        <v>3.7500000000000006E-2</v>
      </c>
      <c r="P41" s="172">
        <f t="shared" si="0"/>
        <v>863</v>
      </c>
      <c r="Q41" s="177">
        <v>1.55E-2</v>
      </c>
      <c r="R41" s="172">
        <f t="shared" si="1"/>
        <v>357</v>
      </c>
      <c r="S41" s="177">
        <f t="shared" si="2"/>
        <v>5.3043478260869567E-2</v>
      </c>
      <c r="T41" s="172">
        <f t="shared" si="3"/>
        <v>1220</v>
      </c>
      <c r="U41" s="172">
        <f t="shared" si="4"/>
        <v>24220</v>
      </c>
      <c r="V41" s="173">
        <v>23989</v>
      </c>
      <c r="W41" s="174">
        <f t="shared" si="13"/>
        <v>989</v>
      </c>
      <c r="X41" s="178">
        <f t="shared" si="5"/>
        <v>4.2999999999999997E-2</v>
      </c>
      <c r="Y41" s="179" t="str">
        <f t="shared" si="15"/>
        <v>4.24%-6.37%</v>
      </c>
      <c r="Z41" s="175"/>
      <c r="AA41" s="175"/>
      <c r="AB41" s="175"/>
      <c r="AC41" s="180"/>
      <c r="AD41" s="171">
        <f t="shared" si="7"/>
        <v>0</v>
      </c>
      <c r="AE41" s="176">
        <f t="shared" si="8"/>
        <v>23989</v>
      </c>
      <c r="AF41" s="164">
        <f t="shared" si="9"/>
        <v>989</v>
      </c>
      <c r="AG41" s="181">
        <f t="shared" si="10"/>
        <v>4.2999999999999927E-2</v>
      </c>
      <c r="AH41" s="166">
        <v>14</v>
      </c>
      <c r="AI41" s="166">
        <v>450</v>
      </c>
      <c r="AJ41" s="166"/>
      <c r="AK41" s="166">
        <v>688</v>
      </c>
      <c r="AL41" s="166">
        <f t="shared" si="11"/>
        <v>341934</v>
      </c>
      <c r="AM41" s="153">
        <v>4</v>
      </c>
      <c r="AN41" s="166"/>
      <c r="AO41" s="167"/>
      <c r="AP41" s="167"/>
      <c r="AQ41" s="151" t="s">
        <v>163</v>
      </c>
      <c r="AR41" s="151" t="s">
        <v>164</v>
      </c>
      <c r="AS41" s="151" t="s">
        <v>59</v>
      </c>
      <c r="AT41" s="183"/>
      <c r="AU41" s="167"/>
      <c r="AV41" s="167"/>
      <c r="AW41" s="170" t="str">
        <f t="shared" si="16"/>
        <v>OK</v>
      </c>
      <c r="AX41" s="21" t="s">
        <v>3135</v>
      </c>
      <c r="AY41" s="21" t="s">
        <v>3130</v>
      </c>
      <c r="AZ41" s="21"/>
      <c r="BA41" s="21"/>
    </row>
    <row r="42" spans="1:53" ht="20" customHeight="1">
      <c r="A42" s="86" t="s">
        <v>318</v>
      </c>
      <c r="B42" s="371" t="s">
        <v>2372</v>
      </c>
      <c r="C42" s="151" t="s">
        <v>51</v>
      </c>
      <c r="D42" s="151" t="s">
        <v>52</v>
      </c>
      <c r="E42" s="151" t="s">
        <v>62</v>
      </c>
      <c r="F42" s="151" t="s">
        <v>160</v>
      </c>
      <c r="G42" s="151" t="s">
        <v>161</v>
      </c>
      <c r="H42" s="152">
        <v>44671</v>
      </c>
      <c r="I42" s="151" t="s">
        <v>82</v>
      </c>
      <c r="J42" s="151" t="s">
        <v>137</v>
      </c>
      <c r="K42" s="151" t="s">
        <v>84</v>
      </c>
      <c r="L42" s="153">
        <v>2</v>
      </c>
      <c r="M42" s="153">
        <v>3</v>
      </c>
      <c r="N42" s="171">
        <v>10712</v>
      </c>
      <c r="O42" s="177">
        <v>0</v>
      </c>
      <c r="P42" s="172">
        <f t="shared" si="0"/>
        <v>0</v>
      </c>
      <c r="Q42" s="177">
        <v>0</v>
      </c>
      <c r="R42" s="172">
        <f t="shared" si="1"/>
        <v>0</v>
      </c>
      <c r="S42" s="177">
        <f t="shared" si="2"/>
        <v>0</v>
      </c>
      <c r="T42" s="172">
        <f t="shared" si="3"/>
        <v>0</v>
      </c>
      <c r="U42" s="172">
        <f t="shared" si="4"/>
        <v>10712</v>
      </c>
      <c r="V42" s="173">
        <v>11067</v>
      </c>
      <c r="W42" s="174">
        <f t="shared" si="13"/>
        <v>355</v>
      </c>
      <c r="X42" s="178">
        <f t="shared" si="5"/>
        <v>3.3099999999999997E-2</v>
      </c>
      <c r="Y42" s="179" t="str">
        <f t="shared" si="15"/>
        <v>0.00%-0.00%</v>
      </c>
      <c r="Z42" s="175"/>
      <c r="AA42" s="175"/>
      <c r="AB42" s="175"/>
      <c r="AC42" s="180"/>
      <c r="AD42" s="171">
        <f t="shared" si="7"/>
        <v>0</v>
      </c>
      <c r="AE42" s="176">
        <f t="shared" si="8"/>
        <v>11067</v>
      </c>
      <c r="AF42" s="164">
        <f t="shared" si="9"/>
        <v>355</v>
      </c>
      <c r="AG42" s="181">
        <f t="shared" si="10"/>
        <v>3.3140403286034292E-2</v>
      </c>
      <c r="AH42" s="166">
        <v>14</v>
      </c>
      <c r="AI42" s="166">
        <v>450</v>
      </c>
      <c r="AJ42" s="166"/>
      <c r="AK42" s="166">
        <v>688</v>
      </c>
      <c r="AL42" s="166">
        <f t="shared" si="11"/>
        <v>161026</v>
      </c>
      <c r="AM42" s="153">
        <v>2</v>
      </c>
      <c r="AN42" s="166"/>
      <c r="AO42" s="167" t="s">
        <v>166</v>
      </c>
      <c r="AP42" s="167" t="s">
        <v>101</v>
      </c>
      <c r="AQ42" s="151" t="s">
        <v>163</v>
      </c>
      <c r="AR42" s="151" t="s">
        <v>164</v>
      </c>
      <c r="AS42" s="151" t="s">
        <v>59</v>
      </c>
      <c r="AT42" s="183"/>
      <c r="AU42" s="167" t="s">
        <v>102</v>
      </c>
      <c r="AV42" s="167" t="s">
        <v>103</v>
      </c>
      <c r="AW42" s="169" t="str">
        <f t="shared" si="16"/>
        <v>&gt;20</v>
      </c>
      <c r="AX42" s="21" t="s">
        <v>3131</v>
      </c>
      <c r="AY42" s="21" t="s">
        <v>3134</v>
      </c>
      <c r="AZ42" s="21"/>
      <c r="BA42" s="21"/>
    </row>
    <row r="43" spans="1:53" ht="20" customHeight="1">
      <c r="A43" s="86" t="s">
        <v>318</v>
      </c>
      <c r="B43" s="371" t="s">
        <v>2373</v>
      </c>
      <c r="C43" s="151" t="s">
        <v>51</v>
      </c>
      <c r="D43" s="151" t="s">
        <v>52</v>
      </c>
      <c r="E43" s="151" t="s">
        <v>62</v>
      </c>
      <c r="F43" s="151" t="s">
        <v>160</v>
      </c>
      <c r="G43" s="151" t="s">
        <v>161</v>
      </c>
      <c r="H43" s="152">
        <v>42935</v>
      </c>
      <c r="I43" s="151" t="s">
        <v>140</v>
      </c>
      <c r="J43" s="151" t="s">
        <v>141</v>
      </c>
      <c r="K43" s="151" t="s">
        <v>61</v>
      </c>
      <c r="L43" s="153">
        <v>2</v>
      </c>
      <c r="M43" s="153">
        <v>3</v>
      </c>
      <c r="N43" s="171">
        <v>13202</v>
      </c>
      <c r="O43" s="177">
        <v>0.03</v>
      </c>
      <c r="P43" s="172">
        <f t="shared" si="0"/>
        <v>396</v>
      </c>
      <c r="Q43" s="177">
        <v>0</v>
      </c>
      <c r="R43" s="172">
        <f t="shared" si="1"/>
        <v>0</v>
      </c>
      <c r="S43" s="177">
        <f t="shared" si="2"/>
        <v>2.9995455234055446E-2</v>
      </c>
      <c r="T43" s="172">
        <f t="shared" si="3"/>
        <v>396</v>
      </c>
      <c r="U43" s="172">
        <f t="shared" si="4"/>
        <v>13598</v>
      </c>
      <c r="V43" s="173">
        <f>N43+100</f>
        <v>13302</v>
      </c>
      <c r="W43" s="174">
        <f t="shared" si="13"/>
        <v>100</v>
      </c>
      <c r="X43" s="178">
        <f t="shared" si="5"/>
        <v>7.6E-3</v>
      </c>
      <c r="Y43" s="179" t="str">
        <f t="shared" si="15"/>
        <v>2.40%-3.60%</v>
      </c>
      <c r="Z43" s="175"/>
      <c r="AA43" s="175"/>
      <c r="AB43" s="175"/>
      <c r="AC43" s="180"/>
      <c r="AD43" s="171">
        <f t="shared" si="7"/>
        <v>0</v>
      </c>
      <c r="AE43" s="176">
        <f t="shared" si="8"/>
        <v>13302</v>
      </c>
      <c r="AF43" s="164">
        <f t="shared" si="9"/>
        <v>100</v>
      </c>
      <c r="AG43" s="181">
        <f t="shared" si="10"/>
        <v>7.5746099075897355E-3</v>
      </c>
      <c r="AH43" s="166">
        <v>14</v>
      </c>
      <c r="AI43" s="166">
        <v>450</v>
      </c>
      <c r="AJ43" s="166"/>
      <c r="AK43" s="166">
        <v>688</v>
      </c>
      <c r="AL43" s="166">
        <f t="shared" si="11"/>
        <v>192316</v>
      </c>
      <c r="AM43" s="153">
        <v>3</v>
      </c>
      <c r="AN43" s="166"/>
      <c r="AO43" s="167" t="s">
        <v>167</v>
      </c>
      <c r="AP43" s="167" t="s">
        <v>97</v>
      </c>
      <c r="AQ43" s="151" t="s">
        <v>163</v>
      </c>
      <c r="AR43" s="151" t="s">
        <v>164</v>
      </c>
      <c r="AS43" s="151" t="s">
        <v>59</v>
      </c>
      <c r="AT43" s="183"/>
      <c r="AU43" s="167" t="s">
        <v>102</v>
      </c>
      <c r="AV43" s="167" t="s">
        <v>129</v>
      </c>
      <c r="AW43" s="170" t="str">
        <f t="shared" si="16"/>
        <v>&lt;20</v>
      </c>
      <c r="AX43" s="21" t="s">
        <v>3133</v>
      </c>
      <c r="AY43" s="21" t="s">
        <v>3132</v>
      </c>
      <c r="AZ43" s="21"/>
      <c r="BA43" s="21"/>
    </row>
    <row r="44" spans="1:53" ht="20" customHeight="1">
      <c r="A44" s="86" t="s">
        <v>318</v>
      </c>
      <c r="B44" s="371" t="s">
        <v>2374</v>
      </c>
      <c r="C44" s="151" t="s">
        <v>51</v>
      </c>
      <c r="D44" s="151" t="s">
        <v>52</v>
      </c>
      <c r="E44" s="151" t="s">
        <v>62</v>
      </c>
      <c r="F44" s="151" t="s">
        <v>160</v>
      </c>
      <c r="G44" s="151" t="s">
        <v>161</v>
      </c>
      <c r="H44" s="152">
        <v>35977</v>
      </c>
      <c r="I44" s="151" t="s">
        <v>111</v>
      </c>
      <c r="J44" s="151" t="s">
        <v>168</v>
      </c>
      <c r="K44" s="151" t="s">
        <v>56</v>
      </c>
      <c r="L44" s="153">
        <v>2</v>
      </c>
      <c r="M44" s="153">
        <v>3</v>
      </c>
      <c r="N44" s="171">
        <v>24800</v>
      </c>
      <c r="O44" s="177">
        <v>2.5000000000000001E-2</v>
      </c>
      <c r="P44" s="172">
        <f t="shared" si="0"/>
        <v>620</v>
      </c>
      <c r="Q44" s="177">
        <v>0</v>
      </c>
      <c r="R44" s="172">
        <f t="shared" si="1"/>
        <v>0</v>
      </c>
      <c r="S44" s="177">
        <f t="shared" si="2"/>
        <v>2.5000000000000001E-2</v>
      </c>
      <c r="T44" s="172">
        <f t="shared" si="3"/>
        <v>620</v>
      </c>
      <c r="U44" s="172">
        <f t="shared" si="4"/>
        <v>25420</v>
      </c>
      <c r="V44" s="173">
        <f>U44-120</f>
        <v>25300</v>
      </c>
      <c r="W44" s="174">
        <f t="shared" si="13"/>
        <v>500</v>
      </c>
      <c r="X44" s="178">
        <f t="shared" si="5"/>
        <v>2.0199999999999999E-2</v>
      </c>
      <c r="Y44" s="179" t="str">
        <f t="shared" si="15"/>
        <v>2.00%-3.00%</v>
      </c>
      <c r="Z44" s="175"/>
      <c r="AA44" s="175"/>
      <c r="AB44" s="175"/>
      <c r="AC44" s="180"/>
      <c r="AD44" s="171">
        <f t="shared" si="7"/>
        <v>0</v>
      </c>
      <c r="AE44" s="176">
        <f t="shared" si="8"/>
        <v>25300</v>
      </c>
      <c r="AF44" s="164">
        <f t="shared" si="9"/>
        <v>500</v>
      </c>
      <c r="AG44" s="181">
        <f t="shared" si="10"/>
        <v>2.0161290322580738E-2</v>
      </c>
      <c r="AH44" s="166">
        <v>14</v>
      </c>
      <c r="AI44" s="166">
        <v>3450</v>
      </c>
      <c r="AJ44" s="166"/>
      <c r="AK44" s="166">
        <v>688</v>
      </c>
      <c r="AL44" s="166">
        <f t="shared" si="11"/>
        <v>396288</v>
      </c>
      <c r="AM44" s="153">
        <v>5</v>
      </c>
      <c r="AN44" s="166"/>
      <c r="AO44" s="167"/>
      <c r="AP44" s="167"/>
      <c r="AQ44" s="151" t="s">
        <v>163</v>
      </c>
      <c r="AR44" s="151" t="s">
        <v>164</v>
      </c>
      <c r="AS44" s="151" t="s">
        <v>59</v>
      </c>
      <c r="AT44" s="183"/>
      <c r="AU44" s="167"/>
      <c r="AV44" s="167"/>
      <c r="AW44" s="169" t="str">
        <f t="shared" si="16"/>
        <v>OK</v>
      </c>
      <c r="AX44" s="21" t="s">
        <v>3137</v>
      </c>
      <c r="AY44" s="21" t="s">
        <v>3130</v>
      </c>
      <c r="AZ44" s="21"/>
      <c r="BA44" s="21"/>
    </row>
    <row r="45" spans="1:53" ht="20" customHeight="1">
      <c r="A45" s="86" t="s">
        <v>318</v>
      </c>
      <c r="B45" s="371" t="s">
        <v>2375</v>
      </c>
      <c r="C45" s="151" t="s">
        <v>51</v>
      </c>
      <c r="D45" s="151" t="s">
        <v>52</v>
      </c>
      <c r="E45" s="151" t="s">
        <v>62</v>
      </c>
      <c r="F45" s="151" t="s">
        <v>169</v>
      </c>
      <c r="G45" s="151" t="s">
        <v>161</v>
      </c>
      <c r="H45" s="152">
        <v>42149</v>
      </c>
      <c r="I45" s="151" t="s">
        <v>111</v>
      </c>
      <c r="J45" s="151" t="s">
        <v>111</v>
      </c>
      <c r="K45" s="151" t="s">
        <v>56</v>
      </c>
      <c r="L45" s="153">
        <v>2</v>
      </c>
      <c r="M45" s="153">
        <v>3</v>
      </c>
      <c r="N45" s="171">
        <v>28188</v>
      </c>
      <c r="O45" s="177">
        <v>2.5000000000000001E-2</v>
      </c>
      <c r="P45" s="172">
        <f t="shared" si="0"/>
        <v>705</v>
      </c>
      <c r="Q45" s="177">
        <v>0</v>
      </c>
      <c r="R45" s="172">
        <f>ROUND(N45*Q45,0)</f>
        <v>0</v>
      </c>
      <c r="S45" s="177">
        <f t="shared" si="2"/>
        <v>2.5010642826734781E-2</v>
      </c>
      <c r="T45" s="172">
        <f t="shared" si="3"/>
        <v>705</v>
      </c>
      <c r="U45" s="172">
        <f t="shared" si="4"/>
        <v>28893</v>
      </c>
      <c r="V45" s="173">
        <v>28751.760000000002</v>
      </c>
      <c r="W45" s="174">
        <f t="shared" si="13"/>
        <v>563.76000000000204</v>
      </c>
      <c r="X45" s="178">
        <f t="shared" si="5"/>
        <v>0.02</v>
      </c>
      <c r="Y45" s="179" t="str">
        <f t="shared" si="15"/>
        <v>2.00%-3.00%</v>
      </c>
      <c r="Z45" s="175"/>
      <c r="AA45" s="175"/>
      <c r="AB45" s="175"/>
      <c r="AC45" s="180"/>
      <c r="AD45" s="171">
        <f t="shared" si="7"/>
        <v>0</v>
      </c>
      <c r="AE45" s="176">
        <f t="shared" si="8"/>
        <v>28751.760000000002</v>
      </c>
      <c r="AF45" s="164">
        <f t="shared" si="9"/>
        <v>563.76000000000204</v>
      </c>
      <c r="AG45" s="181">
        <f t="shared" si="10"/>
        <v>2.0000000000000018E-2</v>
      </c>
      <c r="AH45" s="166">
        <v>14</v>
      </c>
      <c r="AI45" s="166">
        <v>450</v>
      </c>
      <c r="AJ45" s="166"/>
      <c r="AK45" s="166">
        <v>688</v>
      </c>
      <c r="AL45" s="166">
        <f t="shared" si="11"/>
        <v>408612.64</v>
      </c>
      <c r="AM45" s="153">
        <v>3</v>
      </c>
      <c r="AN45" s="166"/>
      <c r="AO45" s="167"/>
      <c r="AP45" s="167"/>
      <c r="AQ45" s="151" t="s">
        <v>163</v>
      </c>
      <c r="AR45" s="151" t="s">
        <v>164</v>
      </c>
      <c r="AS45" s="151" t="s">
        <v>59</v>
      </c>
      <c r="AT45" s="183"/>
      <c r="AU45" s="167"/>
      <c r="AV45" s="167"/>
      <c r="AW45" s="170" t="str">
        <f t="shared" si="16"/>
        <v>OK</v>
      </c>
      <c r="AX45" s="21" t="s">
        <v>3135</v>
      </c>
      <c r="AY45" s="21" t="s">
        <v>3130</v>
      </c>
      <c r="AZ45" s="21"/>
      <c r="BA45" s="21"/>
    </row>
    <row r="46" spans="1:53" ht="20" customHeight="1">
      <c r="A46" s="86" t="s">
        <v>318</v>
      </c>
      <c r="B46" s="371" t="s">
        <v>2376</v>
      </c>
      <c r="C46" s="151" t="s">
        <v>51</v>
      </c>
      <c r="D46" s="151" t="s">
        <v>52</v>
      </c>
      <c r="E46" s="151" t="s">
        <v>62</v>
      </c>
      <c r="F46" s="151" t="s">
        <v>160</v>
      </c>
      <c r="G46" s="151" t="s">
        <v>161</v>
      </c>
      <c r="H46" s="152">
        <v>44524</v>
      </c>
      <c r="I46" s="151" t="s">
        <v>82</v>
      </c>
      <c r="J46" s="151" t="s">
        <v>170</v>
      </c>
      <c r="K46" s="151" t="s">
        <v>84</v>
      </c>
      <c r="L46" s="153">
        <v>2</v>
      </c>
      <c r="M46" s="153">
        <v>4</v>
      </c>
      <c r="N46" s="171">
        <v>12645</v>
      </c>
      <c r="O46" s="177">
        <v>0.03</v>
      </c>
      <c r="P46" s="172">
        <f t="shared" si="0"/>
        <v>379</v>
      </c>
      <c r="Q46" s="177">
        <v>0</v>
      </c>
      <c r="R46" s="172">
        <f t="shared" si="1"/>
        <v>0</v>
      </c>
      <c r="S46" s="177">
        <f t="shared" si="2"/>
        <v>2.9972321075523924E-2</v>
      </c>
      <c r="T46" s="172">
        <f t="shared" si="3"/>
        <v>379</v>
      </c>
      <c r="U46" s="172">
        <f t="shared" si="4"/>
        <v>13024</v>
      </c>
      <c r="V46" s="173">
        <f>N46</f>
        <v>12645</v>
      </c>
      <c r="W46" s="174">
        <f t="shared" si="13"/>
        <v>0</v>
      </c>
      <c r="X46" s="178">
        <f t="shared" si="5"/>
        <v>0</v>
      </c>
      <c r="Y46" s="179" t="str">
        <f t="shared" si="15"/>
        <v>2.40%-3.60%</v>
      </c>
      <c r="Z46" s="175" t="s">
        <v>87</v>
      </c>
      <c r="AA46" s="175" t="s">
        <v>171</v>
      </c>
      <c r="AB46" s="175" t="s">
        <v>139</v>
      </c>
      <c r="AC46" s="180">
        <v>0.1</v>
      </c>
      <c r="AD46" s="171">
        <f t="shared" si="7"/>
        <v>1265</v>
      </c>
      <c r="AE46" s="176">
        <f t="shared" si="8"/>
        <v>13910</v>
      </c>
      <c r="AF46" s="164">
        <f t="shared" si="9"/>
        <v>1265</v>
      </c>
      <c r="AG46" s="181">
        <f t="shared" si="10"/>
        <v>0.10003954132068005</v>
      </c>
      <c r="AH46" s="166">
        <v>14</v>
      </c>
      <c r="AI46" s="166">
        <v>450</v>
      </c>
      <c r="AJ46" s="166"/>
      <c r="AK46" s="166">
        <v>688</v>
      </c>
      <c r="AL46" s="166">
        <f t="shared" si="11"/>
        <v>200828</v>
      </c>
      <c r="AM46" s="153">
        <v>4</v>
      </c>
      <c r="AN46" s="166"/>
      <c r="AO46" s="167" t="s">
        <v>172</v>
      </c>
      <c r="AP46" s="167" t="s">
        <v>173</v>
      </c>
      <c r="AQ46" s="151" t="s">
        <v>163</v>
      </c>
      <c r="AR46" s="151" t="s">
        <v>164</v>
      </c>
      <c r="AS46" s="151" t="s">
        <v>59</v>
      </c>
      <c r="AT46" s="183"/>
      <c r="AU46" s="167" t="s">
        <v>98</v>
      </c>
      <c r="AV46" s="167"/>
      <c r="AW46" s="169" t="str">
        <f t="shared" si="16"/>
        <v>0 increase</v>
      </c>
      <c r="AX46" s="21" t="s">
        <v>3131</v>
      </c>
      <c r="AY46" s="21" t="s">
        <v>3136</v>
      </c>
      <c r="AZ46" s="21"/>
      <c r="BA46" s="21"/>
    </row>
    <row r="47" spans="1:53" ht="20" customHeight="1">
      <c r="A47" s="86" t="s">
        <v>318</v>
      </c>
      <c r="B47" s="371" t="s">
        <v>2377</v>
      </c>
      <c r="C47" s="151" t="s">
        <v>51</v>
      </c>
      <c r="D47" s="151" t="s">
        <v>52</v>
      </c>
      <c r="E47" s="151" t="s">
        <v>62</v>
      </c>
      <c r="F47" s="151" t="s">
        <v>165</v>
      </c>
      <c r="G47" s="151" t="s">
        <v>161</v>
      </c>
      <c r="H47" s="152">
        <v>39657</v>
      </c>
      <c r="I47" s="151" t="s">
        <v>174</v>
      </c>
      <c r="J47" s="151" t="s">
        <v>174</v>
      </c>
      <c r="K47" s="151" t="s">
        <v>175</v>
      </c>
      <c r="L47" s="153">
        <v>2</v>
      </c>
      <c r="M47" s="153">
        <v>3</v>
      </c>
      <c r="N47" s="171">
        <v>7538</v>
      </c>
      <c r="O47" s="177">
        <v>2.5000000000000001E-2</v>
      </c>
      <c r="P47" s="172">
        <f t="shared" si="0"/>
        <v>188</v>
      </c>
      <c r="Q47" s="177">
        <v>0</v>
      </c>
      <c r="R47" s="172">
        <f t="shared" si="1"/>
        <v>0</v>
      </c>
      <c r="S47" s="177">
        <f t="shared" si="2"/>
        <v>2.494030246749801E-2</v>
      </c>
      <c r="T47" s="172">
        <f t="shared" si="3"/>
        <v>188</v>
      </c>
      <c r="U47" s="172">
        <f t="shared" si="4"/>
        <v>7726</v>
      </c>
      <c r="V47" s="173">
        <v>7726</v>
      </c>
      <c r="W47" s="174">
        <f t="shared" si="13"/>
        <v>188</v>
      </c>
      <c r="X47" s="178">
        <f t="shared" si="5"/>
        <v>2.4899999999999999E-2</v>
      </c>
      <c r="Y47" s="179" t="str">
        <f t="shared" si="15"/>
        <v>2.00%-2.99%</v>
      </c>
      <c r="Z47" s="175"/>
      <c r="AA47" s="175"/>
      <c r="AB47" s="175"/>
      <c r="AC47" s="180"/>
      <c r="AD47" s="171">
        <f t="shared" si="7"/>
        <v>0</v>
      </c>
      <c r="AE47" s="176">
        <f t="shared" si="8"/>
        <v>7726</v>
      </c>
      <c r="AF47" s="164">
        <f t="shared" si="9"/>
        <v>188</v>
      </c>
      <c r="AG47" s="181">
        <f t="shared" si="10"/>
        <v>2.4940302467498121E-2</v>
      </c>
      <c r="AH47" s="166">
        <v>14</v>
      </c>
      <c r="AI47" s="166">
        <v>450</v>
      </c>
      <c r="AJ47" s="166"/>
      <c r="AK47" s="166">
        <v>688</v>
      </c>
      <c r="AL47" s="166">
        <f t="shared" si="11"/>
        <v>114252</v>
      </c>
      <c r="AM47" s="153" t="s">
        <v>176</v>
      </c>
      <c r="AN47" s="166"/>
      <c r="AO47" s="167"/>
      <c r="AP47" s="167"/>
      <c r="AQ47" s="151" t="s">
        <v>163</v>
      </c>
      <c r="AR47" s="151" t="s">
        <v>164</v>
      </c>
      <c r="AS47" s="151" t="s">
        <v>59</v>
      </c>
      <c r="AT47" s="183"/>
      <c r="AU47" s="167"/>
      <c r="AV47" s="167"/>
      <c r="AW47" s="170" t="str">
        <f t="shared" si="16"/>
        <v>OK</v>
      </c>
      <c r="AX47" s="21" t="s">
        <v>3129</v>
      </c>
      <c r="AY47" s="21" t="s">
        <v>3130</v>
      </c>
      <c r="AZ47" s="21"/>
      <c r="BA47" s="21"/>
    </row>
    <row r="48" spans="1:53" ht="20" customHeight="1">
      <c r="A48" s="86" t="s">
        <v>318</v>
      </c>
      <c r="B48" s="371" t="s">
        <v>2378</v>
      </c>
      <c r="C48" s="151" t="s">
        <v>51</v>
      </c>
      <c r="D48" s="151" t="s">
        <v>52</v>
      </c>
      <c r="E48" s="151" t="s">
        <v>62</v>
      </c>
      <c r="F48" s="151" t="s">
        <v>165</v>
      </c>
      <c r="G48" s="151" t="s">
        <v>161</v>
      </c>
      <c r="H48" s="152">
        <v>39616</v>
      </c>
      <c r="I48" s="151" t="s">
        <v>74</v>
      </c>
      <c r="J48" s="151" t="s">
        <v>177</v>
      </c>
      <c r="K48" s="151" t="s">
        <v>76</v>
      </c>
      <c r="L48" s="153">
        <v>2</v>
      </c>
      <c r="M48" s="153">
        <v>4</v>
      </c>
      <c r="N48" s="171">
        <v>11737</v>
      </c>
      <c r="O48" s="177">
        <v>3.7500000000000006E-2</v>
      </c>
      <c r="P48" s="172">
        <f t="shared" si="0"/>
        <v>440</v>
      </c>
      <c r="Q48" s="177">
        <v>1.55E-2</v>
      </c>
      <c r="R48" s="172">
        <f t="shared" si="1"/>
        <v>182</v>
      </c>
      <c r="S48" s="177">
        <f t="shared" si="2"/>
        <v>5.2994802760500982E-2</v>
      </c>
      <c r="T48" s="172">
        <f t="shared" si="3"/>
        <v>622</v>
      </c>
      <c r="U48" s="172">
        <f t="shared" si="4"/>
        <v>12359</v>
      </c>
      <c r="V48" s="173">
        <v>12659</v>
      </c>
      <c r="W48" s="174">
        <f t="shared" si="13"/>
        <v>922</v>
      </c>
      <c r="X48" s="178">
        <f t="shared" si="5"/>
        <v>7.8600000000000003E-2</v>
      </c>
      <c r="Y48" s="179" t="str">
        <f t="shared" si="15"/>
        <v>4.24%-6.36%</v>
      </c>
      <c r="Z48" s="175"/>
      <c r="AA48" s="175"/>
      <c r="AB48" s="175"/>
      <c r="AC48" s="180"/>
      <c r="AD48" s="171">
        <f t="shared" si="7"/>
        <v>0</v>
      </c>
      <c r="AE48" s="176">
        <f t="shared" si="8"/>
        <v>12659</v>
      </c>
      <c r="AF48" s="164">
        <f t="shared" si="9"/>
        <v>922</v>
      </c>
      <c r="AG48" s="181">
        <f t="shared" si="10"/>
        <v>7.8554997017977302E-2</v>
      </c>
      <c r="AH48" s="166">
        <v>14</v>
      </c>
      <c r="AI48" s="166">
        <v>450</v>
      </c>
      <c r="AJ48" s="166"/>
      <c r="AK48" s="166">
        <v>688</v>
      </c>
      <c r="AL48" s="166">
        <f t="shared" si="11"/>
        <v>183314</v>
      </c>
      <c r="AM48" s="153">
        <v>3</v>
      </c>
      <c r="AN48" s="166"/>
      <c r="AO48" s="167" t="s">
        <v>178</v>
      </c>
      <c r="AP48" s="167" t="s">
        <v>179</v>
      </c>
      <c r="AQ48" s="151" t="s">
        <v>163</v>
      </c>
      <c r="AR48" s="151" t="s">
        <v>164</v>
      </c>
      <c r="AS48" s="151" t="s">
        <v>59</v>
      </c>
      <c r="AT48" s="183"/>
      <c r="AU48" s="167" t="s">
        <v>102</v>
      </c>
      <c r="AV48" s="167" t="s">
        <v>103</v>
      </c>
      <c r="AW48" s="169" t="str">
        <f t="shared" si="16"/>
        <v>&gt;20</v>
      </c>
      <c r="AX48" s="21" t="s">
        <v>3129</v>
      </c>
      <c r="AY48" s="21" t="s">
        <v>3130</v>
      </c>
      <c r="AZ48" s="21"/>
      <c r="BA48" s="21"/>
    </row>
    <row r="49" spans="1:53" ht="20" customHeight="1">
      <c r="A49" s="86" t="s">
        <v>318</v>
      </c>
      <c r="B49" s="371" t="s">
        <v>2379</v>
      </c>
      <c r="C49" s="151" t="s">
        <v>51</v>
      </c>
      <c r="D49" s="151" t="s">
        <v>52</v>
      </c>
      <c r="E49" s="151" t="s">
        <v>62</v>
      </c>
      <c r="F49" s="151" t="s">
        <v>180</v>
      </c>
      <c r="G49" s="151" t="s">
        <v>181</v>
      </c>
      <c r="H49" s="152">
        <v>40238</v>
      </c>
      <c r="I49" s="151" t="s">
        <v>71</v>
      </c>
      <c r="J49" s="151" t="s">
        <v>71</v>
      </c>
      <c r="K49" s="151" t="s">
        <v>61</v>
      </c>
      <c r="L49" s="153">
        <v>2</v>
      </c>
      <c r="M49" s="153">
        <v>3</v>
      </c>
      <c r="N49" s="171">
        <v>18000</v>
      </c>
      <c r="O49" s="177">
        <v>0</v>
      </c>
      <c r="P49" s="172">
        <f t="shared" si="0"/>
        <v>0</v>
      </c>
      <c r="Q49" s="177">
        <v>0</v>
      </c>
      <c r="R49" s="172">
        <f t="shared" si="1"/>
        <v>0</v>
      </c>
      <c r="S49" s="177">
        <f t="shared" si="2"/>
        <v>0</v>
      </c>
      <c r="T49" s="172">
        <f t="shared" si="3"/>
        <v>0</v>
      </c>
      <c r="U49" s="172">
        <f t="shared" si="4"/>
        <v>18000</v>
      </c>
      <c r="V49" s="173">
        <v>18000</v>
      </c>
      <c r="W49" s="174">
        <f t="shared" si="13"/>
        <v>0</v>
      </c>
      <c r="X49" s="178">
        <f t="shared" si="5"/>
        <v>0</v>
      </c>
      <c r="Y49" s="179" t="str">
        <f t="shared" si="15"/>
        <v>0.00%-0.00%</v>
      </c>
      <c r="Z49" s="175"/>
      <c r="AA49" s="175"/>
      <c r="AB49" s="175"/>
      <c r="AC49" s="180"/>
      <c r="AD49" s="171">
        <f t="shared" si="7"/>
        <v>0</v>
      </c>
      <c r="AE49" s="176">
        <f t="shared" si="8"/>
        <v>18000</v>
      </c>
      <c r="AF49" s="164">
        <f t="shared" si="9"/>
        <v>0</v>
      </c>
      <c r="AG49" s="181">
        <f t="shared" si="10"/>
        <v>0</v>
      </c>
      <c r="AH49" s="166">
        <v>14</v>
      </c>
      <c r="AI49" s="166">
        <v>450</v>
      </c>
      <c r="AJ49" s="166"/>
      <c r="AK49" s="166">
        <v>688</v>
      </c>
      <c r="AL49" s="166">
        <f t="shared" si="11"/>
        <v>258088</v>
      </c>
      <c r="AM49" s="153">
        <v>4</v>
      </c>
      <c r="AN49" s="166"/>
      <c r="AO49" s="167"/>
      <c r="AP49" s="167"/>
      <c r="AQ49" s="151" t="s">
        <v>163</v>
      </c>
      <c r="AR49" s="151" t="s">
        <v>164</v>
      </c>
      <c r="AS49" s="151" t="s">
        <v>59</v>
      </c>
      <c r="AT49" s="183"/>
      <c r="AU49" s="167"/>
      <c r="AV49" s="167"/>
      <c r="AW49" s="170" t="str">
        <f t="shared" si="16"/>
        <v>OK</v>
      </c>
      <c r="AX49" s="21" t="s">
        <v>3129</v>
      </c>
      <c r="AY49" s="21" t="s">
        <v>3134</v>
      </c>
      <c r="AZ49" s="21"/>
      <c r="BA49" s="21"/>
    </row>
    <row r="50" spans="1:53" ht="20" customHeight="1">
      <c r="A50" s="86" t="s">
        <v>318</v>
      </c>
      <c r="B50" s="371" t="s">
        <v>2380</v>
      </c>
      <c r="C50" s="151" t="s">
        <v>51</v>
      </c>
      <c r="D50" s="151" t="s">
        <v>52</v>
      </c>
      <c r="E50" s="151" t="s">
        <v>62</v>
      </c>
      <c r="F50" s="151" t="s">
        <v>160</v>
      </c>
      <c r="G50" s="151" t="s">
        <v>161</v>
      </c>
      <c r="H50" s="152">
        <v>44370</v>
      </c>
      <c r="I50" s="151" t="s">
        <v>82</v>
      </c>
      <c r="J50" s="151" t="s">
        <v>182</v>
      </c>
      <c r="K50" s="151" t="s">
        <v>84</v>
      </c>
      <c r="L50" s="153">
        <v>2</v>
      </c>
      <c r="M50" s="153">
        <v>5</v>
      </c>
      <c r="N50" s="171">
        <v>12793</v>
      </c>
      <c r="O50" s="177">
        <v>0.04</v>
      </c>
      <c r="P50" s="172">
        <f t="shared" si="0"/>
        <v>512</v>
      </c>
      <c r="Q50" s="177">
        <v>0</v>
      </c>
      <c r="R50" s="172">
        <f t="shared" si="1"/>
        <v>0</v>
      </c>
      <c r="S50" s="177">
        <f t="shared" si="2"/>
        <v>4.0021886969436413E-2</v>
      </c>
      <c r="T50" s="172">
        <f t="shared" si="3"/>
        <v>512</v>
      </c>
      <c r="U50" s="172">
        <f t="shared" si="4"/>
        <v>13305</v>
      </c>
      <c r="V50" s="173">
        <f>N50</f>
        <v>12793</v>
      </c>
      <c r="W50" s="174">
        <f t="shared" si="13"/>
        <v>0</v>
      </c>
      <c r="X50" s="178">
        <f t="shared" si="5"/>
        <v>0</v>
      </c>
      <c r="Y50" s="179" t="str">
        <f t="shared" si="15"/>
        <v>3.20%-4.80%</v>
      </c>
      <c r="Z50" s="175" t="s">
        <v>87</v>
      </c>
      <c r="AA50" s="175" t="s">
        <v>183</v>
      </c>
      <c r="AB50" s="175" t="s">
        <v>139</v>
      </c>
      <c r="AC50" s="180">
        <v>0.11</v>
      </c>
      <c r="AD50" s="171">
        <f t="shared" si="7"/>
        <v>1407</v>
      </c>
      <c r="AE50" s="176">
        <f t="shared" si="8"/>
        <v>14200</v>
      </c>
      <c r="AF50" s="164">
        <f t="shared" si="9"/>
        <v>1407</v>
      </c>
      <c r="AG50" s="181">
        <f t="shared" si="10"/>
        <v>0.10998202141796298</v>
      </c>
      <c r="AH50" s="166">
        <v>14</v>
      </c>
      <c r="AI50" s="166">
        <v>450</v>
      </c>
      <c r="AJ50" s="166"/>
      <c r="AK50" s="166">
        <v>688</v>
      </c>
      <c r="AL50" s="166">
        <f t="shared" si="11"/>
        <v>204888</v>
      </c>
      <c r="AM50" s="153">
        <v>3</v>
      </c>
      <c r="AN50" s="166"/>
      <c r="AO50" s="167" t="s">
        <v>184</v>
      </c>
      <c r="AP50" s="167" t="s">
        <v>173</v>
      </c>
      <c r="AQ50" s="151" t="s">
        <v>163</v>
      </c>
      <c r="AR50" s="151" t="s">
        <v>164</v>
      </c>
      <c r="AS50" s="151" t="s">
        <v>59</v>
      </c>
      <c r="AT50" s="183"/>
      <c r="AU50" s="167" t="s">
        <v>98</v>
      </c>
      <c r="AV50" s="167"/>
      <c r="AW50" s="169" t="str">
        <f t="shared" si="16"/>
        <v>0 increase</v>
      </c>
      <c r="AX50" s="21" t="s">
        <v>3131</v>
      </c>
      <c r="AY50" s="21" t="s">
        <v>3136</v>
      </c>
      <c r="AZ50" s="21"/>
      <c r="BA50" s="21"/>
    </row>
    <row r="51" spans="1:53" ht="20" customHeight="1">
      <c r="A51" s="86" t="s">
        <v>318</v>
      </c>
      <c r="B51" s="371" t="s">
        <v>2381</v>
      </c>
      <c r="C51" s="151" t="s">
        <v>51</v>
      </c>
      <c r="D51" s="151" t="s">
        <v>52</v>
      </c>
      <c r="E51" s="151" t="s">
        <v>62</v>
      </c>
      <c r="F51" s="151" t="s">
        <v>165</v>
      </c>
      <c r="G51" s="151" t="s">
        <v>161</v>
      </c>
      <c r="H51" s="152">
        <v>44209</v>
      </c>
      <c r="I51" s="151" t="s">
        <v>74</v>
      </c>
      <c r="J51" s="151" t="s">
        <v>185</v>
      </c>
      <c r="K51" s="151" t="s">
        <v>76</v>
      </c>
      <c r="L51" s="153">
        <v>2</v>
      </c>
      <c r="M51" s="153">
        <v>3</v>
      </c>
      <c r="N51" s="171">
        <v>13285</v>
      </c>
      <c r="O51" s="177">
        <v>2.5000000000000001E-2</v>
      </c>
      <c r="P51" s="172">
        <f t="shared" si="0"/>
        <v>332</v>
      </c>
      <c r="Q51" s="177">
        <v>0</v>
      </c>
      <c r="R51" s="172">
        <f t="shared" si="1"/>
        <v>0</v>
      </c>
      <c r="S51" s="177">
        <f t="shared" si="2"/>
        <v>2.4990590891983439E-2</v>
      </c>
      <c r="T51" s="172">
        <f t="shared" si="3"/>
        <v>332</v>
      </c>
      <c r="U51" s="172">
        <f t="shared" si="4"/>
        <v>13617</v>
      </c>
      <c r="V51" s="173">
        <f>U51-66</f>
        <v>13551</v>
      </c>
      <c r="W51" s="174">
        <f t="shared" si="13"/>
        <v>266</v>
      </c>
      <c r="X51" s="178">
        <f t="shared" si="5"/>
        <v>0.02</v>
      </c>
      <c r="Y51" s="179" t="str">
        <f t="shared" si="15"/>
        <v>2.00%-3.00%</v>
      </c>
      <c r="Z51" s="175"/>
      <c r="AA51" s="175"/>
      <c r="AB51" s="175"/>
      <c r="AC51" s="180"/>
      <c r="AD51" s="171">
        <f t="shared" si="7"/>
        <v>0</v>
      </c>
      <c r="AE51" s="176">
        <f t="shared" si="8"/>
        <v>13551</v>
      </c>
      <c r="AF51" s="164">
        <f t="shared" si="9"/>
        <v>266</v>
      </c>
      <c r="AG51" s="181">
        <f t="shared" si="10"/>
        <v>2.0022581859239663E-2</v>
      </c>
      <c r="AH51" s="166">
        <v>14</v>
      </c>
      <c r="AI51" s="166">
        <v>450</v>
      </c>
      <c r="AJ51" s="166"/>
      <c r="AK51" s="166">
        <v>688</v>
      </c>
      <c r="AL51" s="166">
        <f t="shared" si="11"/>
        <v>195802</v>
      </c>
      <c r="AM51" s="153">
        <v>2</v>
      </c>
      <c r="AN51" s="166"/>
      <c r="AO51" s="167"/>
      <c r="AP51" s="167"/>
      <c r="AQ51" s="151" t="s">
        <v>163</v>
      </c>
      <c r="AR51" s="151" t="s">
        <v>164</v>
      </c>
      <c r="AS51" s="151" t="s">
        <v>59</v>
      </c>
      <c r="AT51" s="183"/>
      <c r="AU51" s="167"/>
      <c r="AV51" s="167"/>
      <c r="AW51" s="170" t="str">
        <f t="shared" si="16"/>
        <v>OK</v>
      </c>
      <c r="AX51" s="21" t="s">
        <v>3131</v>
      </c>
      <c r="AY51" s="21" t="s">
        <v>3130</v>
      </c>
      <c r="AZ51" s="21"/>
      <c r="BA51" s="21"/>
    </row>
    <row r="52" spans="1:53" ht="20" customHeight="1">
      <c r="A52" s="86" t="s">
        <v>318</v>
      </c>
      <c r="B52" s="371" t="s">
        <v>2382</v>
      </c>
      <c r="C52" s="151" t="s">
        <v>51</v>
      </c>
      <c r="D52" s="151" t="s">
        <v>52</v>
      </c>
      <c r="E52" s="151" t="s">
        <v>62</v>
      </c>
      <c r="F52" s="151" t="s">
        <v>165</v>
      </c>
      <c r="G52" s="151" t="s">
        <v>161</v>
      </c>
      <c r="H52" s="152">
        <v>40490</v>
      </c>
      <c r="I52" s="151" t="s">
        <v>74</v>
      </c>
      <c r="J52" s="151" t="s">
        <v>186</v>
      </c>
      <c r="K52" s="151" t="s">
        <v>76</v>
      </c>
      <c r="L52" s="153">
        <v>2</v>
      </c>
      <c r="M52" s="153">
        <v>3</v>
      </c>
      <c r="N52" s="171">
        <v>15150</v>
      </c>
      <c r="O52" s="177">
        <v>0</v>
      </c>
      <c r="P52" s="172">
        <f t="shared" si="0"/>
        <v>0</v>
      </c>
      <c r="Q52" s="177">
        <v>0</v>
      </c>
      <c r="R52" s="172">
        <f t="shared" si="1"/>
        <v>0</v>
      </c>
      <c r="S52" s="177">
        <f t="shared" si="2"/>
        <v>0</v>
      </c>
      <c r="T52" s="172">
        <f t="shared" si="3"/>
        <v>0</v>
      </c>
      <c r="U52" s="172">
        <f t="shared" si="4"/>
        <v>15150</v>
      </c>
      <c r="V52" s="173">
        <v>15150</v>
      </c>
      <c r="W52" s="174">
        <f t="shared" si="13"/>
        <v>0</v>
      </c>
      <c r="X52" s="178">
        <f t="shared" si="5"/>
        <v>0</v>
      </c>
      <c r="Y52" s="179" t="str">
        <f t="shared" si="15"/>
        <v>0.00%-0.00%</v>
      </c>
      <c r="Z52" s="175"/>
      <c r="AA52" s="175"/>
      <c r="AB52" s="175"/>
      <c r="AC52" s="180"/>
      <c r="AD52" s="171">
        <f t="shared" si="7"/>
        <v>0</v>
      </c>
      <c r="AE52" s="176">
        <f t="shared" si="8"/>
        <v>15150</v>
      </c>
      <c r="AF52" s="164">
        <f t="shared" si="9"/>
        <v>0</v>
      </c>
      <c r="AG52" s="181">
        <f t="shared" si="10"/>
        <v>0</v>
      </c>
      <c r="AH52" s="166">
        <v>14</v>
      </c>
      <c r="AI52" s="166">
        <v>450</v>
      </c>
      <c r="AJ52" s="166"/>
      <c r="AK52" s="166">
        <v>688</v>
      </c>
      <c r="AL52" s="166">
        <f t="shared" si="11"/>
        <v>218188</v>
      </c>
      <c r="AM52" s="153">
        <v>4</v>
      </c>
      <c r="AN52" s="166"/>
      <c r="AO52" s="167"/>
      <c r="AP52" s="167"/>
      <c r="AQ52" s="151" t="s">
        <v>163</v>
      </c>
      <c r="AR52" s="151" t="s">
        <v>164</v>
      </c>
      <c r="AS52" s="151" t="s">
        <v>59</v>
      </c>
      <c r="AT52" s="183"/>
      <c r="AU52" s="167"/>
      <c r="AV52" s="167"/>
      <c r="AW52" s="169" t="str">
        <f t="shared" si="16"/>
        <v>OK</v>
      </c>
      <c r="AX52" s="21" t="s">
        <v>3135</v>
      </c>
      <c r="AY52" s="21" t="s">
        <v>3134</v>
      </c>
      <c r="AZ52" s="21"/>
      <c r="BA52" s="21"/>
    </row>
    <row r="53" spans="1:53" ht="20" customHeight="1">
      <c r="A53" s="86" t="s">
        <v>318</v>
      </c>
      <c r="B53" s="371" t="s">
        <v>2383</v>
      </c>
      <c r="C53" s="151" t="s">
        <v>51</v>
      </c>
      <c r="D53" s="151" t="s">
        <v>52</v>
      </c>
      <c r="E53" s="151" t="s">
        <v>62</v>
      </c>
      <c r="F53" s="151" t="s">
        <v>160</v>
      </c>
      <c r="G53" s="151" t="s">
        <v>161</v>
      </c>
      <c r="H53" s="152">
        <v>44615</v>
      </c>
      <c r="I53" s="151" t="s">
        <v>82</v>
      </c>
      <c r="J53" s="151" t="s">
        <v>187</v>
      </c>
      <c r="K53" s="151" t="s">
        <v>84</v>
      </c>
      <c r="L53" s="153">
        <v>2</v>
      </c>
      <c r="M53" s="153">
        <v>3</v>
      </c>
      <c r="N53" s="171">
        <v>9205</v>
      </c>
      <c r="O53" s="177">
        <v>2.5000000000000001E-2</v>
      </c>
      <c r="P53" s="172">
        <f t="shared" si="0"/>
        <v>230</v>
      </c>
      <c r="Q53" s="177">
        <v>0</v>
      </c>
      <c r="R53" s="172">
        <f t="shared" si="1"/>
        <v>0</v>
      </c>
      <c r="S53" s="177">
        <f t="shared" si="2"/>
        <v>2.4986420423682782E-2</v>
      </c>
      <c r="T53" s="172">
        <f t="shared" si="3"/>
        <v>230</v>
      </c>
      <c r="U53" s="172">
        <f t="shared" si="4"/>
        <v>9435</v>
      </c>
      <c r="V53" s="173">
        <v>9205</v>
      </c>
      <c r="W53" s="174">
        <f t="shared" si="13"/>
        <v>0</v>
      </c>
      <c r="X53" s="178">
        <f t="shared" si="5"/>
        <v>0</v>
      </c>
      <c r="Y53" s="179" t="str">
        <f t="shared" si="15"/>
        <v>2.00%-3.00%</v>
      </c>
      <c r="Z53" s="175"/>
      <c r="AA53" s="175"/>
      <c r="AB53" s="175"/>
      <c r="AC53" s="180"/>
      <c r="AD53" s="171">
        <f t="shared" si="7"/>
        <v>0</v>
      </c>
      <c r="AE53" s="176">
        <f t="shared" si="8"/>
        <v>9205</v>
      </c>
      <c r="AF53" s="164">
        <f t="shared" si="9"/>
        <v>0</v>
      </c>
      <c r="AG53" s="181">
        <f t="shared" si="10"/>
        <v>0</v>
      </c>
      <c r="AH53" s="166">
        <v>14</v>
      </c>
      <c r="AI53" s="166">
        <v>450</v>
      </c>
      <c r="AJ53" s="166"/>
      <c r="AK53" s="166">
        <v>688</v>
      </c>
      <c r="AL53" s="166">
        <f t="shared" si="11"/>
        <v>134958</v>
      </c>
      <c r="AM53" s="153">
        <v>3</v>
      </c>
      <c r="AN53" s="166"/>
      <c r="AO53" s="167" t="s">
        <v>188</v>
      </c>
      <c r="AP53" s="167" t="s">
        <v>149</v>
      </c>
      <c r="AQ53" s="151" t="s">
        <v>163</v>
      </c>
      <c r="AR53" s="151" t="s">
        <v>164</v>
      </c>
      <c r="AS53" s="151" t="s">
        <v>59</v>
      </c>
      <c r="AT53" s="183"/>
      <c r="AU53" s="167" t="s">
        <v>98</v>
      </c>
      <c r="AV53" s="167"/>
      <c r="AW53" s="170" t="str">
        <f t="shared" si="16"/>
        <v>0 increase</v>
      </c>
      <c r="AX53" s="21" t="s">
        <v>3131</v>
      </c>
      <c r="AY53" s="21" t="s">
        <v>3130</v>
      </c>
      <c r="AZ53" s="21"/>
      <c r="BA53" s="21"/>
    </row>
    <row r="54" spans="1:53" ht="20" customHeight="1">
      <c r="A54" s="86" t="s">
        <v>318</v>
      </c>
      <c r="B54" s="371" t="s">
        <v>2384</v>
      </c>
      <c r="C54" s="151" t="s">
        <v>51</v>
      </c>
      <c r="D54" s="151" t="s">
        <v>52</v>
      </c>
      <c r="E54" s="151" t="s">
        <v>62</v>
      </c>
      <c r="F54" s="151" t="s">
        <v>165</v>
      </c>
      <c r="G54" s="151" t="s">
        <v>161</v>
      </c>
      <c r="H54" s="152">
        <v>35660</v>
      </c>
      <c r="I54" s="151" t="s">
        <v>74</v>
      </c>
      <c r="J54" s="151" t="s">
        <v>74</v>
      </c>
      <c r="K54" s="151" t="s">
        <v>76</v>
      </c>
      <c r="L54" s="153">
        <v>2</v>
      </c>
      <c r="M54" s="153">
        <v>3</v>
      </c>
      <c r="N54" s="171">
        <v>12985</v>
      </c>
      <c r="O54" s="177">
        <v>0</v>
      </c>
      <c r="P54" s="172">
        <f t="shared" si="0"/>
        <v>0</v>
      </c>
      <c r="Q54" s="177">
        <v>0</v>
      </c>
      <c r="R54" s="172">
        <f t="shared" si="1"/>
        <v>0</v>
      </c>
      <c r="S54" s="177">
        <f t="shared" si="2"/>
        <v>0</v>
      </c>
      <c r="T54" s="172">
        <f t="shared" si="3"/>
        <v>0</v>
      </c>
      <c r="U54" s="172">
        <f t="shared" si="4"/>
        <v>12985</v>
      </c>
      <c r="V54" s="173">
        <v>12985</v>
      </c>
      <c r="W54" s="174">
        <f t="shared" si="13"/>
        <v>0</v>
      </c>
      <c r="X54" s="178">
        <f t="shared" si="5"/>
        <v>0</v>
      </c>
      <c r="Y54" s="179" t="str">
        <f t="shared" si="15"/>
        <v>0.00%-0.00%</v>
      </c>
      <c r="Z54" s="175"/>
      <c r="AA54" s="175"/>
      <c r="AB54" s="175"/>
      <c r="AC54" s="180"/>
      <c r="AD54" s="171">
        <f t="shared" si="7"/>
        <v>0</v>
      </c>
      <c r="AE54" s="176">
        <f t="shared" si="8"/>
        <v>12985</v>
      </c>
      <c r="AF54" s="164">
        <f t="shared" si="9"/>
        <v>0</v>
      </c>
      <c r="AG54" s="181">
        <f t="shared" si="10"/>
        <v>0</v>
      </c>
      <c r="AH54" s="166">
        <v>14</v>
      </c>
      <c r="AI54" s="166">
        <v>3050</v>
      </c>
      <c r="AJ54" s="166"/>
      <c r="AK54" s="166">
        <v>688</v>
      </c>
      <c r="AL54" s="166">
        <f t="shared" si="11"/>
        <v>219078</v>
      </c>
      <c r="AM54" s="153">
        <v>3</v>
      </c>
      <c r="AN54" s="166"/>
      <c r="AO54" s="167"/>
      <c r="AP54" s="167"/>
      <c r="AQ54" s="151" t="s">
        <v>163</v>
      </c>
      <c r="AR54" s="151" t="s">
        <v>164</v>
      </c>
      <c r="AS54" s="151" t="s">
        <v>59</v>
      </c>
      <c r="AT54" s="183"/>
      <c r="AU54" s="167"/>
      <c r="AV54" s="167"/>
      <c r="AW54" s="169" t="str">
        <f t="shared" si="16"/>
        <v>OK</v>
      </c>
      <c r="AX54" s="21" t="s">
        <v>3137</v>
      </c>
      <c r="AY54" s="21" t="s">
        <v>3134</v>
      </c>
      <c r="AZ54" s="21"/>
      <c r="BA54" s="21"/>
    </row>
    <row r="55" spans="1:53" ht="20" customHeight="1">
      <c r="A55" s="86" t="s">
        <v>318</v>
      </c>
      <c r="B55" s="371" t="s">
        <v>2385</v>
      </c>
      <c r="C55" s="151" t="s">
        <v>51</v>
      </c>
      <c r="D55" s="151" t="s">
        <v>52</v>
      </c>
      <c r="E55" s="151" t="s">
        <v>62</v>
      </c>
      <c r="F55" s="151" t="s">
        <v>180</v>
      </c>
      <c r="G55" s="151" t="s">
        <v>181</v>
      </c>
      <c r="H55" s="152">
        <v>44328</v>
      </c>
      <c r="I55" s="151" t="s">
        <v>74</v>
      </c>
      <c r="J55" s="151" t="s">
        <v>142</v>
      </c>
      <c r="K55" s="151" t="s">
        <v>76</v>
      </c>
      <c r="L55" s="153">
        <v>2</v>
      </c>
      <c r="M55" s="153">
        <v>5</v>
      </c>
      <c r="N55" s="171">
        <v>17480</v>
      </c>
      <c r="O55" s="177">
        <v>0.03</v>
      </c>
      <c r="P55" s="172">
        <f t="shared" si="0"/>
        <v>524</v>
      </c>
      <c r="Q55" s="177">
        <v>0</v>
      </c>
      <c r="R55" s="172">
        <f t="shared" si="1"/>
        <v>0</v>
      </c>
      <c r="S55" s="177">
        <f t="shared" si="2"/>
        <v>2.9977116704805493E-2</v>
      </c>
      <c r="T55" s="172">
        <f t="shared" si="3"/>
        <v>524</v>
      </c>
      <c r="U55" s="172">
        <f t="shared" si="4"/>
        <v>18004</v>
      </c>
      <c r="V55" s="173">
        <v>18110</v>
      </c>
      <c r="W55" s="174">
        <f t="shared" si="13"/>
        <v>630</v>
      </c>
      <c r="X55" s="178">
        <f t="shared" si="5"/>
        <v>3.5999999999999997E-2</v>
      </c>
      <c r="Y55" s="179" t="str">
        <f t="shared" si="15"/>
        <v>2.40%-3.60%</v>
      </c>
      <c r="Z55" s="175"/>
      <c r="AA55" s="175"/>
      <c r="AB55" s="175"/>
      <c r="AC55" s="180"/>
      <c r="AD55" s="171">
        <f t="shared" si="7"/>
        <v>0</v>
      </c>
      <c r="AE55" s="176">
        <f t="shared" si="8"/>
        <v>18110</v>
      </c>
      <c r="AF55" s="164">
        <f t="shared" si="9"/>
        <v>630</v>
      </c>
      <c r="AG55" s="181">
        <f t="shared" si="10"/>
        <v>3.6041189931350193E-2</v>
      </c>
      <c r="AH55" s="166">
        <v>14</v>
      </c>
      <c r="AI55" s="166">
        <v>450</v>
      </c>
      <c r="AJ55" s="166"/>
      <c r="AK55" s="166">
        <v>688</v>
      </c>
      <c r="AL55" s="166">
        <f t="shared" si="11"/>
        <v>259628</v>
      </c>
      <c r="AM55" s="153">
        <v>4</v>
      </c>
      <c r="AN55" s="166"/>
      <c r="AO55" s="167"/>
      <c r="AP55" s="167"/>
      <c r="AQ55" s="151" t="s">
        <v>163</v>
      </c>
      <c r="AR55" s="151" t="s">
        <v>164</v>
      </c>
      <c r="AS55" s="151" t="s">
        <v>59</v>
      </c>
      <c r="AT55" s="183"/>
      <c r="AU55" s="167"/>
      <c r="AV55" s="167"/>
      <c r="AW55" s="170" t="str">
        <f t="shared" si="16"/>
        <v>OK</v>
      </c>
      <c r="AX55" s="21" t="s">
        <v>3131</v>
      </c>
      <c r="AY55" s="21" t="s">
        <v>3138</v>
      </c>
      <c r="AZ55" s="21"/>
      <c r="BA55" s="21"/>
    </row>
    <row r="56" spans="1:53" ht="20" customHeight="1">
      <c r="A56" s="86" t="s">
        <v>318</v>
      </c>
      <c r="B56" s="371" t="s">
        <v>2386</v>
      </c>
      <c r="C56" s="151" t="s">
        <v>51</v>
      </c>
      <c r="D56" s="151" t="s">
        <v>52</v>
      </c>
      <c r="E56" s="151" t="s">
        <v>62</v>
      </c>
      <c r="F56" s="151" t="s">
        <v>180</v>
      </c>
      <c r="G56" s="151" t="s">
        <v>181</v>
      </c>
      <c r="H56" s="152">
        <v>39616</v>
      </c>
      <c r="I56" s="151" t="s">
        <v>74</v>
      </c>
      <c r="J56" s="151" t="s">
        <v>74</v>
      </c>
      <c r="K56" s="151" t="s">
        <v>76</v>
      </c>
      <c r="L56" s="153">
        <v>2</v>
      </c>
      <c r="M56" s="153">
        <v>4</v>
      </c>
      <c r="N56" s="171">
        <v>12391</v>
      </c>
      <c r="O56" s="177">
        <v>3.7500000000000006E-2</v>
      </c>
      <c r="P56" s="172">
        <f t="shared" si="0"/>
        <v>465</v>
      </c>
      <c r="Q56" s="177">
        <v>1.55E-2</v>
      </c>
      <c r="R56" s="172">
        <f t="shared" si="1"/>
        <v>192</v>
      </c>
      <c r="S56" s="177">
        <f t="shared" si="2"/>
        <v>5.3022354935033489E-2</v>
      </c>
      <c r="T56" s="172">
        <f t="shared" si="3"/>
        <v>657</v>
      </c>
      <c r="U56" s="172">
        <f t="shared" si="4"/>
        <v>13048</v>
      </c>
      <c r="V56" s="173">
        <v>13048</v>
      </c>
      <c r="W56" s="174">
        <f t="shared" si="13"/>
        <v>657</v>
      </c>
      <c r="X56" s="178">
        <f t="shared" si="5"/>
        <v>5.2999999999999999E-2</v>
      </c>
      <c r="Y56" s="179" t="str">
        <f t="shared" si="15"/>
        <v>4.24%-6.36%</v>
      </c>
      <c r="Z56" s="175"/>
      <c r="AA56" s="175"/>
      <c r="AB56" s="175"/>
      <c r="AC56" s="180"/>
      <c r="AD56" s="171">
        <f t="shared" si="7"/>
        <v>0</v>
      </c>
      <c r="AE56" s="176">
        <f t="shared" si="8"/>
        <v>13048</v>
      </c>
      <c r="AF56" s="164">
        <f t="shared" si="9"/>
        <v>657</v>
      </c>
      <c r="AG56" s="181">
        <f t="shared" si="10"/>
        <v>5.3022354935033489E-2</v>
      </c>
      <c r="AH56" s="166">
        <v>14</v>
      </c>
      <c r="AI56" s="166">
        <v>500</v>
      </c>
      <c r="AJ56" s="166"/>
      <c r="AK56" s="166">
        <v>688</v>
      </c>
      <c r="AL56" s="166">
        <f t="shared" si="11"/>
        <v>189360</v>
      </c>
      <c r="AM56" s="153">
        <v>2</v>
      </c>
      <c r="AN56" s="166"/>
      <c r="AO56" s="167"/>
      <c r="AP56" s="167"/>
      <c r="AQ56" s="151" t="s">
        <v>163</v>
      </c>
      <c r="AR56" s="151" t="s">
        <v>164</v>
      </c>
      <c r="AS56" s="151" t="s">
        <v>59</v>
      </c>
      <c r="AT56" s="183"/>
      <c r="AU56" s="167"/>
      <c r="AV56" s="167"/>
      <c r="AW56" s="169" t="str">
        <f t="shared" si="16"/>
        <v>OK</v>
      </c>
      <c r="AX56" s="21" t="s">
        <v>3129</v>
      </c>
      <c r="AY56" s="21" t="s">
        <v>3130</v>
      </c>
      <c r="AZ56" s="21"/>
      <c r="BA56" s="21"/>
    </row>
    <row r="57" spans="1:53" ht="20" customHeight="1">
      <c r="A57" s="86" t="s">
        <v>318</v>
      </c>
      <c r="B57" s="371" t="s">
        <v>2387</v>
      </c>
      <c r="C57" s="151" t="s">
        <v>51</v>
      </c>
      <c r="D57" s="151" t="s">
        <v>52</v>
      </c>
      <c r="E57" s="151" t="s">
        <v>62</v>
      </c>
      <c r="F57" s="151" t="s">
        <v>180</v>
      </c>
      <c r="G57" s="151" t="s">
        <v>181</v>
      </c>
      <c r="H57" s="152">
        <v>42543</v>
      </c>
      <c r="I57" s="151" t="s">
        <v>74</v>
      </c>
      <c r="J57" s="151" t="s">
        <v>74</v>
      </c>
      <c r="K57" s="151" t="s">
        <v>76</v>
      </c>
      <c r="L57" s="153">
        <v>2</v>
      </c>
      <c r="M57" s="153">
        <v>4</v>
      </c>
      <c r="N57" s="171">
        <v>16100</v>
      </c>
      <c r="O57" s="177">
        <v>0.03</v>
      </c>
      <c r="P57" s="172">
        <f t="shared" si="0"/>
        <v>483</v>
      </c>
      <c r="Q57" s="177">
        <v>0</v>
      </c>
      <c r="R57" s="172">
        <f t="shared" si="1"/>
        <v>0</v>
      </c>
      <c r="S57" s="177">
        <f t="shared" si="2"/>
        <v>0.03</v>
      </c>
      <c r="T57" s="172">
        <f t="shared" si="3"/>
        <v>483</v>
      </c>
      <c r="U57" s="172">
        <f t="shared" si="4"/>
        <v>16583</v>
      </c>
      <c r="V57" s="173">
        <v>16583</v>
      </c>
      <c r="W57" s="174">
        <f t="shared" si="13"/>
        <v>483</v>
      </c>
      <c r="X57" s="178">
        <f t="shared" si="5"/>
        <v>0.03</v>
      </c>
      <c r="Y57" s="179" t="str">
        <f t="shared" si="15"/>
        <v>2.40%-3.60%</v>
      </c>
      <c r="Z57" s="175"/>
      <c r="AA57" s="175"/>
      <c r="AB57" s="175"/>
      <c r="AC57" s="180"/>
      <c r="AD57" s="171">
        <f t="shared" si="7"/>
        <v>0</v>
      </c>
      <c r="AE57" s="176">
        <f t="shared" si="8"/>
        <v>16583</v>
      </c>
      <c r="AF57" s="164">
        <f t="shared" si="9"/>
        <v>483</v>
      </c>
      <c r="AG57" s="181">
        <f t="shared" si="10"/>
        <v>3.0000000000000027E-2</v>
      </c>
      <c r="AH57" s="166">
        <v>14</v>
      </c>
      <c r="AI57" s="166">
        <v>500</v>
      </c>
      <c r="AJ57" s="166"/>
      <c r="AK57" s="166">
        <v>688</v>
      </c>
      <c r="AL57" s="166">
        <f t="shared" si="11"/>
        <v>238850</v>
      </c>
      <c r="AM57" s="153">
        <v>4</v>
      </c>
      <c r="AN57" s="166"/>
      <c r="AO57" s="167"/>
      <c r="AP57" s="167"/>
      <c r="AQ57" s="151" t="s">
        <v>163</v>
      </c>
      <c r="AR57" s="151" t="s">
        <v>164</v>
      </c>
      <c r="AS57" s="151" t="s">
        <v>59</v>
      </c>
      <c r="AT57" s="183"/>
      <c r="AU57" s="167"/>
      <c r="AV57" s="167"/>
      <c r="AW57" s="170" t="str">
        <f t="shared" si="16"/>
        <v>OK</v>
      </c>
      <c r="AX57" s="21" t="s">
        <v>3133</v>
      </c>
      <c r="AY57" s="21" t="s">
        <v>3136</v>
      </c>
      <c r="AZ57" s="21"/>
      <c r="BA57" s="21"/>
    </row>
    <row r="58" spans="1:53" ht="20" customHeight="1">
      <c r="A58" s="86" t="s">
        <v>318</v>
      </c>
      <c r="B58" s="371" t="s">
        <v>2388</v>
      </c>
      <c r="C58" s="151" t="s">
        <v>51</v>
      </c>
      <c r="D58" s="151" t="s">
        <v>52</v>
      </c>
      <c r="E58" s="151" t="s">
        <v>62</v>
      </c>
      <c r="F58" s="151" t="s">
        <v>165</v>
      </c>
      <c r="G58" s="151" t="s">
        <v>161</v>
      </c>
      <c r="H58" s="152">
        <v>42634</v>
      </c>
      <c r="I58" s="151" t="s">
        <v>111</v>
      </c>
      <c r="J58" s="151" t="s">
        <v>189</v>
      </c>
      <c r="K58" s="151" t="s">
        <v>56</v>
      </c>
      <c r="L58" s="153">
        <v>2</v>
      </c>
      <c r="M58" s="153">
        <v>5</v>
      </c>
      <c r="N58" s="171">
        <v>21554</v>
      </c>
      <c r="O58" s="177">
        <v>0.06</v>
      </c>
      <c r="P58" s="172">
        <f t="shared" si="0"/>
        <v>1293</v>
      </c>
      <c r="Q58" s="177">
        <v>7.7799999999999994E-2</v>
      </c>
      <c r="R58" s="172">
        <f t="shared" si="1"/>
        <v>1677</v>
      </c>
      <c r="S58" s="177">
        <f t="shared" si="2"/>
        <v>0.13779344901178436</v>
      </c>
      <c r="T58" s="172">
        <f t="shared" si="3"/>
        <v>2970</v>
      </c>
      <c r="U58" s="172">
        <f t="shared" si="4"/>
        <v>24524</v>
      </c>
      <c r="V58" s="173">
        <v>24221</v>
      </c>
      <c r="W58" s="174">
        <f t="shared" si="13"/>
        <v>2667</v>
      </c>
      <c r="X58" s="178">
        <f t="shared" si="5"/>
        <v>0.1237</v>
      </c>
      <c r="Y58" s="179" t="str">
        <f t="shared" si="15"/>
        <v>11.02%-16.54%</v>
      </c>
      <c r="Z58" s="175"/>
      <c r="AA58" s="175"/>
      <c r="AB58" s="175"/>
      <c r="AC58" s="180"/>
      <c r="AD58" s="171">
        <f t="shared" si="7"/>
        <v>0</v>
      </c>
      <c r="AE58" s="176">
        <f t="shared" si="8"/>
        <v>24221</v>
      </c>
      <c r="AF58" s="164">
        <f t="shared" si="9"/>
        <v>2667</v>
      </c>
      <c r="AG58" s="181">
        <f t="shared" si="10"/>
        <v>0.12373573350654166</v>
      </c>
      <c r="AH58" s="166">
        <v>14</v>
      </c>
      <c r="AI58" s="166">
        <v>450</v>
      </c>
      <c r="AJ58" s="166"/>
      <c r="AK58" s="166">
        <v>688</v>
      </c>
      <c r="AL58" s="166">
        <f t="shared" si="11"/>
        <v>345182</v>
      </c>
      <c r="AM58" s="153">
        <v>5</v>
      </c>
      <c r="AN58" s="166"/>
      <c r="AO58" s="167"/>
      <c r="AP58" s="167"/>
      <c r="AQ58" s="151" t="s">
        <v>163</v>
      </c>
      <c r="AR58" s="151" t="s">
        <v>164</v>
      </c>
      <c r="AS58" s="151" t="s">
        <v>59</v>
      </c>
      <c r="AT58" s="183"/>
      <c r="AU58" s="167"/>
      <c r="AV58" s="167"/>
      <c r="AW58" s="169" t="str">
        <f t="shared" si="16"/>
        <v>OK</v>
      </c>
      <c r="AX58" s="21" t="s">
        <v>3133</v>
      </c>
      <c r="AY58" s="21">
        <v>0</v>
      </c>
      <c r="AZ58" s="21"/>
      <c r="BA58" s="21"/>
    </row>
    <row r="59" spans="1:53" ht="20" customHeight="1">
      <c r="A59" s="86" t="s">
        <v>318</v>
      </c>
      <c r="B59" s="371" t="s">
        <v>2389</v>
      </c>
      <c r="C59" s="151" t="s">
        <v>51</v>
      </c>
      <c r="D59" s="151" t="s">
        <v>52</v>
      </c>
      <c r="E59" s="151" t="s">
        <v>62</v>
      </c>
      <c r="F59" s="151" t="s">
        <v>180</v>
      </c>
      <c r="G59" s="151" t="s">
        <v>181</v>
      </c>
      <c r="H59" s="152">
        <v>43908</v>
      </c>
      <c r="I59" s="151" t="s">
        <v>111</v>
      </c>
      <c r="J59" s="151" t="s">
        <v>191</v>
      </c>
      <c r="K59" s="151" t="s">
        <v>56</v>
      </c>
      <c r="L59" s="153">
        <v>2</v>
      </c>
      <c r="M59" s="153">
        <v>3</v>
      </c>
      <c r="N59" s="171">
        <v>20400</v>
      </c>
      <c r="O59" s="177">
        <v>0.03</v>
      </c>
      <c r="P59" s="172">
        <f t="shared" ref="P59:P69" si="17">ROUND(N59*O59,0)</f>
        <v>612</v>
      </c>
      <c r="Q59" s="177">
        <v>0</v>
      </c>
      <c r="R59" s="172">
        <f t="shared" ref="R59:R69" si="18">ROUND(N59*Q59,0)</f>
        <v>0</v>
      </c>
      <c r="S59" s="177">
        <f t="shared" ref="S59:S69" si="19">T59/N59</f>
        <v>0.03</v>
      </c>
      <c r="T59" s="172">
        <f t="shared" ref="T59:T69" si="20">P59+R59</f>
        <v>612</v>
      </c>
      <c r="U59" s="172">
        <f t="shared" ref="U59:U69" si="21">N59+T59</f>
        <v>21012</v>
      </c>
      <c r="V59" s="173">
        <v>21012</v>
      </c>
      <c r="W59" s="174">
        <f t="shared" ref="W59:W69" si="22">V59-N59</f>
        <v>612</v>
      </c>
      <c r="X59" s="178">
        <f t="shared" ref="X59:X69" si="23">ROUND(V59/N59-1,4)</f>
        <v>0.03</v>
      </c>
      <c r="Y59" s="179" t="str">
        <f t="shared" si="15"/>
        <v>2.40%-3.60%</v>
      </c>
      <c r="Z59" s="175"/>
      <c r="AA59" s="175"/>
      <c r="AB59" s="175"/>
      <c r="AC59" s="180"/>
      <c r="AD59" s="171">
        <f t="shared" ref="AD59:AD69" si="24">ROUND(N59*AC59,0)</f>
        <v>0</v>
      </c>
      <c r="AE59" s="176">
        <f t="shared" ref="AE59:AE69" si="25">V59+AD59</f>
        <v>21012</v>
      </c>
      <c r="AF59" s="164">
        <f t="shared" ref="AF59:AF69" si="26">AE59-N59</f>
        <v>612</v>
      </c>
      <c r="AG59" s="181">
        <f t="shared" ref="AG59:AG69" si="27">AE59/N59-1</f>
        <v>3.0000000000000027E-2</v>
      </c>
      <c r="AH59" s="166">
        <v>14</v>
      </c>
      <c r="AI59" s="166">
        <v>450</v>
      </c>
      <c r="AJ59" s="166"/>
      <c r="AK59" s="166">
        <v>688</v>
      </c>
      <c r="AL59" s="166">
        <f t="shared" ref="AL59:AL69" si="28">AE59*AH59+AI59*12+AK59+IF(AB59="",AJ59,IF(AB59="D",5000,IF(AB59="C",1000,0)))*12</f>
        <v>300256</v>
      </c>
      <c r="AM59" s="153">
        <v>4</v>
      </c>
      <c r="AN59" s="166"/>
      <c r="AO59" s="167"/>
      <c r="AP59" s="167"/>
      <c r="AQ59" s="151" t="s">
        <v>163</v>
      </c>
      <c r="AR59" s="151" t="s">
        <v>164</v>
      </c>
      <c r="AS59" s="151" t="s">
        <v>59</v>
      </c>
      <c r="AT59" s="183"/>
      <c r="AU59" s="167"/>
      <c r="AV59" s="167"/>
      <c r="AW59" s="170" t="str">
        <f t="shared" ref="AW59:AW79" si="29">_xlfn.LET(_xlpm.actual,X59,_xlpm.low,VALUE(_xlfn.TEXTBEFORE(Y59,"-")),_xlpm.high,VALUE(_xlfn.TEXTAFTER(Y59,"-")),IF(AND(_xlpm.actual=0,OR(_xlpm.low&lt;&gt;0,_xlpm.high&lt;&gt;0)),"0 increase",IF(_xlpm.actual&gt;_xlpm.high*1.2,"&gt;20",IF(_xlpm.actual&lt;_xlpm.low*0.8,"&lt;20","OK"))))</f>
        <v>OK</v>
      </c>
      <c r="AX59" s="21" t="s">
        <v>3133</v>
      </c>
      <c r="AY59" s="21" t="s">
        <v>3132</v>
      </c>
      <c r="AZ59" s="21"/>
      <c r="BA59" s="21"/>
    </row>
    <row r="60" spans="1:53" ht="20" customHeight="1">
      <c r="A60" s="86" t="s">
        <v>318</v>
      </c>
      <c r="B60" s="371" t="s">
        <v>2390</v>
      </c>
      <c r="C60" s="151" t="s">
        <v>51</v>
      </c>
      <c r="D60" s="151" t="s">
        <v>52</v>
      </c>
      <c r="E60" s="151" t="s">
        <v>62</v>
      </c>
      <c r="F60" s="151" t="s">
        <v>180</v>
      </c>
      <c r="G60" s="151" t="s">
        <v>181</v>
      </c>
      <c r="H60" s="152">
        <v>44686</v>
      </c>
      <c r="I60" s="151" t="s">
        <v>82</v>
      </c>
      <c r="J60" s="151" t="s">
        <v>192</v>
      </c>
      <c r="K60" s="151" t="s">
        <v>84</v>
      </c>
      <c r="L60" s="153">
        <v>2</v>
      </c>
      <c r="M60" s="153">
        <v>3</v>
      </c>
      <c r="N60" s="171">
        <v>12472</v>
      </c>
      <c r="O60" s="177">
        <v>0</v>
      </c>
      <c r="P60" s="172">
        <f t="shared" si="17"/>
        <v>0</v>
      </c>
      <c r="Q60" s="177">
        <v>0</v>
      </c>
      <c r="R60" s="172">
        <f t="shared" si="18"/>
        <v>0</v>
      </c>
      <c r="S60" s="177">
        <f t="shared" si="19"/>
        <v>0</v>
      </c>
      <c r="T60" s="172">
        <f t="shared" si="20"/>
        <v>0</v>
      </c>
      <c r="U60" s="172">
        <f t="shared" si="21"/>
        <v>12472</v>
      </c>
      <c r="V60" s="173">
        <v>12700</v>
      </c>
      <c r="W60" s="174">
        <f t="shared" si="22"/>
        <v>228</v>
      </c>
      <c r="X60" s="178">
        <f t="shared" si="23"/>
        <v>1.83E-2</v>
      </c>
      <c r="Y60" s="179" t="str">
        <f t="shared" si="15"/>
        <v>0.00%-0.00%</v>
      </c>
      <c r="Z60" s="175"/>
      <c r="AA60" s="175"/>
      <c r="AB60" s="175"/>
      <c r="AC60" s="180"/>
      <c r="AD60" s="171">
        <f t="shared" si="24"/>
        <v>0</v>
      </c>
      <c r="AE60" s="176">
        <f t="shared" si="25"/>
        <v>12700</v>
      </c>
      <c r="AF60" s="164">
        <f t="shared" si="26"/>
        <v>228</v>
      </c>
      <c r="AG60" s="181">
        <f t="shared" si="27"/>
        <v>1.8280949326491269E-2</v>
      </c>
      <c r="AH60" s="166">
        <v>14</v>
      </c>
      <c r="AI60" s="166">
        <v>450</v>
      </c>
      <c r="AJ60" s="166"/>
      <c r="AK60" s="166">
        <v>688</v>
      </c>
      <c r="AL60" s="166">
        <f t="shared" si="28"/>
        <v>183888</v>
      </c>
      <c r="AM60" s="153">
        <v>3</v>
      </c>
      <c r="AN60" s="166"/>
      <c r="AO60" s="167" t="s">
        <v>193</v>
      </c>
      <c r="AP60" s="167" t="s">
        <v>194</v>
      </c>
      <c r="AQ60" s="151" t="s">
        <v>163</v>
      </c>
      <c r="AR60" s="151" t="s">
        <v>164</v>
      </c>
      <c r="AS60" s="151" t="s">
        <v>59</v>
      </c>
      <c r="AT60" s="183"/>
      <c r="AU60" s="167" t="s">
        <v>102</v>
      </c>
      <c r="AV60" s="167" t="s">
        <v>103</v>
      </c>
      <c r="AW60" s="169" t="str">
        <f t="shared" si="29"/>
        <v>&gt;20</v>
      </c>
      <c r="AX60" s="21" t="s">
        <v>3131</v>
      </c>
      <c r="AY60" s="21" t="s">
        <v>3134</v>
      </c>
      <c r="AZ60" s="21"/>
      <c r="BA60" s="21"/>
    </row>
    <row r="61" spans="1:53" ht="20" customHeight="1">
      <c r="A61" s="86" t="s">
        <v>318</v>
      </c>
      <c r="B61" s="371" t="s">
        <v>2391</v>
      </c>
      <c r="C61" s="151" t="s">
        <v>51</v>
      </c>
      <c r="D61" s="151" t="s">
        <v>52</v>
      </c>
      <c r="E61" s="151" t="s">
        <v>62</v>
      </c>
      <c r="F61" s="151" t="s">
        <v>160</v>
      </c>
      <c r="G61" s="151" t="s">
        <v>161</v>
      </c>
      <c r="H61" s="152">
        <v>45035</v>
      </c>
      <c r="I61" s="151" t="s">
        <v>74</v>
      </c>
      <c r="J61" s="151" t="s">
        <v>195</v>
      </c>
      <c r="K61" s="151" t="s">
        <v>76</v>
      </c>
      <c r="L61" s="153">
        <v>2</v>
      </c>
      <c r="M61" s="153">
        <v>3</v>
      </c>
      <c r="N61" s="171">
        <v>11020</v>
      </c>
      <c r="O61" s="177">
        <v>0.03</v>
      </c>
      <c r="P61" s="172">
        <f t="shared" si="17"/>
        <v>331</v>
      </c>
      <c r="Q61" s="177">
        <v>0</v>
      </c>
      <c r="R61" s="172">
        <f t="shared" si="18"/>
        <v>0</v>
      </c>
      <c r="S61" s="177">
        <f t="shared" si="19"/>
        <v>3.0036297640653357E-2</v>
      </c>
      <c r="T61" s="172">
        <f t="shared" si="20"/>
        <v>331</v>
      </c>
      <c r="U61" s="172">
        <f t="shared" si="21"/>
        <v>11351</v>
      </c>
      <c r="V61" s="173">
        <v>11751</v>
      </c>
      <c r="W61" s="174">
        <f t="shared" si="22"/>
        <v>731</v>
      </c>
      <c r="X61" s="178">
        <f t="shared" si="23"/>
        <v>6.6299999999999998E-2</v>
      </c>
      <c r="Y61" s="179" t="str">
        <f t="shared" si="15"/>
        <v>2.40%-3.60%</v>
      </c>
      <c r="Z61" s="175"/>
      <c r="AA61" s="175"/>
      <c r="AB61" s="175"/>
      <c r="AC61" s="180"/>
      <c r="AD61" s="171">
        <f t="shared" si="24"/>
        <v>0</v>
      </c>
      <c r="AE61" s="176">
        <f t="shared" si="25"/>
        <v>11751</v>
      </c>
      <c r="AF61" s="164">
        <f t="shared" si="26"/>
        <v>731</v>
      </c>
      <c r="AG61" s="181">
        <f t="shared" si="27"/>
        <v>6.6333938294010908E-2</v>
      </c>
      <c r="AH61" s="166">
        <v>14</v>
      </c>
      <c r="AI61" s="166">
        <v>550</v>
      </c>
      <c r="AJ61" s="166"/>
      <c r="AK61" s="166">
        <v>688</v>
      </c>
      <c r="AL61" s="166">
        <f t="shared" si="28"/>
        <v>171802</v>
      </c>
      <c r="AM61" s="153">
        <v>5</v>
      </c>
      <c r="AN61" s="166"/>
      <c r="AO61" s="167" t="s">
        <v>196</v>
      </c>
      <c r="AP61" s="167" t="s">
        <v>101</v>
      </c>
      <c r="AQ61" s="151" t="s">
        <v>163</v>
      </c>
      <c r="AR61" s="151" t="s">
        <v>164</v>
      </c>
      <c r="AS61" s="151" t="s">
        <v>59</v>
      </c>
      <c r="AT61" s="183"/>
      <c r="AU61" s="167" t="s">
        <v>102</v>
      </c>
      <c r="AV61" s="167" t="s">
        <v>103</v>
      </c>
      <c r="AW61" s="170" t="str">
        <f t="shared" si="29"/>
        <v>&gt;20</v>
      </c>
      <c r="AX61" s="21" t="s">
        <v>3131</v>
      </c>
      <c r="AY61" s="21" t="s">
        <v>3132</v>
      </c>
      <c r="AZ61" s="21"/>
      <c r="BA61" s="21"/>
    </row>
    <row r="62" spans="1:53" ht="20" customHeight="1">
      <c r="A62" s="86" t="s">
        <v>318</v>
      </c>
      <c r="B62" s="371" t="s">
        <v>2392</v>
      </c>
      <c r="C62" s="151" t="s">
        <v>51</v>
      </c>
      <c r="D62" s="151" t="s">
        <v>52</v>
      </c>
      <c r="E62" s="151" t="s">
        <v>62</v>
      </c>
      <c r="F62" s="151" t="s">
        <v>169</v>
      </c>
      <c r="G62" s="151" t="s">
        <v>161</v>
      </c>
      <c r="H62" s="152">
        <v>39525</v>
      </c>
      <c r="I62" s="151" t="s">
        <v>82</v>
      </c>
      <c r="J62" s="151" t="s">
        <v>137</v>
      </c>
      <c r="K62" s="151" t="s">
        <v>84</v>
      </c>
      <c r="L62" s="153">
        <v>2</v>
      </c>
      <c r="M62" s="153">
        <v>3</v>
      </c>
      <c r="N62" s="171">
        <v>12190</v>
      </c>
      <c r="O62" s="177">
        <v>0</v>
      </c>
      <c r="P62" s="172">
        <f t="shared" si="17"/>
        <v>0</v>
      </c>
      <c r="Q62" s="177">
        <v>0</v>
      </c>
      <c r="R62" s="172">
        <f t="shared" si="18"/>
        <v>0</v>
      </c>
      <c r="S62" s="177">
        <f t="shared" si="19"/>
        <v>0</v>
      </c>
      <c r="T62" s="172">
        <f t="shared" si="20"/>
        <v>0</v>
      </c>
      <c r="U62" s="172">
        <f t="shared" si="21"/>
        <v>12190</v>
      </c>
      <c r="V62" s="173">
        <v>12190</v>
      </c>
      <c r="W62" s="174">
        <f t="shared" si="22"/>
        <v>0</v>
      </c>
      <c r="X62" s="178">
        <f t="shared" si="23"/>
        <v>0</v>
      </c>
      <c r="Y62" s="179" t="str">
        <f t="shared" si="15"/>
        <v>0.00%-0.00%</v>
      </c>
      <c r="Z62" s="175"/>
      <c r="AA62" s="175"/>
      <c r="AB62" s="175"/>
      <c r="AC62" s="180"/>
      <c r="AD62" s="171">
        <f t="shared" si="24"/>
        <v>0</v>
      </c>
      <c r="AE62" s="176">
        <f t="shared" si="25"/>
        <v>12190</v>
      </c>
      <c r="AF62" s="164">
        <f t="shared" si="26"/>
        <v>0</v>
      </c>
      <c r="AG62" s="181">
        <f t="shared" si="27"/>
        <v>0</v>
      </c>
      <c r="AH62" s="166">
        <v>14</v>
      </c>
      <c r="AI62" s="166">
        <v>450</v>
      </c>
      <c r="AJ62" s="166"/>
      <c r="AK62" s="166">
        <v>688</v>
      </c>
      <c r="AL62" s="166">
        <f t="shared" si="28"/>
        <v>176748</v>
      </c>
      <c r="AM62" s="153">
        <v>1</v>
      </c>
      <c r="AN62" s="166"/>
      <c r="AO62" s="167"/>
      <c r="AP62" s="167"/>
      <c r="AQ62" s="151" t="s">
        <v>163</v>
      </c>
      <c r="AR62" s="151" t="s">
        <v>164</v>
      </c>
      <c r="AS62" s="151" t="s">
        <v>59</v>
      </c>
      <c r="AT62" s="183"/>
      <c r="AU62" s="167"/>
      <c r="AV62" s="167"/>
      <c r="AW62" s="169" t="str">
        <f t="shared" si="29"/>
        <v>OK</v>
      </c>
      <c r="AX62" s="21" t="s">
        <v>3129</v>
      </c>
      <c r="AY62" s="21" t="s">
        <v>3134</v>
      </c>
      <c r="AZ62" s="21"/>
      <c r="BA62" s="21"/>
    </row>
    <row r="63" spans="1:53" ht="20" customHeight="1">
      <c r="A63" s="86" t="s">
        <v>318</v>
      </c>
      <c r="B63" s="371" t="s">
        <v>2393</v>
      </c>
      <c r="C63" s="151" t="s">
        <v>51</v>
      </c>
      <c r="D63" s="151" t="s">
        <v>52</v>
      </c>
      <c r="E63" s="151" t="s">
        <v>62</v>
      </c>
      <c r="F63" s="151" t="s">
        <v>169</v>
      </c>
      <c r="G63" s="151" t="s">
        <v>197</v>
      </c>
      <c r="H63" s="152">
        <v>38292</v>
      </c>
      <c r="I63" s="151" t="s">
        <v>198</v>
      </c>
      <c r="J63" s="151" t="s">
        <v>134</v>
      </c>
      <c r="K63" s="151" t="s">
        <v>199</v>
      </c>
      <c r="L63" s="153">
        <v>2</v>
      </c>
      <c r="M63" s="153">
        <v>4</v>
      </c>
      <c r="N63" s="171">
        <v>49800</v>
      </c>
      <c r="O63" s="177">
        <v>0.03</v>
      </c>
      <c r="P63" s="172">
        <f t="shared" si="17"/>
        <v>1494</v>
      </c>
      <c r="Q63" s="177">
        <v>0</v>
      </c>
      <c r="R63" s="172">
        <f t="shared" si="18"/>
        <v>0</v>
      </c>
      <c r="S63" s="177">
        <f t="shared" si="19"/>
        <v>0.03</v>
      </c>
      <c r="T63" s="172">
        <f t="shared" si="20"/>
        <v>1494</v>
      </c>
      <c r="U63" s="172">
        <f t="shared" si="21"/>
        <v>51294</v>
      </c>
      <c r="V63" s="173">
        <v>50100</v>
      </c>
      <c r="W63" s="174">
        <f t="shared" si="22"/>
        <v>300</v>
      </c>
      <c r="X63" s="178">
        <f t="shared" si="23"/>
        <v>6.0000000000000001E-3</v>
      </c>
      <c r="Y63" s="179" t="str">
        <f t="shared" si="15"/>
        <v>2.40%-3.60%</v>
      </c>
      <c r="Z63" s="175"/>
      <c r="AA63" s="175"/>
      <c r="AB63" s="175"/>
      <c r="AC63" s="180"/>
      <c r="AD63" s="171">
        <f t="shared" si="24"/>
        <v>0</v>
      </c>
      <c r="AE63" s="176">
        <f t="shared" si="25"/>
        <v>50100</v>
      </c>
      <c r="AF63" s="164">
        <f t="shared" si="26"/>
        <v>300</v>
      </c>
      <c r="AG63" s="181">
        <f t="shared" si="27"/>
        <v>6.0240963855422436E-3</v>
      </c>
      <c r="AH63" s="166">
        <v>14</v>
      </c>
      <c r="AI63" s="166">
        <v>450</v>
      </c>
      <c r="AJ63" s="166">
        <v>1000</v>
      </c>
      <c r="AK63" s="166">
        <v>688</v>
      </c>
      <c r="AL63" s="166">
        <f t="shared" si="28"/>
        <v>719488</v>
      </c>
      <c r="AM63" s="153">
        <v>4</v>
      </c>
      <c r="AN63" s="166"/>
      <c r="AO63" s="167" t="s">
        <v>200</v>
      </c>
      <c r="AP63" s="167" t="s">
        <v>128</v>
      </c>
      <c r="AQ63" s="151" t="s">
        <v>201</v>
      </c>
      <c r="AR63" s="151" t="s">
        <v>164</v>
      </c>
      <c r="AS63" s="151" t="s">
        <v>59</v>
      </c>
      <c r="AT63" s="183"/>
      <c r="AU63" s="167" t="s">
        <v>102</v>
      </c>
      <c r="AV63" s="167" t="s">
        <v>129</v>
      </c>
      <c r="AW63" s="170" t="str">
        <f t="shared" si="29"/>
        <v>&lt;20</v>
      </c>
      <c r="AX63" s="21" t="s">
        <v>3139</v>
      </c>
      <c r="AY63" s="21" t="s">
        <v>3136</v>
      </c>
      <c r="AZ63" s="21"/>
      <c r="BA63" s="21"/>
    </row>
    <row r="64" spans="1:53" ht="20" customHeight="1">
      <c r="A64" s="86" t="s">
        <v>318</v>
      </c>
      <c r="B64" s="371" t="s">
        <v>2394</v>
      </c>
      <c r="C64" s="151" t="s">
        <v>51</v>
      </c>
      <c r="D64" s="151" t="s">
        <v>52</v>
      </c>
      <c r="E64" s="151" t="s">
        <v>62</v>
      </c>
      <c r="F64" s="151" t="s">
        <v>202</v>
      </c>
      <c r="G64" s="151" t="s">
        <v>197</v>
      </c>
      <c r="H64" s="152">
        <v>39993</v>
      </c>
      <c r="I64" s="151" t="s">
        <v>198</v>
      </c>
      <c r="J64" s="151" t="s">
        <v>203</v>
      </c>
      <c r="K64" s="151" t="s">
        <v>199</v>
      </c>
      <c r="L64" s="153">
        <v>2</v>
      </c>
      <c r="M64" s="153">
        <v>3</v>
      </c>
      <c r="N64" s="171">
        <v>43250</v>
      </c>
      <c r="O64" s="177">
        <v>0</v>
      </c>
      <c r="P64" s="172">
        <f t="shared" si="17"/>
        <v>0</v>
      </c>
      <c r="Q64" s="177">
        <v>0</v>
      </c>
      <c r="R64" s="172">
        <f t="shared" si="18"/>
        <v>0</v>
      </c>
      <c r="S64" s="177">
        <f t="shared" si="19"/>
        <v>0</v>
      </c>
      <c r="T64" s="172">
        <f t="shared" si="20"/>
        <v>0</v>
      </c>
      <c r="U64" s="172">
        <f t="shared" si="21"/>
        <v>43250</v>
      </c>
      <c r="V64" s="173">
        <v>43550</v>
      </c>
      <c r="W64" s="174">
        <f t="shared" si="22"/>
        <v>300</v>
      </c>
      <c r="X64" s="178">
        <f t="shared" si="23"/>
        <v>6.8999999999999999E-3</v>
      </c>
      <c r="Y64" s="179" t="str">
        <f t="shared" si="15"/>
        <v>0.00%-0.00%</v>
      </c>
      <c r="Z64" s="175"/>
      <c r="AA64" s="175"/>
      <c r="AB64" s="175"/>
      <c r="AC64" s="180"/>
      <c r="AD64" s="171">
        <f t="shared" si="24"/>
        <v>0</v>
      </c>
      <c r="AE64" s="176">
        <f t="shared" si="25"/>
        <v>43550</v>
      </c>
      <c r="AF64" s="164">
        <f t="shared" si="26"/>
        <v>300</v>
      </c>
      <c r="AG64" s="181">
        <f t="shared" si="27"/>
        <v>6.9364161849712058E-3</v>
      </c>
      <c r="AH64" s="166">
        <v>14</v>
      </c>
      <c r="AI64" s="166">
        <v>450</v>
      </c>
      <c r="AJ64" s="166">
        <v>1000</v>
      </c>
      <c r="AK64" s="166">
        <v>688</v>
      </c>
      <c r="AL64" s="166">
        <f t="shared" si="28"/>
        <v>627788</v>
      </c>
      <c r="AM64" s="153">
        <v>4</v>
      </c>
      <c r="AN64" s="166"/>
      <c r="AO64" s="167" t="s">
        <v>204</v>
      </c>
      <c r="AP64" s="167" t="s">
        <v>205</v>
      </c>
      <c r="AQ64" s="151" t="s">
        <v>201</v>
      </c>
      <c r="AR64" s="151" t="s">
        <v>164</v>
      </c>
      <c r="AS64" s="151" t="s">
        <v>59</v>
      </c>
      <c r="AT64" s="183"/>
      <c r="AU64" s="167" t="s">
        <v>102</v>
      </c>
      <c r="AV64" s="167" t="s">
        <v>103</v>
      </c>
      <c r="AW64" s="169" t="str">
        <f t="shared" si="29"/>
        <v>&gt;20</v>
      </c>
      <c r="AX64" s="21" t="s">
        <v>3129</v>
      </c>
      <c r="AY64" s="21" t="s">
        <v>3134</v>
      </c>
      <c r="AZ64" s="21"/>
      <c r="BA64" s="21"/>
    </row>
    <row r="65" spans="1:53" ht="20" customHeight="1">
      <c r="A65" s="86" t="s">
        <v>318</v>
      </c>
      <c r="B65" s="371" t="s">
        <v>2395</v>
      </c>
      <c r="C65" s="151" t="s">
        <v>51</v>
      </c>
      <c r="D65" s="151" t="s">
        <v>52</v>
      </c>
      <c r="E65" s="151" t="s">
        <v>62</v>
      </c>
      <c r="F65" s="151" t="s">
        <v>159</v>
      </c>
      <c r="G65" s="151" t="s">
        <v>197</v>
      </c>
      <c r="H65" s="152">
        <v>39553</v>
      </c>
      <c r="I65" s="151" t="s">
        <v>74</v>
      </c>
      <c r="J65" s="151" t="s">
        <v>206</v>
      </c>
      <c r="K65" s="151" t="s">
        <v>76</v>
      </c>
      <c r="L65" s="153">
        <v>2</v>
      </c>
      <c r="M65" s="153">
        <v>4</v>
      </c>
      <c r="N65" s="171">
        <v>10020</v>
      </c>
      <c r="O65" s="177">
        <v>3.7500000000000006E-2</v>
      </c>
      <c r="P65" s="172">
        <f t="shared" si="17"/>
        <v>376</v>
      </c>
      <c r="Q65" s="177">
        <v>1.55E-2</v>
      </c>
      <c r="R65" s="172">
        <f t="shared" si="18"/>
        <v>155</v>
      </c>
      <c r="S65" s="177">
        <f t="shared" si="19"/>
        <v>5.2994011976047903E-2</v>
      </c>
      <c r="T65" s="172">
        <f t="shared" si="20"/>
        <v>531</v>
      </c>
      <c r="U65" s="172">
        <f t="shared" si="21"/>
        <v>10551</v>
      </c>
      <c r="V65" s="173">
        <f>U65-100</f>
        <v>10451</v>
      </c>
      <c r="W65" s="174">
        <f t="shared" si="22"/>
        <v>431</v>
      </c>
      <c r="X65" s="178">
        <f t="shared" si="23"/>
        <v>4.2999999999999997E-2</v>
      </c>
      <c r="Y65" s="179" t="str">
        <f t="shared" si="15"/>
        <v>4.24%-6.36%</v>
      </c>
      <c r="Z65" s="175"/>
      <c r="AA65" s="175"/>
      <c r="AB65" s="175"/>
      <c r="AC65" s="180"/>
      <c r="AD65" s="171">
        <f t="shared" si="24"/>
        <v>0</v>
      </c>
      <c r="AE65" s="176">
        <f t="shared" si="25"/>
        <v>10451</v>
      </c>
      <c r="AF65" s="164">
        <f t="shared" si="26"/>
        <v>431</v>
      </c>
      <c r="AG65" s="181">
        <f t="shared" si="27"/>
        <v>4.3013972055888194E-2</v>
      </c>
      <c r="AH65" s="166">
        <v>14</v>
      </c>
      <c r="AI65" s="166">
        <v>450</v>
      </c>
      <c r="AJ65" s="166"/>
      <c r="AK65" s="166">
        <v>688</v>
      </c>
      <c r="AL65" s="166">
        <f t="shared" si="28"/>
        <v>152402</v>
      </c>
      <c r="AM65" s="153">
        <v>2</v>
      </c>
      <c r="AN65" s="166"/>
      <c r="AO65" s="167"/>
      <c r="AP65" s="167"/>
      <c r="AQ65" s="151" t="s">
        <v>201</v>
      </c>
      <c r="AR65" s="151" t="s">
        <v>164</v>
      </c>
      <c r="AS65" s="151" t="s">
        <v>59</v>
      </c>
      <c r="AT65" s="183"/>
      <c r="AU65" s="167"/>
      <c r="AV65" s="167"/>
      <c r="AW65" s="170" t="str">
        <f t="shared" si="29"/>
        <v>OK</v>
      </c>
      <c r="AX65" s="21" t="s">
        <v>3129</v>
      </c>
      <c r="AY65" s="21" t="s">
        <v>3130</v>
      </c>
      <c r="AZ65" s="21"/>
      <c r="BA65" s="21"/>
    </row>
    <row r="66" spans="1:53" ht="20" customHeight="1">
      <c r="A66" s="86" t="s">
        <v>318</v>
      </c>
      <c r="B66" s="371" t="s">
        <v>2396</v>
      </c>
      <c r="C66" s="151" t="s">
        <v>51</v>
      </c>
      <c r="D66" s="151" t="s">
        <v>52</v>
      </c>
      <c r="E66" s="151" t="s">
        <v>62</v>
      </c>
      <c r="F66" s="151" t="s">
        <v>159</v>
      </c>
      <c r="G66" s="151" t="s">
        <v>197</v>
      </c>
      <c r="H66" s="152">
        <v>39637</v>
      </c>
      <c r="I66" s="151" t="s">
        <v>111</v>
      </c>
      <c r="J66" s="151" t="s">
        <v>111</v>
      </c>
      <c r="K66" s="151" t="s">
        <v>56</v>
      </c>
      <c r="L66" s="153">
        <v>2</v>
      </c>
      <c r="M66" s="153">
        <v>3</v>
      </c>
      <c r="N66" s="171">
        <v>30000</v>
      </c>
      <c r="O66" s="177">
        <v>0</v>
      </c>
      <c r="P66" s="172">
        <f t="shared" si="17"/>
        <v>0</v>
      </c>
      <c r="Q66" s="177">
        <v>0</v>
      </c>
      <c r="R66" s="172">
        <f t="shared" si="18"/>
        <v>0</v>
      </c>
      <c r="S66" s="177">
        <f t="shared" si="19"/>
        <v>0</v>
      </c>
      <c r="T66" s="172">
        <f t="shared" si="20"/>
        <v>0</v>
      </c>
      <c r="U66" s="172">
        <f t="shared" si="21"/>
        <v>30000</v>
      </c>
      <c r="V66" s="173">
        <f>U66</f>
        <v>30000</v>
      </c>
      <c r="W66" s="174">
        <f t="shared" si="22"/>
        <v>0</v>
      </c>
      <c r="X66" s="178">
        <f t="shared" si="23"/>
        <v>0</v>
      </c>
      <c r="Y66" s="179" t="str">
        <f t="shared" si="15"/>
        <v>0.00%-0.00%</v>
      </c>
      <c r="Z66" s="175"/>
      <c r="AA66" s="175"/>
      <c r="AB66" s="175"/>
      <c r="AC66" s="180"/>
      <c r="AD66" s="171">
        <f t="shared" si="24"/>
        <v>0</v>
      </c>
      <c r="AE66" s="176">
        <f t="shared" si="25"/>
        <v>30000</v>
      </c>
      <c r="AF66" s="164">
        <f t="shared" si="26"/>
        <v>0</v>
      </c>
      <c r="AG66" s="181">
        <f t="shared" si="27"/>
        <v>0</v>
      </c>
      <c r="AH66" s="166">
        <v>14</v>
      </c>
      <c r="AI66" s="166">
        <v>450</v>
      </c>
      <c r="AJ66" s="166"/>
      <c r="AK66" s="166">
        <v>688</v>
      </c>
      <c r="AL66" s="166">
        <f t="shared" si="28"/>
        <v>426088</v>
      </c>
      <c r="AM66" s="153">
        <v>3</v>
      </c>
      <c r="AN66" s="166"/>
      <c r="AO66" s="167"/>
      <c r="AP66" s="167"/>
      <c r="AQ66" s="151" t="s">
        <v>201</v>
      </c>
      <c r="AR66" s="151" t="s">
        <v>164</v>
      </c>
      <c r="AS66" s="151" t="s">
        <v>59</v>
      </c>
      <c r="AT66" s="183"/>
      <c r="AU66" s="167"/>
      <c r="AV66" s="167"/>
      <c r="AW66" s="169" t="str">
        <f t="shared" si="29"/>
        <v>OK</v>
      </c>
      <c r="AX66" s="21" t="s">
        <v>3129</v>
      </c>
      <c r="AY66" s="21" t="s">
        <v>3134</v>
      </c>
      <c r="AZ66" s="21"/>
      <c r="BA66" s="21"/>
    </row>
    <row r="67" spans="1:53" ht="20" customHeight="1">
      <c r="A67" s="86" t="s">
        <v>318</v>
      </c>
      <c r="B67" s="371" t="s">
        <v>2397</v>
      </c>
      <c r="C67" s="151" t="s">
        <v>51</v>
      </c>
      <c r="D67" s="151" t="s">
        <v>52</v>
      </c>
      <c r="E67" s="151" t="s">
        <v>62</v>
      </c>
      <c r="F67" s="151" t="s">
        <v>207</v>
      </c>
      <c r="G67" s="151" t="s">
        <v>197</v>
      </c>
      <c r="H67" s="152">
        <v>38916</v>
      </c>
      <c r="I67" s="151" t="s">
        <v>198</v>
      </c>
      <c r="J67" s="151" t="s">
        <v>208</v>
      </c>
      <c r="K67" s="151" t="s">
        <v>199</v>
      </c>
      <c r="L67" s="153">
        <v>2</v>
      </c>
      <c r="M67" s="153">
        <v>3</v>
      </c>
      <c r="N67" s="171">
        <v>42080</v>
      </c>
      <c r="O67" s="177">
        <v>0</v>
      </c>
      <c r="P67" s="172">
        <f t="shared" si="17"/>
        <v>0</v>
      </c>
      <c r="Q67" s="177">
        <v>0</v>
      </c>
      <c r="R67" s="172">
        <f t="shared" si="18"/>
        <v>0</v>
      </c>
      <c r="S67" s="177">
        <f t="shared" si="19"/>
        <v>0</v>
      </c>
      <c r="T67" s="172">
        <f t="shared" si="20"/>
        <v>0</v>
      </c>
      <c r="U67" s="172">
        <f t="shared" si="21"/>
        <v>42080</v>
      </c>
      <c r="V67" s="173">
        <f>U67+606</f>
        <v>42686</v>
      </c>
      <c r="W67" s="174">
        <f t="shared" si="22"/>
        <v>606</v>
      </c>
      <c r="X67" s="178">
        <f t="shared" si="23"/>
        <v>1.44E-2</v>
      </c>
      <c r="Y67" s="179" t="str">
        <f t="shared" si="15"/>
        <v>0.00%-0.00%</v>
      </c>
      <c r="Z67" s="175"/>
      <c r="AA67" s="175"/>
      <c r="AB67" s="175"/>
      <c r="AC67" s="180"/>
      <c r="AD67" s="171">
        <f t="shared" si="24"/>
        <v>0</v>
      </c>
      <c r="AE67" s="176">
        <f t="shared" si="25"/>
        <v>42686</v>
      </c>
      <c r="AF67" s="164">
        <f t="shared" si="26"/>
        <v>606</v>
      </c>
      <c r="AG67" s="181">
        <f t="shared" si="27"/>
        <v>1.4401140684410674E-2</v>
      </c>
      <c r="AH67" s="166">
        <v>14</v>
      </c>
      <c r="AI67" s="166">
        <v>450</v>
      </c>
      <c r="AJ67" s="166">
        <v>1000</v>
      </c>
      <c r="AK67" s="166">
        <v>688</v>
      </c>
      <c r="AL67" s="166">
        <f t="shared" si="28"/>
        <v>615692</v>
      </c>
      <c r="AM67" s="153">
        <v>3</v>
      </c>
      <c r="AN67" s="166"/>
      <c r="AO67" s="167" t="s">
        <v>209</v>
      </c>
      <c r="AP67" s="167" t="s">
        <v>205</v>
      </c>
      <c r="AQ67" s="151" t="s">
        <v>201</v>
      </c>
      <c r="AR67" s="151" t="s">
        <v>164</v>
      </c>
      <c r="AS67" s="151" t="s">
        <v>59</v>
      </c>
      <c r="AT67" s="183"/>
      <c r="AU67" s="167" t="s">
        <v>102</v>
      </c>
      <c r="AV67" s="167" t="s">
        <v>103</v>
      </c>
      <c r="AW67" s="170" t="str">
        <f t="shared" si="29"/>
        <v>&gt;20</v>
      </c>
      <c r="AX67" s="21" t="s">
        <v>3129</v>
      </c>
      <c r="AY67" s="21" t="s">
        <v>3134</v>
      </c>
      <c r="AZ67" s="21"/>
      <c r="BA67" s="21"/>
    </row>
    <row r="68" spans="1:53" ht="20" customHeight="1">
      <c r="A68" s="86" t="s">
        <v>318</v>
      </c>
      <c r="B68" s="371" t="s">
        <v>2398</v>
      </c>
      <c r="C68" s="151" t="s">
        <v>51</v>
      </c>
      <c r="D68" s="151" t="s">
        <v>52</v>
      </c>
      <c r="E68" s="151" t="s">
        <v>62</v>
      </c>
      <c r="F68" s="151" t="s">
        <v>159</v>
      </c>
      <c r="G68" s="151" t="s">
        <v>197</v>
      </c>
      <c r="H68" s="152">
        <v>40269</v>
      </c>
      <c r="I68" s="151" t="s">
        <v>74</v>
      </c>
      <c r="J68" s="151" t="s">
        <v>74</v>
      </c>
      <c r="K68" s="151" t="s">
        <v>76</v>
      </c>
      <c r="L68" s="153">
        <v>2</v>
      </c>
      <c r="M68" s="153">
        <v>3</v>
      </c>
      <c r="N68" s="171">
        <v>12200</v>
      </c>
      <c r="O68" s="177">
        <v>0</v>
      </c>
      <c r="P68" s="172">
        <f t="shared" si="17"/>
        <v>0</v>
      </c>
      <c r="Q68" s="177">
        <v>0</v>
      </c>
      <c r="R68" s="172">
        <f t="shared" si="18"/>
        <v>0</v>
      </c>
      <c r="S68" s="177">
        <f t="shared" si="19"/>
        <v>0</v>
      </c>
      <c r="T68" s="172">
        <f t="shared" si="20"/>
        <v>0</v>
      </c>
      <c r="U68" s="172">
        <f t="shared" si="21"/>
        <v>12200</v>
      </c>
      <c r="V68" s="173">
        <f>U68+274</f>
        <v>12474</v>
      </c>
      <c r="W68" s="174">
        <f t="shared" si="22"/>
        <v>274</v>
      </c>
      <c r="X68" s="178">
        <f t="shared" si="23"/>
        <v>2.2499999999999999E-2</v>
      </c>
      <c r="Y68" s="179" t="str">
        <f t="shared" si="15"/>
        <v>0.00%-0.00%</v>
      </c>
      <c r="Z68" s="175"/>
      <c r="AA68" s="175"/>
      <c r="AB68" s="175"/>
      <c r="AC68" s="180"/>
      <c r="AD68" s="171">
        <f t="shared" si="24"/>
        <v>0</v>
      </c>
      <c r="AE68" s="176">
        <f t="shared" si="25"/>
        <v>12474</v>
      </c>
      <c r="AF68" s="164">
        <f t="shared" si="26"/>
        <v>274</v>
      </c>
      <c r="AG68" s="181">
        <f t="shared" si="27"/>
        <v>2.245901639344261E-2</v>
      </c>
      <c r="AH68" s="166">
        <v>14</v>
      </c>
      <c r="AI68" s="166">
        <v>450</v>
      </c>
      <c r="AJ68" s="166"/>
      <c r="AK68" s="166">
        <v>688</v>
      </c>
      <c r="AL68" s="166">
        <f t="shared" si="28"/>
        <v>180724</v>
      </c>
      <c r="AM68" s="153">
        <v>3</v>
      </c>
      <c r="AN68" s="166"/>
      <c r="AO68" s="167" t="s">
        <v>210</v>
      </c>
      <c r="AP68" s="167" t="s">
        <v>205</v>
      </c>
      <c r="AQ68" s="151" t="s">
        <v>201</v>
      </c>
      <c r="AR68" s="151" t="s">
        <v>164</v>
      </c>
      <c r="AS68" s="151" t="s">
        <v>59</v>
      </c>
      <c r="AT68" s="183"/>
      <c r="AU68" s="167" t="s">
        <v>102</v>
      </c>
      <c r="AV68" s="167" t="s">
        <v>103</v>
      </c>
      <c r="AW68" s="169" t="str">
        <f t="shared" si="29"/>
        <v>&gt;20</v>
      </c>
      <c r="AX68" s="21" t="s">
        <v>3129</v>
      </c>
      <c r="AY68" s="21" t="s">
        <v>3134</v>
      </c>
      <c r="AZ68" s="21"/>
      <c r="BA68" s="21"/>
    </row>
    <row r="69" spans="1:53" ht="20" customHeight="1">
      <c r="A69" s="86" t="s">
        <v>318</v>
      </c>
      <c r="B69" s="371" t="s">
        <v>2399</v>
      </c>
      <c r="C69" s="151" t="s">
        <v>51</v>
      </c>
      <c r="D69" s="151" t="s">
        <v>52</v>
      </c>
      <c r="E69" s="151" t="s">
        <v>62</v>
      </c>
      <c r="F69" s="151" t="s">
        <v>211</v>
      </c>
      <c r="G69" s="151" t="s">
        <v>197</v>
      </c>
      <c r="H69" s="152">
        <v>40744</v>
      </c>
      <c r="I69" s="151" t="s">
        <v>111</v>
      </c>
      <c r="J69" s="151" t="s">
        <v>212</v>
      </c>
      <c r="K69" s="151" t="s">
        <v>56</v>
      </c>
      <c r="L69" s="153">
        <v>2</v>
      </c>
      <c r="M69" s="153">
        <v>3</v>
      </c>
      <c r="N69" s="171">
        <v>15455</v>
      </c>
      <c r="O69" s="177">
        <v>0.03</v>
      </c>
      <c r="P69" s="172">
        <f t="shared" si="17"/>
        <v>464</v>
      </c>
      <c r="Q69" s="177">
        <v>0</v>
      </c>
      <c r="R69" s="172">
        <f t="shared" si="18"/>
        <v>0</v>
      </c>
      <c r="S69" s="177">
        <f t="shared" si="19"/>
        <v>3.0022646392753153E-2</v>
      </c>
      <c r="T69" s="172">
        <f t="shared" si="20"/>
        <v>464</v>
      </c>
      <c r="U69" s="172">
        <f t="shared" si="21"/>
        <v>15919</v>
      </c>
      <c r="V69" s="173">
        <f>U69+1091</f>
        <v>17010</v>
      </c>
      <c r="W69" s="174">
        <f t="shared" si="22"/>
        <v>1555</v>
      </c>
      <c r="X69" s="178">
        <f t="shared" si="23"/>
        <v>0.10059999999999999</v>
      </c>
      <c r="Y69" s="179" t="str">
        <f t="shared" si="15"/>
        <v>2.40%-3.60%</v>
      </c>
      <c r="Z69" s="175"/>
      <c r="AA69" s="175"/>
      <c r="AB69" s="175"/>
      <c r="AC69" s="180"/>
      <c r="AD69" s="171">
        <f t="shared" si="24"/>
        <v>0</v>
      </c>
      <c r="AE69" s="176">
        <f t="shared" si="25"/>
        <v>17010</v>
      </c>
      <c r="AF69" s="164">
        <f t="shared" si="26"/>
        <v>1555</v>
      </c>
      <c r="AG69" s="181">
        <f t="shared" si="27"/>
        <v>0.10061468780329985</v>
      </c>
      <c r="AH69" s="166">
        <v>14</v>
      </c>
      <c r="AI69" s="166">
        <v>450</v>
      </c>
      <c r="AJ69" s="166"/>
      <c r="AK69" s="166">
        <v>688</v>
      </c>
      <c r="AL69" s="166">
        <f t="shared" si="28"/>
        <v>244228</v>
      </c>
      <c r="AM69" s="153">
        <v>5</v>
      </c>
      <c r="AN69" s="166"/>
      <c r="AO69" s="167" t="s">
        <v>213</v>
      </c>
      <c r="AP69" s="167" t="s">
        <v>205</v>
      </c>
      <c r="AQ69" s="151" t="s">
        <v>201</v>
      </c>
      <c r="AR69" s="151" t="s">
        <v>164</v>
      </c>
      <c r="AS69" s="151" t="s">
        <v>59</v>
      </c>
      <c r="AT69" s="183"/>
      <c r="AU69" s="167" t="s">
        <v>102</v>
      </c>
      <c r="AV69" s="167" t="s">
        <v>103</v>
      </c>
      <c r="AW69" s="170" t="str">
        <f t="shared" si="29"/>
        <v>&gt;20</v>
      </c>
      <c r="AX69" s="21" t="s">
        <v>3135</v>
      </c>
      <c r="AY69" s="21" t="s">
        <v>3132</v>
      </c>
      <c r="AZ69" s="21"/>
      <c r="BA69" s="21"/>
    </row>
    <row r="70" spans="1:53" ht="20" customHeight="1">
      <c r="A70" s="86" t="s">
        <v>318</v>
      </c>
      <c r="B70" s="371" t="s">
        <v>2400</v>
      </c>
      <c r="C70" s="151" t="s">
        <v>51</v>
      </c>
      <c r="D70" s="151" t="s">
        <v>52</v>
      </c>
      <c r="E70" s="151" t="s">
        <v>319</v>
      </c>
      <c r="F70" s="151" t="s">
        <v>241</v>
      </c>
      <c r="G70" s="151" t="s">
        <v>242</v>
      </c>
      <c r="H70" s="152">
        <v>36297</v>
      </c>
      <c r="I70" s="151" t="s">
        <v>243</v>
      </c>
      <c r="J70" s="151" t="s">
        <v>244</v>
      </c>
      <c r="K70" s="151" t="s">
        <v>84</v>
      </c>
      <c r="L70" s="153">
        <v>2</v>
      </c>
      <c r="M70" s="153">
        <v>3</v>
      </c>
      <c r="N70" s="184">
        <v>10091</v>
      </c>
      <c r="O70" s="177">
        <v>0</v>
      </c>
      <c r="P70" s="185">
        <v>0</v>
      </c>
      <c r="Q70" s="177">
        <v>0</v>
      </c>
      <c r="R70" s="185">
        <v>0</v>
      </c>
      <c r="S70" s="177">
        <v>0</v>
      </c>
      <c r="T70" s="185">
        <v>0</v>
      </c>
      <c r="U70" s="185">
        <v>10091</v>
      </c>
      <c r="V70" s="186">
        <v>10091</v>
      </c>
      <c r="W70" s="187">
        <v>0</v>
      </c>
      <c r="X70" s="178">
        <v>0</v>
      </c>
      <c r="Y70" s="179" t="s">
        <v>225</v>
      </c>
      <c r="Z70" s="188"/>
      <c r="AA70" s="188"/>
      <c r="AB70" s="188"/>
      <c r="AC70" s="180"/>
      <c r="AD70" s="184">
        <v>0</v>
      </c>
      <c r="AE70" s="189">
        <v>10091</v>
      </c>
      <c r="AF70" s="164">
        <v>0</v>
      </c>
      <c r="AG70" s="181">
        <v>0</v>
      </c>
      <c r="AH70" s="166">
        <v>14</v>
      </c>
      <c r="AI70" s="166">
        <v>450</v>
      </c>
      <c r="AJ70" s="166"/>
      <c r="AK70" s="166">
        <v>688</v>
      </c>
      <c r="AL70" s="166">
        <v>147362</v>
      </c>
      <c r="AM70" s="153">
        <v>3</v>
      </c>
      <c r="AN70" s="166"/>
      <c r="AO70" s="167"/>
      <c r="AP70" s="167"/>
      <c r="AQ70" s="151" t="s">
        <v>245</v>
      </c>
      <c r="AR70" s="151" t="s">
        <v>246</v>
      </c>
      <c r="AS70" s="151" t="s">
        <v>247</v>
      </c>
      <c r="AT70" s="183"/>
      <c r="AU70" s="192"/>
      <c r="AV70" s="192"/>
      <c r="AW70" s="193" t="str">
        <f t="shared" si="29"/>
        <v>OK</v>
      </c>
      <c r="AX70" s="21" t="s">
        <v>3137</v>
      </c>
      <c r="AY70" s="21" t="s">
        <v>3134</v>
      </c>
      <c r="AZ70" s="21"/>
      <c r="BA70" s="21"/>
    </row>
    <row r="71" spans="1:53" ht="20" customHeight="1">
      <c r="A71" s="86" t="s">
        <v>318</v>
      </c>
      <c r="B71" s="371" t="s">
        <v>2401</v>
      </c>
      <c r="C71" s="151" t="s">
        <v>51</v>
      </c>
      <c r="D71" s="151" t="s">
        <v>52</v>
      </c>
      <c r="E71" s="151" t="s">
        <v>319</v>
      </c>
      <c r="F71" s="151" t="s">
        <v>248</v>
      </c>
      <c r="G71" s="151" t="s">
        <v>242</v>
      </c>
      <c r="H71" s="152">
        <v>44356</v>
      </c>
      <c r="I71" s="151" t="s">
        <v>243</v>
      </c>
      <c r="J71" s="151" t="s">
        <v>244</v>
      </c>
      <c r="K71" s="151" t="s">
        <v>84</v>
      </c>
      <c r="L71" s="153">
        <v>2</v>
      </c>
      <c r="M71" s="153">
        <v>3</v>
      </c>
      <c r="N71" s="184">
        <v>10091</v>
      </c>
      <c r="O71" s="177">
        <v>0</v>
      </c>
      <c r="P71" s="185">
        <v>0</v>
      </c>
      <c r="Q71" s="177">
        <v>0</v>
      </c>
      <c r="R71" s="185">
        <v>0</v>
      </c>
      <c r="S71" s="177">
        <v>0</v>
      </c>
      <c r="T71" s="185">
        <v>0</v>
      </c>
      <c r="U71" s="185">
        <v>10091</v>
      </c>
      <c r="V71" s="186">
        <v>10091</v>
      </c>
      <c r="W71" s="187">
        <v>0</v>
      </c>
      <c r="X71" s="178">
        <v>0</v>
      </c>
      <c r="Y71" s="179" t="s">
        <v>225</v>
      </c>
      <c r="Z71" s="188"/>
      <c r="AA71" s="188"/>
      <c r="AB71" s="188"/>
      <c r="AC71" s="180"/>
      <c r="AD71" s="184">
        <v>0</v>
      </c>
      <c r="AE71" s="189">
        <v>10091</v>
      </c>
      <c r="AF71" s="164">
        <v>0</v>
      </c>
      <c r="AG71" s="181">
        <v>0</v>
      </c>
      <c r="AH71" s="166">
        <v>14</v>
      </c>
      <c r="AI71" s="166">
        <v>450</v>
      </c>
      <c r="AJ71" s="166"/>
      <c r="AK71" s="166">
        <v>688</v>
      </c>
      <c r="AL71" s="166">
        <v>147362</v>
      </c>
      <c r="AM71" s="153">
        <v>3</v>
      </c>
      <c r="AN71" s="166"/>
      <c r="AO71" s="167"/>
      <c r="AP71" s="167"/>
      <c r="AQ71" s="151" t="s">
        <v>245</v>
      </c>
      <c r="AR71" s="151" t="s">
        <v>246</v>
      </c>
      <c r="AS71" s="151" t="s">
        <v>247</v>
      </c>
      <c r="AT71" s="183"/>
      <c r="AU71" s="192"/>
      <c r="AV71" s="192"/>
      <c r="AW71" s="191" t="str">
        <f t="shared" si="29"/>
        <v>OK</v>
      </c>
      <c r="AX71" s="21" t="s">
        <v>3131</v>
      </c>
      <c r="AY71" s="21" t="s">
        <v>3134</v>
      </c>
      <c r="AZ71" s="21"/>
      <c r="BA71" s="21"/>
    </row>
    <row r="72" spans="1:53" ht="20" customHeight="1">
      <c r="A72" s="86" t="s">
        <v>318</v>
      </c>
      <c r="B72" s="371" t="s">
        <v>2402</v>
      </c>
      <c r="C72" s="151" t="s">
        <v>51</v>
      </c>
      <c r="D72" s="151" t="s">
        <v>52</v>
      </c>
      <c r="E72" s="151" t="s">
        <v>319</v>
      </c>
      <c r="F72" s="151" t="s">
        <v>249</v>
      </c>
      <c r="G72" s="151" t="s">
        <v>242</v>
      </c>
      <c r="H72" s="152">
        <v>41990</v>
      </c>
      <c r="I72" s="151" t="s">
        <v>250</v>
      </c>
      <c r="J72" s="151" t="s">
        <v>251</v>
      </c>
      <c r="K72" s="151" t="s">
        <v>76</v>
      </c>
      <c r="L72" s="153">
        <v>2</v>
      </c>
      <c r="M72" s="153">
        <v>3</v>
      </c>
      <c r="N72" s="184">
        <v>8250</v>
      </c>
      <c r="O72" s="177">
        <v>0.03</v>
      </c>
      <c r="P72" s="185">
        <v>248</v>
      </c>
      <c r="Q72" s="177">
        <v>0</v>
      </c>
      <c r="R72" s="185">
        <v>0</v>
      </c>
      <c r="S72" s="177">
        <v>3.0060606060606062E-2</v>
      </c>
      <c r="T72" s="185">
        <v>248</v>
      </c>
      <c r="U72" s="185">
        <v>8498</v>
      </c>
      <c r="V72" s="186">
        <v>8600</v>
      </c>
      <c r="W72" s="187">
        <v>350</v>
      </c>
      <c r="X72" s="178">
        <v>4.24E-2</v>
      </c>
      <c r="Y72" s="179" t="s">
        <v>252</v>
      </c>
      <c r="Z72" s="188"/>
      <c r="AA72" s="188"/>
      <c r="AB72" s="188"/>
      <c r="AC72" s="180"/>
      <c r="AD72" s="184">
        <v>0</v>
      </c>
      <c r="AE72" s="189">
        <v>8600</v>
      </c>
      <c r="AF72" s="164">
        <v>350</v>
      </c>
      <c r="AG72" s="181">
        <v>4.2424242424242475E-2</v>
      </c>
      <c r="AH72" s="166">
        <v>14</v>
      </c>
      <c r="AI72" s="166">
        <v>450</v>
      </c>
      <c r="AJ72" s="166"/>
      <c r="AK72" s="166">
        <v>688</v>
      </c>
      <c r="AL72" s="166">
        <v>126488</v>
      </c>
      <c r="AM72" s="153">
        <v>2</v>
      </c>
      <c r="AN72" s="166"/>
      <c r="AO72" s="167" t="s">
        <v>128</v>
      </c>
      <c r="AP72" s="167" t="s">
        <v>128</v>
      </c>
      <c r="AQ72" s="151" t="s">
        <v>245</v>
      </c>
      <c r="AR72" s="151" t="s">
        <v>246</v>
      </c>
      <c r="AS72" s="151" t="s">
        <v>247</v>
      </c>
      <c r="AT72" s="183"/>
      <c r="AU72" s="192"/>
      <c r="AV72" s="192"/>
      <c r="AW72" s="193" t="str">
        <f t="shared" si="29"/>
        <v>OK</v>
      </c>
      <c r="AX72" s="21" t="s">
        <v>3135</v>
      </c>
      <c r="AY72" s="21" t="s">
        <v>3132</v>
      </c>
      <c r="AZ72" s="21"/>
      <c r="BA72" s="21"/>
    </row>
    <row r="73" spans="1:53" ht="20" customHeight="1">
      <c r="A73" s="86" t="s">
        <v>318</v>
      </c>
      <c r="B73" s="371" t="s">
        <v>2403</v>
      </c>
      <c r="C73" s="151" t="s">
        <v>51</v>
      </c>
      <c r="D73" s="151" t="s">
        <v>52</v>
      </c>
      <c r="E73" s="151" t="s">
        <v>319</v>
      </c>
      <c r="F73" s="151" t="s">
        <v>253</v>
      </c>
      <c r="G73" s="151" t="s">
        <v>242</v>
      </c>
      <c r="H73" s="152">
        <v>43194</v>
      </c>
      <c r="I73" s="151" t="s">
        <v>71</v>
      </c>
      <c r="J73" s="151" t="s">
        <v>254</v>
      </c>
      <c r="K73" s="151" t="s">
        <v>61</v>
      </c>
      <c r="L73" s="153">
        <v>2</v>
      </c>
      <c r="M73" s="153">
        <v>4</v>
      </c>
      <c r="N73" s="184">
        <v>14330</v>
      </c>
      <c r="O73" s="177">
        <v>3.7500000000000006E-2</v>
      </c>
      <c r="P73" s="185">
        <v>537</v>
      </c>
      <c r="Q73" s="177">
        <v>1.55E-2</v>
      </c>
      <c r="R73" s="185">
        <v>222</v>
      </c>
      <c r="S73" s="177">
        <v>5.2965806001395672E-2</v>
      </c>
      <c r="T73" s="185">
        <v>759</v>
      </c>
      <c r="U73" s="185">
        <v>15089</v>
      </c>
      <c r="V73" s="186">
        <v>15089</v>
      </c>
      <c r="W73" s="187">
        <v>759</v>
      </c>
      <c r="X73" s="178">
        <v>5.2999999999999999E-2</v>
      </c>
      <c r="Y73" s="179" t="s">
        <v>222</v>
      </c>
      <c r="Z73" s="188"/>
      <c r="AA73" s="188"/>
      <c r="AB73" s="188"/>
      <c r="AC73" s="180"/>
      <c r="AD73" s="184">
        <v>0</v>
      </c>
      <c r="AE73" s="189">
        <v>15089</v>
      </c>
      <c r="AF73" s="164">
        <v>759</v>
      </c>
      <c r="AG73" s="181">
        <v>5.2965806001395777E-2</v>
      </c>
      <c r="AH73" s="166">
        <v>14</v>
      </c>
      <c r="AI73" s="166">
        <v>450</v>
      </c>
      <c r="AJ73" s="166"/>
      <c r="AK73" s="166">
        <v>688</v>
      </c>
      <c r="AL73" s="166">
        <v>217334</v>
      </c>
      <c r="AM73" s="153">
        <v>4</v>
      </c>
      <c r="AN73" s="166"/>
      <c r="AO73" s="167"/>
      <c r="AP73" s="167"/>
      <c r="AQ73" s="151" t="s">
        <v>245</v>
      </c>
      <c r="AR73" s="151" t="s">
        <v>246</v>
      </c>
      <c r="AS73" s="151" t="s">
        <v>247</v>
      </c>
      <c r="AT73" s="183"/>
      <c r="AU73" s="192"/>
      <c r="AV73" s="192"/>
      <c r="AW73" s="191" t="str">
        <f t="shared" si="29"/>
        <v>OK</v>
      </c>
      <c r="AX73" s="21" t="s">
        <v>3133</v>
      </c>
      <c r="AY73" s="21" t="s">
        <v>3130</v>
      </c>
      <c r="AZ73" s="21"/>
      <c r="BA73" s="21"/>
    </row>
    <row r="74" spans="1:53" ht="20" customHeight="1">
      <c r="A74" s="86" t="s">
        <v>318</v>
      </c>
      <c r="B74" s="371" t="s">
        <v>2404</v>
      </c>
      <c r="C74" s="151" t="s">
        <v>51</v>
      </c>
      <c r="D74" s="151" t="s">
        <v>52</v>
      </c>
      <c r="E74" s="151" t="s">
        <v>319</v>
      </c>
      <c r="F74" s="151" t="s">
        <v>255</v>
      </c>
      <c r="G74" s="151" t="s">
        <v>242</v>
      </c>
      <c r="H74" s="152">
        <v>44510</v>
      </c>
      <c r="I74" s="151" t="s">
        <v>243</v>
      </c>
      <c r="J74" s="151" t="s">
        <v>256</v>
      </c>
      <c r="K74" s="151" t="s">
        <v>84</v>
      </c>
      <c r="L74" s="153">
        <v>2</v>
      </c>
      <c r="M74" s="153">
        <v>3</v>
      </c>
      <c r="N74" s="184">
        <v>8432</v>
      </c>
      <c r="O74" s="177">
        <v>2.5000000000000001E-2</v>
      </c>
      <c r="P74" s="185">
        <v>211</v>
      </c>
      <c r="Q74" s="177">
        <v>0</v>
      </c>
      <c r="R74" s="185">
        <v>0</v>
      </c>
      <c r="S74" s="177">
        <v>2.502371916508539E-2</v>
      </c>
      <c r="T74" s="185">
        <v>211</v>
      </c>
      <c r="U74" s="185">
        <v>8643</v>
      </c>
      <c r="V74" s="186">
        <v>8643</v>
      </c>
      <c r="W74" s="187">
        <v>211</v>
      </c>
      <c r="X74" s="178">
        <v>2.5000000000000001E-2</v>
      </c>
      <c r="Y74" s="179" t="s">
        <v>232</v>
      </c>
      <c r="Z74" s="188"/>
      <c r="AA74" s="188"/>
      <c r="AB74" s="188"/>
      <c r="AC74" s="180"/>
      <c r="AD74" s="184">
        <v>0</v>
      </c>
      <c r="AE74" s="189">
        <v>8643</v>
      </c>
      <c r="AF74" s="164">
        <v>211</v>
      </c>
      <c r="AG74" s="181">
        <v>2.5023719165085279E-2</v>
      </c>
      <c r="AH74" s="166">
        <v>14</v>
      </c>
      <c r="AI74" s="166">
        <v>450</v>
      </c>
      <c r="AJ74" s="166"/>
      <c r="AK74" s="166">
        <v>688</v>
      </c>
      <c r="AL74" s="166">
        <v>127090</v>
      </c>
      <c r="AM74" s="153">
        <v>3</v>
      </c>
      <c r="AN74" s="166"/>
      <c r="AO74" s="167"/>
      <c r="AP74" s="167"/>
      <c r="AQ74" s="151" t="s">
        <v>245</v>
      </c>
      <c r="AR74" s="151" t="s">
        <v>246</v>
      </c>
      <c r="AS74" s="151" t="s">
        <v>247</v>
      </c>
      <c r="AT74" s="183"/>
      <c r="AU74" s="192"/>
      <c r="AV74" s="192"/>
      <c r="AW74" s="193" t="str">
        <f t="shared" si="29"/>
        <v>OK</v>
      </c>
      <c r="AX74" s="21" t="s">
        <v>3131</v>
      </c>
      <c r="AY74" s="21" t="s">
        <v>3130</v>
      </c>
      <c r="AZ74" s="21"/>
      <c r="BA74" s="21"/>
    </row>
    <row r="75" spans="1:53" ht="20" customHeight="1">
      <c r="A75" s="86" t="s">
        <v>318</v>
      </c>
      <c r="B75" s="371" t="s">
        <v>2405</v>
      </c>
      <c r="C75" s="151" t="s">
        <v>51</v>
      </c>
      <c r="D75" s="151" t="s">
        <v>52</v>
      </c>
      <c r="E75" s="151" t="s">
        <v>319</v>
      </c>
      <c r="F75" s="151" t="s">
        <v>241</v>
      </c>
      <c r="G75" s="151" t="s">
        <v>242</v>
      </c>
      <c r="H75" s="152">
        <v>40695</v>
      </c>
      <c r="I75" s="151" t="s">
        <v>85</v>
      </c>
      <c r="J75" s="151" t="s">
        <v>257</v>
      </c>
      <c r="K75" s="151" t="s">
        <v>76</v>
      </c>
      <c r="L75" s="153">
        <v>2</v>
      </c>
      <c r="M75" s="153">
        <v>3</v>
      </c>
      <c r="N75" s="184">
        <v>9780</v>
      </c>
      <c r="O75" s="177">
        <v>0.03</v>
      </c>
      <c r="P75" s="185">
        <v>293</v>
      </c>
      <c r="Q75" s="177">
        <v>0</v>
      </c>
      <c r="R75" s="185">
        <v>0</v>
      </c>
      <c r="S75" s="177">
        <v>2.9959100204498979E-2</v>
      </c>
      <c r="T75" s="185">
        <v>293</v>
      </c>
      <c r="U75" s="185">
        <v>10073</v>
      </c>
      <c r="V75" s="186">
        <v>10073</v>
      </c>
      <c r="W75" s="187">
        <v>293</v>
      </c>
      <c r="X75" s="178">
        <v>0.03</v>
      </c>
      <c r="Y75" s="179" t="s">
        <v>233</v>
      </c>
      <c r="Z75" s="188"/>
      <c r="AA75" s="188"/>
      <c r="AB75" s="188"/>
      <c r="AC75" s="180"/>
      <c r="AD75" s="184">
        <v>0</v>
      </c>
      <c r="AE75" s="189">
        <v>10073</v>
      </c>
      <c r="AF75" s="164">
        <v>293</v>
      </c>
      <c r="AG75" s="181">
        <v>2.995910020449899E-2</v>
      </c>
      <c r="AH75" s="166">
        <v>14</v>
      </c>
      <c r="AI75" s="166">
        <v>450</v>
      </c>
      <c r="AJ75" s="166"/>
      <c r="AK75" s="166">
        <v>688</v>
      </c>
      <c r="AL75" s="166">
        <v>147110</v>
      </c>
      <c r="AM75" s="153">
        <v>4</v>
      </c>
      <c r="AN75" s="166"/>
      <c r="AO75" s="167"/>
      <c r="AP75" s="167"/>
      <c r="AQ75" s="151" t="s">
        <v>245</v>
      </c>
      <c r="AR75" s="151" t="s">
        <v>246</v>
      </c>
      <c r="AS75" s="151" t="s">
        <v>247</v>
      </c>
      <c r="AT75" s="183"/>
      <c r="AU75" s="192"/>
      <c r="AV75" s="192"/>
      <c r="AW75" s="191" t="str">
        <f t="shared" si="29"/>
        <v>OK</v>
      </c>
      <c r="AX75" s="21" t="s">
        <v>3135</v>
      </c>
      <c r="AY75" s="21" t="s">
        <v>3132</v>
      </c>
      <c r="AZ75" s="21"/>
      <c r="BA75" s="21"/>
    </row>
    <row r="76" spans="1:53" ht="20" customHeight="1">
      <c r="A76" s="86" t="s">
        <v>318</v>
      </c>
      <c r="B76" s="371" t="s">
        <v>2406</v>
      </c>
      <c r="C76" s="151" t="s">
        <v>51</v>
      </c>
      <c r="D76" s="151" t="s">
        <v>52</v>
      </c>
      <c r="E76" s="151" t="s">
        <v>319</v>
      </c>
      <c r="F76" s="151" t="s">
        <v>253</v>
      </c>
      <c r="G76" s="151" t="s">
        <v>242</v>
      </c>
      <c r="H76" s="152">
        <v>40276</v>
      </c>
      <c r="I76" s="151" t="s">
        <v>243</v>
      </c>
      <c r="J76" s="151" t="s">
        <v>244</v>
      </c>
      <c r="K76" s="151" t="s">
        <v>84</v>
      </c>
      <c r="L76" s="153">
        <v>2</v>
      </c>
      <c r="M76" s="153">
        <v>3</v>
      </c>
      <c r="N76" s="184">
        <v>9055</v>
      </c>
      <c r="O76" s="177">
        <v>2.5000000000000001E-2</v>
      </c>
      <c r="P76" s="185">
        <v>226</v>
      </c>
      <c r="Q76" s="177">
        <v>0</v>
      </c>
      <c r="R76" s="185">
        <v>0</v>
      </c>
      <c r="S76" s="177">
        <v>2.4958586416344561E-2</v>
      </c>
      <c r="T76" s="185">
        <v>226</v>
      </c>
      <c r="U76" s="185">
        <v>9281</v>
      </c>
      <c r="V76" s="186">
        <v>9281</v>
      </c>
      <c r="W76" s="187">
        <v>226</v>
      </c>
      <c r="X76" s="178">
        <v>2.5000000000000001E-2</v>
      </c>
      <c r="Y76" s="179" t="s">
        <v>232</v>
      </c>
      <c r="Z76" s="188"/>
      <c r="AA76" s="188"/>
      <c r="AB76" s="188"/>
      <c r="AC76" s="180"/>
      <c r="AD76" s="184">
        <v>0</v>
      </c>
      <c r="AE76" s="189">
        <v>9281</v>
      </c>
      <c r="AF76" s="164">
        <v>226</v>
      </c>
      <c r="AG76" s="181">
        <v>2.495858641634463E-2</v>
      </c>
      <c r="AH76" s="166">
        <v>14</v>
      </c>
      <c r="AI76" s="166">
        <v>450</v>
      </c>
      <c r="AJ76" s="166"/>
      <c r="AK76" s="166">
        <v>688</v>
      </c>
      <c r="AL76" s="166">
        <v>136022</v>
      </c>
      <c r="AM76" s="153">
        <v>3</v>
      </c>
      <c r="AN76" s="166"/>
      <c r="AO76" s="167"/>
      <c r="AP76" s="167"/>
      <c r="AQ76" s="151" t="s">
        <v>245</v>
      </c>
      <c r="AR76" s="151" t="s">
        <v>246</v>
      </c>
      <c r="AS76" s="151" t="s">
        <v>247</v>
      </c>
      <c r="AT76" s="183"/>
      <c r="AU76" s="192"/>
      <c r="AV76" s="192"/>
      <c r="AW76" s="193" t="str">
        <f t="shared" si="29"/>
        <v>OK</v>
      </c>
      <c r="AX76" s="21" t="s">
        <v>3129</v>
      </c>
      <c r="AY76" s="21" t="s">
        <v>3130</v>
      </c>
      <c r="AZ76" s="21"/>
      <c r="BA76" s="21"/>
    </row>
    <row r="77" spans="1:53" ht="20" customHeight="1">
      <c r="A77" s="86" t="s">
        <v>318</v>
      </c>
      <c r="B77" s="371" t="s">
        <v>2407</v>
      </c>
      <c r="C77" s="151" t="s">
        <v>51</v>
      </c>
      <c r="D77" s="151" t="s">
        <v>52</v>
      </c>
      <c r="E77" s="151" t="s">
        <v>319</v>
      </c>
      <c r="F77" s="151" t="s">
        <v>255</v>
      </c>
      <c r="G77" s="151" t="s">
        <v>242</v>
      </c>
      <c r="H77" s="152">
        <v>42816</v>
      </c>
      <c r="I77" s="151" t="s">
        <v>250</v>
      </c>
      <c r="J77" s="151" t="s">
        <v>251</v>
      </c>
      <c r="K77" s="151" t="s">
        <v>76</v>
      </c>
      <c r="L77" s="153">
        <v>2</v>
      </c>
      <c r="M77" s="153">
        <v>4</v>
      </c>
      <c r="N77" s="184">
        <v>10250</v>
      </c>
      <c r="O77" s="177">
        <v>3.7500000000000006E-2</v>
      </c>
      <c r="P77" s="185">
        <v>384</v>
      </c>
      <c r="Q77" s="177">
        <v>1.55E-2</v>
      </c>
      <c r="R77" s="185">
        <v>159</v>
      </c>
      <c r="S77" s="177">
        <v>5.2975609756097559E-2</v>
      </c>
      <c r="T77" s="185">
        <v>543</v>
      </c>
      <c r="U77" s="185">
        <v>10793</v>
      </c>
      <c r="V77" s="186">
        <v>11000</v>
      </c>
      <c r="W77" s="187">
        <v>750</v>
      </c>
      <c r="X77" s="178">
        <v>7.3200000000000001E-2</v>
      </c>
      <c r="Y77" s="179" t="s">
        <v>222</v>
      </c>
      <c r="Z77" s="188"/>
      <c r="AA77" s="188"/>
      <c r="AB77" s="188"/>
      <c r="AC77" s="180"/>
      <c r="AD77" s="184">
        <v>0</v>
      </c>
      <c r="AE77" s="189">
        <v>11000</v>
      </c>
      <c r="AF77" s="164">
        <v>750</v>
      </c>
      <c r="AG77" s="181">
        <v>7.3170731707317138E-2</v>
      </c>
      <c r="AH77" s="166">
        <v>14</v>
      </c>
      <c r="AI77" s="166">
        <v>450</v>
      </c>
      <c r="AJ77" s="166"/>
      <c r="AK77" s="166">
        <v>688</v>
      </c>
      <c r="AL77" s="166">
        <v>160088</v>
      </c>
      <c r="AM77" s="153">
        <v>3</v>
      </c>
      <c r="AN77" s="166"/>
      <c r="AO77" s="167" t="s">
        <v>258</v>
      </c>
      <c r="AP77" s="167" t="s">
        <v>151</v>
      </c>
      <c r="AQ77" s="151" t="s">
        <v>245</v>
      </c>
      <c r="AR77" s="151" t="s">
        <v>246</v>
      </c>
      <c r="AS77" s="151" t="s">
        <v>247</v>
      </c>
      <c r="AT77" s="183"/>
      <c r="AU77" s="192"/>
      <c r="AV77" s="192"/>
      <c r="AW77" s="191" t="str">
        <f t="shared" si="29"/>
        <v>OK</v>
      </c>
      <c r="AX77" s="21" t="s">
        <v>3133</v>
      </c>
      <c r="AY77" s="21" t="s">
        <v>3130</v>
      </c>
      <c r="AZ77" s="21"/>
      <c r="BA77" s="21"/>
    </row>
    <row r="78" spans="1:53" ht="20" customHeight="1">
      <c r="A78" s="86" t="s">
        <v>318</v>
      </c>
      <c r="B78" s="371" t="s">
        <v>2408</v>
      </c>
      <c r="C78" s="151" t="s">
        <v>51</v>
      </c>
      <c r="D78" s="151" t="s">
        <v>52</v>
      </c>
      <c r="E78" s="151" t="s">
        <v>319</v>
      </c>
      <c r="F78" s="151" t="s">
        <v>253</v>
      </c>
      <c r="G78" s="151" t="s">
        <v>242</v>
      </c>
      <c r="H78" s="152">
        <v>38614</v>
      </c>
      <c r="I78" s="151" t="s">
        <v>250</v>
      </c>
      <c r="J78" s="151" t="s">
        <v>251</v>
      </c>
      <c r="K78" s="151" t="s">
        <v>76</v>
      </c>
      <c r="L78" s="153">
        <v>2</v>
      </c>
      <c r="M78" s="153">
        <v>3</v>
      </c>
      <c r="N78" s="184">
        <v>13114</v>
      </c>
      <c r="O78" s="177">
        <v>2.5000000000000001E-2</v>
      </c>
      <c r="P78" s="185">
        <v>328</v>
      </c>
      <c r="Q78" s="177">
        <v>0</v>
      </c>
      <c r="R78" s="185">
        <v>0</v>
      </c>
      <c r="S78" s="177">
        <v>2.5011438157694067E-2</v>
      </c>
      <c r="T78" s="185">
        <v>328</v>
      </c>
      <c r="U78" s="185">
        <v>13442</v>
      </c>
      <c r="V78" s="186">
        <v>13393</v>
      </c>
      <c r="W78" s="187">
        <v>279</v>
      </c>
      <c r="X78" s="178">
        <v>2.1299999999999999E-2</v>
      </c>
      <c r="Y78" s="179" t="s">
        <v>232</v>
      </c>
      <c r="Z78" s="188"/>
      <c r="AA78" s="188"/>
      <c r="AB78" s="188"/>
      <c r="AC78" s="180"/>
      <c r="AD78" s="184">
        <v>0</v>
      </c>
      <c r="AE78" s="189">
        <v>13393</v>
      </c>
      <c r="AF78" s="164">
        <v>279</v>
      </c>
      <c r="AG78" s="181">
        <v>2.1274973310965395E-2</v>
      </c>
      <c r="AH78" s="166">
        <v>14</v>
      </c>
      <c r="AI78" s="166">
        <v>450</v>
      </c>
      <c r="AJ78" s="166"/>
      <c r="AK78" s="166">
        <v>688</v>
      </c>
      <c r="AL78" s="166">
        <v>193590</v>
      </c>
      <c r="AM78" s="153">
        <v>2</v>
      </c>
      <c r="AN78" s="166"/>
      <c r="AO78" s="167"/>
      <c r="AP78" s="167"/>
      <c r="AQ78" s="151" t="s">
        <v>245</v>
      </c>
      <c r="AR78" s="151" t="s">
        <v>246</v>
      </c>
      <c r="AS78" s="151" t="s">
        <v>247</v>
      </c>
      <c r="AT78" s="183"/>
      <c r="AU78" s="192"/>
      <c r="AV78" s="192"/>
      <c r="AW78" s="193" t="str">
        <f t="shared" si="29"/>
        <v>OK</v>
      </c>
      <c r="AX78" s="21" t="s">
        <v>3129</v>
      </c>
      <c r="AY78" s="21" t="s">
        <v>3130</v>
      </c>
      <c r="AZ78" s="21"/>
      <c r="BA78" s="21"/>
    </row>
    <row r="79" spans="1:53" ht="20" customHeight="1">
      <c r="A79" s="86" t="s">
        <v>318</v>
      </c>
      <c r="B79" s="371" t="s">
        <v>2409</v>
      </c>
      <c r="C79" s="151" t="s">
        <v>51</v>
      </c>
      <c r="D79" s="151" t="s">
        <v>52</v>
      </c>
      <c r="E79" s="151" t="s">
        <v>319</v>
      </c>
      <c r="F79" s="151" t="s">
        <v>255</v>
      </c>
      <c r="G79" s="151" t="s">
        <v>242</v>
      </c>
      <c r="H79" s="152">
        <v>44130</v>
      </c>
      <c r="I79" s="151" t="s">
        <v>226</v>
      </c>
      <c r="J79" s="151" t="s">
        <v>259</v>
      </c>
      <c r="K79" s="151" t="s">
        <v>84</v>
      </c>
      <c r="L79" s="153">
        <v>2</v>
      </c>
      <c r="M79" s="153">
        <v>3</v>
      </c>
      <c r="N79" s="184">
        <v>8155</v>
      </c>
      <c r="O79" s="177">
        <v>2.5000000000000001E-2</v>
      </c>
      <c r="P79" s="185">
        <v>204</v>
      </c>
      <c r="Q79" s="177">
        <v>0</v>
      </c>
      <c r="R79" s="185">
        <v>0</v>
      </c>
      <c r="S79" s="177">
        <v>2.5015328019619865E-2</v>
      </c>
      <c r="T79" s="185">
        <v>204</v>
      </c>
      <c r="U79" s="185">
        <v>8359</v>
      </c>
      <c r="V79" s="186">
        <v>8359</v>
      </c>
      <c r="W79" s="187">
        <v>204</v>
      </c>
      <c r="X79" s="178">
        <v>2.5000000000000001E-2</v>
      </c>
      <c r="Y79" s="179" t="s">
        <v>232</v>
      </c>
      <c r="Z79" s="188"/>
      <c r="AA79" s="188"/>
      <c r="AB79" s="188"/>
      <c r="AC79" s="180"/>
      <c r="AD79" s="184">
        <v>0</v>
      </c>
      <c r="AE79" s="189">
        <v>8359</v>
      </c>
      <c r="AF79" s="164">
        <v>204</v>
      </c>
      <c r="AG79" s="181">
        <v>2.501532801961992E-2</v>
      </c>
      <c r="AH79" s="166">
        <v>14</v>
      </c>
      <c r="AI79" s="166">
        <v>450</v>
      </c>
      <c r="AJ79" s="166"/>
      <c r="AK79" s="166">
        <v>688</v>
      </c>
      <c r="AL79" s="166">
        <v>123114</v>
      </c>
      <c r="AM79" s="153">
        <v>3</v>
      </c>
      <c r="AN79" s="166"/>
      <c r="AO79" s="167"/>
      <c r="AP79" s="167"/>
      <c r="AQ79" s="151" t="s">
        <v>245</v>
      </c>
      <c r="AR79" s="151" t="s">
        <v>246</v>
      </c>
      <c r="AS79" s="151" t="s">
        <v>247</v>
      </c>
      <c r="AT79" s="183"/>
      <c r="AU79" s="192"/>
      <c r="AV79" s="192"/>
      <c r="AW79" s="191" t="str">
        <f t="shared" si="29"/>
        <v>OK</v>
      </c>
      <c r="AX79" s="21" t="s">
        <v>3131</v>
      </c>
      <c r="AY79" s="21" t="s">
        <v>3130</v>
      </c>
      <c r="AZ79" s="21"/>
      <c r="BA79" s="21"/>
    </row>
    <row r="80" spans="1:53" ht="20" customHeight="1">
      <c r="A80" s="86" t="s">
        <v>318</v>
      </c>
      <c r="B80" s="371" t="s">
        <v>2410</v>
      </c>
      <c r="C80" s="151" t="s">
        <v>51</v>
      </c>
      <c r="D80" s="151" t="s">
        <v>52</v>
      </c>
      <c r="E80" s="151" t="s">
        <v>319</v>
      </c>
      <c r="F80" s="151" t="s">
        <v>255</v>
      </c>
      <c r="G80" s="151" t="s">
        <v>242</v>
      </c>
      <c r="H80" s="152">
        <v>39995</v>
      </c>
      <c r="I80" s="151" t="s">
        <v>71</v>
      </c>
      <c r="J80" s="151" t="s">
        <v>260</v>
      </c>
      <c r="K80" s="151" t="s">
        <v>61</v>
      </c>
      <c r="L80" s="153">
        <v>2</v>
      </c>
      <c r="M80" s="153">
        <v>5</v>
      </c>
      <c r="N80" s="184">
        <v>18800</v>
      </c>
      <c r="O80" s="177">
        <v>0.04</v>
      </c>
      <c r="P80" s="185">
        <v>752</v>
      </c>
      <c r="Q80" s="177">
        <v>0</v>
      </c>
      <c r="R80" s="185">
        <v>0</v>
      </c>
      <c r="S80" s="177">
        <v>0.04</v>
      </c>
      <c r="T80" s="185">
        <v>752</v>
      </c>
      <c r="U80" s="185">
        <v>19552</v>
      </c>
      <c r="V80" s="186">
        <v>19425</v>
      </c>
      <c r="W80" s="187">
        <v>625</v>
      </c>
      <c r="X80" s="178">
        <v>3.32E-2</v>
      </c>
      <c r="Y80" s="179" t="s">
        <v>261</v>
      </c>
      <c r="Z80" s="188"/>
      <c r="AA80" s="188"/>
      <c r="AB80" s="188"/>
      <c r="AC80" s="180"/>
      <c r="AD80" s="184">
        <v>0</v>
      </c>
      <c r="AE80" s="189">
        <v>19425</v>
      </c>
      <c r="AF80" s="164">
        <v>625</v>
      </c>
      <c r="AG80" s="181">
        <v>3.3244680851063801E-2</v>
      </c>
      <c r="AH80" s="166">
        <v>14</v>
      </c>
      <c r="AI80" s="166">
        <v>510</v>
      </c>
      <c r="AJ80" s="166"/>
      <c r="AK80" s="166">
        <v>688</v>
      </c>
      <c r="AL80" s="166">
        <v>278758</v>
      </c>
      <c r="AM80" s="153">
        <v>5</v>
      </c>
      <c r="AN80" s="166"/>
      <c r="AO80" s="167"/>
      <c r="AP80" s="167"/>
      <c r="AQ80" s="151" t="s">
        <v>245</v>
      </c>
      <c r="AR80" s="151" t="s">
        <v>246</v>
      </c>
      <c r="AS80" s="151" t="s">
        <v>247</v>
      </c>
      <c r="AT80" s="183"/>
      <c r="AU80" s="192"/>
      <c r="AV80" s="192"/>
      <c r="AW80" s="193" t="str">
        <f t="shared" ref="AW80:AW105" si="30">_xlfn.LET(_xlpm.actual,X80,_xlpm.low,VALUE(_xlfn.TEXTBEFORE(Y80,"-")),_xlpm.high,VALUE(_xlfn.TEXTAFTER(Y80,"-")),IF(AND(_xlpm.actual=0,OR(_xlpm.low&lt;&gt;0,_xlpm.high&lt;&gt;0)),"0 increase",IF(_xlpm.actual&gt;_xlpm.high*1.2,"&gt;20",IF(_xlpm.actual&lt;_xlpm.low*0.8,"&lt;20","OK"))))</f>
        <v>OK</v>
      </c>
      <c r="AX80" s="21" t="s">
        <v>3129</v>
      </c>
      <c r="AY80" s="21" t="s">
        <v>3136</v>
      </c>
      <c r="AZ80" s="21"/>
      <c r="BA80" s="21"/>
    </row>
    <row r="81" spans="1:53" ht="20" customHeight="1">
      <c r="A81" s="86" t="s">
        <v>318</v>
      </c>
      <c r="B81" s="371" t="s">
        <v>2411</v>
      </c>
      <c r="C81" s="151" t="s">
        <v>51</v>
      </c>
      <c r="D81" s="151" t="s">
        <v>52</v>
      </c>
      <c r="E81" s="151" t="s">
        <v>319</v>
      </c>
      <c r="F81" s="151" t="s">
        <v>240</v>
      </c>
      <c r="G81" s="151" t="s">
        <v>262</v>
      </c>
      <c r="H81" s="152">
        <v>39616</v>
      </c>
      <c r="I81" s="151" t="s">
        <v>71</v>
      </c>
      <c r="J81" s="151" t="s">
        <v>263</v>
      </c>
      <c r="K81" s="151" t="s">
        <v>61</v>
      </c>
      <c r="L81" s="153">
        <v>2</v>
      </c>
      <c r="M81" s="153">
        <v>4</v>
      </c>
      <c r="N81" s="184">
        <v>14903</v>
      </c>
      <c r="O81" s="177">
        <v>4.4999999999999998E-2</v>
      </c>
      <c r="P81" s="185">
        <v>671</v>
      </c>
      <c r="Q81" s="177">
        <v>4.2099999999999999E-2</v>
      </c>
      <c r="R81" s="185">
        <v>627</v>
      </c>
      <c r="S81" s="177">
        <v>8.7096557740052344E-2</v>
      </c>
      <c r="T81" s="185">
        <v>1298</v>
      </c>
      <c r="U81" s="185">
        <v>16201</v>
      </c>
      <c r="V81" s="186">
        <v>16000</v>
      </c>
      <c r="W81" s="187">
        <v>1097</v>
      </c>
      <c r="X81" s="178">
        <v>7.3599999999999999E-2</v>
      </c>
      <c r="Y81" s="179" t="s">
        <v>264</v>
      </c>
      <c r="Z81" s="188"/>
      <c r="AA81" s="188"/>
      <c r="AB81" s="188"/>
      <c r="AC81" s="180"/>
      <c r="AD81" s="184">
        <v>0</v>
      </c>
      <c r="AE81" s="189">
        <v>16000</v>
      </c>
      <c r="AF81" s="164">
        <v>1097</v>
      </c>
      <c r="AG81" s="181">
        <v>7.3609340401261436E-2</v>
      </c>
      <c r="AH81" s="166">
        <v>14</v>
      </c>
      <c r="AI81" s="166">
        <v>450</v>
      </c>
      <c r="AJ81" s="166"/>
      <c r="AK81" s="166">
        <v>688</v>
      </c>
      <c r="AL81" s="166">
        <v>230088</v>
      </c>
      <c r="AM81" s="153">
        <v>3</v>
      </c>
      <c r="AN81" s="166"/>
      <c r="AO81" s="167"/>
      <c r="AP81" s="167"/>
      <c r="AQ81" s="151" t="s">
        <v>265</v>
      </c>
      <c r="AR81" s="151" t="s">
        <v>246</v>
      </c>
      <c r="AS81" s="151" t="s">
        <v>247</v>
      </c>
      <c r="AT81" s="183"/>
      <c r="AU81" s="192"/>
      <c r="AV81" s="192"/>
      <c r="AW81" s="191" t="str">
        <f t="shared" si="30"/>
        <v>OK</v>
      </c>
      <c r="AX81" s="21" t="s">
        <v>3129</v>
      </c>
      <c r="AY81" s="21" t="s">
        <v>3132</v>
      </c>
      <c r="AZ81" s="21"/>
      <c r="BA81" s="21"/>
    </row>
    <row r="82" spans="1:53" ht="20" customHeight="1">
      <c r="A82" s="86" t="s">
        <v>318</v>
      </c>
      <c r="B82" s="371" t="s">
        <v>2412</v>
      </c>
      <c r="C82" s="151" t="s">
        <v>51</v>
      </c>
      <c r="D82" s="151" t="s">
        <v>52</v>
      </c>
      <c r="E82" s="151" t="s">
        <v>319</v>
      </c>
      <c r="F82" s="151" t="s">
        <v>240</v>
      </c>
      <c r="G82" s="151" t="s">
        <v>262</v>
      </c>
      <c r="H82" s="152">
        <v>43346</v>
      </c>
      <c r="I82" s="151" t="s">
        <v>266</v>
      </c>
      <c r="J82" s="151" t="s">
        <v>266</v>
      </c>
      <c r="K82" s="151" t="s">
        <v>56</v>
      </c>
      <c r="L82" s="153">
        <v>2</v>
      </c>
      <c r="M82" s="153">
        <v>5</v>
      </c>
      <c r="N82" s="184">
        <v>24381</v>
      </c>
      <c r="O82" s="177">
        <v>0.05</v>
      </c>
      <c r="P82" s="185">
        <v>1219</v>
      </c>
      <c r="Q82" s="177">
        <v>2.7E-2</v>
      </c>
      <c r="R82" s="185">
        <v>658</v>
      </c>
      <c r="S82" s="177">
        <v>7.6986177761371566E-2</v>
      </c>
      <c r="T82" s="185">
        <v>1877</v>
      </c>
      <c r="U82" s="185">
        <v>26258</v>
      </c>
      <c r="V82" s="186">
        <v>26000</v>
      </c>
      <c r="W82" s="187">
        <v>1619</v>
      </c>
      <c r="X82" s="178">
        <v>6.6400000000000001E-2</v>
      </c>
      <c r="Y82" s="179" t="s">
        <v>237</v>
      </c>
      <c r="Z82" s="188"/>
      <c r="AA82" s="188"/>
      <c r="AB82" s="188"/>
      <c r="AC82" s="180"/>
      <c r="AD82" s="184">
        <v>0</v>
      </c>
      <c r="AE82" s="189">
        <v>26000</v>
      </c>
      <c r="AF82" s="164">
        <v>1619</v>
      </c>
      <c r="AG82" s="181">
        <v>6.6404167179360929E-2</v>
      </c>
      <c r="AH82" s="166">
        <v>14</v>
      </c>
      <c r="AI82" s="166">
        <v>450</v>
      </c>
      <c r="AJ82" s="166"/>
      <c r="AK82" s="166">
        <v>688</v>
      </c>
      <c r="AL82" s="166">
        <v>370088</v>
      </c>
      <c r="AM82" s="153">
        <v>5</v>
      </c>
      <c r="AN82" s="166"/>
      <c r="AO82" s="167"/>
      <c r="AP82" s="167"/>
      <c r="AQ82" s="151" t="s">
        <v>267</v>
      </c>
      <c r="AR82" s="151" t="s">
        <v>246</v>
      </c>
      <c r="AS82" s="151" t="s">
        <v>247</v>
      </c>
      <c r="AT82" s="183"/>
      <c r="AU82" s="192"/>
      <c r="AV82" s="192"/>
      <c r="AW82" s="193" t="str">
        <f t="shared" si="30"/>
        <v>OK</v>
      </c>
      <c r="AX82" s="21" t="s">
        <v>3133</v>
      </c>
      <c r="AY82" s="21" t="s">
        <v>3130</v>
      </c>
      <c r="AZ82" s="21"/>
      <c r="BA82" s="21"/>
    </row>
    <row r="83" spans="1:53" ht="20" customHeight="1">
      <c r="A83" s="86" t="s">
        <v>318</v>
      </c>
      <c r="B83" s="371" t="s">
        <v>2413</v>
      </c>
      <c r="C83" s="151" t="s">
        <v>51</v>
      </c>
      <c r="D83" s="151" t="s">
        <v>52</v>
      </c>
      <c r="E83" s="151" t="s">
        <v>319</v>
      </c>
      <c r="F83" s="151" t="s">
        <v>268</v>
      </c>
      <c r="G83" s="151" t="s">
        <v>269</v>
      </c>
      <c r="H83" s="152">
        <v>45839</v>
      </c>
      <c r="I83" s="151" t="s">
        <v>198</v>
      </c>
      <c r="J83" s="151" t="s">
        <v>270</v>
      </c>
      <c r="K83" s="151" t="s">
        <v>199</v>
      </c>
      <c r="L83" s="153">
        <v>2</v>
      </c>
      <c r="M83" s="153">
        <v>2</v>
      </c>
      <c r="N83" s="184">
        <v>25500</v>
      </c>
      <c r="O83" s="177">
        <v>0</v>
      </c>
      <c r="P83" s="185">
        <v>0</v>
      </c>
      <c r="Q83" s="177">
        <v>0</v>
      </c>
      <c r="R83" s="185">
        <v>0</v>
      </c>
      <c r="S83" s="177">
        <v>0</v>
      </c>
      <c r="T83" s="185">
        <v>0</v>
      </c>
      <c r="U83" s="185">
        <v>25500</v>
      </c>
      <c r="V83" s="186">
        <v>25750</v>
      </c>
      <c r="W83" s="187">
        <v>250</v>
      </c>
      <c r="X83" s="178">
        <v>9.7999999999999997E-3</v>
      </c>
      <c r="Y83" s="179" t="s">
        <v>225</v>
      </c>
      <c r="Z83" s="188"/>
      <c r="AA83" s="188"/>
      <c r="AB83" s="188"/>
      <c r="AC83" s="180"/>
      <c r="AD83" s="184">
        <v>0</v>
      </c>
      <c r="AE83" s="189">
        <v>25750</v>
      </c>
      <c r="AF83" s="164">
        <v>250</v>
      </c>
      <c r="AG83" s="181">
        <v>9.8039215686274161E-3</v>
      </c>
      <c r="AH83" s="166">
        <v>14</v>
      </c>
      <c r="AI83" s="166">
        <v>450</v>
      </c>
      <c r="AJ83" s="166">
        <v>1000</v>
      </c>
      <c r="AK83" s="166">
        <v>688</v>
      </c>
      <c r="AL83" s="166">
        <v>378588</v>
      </c>
      <c r="AM83" s="153" t="e">
        <v>#N/A</v>
      </c>
      <c r="AN83" s="166"/>
      <c r="AO83" s="167"/>
      <c r="AP83" s="167" t="s">
        <v>128</v>
      </c>
      <c r="AQ83" s="151" t="s">
        <v>267</v>
      </c>
      <c r="AR83" s="151" t="s">
        <v>246</v>
      </c>
      <c r="AS83" s="151" t="s">
        <v>247</v>
      </c>
      <c r="AT83" s="183"/>
      <c r="AU83" s="192"/>
      <c r="AV83" s="192"/>
      <c r="AW83" s="191" t="str">
        <f t="shared" si="30"/>
        <v>&gt;20</v>
      </c>
      <c r="AX83" s="21" t="s">
        <v>3133</v>
      </c>
      <c r="AY83" s="21">
        <v>0</v>
      </c>
      <c r="AZ83" s="21"/>
      <c r="BA83" s="21"/>
    </row>
    <row r="84" spans="1:53" ht="20" customHeight="1">
      <c r="A84" s="86" t="s">
        <v>318</v>
      </c>
      <c r="B84" s="371" t="s">
        <v>2414</v>
      </c>
      <c r="C84" s="151" t="s">
        <v>51</v>
      </c>
      <c r="D84" s="151" t="s">
        <v>52</v>
      </c>
      <c r="E84" s="151" t="s">
        <v>319</v>
      </c>
      <c r="F84" s="151" t="s">
        <v>271</v>
      </c>
      <c r="G84" s="151" t="s">
        <v>272</v>
      </c>
      <c r="H84" s="152">
        <v>40763</v>
      </c>
      <c r="I84" s="151" t="s">
        <v>111</v>
      </c>
      <c r="J84" s="151" t="s">
        <v>273</v>
      </c>
      <c r="K84" s="151" t="s">
        <v>56</v>
      </c>
      <c r="L84" s="153">
        <v>2</v>
      </c>
      <c r="M84" s="153">
        <v>3</v>
      </c>
      <c r="N84" s="184">
        <v>29250</v>
      </c>
      <c r="O84" s="177">
        <v>0</v>
      </c>
      <c r="P84" s="185">
        <v>0</v>
      </c>
      <c r="Q84" s="177">
        <v>0</v>
      </c>
      <c r="R84" s="185">
        <v>0</v>
      </c>
      <c r="S84" s="177">
        <v>0</v>
      </c>
      <c r="T84" s="185">
        <v>0</v>
      </c>
      <c r="U84" s="185">
        <v>29250</v>
      </c>
      <c r="V84" s="186">
        <v>29250</v>
      </c>
      <c r="W84" s="187">
        <v>0</v>
      </c>
      <c r="X84" s="178">
        <v>0</v>
      </c>
      <c r="Y84" s="179" t="s">
        <v>225</v>
      </c>
      <c r="Z84" s="188"/>
      <c r="AA84" s="188"/>
      <c r="AB84" s="188"/>
      <c r="AC84" s="180"/>
      <c r="AD84" s="184">
        <v>0</v>
      </c>
      <c r="AE84" s="189">
        <v>29250</v>
      </c>
      <c r="AF84" s="164">
        <v>0</v>
      </c>
      <c r="AG84" s="181">
        <v>0</v>
      </c>
      <c r="AH84" s="166">
        <v>14</v>
      </c>
      <c r="AI84" s="166">
        <v>1450</v>
      </c>
      <c r="AJ84" s="166"/>
      <c r="AK84" s="166">
        <v>688</v>
      </c>
      <c r="AL84" s="166">
        <v>427588</v>
      </c>
      <c r="AM84" s="153">
        <v>3</v>
      </c>
      <c r="AN84" s="166"/>
      <c r="AO84" s="167"/>
      <c r="AP84" s="167"/>
      <c r="AQ84" s="151" t="s">
        <v>267</v>
      </c>
      <c r="AR84" s="151" t="s">
        <v>246</v>
      </c>
      <c r="AS84" s="151" t="s">
        <v>247</v>
      </c>
      <c r="AT84" s="183"/>
      <c r="AU84" s="192"/>
      <c r="AV84" s="192"/>
      <c r="AW84" s="193" t="str">
        <f t="shared" si="30"/>
        <v>OK</v>
      </c>
      <c r="AX84" s="21" t="s">
        <v>3135</v>
      </c>
      <c r="AY84" s="21" t="s">
        <v>3134</v>
      </c>
      <c r="AZ84" s="21"/>
      <c r="BA84" s="21"/>
    </row>
    <row r="85" spans="1:53" ht="20" customHeight="1">
      <c r="A85" s="86" t="s">
        <v>318</v>
      </c>
      <c r="B85" s="371" t="s">
        <v>2415</v>
      </c>
      <c r="C85" s="151" t="s">
        <v>51</v>
      </c>
      <c r="D85" s="151" t="s">
        <v>52</v>
      </c>
      <c r="E85" s="151" t="s">
        <v>319</v>
      </c>
      <c r="F85" s="151" t="s">
        <v>274</v>
      </c>
      <c r="G85" s="151" t="s">
        <v>269</v>
      </c>
      <c r="H85" s="152">
        <v>38808</v>
      </c>
      <c r="I85" s="151" t="s">
        <v>71</v>
      </c>
      <c r="J85" s="151" t="s">
        <v>275</v>
      </c>
      <c r="K85" s="151" t="s">
        <v>61</v>
      </c>
      <c r="L85" s="153">
        <v>2</v>
      </c>
      <c r="M85" s="153">
        <v>4</v>
      </c>
      <c r="N85" s="184">
        <v>14690</v>
      </c>
      <c r="O85" s="177">
        <v>0.03</v>
      </c>
      <c r="P85" s="185">
        <v>441</v>
      </c>
      <c r="Q85" s="177">
        <v>0</v>
      </c>
      <c r="R85" s="185">
        <v>0</v>
      </c>
      <c r="S85" s="177">
        <v>3.0020422055820287E-2</v>
      </c>
      <c r="T85" s="185">
        <v>441</v>
      </c>
      <c r="U85" s="185">
        <v>15131</v>
      </c>
      <c r="V85" s="186">
        <v>15500</v>
      </c>
      <c r="W85" s="187">
        <v>810</v>
      </c>
      <c r="X85" s="178">
        <v>5.5100000000000003E-2</v>
      </c>
      <c r="Y85" s="179" t="s">
        <v>233</v>
      </c>
      <c r="Z85" s="188"/>
      <c r="AA85" s="188"/>
      <c r="AB85" s="188"/>
      <c r="AC85" s="180"/>
      <c r="AD85" s="184">
        <v>0</v>
      </c>
      <c r="AE85" s="189">
        <v>15500</v>
      </c>
      <c r="AF85" s="164">
        <v>810</v>
      </c>
      <c r="AG85" s="181">
        <v>5.5139550714772056E-2</v>
      </c>
      <c r="AH85" s="166">
        <v>14</v>
      </c>
      <c r="AI85" s="166">
        <v>450</v>
      </c>
      <c r="AJ85" s="166"/>
      <c r="AK85" s="166">
        <v>688</v>
      </c>
      <c r="AL85" s="166">
        <v>223088</v>
      </c>
      <c r="AM85" s="153">
        <v>4</v>
      </c>
      <c r="AN85" s="166"/>
      <c r="AO85" s="167" t="s">
        <v>90</v>
      </c>
      <c r="AP85" s="167" t="s">
        <v>239</v>
      </c>
      <c r="AQ85" s="151" t="s">
        <v>276</v>
      </c>
      <c r="AR85" s="151" t="s">
        <v>246</v>
      </c>
      <c r="AS85" s="151" t="s">
        <v>59</v>
      </c>
      <c r="AT85" s="183"/>
      <c r="AU85" s="192"/>
      <c r="AV85" s="192"/>
      <c r="AW85" s="191" t="str">
        <f t="shared" si="30"/>
        <v>&gt;20</v>
      </c>
      <c r="AX85" s="21" t="s">
        <v>3129</v>
      </c>
      <c r="AY85" s="21" t="s">
        <v>3136</v>
      </c>
      <c r="AZ85" s="21"/>
      <c r="BA85" s="21"/>
    </row>
    <row r="86" spans="1:53" ht="20" customHeight="1">
      <c r="A86" s="86" t="s">
        <v>318</v>
      </c>
      <c r="B86" s="371" t="s">
        <v>2416</v>
      </c>
      <c r="C86" s="151" t="s">
        <v>51</v>
      </c>
      <c r="D86" s="151" t="s">
        <v>52</v>
      </c>
      <c r="E86" s="151" t="s">
        <v>319</v>
      </c>
      <c r="F86" s="151" t="s">
        <v>277</v>
      </c>
      <c r="G86" s="151" t="s">
        <v>278</v>
      </c>
      <c r="H86" s="152">
        <v>39553</v>
      </c>
      <c r="I86" s="151" t="s">
        <v>279</v>
      </c>
      <c r="J86" s="151" t="s">
        <v>280</v>
      </c>
      <c r="K86" s="151" t="s">
        <v>175</v>
      </c>
      <c r="L86" s="153">
        <v>2</v>
      </c>
      <c r="M86" s="153">
        <v>2</v>
      </c>
      <c r="N86" s="184">
        <v>9185</v>
      </c>
      <c r="O86" s="177">
        <v>0</v>
      </c>
      <c r="P86" s="185">
        <v>0</v>
      </c>
      <c r="Q86" s="177">
        <v>0</v>
      </c>
      <c r="R86" s="185">
        <v>0</v>
      </c>
      <c r="S86" s="177">
        <v>0</v>
      </c>
      <c r="T86" s="185">
        <v>0</v>
      </c>
      <c r="U86" s="185">
        <v>9185</v>
      </c>
      <c r="V86" s="186">
        <v>9185</v>
      </c>
      <c r="W86" s="187">
        <v>0</v>
      </c>
      <c r="X86" s="178">
        <v>0</v>
      </c>
      <c r="Y86" s="179" t="s">
        <v>225</v>
      </c>
      <c r="Z86" s="188"/>
      <c r="AA86" s="188"/>
      <c r="AB86" s="188"/>
      <c r="AC86" s="180"/>
      <c r="AD86" s="184">
        <v>0</v>
      </c>
      <c r="AE86" s="189">
        <v>9185</v>
      </c>
      <c r="AF86" s="164">
        <v>0</v>
      </c>
      <c r="AG86" s="181">
        <v>0</v>
      </c>
      <c r="AH86" s="166">
        <v>14</v>
      </c>
      <c r="AI86" s="166">
        <v>550</v>
      </c>
      <c r="AJ86" s="166"/>
      <c r="AK86" s="166">
        <v>688</v>
      </c>
      <c r="AL86" s="166">
        <v>135878</v>
      </c>
      <c r="AM86" s="153">
        <v>3</v>
      </c>
      <c r="AN86" s="166"/>
      <c r="AO86" s="167"/>
      <c r="AP86" s="167"/>
      <c r="AQ86" s="151" t="s">
        <v>276</v>
      </c>
      <c r="AR86" s="151" t="s">
        <v>246</v>
      </c>
      <c r="AS86" s="151" t="s">
        <v>59</v>
      </c>
      <c r="AT86" s="183"/>
      <c r="AU86" s="192"/>
      <c r="AV86" s="192"/>
      <c r="AW86" s="193" t="str">
        <f t="shared" si="30"/>
        <v>OK</v>
      </c>
      <c r="AX86" s="21" t="s">
        <v>3129</v>
      </c>
      <c r="AY86" s="21">
        <v>0</v>
      </c>
      <c r="AZ86" s="21"/>
      <c r="BA86" s="21"/>
    </row>
    <row r="87" spans="1:53" ht="20" customHeight="1">
      <c r="A87" s="86" t="s">
        <v>318</v>
      </c>
      <c r="B87" s="371" t="s">
        <v>2417</v>
      </c>
      <c r="C87" s="151" t="s">
        <v>51</v>
      </c>
      <c r="D87" s="151" t="s">
        <v>52</v>
      </c>
      <c r="E87" s="151" t="s">
        <v>319</v>
      </c>
      <c r="F87" s="151" t="s">
        <v>268</v>
      </c>
      <c r="G87" s="151" t="s">
        <v>269</v>
      </c>
      <c r="H87" s="152">
        <v>40276</v>
      </c>
      <c r="I87" s="151" t="s">
        <v>71</v>
      </c>
      <c r="J87" s="151" t="s">
        <v>71</v>
      </c>
      <c r="K87" s="151" t="s">
        <v>61</v>
      </c>
      <c r="L87" s="153">
        <v>2</v>
      </c>
      <c r="M87" s="153">
        <v>3</v>
      </c>
      <c r="N87" s="184">
        <v>17784</v>
      </c>
      <c r="O87" s="177">
        <v>0</v>
      </c>
      <c r="P87" s="185">
        <v>0</v>
      </c>
      <c r="Q87" s="177">
        <v>0</v>
      </c>
      <c r="R87" s="185">
        <v>0</v>
      </c>
      <c r="S87" s="177">
        <v>0</v>
      </c>
      <c r="T87" s="185">
        <v>0</v>
      </c>
      <c r="U87" s="185">
        <v>17784</v>
      </c>
      <c r="V87" s="186">
        <v>17784</v>
      </c>
      <c r="W87" s="187">
        <v>0</v>
      </c>
      <c r="X87" s="178">
        <v>0</v>
      </c>
      <c r="Y87" s="179" t="s">
        <v>225</v>
      </c>
      <c r="Z87" s="188"/>
      <c r="AA87" s="188"/>
      <c r="AB87" s="188"/>
      <c r="AC87" s="180"/>
      <c r="AD87" s="184">
        <v>0</v>
      </c>
      <c r="AE87" s="189">
        <v>17784</v>
      </c>
      <c r="AF87" s="164">
        <v>0</v>
      </c>
      <c r="AG87" s="181">
        <v>0</v>
      </c>
      <c r="AH87" s="166">
        <v>14</v>
      </c>
      <c r="AI87" s="166">
        <v>450</v>
      </c>
      <c r="AJ87" s="166"/>
      <c r="AK87" s="166">
        <v>688</v>
      </c>
      <c r="AL87" s="166">
        <v>255064</v>
      </c>
      <c r="AM87" s="153">
        <v>3</v>
      </c>
      <c r="AN87" s="166"/>
      <c r="AO87" s="167" t="s">
        <v>179</v>
      </c>
      <c r="AP87" s="167"/>
      <c r="AQ87" s="151" t="s">
        <v>276</v>
      </c>
      <c r="AR87" s="151" t="s">
        <v>246</v>
      </c>
      <c r="AS87" s="151" t="s">
        <v>59</v>
      </c>
      <c r="AT87" s="183"/>
      <c r="AU87" s="192"/>
      <c r="AV87" s="192"/>
      <c r="AW87" s="191" t="str">
        <f t="shared" si="30"/>
        <v>OK</v>
      </c>
      <c r="AX87" s="21" t="s">
        <v>3129</v>
      </c>
      <c r="AY87" s="21" t="s">
        <v>3134</v>
      </c>
      <c r="AZ87" s="21"/>
      <c r="BA87" s="21"/>
    </row>
    <row r="88" spans="1:53" ht="20" customHeight="1">
      <c r="A88" s="86" t="s">
        <v>318</v>
      </c>
      <c r="B88" s="371" t="s">
        <v>2418</v>
      </c>
      <c r="C88" s="151" t="s">
        <v>51</v>
      </c>
      <c r="D88" s="151" t="s">
        <v>52</v>
      </c>
      <c r="E88" s="151" t="s">
        <v>319</v>
      </c>
      <c r="F88" s="151" t="s">
        <v>277</v>
      </c>
      <c r="G88" s="151" t="s">
        <v>278</v>
      </c>
      <c r="H88" s="152">
        <v>40094</v>
      </c>
      <c r="I88" s="151" t="s">
        <v>71</v>
      </c>
      <c r="J88" s="151" t="s">
        <v>71</v>
      </c>
      <c r="K88" s="151" t="s">
        <v>61</v>
      </c>
      <c r="L88" s="153">
        <v>2</v>
      </c>
      <c r="M88" s="153">
        <v>3</v>
      </c>
      <c r="N88" s="184">
        <v>13620</v>
      </c>
      <c r="O88" s="177">
        <v>2.5000000000000001E-2</v>
      </c>
      <c r="P88" s="185">
        <v>341</v>
      </c>
      <c r="Q88" s="177">
        <v>0</v>
      </c>
      <c r="R88" s="185">
        <v>0</v>
      </c>
      <c r="S88" s="177">
        <v>2.5036710719530102E-2</v>
      </c>
      <c r="T88" s="185">
        <v>341</v>
      </c>
      <c r="U88" s="185">
        <v>13961</v>
      </c>
      <c r="V88" s="186">
        <v>13620</v>
      </c>
      <c r="W88" s="187">
        <v>0</v>
      </c>
      <c r="X88" s="178">
        <v>0</v>
      </c>
      <c r="Y88" s="179" t="s">
        <v>232</v>
      </c>
      <c r="Z88" s="188"/>
      <c r="AA88" s="188"/>
      <c r="AB88" s="188"/>
      <c r="AC88" s="180"/>
      <c r="AD88" s="184">
        <v>0</v>
      </c>
      <c r="AE88" s="189">
        <v>13620</v>
      </c>
      <c r="AF88" s="164">
        <v>0</v>
      </c>
      <c r="AG88" s="181">
        <v>0</v>
      </c>
      <c r="AH88" s="166">
        <v>14</v>
      </c>
      <c r="AI88" s="166">
        <v>450</v>
      </c>
      <c r="AJ88" s="166"/>
      <c r="AK88" s="166">
        <v>688</v>
      </c>
      <c r="AL88" s="166">
        <v>196768</v>
      </c>
      <c r="AM88" s="153">
        <v>3</v>
      </c>
      <c r="AN88" s="166"/>
      <c r="AO88" s="167" t="s">
        <v>281</v>
      </c>
      <c r="AP88" s="167" t="s">
        <v>281</v>
      </c>
      <c r="AQ88" s="151" t="s">
        <v>276</v>
      </c>
      <c r="AR88" s="151" t="s">
        <v>246</v>
      </c>
      <c r="AS88" s="151" t="s">
        <v>59</v>
      </c>
      <c r="AT88" s="183"/>
      <c r="AU88" s="192"/>
      <c r="AV88" s="192"/>
      <c r="AW88" s="193" t="str">
        <f t="shared" si="30"/>
        <v>0 increase</v>
      </c>
      <c r="AX88" s="21" t="s">
        <v>3129</v>
      </c>
      <c r="AY88" s="21" t="s">
        <v>3130</v>
      </c>
      <c r="AZ88" s="21"/>
      <c r="BA88" s="21"/>
    </row>
    <row r="89" spans="1:53" ht="20" customHeight="1">
      <c r="A89" s="86" t="s">
        <v>318</v>
      </c>
      <c r="B89" s="371" t="s">
        <v>2419</v>
      </c>
      <c r="C89" s="151" t="s">
        <v>51</v>
      </c>
      <c r="D89" s="151" t="s">
        <v>52</v>
      </c>
      <c r="E89" s="151" t="s">
        <v>319</v>
      </c>
      <c r="F89" s="151" t="s">
        <v>282</v>
      </c>
      <c r="G89" s="151" t="s">
        <v>269</v>
      </c>
      <c r="H89" s="152">
        <v>42186</v>
      </c>
      <c r="I89" s="151" t="s">
        <v>111</v>
      </c>
      <c r="J89" s="151" t="s">
        <v>283</v>
      </c>
      <c r="K89" s="151" t="s">
        <v>56</v>
      </c>
      <c r="L89" s="153">
        <v>2</v>
      </c>
      <c r="M89" s="153">
        <v>2</v>
      </c>
      <c r="N89" s="184">
        <v>14047</v>
      </c>
      <c r="O89" s="177">
        <v>0</v>
      </c>
      <c r="P89" s="185">
        <v>0</v>
      </c>
      <c r="Q89" s="177">
        <v>0</v>
      </c>
      <c r="R89" s="185">
        <v>0</v>
      </c>
      <c r="S89" s="177">
        <v>0</v>
      </c>
      <c r="T89" s="185">
        <v>0</v>
      </c>
      <c r="U89" s="185">
        <v>14047</v>
      </c>
      <c r="V89" s="186">
        <v>14047</v>
      </c>
      <c r="W89" s="187">
        <v>0</v>
      </c>
      <c r="X89" s="178">
        <v>0</v>
      </c>
      <c r="Y89" s="179" t="s">
        <v>225</v>
      </c>
      <c r="Z89" s="188"/>
      <c r="AA89" s="188"/>
      <c r="AB89" s="188"/>
      <c r="AC89" s="180"/>
      <c r="AD89" s="184">
        <v>0</v>
      </c>
      <c r="AE89" s="189">
        <v>14047</v>
      </c>
      <c r="AF89" s="164">
        <v>0</v>
      </c>
      <c r="AG89" s="181">
        <v>0</v>
      </c>
      <c r="AH89" s="166">
        <v>14</v>
      </c>
      <c r="AI89" s="166">
        <v>450</v>
      </c>
      <c r="AJ89" s="166"/>
      <c r="AK89" s="166">
        <v>688</v>
      </c>
      <c r="AL89" s="166">
        <v>202746</v>
      </c>
      <c r="AM89" s="153">
        <v>5</v>
      </c>
      <c r="AN89" s="166"/>
      <c r="AO89" s="167"/>
      <c r="AP89" s="167"/>
      <c r="AQ89" s="151" t="s">
        <v>276</v>
      </c>
      <c r="AR89" s="151" t="s">
        <v>246</v>
      </c>
      <c r="AS89" s="151" t="s">
        <v>59</v>
      </c>
      <c r="AT89" s="183"/>
      <c r="AU89" s="192"/>
      <c r="AV89" s="192"/>
      <c r="AW89" s="191" t="str">
        <f t="shared" si="30"/>
        <v>OK</v>
      </c>
      <c r="AX89" s="21" t="s">
        <v>3133</v>
      </c>
      <c r="AY89" s="21">
        <v>0</v>
      </c>
      <c r="AZ89" s="21"/>
      <c r="BA89" s="21"/>
    </row>
    <row r="90" spans="1:53" ht="20" customHeight="1">
      <c r="A90" s="86" t="s">
        <v>318</v>
      </c>
      <c r="B90" s="371" t="s">
        <v>2420</v>
      </c>
      <c r="C90" s="151" t="s">
        <v>51</v>
      </c>
      <c r="D90" s="151" t="s">
        <v>52</v>
      </c>
      <c r="E90" s="151" t="s">
        <v>319</v>
      </c>
      <c r="F90" s="151" t="s">
        <v>271</v>
      </c>
      <c r="G90" s="151" t="s">
        <v>272</v>
      </c>
      <c r="H90" s="152">
        <v>44480</v>
      </c>
      <c r="I90" s="151" t="s">
        <v>250</v>
      </c>
      <c r="J90" s="151" t="s">
        <v>250</v>
      </c>
      <c r="K90" s="151" t="s">
        <v>76</v>
      </c>
      <c r="L90" s="153">
        <v>2</v>
      </c>
      <c r="M90" s="153">
        <v>4</v>
      </c>
      <c r="N90" s="184">
        <v>11375</v>
      </c>
      <c r="O90" s="177">
        <v>0.03</v>
      </c>
      <c r="P90" s="185">
        <v>341</v>
      </c>
      <c r="Q90" s="177">
        <v>0</v>
      </c>
      <c r="R90" s="185">
        <v>0</v>
      </c>
      <c r="S90" s="177">
        <v>2.9978021978021976E-2</v>
      </c>
      <c r="T90" s="185">
        <v>341</v>
      </c>
      <c r="U90" s="185">
        <v>11716</v>
      </c>
      <c r="V90" s="186">
        <v>11700</v>
      </c>
      <c r="W90" s="187">
        <v>325</v>
      </c>
      <c r="X90" s="178">
        <v>2.86E-2</v>
      </c>
      <c r="Y90" s="179" t="s">
        <v>233</v>
      </c>
      <c r="Z90" s="188" t="s">
        <v>87</v>
      </c>
      <c r="AA90" s="188" t="s">
        <v>60</v>
      </c>
      <c r="AB90" s="188" t="s">
        <v>89</v>
      </c>
      <c r="AC90" s="180">
        <v>0.05</v>
      </c>
      <c r="AD90" s="184">
        <v>569</v>
      </c>
      <c r="AE90" s="189">
        <v>12269</v>
      </c>
      <c r="AF90" s="164">
        <v>894</v>
      </c>
      <c r="AG90" s="181">
        <v>7.8593406593406634E-2</v>
      </c>
      <c r="AH90" s="166">
        <v>14</v>
      </c>
      <c r="AI90" s="166">
        <v>900</v>
      </c>
      <c r="AJ90" s="166"/>
      <c r="AK90" s="166">
        <v>688</v>
      </c>
      <c r="AL90" s="166">
        <v>183254</v>
      </c>
      <c r="AM90" s="153">
        <v>4</v>
      </c>
      <c r="AN90" s="166"/>
      <c r="AO90" s="167"/>
      <c r="AP90" s="167"/>
      <c r="AQ90" s="151" t="s">
        <v>284</v>
      </c>
      <c r="AR90" s="151" t="s">
        <v>246</v>
      </c>
      <c r="AS90" s="151" t="s">
        <v>59</v>
      </c>
      <c r="AT90" s="183"/>
      <c r="AU90" s="192"/>
      <c r="AV90" s="192"/>
      <c r="AW90" s="193" t="str">
        <f t="shared" si="30"/>
        <v>OK</v>
      </c>
      <c r="AX90" s="21" t="s">
        <v>3131</v>
      </c>
      <c r="AY90" s="21" t="s">
        <v>3136</v>
      </c>
      <c r="AZ90" s="21"/>
      <c r="BA90" s="21"/>
    </row>
    <row r="91" spans="1:53" ht="20" customHeight="1">
      <c r="A91" s="86" t="s">
        <v>318</v>
      </c>
      <c r="B91" s="371" t="s">
        <v>2421</v>
      </c>
      <c r="C91" s="151" t="s">
        <v>51</v>
      </c>
      <c r="D91" s="151" t="s">
        <v>52</v>
      </c>
      <c r="E91" s="151" t="s">
        <v>319</v>
      </c>
      <c r="F91" s="151" t="s">
        <v>271</v>
      </c>
      <c r="G91" s="151" t="s">
        <v>272</v>
      </c>
      <c r="H91" s="152">
        <v>39008</v>
      </c>
      <c r="I91" s="151" t="s">
        <v>243</v>
      </c>
      <c r="J91" s="151" t="s">
        <v>243</v>
      </c>
      <c r="K91" s="151" t="s">
        <v>84</v>
      </c>
      <c r="L91" s="153">
        <v>2</v>
      </c>
      <c r="M91" s="153">
        <v>3</v>
      </c>
      <c r="N91" s="184">
        <v>8900</v>
      </c>
      <c r="O91" s="177">
        <v>2.5000000000000001E-2</v>
      </c>
      <c r="P91" s="185">
        <v>223</v>
      </c>
      <c r="Q91" s="177">
        <v>0</v>
      </c>
      <c r="R91" s="185">
        <v>0</v>
      </c>
      <c r="S91" s="177">
        <v>2.50561797752809E-2</v>
      </c>
      <c r="T91" s="185">
        <v>223</v>
      </c>
      <c r="U91" s="185">
        <v>9123</v>
      </c>
      <c r="V91" s="186">
        <v>9103</v>
      </c>
      <c r="W91" s="187">
        <v>203</v>
      </c>
      <c r="X91" s="178">
        <v>2.2800000000000001E-2</v>
      </c>
      <c r="Y91" s="179" t="s">
        <v>285</v>
      </c>
      <c r="Z91" s="188"/>
      <c r="AA91" s="188"/>
      <c r="AB91" s="188"/>
      <c r="AC91" s="180"/>
      <c r="AD91" s="184">
        <v>0</v>
      </c>
      <c r="AE91" s="189">
        <v>9103</v>
      </c>
      <c r="AF91" s="164">
        <v>203</v>
      </c>
      <c r="AG91" s="181">
        <v>2.2808988764045024E-2</v>
      </c>
      <c r="AH91" s="166">
        <v>14</v>
      </c>
      <c r="AI91" s="166">
        <v>450</v>
      </c>
      <c r="AJ91" s="166"/>
      <c r="AK91" s="166">
        <v>688</v>
      </c>
      <c r="AL91" s="166">
        <v>133530</v>
      </c>
      <c r="AM91" s="153">
        <v>3</v>
      </c>
      <c r="AN91" s="166"/>
      <c r="AO91" s="167"/>
      <c r="AP91" s="167"/>
      <c r="AQ91" s="151" t="s">
        <v>284</v>
      </c>
      <c r="AR91" s="151" t="s">
        <v>246</v>
      </c>
      <c r="AS91" s="151" t="s">
        <v>59</v>
      </c>
      <c r="AT91" s="183"/>
      <c r="AU91" s="192"/>
      <c r="AV91" s="192"/>
      <c r="AW91" s="191" t="str">
        <f t="shared" si="30"/>
        <v>OK</v>
      </c>
      <c r="AX91" s="21" t="s">
        <v>3129</v>
      </c>
      <c r="AY91" s="21" t="s">
        <v>3130</v>
      </c>
      <c r="AZ91" s="21"/>
      <c r="BA91" s="21"/>
    </row>
    <row r="92" spans="1:53" ht="20" customHeight="1">
      <c r="A92" s="86" t="s">
        <v>318</v>
      </c>
      <c r="B92" s="371" t="s">
        <v>2422</v>
      </c>
      <c r="C92" s="151" t="s">
        <v>51</v>
      </c>
      <c r="D92" s="151" t="s">
        <v>52</v>
      </c>
      <c r="E92" s="151" t="s">
        <v>319</v>
      </c>
      <c r="F92" s="151" t="s">
        <v>271</v>
      </c>
      <c r="G92" s="151" t="s">
        <v>272</v>
      </c>
      <c r="H92" s="152">
        <v>41813</v>
      </c>
      <c r="I92" s="151" t="s">
        <v>243</v>
      </c>
      <c r="J92" s="151" t="s">
        <v>243</v>
      </c>
      <c r="K92" s="151" t="s">
        <v>84</v>
      </c>
      <c r="L92" s="153">
        <v>2</v>
      </c>
      <c r="M92" s="153">
        <v>3</v>
      </c>
      <c r="N92" s="184">
        <v>8702</v>
      </c>
      <c r="O92" s="177">
        <v>2.5000000000000001E-2</v>
      </c>
      <c r="P92" s="185">
        <v>218</v>
      </c>
      <c r="Q92" s="177">
        <v>0</v>
      </c>
      <c r="R92" s="185">
        <v>0</v>
      </c>
      <c r="S92" s="177">
        <v>2.5051712250057458E-2</v>
      </c>
      <c r="T92" s="185">
        <v>218</v>
      </c>
      <c r="U92" s="185">
        <v>8920</v>
      </c>
      <c r="V92" s="186">
        <v>8910</v>
      </c>
      <c r="W92" s="187">
        <v>208</v>
      </c>
      <c r="X92" s="178">
        <v>2.3900000000000001E-2</v>
      </c>
      <c r="Y92" s="179" t="s">
        <v>285</v>
      </c>
      <c r="Z92" s="188"/>
      <c r="AA92" s="188"/>
      <c r="AB92" s="188"/>
      <c r="AC92" s="180"/>
      <c r="AD92" s="184">
        <v>0</v>
      </c>
      <c r="AE92" s="189">
        <v>8910</v>
      </c>
      <c r="AF92" s="164">
        <v>208</v>
      </c>
      <c r="AG92" s="181">
        <v>2.3902551137669592E-2</v>
      </c>
      <c r="AH92" s="166">
        <v>14</v>
      </c>
      <c r="AI92" s="166">
        <v>510</v>
      </c>
      <c r="AJ92" s="166"/>
      <c r="AK92" s="166">
        <v>688</v>
      </c>
      <c r="AL92" s="166">
        <v>131548</v>
      </c>
      <c r="AM92" s="153">
        <v>3</v>
      </c>
      <c r="AN92" s="166"/>
      <c r="AO92" s="167"/>
      <c r="AP92" s="167"/>
      <c r="AQ92" s="151" t="s">
        <v>284</v>
      </c>
      <c r="AR92" s="151" t="s">
        <v>246</v>
      </c>
      <c r="AS92" s="151" t="s">
        <v>59</v>
      </c>
      <c r="AT92" s="183"/>
      <c r="AU92" s="192"/>
      <c r="AV92" s="192"/>
      <c r="AW92" s="193" t="str">
        <f t="shared" si="30"/>
        <v>OK</v>
      </c>
      <c r="AX92" s="21" t="s">
        <v>3135</v>
      </c>
      <c r="AY92" s="21" t="s">
        <v>3130</v>
      </c>
      <c r="AZ92" s="21"/>
      <c r="BA92" s="21"/>
    </row>
    <row r="93" spans="1:53" ht="20" customHeight="1">
      <c r="A93" s="86" t="s">
        <v>318</v>
      </c>
      <c r="B93" s="371" t="s">
        <v>2423</v>
      </c>
      <c r="C93" s="151" t="s">
        <v>51</v>
      </c>
      <c r="D93" s="151" t="s">
        <v>52</v>
      </c>
      <c r="E93" s="151" t="s">
        <v>319</v>
      </c>
      <c r="F93" s="151" t="s">
        <v>271</v>
      </c>
      <c r="G93" s="151" t="s">
        <v>272</v>
      </c>
      <c r="H93" s="152">
        <v>38808</v>
      </c>
      <c r="I93" s="151" t="s">
        <v>243</v>
      </c>
      <c r="J93" s="151" t="s">
        <v>243</v>
      </c>
      <c r="K93" s="151" t="s">
        <v>84</v>
      </c>
      <c r="L93" s="153">
        <v>2</v>
      </c>
      <c r="M93" s="153">
        <v>3</v>
      </c>
      <c r="N93" s="184">
        <v>7926</v>
      </c>
      <c r="O93" s="177">
        <v>2.5000000000000001E-2</v>
      </c>
      <c r="P93" s="185">
        <v>198</v>
      </c>
      <c r="Q93" s="177">
        <v>0</v>
      </c>
      <c r="R93" s="185">
        <v>0</v>
      </c>
      <c r="S93" s="177">
        <v>2.4981074943224831E-2</v>
      </c>
      <c r="T93" s="185">
        <v>198</v>
      </c>
      <c r="U93" s="185">
        <v>8124</v>
      </c>
      <c r="V93" s="186">
        <v>8154</v>
      </c>
      <c r="W93" s="187">
        <v>228</v>
      </c>
      <c r="X93" s="178">
        <v>2.8799999999999999E-2</v>
      </c>
      <c r="Y93" s="179" t="s">
        <v>232</v>
      </c>
      <c r="Z93" s="188"/>
      <c r="AA93" s="188"/>
      <c r="AB93" s="188"/>
      <c r="AC93" s="180"/>
      <c r="AD93" s="184">
        <v>0</v>
      </c>
      <c r="AE93" s="189">
        <v>8154</v>
      </c>
      <c r="AF93" s="164">
        <v>228</v>
      </c>
      <c r="AG93" s="181">
        <v>2.8766086298258831E-2</v>
      </c>
      <c r="AH93" s="166">
        <v>14</v>
      </c>
      <c r="AI93" s="166">
        <v>510</v>
      </c>
      <c r="AJ93" s="166"/>
      <c r="AK93" s="166">
        <v>688</v>
      </c>
      <c r="AL93" s="166">
        <v>120964</v>
      </c>
      <c r="AM93" s="153">
        <v>2</v>
      </c>
      <c r="AN93" s="166"/>
      <c r="AO93" s="167"/>
      <c r="AP93" s="167"/>
      <c r="AQ93" s="151" t="s">
        <v>284</v>
      </c>
      <c r="AR93" s="151" t="s">
        <v>246</v>
      </c>
      <c r="AS93" s="151" t="s">
        <v>59</v>
      </c>
      <c r="AT93" s="183"/>
      <c r="AU93" s="192"/>
      <c r="AV93" s="192"/>
      <c r="AW93" s="191" t="str">
        <f t="shared" si="30"/>
        <v>OK</v>
      </c>
      <c r="AX93" s="21" t="s">
        <v>3129</v>
      </c>
      <c r="AY93" s="21" t="s">
        <v>3130</v>
      </c>
      <c r="AZ93" s="21"/>
      <c r="BA93" s="21"/>
    </row>
    <row r="94" spans="1:53" ht="20" customHeight="1">
      <c r="A94" s="86" t="s">
        <v>318</v>
      </c>
      <c r="B94" s="371" t="s">
        <v>2424</v>
      </c>
      <c r="C94" s="151" t="s">
        <v>51</v>
      </c>
      <c r="D94" s="151" t="s">
        <v>52</v>
      </c>
      <c r="E94" s="151" t="s">
        <v>319</v>
      </c>
      <c r="F94" s="151" t="s">
        <v>271</v>
      </c>
      <c r="G94" s="151" t="s">
        <v>272</v>
      </c>
      <c r="H94" s="152">
        <v>40898</v>
      </c>
      <c r="I94" s="151" t="s">
        <v>243</v>
      </c>
      <c r="J94" s="151" t="s">
        <v>286</v>
      </c>
      <c r="K94" s="151" t="s">
        <v>84</v>
      </c>
      <c r="L94" s="153">
        <v>2</v>
      </c>
      <c r="M94" s="153">
        <v>4</v>
      </c>
      <c r="N94" s="184">
        <v>7500</v>
      </c>
      <c r="O94" s="177">
        <v>4.4999999999999998E-2</v>
      </c>
      <c r="P94" s="185">
        <v>338</v>
      </c>
      <c r="Q94" s="177">
        <v>4.2099999999999999E-2</v>
      </c>
      <c r="R94" s="185">
        <v>316</v>
      </c>
      <c r="S94" s="177">
        <v>8.72E-2</v>
      </c>
      <c r="T94" s="185">
        <v>654</v>
      </c>
      <c r="U94" s="185">
        <v>8154</v>
      </c>
      <c r="V94" s="186">
        <v>8154</v>
      </c>
      <c r="W94" s="187">
        <v>654</v>
      </c>
      <c r="X94" s="178">
        <v>8.72E-2</v>
      </c>
      <c r="Y94" s="179" t="s">
        <v>287</v>
      </c>
      <c r="Z94" s="188"/>
      <c r="AA94" s="188"/>
      <c r="AB94" s="188"/>
      <c r="AC94" s="180"/>
      <c r="AD94" s="184">
        <v>0</v>
      </c>
      <c r="AE94" s="189">
        <v>8154</v>
      </c>
      <c r="AF94" s="164">
        <v>654</v>
      </c>
      <c r="AG94" s="181">
        <v>8.7199999999999944E-2</v>
      </c>
      <c r="AH94" s="166">
        <v>14</v>
      </c>
      <c r="AI94" s="166">
        <v>450</v>
      </c>
      <c r="AJ94" s="166"/>
      <c r="AK94" s="166">
        <v>688</v>
      </c>
      <c r="AL94" s="166">
        <v>120244</v>
      </c>
      <c r="AM94" s="153">
        <v>3</v>
      </c>
      <c r="AN94" s="166"/>
      <c r="AO94" s="167"/>
      <c r="AP94" s="167"/>
      <c r="AQ94" s="151" t="s">
        <v>284</v>
      </c>
      <c r="AR94" s="151" t="s">
        <v>246</v>
      </c>
      <c r="AS94" s="151" t="s">
        <v>59</v>
      </c>
      <c r="AT94" s="183"/>
      <c r="AU94" s="192"/>
      <c r="AV94" s="192"/>
      <c r="AW94" s="193" t="str">
        <f t="shared" si="30"/>
        <v>OK</v>
      </c>
      <c r="AX94" s="21" t="s">
        <v>3135</v>
      </c>
      <c r="AY94" s="21" t="s">
        <v>3132</v>
      </c>
      <c r="AZ94" s="21"/>
      <c r="BA94" s="21"/>
    </row>
    <row r="95" spans="1:53" ht="20" customHeight="1">
      <c r="A95" s="86" t="s">
        <v>318</v>
      </c>
      <c r="B95" s="371" t="s">
        <v>2425</v>
      </c>
      <c r="C95" s="151" t="s">
        <v>51</v>
      </c>
      <c r="D95" s="151" t="s">
        <v>52</v>
      </c>
      <c r="E95" s="151" t="s">
        <v>319</v>
      </c>
      <c r="F95" s="151" t="s">
        <v>288</v>
      </c>
      <c r="G95" s="151" t="s">
        <v>289</v>
      </c>
      <c r="H95" s="152">
        <v>39511</v>
      </c>
      <c r="I95" s="151" t="s">
        <v>55</v>
      </c>
      <c r="J95" s="151" t="s">
        <v>55</v>
      </c>
      <c r="K95" s="151" t="s">
        <v>56</v>
      </c>
      <c r="L95" s="153">
        <v>2</v>
      </c>
      <c r="M95" s="153">
        <v>3</v>
      </c>
      <c r="N95" s="184">
        <v>19240</v>
      </c>
      <c r="O95" s="177">
        <v>0.03</v>
      </c>
      <c r="P95" s="185">
        <v>577</v>
      </c>
      <c r="Q95" s="177">
        <v>0</v>
      </c>
      <c r="R95" s="185">
        <v>0</v>
      </c>
      <c r="S95" s="177">
        <v>2.9989604989604991E-2</v>
      </c>
      <c r="T95" s="185">
        <v>577</v>
      </c>
      <c r="U95" s="185">
        <v>19817</v>
      </c>
      <c r="V95" s="186">
        <v>19817</v>
      </c>
      <c r="W95" s="187">
        <v>577</v>
      </c>
      <c r="X95" s="178">
        <v>0.03</v>
      </c>
      <c r="Y95" s="179" t="s">
        <v>233</v>
      </c>
      <c r="Z95" s="188"/>
      <c r="AA95" s="188"/>
      <c r="AB95" s="188"/>
      <c r="AC95" s="180"/>
      <c r="AD95" s="184">
        <v>0</v>
      </c>
      <c r="AE95" s="189">
        <v>19817</v>
      </c>
      <c r="AF95" s="164">
        <v>577</v>
      </c>
      <c r="AG95" s="181">
        <v>2.9989604989604901E-2</v>
      </c>
      <c r="AH95" s="166">
        <v>14</v>
      </c>
      <c r="AI95" s="166">
        <v>450</v>
      </c>
      <c r="AJ95" s="166"/>
      <c r="AK95" s="166">
        <v>688</v>
      </c>
      <c r="AL95" s="166">
        <v>283526</v>
      </c>
      <c r="AM95" s="153">
        <v>4</v>
      </c>
      <c r="AN95" s="166"/>
      <c r="AO95" s="167"/>
      <c r="AP95" s="167"/>
      <c r="AQ95" s="151" t="s">
        <v>290</v>
      </c>
      <c r="AR95" s="151" t="s">
        <v>246</v>
      </c>
      <c r="AS95" s="151" t="s">
        <v>218</v>
      </c>
      <c r="AT95" s="183"/>
      <c r="AU95" s="192"/>
      <c r="AV95" s="192"/>
      <c r="AW95" s="191" t="str">
        <f t="shared" si="30"/>
        <v>OK</v>
      </c>
      <c r="AX95" s="21" t="s">
        <v>3129</v>
      </c>
      <c r="AY95" s="21" t="s">
        <v>3132</v>
      </c>
      <c r="AZ95" s="21"/>
      <c r="BA95" s="21"/>
    </row>
    <row r="96" spans="1:53" ht="20" customHeight="1">
      <c r="A96" s="86" t="s">
        <v>318</v>
      </c>
      <c r="B96" s="371" t="s">
        <v>2426</v>
      </c>
      <c r="C96" s="151" t="s">
        <v>51</v>
      </c>
      <c r="D96" s="151" t="s">
        <v>52</v>
      </c>
      <c r="E96" s="151" t="s">
        <v>319</v>
      </c>
      <c r="F96" s="151" t="s">
        <v>288</v>
      </c>
      <c r="G96" s="151" t="s">
        <v>289</v>
      </c>
      <c r="H96" s="152">
        <v>41491</v>
      </c>
      <c r="I96" s="151" t="s">
        <v>82</v>
      </c>
      <c r="J96" s="151" t="s">
        <v>82</v>
      </c>
      <c r="K96" s="151" t="s">
        <v>84</v>
      </c>
      <c r="L96" s="153">
        <v>2</v>
      </c>
      <c r="M96" s="153">
        <v>3</v>
      </c>
      <c r="N96" s="184">
        <v>8533</v>
      </c>
      <c r="O96" s="177">
        <v>0.03</v>
      </c>
      <c r="P96" s="185">
        <v>256</v>
      </c>
      <c r="Q96" s="177">
        <v>0</v>
      </c>
      <c r="R96" s="185">
        <v>0</v>
      </c>
      <c r="S96" s="177">
        <v>3.0001171920778155E-2</v>
      </c>
      <c r="T96" s="185">
        <v>256</v>
      </c>
      <c r="U96" s="185">
        <v>8789</v>
      </c>
      <c r="V96" s="186">
        <v>9000</v>
      </c>
      <c r="W96" s="187">
        <v>467</v>
      </c>
      <c r="X96" s="178">
        <v>5.4699999999999999E-2</v>
      </c>
      <c r="Y96" s="179" t="s">
        <v>233</v>
      </c>
      <c r="Z96" s="188"/>
      <c r="AA96" s="188"/>
      <c r="AB96" s="188"/>
      <c r="AC96" s="180"/>
      <c r="AD96" s="184">
        <v>0</v>
      </c>
      <c r="AE96" s="189">
        <v>9000</v>
      </c>
      <c r="AF96" s="164">
        <v>467</v>
      </c>
      <c r="AG96" s="181">
        <v>5.4728700339857106E-2</v>
      </c>
      <c r="AH96" s="166">
        <v>14</v>
      </c>
      <c r="AI96" s="166">
        <v>450</v>
      </c>
      <c r="AJ96" s="166"/>
      <c r="AK96" s="166">
        <v>688</v>
      </c>
      <c r="AL96" s="166">
        <v>132088</v>
      </c>
      <c r="AM96" s="153">
        <v>3</v>
      </c>
      <c r="AN96" s="166"/>
      <c r="AO96" s="167" t="s">
        <v>128</v>
      </c>
      <c r="AP96" s="167" t="s">
        <v>128</v>
      </c>
      <c r="AQ96" s="151" t="s">
        <v>290</v>
      </c>
      <c r="AR96" s="151" t="s">
        <v>246</v>
      </c>
      <c r="AS96" s="151" t="s">
        <v>218</v>
      </c>
      <c r="AT96" s="183"/>
      <c r="AU96" s="192"/>
      <c r="AV96" s="192"/>
      <c r="AW96" s="193" t="str">
        <f t="shared" si="30"/>
        <v>&gt;20</v>
      </c>
      <c r="AX96" s="21" t="s">
        <v>3135</v>
      </c>
      <c r="AY96" s="21" t="s">
        <v>3132</v>
      </c>
      <c r="AZ96" s="21"/>
      <c r="BA96" s="21"/>
    </row>
    <row r="97" spans="1:53" ht="20" customHeight="1">
      <c r="A97" s="86" t="s">
        <v>318</v>
      </c>
      <c r="B97" s="371" t="s">
        <v>2427</v>
      </c>
      <c r="C97" s="151" t="s">
        <v>51</v>
      </c>
      <c r="D97" s="151" t="s">
        <v>52</v>
      </c>
      <c r="E97" s="151" t="s">
        <v>319</v>
      </c>
      <c r="F97" s="151" t="s">
        <v>288</v>
      </c>
      <c r="G97" s="151" t="s">
        <v>289</v>
      </c>
      <c r="H97" s="152">
        <v>39968</v>
      </c>
      <c r="I97" s="151" t="s">
        <v>140</v>
      </c>
      <c r="J97" s="151" t="s">
        <v>141</v>
      </c>
      <c r="K97" s="151" t="s">
        <v>61</v>
      </c>
      <c r="L97" s="153">
        <v>2</v>
      </c>
      <c r="M97" s="153">
        <v>4</v>
      </c>
      <c r="N97" s="184">
        <v>12700</v>
      </c>
      <c r="O97" s="177">
        <v>4.4999999999999998E-2</v>
      </c>
      <c r="P97" s="185">
        <v>572</v>
      </c>
      <c r="Q97" s="177">
        <v>4.2099999999999999E-2</v>
      </c>
      <c r="R97" s="185">
        <v>535</v>
      </c>
      <c r="S97" s="177">
        <v>8.7165354330708655E-2</v>
      </c>
      <c r="T97" s="185">
        <v>1107</v>
      </c>
      <c r="U97" s="185">
        <v>13807</v>
      </c>
      <c r="V97" s="186">
        <v>13700</v>
      </c>
      <c r="W97" s="187">
        <v>1000</v>
      </c>
      <c r="X97" s="178">
        <v>7.8700000000000006E-2</v>
      </c>
      <c r="Y97" s="179" t="s">
        <v>291</v>
      </c>
      <c r="Z97" s="188"/>
      <c r="AA97" s="188"/>
      <c r="AB97" s="188"/>
      <c r="AC97" s="180"/>
      <c r="AD97" s="184">
        <v>0</v>
      </c>
      <c r="AE97" s="189">
        <v>13700</v>
      </c>
      <c r="AF97" s="164">
        <v>1000</v>
      </c>
      <c r="AG97" s="181">
        <v>7.8740157480315043E-2</v>
      </c>
      <c r="AH97" s="166">
        <v>14</v>
      </c>
      <c r="AI97" s="166">
        <v>450</v>
      </c>
      <c r="AJ97" s="166"/>
      <c r="AK97" s="166">
        <v>688</v>
      </c>
      <c r="AL97" s="166">
        <v>197888</v>
      </c>
      <c r="AM97" s="153">
        <v>3</v>
      </c>
      <c r="AN97" s="166"/>
      <c r="AO97" s="167"/>
      <c r="AP97" s="167"/>
      <c r="AQ97" s="151" t="s">
        <v>290</v>
      </c>
      <c r="AR97" s="151" t="s">
        <v>246</v>
      </c>
      <c r="AS97" s="151" t="s">
        <v>218</v>
      </c>
      <c r="AT97" s="183"/>
      <c r="AU97" s="192"/>
      <c r="AV97" s="192"/>
      <c r="AW97" s="191" t="str">
        <f t="shared" si="30"/>
        <v>OK</v>
      </c>
      <c r="AX97" s="21" t="s">
        <v>3129</v>
      </c>
      <c r="AY97" s="21" t="s">
        <v>3132</v>
      </c>
      <c r="AZ97" s="21"/>
      <c r="BA97" s="21"/>
    </row>
    <row r="98" spans="1:53" ht="20" customHeight="1">
      <c r="A98" s="86" t="s">
        <v>318</v>
      </c>
      <c r="B98" s="371" t="s">
        <v>2428</v>
      </c>
      <c r="C98" s="151" t="s">
        <v>51</v>
      </c>
      <c r="D98" s="151" t="s">
        <v>52</v>
      </c>
      <c r="E98" s="151" t="s">
        <v>319</v>
      </c>
      <c r="F98" s="151" t="s">
        <v>288</v>
      </c>
      <c r="G98" s="151" t="s">
        <v>289</v>
      </c>
      <c r="H98" s="152">
        <v>42830</v>
      </c>
      <c r="I98" s="151" t="s">
        <v>74</v>
      </c>
      <c r="J98" s="151" t="s">
        <v>74</v>
      </c>
      <c r="K98" s="151" t="s">
        <v>76</v>
      </c>
      <c r="L98" s="153">
        <v>2</v>
      </c>
      <c r="M98" s="153">
        <v>3</v>
      </c>
      <c r="N98" s="184">
        <v>11042</v>
      </c>
      <c r="O98" s="177">
        <v>0.03</v>
      </c>
      <c r="P98" s="185">
        <v>331</v>
      </c>
      <c r="Q98" s="177">
        <v>0</v>
      </c>
      <c r="R98" s="185">
        <v>0</v>
      </c>
      <c r="S98" s="177">
        <v>2.9976453541025176E-2</v>
      </c>
      <c r="T98" s="185">
        <v>331</v>
      </c>
      <c r="U98" s="185">
        <v>11373</v>
      </c>
      <c r="V98" s="186">
        <v>11350</v>
      </c>
      <c r="W98" s="187">
        <v>308</v>
      </c>
      <c r="X98" s="178">
        <v>2.7900000000000001E-2</v>
      </c>
      <c r="Y98" s="179" t="s">
        <v>233</v>
      </c>
      <c r="Z98" s="188"/>
      <c r="AA98" s="188"/>
      <c r="AB98" s="188"/>
      <c r="AC98" s="180"/>
      <c r="AD98" s="184">
        <v>0</v>
      </c>
      <c r="AE98" s="189">
        <v>11350</v>
      </c>
      <c r="AF98" s="164">
        <v>308</v>
      </c>
      <c r="AG98" s="181">
        <v>2.7893497554790869E-2</v>
      </c>
      <c r="AH98" s="166">
        <v>14</v>
      </c>
      <c r="AI98" s="166">
        <v>450</v>
      </c>
      <c r="AJ98" s="166"/>
      <c r="AK98" s="166">
        <v>688</v>
      </c>
      <c r="AL98" s="166">
        <v>164988</v>
      </c>
      <c r="AM98" s="153">
        <v>3</v>
      </c>
      <c r="AN98" s="166"/>
      <c r="AO98" s="167"/>
      <c r="AP98" s="167"/>
      <c r="AQ98" s="151" t="s">
        <v>290</v>
      </c>
      <c r="AR98" s="151" t="s">
        <v>246</v>
      </c>
      <c r="AS98" s="151" t="s">
        <v>218</v>
      </c>
      <c r="AT98" s="183"/>
      <c r="AU98" s="192"/>
      <c r="AV98" s="167" t="s">
        <v>103</v>
      </c>
      <c r="AW98" s="170" t="str">
        <f t="shared" si="30"/>
        <v>OK</v>
      </c>
      <c r="AX98" s="21" t="s">
        <v>3133</v>
      </c>
      <c r="AY98" s="21" t="s">
        <v>3132</v>
      </c>
      <c r="AZ98" s="21"/>
      <c r="BA98" s="21"/>
    </row>
    <row r="99" spans="1:53" ht="20" customHeight="1">
      <c r="A99" s="86" t="s">
        <v>318</v>
      </c>
      <c r="B99" s="371" t="s">
        <v>2429</v>
      </c>
      <c r="C99" s="151" t="s">
        <v>51</v>
      </c>
      <c r="D99" s="151" t="s">
        <v>52</v>
      </c>
      <c r="E99" s="151" t="s">
        <v>62</v>
      </c>
      <c r="F99" s="151" t="s">
        <v>53</v>
      </c>
      <c r="G99" s="152">
        <v>42095</v>
      </c>
      <c r="H99" s="151" t="s">
        <v>55</v>
      </c>
      <c r="I99" s="151" t="s">
        <v>55</v>
      </c>
      <c r="J99" s="151" t="s">
        <v>55</v>
      </c>
      <c r="K99" s="151" t="s">
        <v>56</v>
      </c>
      <c r="L99" s="153">
        <v>2</v>
      </c>
      <c r="M99" s="153">
        <v>3</v>
      </c>
      <c r="N99" s="184">
        <v>21411</v>
      </c>
      <c r="O99" s="177">
        <v>2.5000000000000001E-2</v>
      </c>
      <c r="P99" s="185">
        <v>535</v>
      </c>
      <c r="Q99" s="177">
        <v>0</v>
      </c>
      <c r="R99" s="185">
        <v>0</v>
      </c>
      <c r="S99" s="177">
        <v>2.4987156134697118E-2</v>
      </c>
      <c r="T99" s="185">
        <v>535</v>
      </c>
      <c r="U99" s="185">
        <v>21946</v>
      </c>
      <c r="V99" s="186">
        <v>21946</v>
      </c>
      <c r="W99" s="187">
        <v>535</v>
      </c>
      <c r="X99" s="178">
        <v>2.5000000000000001E-2</v>
      </c>
      <c r="Y99" s="179" t="s">
        <v>232</v>
      </c>
      <c r="Z99" s="188"/>
      <c r="AA99" s="188"/>
      <c r="AB99" s="188"/>
      <c r="AC99" s="180"/>
      <c r="AD99" s="184">
        <v>0</v>
      </c>
      <c r="AE99" s="189">
        <v>21946</v>
      </c>
      <c r="AF99" s="164">
        <v>535</v>
      </c>
      <c r="AG99" s="181">
        <v>2.4987156134697042E-2</v>
      </c>
      <c r="AH99" s="166">
        <v>14</v>
      </c>
      <c r="AI99" s="166">
        <v>450</v>
      </c>
      <c r="AJ99" s="166"/>
      <c r="AK99" s="166">
        <v>688</v>
      </c>
      <c r="AL99" s="166">
        <v>313332</v>
      </c>
      <c r="AM99" s="153">
        <v>4</v>
      </c>
      <c r="AN99" s="167"/>
      <c r="AO99" s="167"/>
      <c r="AP99" s="167"/>
      <c r="AQ99" s="151" t="s">
        <v>57</v>
      </c>
      <c r="AR99" s="151" t="s">
        <v>58</v>
      </c>
      <c r="AS99" s="151"/>
      <c r="AT99" s="183"/>
      <c r="AU99" s="192"/>
      <c r="AV99" s="190"/>
      <c r="AW99" s="191" t="str">
        <f t="shared" si="30"/>
        <v>OK</v>
      </c>
      <c r="AX99" s="21" t="s">
        <v>3135</v>
      </c>
      <c r="AY99" s="21" t="s">
        <v>3130</v>
      </c>
      <c r="AZ99" s="21"/>
      <c r="BA99" s="21"/>
    </row>
    <row r="100" spans="1:53" ht="20" customHeight="1">
      <c r="A100" s="86" t="s">
        <v>318</v>
      </c>
      <c r="B100" s="371" t="s">
        <v>2430</v>
      </c>
      <c r="C100" s="151" t="s">
        <v>51</v>
      </c>
      <c r="D100" s="151" t="s">
        <v>52</v>
      </c>
      <c r="E100" s="151" t="s">
        <v>62</v>
      </c>
      <c r="F100" s="151" t="s">
        <v>53</v>
      </c>
      <c r="G100" s="152">
        <v>41793</v>
      </c>
      <c r="H100" s="151" t="s">
        <v>60</v>
      </c>
      <c r="I100" s="151" t="s">
        <v>60</v>
      </c>
      <c r="J100" s="151" t="s">
        <v>60</v>
      </c>
      <c r="K100" s="151" t="s">
        <v>61</v>
      </c>
      <c r="L100" s="153">
        <v>2</v>
      </c>
      <c r="M100" s="153">
        <v>3</v>
      </c>
      <c r="N100" s="184">
        <v>16150</v>
      </c>
      <c r="O100" s="177">
        <v>2.5000000000000001E-2</v>
      </c>
      <c r="P100" s="185">
        <v>404</v>
      </c>
      <c r="Q100" s="177">
        <v>0</v>
      </c>
      <c r="R100" s="185">
        <v>0</v>
      </c>
      <c r="S100" s="177">
        <v>2.5015479876160991E-2</v>
      </c>
      <c r="T100" s="185">
        <v>404</v>
      </c>
      <c r="U100" s="185">
        <v>16554</v>
      </c>
      <c r="V100" s="186">
        <v>16554</v>
      </c>
      <c r="W100" s="187">
        <v>404</v>
      </c>
      <c r="X100" s="178">
        <v>2.5000000000000001E-2</v>
      </c>
      <c r="Y100" s="179" t="s">
        <v>232</v>
      </c>
      <c r="Z100" s="188"/>
      <c r="AA100" s="188"/>
      <c r="AB100" s="188"/>
      <c r="AC100" s="180"/>
      <c r="AD100" s="184">
        <v>0</v>
      </c>
      <c r="AE100" s="189">
        <v>16554</v>
      </c>
      <c r="AF100" s="164">
        <v>404</v>
      </c>
      <c r="AG100" s="181">
        <v>2.501547987616104E-2</v>
      </c>
      <c r="AH100" s="166">
        <v>14</v>
      </c>
      <c r="AI100" s="166">
        <v>550</v>
      </c>
      <c r="AJ100" s="166"/>
      <c r="AK100" s="166">
        <v>688</v>
      </c>
      <c r="AL100" s="166">
        <v>239044</v>
      </c>
      <c r="AM100" s="153">
        <v>3</v>
      </c>
      <c r="AN100" s="167"/>
      <c r="AO100" s="167"/>
      <c r="AP100" s="167"/>
      <c r="AQ100" s="151" t="s">
        <v>57</v>
      </c>
      <c r="AR100" s="151" t="s">
        <v>58</v>
      </c>
      <c r="AS100" s="151"/>
      <c r="AT100" s="183"/>
      <c r="AU100" s="192"/>
      <c r="AV100" s="192"/>
      <c r="AW100" s="193" t="str">
        <f t="shared" si="30"/>
        <v>OK</v>
      </c>
      <c r="AX100" s="21" t="s">
        <v>3135</v>
      </c>
      <c r="AY100" s="21" t="s">
        <v>3130</v>
      </c>
      <c r="AZ100" s="21"/>
      <c r="BA100" s="21"/>
    </row>
    <row r="101" spans="1:53" ht="20" customHeight="1">
      <c r="A101" s="86" t="s">
        <v>318</v>
      </c>
      <c r="B101" s="371" t="s">
        <v>2431</v>
      </c>
      <c r="C101" s="151" t="s">
        <v>51</v>
      </c>
      <c r="D101" s="151" t="s">
        <v>52</v>
      </c>
      <c r="E101" s="151" t="s">
        <v>62</v>
      </c>
      <c r="F101" s="151" t="s">
        <v>119</v>
      </c>
      <c r="G101" s="151" t="s">
        <v>146</v>
      </c>
      <c r="H101" s="152">
        <v>35521</v>
      </c>
      <c r="I101" s="151" t="s">
        <v>292</v>
      </c>
      <c r="J101" s="151" t="s">
        <v>293</v>
      </c>
      <c r="K101" s="151" t="s">
        <v>294</v>
      </c>
      <c r="L101" s="153">
        <v>1</v>
      </c>
      <c r="M101" s="153">
        <v>2</v>
      </c>
      <c r="N101" s="184">
        <v>64900</v>
      </c>
      <c r="O101" s="177">
        <v>0</v>
      </c>
      <c r="P101" s="185">
        <f>ROUND(N101*O101,0)</f>
        <v>0</v>
      </c>
      <c r="Q101" s="177">
        <v>0</v>
      </c>
      <c r="R101" s="185">
        <f>ROUND(N101*Q101,0)</f>
        <v>0</v>
      </c>
      <c r="S101" s="177">
        <f>T101/N101</f>
        <v>0</v>
      </c>
      <c r="T101" s="185">
        <f>P101+R101</f>
        <v>0</v>
      </c>
      <c r="U101" s="185">
        <f>N101+T101</f>
        <v>64900</v>
      </c>
      <c r="V101" s="186">
        <f>U101</f>
        <v>64900</v>
      </c>
      <c r="W101" s="187">
        <f>V101-N101</f>
        <v>0</v>
      </c>
      <c r="X101" s="178">
        <f t="shared" ref="X101:X126" si="31">ROUND(V101/N101-1,4)</f>
        <v>0</v>
      </c>
      <c r="Y101" s="179" t="str">
        <f>IF(OR(L101=1,L101=2,L101=4),TEXT(S101*0.8,"0.00%")&amp;"-"&amp;TEXT(S101*1.2,"0.00%"),IF(OR(L101=3,L101=6),TEXT(0,"0.00%")&amp;"-"&amp;TEXT(7%*1.2,"0.00%"),IF(OR(L101=5,L101=7),TEXT((R101/N101),"0.00%")&amp;"-"&amp;TEXT((R101/N101)+7%,"0.00%"),"")))</f>
        <v>0.00%-0.00%</v>
      </c>
      <c r="Z101" s="188"/>
      <c r="AA101" s="188"/>
      <c r="AB101" s="188"/>
      <c r="AC101" s="180"/>
      <c r="AD101" s="184">
        <f>ROUND(N101*AC101,0)</f>
        <v>0</v>
      </c>
      <c r="AE101" s="189">
        <f>V101+AD101</f>
        <v>64900</v>
      </c>
      <c r="AF101" s="164">
        <f>AE101-N101</f>
        <v>0</v>
      </c>
      <c r="AG101" s="181">
        <f>AE101/N101-1</f>
        <v>0</v>
      </c>
      <c r="AH101" s="166">
        <v>16</v>
      </c>
      <c r="AI101" s="166">
        <v>950</v>
      </c>
      <c r="AJ101" s="166"/>
      <c r="AK101" s="166">
        <v>0</v>
      </c>
      <c r="AL101" s="166">
        <f>AE101*AH101+AI101*12+AK101+IF(AB101="",AJ101,IF(AB101="D",5000,IF(AB101="C",1000,0)))*12</f>
        <v>1049800</v>
      </c>
      <c r="AM101" s="153">
        <v>3</v>
      </c>
      <c r="AN101" s="166"/>
      <c r="AO101" s="167"/>
      <c r="AP101" s="167"/>
      <c r="AQ101" s="151" t="s">
        <v>112</v>
      </c>
      <c r="AR101" s="151" t="s">
        <v>295</v>
      </c>
      <c r="AS101" s="151"/>
      <c r="AT101" s="183"/>
      <c r="AU101" s="192"/>
      <c r="AV101" s="192"/>
      <c r="AW101" s="191" t="str">
        <f t="shared" si="30"/>
        <v>OK</v>
      </c>
      <c r="AX101" s="21" t="s">
        <v>3137</v>
      </c>
      <c r="AY101" s="21" t="s">
        <v>3140</v>
      </c>
      <c r="AZ101" s="21"/>
      <c r="BA101" s="21"/>
    </row>
    <row r="102" spans="1:53" ht="20" customHeight="1">
      <c r="A102" s="86" t="s">
        <v>318</v>
      </c>
      <c r="B102" s="371" t="s">
        <v>2432</v>
      </c>
      <c r="C102" s="151" t="s">
        <v>51</v>
      </c>
      <c r="D102" s="151" t="s">
        <v>52</v>
      </c>
      <c r="E102" s="151" t="s">
        <v>62</v>
      </c>
      <c r="F102" s="151" t="s">
        <v>62</v>
      </c>
      <c r="G102" s="151" t="s">
        <v>296</v>
      </c>
      <c r="H102" s="152">
        <v>42506</v>
      </c>
      <c r="I102" s="151" t="s">
        <v>297</v>
      </c>
      <c r="J102" s="151" t="s">
        <v>297</v>
      </c>
      <c r="K102" s="151" t="s">
        <v>76</v>
      </c>
      <c r="L102" s="153">
        <v>2</v>
      </c>
      <c r="M102" s="153">
        <v>3</v>
      </c>
      <c r="N102" s="184">
        <v>12813</v>
      </c>
      <c r="O102" s="177">
        <v>0</v>
      </c>
      <c r="P102" s="185">
        <f>ROUND(N102*O102,0)</f>
        <v>0</v>
      </c>
      <c r="Q102" s="177">
        <v>0</v>
      </c>
      <c r="R102" s="185">
        <f>ROUND(N102*Q102,0)</f>
        <v>0</v>
      </c>
      <c r="S102" s="177">
        <f>T102/N102</f>
        <v>0</v>
      </c>
      <c r="T102" s="185">
        <f>P102+R102</f>
        <v>0</v>
      </c>
      <c r="U102" s="185">
        <f>N102+T102</f>
        <v>12813</v>
      </c>
      <c r="V102" s="186">
        <f>U102</f>
        <v>12813</v>
      </c>
      <c r="W102" s="187">
        <f>V102-N102</f>
        <v>0</v>
      </c>
      <c r="X102" s="178">
        <f t="shared" si="31"/>
        <v>0</v>
      </c>
      <c r="Y102" s="179" t="str">
        <f>IF(OR(L102=1,L102=2,L102=4),TEXT(S102*0.8,"0.00%")&amp;"-"&amp;TEXT(S102*1.2,"0.00%"),IF(OR(L102=3,L102=6),TEXT(0,"0.00%")&amp;"-"&amp;TEXT(7%*1.2,"0.00%"),IF(OR(L102=5,L102=7),TEXT((R102/N102),"0.00%")&amp;"-"&amp;TEXT((R102/N102)+7%,"0.00%"),"")))</f>
        <v>0.00%-0.00%</v>
      </c>
      <c r="Z102" s="188"/>
      <c r="AA102" s="188"/>
      <c r="AB102" s="188"/>
      <c r="AC102" s="180"/>
      <c r="AD102" s="184">
        <f>ROUND(N102*AC102,0)</f>
        <v>0</v>
      </c>
      <c r="AE102" s="189">
        <f>V102+AD102</f>
        <v>12813</v>
      </c>
      <c r="AF102" s="164">
        <f>AE102-N102</f>
        <v>0</v>
      </c>
      <c r="AG102" s="181">
        <f>AE102/N102-1</f>
        <v>0</v>
      </c>
      <c r="AH102" s="166">
        <v>14</v>
      </c>
      <c r="AI102" s="166">
        <v>450</v>
      </c>
      <c r="AJ102" s="166"/>
      <c r="AK102" s="166">
        <v>688</v>
      </c>
      <c r="AL102" s="166">
        <f>AE102*AH102+AI102*12+AK102+IF(AB102="",AJ102,IF(AB102="D",5000,IF(AB102="C",1000,0)))*12</f>
        <v>185470</v>
      </c>
      <c r="AM102" s="153">
        <v>3</v>
      </c>
      <c r="AN102" s="166"/>
      <c r="AO102" s="167"/>
      <c r="AP102" s="167"/>
      <c r="AQ102" s="151" t="s">
        <v>112</v>
      </c>
      <c r="AR102" s="151" t="s">
        <v>295</v>
      </c>
      <c r="AS102" s="151"/>
      <c r="AT102" s="183"/>
      <c r="AU102" s="192"/>
      <c r="AV102" s="192"/>
      <c r="AW102" s="193" t="str">
        <f t="shared" si="30"/>
        <v>OK</v>
      </c>
      <c r="AX102" s="21" t="s">
        <v>3133</v>
      </c>
      <c r="AY102" s="21" t="s">
        <v>3134</v>
      </c>
      <c r="AZ102" s="21"/>
      <c r="BA102" s="21"/>
    </row>
    <row r="103" spans="1:53" ht="20" customHeight="1">
      <c r="A103" s="86" t="s">
        <v>318</v>
      </c>
      <c r="B103" s="371" t="s">
        <v>2433</v>
      </c>
      <c r="C103" s="151" t="s">
        <v>51</v>
      </c>
      <c r="D103" s="151" t="s">
        <v>52</v>
      </c>
      <c r="E103" s="151" t="s">
        <v>62</v>
      </c>
      <c r="F103" s="151" t="s">
        <v>298</v>
      </c>
      <c r="G103" s="151" t="s">
        <v>299</v>
      </c>
      <c r="H103" s="152">
        <v>39518</v>
      </c>
      <c r="I103" s="151" t="s">
        <v>111</v>
      </c>
      <c r="J103" s="151" t="s">
        <v>134</v>
      </c>
      <c r="K103" s="151" t="s">
        <v>56</v>
      </c>
      <c r="L103" s="153">
        <v>2</v>
      </c>
      <c r="M103" s="153">
        <v>3</v>
      </c>
      <c r="N103" s="184">
        <v>27054</v>
      </c>
      <c r="O103" s="177">
        <v>2.5000000000000001E-2</v>
      </c>
      <c r="P103" s="185">
        <f>ROUND(N103*O103,0)</f>
        <v>676</v>
      </c>
      <c r="Q103" s="177">
        <v>0</v>
      </c>
      <c r="R103" s="185">
        <f>ROUND(N103*Q103,0)</f>
        <v>0</v>
      </c>
      <c r="S103" s="177">
        <f>T103/N103</f>
        <v>2.4987062911214608E-2</v>
      </c>
      <c r="T103" s="185">
        <f>P103+R103</f>
        <v>676</v>
      </c>
      <c r="U103" s="185">
        <f>N103+T103</f>
        <v>27730</v>
      </c>
      <c r="V103" s="186">
        <v>27900</v>
      </c>
      <c r="W103" s="187">
        <f>V103-N103</f>
        <v>846</v>
      </c>
      <c r="X103" s="178">
        <f t="shared" si="31"/>
        <v>3.1300000000000001E-2</v>
      </c>
      <c r="Y103" s="179" t="str">
        <f>IF(OR(L103=1,L103=2,L103=4),TEXT(S103*0.8,"0.00%")&amp;"-"&amp;TEXT(S103*1.2,"0.00%"),IF(OR(L103=3,L103=6),TEXT(0,"0.00%")&amp;"-"&amp;TEXT(7%*1.2,"0.00%"),IF(OR(L103=5,L103=7),TEXT((R103/N103),"0.00%")&amp;"-"&amp;TEXT((R103/N103)+7%,"0.00%"),"")))</f>
        <v>2.00%-3.00%</v>
      </c>
      <c r="Z103" s="188"/>
      <c r="AA103" s="188"/>
      <c r="AB103" s="188"/>
      <c r="AC103" s="180"/>
      <c r="AD103" s="184">
        <f>ROUND(N103*AC103,0)</f>
        <v>0</v>
      </c>
      <c r="AE103" s="189">
        <f>V103+AD103</f>
        <v>27900</v>
      </c>
      <c r="AF103" s="164">
        <f>AE103-N103</f>
        <v>846</v>
      </c>
      <c r="AG103" s="181">
        <f>AE103/N103-1</f>
        <v>3.1270791749833604E-2</v>
      </c>
      <c r="AH103" s="166">
        <v>14</v>
      </c>
      <c r="AI103" s="166">
        <v>450</v>
      </c>
      <c r="AJ103" s="166"/>
      <c r="AK103" s="166">
        <v>688</v>
      </c>
      <c r="AL103" s="166">
        <f>AE103*AH103+AI103*12+AK103+IF(AB103="",AJ103,IF(AB103="D",5000,IF(AB103="C",1000,0)))*12</f>
        <v>396688</v>
      </c>
      <c r="AM103" s="153">
        <v>3</v>
      </c>
      <c r="AN103" s="166"/>
      <c r="AO103" s="167"/>
      <c r="AP103" s="167"/>
      <c r="AQ103" s="151" t="s">
        <v>112</v>
      </c>
      <c r="AR103" s="151" t="s">
        <v>295</v>
      </c>
      <c r="AS103" s="151"/>
      <c r="AT103" s="183"/>
      <c r="AU103" s="192"/>
      <c r="AV103" s="192"/>
      <c r="AW103" s="191" t="str">
        <f t="shared" si="30"/>
        <v>OK</v>
      </c>
      <c r="AX103" s="21" t="s">
        <v>3129</v>
      </c>
      <c r="AY103" s="21" t="s">
        <v>3130</v>
      </c>
      <c r="AZ103" s="21"/>
      <c r="BA103" s="21"/>
    </row>
    <row r="104" spans="1:53" ht="20" customHeight="1">
      <c r="A104" s="86" t="s">
        <v>318</v>
      </c>
      <c r="B104" s="371" t="s">
        <v>2434</v>
      </c>
      <c r="C104" s="151" t="s">
        <v>51</v>
      </c>
      <c r="D104" s="151" t="s">
        <v>52</v>
      </c>
      <c r="E104" s="151" t="s">
        <v>62</v>
      </c>
      <c r="F104" s="151" t="s">
        <v>53</v>
      </c>
      <c r="G104" s="151" t="s">
        <v>54</v>
      </c>
      <c r="H104" s="152">
        <v>39560</v>
      </c>
      <c r="I104" s="151" t="s">
        <v>198</v>
      </c>
      <c r="J104" s="151" t="s">
        <v>300</v>
      </c>
      <c r="K104" s="151" t="s">
        <v>199</v>
      </c>
      <c r="L104" s="153">
        <v>2</v>
      </c>
      <c r="M104" s="153">
        <v>3</v>
      </c>
      <c r="N104" s="184">
        <v>36880</v>
      </c>
      <c r="O104" s="177">
        <v>0.03</v>
      </c>
      <c r="P104" s="185">
        <f>ROUND(N104*O104,0)</f>
        <v>1106</v>
      </c>
      <c r="Q104" s="177">
        <v>0</v>
      </c>
      <c r="R104" s="185">
        <f>ROUND(N104*Q104,0)</f>
        <v>0</v>
      </c>
      <c r="S104" s="177">
        <f>T104/N104</f>
        <v>2.9989154013015183E-2</v>
      </c>
      <c r="T104" s="185">
        <f>P104+R104</f>
        <v>1106</v>
      </c>
      <c r="U104" s="185">
        <f>N104+T104</f>
        <v>37986</v>
      </c>
      <c r="V104" s="186">
        <v>38000</v>
      </c>
      <c r="W104" s="187">
        <f>V104-N104</f>
        <v>1120</v>
      </c>
      <c r="X104" s="178">
        <f t="shared" si="31"/>
        <v>3.04E-2</v>
      </c>
      <c r="Y104" s="179" t="str">
        <f>IF(OR(L104=1,L104=2,L104=4),TEXT(S104*0.8,"0.00%")&amp;"-"&amp;TEXT(S104*1.2,"0.00%"),IF(OR(L104=3,L104=6),TEXT(0,"0.00%")&amp;"-"&amp;TEXT(7%*1.2,"0.00%"),IF(OR(L104=5,L104=7),TEXT((R104/N104),"0.00%")&amp;"-"&amp;TEXT((R104/N104)+7%,"0.00%"),"")))</f>
        <v>2.40%-3.60%</v>
      </c>
      <c r="Z104" s="188"/>
      <c r="AA104" s="188"/>
      <c r="AB104" s="188"/>
      <c r="AC104" s="180"/>
      <c r="AD104" s="184">
        <f>ROUND(N104*AC104,0)</f>
        <v>0</v>
      </c>
      <c r="AE104" s="189">
        <f>V104+AD104</f>
        <v>38000</v>
      </c>
      <c r="AF104" s="164">
        <f>AE104-N104</f>
        <v>1120</v>
      </c>
      <c r="AG104" s="181">
        <f>AE104/N104-1</f>
        <v>3.0368763557483636E-2</v>
      </c>
      <c r="AH104" s="166">
        <v>14</v>
      </c>
      <c r="AI104" s="166">
        <v>450</v>
      </c>
      <c r="AJ104" s="166">
        <v>1000</v>
      </c>
      <c r="AK104" s="166">
        <v>688</v>
      </c>
      <c r="AL104" s="166">
        <f>AE104*AH104+AI104*12+AK104+IF(AB104="",AJ104,IF(AB104="D",5000,IF(AB104="C",1000,0)))*12</f>
        <v>550088</v>
      </c>
      <c r="AM104" s="153">
        <v>4</v>
      </c>
      <c r="AN104" s="166"/>
      <c r="AO104" s="167"/>
      <c r="AP104" s="167"/>
      <c r="AQ104" s="151" t="s">
        <v>112</v>
      </c>
      <c r="AR104" s="151" t="s">
        <v>295</v>
      </c>
      <c r="AS104" s="151"/>
      <c r="AT104" s="183"/>
      <c r="AU104" s="192"/>
      <c r="AV104" s="192"/>
      <c r="AW104" s="193" t="str">
        <f t="shared" si="30"/>
        <v>OK</v>
      </c>
      <c r="AX104" s="21" t="s">
        <v>3129</v>
      </c>
      <c r="AY104" s="21" t="s">
        <v>3132</v>
      </c>
      <c r="AZ104" s="21"/>
      <c r="BA104" s="21"/>
    </row>
    <row r="105" spans="1:53" ht="20" customHeight="1">
      <c r="A105" s="86" t="s">
        <v>318</v>
      </c>
      <c r="B105" s="371" t="s">
        <v>2435</v>
      </c>
      <c r="C105" s="151" t="s">
        <v>51</v>
      </c>
      <c r="D105" s="151" t="s">
        <v>52</v>
      </c>
      <c r="E105" s="151" t="s">
        <v>62</v>
      </c>
      <c r="F105" s="151" t="s">
        <v>154</v>
      </c>
      <c r="G105" s="151" t="s">
        <v>155</v>
      </c>
      <c r="H105" s="152">
        <v>45126</v>
      </c>
      <c r="I105" s="151" t="s">
        <v>111</v>
      </c>
      <c r="J105" s="151" t="s">
        <v>301</v>
      </c>
      <c r="K105" s="151" t="s">
        <v>56</v>
      </c>
      <c r="L105" s="153">
        <v>2</v>
      </c>
      <c r="M105" s="153">
        <v>3</v>
      </c>
      <c r="N105" s="184">
        <v>33000</v>
      </c>
      <c r="O105" s="177">
        <v>0</v>
      </c>
      <c r="P105" s="185">
        <f>ROUND(N105*O105,0)</f>
        <v>0</v>
      </c>
      <c r="Q105" s="177">
        <v>0</v>
      </c>
      <c r="R105" s="185">
        <f>ROUND(N105*Q105,0)</f>
        <v>0</v>
      </c>
      <c r="S105" s="177">
        <f>T105/N105</f>
        <v>0</v>
      </c>
      <c r="T105" s="185">
        <f>P105+R105</f>
        <v>0</v>
      </c>
      <c r="U105" s="185">
        <f>N105+T105</f>
        <v>33000</v>
      </c>
      <c r="V105" s="186">
        <f>U105</f>
        <v>33000</v>
      </c>
      <c r="W105" s="187">
        <f>V105-N105</f>
        <v>0</v>
      </c>
      <c r="X105" s="178">
        <f t="shared" si="31"/>
        <v>0</v>
      </c>
      <c r="Y105" s="179" t="str">
        <f>IF(OR(L105=1,L105=2,L105=4),TEXT(S105*0.8,"0.00%")&amp;"-"&amp;TEXT(S105*1.2,"0.00%"),IF(OR(L105=3,L105=6),TEXT(0,"0.00%")&amp;"-"&amp;TEXT(7%*1.2,"0.00%"),IF(OR(L105=5,L105=7),TEXT((R105/N105),"0.00%")&amp;"-"&amp;TEXT((R105/N105)+7%,"0.00%"),"")))</f>
        <v>0.00%-0.00%</v>
      </c>
      <c r="Z105" s="188"/>
      <c r="AA105" s="188"/>
      <c r="AB105" s="188"/>
      <c r="AC105" s="180"/>
      <c r="AD105" s="184">
        <f>ROUND(N105*AC105,0)</f>
        <v>0</v>
      </c>
      <c r="AE105" s="189">
        <f>V105+AD105</f>
        <v>33000</v>
      </c>
      <c r="AF105" s="164">
        <f>AE105-N105</f>
        <v>0</v>
      </c>
      <c r="AG105" s="181">
        <f>AE105/N105-1</f>
        <v>0</v>
      </c>
      <c r="AH105" s="166">
        <v>14</v>
      </c>
      <c r="AI105" s="166">
        <v>450</v>
      </c>
      <c r="AJ105" s="166"/>
      <c r="AK105" s="166">
        <v>688</v>
      </c>
      <c r="AL105" s="166">
        <f>AE105*AH105+AI105*12+AK105+IF(AB105="",AJ105,IF(AB105="D",5000,IF(AB105="C",1000,0)))*12</f>
        <v>468088</v>
      </c>
      <c r="AM105" s="153">
        <v>2</v>
      </c>
      <c r="AN105" s="166"/>
      <c r="AO105" s="167"/>
      <c r="AP105" s="167"/>
      <c r="AQ105" s="151" t="s">
        <v>112</v>
      </c>
      <c r="AR105" s="151" t="s">
        <v>295</v>
      </c>
      <c r="AS105" s="151"/>
      <c r="AT105" s="183"/>
      <c r="AU105" s="192"/>
      <c r="AV105" s="192"/>
      <c r="AW105" s="191" t="str">
        <f t="shared" si="30"/>
        <v>OK</v>
      </c>
      <c r="AX105" s="21" t="s">
        <v>3131</v>
      </c>
      <c r="AY105" s="21" t="s">
        <v>3134</v>
      </c>
      <c r="AZ105" s="21"/>
      <c r="BA105" s="21"/>
    </row>
    <row r="106" spans="1:53" ht="20" customHeight="1">
      <c r="A106" s="86" t="s">
        <v>318</v>
      </c>
      <c r="B106" s="372" t="s">
        <v>2436</v>
      </c>
      <c r="C106" s="5" t="s">
        <v>51</v>
      </c>
      <c r="D106" s="5" t="s">
        <v>52</v>
      </c>
      <c r="E106" s="5" t="s">
        <v>1604</v>
      </c>
      <c r="F106" s="5" t="s">
        <v>1441</v>
      </c>
      <c r="G106" s="5" t="s">
        <v>1442</v>
      </c>
      <c r="H106" s="6">
        <v>42979</v>
      </c>
      <c r="I106" s="5" t="s">
        <v>111</v>
      </c>
      <c r="J106" s="5" t="s">
        <v>1443</v>
      </c>
      <c r="K106" s="5" t="s">
        <v>56</v>
      </c>
      <c r="L106" s="7">
        <v>2</v>
      </c>
      <c r="M106" s="7">
        <v>3</v>
      </c>
      <c r="N106" s="8">
        <v>16460</v>
      </c>
      <c r="O106" s="9">
        <v>0.03</v>
      </c>
      <c r="P106" s="10">
        <f t="shared" ref="P106:P131" si="32">ROUND(N106*O106,0)</f>
        <v>494</v>
      </c>
      <c r="Q106" s="9">
        <v>0</v>
      </c>
      <c r="R106" s="10">
        <f t="shared" ref="R106:R131" si="33">ROUND(N106*Q106,0)</f>
        <v>0</v>
      </c>
      <c r="S106" s="9">
        <f t="shared" ref="S106:S131" si="34">T106/N106</f>
        <v>3.0012150668286757E-2</v>
      </c>
      <c r="T106" s="10">
        <f t="shared" ref="T106:T131" si="35">P106+R106</f>
        <v>494</v>
      </c>
      <c r="U106" s="10">
        <f t="shared" ref="U106:U131" si="36">N106+T106</f>
        <v>16954</v>
      </c>
      <c r="V106" s="11">
        <f t="shared" ref="V106:V141" si="37">U106</f>
        <v>16954</v>
      </c>
      <c r="W106" s="12">
        <f t="shared" ref="W106:W131" si="38">V106-N106</f>
        <v>494</v>
      </c>
      <c r="X106" s="13">
        <f t="shared" si="31"/>
        <v>0.03</v>
      </c>
      <c r="Y106" s="14" t="str">
        <f t="shared" ref="Y106:Y169" si="39">IF(OR(L106=1,L106=2,L106=4),TEXT(S106*0.8,"0.00%")&amp;"-"&amp;TEXT(S106*1.2,"0.00%"),IF(OR(L106=3,L106=6),TEXT(0,"0.00%")&amp;"-"&amp;TEXT(7%*1.2,"0.00%"),IF(OR(L106=5,L106=7),TEXT((R106/N106),"0.00%")&amp;"-"&amp;TEXT((R106/N106)+7%,"0.00%"),"")))</f>
        <v>2.40%-3.60%</v>
      </c>
      <c r="Z106" s="15"/>
      <c r="AA106" s="15"/>
      <c r="AB106" s="15"/>
      <c r="AC106" s="16"/>
      <c r="AD106" s="8">
        <f t="shared" ref="AD106:AD131" si="40">ROUND(N106*AC106,0)</f>
        <v>0</v>
      </c>
      <c r="AE106" s="17">
        <f t="shared" ref="AE106:AE131" si="41">V106+AD106</f>
        <v>16954</v>
      </c>
      <c r="AF106" s="18">
        <f t="shared" ref="AF106:AF131" si="42">AE106-N106</f>
        <v>494</v>
      </c>
      <c r="AG106" s="19">
        <f t="shared" ref="AG106:AG131" si="43">AE106/N106-1</f>
        <v>3.0012150668286663E-2</v>
      </c>
      <c r="AH106" s="20">
        <v>14</v>
      </c>
      <c r="AI106" s="20">
        <v>850</v>
      </c>
      <c r="AJ106" s="20"/>
      <c r="AK106" s="20">
        <v>688</v>
      </c>
      <c r="AL106" s="20">
        <f t="shared" ref="AL106:AL131" si="44">AE106*AH106+AI106*12+AK106+IF(AB106="",AJ106,IF(AB106="D",5000,IF(AB106="C",1000,0)))*12</f>
        <v>248244</v>
      </c>
      <c r="AM106" s="7">
        <v>5</v>
      </c>
      <c r="AN106" s="20"/>
      <c r="AO106" s="21"/>
      <c r="AP106" s="21"/>
      <c r="AQ106" s="5" t="s">
        <v>1444</v>
      </c>
      <c r="AR106" s="5" t="s">
        <v>164</v>
      </c>
      <c r="AS106" s="5" t="s">
        <v>59</v>
      </c>
      <c r="AT106" s="20"/>
      <c r="AU106" s="21"/>
      <c r="AV106" s="21"/>
      <c r="AW106" s="144" t="str">
        <f t="shared" ref="AW106:AW137" si="45">_xlfn.LET(_xlpm.actual,X106,_xlpm.low,VALUE(_xlfn.TEXTBEFORE(Y106,"-")),_xlpm.high,VALUE(_xlfn.TEXTAFTER(Y106,"-")),IF(AND(_xlpm.actual=0,OR(_xlpm.low&lt;&gt;0,_xlpm.high&lt;&gt;0)),"0 increase",IF(_xlpm.actual&gt;_xlpm.high*1.2,"&gt;20",IF(_xlpm.actual&lt;_xlpm.low*0.8,"&lt;20","OK"))))</f>
        <v>OK</v>
      </c>
      <c r="AX106" s="21" t="s">
        <v>3133</v>
      </c>
      <c r="AY106" s="21" t="s">
        <v>3132</v>
      </c>
      <c r="AZ106" s="21"/>
      <c r="BA106" s="21"/>
    </row>
    <row r="107" spans="1:53" ht="20" customHeight="1">
      <c r="A107" s="86" t="s">
        <v>318</v>
      </c>
      <c r="B107" s="372" t="s">
        <v>2437</v>
      </c>
      <c r="C107" s="5" t="s">
        <v>51</v>
      </c>
      <c r="D107" s="5" t="s">
        <v>52</v>
      </c>
      <c r="E107" s="5" t="s">
        <v>1604</v>
      </c>
      <c r="F107" s="5" t="s">
        <v>1445</v>
      </c>
      <c r="G107" s="5" t="s">
        <v>1442</v>
      </c>
      <c r="H107" s="6">
        <v>42172</v>
      </c>
      <c r="I107" s="5" t="s">
        <v>55</v>
      </c>
      <c r="J107" s="5" t="s">
        <v>55</v>
      </c>
      <c r="K107" s="5" t="s">
        <v>56</v>
      </c>
      <c r="L107" s="7">
        <v>2</v>
      </c>
      <c r="M107" s="7">
        <v>5</v>
      </c>
      <c r="N107" s="8">
        <v>20837</v>
      </c>
      <c r="O107" s="9">
        <v>0.05</v>
      </c>
      <c r="P107" s="10">
        <f t="shared" si="32"/>
        <v>1042</v>
      </c>
      <c r="Q107" s="9">
        <v>2.7E-2</v>
      </c>
      <c r="R107" s="10">
        <f t="shared" si="33"/>
        <v>563</v>
      </c>
      <c r="S107" s="9">
        <f t="shared" si="34"/>
        <v>7.7026443345971113E-2</v>
      </c>
      <c r="T107" s="10">
        <f t="shared" si="35"/>
        <v>1605</v>
      </c>
      <c r="U107" s="10">
        <f t="shared" si="36"/>
        <v>22442</v>
      </c>
      <c r="V107" s="11">
        <v>22100</v>
      </c>
      <c r="W107" s="12">
        <f t="shared" si="38"/>
        <v>1263</v>
      </c>
      <c r="X107" s="13">
        <f t="shared" si="31"/>
        <v>6.0600000000000001E-2</v>
      </c>
      <c r="Y107" s="14" t="str">
        <f t="shared" si="39"/>
        <v>6.16%-9.24%</v>
      </c>
      <c r="Z107" s="15"/>
      <c r="AA107" s="15"/>
      <c r="AB107" s="15"/>
      <c r="AC107" s="16"/>
      <c r="AD107" s="8">
        <f t="shared" si="40"/>
        <v>0</v>
      </c>
      <c r="AE107" s="17">
        <f t="shared" si="41"/>
        <v>22100</v>
      </c>
      <c r="AF107" s="18">
        <f t="shared" si="42"/>
        <v>1263</v>
      </c>
      <c r="AG107" s="19">
        <f t="shared" si="43"/>
        <v>6.0613332053558677E-2</v>
      </c>
      <c r="AH107" s="20">
        <v>14</v>
      </c>
      <c r="AI107" s="20">
        <v>450</v>
      </c>
      <c r="AJ107" s="20"/>
      <c r="AK107" s="20">
        <v>688</v>
      </c>
      <c r="AL107" s="20">
        <f t="shared" si="44"/>
        <v>315488</v>
      </c>
      <c r="AM107" s="7">
        <v>4</v>
      </c>
      <c r="AN107" s="20"/>
      <c r="AO107" s="21" t="s">
        <v>128</v>
      </c>
      <c r="AP107" s="21" t="s">
        <v>128</v>
      </c>
      <c r="AQ107" s="5" t="s">
        <v>1444</v>
      </c>
      <c r="AR107" s="5" t="s">
        <v>164</v>
      </c>
      <c r="AS107" s="5" t="s">
        <v>59</v>
      </c>
      <c r="AT107" s="20"/>
      <c r="AU107" s="21"/>
      <c r="AV107" s="21"/>
      <c r="AW107" s="144" t="str">
        <f t="shared" si="45"/>
        <v>OK</v>
      </c>
      <c r="AX107" s="21" t="s">
        <v>3133</v>
      </c>
      <c r="AY107" s="21" t="s">
        <v>3130</v>
      </c>
      <c r="AZ107" s="21"/>
      <c r="BA107" s="21"/>
    </row>
    <row r="108" spans="1:53" ht="20" customHeight="1">
      <c r="A108" s="86" t="s">
        <v>318</v>
      </c>
      <c r="B108" s="372" t="s">
        <v>2438</v>
      </c>
      <c r="C108" s="5" t="s">
        <v>51</v>
      </c>
      <c r="D108" s="5" t="s">
        <v>52</v>
      </c>
      <c r="E108" s="5" t="s">
        <v>1604</v>
      </c>
      <c r="F108" s="5" t="s">
        <v>1445</v>
      </c>
      <c r="G108" s="5" t="s">
        <v>1442</v>
      </c>
      <c r="H108" s="6">
        <v>44517</v>
      </c>
      <c r="I108" s="5" t="s">
        <v>74</v>
      </c>
      <c r="J108" s="5" t="s">
        <v>1446</v>
      </c>
      <c r="K108" s="5" t="s">
        <v>76</v>
      </c>
      <c r="L108" s="7">
        <v>2</v>
      </c>
      <c r="M108" s="7">
        <v>4</v>
      </c>
      <c r="N108" s="8">
        <v>12851</v>
      </c>
      <c r="O108" s="9">
        <v>0.03</v>
      </c>
      <c r="P108" s="10">
        <f t="shared" si="32"/>
        <v>386</v>
      </c>
      <c r="Q108" s="9">
        <v>0</v>
      </c>
      <c r="R108" s="10">
        <f t="shared" si="33"/>
        <v>0</v>
      </c>
      <c r="S108" s="9">
        <f t="shared" si="34"/>
        <v>3.0036573029336239E-2</v>
      </c>
      <c r="T108" s="10">
        <f t="shared" si="35"/>
        <v>386</v>
      </c>
      <c r="U108" s="10">
        <f t="shared" si="36"/>
        <v>13237</v>
      </c>
      <c r="V108" s="11">
        <f t="shared" si="37"/>
        <v>13237</v>
      </c>
      <c r="W108" s="12">
        <f t="shared" si="38"/>
        <v>386</v>
      </c>
      <c r="X108" s="13">
        <f t="shared" si="31"/>
        <v>0.03</v>
      </c>
      <c r="Y108" s="14" t="str">
        <f t="shared" si="39"/>
        <v>2.40%-3.60%</v>
      </c>
      <c r="Z108" s="15"/>
      <c r="AA108" s="15"/>
      <c r="AB108" s="15"/>
      <c r="AC108" s="16"/>
      <c r="AD108" s="8">
        <f t="shared" si="40"/>
        <v>0</v>
      </c>
      <c r="AE108" s="17">
        <f t="shared" si="41"/>
        <v>13237</v>
      </c>
      <c r="AF108" s="18">
        <f t="shared" si="42"/>
        <v>386</v>
      </c>
      <c r="AG108" s="19">
        <f t="shared" si="43"/>
        <v>3.0036573029336155E-2</v>
      </c>
      <c r="AH108" s="20">
        <v>14</v>
      </c>
      <c r="AI108" s="20">
        <v>450</v>
      </c>
      <c r="AJ108" s="20"/>
      <c r="AK108" s="20">
        <v>688</v>
      </c>
      <c r="AL108" s="20">
        <f t="shared" si="44"/>
        <v>191406</v>
      </c>
      <c r="AM108" s="7">
        <v>3</v>
      </c>
      <c r="AN108" s="20"/>
      <c r="AO108" s="21"/>
      <c r="AP108" s="21"/>
      <c r="AQ108" s="5" t="s">
        <v>1444</v>
      </c>
      <c r="AR108" s="5" t="s">
        <v>164</v>
      </c>
      <c r="AS108" s="5" t="s">
        <v>59</v>
      </c>
      <c r="AT108" s="20"/>
      <c r="AU108" s="21"/>
      <c r="AV108" s="21"/>
      <c r="AW108" s="144" t="str">
        <f t="shared" si="45"/>
        <v>OK</v>
      </c>
      <c r="AX108" s="21" t="s">
        <v>3131</v>
      </c>
      <c r="AY108" s="21" t="s">
        <v>3136</v>
      </c>
      <c r="AZ108" s="21"/>
      <c r="BA108" s="21"/>
    </row>
    <row r="109" spans="1:53" ht="20" customHeight="1">
      <c r="A109" s="86" t="s">
        <v>318</v>
      </c>
      <c r="B109" s="372" t="s">
        <v>2439</v>
      </c>
      <c r="C109" s="5" t="s">
        <v>51</v>
      </c>
      <c r="D109" s="5" t="s">
        <v>52</v>
      </c>
      <c r="E109" s="5" t="s">
        <v>1604</v>
      </c>
      <c r="F109" s="5" t="s">
        <v>1441</v>
      </c>
      <c r="G109" s="5" t="s">
        <v>1442</v>
      </c>
      <c r="H109" s="6">
        <v>42781</v>
      </c>
      <c r="I109" s="5" t="s">
        <v>74</v>
      </c>
      <c r="J109" s="5" t="s">
        <v>1447</v>
      </c>
      <c r="K109" s="5" t="s">
        <v>76</v>
      </c>
      <c r="L109" s="7">
        <v>2</v>
      </c>
      <c r="M109" s="7">
        <v>3</v>
      </c>
      <c r="N109" s="8">
        <v>11999</v>
      </c>
      <c r="O109" s="9">
        <v>2.5000000000000001E-2</v>
      </c>
      <c r="P109" s="10">
        <f t="shared" si="32"/>
        <v>300</v>
      </c>
      <c r="Q109" s="9">
        <v>0</v>
      </c>
      <c r="R109" s="10">
        <f t="shared" si="33"/>
        <v>0</v>
      </c>
      <c r="S109" s="9">
        <f t="shared" si="34"/>
        <v>2.5002083506958914E-2</v>
      </c>
      <c r="T109" s="10">
        <f t="shared" si="35"/>
        <v>300</v>
      </c>
      <c r="U109" s="10">
        <f t="shared" si="36"/>
        <v>12299</v>
      </c>
      <c r="V109" s="11">
        <f t="shared" si="37"/>
        <v>12299</v>
      </c>
      <c r="W109" s="12">
        <f t="shared" si="38"/>
        <v>300</v>
      </c>
      <c r="X109" s="13">
        <f t="shared" si="31"/>
        <v>2.5000000000000001E-2</v>
      </c>
      <c r="Y109" s="14" t="str">
        <f t="shared" si="39"/>
        <v>2.00%-3.00%</v>
      </c>
      <c r="Z109" s="15"/>
      <c r="AA109" s="15"/>
      <c r="AB109" s="15"/>
      <c r="AC109" s="16"/>
      <c r="AD109" s="8">
        <f t="shared" si="40"/>
        <v>0</v>
      </c>
      <c r="AE109" s="17">
        <f t="shared" si="41"/>
        <v>12299</v>
      </c>
      <c r="AF109" s="18">
        <f t="shared" si="42"/>
        <v>300</v>
      </c>
      <c r="AG109" s="19">
        <f t="shared" si="43"/>
        <v>2.5002083506958872E-2</v>
      </c>
      <c r="AH109" s="20">
        <v>14</v>
      </c>
      <c r="AI109" s="20">
        <v>450</v>
      </c>
      <c r="AJ109" s="20"/>
      <c r="AK109" s="20">
        <v>688</v>
      </c>
      <c r="AL109" s="20">
        <f t="shared" si="44"/>
        <v>178274</v>
      </c>
      <c r="AM109" s="7">
        <v>3</v>
      </c>
      <c r="AN109" s="20"/>
      <c r="AO109" s="21"/>
      <c r="AP109" s="21"/>
      <c r="AQ109" s="5" t="s">
        <v>1444</v>
      </c>
      <c r="AR109" s="5" t="s">
        <v>164</v>
      </c>
      <c r="AS109" s="5" t="s">
        <v>59</v>
      </c>
      <c r="AT109" s="20"/>
      <c r="AU109" s="21"/>
      <c r="AV109" s="21"/>
      <c r="AW109" s="144" t="str">
        <f t="shared" si="45"/>
        <v>OK</v>
      </c>
      <c r="AX109" s="21" t="s">
        <v>3133</v>
      </c>
      <c r="AY109" s="21" t="s">
        <v>3130</v>
      </c>
      <c r="AZ109" s="21"/>
      <c r="BA109" s="21"/>
    </row>
    <row r="110" spans="1:53" ht="20" customHeight="1">
      <c r="A110" s="86" t="s">
        <v>318</v>
      </c>
      <c r="B110" s="372" t="s">
        <v>2440</v>
      </c>
      <c r="C110" s="5" t="s">
        <v>51</v>
      </c>
      <c r="D110" s="5" t="s">
        <v>52</v>
      </c>
      <c r="E110" s="5" t="s">
        <v>1604</v>
      </c>
      <c r="F110" s="5" t="s">
        <v>1445</v>
      </c>
      <c r="G110" s="5" t="s">
        <v>1442</v>
      </c>
      <c r="H110" s="6">
        <v>40610</v>
      </c>
      <c r="I110" s="5" t="s">
        <v>111</v>
      </c>
      <c r="J110" s="5" t="s">
        <v>1448</v>
      </c>
      <c r="K110" s="5" t="s">
        <v>56</v>
      </c>
      <c r="L110" s="7">
        <v>2</v>
      </c>
      <c r="M110" s="7">
        <v>3</v>
      </c>
      <c r="N110" s="8">
        <v>23093</v>
      </c>
      <c r="O110" s="9">
        <v>2.5000000000000001E-2</v>
      </c>
      <c r="P110" s="10">
        <f t="shared" si="32"/>
        <v>577</v>
      </c>
      <c r="Q110" s="9">
        <v>0</v>
      </c>
      <c r="R110" s="10">
        <f t="shared" si="33"/>
        <v>0</v>
      </c>
      <c r="S110" s="9">
        <f t="shared" si="34"/>
        <v>2.4985926471225047E-2</v>
      </c>
      <c r="T110" s="10">
        <f t="shared" si="35"/>
        <v>577</v>
      </c>
      <c r="U110" s="10">
        <f t="shared" si="36"/>
        <v>23670</v>
      </c>
      <c r="V110" s="11">
        <f t="shared" si="37"/>
        <v>23670</v>
      </c>
      <c r="W110" s="12">
        <f t="shared" si="38"/>
        <v>577</v>
      </c>
      <c r="X110" s="13">
        <f t="shared" si="31"/>
        <v>2.5000000000000001E-2</v>
      </c>
      <c r="Y110" s="14" t="str">
        <f t="shared" si="39"/>
        <v>2.00%-3.00%</v>
      </c>
      <c r="Z110" s="15"/>
      <c r="AA110" s="15"/>
      <c r="AB110" s="15"/>
      <c r="AC110" s="16"/>
      <c r="AD110" s="8">
        <f t="shared" si="40"/>
        <v>0</v>
      </c>
      <c r="AE110" s="17">
        <f t="shared" si="41"/>
        <v>23670</v>
      </c>
      <c r="AF110" s="18">
        <f t="shared" si="42"/>
        <v>577</v>
      </c>
      <c r="AG110" s="19">
        <f t="shared" si="43"/>
        <v>2.4985926471225106E-2</v>
      </c>
      <c r="AH110" s="20">
        <v>14</v>
      </c>
      <c r="AI110" s="20">
        <v>450</v>
      </c>
      <c r="AJ110" s="20"/>
      <c r="AK110" s="20">
        <v>688</v>
      </c>
      <c r="AL110" s="20">
        <f t="shared" si="44"/>
        <v>337468</v>
      </c>
      <c r="AM110" s="7">
        <v>3</v>
      </c>
      <c r="AN110" s="20"/>
      <c r="AO110" s="21"/>
      <c r="AP110" s="21"/>
      <c r="AQ110" s="5" t="s">
        <v>1444</v>
      </c>
      <c r="AR110" s="5" t="s">
        <v>164</v>
      </c>
      <c r="AS110" s="5" t="s">
        <v>59</v>
      </c>
      <c r="AT110" s="20"/>
      <c r="AU110" s="21"/>
      <c r="AV110" s="21"/>
      <c r="AW110" s="144" t="str">
        <f t="shared" si="45"/>
        <v>OK</v>
      </c>
      <c r="AX110" s="21" t="s">
        <v>3135</v>
      </c>
      <c r="AY110" s="21" t="s">
        <v>3130</v>
      </c>
      <c r="AZ110" s="21"/>
      <c r="BA110" s="21"/>
    </row>
    <row r="111" spans="1:53" ht="20" customHeight="1">
      <c r="A111" s="86" t="s">
        <v>318</v>
      </c>
      <c r="B111" s="372" t="s">
        <v>2441</v>
      </c>
      <c r="C111" s="5" t="s">
        <v>51</v>
      </c>
      <c r="D111" s="5" t="s">
        <v>52</v>
      </c>
      <c r="E111" s="5" t="s">
        <v>1604</v>
      </c>
      <c r="F111" s="5" t="s">
        <v>1449</v>
      </c>
      <c r="G111" s="5" t="s">
        <v>1450</v>
      </c>
      <c r="H111" s="6">
        <v>39630</v>
      </c>
      <c r="I111" s="5" t="s">
        <v>198</v>
      </c>
      <c r="J111" s="5" t="s">
        <v>1451</v>
      </c>
      <c r="K111" s="5" t="s">
        <v>199</v>
      </c>
      <c r="L111" s="7">
        <v>2</v>
      </c>
      <c r="M111" s="7">
        <v>5</v>
      </c>
      <c r="N111" s="8">
        <v>47636</v>
      </c>
      <c r="O111" s="9">
        <v>0.05</v>
      </c>
      <c r="P111" s="10">
        <f t="shared" si="32"/>
        <v>2382</v>
      </c>
      <c r="Q111" s="9">
        <v>0</v>
      </c>
      <c r="R111" s="10">
        <f t="shared" si="33"/>
        <v>0</v>
      </c>
      <c r="S111" s="9">
        <f t="shared" si="34"/>
        <v>5.0004198505332102E-2</v>
      </c>
      <c r="T111" s="10">
        <f t="shared" si="35"/>
        <v>2382</v>
      </c>
      <c r="U111" s="10">
        <f t="shared" si="36"/>
        <v>50018</v>
      </c>
      <c r="V111" s="11">
        <v>49550</v>
      </c>
      <c r="W111" s="12">
        <f t="shared" si="38"/>
        <v>1914</v>
      </c>
      <c r="X111" s="13">
        <f t="shared" si="31"/>
        <v>4.02E-2</v>
      </c>
      <c r="Y111" s="14" t="str">
        <f t="shared" si="39"/>
        <v>4.00%-6.00%</v>
      </c>
      <c r="Z111" s="15"/>
      <c r="AA111" s="15"/>
      <c r="AB111" s="15"/>
      <c r="AC111" s="16"/>
      <c r="AD111" s="8">
        <f t="shared" si="40"/>
        <v>0</v>
      </c>
      <c r="AE111" s="17">
        <f t="shared" si="41"/>
        <v>49550</v>
      </c>
      <c r="AF111" s="18">
        <f t="shared" si="42"/>
        <v>1914</v>
      </c>
      <c r="AG111" s="19">
        <f t="shared" si="43"/>
        <v>4.0179696028213918E-2</v>
      </c>
      <c r="AH111" s="20">
        <v>14</v>
      </c>
      <c r="AI111" s="20">
        <v>450</v>
      </c>
      <c r="AJ111" s="20">
        <v>1000</v>
      </c>
      <c r="AK111" s="20">
        <v>688</v>
      </c>
      <c r="AL111" s="20">
        <f t="shared" si="44"/>
        <v>711788</v>
      </c>
      <c r="AM111" s="7">
        <v>3</v>
      </c>
      <c r="AN111" s="20"/>
      <c r="AO111" s="21"/>
      <c r="AP111" s="21"/>
      <c r="AQ111" s="5" t="s">
        <v>1444</v>
      </c>
      <c r="AR111" s="5" t="s">
        <v>164</v>
      </c>
      <c r="AS111" s="5" t="s">
        <v>59</v>
      </c>
      <c r="AT111" s="20"/>
      <c r="AU111" s="21"/>
      <c r="AV111" s="21"/>
      <c r="AW111" s="144" t="str">
        <f t="shared" si="45"/>
        <v>OK</v>
      </c>
      <c r="AX111" s="21" t="s">
        <v>3129</v>
      </c>
      <c r="AY111" s="21" t="s">
        <v>3130</v>
      </c>
      <c r="AZ111" s="21"/>
      <c r="BA111" s="21"/>
    </row>
    <row r="112" spans="1:53" ht="20" customHeight="1">
      <c r="A112" s="86" t="s">
        <v>318</v>
      </c>
      <c r="B112" s="372" t="s">
        <v>2442</v>
      </c>
      <c r="C112" s="5" t="s">
        <v>51</v>
      </c>
      <c r="D112" s="5" t="s">
        <v>52</v>
      </c>
      <c r="E112" s="5" t="s">
        <v>1604</v>
      </c>
      <c r="F112" s="5" t="s">
        <v>1452</v>
      </c>
      <c r="G112" s="5" t="s">
        <v>1453</v>
      </c>
      <c r="H112" s="6">
        <v>41456</v>
      </c>
      <c r="I112" s="5" t="s">
        <v>198</v>
      </c>
      <c r="J112" s="5" t="s">
        <v>1454</v>
      </c>
      <c r="K112" s="5" t="s">
        <v>199</v>
      </c>
      <c r="L112" s="7">
        <v>2</v>
      </c>
      <c r="M112" s="7">
        <v>3</v>
      </c>
      <c r="N112" s="8">
        <v>36037</v>
      </c>
      <c r="O112" s="9">
        <v>2.5000000000000001E-2</v>
      </c>
      <c r="P112" s="10">
        <f t="shared" si="32"/>
        <v>901</v>
      </c>
      <c r="Q112" s="9">
        <v>0</v>
      </c>
      <c r="R112" s="10">
        <f t="shared" si="33"/>
        <v>0</v>
      </c>
      <c r="S112" s="9">
        <f t="shared" si="34"/>
        <v>2.5002081194328053E-2</v>
      </c>
      <c r="T112" s="10">
        <f t="shared" si="35"/>
        <v>901</v>
      </c>
      <c r="U112" s="10">
        <f t="shared" si="36"/>
        <v>36938</v>
      </c>
      <c r="V112" s="11">
        <v>36760</v>
      </c>
      <c r="W112" s="12">
        <f t="shared" si="38"/>
        <v>723</v>
      </c>
      <c r="X112" s="13">
        <f t="shared" si="31"/>
        <v>2.01E-2</v>
      </c>
      <c r="Y112" s="14" t="str">
        <f t="shared" si="39"/>
        <v>2.00%-3.00%</v>
      </c>
      <c r="Z112" s="15"/>
      <c r="AA112" s="15"/>
      <c r="AB112" s="15"/>
      <c r="AC112" s="16"/>
      <c r="AD112" s="8">
        <f t="shared" si="40"/>
        <v>0</v>
      </c>
      <c r="AE112" s="17">
        <f t="shared" si="41"/>
        <v>36760</v>
      </c>
      <c r="AF112" s="18">
        <f t="shared" si="42"/>
        <v>723</v>
      </c>
      <c r="AG112" s="19">
        <f t="shared" si="43"/>
        <v>2.0062713322418713E-2</v>
      </c>
      <c r="AH112" s="20">
        <v>14</v>
      </c>
      <c r="AI112" s="20">
        <v>2450</v>
      </c>
      <c r="AJ112" s="20">
        <v>1000</v>
      </c>
      <c r="AK112" s="20">
        <v>688</v>
      </c>
      <c r="AL112" s="20">
        <f t="shared" si="44"/>
        <v>556728</v>
      </c>
      <c r="AM112" s="7">
        <v>4</v>
      </c>
      <c r="AN112" s="20"/>
      <c r="AO112" s="21"/>
      <c r="AP112" s="21"/>
      <c r="AQ112" s="5" t="s">
        <v>1444</v>
      </c>
      <c r="AR112" s="5" t="s">
        <v>164</v>
      </c>
      <c r="AS112" s="5" t="s">
        <v>59</v>
      </c>
      <c r="AT112" s="20"/>
      <c r="AU112" s="21"/>
      <c r="AV112" s="21"/>
      <c r="AW112" s="144" t="str">
        <f t="shared" si="45"/>
        <v>OK</v>
      </c>
      <c r="AX112" s="21" t="s">
        <v>3135</v>
      </c>
      <c r="AY112" s="21" t="s">
        <v>3130</v>
      </c>
      <c r="AZ112" s="21"/>
      <c r="BA112" s="21"/>
    </row>
    <row r="113" spans="1:53" ht="20" customHeight="1">
      <c r="A113" s="86" t="s">
        <v>318</v>
      </c>
      <c r="B113" s="372" t="s">
        <v>2443</v>
      </c>
      <c r="C113" s="5" t="s">
        <v>51</v>
      </c>
      <c r="D113" s="5" t="s">
        <v>52</v>
      </c>
      <c r="E113" s="5" t="s">
        <v>1604</v>
      </c>
      <c r="F113" s="5" t="s">
        <v>1455</v>
      </c>
      <c r="G113" s="5" t="s">
        <v>1456</v>
      </c>
      <c r="H113" s="6">
        <v>39995</v>
      </c>
      <c r="I113" s="5" t="s">
        <v>198</v>
      </c>
      <c r="J113" s="5" t="s">
        <v>1457</v>
      </c>
      <c r="K113" s="5" t="s">
        <v>199</v>
      </c>
      <c r="L113" s="7">
        <v>2</v>
      </c>
      <c r="M113" s="7">
        <v>3</v>
      </c>
      <c r="N113" s="8">
        <v>40112</v>
      </c>
      <c r="O113" s="9">
        <v>2.5000000000000001E-2</v>
      </c>
      <c r="P113" s="10">
        <f t="shared" si="32"/>
        <v>1003</v>
      </c>
      <c r="Q113" s="9">
        <v>0</v>
      </c>
      <c r="R113" s="10">
        <f t="shared" si="33"/>
        <v>0</v>
      </c>
      <c r="S113" s="9">
        <f t="shared" si="34"/>
        <v>2.5004986039090547E-2</v>
      </c>
      <c r="T113" s="10">
        <f t="shared" si="35"/>
        <v>1003</v>
      </c>
      <c r="U113" s="10">
        <f t="shared" si="36"/>
        <v>41115</v>
      </c>
      <c r="V113" s="11">
        <f t="shared" si="37"/>
        <v>41115</v>
      </c>
      <c r="W113" s="12">
        <f t="shared" si="38"/>
        <v>1003</v>
      </c>
      <c r="X113" s="13">
        <f t="shared" si="31"/>
        <v>2.5000000000000001E-2</v>
      </c>
      <c r="Y113" s="14" t="str">
        <f t="shared" si="39"/>
        <v>2.00%-3.00%</v>
      </c>
      <c r="Z113" s="15"/>
      <c r="AA113" s="15"/>
      <c r="AB113" s="15"/>
      <c r="AC113" s="16"/>
      <c r="AD113" s="8">
        <f t="shared" si="40"/>
        <v>0</v>
      </c>
      <c r="AE113" s="17">
        <f t="shared" si="41"/>
        <v>41115</v>
      </c>
      <c r="AF113" s="18">
        <f t="shared" si="42"/>
        <v>1003</v>
      </c>
      <c r="AG113" s="19">
        <f t="shared" si="43"/>
        <v>2.5004986039090626E-2</v>
      </c>
      <c r="AH113" s="20">
        <v>14</v>
      </c>
      <c r="AI113" s="20">
        <v>450</v>
      </c>
      <c r="AJ113" s="20">
        <v>1000</v>
      </c>
      <c r="AK113" s="20">
        <v>688</v>
      </c>
      <c r="AL113" s="20">
        <f t="shared" si="44"/>
        <v>593698</v>
      </c>
      <c r="AM113" s="7">
        <v>4</v>
      </c>
      <c r="AN113" s="20"/>
      <c r="AO113" s="21"/>
      <c r="AP113" s="21"/>
      <c r="AQ113" s="5" t="s">
        <v>1444</v>
      </c>
      <c r="AR113" s="5" t="s">
        <v>164</v>
      </c>
      <c r="AS113" s="5" t="s">
        <v>59</v>
      </c>
      <c r="AT113" s="20"/>
      <c r="AU113" s="21"/>
      <c r="AV113" s="21"/>
      <c r="AW113" s="144" t="str">
        <f t="shared" si="45"/>
        <v>OK</v>
      </c>
      <c r="AX113" s="21" t="s">
        <v>3129</v>
      </c>
      <c r="AY113" s="21" t="s">
        <v>3130</v>
      </c>
      <c r="AZ113" s="21"/>
      <c r="BA113" s="21"/>
    </row>
    <row r="114" spans="1:53" ht="20" customHeight="1">
      <c r="A114" s="86" t="s">
        <v>318</v>
      </c>
      <c r="B114" s="372" t="s">
        <v>2444</v>
      </c>
      <c r="C114" s="5" t="s">
        <v>51</v>
      </c>
      <c r="D114" s="5" t="s">
        <v>52</v>
      </c>
      <c r="E114" s="5" t="s">
        <v>1604</v>
      </c>
      <c r="F114" s="5" t="s">
        <v>1445</v>
      </c>
      <c r="G114" s="5" t="s">
        <v>1442</v>
      </c>
      <c r="H114" s="6">
        <v>42193</v>
      </c>
      <c r="I114" s="5" t="s">
        <v>55</v>
      </c>
      <c r="J114" s="5" t="s">
        <v>55</v>
      </c>
      <c r="K114" s="5" t="s">
        <v>56</v>
      </c>
      <c r="L114" s="7">
        <v>2</v>
      </c>
      <c r="M114" s="7">
        <v>2</v>
      </c>
      <c r="N114" s="8">
        <v>17580</v>
      </c>
      <c r="O114" s="9">
        <v>0</v>
      </c>
      <c r="P114" s="10">
        <f t="shared" si="32"/>
        <v>0</v>
      </c>
      <c r="Q114" s="9">
        <v>0</v>
      </c>
      <c r="R114" s="10">
        <f t="shared" si="33"/>
        <v>0</v>
      </c>
      <c r="S114" s="9">
        <f t="shared" si="34"/>
        <v>0</v>
      </c>
      <c r="T114" s="10">
        <f t="shared" si="35"/>
        <v>0</v>
      </c>
      <c r="U114" s="10">
        <f t="shared" si="36"/>
        <v>17580</v>
      </c>
      <c r="V114" s="11">
        <v>17922</v>
      </c>
      <c r="W114" s="12">
        <f t="shared" si="38"/>
        <v>342</v>
      </c>
      <c r="X114" s="13">
        <f t="shared" si="31"/>
        <v>1.95E-2</v>
      </c>
      <c r="Y114" s="14" t="str">
        <f t="shared" si="39"/>
        <v>0.00%-0.00%</v>
      </c>
      <c r="Z114" s="15"/>
      <c r="AA114" s="15"/>
      <c r="AB114" s="15"/>
      <c r="AC114" s="16"/>
      <c r="AD114" s="8">
        <f t="shared" si="40"/>
        <v>0</v>
      </c>
      <c r="AE114" s="17">
        <f t="shared" si="41"/>
        <v>17922</v>
      </c>
      <c r="AF114" s="18">
        <f t="shared" si="42"/>
        <v>342</v>
      </c>
      <c r="AG114" s="19">
        <f t="shared" si="43"/>
        <v>1.945392491467568E-2</v>
      </c>
      <c r="AH114" s="20">
        <v>14</v>
      </c>
      <c r="AI114" s="20">
        <v>450</v>
      </c>
      <c r="AJ114" s="20"/>
      <c r="AK114" s="20">
        <v>688</v>
      </c>
      <c r="AL114" s="20">
        <f t="shared" si="44"/>
        <v>256996</v>
      </c>
      <c r="AM114" s="7">
        <v>5</v>
      </c>
      <c r="AN114" s="20"/>
      <c r="AO114" s="21" t="s">
        <v>1458</v>
      </c>
      <c r="AP114" s="21" t="s">
        <v>90</v>
      </c>
      <c r="AQ114" s="5" t="s">
        <v>1444</v>
      </c>
      <c r="AR114" s="5" t="s">
        <v>164</v>
      </c>
      <c r="AS114" s="5" t="s">
        <v>59</v>
      </c>
      <c r="AT114" s="20"/>
      <c r="AU114" s="21"/>
      <c r="AV114" s="21"/>
      <c r="AW114" s="144" t="str">
        <f t="shared" si="45"/>
        <v>&gt;20</v>
      </c>
      <c r="AX114" s="21" t="s">
        <v>3133</v>
      </c>
      <c r="AY114" s="21">
        <v>0</v>
      </c>
      <c r="AZ114" s="21"/>
      <c r="BA114" s="21"/>
    </row>
    <row r="115" spans="1:53" ht="20" customHeight="1">
      <c r="A115" s="86" t="s">
        <v>318</v>
      </c>
      <c r="B115" s="372" t="s">
        <v>2445</v>
      </c>
      <c r="C115" s="5" t="s">
        <v>51</v>
      </c>
      <c r="D115" s="5" t="s">
        <v>52</v>
      </c>
      <c r="E115" s="5" t="s">
        <v>1604</v>
      </c>
      <c r="F115" s="5" t="s">
        <v>1440</v>
      </c>
      <c r="G115" s="5" t="s">
        <v>1442</v>
      </c>
      <c r="H115" s="6">
        <v>42552</v>
      </c>
      <c r="I115" s="5" t="s">
        <v>198</v>
      </c>
      <c r="J115" s="5" t="s">
        <v>1459</v>
      </c>
      <c r="K115" s="5" t="s">
        <v>199</v>
      </c>
      <c r="L115" s="7">
        <v>2</v>
      </c>
      <c r="M115" s="7">
        <v>3</v>
      </c>
      <c r="N115" s="8">
        <v>21000</v>
      </c>
      <c r="O115" s="9">
        <v>3.5000000000000003E-2</v>
      </c>
      <c r="P115" s="10">
        <f t="shared" si="32"/>
        <v>735</v>
      </c>
      <c r="Q115" s="9">
        <v>0</v>
      </c>
      <c r="R115" s="10">
        <f t="shared" si="33"/>
        <v>0</v>
      </c>
      <c r="S115" s="9">
        <f t="shared" si="34"/>
        <v>3.5000000000000003E-2</v>
      </c>
      <c r="T115" s="10">
        <f t="shared" si="35"/>
        <v>735</v>
      </c>
      <c r="U115" s="10">
        <f t="shared" si="36"/>
        <v>21735</v>
      </c>
      <c r="V115" s="11">
        <v>22500</v>
      </c>
      <c r="W115" s="12">
        <f t="shared" si="38"/>
        <v>1500</v>
      </c>
      <c r="X115" s="13">
        <f t="shared" si="31"/>
        <v>7.1400000000000005E-2</v>
      </c>
      <c r="Y115" s="14" t="str">
        <f t="shared" si="39"/>
        <v>2.80%-4.20%</v>
      </c>
      <c r="Z115" s="15"/>
      <c r="AA115" s="15"/>
      <c r="AB115" s="15"/>
      <c r="AC115" s="16"/>
      <c r="AD115" s="8">
        <f t="shared" si="40"/>
        <v>0</v>
      </c>
      <c r="AE115" s="17">
        <f t="shared" si="41"/>
        <v>22500</v>
      </c>
      <c r="AF115" s="18">
        <f t="shared" si="42"/>
        <v>1500</v>
      </c>
      <c r="AG115" s="19">
        <f t="shared" si="43"/>
        <v>7.1428571428571397E-2</v>
      </c>
      <c r="AH115" s="20">
        <v>14</v>
      </c>
      <c r="AI115" s="20">
        <v>450</v>
      </c>
      <c r="AJ115" s="20">
        <v>1000</v>
      </c>
      <c r="AK115" s="20">
        <v>688</v>
      </c>
      <c r="AL115" s="20">
        <f t="shared" si="44"/>
        <v>333088</v>
      </c>
      <c r="AM115" s="7">
        <v>5</v>
      </c>
      <c r="AN115" s="20"/>
      <c r="AO115" s="21" t="s">
        <v>1460</v>
      </c>
      <c r="AP115" s="21" t="s">
        <v>101</v>
      </c>
      <c r="AQ115" s="5" t="s">
        <v>1444</v>
      </c>
      <c r="AR115" s="5" t="s">
        <v>164</v>
      </c>
      <c r="AS115" s="5" t="s">
        <v>59</v>
      </c>
      <c r="AT115" s="20"/>
      <c r="AU115" s="21"/>
      <c r="AV115" s="21"/>
      <c r="AW115" s="144" t="str">
        <f t="shared" si="45"/>
        <v>&gt;20</v>
      </c>
      <c r="AX115" s="21" t="s">
        <v>3133</v>
      </c>
      <c r="AY115" s="21" t="s">
        <v>3141</v>
      </c>
      <c r="AZ115" s="21"/>
      <c r="BA115" s="21"/>
    </row>
    <row r="116" spans="1:53" ht="20" customHeight="1">
      <c r="A116" s="86" t="s">
        <v>318</v>
      </c>
      <c r="B116" s="372" t="s">
        <v>2446</v>
      </c>
      <c r="C116" s="5" t="s">
        <v>51</v>
      </c>
      <c r="D116" s="5" t="s">
        <v>52</v>
      </c>
      <c r="E116" s="5" t="s">
        <v>1604</v>
      </c>
      <c r="F116" s="5" t="s">
        <v>1461</v>
      </c>
      <c r="G116" s="5" t="s">
        <v>1462</v>
      </c>
      <c r="H116" s="6">
        <v>44937</v>
      </c>
      <c r="I116" s="5" t="s">
        <v>82</v>
      </c>
      <c r="J116" s="5" t="s">
        <v>1463</v>
      </c>
      <c r="K116" s="5" t="s">
        <v>84</v>
      </c>
      <c r="L116" s="7">
        <v>2</v>
      </c>
      <c r="M116" s="7">
        <v>3</v>
      </c>
      <c r="N116" s="8">
        <v>11824</v>
      </c>
      <c r="O116" s="9">
        <v>0.03</v>
      </c>
      <c r="P116" s="10">
        <f t="shared" si="32"/>
        <v>355</v>
      </c>
      <c r="Q116" s="9">
        <v>0</v>
      </c>
      <c r="R116" s="10">
        <f t="shared" si="33"/>
        <v>0</v>
      </c>
      <c r="S116" s="9">
        <f t="shared" si="34"/>
        <v>3.0023680649526388E-2</v>
      </c>
      <c r="T116" s="10">
        <f t="shared" si="35"/>
        <v>355</v>
      </c>
      <c r="U116" s="10">
        <f t="shared" si="36"/>
        <v>12179</v>
      </c>
      <c r="V116" s="11">
        <f t="shared" si="37"/>
        <v>12179</v>
      </c>
      <c r="W116" s="12">
        <f t="shared" si="38"/>
        <v>355</v>
      </c>
      <c r="X116" s="13">
        <f t="shared" si="31"/>
        <v>0.03</v>
      </c>
      <c r="Y116" s="14" t="str">
        <f t="shared" si="39"/>
        <v>2.40%-3.60%</v>
      </c>
      <c r="Z116" s="15"/>
      <c r="AA116" s="15"/>
      <c r="AB116" s="15"/>
      <c r="AC116" s="16"/>
      <c r="AD116" s="8">
        <f t="shared" si="40"/>
        <v>0</v>
      </c>
      <c r="AE116" s="17">
        <f t="shared" si="41"/>
        <v>12179</v>
      </c>
      <c r="AF116" s="18">
        <f t="shared" si="42"/>
        <v>355</v>
      </c>
      <c r="AG116" s="19">
        <f t="shared" si="43"/>
        <v>3.002368064952643E-2</v>
      </c>
      <c r="AH116" s="20">
        <v>14</v>
      </c>
      <c r="AI116" s="20">
        <v>450</v>
      </c>
      <c r="AJ116" s="20"/>
      <c r="AK116" s="20">
        <v>688</v>
      </c>
      <c r="AL116" s="20">
        <f t="shared" si="44"/>
        <v>176594</v>
      </c>
      <c r="AM116" s="7">
        <v>4</v>
      </c>
      <c r="AN116" s="20"/>
      <c r="AO116" s="21"/>
      <c r="AP116" s="21"/>
      <c r="AQ116" s="5" t="s">
        <v>1444</v>
      </c>
      <c r="AR116" s="5" t="s">
        <v>164</v>
      </c>
      <c r="AS116" s="5" t="s">
        <v>59</v>
      </c>
      <c r="AT116" s="20"/>
      <c r="AU116" s="21"/>
      <c r="AV116" s="21"/>
      <c r="AW116" s="144" t="str">
        <f t="shared" si="45"/>
        <v>OK</v>
      </c>
      <c r="AX116" s="21" t="s">
        <v>3131</v>
      </c>
      <c r="AY116" s="21" t="s">
        <v>3132</v>
      </c>
      <c r="AZ116" s="21"/>
      <c r="BA116" s="21"/>
    </row>
    <row r="117" spans="1:53" ht="20" customHeight="1">
      <c r="A117" s="86" t="s">
        <v>318</v>
      </c>
      <c r="B117" s="372" t="s">
        <v>2447</v>
      </c>
      <c r="C117" s="5" t="s">
        <v>51</v>
      </c>
      <c r="D117" s="5" t="s">
        <v>52</v>
      </c>
      <c r="E117" s="5" t="s">
        <v>1604</v>
      </c>
      <c r="F117" s="5" t="s">
        <v>1441</v>
      </c>
      <c r="G117" s="5" t="s">
        <v>1464</v>
      </c>
      <c r="H117" s="6">
        <v>41122</v>
      </c>
      <c r="I117" s="5" t="s">
        <v>74</v>
      </c>
      <c r="J117" s="5" t="s">
        <v>74</v>
      </c>
      <c r="K117" s="5" t="s">
        <v>76</v>
      </c>
      <c r="L117" s="7">
        <v>2</v>
      </c>
      <c r="M117" s="7">
        <v>3</v>
      </c>
      <c r="N117" s="8">
        <v>9613</v>
      </c>
      <c r="O117" s="9">
        <v>2.5000000000000001E-2</v>
      </c>
      <c r="P117" s="10">
        <f t="shared" si="32"/>
        <v>240</v>
      </c>
      <c r="Q117" s="9">
        <v>0</v>
      </c>
      <c r="R117" s="10">
        <f t="shared" si="33"/>
        <v>0</v>
      </c>
      <c r="S117" s="9">
        <f t="shared" si="34"/>
        <v>2.496619161552065E-2</v>
      </c>
      <c r="T117" s="10">
        <f t="shared" si="35"/>
        <v>240</v>
      </c>
      <c r="U117" s="10">
        <f t="shared" si="36"/>
        <v>9853</v>
      </c>
      <c r="V117" s="11">
        <f t="shared" si="37"/>
        <v>9853</v>
      </c>
      <c r="W117" s="12">
        <f t="shared" si="38"/>
        <v>240</v>
      </c>
      <c r="X117" s="13">
        <f t="shared" si="31"/>
        <v>2.5000000000000001E-2</v>
      </c>
      <c r="Y117" s="14" t="str">
        <f t="shared" si="39"/>
        <v>2.00%-3.00%</v>
      </c>
      <c r="Z117" s="15"/>
      <c r="AA117" s="15"/>
      <c r="AB117" s="15"/>
      <c r="AC117" s="16"/>
      <c r="AD117" s="8">
        <f t="shared" si="40"/>
        <v>0</v>
      </c>
      <c r="AE117" s="17">
        <f t="shared" si="41"/>
        <v>9853</v>
      </c>
      <c r="AF117" s="18">
        <f t="shared" si="42"/>
        <v>240</v>
      </c>
      <c r="AG117" s="19">
        <f t="shared" si="43"/>
        <v>2.4966191615520605E-2</v>
      </c>
      <c r="AH117" s="20">
        <v>14</v>
      </c>
      <c r="AI117" s="20">
        <v>510</v>
      </c>
      <c r="AJ117" s="20"/>
      <c r="AK117" s="20">
        <v>688</v>
      </c>
      <c r="AL117" s="20">
        <f t="shared" si="44"/>
        <v>144750</v>
      </c>
      <c r="AM117" s="7">
        <v>3</v>
      </c>
      <c r="AN117" s="20"/>
      <c r="AO117" s="21"/>
      <c r="AP117" s="21"/>
      <c r="AQ117" s="5" t="s">
        <v>1444</v>
      </c>
      <c r="AR117" s="5" t="s">
        <v>164</v>
      </c>
      <c r="AS117" s="5" t="s">
        <v>59</v>
      </c>
      <c r="AT117" s="20"/>
      <c r="AU117" s="21"/>
      <c r="AV117" s="21"/>
      <c r="AW117" s="144" t="str">
        <f t="shared" si="45"/>
        <v>OK</v>
      </c>
      <c r="AX117" s="21" t="s">
        <v>3135</v>
      </c>
      <c r="AY117" s="21" t="s">
        <v>3130</v>
      </c>
      <c r="AZ117" s="21"/>
      <c r="BA117" s="21"/>
    </row>
    <row r="118" spans="1:53" ht="20" customHeight="1">
      <c r="A118" s="86" t="s">
        <v>318</v>
      </c>
      <c r="B118" s="372" t="s">
        <v>2448</v>
      </c>
      <c r="C118" s="5" t="s">
        <v>51</v>
      </c>
      <c r="D118" s="5" t="s">
        <v>52</v>
      </c>
      <c r="E118" s="5" t="s">
        <v>1604</v>
      </c>
      <c r="F118" s="5" t="s">
        <v>1461</v>
      </c>
      <c r="G118" s="5" t="s">
        <v>1462</v>
      </c>
      <c r="H118" s="6">
        <v>39664</v>
      </c>
      <c r="I118" s="5" t="s">
        <v>82</v>
      </c>
      <c r="J118" s="5" t="s">
        <v>82</v>
      </c>
      <c r="K118" s="5" t="s">
        <v>84</v>
      </c>
      <c r="L118" s="7">
        <v>2</v>
      </c>
      <c r="M118" s="7">
        <v>5</v>
      </c>
      <c r="N118" s="8">
        <v>9678</v>
      </c>
      <c r="O118" s="9">
        <v>0.06</v>
      </c>
      <c r="P118" s="10">
        <f t="shared" si="32"/>
        <v>581</v>
      </c>
      <c r="Q118" s="9">
        <v>7.7799999999999994E-2</v>
      </c>
      <c r="R118" s="10">
        <f t="shared" si="33"/>
        <v>753</v>
      </c>
      <c r="S118" s="9">
        <f t="shared" si="34"/>
        <v>0.13783839636288489</v>
      </c>
      <c r="T118" s="10">
        <f t="shared" si="35"/>
        <v>1334</v>
      </c>
      <c r="U118" s="10">
        <f t="shared" si="36"/>
        <v>11012</v>
      </c>
      <c r="V118" s="11">
        <f t="shared" si="37"/>
        <v>11012</v>
      </c>
      <c r="W118" s="12">
        <f t="shared" si="38"/>
        <v>1334</v>
      </c>
      <c r="X118" s="13">
        <f t="shared" si="31"/>
        <v>0.13780000000000001</v>
      </c>
      <c r="Y118" s="14" t="str">
        <f t="shared" si="39"/>
        <v>11.03%-16.54%</v>
      </c>
      <c r="Z118" s="15" t="s">
        <v>87</v>
      </c>
      <c r="AA118" s="15" t="s">
        <v>1465</v>
      </c>
      <c r="AB118" s="15" t="s">
        <v>139</v>
      </c>
      <c r="AC118" s="16">
        <v>0.05</v>
      </c>
      <c r="AD118" s="8">
        <f t="shared" si="40"/>
        <v>484</v>
      </c>
      <c r="AE118" s="17">
        <f t="shared" si="41"/>
        <v>11496</v>
      </c>
      <c r="AF118" s="18">
        <f t="shared" si="42"/>
        <v>1818</v>
      </c>
      <c r="AG118" s="19">
        <f t="shared" si="43"/>
        <v>0.18784872907625538</v>
      </c>
      <c r="AH118" s="20">
        <v>14</v>
      </c>
      <c r="AI118" s="20">
        <v>450</v>
      </c>
      <c r="AJ118" s="20"/>
      <c r="AK118" s="20">
        <v>688</v>
      </c>
      <c r="AL118" s="20">
        <f t="shared" si="44"/>
        <v>167032</v>
      </c>
      <c r="AM118" s="7">
        <v>3</v>
      </c>
      <c r="AN118" s="20"/>
      <c r="AO118" s="21" t="s">
        <v>1466</v>
      </c>
      <c r="AP118" s="21" t="s">
        <v>239</v>
      </c>
      <c r="AQ118" s="5" t="s">
        <v>1444</v>
      </c>
      <c r="AR118" s="5" t="s">
        <v>164</v>
      </c>
      <c r="AS118" s="5" t="s">
        <v>59</v>
      </c>
      <c r="AT118" s="20"/>
      <c r="AU118" s="21"/>
      <c r="AV118" s="21"/>
      <c r="AW118" s="144" t="str">
        <f t="shared" si="45"/>
        <v>OK</v>
      </c>
      <c r="AX118" s="21" t="s">
        <v>3129</v>
      </c>
      <c r="AY118" s="21" t="s">
        <v>3132</v>
      </c>
      <c r="AZ118" s="21"/>
      <c r="BA118" s="21"/>
    </row>
    <row r="119" spans="1:53" ht="20" customHeight="1">
      <c r="A119" s="86" t="s">
        <v>318</v>
      </c>
      <c r="B119" s="372" t="s">
        <v>2449</v>
      </c>
      <c r="C119" s="5" t="s">
        <v>51</v>
      </c>
      <c r="D119" s="5" t="s">
        <v>52</v>
      </c>
      <c r="E119" s="5" t="s">
        <v>1604</v>
      </c>
      <c r="F119" s="5" t="s">
        <v>1467</v>
      </c>
      <c r="G119" s="5" t="s">
        <v>1468</v>
      </c>
      <c r="H119" s="6">
        <v>44113</v>
      </c>
      <c r="I119" s="5" t="s">
        <v>82</v>
      </c>
      <c r="J119" s="5" t="s">
        <v>1469</v>
      </c>
      <c r="K119" s="5" t="s">
        <v>84</v>
      </c>
      <c r="L119" s="7">
        <v>2</v>
      </c>
      <c r="M119" s="7">
        <v>4</v>
      </c>
      <c r="N119" s="8">
        <v>9350</v>
      </c>
      <c r="O119" s="9">
        <v>3.7500000000000006E-2</v>
      </c>
      <c r="P119" s="10">
        <f t="shared" si="32"/>
        <v>351</v>
      </c>
      <c r="Q119" s="9">
        <v>1.55E-2</v>
      </c>
      <c r="R119" s="10">
        <f t="shared" si="33"/>
        <v>145</v>
      </c>
      <c r="S119" s="9">
        <f t="shared" si="34"/>
        <v>5.3048128342245988E-2</v>
      </c>
      <c r="T119" s="10">
        <f t="shared" si="35"/>
        <v>496</v>
      </c>
      <c r="U119" s="10">
        <f t="shared" si="36"/>
        <v>9846</v>
      </c>
      <c r="V119" s="11">
        <f t="shared" si="37"/>
        <v>9846</v>
      </c>
      <c r="W119" s="12">
        <f t="shared" si="38"/>
        <v>496</v>
      </c>
      <c r="X119" s="13">
        <f t="shared" si="31"/>
        <v>5.2999999999999999E-2</v>
      </c>
      <c r="Y119" s="14" t="str">
        <f t="shared" si="39"/>
        <v>4.24%-6.37%</v>
      </c>
      <c r="Z119" s="15" t="s">
        <v>87</v>
      </c>
      <c r="AA119" s="15" t="s">
        <v>1465</v>
      </c>
      <c r="AB119" s="15" t="s">
        <v>139</v>
      </c>
      <c r="AC119" s="16">
        <v>0.1</v>
      </c>
      <c r="AD119" s="8">
        <f t="shared" si="40"/>
        <v>935</v>
      </c>
      <c r="AE119" s="17">
        <f t="shared" si="41"/>
        <v>10781</v>
      </c>
      <c r="AF119" s="18">
        <f t="shared" si="42"/>
        <v>1431</v>
      </c>
      <c r="AG119" s="19">
        <f t="shared" si="43"/>
        <v>0.15304812834224601</v>
      </c>
      <c r="AH119" s="20">
        <v>14</v>
      </c>
      <c r="AI119" s="20">
        <v>450</v>
      </c>
      <c r="AJ119" s="20"/>
      <c r="AK119" s="20">
        <v>688</v>
      </c>
      <c r="AL119" s="20">
        <f t="shared" si="44"/>
        <v>157022</v>
      </c>
      <c r="AM119" s="7">
        <v>4</v>
      </c>
      <c r="AN119" s="20"/>
      <c r="AO119" s="21" t="s">
        <v>1470</v>
      </c>
      <c r="AP119" s="21" t="s">
        <v>90</v>
      </c>
      <c r="AQ119" s="5" t="s">
        <v>1444</v>
      </c>
      <c r="AR119" s="5" t="s">
        <v>164</v>
      </c>
      <c r="AS119" s="5" t="s">
        <v>59</v>
      </c>
      <c r="AT119" s="20"/>
      <c r="AU119" s="21"/>
      <c r="AV119" s="21"/>
      <c r="AW119" s="144" t="str">
        <f t="shared" si="45"/>
        <v>OK</v>
      </c>
      <c r="AX119" s="21" t="s">
        <v>3131</v>
      </c>
      <c r="AY119" s="21" t="s">
        <v>3130</v>
      </c>
      <c r="AZ119" s="21"/>
      <c r="BA119" s="21"/>
    </row>
    <row r="120" spans="1:53" ht="20" customHeight="1">
      <c r="A120" s="86" t="s">
        <v>318</v>
      </c>
      <c r="B120" s="372" t="s">
        <v>2450</v>
      </c>
      <c r="C120" s="5" t="s">
        <v>51</v>
      </c>
      <c r="D120" s="5" t="s">
        <v>52</v>
      </c>
      <c r="E120" s="5" t="s">
        <v>1604</v>
      </c>
      <c r="F120" s="5" t="s">
        <v>1441</v>
      </c>
      <c r="G120" s="5" t="s">
        <v>1464</v>
      </c>
      <c r="H120" s="6">
        <v>39664</v>
      </c>
      <c r="I120" s="5" t="s">
        <v>82</v>
      </c>
      <c r="J120" s="5" t="s">
        <v>1471</v>
      </c>
      <c r="K120" s="5" t="s">
        <v>84</v>
      </c>
      <c r="L120" s="7">
        <v>2</v>
      </c>
      <c r="M120" s="7">
        <v>3</v>
      </c>
      <c r="N120" s="8">
        <v>7416</v>
      </c>
      <c r="O120" s="9">
        <v>0.03</v>
      </c>
      <c r="P120" s="10">
        <f t="shared" si="32"/>
        <v>222</v>
      </c>
      <c r="Q120" s="9">
        <v>0</v>
      </c>
      <c r="R120" s="10">
        <f t="shared" si="33"/>
        <v>0</v>
      </c>
      <c r="S120" s="9">
        <f t="shared" si="34"/>
        <v>2.9935275080906147E-2</v>
      </c>
      <c r="T120" s="10">
        <f t="shared" si="35"/>
        <v>222</v>
      </c>
      <c r="U120" s="10">
        <f t="shared" si="36"/>
        <v>7638</v>
      </c>
      <c r="V120" s="11">
        <f t="shared" si="37"/>
        <v>7638</v>
      </c>
      <c r="W120" s="12">
        <f t="shared" si="38"/>
        <v>222</v>
      </c>
      <c r="X120" s="13">
        <f t="shared" si="31"/>
        <v>2.9899999999999999E-2</v>
      </c>
      <c r="Y120" s="14" t="str">
        <f t="shared" si="39"/>
        <v>2.39%-3.59%</v>
      </c>
      <c r="Z120" s="15"/>
      <c r="AA120" s="15"/>
      <c r="AB120" s="15"/>
      <c r="AC120" s="16"/>
      <c r="AD120" s="8">
        <f t="shared" si="40"/>
        <v>0</v>
      </c>
      <c r="AE120" s="17">
        <f t="shared" si="41"/>
        <v>7638</v>
      </c>
      <c r="AF120" s="18">
        <f t="shared" si="42"/>
        <v>222</v>
      </c>
      <c r="AG120" s="19">
        <f t="shared" si="43"/>
        <v>2.9935275080906099E-2</v>
      </c>
      <c r="AH120" s="20">
        <v>14</v>
      </c>
      <c r="AI120" s="20">
        <v>450</v>
      </c>
      <c r="AJ120" s="20"/>
      <c r="AK120" s="20">
        <v>688</v>
      </c>
      <c r="AL120" s="20">
        <f t="shared" si="44"/>
        <v>113020</v>
      </c>
      <c r="AM120" s="7">
        <v>3</v>
      </c>
      <c r="AN120" s="20"/>
      <c r="AO120" s="21"/>
      <c r="AP120" s="21"/>
      <c r="AQ120" s="5" t="s">
        <v>1444</v>
      </c>
      <c r="AR120" s="5" t="s">
        <v>164</v>
      </c>
      <c r="AS120" s="5" t="s">
        <v>59</v>
      </c>
      <c r="AT120" s="20"/>
      <c r="AU120" s="21"/>
      <c r="AV120" s="21"/>
      <c r="AW120" s="144" t="str">
        <f t="shared" si="45"/>
        <v>OK</v>
      </c>
      <c r="AX120" s="21" t="s">
        <v>3129</v>
      </c>
      <c r="AY120" s="21" t="s">
        <v>3132</v>
      </c>
      <c r="AZ120" s="21"/>
      <c r="BA120" s="21"/>
    </row>
    <row r="121" spans="1:53" ht="20" customHeight="1">
      <c r="A121" s="86" t="s">
        <v>318</v>
      </c>
      <c r="B121" s="372" t="s">
        <v>2451</v>
      </c>
      <c r="C121" s="5" t="s">
        <v>51</v>
      </c>
      <c r="D121" s="5" t="s">
        <v>52</v>
      </c>
      <c r="E121" s="5" t="s">
        <v>1604</v>
      </c>
      <c r="F121" s="5" t="s">
        <v>1445</v>
      </c>
      <c r="G121" s="5" t="s">
        <v>1442</v>
      </c>
      <c r="H121" s="6">
        <v>45962</v>
      </c>
      <c r="I121" s="5" t="s">
        <v>55</v>
      </c>
      <c r="J121" s="5" t="s">
        <v>55</v>
      </c>
      <c r="K121" s="5" t="s">
        <v>56</v>
      </c>
      <c r="L121" s="7">
        <v>2</v>
      </c>
      <c r="M121" s="7" t="s">
        <v>176</v>
      </c>
      <c r="N121" s="8">
        <v>31350</v>
      </c>
      <c r="O121" s="9">
        <v>0</v>
      </c>
      <c r="P121" s="10">
        <f t="shared" si="32"/>
        <v>0</v>
      </c>
      <c r="Q121" s="9">
        <v>0</v>
      </c>
      <c r="R121" s="10">
        <f t="shared" si="33"/>
        <v>0</v>
      </c>
      <c r="S121" s="9">
        <f t="shared" si="34"/>
        <v>0</v>
      </c>
      <c r="T121" s="10">
        <f t="shared" si="35"/>
        <v>0</v>
      </c>
      <c r="U121" s="10">
        <f t="shared" si="36"/>
        <v>31350</v>
      </c>
      <c r="V121" s="11">
        <f t="shared" si="37"/>
        <v>31350</v>
      </c>
      <c r="W121" s="12">
        <f t="shared" si="38"/>
        <v>0</v>
      </c>
      <c r="X121" s="13">
        <f t="shared" si="31"/>
        <v>0</v>
      </c>
      <c r="Y121" s="14" t="str">
        <f t="shared" si="39"/>
        <v>0.00%-0.00%</v>
      </c>
      <c r="Z121" s="15"/>
      <c r="AA121" s="15"/>
      <c r="AB121" s="15"/>
      <c r="AC121" s="16"/>
      <c r="AD121" s="8">
        <f t="shared" si="40"/>
        <v>0</v>
      </c>
      <c r="AE121" s="17">
        <f t="shared" si="41"/>
        <v>31350</v>
      </c>
      <c r="AF121" s="18">
        <f t="shared" si="42"/>
        <v>0</v>
      </c>
      <c r="AG121" s="19">
        <f t="shared" si="43"/>
        <v>0</v>
      </c>
      <c r="AH121" s="20">
        <v>14</v>
      </c>
      <c r="AI121" s="20">
        <v>4212</v>
      </c>
      <c r="AJ121" s="20"/>
      <c r="AK121" s="20">
        <v>688</v>
      </c>
      <c r="AL121" s="20">
        <f t="shared" si="44"/>
        <v>490132</v>
      </c>
      <c r="AM121" s="7" t="e">
        <v>#N/A</v>
      </c>
      <c r="AN121" s="20"/>
      <c r="AO121" s="21"/>
      <c r="AP121" s="21"/>
      <c r="AQ121" s="5" t="s">
        <v>1444</v>
      </c>
      <c r="AR121" s="5" t="s">
        <v>164</v>
      </c>
      <c r="AS121" s="5" t="s">
        <v>59</v>
      </c>
      <c r="AT121" s="20"/>
      <c r="AU121" s="21"/>
      <c r="AV121" s="21"/>
      <c r="AW121" s="144" t="str">
        <f t="shared" si="45"/>
        <v>OK</v>
      </c>
      <c r="AX121" s="21" t="s">
        <v>3133</v>
      </c>
      <c r="AY121" s="21">
        <v>0</v>
      </c>
      <c r="AZ121" s="21"/>
      <c r="BA121" s="21"/>
    </row>
    <row r="122" spans="1:53" ht="20" customHeight="1">
      <c r="A122" s="86" t="s">
        <v>318</v>
      </c>
      <c r="B122" s="372" t="s">
        <v>2452</v>
      </c>
      <c r="C122" s="5" t="s">
        <v>51</v>
      </c>
      <c r="D122" s="5" t="s">
        <v>52</v>
      </c>
      <c r="E122" s="5" t="s">
        <v>1604</v>
      </c>
      <c r="F122" s="5" t="s">
        <v>1472</v>
      </c>
      <c r="G122" s="5" t="s">
        <v>1442</v>
      </c>
      <c r="H122" s="6">
        <v>42109</v>
      </c>
      <c r="I122" s="5" t="s">
        <v>111</v>
      </c>
      <c r="J122" s="5" t="s">
        <v>1473</v>
      </c>
      <c r="K122" s="5" t="s">
        <v>56</v>
      </c>
      <c r="L122" s="7">
        <v>2</v>
      </c>
      <c r="M122" s="7">
        <v>4</v>
      </c>
      <c r="N122" s="8">
        <v>25968</v>
      </c>
      <c r="O122" s="9">
        <v>3.7500000000000006E-2</v>
      </c>
      <c r="P122" s="10">
        <f t="shared" si="32"/>
        <v>974</v>
      </c>
      <c r="Q122" s="9">
        <v>0</v>
      </c>
      <c r="R122" s="10">
        <f t="shared" si="33"/>
        <v>0</v>
      </c>
      <c r="S122" s="9">
        <f t="shared" si="34"/>
        <v>3.7507701786814542E-2</v>
      </c>
      <c r="T122" s="10">
        <f t="shared" si="35"/>
        <v>974</v>
      </c>
      <c r="U122" s="10">
        <f t="shared" si="36"/>
        <v>26942</v>
      </c>
      <c r="V122" s="11">
        <f t="shared" si="37"/>
        <v>26942</v>
      </c>
      <c r="W122" s="12">
        <f t="shared" si="38"/>
        <v>974</v>
      </c>
      <c r="X122" s="13">
        <f t="shared" si="31"/>
        <v>3.7499999999999999E-2</v>
      </c>
      <c r="Y122" s="14" t="str">
        <f t="shared" si="39"/>
        <v>3.00%-4.50%</v>
      </c>
      <c r="Z122" s="15"/>
      <c r="AA122" s="15"/>
      <c r="AB122" s="15"/>
      <c r="AC122" s="16"/>
      <c r="AD122" s="8">
        <f t="shared" si="40"/>
        <v>0</v>
      </c>
      <c r="AE122" s="17">
        <f t="shared" si="41"/>
        <v>26942</v>
      </c>
      <c r="AF122" s="18">
        <f t="shared" si="42"/>
        <v>974</v>
      </c>
      <c r="AG122" s="19">
        <f t="shared" si="43"/>
        <v>3.7507701786814618E-2</v>
      </c>
      <c r="AH122" s="20">
        <v>14</v>
      </c>
      <c r="AI122" s="20">
        <v>450</v>
      </c>
      <c r="AJ122" s="20"/>
      <c r="AK122" s="20">
        <v>688</v>
      </c>
      <c r="AL122" s="20">
        <f t="shared" si="44"/>
        <v>383276</v>
      </c>
      <c r="AM122" s="7">
        <v>4</v>
      </c>
      <c r="AN122" s="20"/>
      <c r="AO122" s="21"/>
      <c r="AP122" s="21"/>
      <c r="AQ122" s="5" t="s">
        <v>1444</v>
      </c>
      <c r="AR122" s="5" t="s">
        <v>164</v>
      </c>
      <c r="AS122" s="5" t="s">
        <v>59</v>
      </c>
      <c r="AT122" s="20"/>
      <c r="AU122" s="21"/>
      <c r="AV122" s="21"/>
      <c r="AW122" s="144" t="str">
        <f t="shared" si="45"/>
        <v>OK</v>
      </c>
      <c r="AX122" s="21" t="s">
        <v>3135</v>
      </c>
      <c r="AY122" s="21" t="s">
        <v>3130</v>
      </c>
      <c r="AZ122" s="21"/>
      <c r="BA122" s="21"/>
    </row>
    <row r="123" spans="1:53" ht="20" customHeight="1">
      <c r="A123" s="86" t="s">
        <v>318</v>
      </c>
      <c r="B123" s="372" t="s">
        <v>2453</v>
      </c>
      <c r="C123" s="5" t="s">
        <v>51</v>
      </c>
      <c r="D123" s="5" t="s">
        <v>52</v>
      </c>
      <c r="E123" s="5" t="s">
        <v>1604</v>
      </c>
      <c r="F123" s="5" t="s">
        <v>1461</v>
      </c>
      <c r="G123" s="5" t="s">
        <v>1462</v>
      </c>
      <c r="H123" s="6">
        <v>40302</v>
      </c>
      <c r="I123" s="5" t="s">
        <v>111</v>
      </c>
      <c r="J123" s="5" t="s">
        <v>1474</v>
      </c>
      <c r="K123" s="5" t="s">
        <v>56</v>
      </c>
      <c r="L123" s="7">
        <v>2</v>
      </c>
      <c r="M123" s="7">
        <v>5</v>
      </c>
      <c r="N123" s="8">
        <v>17686</v>
      </c>
      <c r="O123" s="9">
        <v>0.06</v>
      </c>
      <c r="P123" s="10">
        <f t="shared" si="32"/>
        <v>1061</v>
      </c>
      <c r="Q123" s="9">
        <v>2.7E-2</v>
      </c>
      <c r="R123" s="10">
        <f t="shared" si="33"/>
        <v>478</v>
      </c>
      <c r="S123" s="9">
        <f t="shared" si="34"/>
        <v>8.7017980323419661E-2</v>
      </c>
      <c r="T123" s="10">
        <f t="shared" si="35"/>
        <v>1539</v>
      </c>
      <c r="U123" s="10">
        <f t="shared" si="36"/>
        <v>19225</v>
      </c>
      <c r="V123" s="11">
        <f t="shared" si="37"/>
        <v>19225</v>
      </c>
      <c r="W123" s="12">
        <f t="shared" si="38"/>
        <v>1539</v>
      </c>
      <c r="X123" s="13">
        <f t="shared" si="31"/>
        <v>8.6999999999999994E-2</v>
      </c>
      <c r="Y123" s="14" t="str">
        <f t="shared" si="39"/>
        <v>6.96%-10.44%</v>
      </c>
      <c r="Z123" s="15"/>
      <c r="AA123" s="15"/>
      <c r="AB123" s="15"/>
      <c r="AC123" s="16"/>
      <c r="AD123" s="8">
        <f t="shared" si="40"/>
        <v>0</v>
      </c>
      <c r="AE123" s="17">
        <f t="shared" si="41"/>
        <v>19225</v>
      </c>
      <c r="AF123" s="18">
        <f t="shared" si="42"/>
        <v>1539</v>
      </c>
      <c r="AG123" s="19">
        <f t="shared" si="43"/>
        <v>8.7017980323419675E-2</v>
      </c>
      <c r="AH123" s="20">
        <v>14</v>
      </c>
      <c r="AI123" s="20">
        <v>900</v>
      </c>
      <c r="AJ123" s="20"/>
      <c r="AK123" s="20">
        <v>688</v>
      </c>
      <c r="AL123" s="20">
        <f t="shared" si="44"/>
        <v>280638</v>
      </c>
      <c r="AM123" s="7">
        <v>4</v>
      </c>
      <c r="AN123" s="20"/>
      <c r="AO123" s="21"/>
      <c r="AP123" s="21"/>
      <c r="AQ123" s="5" t="s">
        <v>1444</v>
      </c>
      <c r="AR123" s="5" t="s">
        <v>164</v>
      </c>
      <c r="AS123" s="5" t="s">
        <v>59</v>
      </c>
      <c r="AT123" s="20"/>
      <c r="AU123" s="21"/>
      <c r="AV123" s="21"/>
      <c r="AW123" s="144" t="str">
        <f t="shared" si="45"/>
        <v>OK</v>
      </c>
      <c r="AX123" s="21" t="s">
        <v>3129</v>
      </c>
      <c r="AY123" s="21" t="s">
        <v>3132</v>
      </c>
      <c r="AZ123" s="21"/>
      <c r="BA123" s="21"/>
    </row>
    <row r="124" spans="1:53" ht="20" customHeight="1">
      <c r="A124" s="86" t="s">
        <v>318</v>
      </c>
      <c r="B124" s="372" t="s">
        <v>2454</v>
      </c>
      <c r="C124" s="5" t="s">
        <v>51</v>
      </c>
      <c r="D124" s="5" t="s">
        <v>52</v>
      </c>
      <c r="E124" s="5" t="s">
        <v>1604</v>
      </c>
      <c r="F124" s="5" t="s">
        <v>1475</v>
      </c>
      <c r="G124" s="5" t="s">
        <v>1476</v>
      </c>
      <c r="H124" s="6">
        <v>41443</v>
      </c>
      <c r="I124" s="5" t="s">
        <v>198</v>
      </c>
      <c r="J124" s="5" t="s">
        <v>1477</v>
      </c>
      <c r="K124" s="5" t="s">
        <v>199</v>
      </c>
      <c r="L124" s="7">
        <v>2</v>
      </c>
      <c r="M124" s="7">
        <v>5</v>
      </c>
      <c r="N124" s="8">
        <v>41560</v>
      </c>
      <c r="O124" s="9">
        <v>0.05</v>
      </c>
      <c r="P124" s="10">
        <f t="shared" si="32"/>
        <v>2078</v>
      </c>
      <c r="Q124" s="9">
        <v>2.7E-2</v>
      </c>
      <c r="R124" s="10">
        <f t="shared" si="33"/>
        <v>1122</v>
      </c>
      <c r="S124" s="9">
        <f t="shared" si="34"/>
        <v>7.6997112608277185E-2</v>
      </c>
      <c r="T124" s="10">
        <f t="shared" si="35"/>
        <v>3200</v>
      </c>
      <c r="U124" s="10">
        <f t="shared" si="36"/>
        <v>44760</v>
      </c>
      <c r="V124" s="11">
        <v>44055</v>
      </c>
      <c r="W124" s="12">
        <f t="shared" si="38"/>
        <v>2495</v>
      </c>
      <c r="X124" s="13">
        <f t="shared" si="31"/>
        <v>0.06</v>
      </c>
      <c r="Y124" s="14" t="str">
        <f t="shared" si="39"/>
        <v>6.16%-9.24%</v>
      </c>
      <c r="Z124" s="15"/>
      <c r="AA124" s="15"/>
      <c r="AB124" s="15"/>
      <c r="AC124" s="16"/>
      <c r="AD124" s="8">
        <f t="shared" si="40"/>
        <v>0</v>
      </c>
      <c r="AE124" s="17">
        <f t="shared" si="41"/>
        <v>44055</v>
      </c>
      <c r="AF124" s="18">
        <f t="shared" si="42"/>
        <v>2495</v>
      </c>
      <c r="AG124" s="19">
        <f t="shared" si="43"/>
        <v>6.0033686236766082E-2</v>
      </c>
      <c r="AH124" s="20">
        <v>14</v>
      </c>
      <c r="AI124" s="20">
        <v>450</v>
      </c>
      <c r="AJ124" s="20">
        <v>1000</v>
      </c>
      <c r="AK124" s="20">
        <v>688</v>
      </c>
      <c r="AL124" s="20">
        <f t="shared" si="44"/>
        <v>634858</v>
      </c>
      <c r="AM124" s="7">
        <v>5</v>
      </c>
      <c r="AN124" s="20"/>
      <c r="AO124" s="21" t="s">
        <v>128</v>
      </c>
      <c r="AP124" s="21" t="s">
        <v>128</v>
      </c>
      <c r="AQ124" s="5" t="s">
        <v>1444</v>
      </c>
      <c r="AR124" s="5" t="s">
        <v>164</v>
      </c>
      <c r="AS124" s="5" t="s">
        <v>59</v>
      </c>
      <c r="AT124" s="20"/>
      <c r="AU124" s="21"/>
      <c r="AV124" s="21"/>
      <c r="AW124" s="144" t="str">
        <f t="shared" si="45"/>
        <v>OK</v>
      </c>
      <c r="AX124" s="21" t="s">
        <v>3135</v>
      </c>
      <c r="AY124" s="21" t="s">
        <v>3130</v>
      </c>
      <c r="AZ124" s="21"/>
      <c r="BA124" s="21"/>
    </row>
    <row r="125" spans="1:53" ht="20" customHeight="1">
      <c r="A125" s="86" t="s">
        <v>318</v>
      </c>
      <c r="B125" s="372" t="s">
        <v>2455</v>
      </c>
      <c r="C125" s="5" t="s">
        <v>51</v>
      </c>
      <c r="D125" s="5" t="s">
        <v>52</v>
      </c>
      <c r="E125" s="5" t="s">
        <v>1604</v>
      </c>
      <c r="F125" s="5" t="s">
        <v>1472</v>
      </c>
      <c r="G125" s="5" t="s">
        <v>1442</v>
      </c>
      <c r="H125" s="6">
        <v>44235</v>
      </c>
      <c r="I125" s="5" t="s">
        <v>74</v>
      </c>
      <c r="J125" s="5" t="s">
        <v>74</v>
      </c>
      <c r="K125" s="5" t="s">
        <v>76</v>
      </c>
      <c r="L125" s="7">
        <v>2</v>
      </c>
      <c r="M125" s="7">
        <v>3</v>
      </c>
      <c r="N125" s="8">
        <v>12596</v>
      </c>
      <c r="O125" s="9">
        <v>2.5000000000000001E-2</v>
      </c>
      <c r="P125" s="10">
        <f t="shared" si="32"/>
        <v>315</v>
      </c>
      <c r="Q125" s="9">
        <v>0</v>
      </c>
      <c r="R125" s="10">
        <f t="shared" si="33"/>
        <v>0</v>
      </c>
      <c r="S125" s="9">
        <f t="shared" si="34"/>
        <v>2.500793902826294E-2</v>
      </c>
      <c r="T125" s="10">
        <f t="shared" si="35"/>
        <v>315</v>
      </c>
      <c r="U125" s="10">
        <f t="shared" si="36"/>
        <v>12911</v>
      </c>
      <c r="V125" s="11">
        <f t="shared" si="37"/>
        <v>12911</v>
      </c>
      <c r="W125" s="12">
        <f t="shared" si="38"/>
        <v>315</v>
      </c>
      <c r="X125" s="13">
        <f t="shared" si="31"/>
        <v>2.5000000000000001E-2</v>
      </c>
      <c r="Y125" s="14" t="str">
        <f t="shared" si="39"/>
        <v>2.00%-3.00%</v>
      </c>
      <c r="Z125" s="15"/>
      <c r="AA125" s="15"/>
      <c r="AB125" s="15"/>
      <c r="AC125" s="16"/>
      <c r="AD125" s="8">
        <f t="shared" si="40"/>
        <v>0</v>
      </c>
      <c r="AE125" s="17">
        <f t="shared" si="41"/>
        <v>12911</v>
      </c>
      <c r="AF125" s="18">
        <f t="shared" si="42"/>
        <v>315</v>
      </c>
      <c r="AG125" s="19">
        <f t="shared" si="43"/>
        <v>2.5007939028262927E-2</v>
      </c>
      <c r="AH125" s="20">
        <v>14</v>
      </c>
      <c r="AI125" s="20">
        <v>1850</v>
      </c>
      <c r="AJ125" s="20"/>
      <c r="AK125" s="20">
        <v>688</v>
      </c>
      <c r="AL125" s="20">
        <f t="shared" si="44"/>
        <v>203642</v>
      </c>
      <c r="AM125" s="7">
        <v>4</v>
      </c>
      <c r="AN125" s="20"/>
      <c r="AO125" s="21"/>
      <c r="AP125" s="21"/>
      <c r="AQ125" s="5" t="s">
        <v>1444</v>
      </c>
      <c r="AR125" s="5" t="s">
        <v>164</v>
      </c>
      <c r="AS125" s="5" t="s">
        <v>59</v>
      </c>
      <c r="AT125" s="20"/>
      <c r="AU125" s="21"/>
      <c r="AV125" s="21"/>
      <c r="AW125" s="144" t="str">
        <f t="shared" si="45"/>
        <v>OK</v>
      </c>
      <c r="AX125" s="21" t="s">
        <v>3131</v>
      </c>
      <c r="AY125" s="21" t="s">
        <v>3130</v>
      </c>
      <c r="AZ125" s="21"/>
      <c r="BA125" s="21"/>
    </row>
    <row r="126" spans="1:53" ht="20" customHeight="1">
      <c r="A126" s="86" t="s">
        <v>318</v>
      </c>
      <c r="B126" s="372" t="s">
        <v>2456</v>
      </c>
      <c r="C126" s="5" t="s">
        <v>51</v>
      </c>
      <c r="D126" s="5" t="s">
        <v>52</v>
      </c>
      <c r="E126" s="5" t="s">
        <v>1604</v>
      </c>
      <c r="F126" s="5" t="s">
        <v>1479</v>
      </c>
      <c r="G126" s="5" t="s">
        <v>1480</v>
      </c>
      <c r="H126" s="6">
        <v>44524</v>
      </c>
      <c r="I126" s="5" t="s">
        <v>82</v>
      </c>
      <c r="J126" s="5" t="s">
        <v>1481</v>
      </c>
      <c r="K126" s="5" t="s">
        <v>84</v>
      </c>
      <c r="L126" s="7">
        <v>2</v>
      </c>
      <c r="M126" s="7">
        <v>3</v>
      </c>
      <c r="N126" s="8">
        <v>8917</v>
      </c>
      <c r="O126" s="9">
        <v>0.03</v>
      </c>
      <c r="P126" s="10">
        <f t="shared" si="32"/>
        <v>268</v>
      </c>
      <c r="Q126" s="9">
        <v>0</v>
      </c>
      <c r="R126" s="10">
        <f t="shared" si="33"/>
        <v>0</v>
      </c>
      <c r="S126" s="9">
        <f t="shared" si="34"/>
        <v>3.0054951216776944E-2</v>
      </c>
      <c r="T126" s="10">
        <f t="shared" si="35"/>
        <v>268</v>
      </c>
      <c r="U126" s="10">
        <f t="shared" si="36"/>
        <v>9185</v>
      </c>
      <c r="V126" s="11">
        <f t="shared" si="37"/>
        <v>9185</v>
      </c>
      <c r="W126" s="12">
        <f t="shared" si="38"/>
        <v>268</v>
      </c>
      <c r="X126" s="13">
        <f t="shared" si="31"/>
        <v>3.0099999999999998E-2</v>
      </c>
      <c r="Y126" s="14" t="str">
        <f t="shared" si="39"/>
        <v>2.40%-3.61%</v>
      </c>
      <c r="Z126" s="15"/>
      <c r="AA126" s="15"/>
      <c r="AB126" s="15"/>
      <c r="AC126" s="16"/>
      <c r="AD126" s="8">
        <f t="shared" si="40"/>
        <v>0</v>
      </c>
      <c r="AE126" s="17">
        <f t="shared" si="41"/>
        <v>9185</v>
      </c>
      <c r="AF126" s="18">
        <f t="shared" si="42"/>
        <v>268</v>
      </c>
      <c r="AG126" s="19">
        <f t="shared" si="43"/>
        <v>3.0054951216776926E-2</v>
      </c>
      <c r="AH126" s="20">
        <v>14</v>
      </c>
      <c r="AI126" s="20">
        <v>450</v>
      </c>
      <c r="AJ126" s="20"/>
      <c r="AK126" s="20">
        <v>688</v>
      </c>
      <c r="AL126" s="20">
        <f t="shared" si="44"/>
        <v>134678</v>
      </c>
      <c r="AM126" s="7">
        <v>3</v>
      </c>
      <c r="AN126" s="20"/>
      <c r="AO126" s="21"/>
      <c r="AP126" s="21"/>
      <c r="AQ126" s="5" t="s">
        <v>1444</v>
      </c>
      <c r="AR126" s="5" t="s">
        <v>164</v>
      </c>
      <c r="AS126" s="5" t="s">
        <v>59</v>
      </c>
      <c r="AT126" s="20"/>
      <c r="AU126" s="21"/>
      <c r="AV126" s="21"/>
      <c r="AW126" s="144" t="str">
        <f t="shared" si="45"/>
        <v>OK</v>
      </c>
      <c r="AX126" s="21" t="s">
        <v>3131</v>
      </c>
      <c r="AY126" s="21" t="s">
        <v>3132</v>
      </c>
      <c r="AZ126" s="21"/>
      <c r="BA126" s="21"/>
    </row>
    <row r="127" spans="1:53" ht="20" customHeight="1">
      <c r="A127" s="86" t="s">
        <v>318</v>
      </c>
      <c r="B127" s="372" t="s">
        <v>2457</v>
      </c>
      <c r="C127" s="5" t="s">
        <v>51</v>
      </c>
      <c r="D127" s="5" t="s">
        <v>52</v>
      </c>
      <c r="E127" s="5" t="s">
        <v>1604</v>
      </c>
      <c r="F127" s="5" t="s">
        <v>1441</v>
      </c>
      <c r="G127" s="5" t="s">
        <v>1442</v>
      </c>
      <c r="H127" s="6">
        <v>37999</v>
      </c>
      <c r="I127" s="5" t="s">
        <v>82</v>
      </c>
      <c r="J127" s="5" t="s">
        <v>1482</v>
      </c>
      <c r="K127" s="5" t="s">
        <v>84</v>
      </c>
      <c r="L127" s="7">
        <v>2</v>
      </c>
      <c r="M127" s="7">
        <v>4</v>
      </c>
      <c r="N127" s="8">
        <v>8558</v>
      </c>
      <c r="O127" s="9">
        <v>3.7500000000000006E-2</v>
      </c>
      <c r="P127" s="10">
        <f t="shared" si="32"/>
        <v>321</v>
      </c>
      <c r="Q127" s="9">
        <v>1.55E-2</v>
      </c>
      <c r="R127" s="10">
        <f t="shared" si="33"/>
        <v>133</v>
      </c>
      <c r="S127" s="9">
        <f t="shared" si="34"/>
        <v>5.3049777985510631E-2</v>
      </c>
      <c r="T127" s="10">
        <f t="shared" si="35"/>
        <v>454</v>
      </c>
      <c r="U127" s="10">
        <f t="shared" si="36"/>
        <v>9012</v>
      </c>
      <c r="V127" s="11">
        <f t="shared" si="37"/>
        <v>9012</v>
      </c>
      <c r="W127" s="12">
        <f t="shared" si="38"/>
        <v>454</v>
      </c>
      <c r="X127" s="13">
        <f t="shared" ref="X127:X190" si="46">ROUND(V127/N127-1,4)</f>
        <v>5.2999999999999999E-2</v>
      </c>
      <c r="Y127" s="14" t="str">
        <f t="shared" si="39"/>
        <v>4.24%-6.37%</v>
      </c>
      <c r="Z127" s="15" t="s">
        <v>87</v>
      </c>
      <c r="AA127" s="15" t="s">
        <v>1465</v>
      </c>
      <c r="AB127" s="15" t="s">
        <v>139</v>
      </c>
      <c r="AC127" s="16">
        <v>0.1</v>
      </c>
      <c r="AD127" s="8">
        <f t="shared" si="40"/>
        <v>856</v>
      </c>
      <c r="AE127" s="17">
        <f t="shared" si="41"/>
        <v>9868</v>
      </c>
      <c r="AF127" s="18">
        <f t="shared" si="42"/>
        <v>1310</v>
      </c>
      <c r="AG127" s="19">
        <f t="shared" si="43"/>
        <v>0.15307314793175975</v>
      </c>
      <c r="AH127" s="20">
        <v>14</v>
      </c>
      <c r="AI127" s="20">
        <v>450</v>
      </c>
      <c r="AJ127" s="20"/>
      <c r="AK127" s="20">
        <v>688</v>
      </c>
      <c r="AL127" s="20">
        <f t="shared" si="44"/>
        <v>144240</v>
      </c>
      <c r="AM127" s="7">
        <v>4</v>
      </c>
      <c r="AN127" s="20"/>
      <c r="AO127" s="21" t="s">
        <v>1483</v>
      </c>
      <c r="AP127" s="21" t="s">
        <v>90</v>
      </c>
      <c r="AQ127" s="5" t="s">
        <v>1444</v>
      </c>
      <c r="AR127" s="5" t="s">
        <v>164</v>
      </c>
      <c r="AS127" s="5" t="s">
        <v>59</v>
      </c>
      <c r="AT127" s="20"/>
      <c r="AU127" s="21"/>
      <c r="AV127" s="21"/>
      <c r="AW127" s="144" t="str">
        <f t="shared" si="45"/>
        <v>OK</v>
      </c>
      <c r="AX127" s="21" t="s">
        <v>3139</v>
      </c>
      <c r="AY127" s="21" t="s">
        <v>3130</v>
      </c>
      <c r="AZ127" s="21"/>
      <c r="BA127" s="21"/>
    </row>
    <row r="128" spans="1:53" ht="20" customHeight="1">
      <c r="A128" s="86" t="s">
        <v>318</v>
      </c>
      <c r="B128" s="372" t="s">
        <v>2458</v>
      </c>
      <c r="C128" s="5" t="s">
        <v>51</v>
      </c>
      <c r="D128" s="5" t="s">
        <v>52</v>
      </c>
      <c r="E128" s="5" t="s">
        <v>1604</v>
      </c>
      <c r="F128" s="5" t="s">
        <v>1484</v>
      </c>
      <c r="G128" s="5" t="s">
        <v>1485</v>
      </c>
      <c r="H128" s="6">
        <v>42156</v>
      </c>
      <c r="I128" s="5" t="s">
        <v>198</v>
      </c>
      <c r="J128" s="5" t="s">
        <v>1486</v>
      </c>
      <c r="K128" s="5" t="s">
        <v>199</v>
      </c>
      <c r="L128" s="7">
        <v>2</v>
      </c>
      <c r="M128" s="7">
        <v>3</v>
      </c>
      <c r="N128" s="8">
        <v>22367</v>
      </c>
      <c r="O128" s="9">
        <v>3.5000000000000003E-2</v>
      </c>
      <c r="P128" s="10">
        <f t="shared" si="32"/>
        <v>783</v>
      </c>
      <c r="Q128" s="9">
        <v>0</v>
      </c>
      <c r="R128" s="10">
        <f t="shared" si="33"/>
        <v>0</v>
      </c>
      <c r="S128" s="9">
        <f t="shared" si="34"/>
        <v>3.5006929852014125E-2</v>
      </c>
      <c r="T128" s="10">
        <f t="shared" si="35"/>
        <v>783</v>
      </c>
      <c r="U128" s="10">
        <f t="shared" si="36"/>
        <v>23150</v>
      </c>
      <c r="V128" s="11">
        <v>23754</v>
      </c>
      <c r="W128" s="12">
        <f t="shared" si="38"/>
        <v>1387</v>
      </c>
      <c r="X128" s="13">
        <f t="shared" si="46"/>
        <v>6.2E-2</v>
      </c>
      <c r="Y128" s="14" t="str">
        <f t="shared" si="39"/>
        <v>2.80%-4.20%</v>
      </c>
      <c r="Z128" s="15"/>
      <c r="AA128" s="15"/>
      <c r="AB128" s="15"/>
      <c r="AC128" s="16"/>
      <c r="AD128" s="8">
        <f t="shared" si="40"/>
        <v>0</v>
      </c>
      <c r="AE128" s="17">
        <f t="shared" si="41"/>
        <v>23754</v>
      </c>
      <c r="AF128" s="18">
        <f t="shared" si="42"/>
        <v>1387</v>
      </c>
      <c r="AG128" s="19">
        <f t="shared" si="43"/>
        <v>6.201099834577728E-2</v>
      </c>
      <c r="AH128" s="20">
        <v>14</v>
      </c>
      <c r="AI128" s="20">
        <v>3950</v>
      </c>
      <c r="AJ128" s="20">
        <v>1000</v>
      </c>
      <c r="AK128" s="20">
        <v>688</v>
      </c>
      <c r="AL128" s="20">
        <f t="shared" si="44"/>
        <v>392644</v>
      </c>
      <c r="AM128" s="7">
        <v>3</v>
      </c>
      <c r="AN128" s="20"/>
      <c r="AO128" s="21" t="s">
        <v>1487</v>
      </c>
      <c r="AP128" s="21" t="s">
        <v>101</v>
      </c>
      <c r="AQ128" s="5" t="s">
        <v>1444</v>
      </c>
      <c r="AR128" s="5" t="s">
        <v>164</v>
      </c>
      <c r="AS128" s="5" t="s">
        <v>59</v>
      </c>
      <c r="AT128" s="20"/>
      <c r="AU128" s="21"/>
      <c r="AV128" s="21"/>
      <c r="AW128" s="144" t="str">
        <f t="shared" si="45"/>
        <v>&gt;20</v>
      </c>
      <c r="AX128" s="21" t="s">
        <v>3135</v>
      </c>
      <c r="AY128" s="21" t="s">
        <v>3141</v>
      </c>
      <c r="AZ128" s="21"/>
      <c r="BA128" s="21"/>
    </row>
    <row r="129" spans="1:53" ht="20" customHeight="1">
      <c r="A129" s="86" t="s">
        <v>318</v>
      </c>
      <c r="B129" s="372" t="s">
        <v>2459</v>
      </c>
      <c r="C129" s="5" t="s">
        <v>51</v>
      </c>
      <c r="D129" s="5" t="s">
        <v>52</v>
      </c>
      <c r="E129" s="5" t="s">
        <v>1604</v>
      </c>
      <c r="F129" s="5" t="s">
        <v>1467</v>
      </c>
      <c r="G129" s="5" t="s">
        <v>1468</v>
      </c>
      <c r="H129" s="6">
        <v>46001</v>
      </c>
      <c r="I129" s="5" t="s">
        <v>82</v>
      </c>
      <c r="J129" s="5" t="s">
        <v>1488</v>
      </c>
      <c r="K129" s="5" t="s">
        <v>84</v>
      </c>
      <c r="L129" s="7">
        <v>2</v>
      </c>
      <c r="M129" s="7" t="s">
        <v>176</v>
      </c>
      <c r="N129" s="8">
        <v>7700</v>
      </c>
      <c r="O129" s="9">
        <v>0.03</v>
      </c>
      <c r="P129" s="10">
        <f t="shared" si="32"/>
        <v>231</v>
      </c>
      <c r="Q129" s="9">
        <v>0</v>
      </c>
      <c r="R129" s="10">
        <f t="shared" si="33"/>
        <v>0</v>
      </c>
      <c r="S129" s="9">
        <f t="shared" si="34"/>
        <v>0.03</v>
      </c>
      <c r="T129" s="10">
        <f t="shared" si="35"/>
        <v>231</v>
      </c>
      <c r="U129" s="10">
        <f t="shared" si="36"/>
        <v>7931</v>
      </c>
      <c r="V129" s="11">
        <f t="shared" si="37"/>
        <v>7931</v>
      </c>
      <c r="W129" s="12">
        <f t="shared" si="38"/>
        <v>231</v>
      </c>
      <c r="X129" s="13">
        <f t="shared" si="46"/>
        <v>0.03</v>
      </c>
      <c r="Y129" s="14" t="str">
        <f t="shared" si="39"/>
        <v>2.40%-3.60%</v>
      </c>
      <c r="Z129" s="15"/>
      <c r="AA129" s="15"/>
      <c r="AB129" s="15"/>
      <c r="AC129" s="16"/>
      <c r="AD129" s="8">
        <f t="shared" si="40"/>
        <v>0</v>
      </c>
      <c r="AE129" s="17">
        <f t="shared" si="41"/>
        <v>7931</v>
      </c>
      <c r="AF129" s="18">
        <f t="shared" si="42"/>
        <v>231</v>
      </c>
      <c r="AG129" s="19">
        <f t="shared" si="43"/>
        <v>3.0000000000000027E-2</v>
      </c>
      <c r="AH129" s="20">
        <v>14</v>
      </c>
      <c r="AI129" s="20">
        <v>450</v>
      </c>
      <c r="AJ129" s="20"/>
      <c r="AK129" s="20">
        <v>688</v>
      </c>
      <c r="AL129" s="20">
        <f t="shared" si="44"/>
        <v>117122</v>
      </c>
      <c r="AM129" s="7" t="e">
        <v>#N/A</v>
      </c>
      <c r="AN129" s="20"/>
      <c r="AO129" s="21"/>
      <c r="AP129" s="21"/>
      <c r="AQ129" s="5" t="s">
        <v>1444</v>
      </c>
      <c r="AR129" s="5" t="s">
        <v>164</v>
      </c>
      <c r="AS129" s="5" t="s">
        <v>59</v>
      </c>
      <c r="AT129" s="20"/>
      <c r="AU129" s="21"/>
      <c r="AV129" s="21"/>
      <c r="AW129" s="144" t="str">
        <f t="shared" si="45"/>
        <v>OK</v>
      </c>
      <c r="AX129" s="21" t="s">
        <v>3131</v>
      </c>
      <c r="AY129" s="21">
        <v>0</v>
      </c>
      <c r="AZ129" s="21"/>
      <c r="BA129" s="21"/>
    </row>
    <row r="130" spans="1:53" ht="20" customHeight="1">
      <c r="A130" s="86" t="s">
        <v>318</v>
      </c>
      <c r="B130" s="372" t="s">
        <v>2460</v>
      </c>
      <c r="C130" s="5" t="s">
        <v>51</v>
      </c>
      <c r="D130" s="5" t="s">
        <v>52</v>
      </c>
      <c r="E130" s="5" t="s">
        <v>1604</v>
      </c>
      <c r="F130" s="5" t="s">
        <v>1489</v>
      </c>
      <c r="G130" s="5" t="s">
        <v>1485</v>
      </c>
      <c r="H130" s="6">
        <v>43173</v>
      </c>
      <c r="I130" s="5" t="s">
        <v>60</v>
      </c>
      <c r="J130" s="5" t="s">
        <v>60</v>
      </c>
      <c r="K130" s="5" t="s">
        <v>61</v>
      </c>
      <c r="L130" s="7">
        <v>2</v>
      </c>
      <c r="M130" s="7">
        <v>3</v>
      </c>
      <c r="N130" s="8">
        <v>13223</v>
      </c>
      <c r="O130" s="88">
        <v>0.03</v>
      </c>
      <c r="P130" s="10">
        <f t="shared" si="32"/>
        <v>397</v>
      </c>
      <c r="Q130" s="88">
        <v>0</v>
      </c>
      <c r="R130" s="10">
        <f t="shared" si="33"/>
        <v>0</v>
      </c>
      <c r="S130" s="88">
        <f t="shared" si="34"/>
        <v>3.002344399909249E-2</v>
      </c>
      <c r="T130" s="10">
        <f t="shared" si="35"/>
        <v>397</v>
      </c>
      <c r="U130" s="10">
        <f t="shared" si="36"/>
        <v>13620</v>
      </c>
      <c r="V130" s="11">
        <f t="shared" si="37"/>
        <v>13620</v>
      </c>
      <c r="W130" s="12">
        <f t="shared" si="38"/>
        <v>397</v>
      </c>
      <c r="X130" s="92">
        <f t="shared" si="46"/>
        <v>0.03</v>
      </c>
      <c r="Y130" s="93" t="str">
        <f t="shared" si="39"/>
        <v>2.40%-3.60%</v>
      </c>
      <c r="Z130" s="15"/>
      <c r="AA130" s="15"/>
      <c r="AB130" s="15"/>
      <c r="AC130" s="95"/>
      <c r="AD130" s="8">
        <f t="shared" si="40"/>
        <v>0</v>
      </c>
      <c r="AE130" s="17">
        <f t="shared" si="41"/>
        <v>13620</v>
      </c>
      <c r="AF130" s="18">
        <f t="shared" si="42"/>
        <v>397</v>
      </c>
      <c r="AG130" s="97">
        <f t="shared" si="43"/>
        <v>3.0023443999092514E-2</v>
      </c>
      <c r="AH130" s="20">
        <v>14</v>
      </c>
      <c r="AI130" s="20">
        <v>450</v>
      </c>
      <c r="AJ130" s="20"/>
      <c r="AK130" s="20">
        <v>688</v>
      </c>
      <c r="AL130" s="20">
        <f t="shared" si="44"/>
        <v>196768</v>
      </c>
      <c r="AM130" s="7">
        <v>5</v>
      </c>
      <c r="AN130" s="20"/>
      <c r="AO130" s="21"/>
      <c r="AP130" s="21"/>
      <c r="AQ130" s="5" t="s">
        <v>1490</v>
      </c>
      <c r="AR130" s="5" t="s">
        <v>164</v>
      </c>
      <c r="AS130" s="5" t="s">
        <v>247</v>
      </c>
      <c r="AT130" s="20"/>
      <c r="AU130" s="21"/>
      <c r="AV130" s="21"/>
      <c r="AW130" s="144" t="str">
        <f t="shared" si="45"/>
        <v>OK</v>
      </c>
      <c r="AX130" s="21" t="s">
        <v>3133</v>
      </c>
      <c r="AY130" s="21" t="s">
        <v>3132</v>
      </c>
      <c r="AZ130" s="21"/>
      <c r="BA130" s="21"/>
    </row>
    <row r="131" spans="1:53" ht="20" customHeight="1">
      <c r="A131" s="86" t="s">
        <v>318</v>
      </c>
      <c r="B131" s="372" t="s">
        <v>2461</v>
      </c>
      <c r="C131" s="5" t="s">
        <v>51</v>
      </c>
      <c r="D131" s="5" t="s">
        <v>52</v>
      </c>
      <c r="E131" s="5" t="s">
        <v>1604</v>
      </c>
      <c r="F131" s="5" t="s">
        <v>1489</v>
      </c>
      <c r="G131" s="5" t="s">
        <v>1485</v>
      </c>
      <c r="H131" s="6">
        <v>41814</v>
      </c>
      <c r="I131" s="5" t="s">
        <v>82</v>
      </c>
      <c r="J131" s="5" t="s">
        <v>82</v>
      </c>
      <c r="K131" s="5" t="s">
        <v>84</v>
      </c>
      <c r="L131" s="7">
        <v>2</v>
      </c>
      <c r="M131" s="7">
        <v>2</v>
      </c>
      <c r="N131" s="8">
        <v>7483</v>
      </c>
      <c r="O131" s="88">
        <v>0</v>
      </c>
      <c r="P131" s="10">
        <f t="shared" si="32"/>
        <v>0</v>
      </c>
      <c r="Q131" s="88">
        <v>0</v>
      </c>
      <c r="R131" s="10">
        <f t="shared" si="33"/>
        <v>0</v>
      </c>
      <c r="S131" s="88">
        <f t="shared" si="34"/>
        <v>0</v>
      </c>
      <c r="T131" s="10">
        <f t="shared" si="35"/>
        <v>0</v>
      </c>
      <c r="U131" s="10">
        <f t="shared" si="36"/>
        <v>7483</v>
      </c>
      <c r="V131" s="11">
        <f t="shared" si="37"/>
        <v>7483</v>
      </c>
      <c r="W131" s="12">
        <f t="shared" si="38"/>
        <v>0</v>
      </c>
      <c r="X131" s="92">
        <f t="shared" si="46"/>
        <v>0</v>
      </c>
      <c r="Y131" s="93" t="str">
        <f t="shared" si="39"/>
        <v>0.00%-0.00%</v>
      </c>
      <c r="Z131" s="15"/>
      <c r="AA131" s="15"/>
      <c r="AB131" s="15"/>
      <c r="AC131" s="95"/>
      <c r="AD131" s="8">
        <f t="shared" si="40"/>
        <v>0</v>
      </c>
      <c r="AE131" s="17">
        <f t="shared" si="41"/>
        <v>7483</v>
      </c>
      <c r="AF131" s="18">
        <f t="shared" si="42"/>
        <v>0</v>
      </c>
      <c r="AG131" s="97">
        <f t="shared" si="43"/>
        <v>0</v>
      </c>
      <c r="AH131" s="20">
        <v>14</v>
      </c>
      <c r="AI131" s="20">
        <v>450</v>
      </c>
      <c r="AJ131" s="20"/>
      <c r="AK131" s="20">
        <v>688</v>
      </c>
      <c r="AL131" s="20">
        <f t="shared" si="44"/>
        <v>110850</v>
      </c>
      <c r="AM131" s="7">
        <v>2</v>
      </c>
      <c r="AN131" s="20"/>
      <c r="AO131" s="21"/>
      <c r="AP131" s="21"/>
      <c r="AQ131" s="5" t="s">
        <v>1490</v>
      </c>
      <c r="AR131" s="5" t="s">
        <v>164</v>
      </c>
      <c r="AS131" s="5" t="s">
        <v>247</v>
      </c>
      <c r="AT131" s="20"/>
      <c r="AU131" s="21"/>
      <c r="AV131" s="21"/>
      <c r="AW131" s="144" t="str">
        <f t="shared" si="45"/>
        <v>OK</v>
      </c>
      <c r="AX131" s="21" t="s">
        <v>3135</v>
      </c>
      <c r="AY131" s="21">
        <v>0</v>
      </c>
      <c r="AZ131" s="21"/>
      <c r="BA131" s="21"/>
    </row>
    <row r="132" spans="1:53" ht="20" customHeight="1">
      <c r="A132" s="86" t="s">
        <v>318</v>
      </c>
      <c r="B132" s="372" t="s">
        <v>2462</v>
      </c>
      <c r="C132" s="5" t="s">
        <v>51</v>
      </c>
      <c r="D132" s="5" t="s">
        <v>52</v>
      </c>
      <c r="E132" s="5" t="s">
        <v>1604</v>
      </c>
      <c r="F132" s="5" t="s">
        <v>1489</v>
      </c>
      <c r="G132" s="5" t="s">
        <v>1485</v>
      </c>
      <c r="H132" s="6">
        <v>44279</v>
      </c>
      <c r="I132" s="5" t="s">
        <v>71</v>
      </c>
      <c r="J132" s="5" t="s">
        <v>1491</v>
      </c>
      <c r="K132" s="5" t="s">
        <v>61</v>
      </c>
      <c r="L132" s="7">
        <v>2</v>
      </c>
      <c r="M132" s="7">
        <v>4</v>
      </c>
      <c r="N132" s="8">
        <v>14753</v>
      </c>
      <c r="O132" s="88">
        <v>3.7500000000000006E-2</v>
      </c>
      <c r="P132" s="10">
        <f t="shared" ref="P132:P195" si="47">ROUND(N132*O132,0)</f>
        <v>553</v>
      </c>
      <c r="Q132" s="88">
        <v>1.55E-2</v>
      </c>
      <c r="R132" s="10">
        <f t="shared" ref="R132:R195" si="48">ROUND(N132*Q132,0)</f>
        <v>229</v>
      </c>
      <c r="S132" s="88">
        <f t="shared" ref="S132:S195" si="49">T132/N132</f>
        <v>5.300616823696875E-2</v>
      </c>
      <c r="T132" s="10">
        <f t="shared" ref="T132:T195" si="50">P132+R132</f>
        <v>782</v>
      </c>
      <c r="U132" s="10">
        <f t="shared" ref="U132:U195" si="51">N132+T132</f>
        <v>15535</v>
      </c>
      <c r="V132" s="11">
        <v>15378</v>
      </c>
      <c r="W132" s="12">
        <f t="shared" ref="W132:W195" si="52">V132-N132</f>
        <v>625</v>
      </c>
      <c r="X132" s="92">
        <f t="shared" si="46"/>
        <v>4.24E-2</v>
      </c>
      <c r="Y132" s="93" t="str">
        <f t="shared" si="39"/>
        <v>4.24%-6.36%</v>
      </c>
      <c r="Z132" s="15"/>
      <c r="AA132" s="15"/>
      <c r="AB132" s="15"/>
      <c r="AC132" s="95"/>
      <c r="AD132" s="8">
        <f t="shared" ref="AD132:AD195" si="53">ROUND(N132*AC132,0)</f>
        <v>0</v>
      </c>
      <c r="AE132" s="17">
        <f t="shared" ref="AE132:AE195" si="54">V132+AD132</f>
        <v>15378</v>
      </c>
      <c r="AF132" s="18">
        <f t="shared" ref="AF132:AF195" si="55">AE132-N132</f>
        <v>625</v>
      </c>
      <c r="AG132" s="97">
        <f t="shared" ref="AG132:AG195" si="56">AE132/N132-1</f>
        <v>4.2364264895275561E-2</v>
      </c>
      <c r="AH132" s="20">
        <v>14</v>
      </c>
      <c r="AI132" s="20">
        <v>4250</v>
      </c>
      <c r="AJ132" s="20"/>
      <c r="AK132" s="20">
        <v>688</v>
      </c>
      <c r="AL132" s="20">
        <f t="shared" ref="AL132:AL195" si="57">AE132*AH132+AI132*12+AK132+IF(AB132="",AJ132,IF(AB132="D",5000,IF(AB132="C",1000,0)))*12</f>
        <v>266980</v>
      </c>
      <c r="AM132" s="7">
        <v>4</v>
      </c>
      <c r="AN132" s="20"/>
      <c r="AO132" s="21"/>
      <c r="AP132" s="21"/>
      <c r="AQ132" s="5" t="s">
        <v>1490</v>
      </c>
      <c r="AR132" s="5" t="s">
        <v>164</v>
      </c>
      <c r="AS132" s="5" t="s">
        <v>247</v>
      </c>
      <c r="AT132" s="20"/>
      <c r="AU132" s="21"/>
      <c r="AV132" s="21"/>
      <c r="AW132" s="144" t="str">
        <f t="shared" si="45"/>
        <v>OK</v>
      </c>
      <c r="AX132" s="21" t="s">
        <v>3131</v>
      </c>
      <c r="AY132" s="21" t="s">
        <v>3130</v>
      </c>
      <c r="AZ132" s="21"/>
      <c r="BA132" s="21"/>
    </row>
    <row r="133" spans="1:53" ht="20" customHeight="1">
      <c r="A133" s="86" t="s">
        <v>318</v>
      </c>
      <c r="B133" s="372" t="s">
        <v>2463</v>
      </c>
      <c r="C133" s="5" t="s">
        <v>51</v>
      </c>
      <c r="D133" s="5" t="s">
        <v>52</v>
      </c>
      <c r="E133" s="5" t="s">
        <v>1604</v>
      </c>
      <c r="F133" s="5" t="s">
        <v>1484</v>
      </c>
      <c r="G133" s="5" t="s">
        <v>1485</v>
      </c>
      <c r="H133" s="6">
        <v>44300</v>
      </c>
      <c r="I133" s="5" t="s">
        <v>82</v>
      </c>
      <c r="J133" s="5" t="s">
        <v>1492</v>
      </c>
      <c r="K133" s="5" t="s">
        <v>84</v>
      </c>
      <c r="L133" s="7">
        <v>2</v>
      </c>
      <c r="M133" s="7">
        <v>4</v>
      </c>
      <c r="N133" s="8">
        <v>8306</v>
      </c>
      <c r="O133" s="88">
        <v>3.7500000000000006E-2</v>
      </c>
      <c r="P133" s="10">
        <f t="shared" si="47"/>
        <v>311</v>
      </c>
      <c r="Q133" s="88">
        <v>1.55E-2</v>
      </c>
      <c r="R133" s="10">
        <f t="shared" si="48"/>
        <v>129</v>
      </c>
      <c r="S133" s="88">
        <f t="shared" si="49"/>
        <v>5.2973753912834098E-2</v>
      </c>
      <c r="T133" s="10">
        <f t="shared" si="50"/>
        <v>440</v>
      </c>
      <c r="U133" s="10">
        <f t="shared" si="51"/>
        <v>8746</v>
      </c>
      <c r="V133" s="11">
        <v>8350</v>
      </c>
      <c r="W133" s="12">
        <f t="shared" si="52"/>
        <v>44</v>
      </c>
      <c r="X133" s="92">
        <f t="shared" si="46"/>
        <v>5.3E-3</v>
      </c>
      <c r="Y133" s="93" t="str">
        <f t="shared" si="39"/>
        <v>4.24%-6.36%</v>
      </c>
      <c r="Z133" s="15" t="s">
        <v>87</v>
      </c>
      <c r="AA133" s="15" t="s">
        <v>1465</v>
      </c>
      <c r="AB133" s="15" t="s">
        <v>139</v>
      </c>
      <c r="AC133" s="95">
        <v>7.2599999999999998E-2</v>
      </c>
      <c r="AD133" s="8">
        <f t="shared" si="53"/>
        <v>603</v>
      </c>
      <c r="AE133" s="17">
        <f t="shared" si="54"/>
        <v>8953</v>
      </c>
      <c r="AF133" s="18">
        <f t="shared" si="55"/>
        <v>647</v>
      </c>
      <c r="AG133" s="97">
        <f t="shared" si="56"/>
        <v>7.7895497230917377E-2</v>
      </c>
      <c r="AH133" s="20">
        <v>14</v>
      </c>
      <c r="AI133" s="20">
        <v>450</v>
      </c>
      <c r="AJ133" s="20"/>
      <c r="AK133" s="20">
        <v>688</v>
      </c>
      <c r="AL133" s="20">
        <f t="shared" si="57"/>
        <v>131430</v>
      </c>
      <c r="AM133" s="7">
        <v>3</v>
      </c>
      <c r="AN133" s="20"/>
      <c r="AO133" s="21" t="s">
        <v>1493</v>
      </c>
      <c r="AP133" s="21" t="s">
        <v>173</v>
      </c>
      <c r="AQ133" s="5" t="s">
        <v>1490</v>
      </c>
      <c r="AR133" s="5" t="s">
        <v>164</v>
      </c>
      <c r="AS133" s="5" t="s">
        <v>247</v>
      </c>
      <c r="AT133" s="20"/>
      <c r="AU133" s="21"/>
      <c r="AV133" s="21"/>
      <c r="AW133" s="144" t="str">
        <f t="shared" si="45"/>
        <v>&lt;20</v>
      </c>
      <c r="AX133" s="21" t="s">
        <v>3131</v>
      </c>
      <c r="AY133" s="21" t="s">
        <v>3130</v>
      </c>
      <c r="AZ133" s="21"/>
      <c r="BA133" s="21"/>
    </row>
    <row r="134" spans="1:53" ht="20" customHeight="1">
      <c r="A134" s="86" t="s">
        <v>318</v>
      </c>
      <c r="B134" s="372" t="s">
        <v>2464</v>
      </c>
      <c r="C134" s="5" t="s">
        <v>51</v>
      </c>
      <c r="D134" s="5" t="s">
        <v>52</v>
      </c>
      <c r="E134" s="5" t="s">
        <v>1604</v>
      </c>
      <c r="F134" s="5" t="s">
        <v>1494</v>
      </c>
      <c r="G134" s="5" t="s">
        <v>1495</v>
      </c>
      <c r="H134" s="6">
        <v>36735</v>
      </c>
      <c r="I134" s="5" t="s">
        <v>74</v>
      </c>
      <c r="J134" s="5" t="s">
        <v>1496</v>
      </c>
      <c r="K134" s="5" t="s">
        <v>76</v>
      </c>
      <c r="L134" s="7">
        <v>2</v>
      </c>
      <c r="M134" s="7">
        <v>3</v>
      </c>
      <c r="N134" s="8">
        <v>11741</v>
      </c>
      <c r="O134" s="88">
        <v>2.5000000000000001E-2</v>
      </c>
      <c r="P134" s="10">
        <f t="shared" si="47"/>
        <v>294</v>
      </c>
      <c r="Q134" s="88">
        <v>0</v>
      </c>
      <c r="R134" s="10">
        <f t="shared" si="48"/>
        <v>0</v>
      </c>
      <c r="S134" s="88">
        <f t="shared" si="49"/>
        <v>2.5040456519887573E-2</v>
      </c>
      <c r="T134" s="10">
        <f t="shared" si="50"/>
        <v>294</v>
      </c>
      <c r="U134" s="10">
        <f t="shared" si="51"/>
        <v>12035</v>
      </c>
      <c r="V134" s="11">
        <v>11976</v>
      </c>
      <c r="W134" s="12">
        <f t="shared" si="52"/>
        <v>235</v>
      </c>
      <c r="X134" s="92">
        <f t="shared" si="46"/>
        <v>0.02</v>
      </c>
      <c r="Y134" s="93" t="str">
        <f t="shared" si="39"/>
        <v>2.00%-3.00%</v>
      </c>
      <c r="Z134" s="15"/>
      <c r="AA134" s="15"/>
      <c r="AB134" s="15"/>
      <c r="AC134" s="95"/>
      <c r="AD134" s="8">
        <f t="shared" si="53"/>
        <v>0</v>
      </c>
      <c r="AE134" s="17">
        <f t="shared" si="54"/>
        <v>11976</v>
      </c>
      <c r="AF134" s="18">
        <f t="shared" si="55"/>
        <v>235</v>
      </c>
      <c r="AG134" s="97">
        <f t="shared" si="56"/>
        <v>2.0015330891746785E-2</v>
      </c>
      <c r="AH134" s="20">
        <v>14</v>
      </c>
      <c r="AI134" s="20">
        <v>450</v>
      </c>
      <c r="AJ134" s="20"/>
      <c r="AK134" s="20">
        <v>688</v>
      </c>
      <c r="AL134" s="20">
        <f t="shared" si="57"/>
        <v>173752</v>
      </c>
      <c r="AM134" s="7">
        <v>3</v>
      </c>
      <c r="AN134" s="20"/>
      <c r="AO134" s="21"/>
      <c r="AP134" s="21"/>
      <c r="AQ134" s="5" t="s">
        <v>1490</v>
      </c>
      <c r="AR134" s="5" t="s">
        <v>164</v>
      </c>
      <c r="AS134" s="5" t="s">
        <v>247</v>
      </c>
      <c r="AT134" s="20"/>
      <c r="AU134" s="21"/>
      <c r="AV134" s="21"/>
      <c r="AW134" s="144" t="str">
        <f t="shared" si="45"/>
        <v>OK</v>
      </c>
      <c r="AX134" s="21" t="s">
        <v>3139</v>
      </c>
      <c r="AY134" s="21" t="s">
        <v>3130</v>
      </c>
      <c r="AZ134" s="21"/>
      <c r="BA134" s="21"/>
    </row>
    <row r="135" spans="1:53" ht="20" customHeight="1">
      <c r="A135" s="86" t="s">
        <v>318</v>
      </c>
      <c r="B135" s="372" t="s">
        <v>2465</v>
      </c>
      <c r="C135" s="5" t="s">
        <v>51</v>
      </c>
      <c r="D135" s="5" t="s">
        <v>52</v>
      </c>
      <c r="E135" s="5" t="s">
        <v>1604</v>
      </c>
      <c r="F135" s="5" t="s">
        <v>1494</v>
      </c>
      <c r="G135" s="5" t="s">
        <v>1495</v>
      </c>
      <c r="H135" s="6">
        <v>38626</v>
      </c>
      <c r="I135" s="5" t="s">
        <v>82</v>
      </c>
      <c r="J135" s="5" t="s">
        <v>82</v>
      </c>
      <c r="K135" s="5" t="s">
        <v>84</v>
      </c>
      <c r="L135" s="7">
        <v>2</v>
      </c>
      <c r="M135" s="7">
        <v>3</v>
      </c>
      <c r="N135" s="8">
        <v>10072</v>
      </c>
      <c r="O135" s="88">
        <v>2.5000000000000001E-2</v>
      </c>
      <c r="P135" s="10">
        <f t="shared" si="47"/>
        <v>252</v>
      </c>
      <c r="Q135" s="88">
        <v>0</v>
      </c>
      <c r="R135" s="10">
        <f t="shared" si="48"/>
        <v>0</v>
      </c>
      <c r="S135" s="88">
        <f t="shared" si="49"/>
        <v>2.5019857029388404E-2</v>
      </c>
      <c r="T135" s="10">
        <f t="shared" si="50"/>
        <v>252</v>
      </c>
      <c r="U135" s="10">
        <f t="shared" si="51"/>
        <v>10324</v>
      </c>
      <c r="V135" s="11">
        <v>10273</v>
      </c>
      <c r="W135" s="12">
        <f t="shared" si="52"/>
        <v>201</v>
      </c>
      <c r="X135" s="92">
        <f t="shared" si="46"/>
        <v>0.02</v>
      </c>
      <c r="Y135" s="93" t="str">
        <f t="shared" si="39"/>
        <v>2.00%-3.00%</v>
      </c>
      <c r="Z135" s="15"/>
      <c r="AA135" s="15"/>
      <c r="AB135" s="15"/>
      <c r="AC135" s="95"/>
      <c r="AD135" s="8">
        <f t="shared" si="53"/>
        <v>0</v>
      </c>
      <c r="AE135" s="17">
        <f t="shared" si="54"/>
        <v>10273</v>
      </c>
      <c r="AF135" s="18">
        <f t="shared" si="55"/>
        <v>201</v>
      </c>
      <c r="AG135" s="97">
        <f t="shared" si="56"/>
        <v>1.995631453534541E-2</v>
      </c>
      <c r="AH135" s="20">
        <v>14</v>
      </c>
      <c r="AI135" s="20">
        <v>450</v>
      </c>
      <c r="AJ135" s="20"/>
      <c r="AK135" s="20">
        <v>688</v>
      </c>
      <c r="AL135" s="20">
        <f t="shared" si="57"/>
        <v>149910</v>
      </c>
      <c r="AM135" s="7">
        <v>3</v>
      </c>
      <c r="AN135" s="20"/>
      <c r="AO135" s="21"/>
      <c r="AP135" s="21"/>
      <c r="AQ135" s="5" t="s">
        <v>1490</v>
      </c>
      <c r="AR135" s="5" t="s">
        <v>164</v>
      </c>
      <c r="AS135" s="5" t="s">
        <v>247</v>
      </c>
      <c r="AT135" s="20"/>
      <c r="AU135" s="21"/>
      <c r="AV135" s="21"/>
      <c r="AW135" s="144" t="str">
        <f t="shared" si="45"/>
        <v>OK</v>
      </c>
      <c r="AX135" s="21" t="s">
        <v>3129</v>
      </c>
      <c r="AY135" s="21" t="s">
        <v>3130</v>
      </c>
      <c r="AZ135" s="21"/>
      <c r="BA135" s="21"/>
    </row>
    <row r="136" spans="1:53" ht="20" customHeight="1">
      <c r="A136" s="86" t="s">
        <v>318</v>
      </c>
      <c r="B136" s="372" t="s">
        <v>2466</v>
      </c>
      <c r="C136" s="5" t="s">
        <v>51</v>
      </c>
      <c r="D136" s="5" t="s">
        <v>52</v>
      </c>
      <c r="E136" s="5" t="s">
        <v>1604</v>
      </c>
      <c r="F136" s="5" t="s">
        <v>1494</v>
      </c>
      <c r="G136" s="5" t="s">
        <v>1495</v>
      </c>
      <c r="H136" s="6">
        <v>44323</v>
      </c>
      <c r="I136" s="5" t="s">
        <v>71</v>
      </c>
      <c r="J136" s="5" t="s">
        <v>1497</v>
      </c>
      <c r="K136" s="5" t="s">
        <v>61</v>
      </c>
      <c r="L136" s="7">
        <v>2</v>
      </c>
      <c r="M136" s="7">
        <v>5</v>
      </c>
      <c r="N136" s="8">
        <v>14434</v>
      </c>
      <c r="O136" s="88">
        <v>0.05</v>
      </c>
      <c r="P136" s="10">
        <f t="shared" si="47"/>
        <v>722</v>
      </c>
      <c r="Q136" s="88">
        <v>2.7E-2</v>
      </c>
      <c r="R136" s="10">
        <f t="shared" si="48"/>
        <v>390</v>
      </c>
      <c r="S136" s="88">
        <f t="shared" si="49"/>
        <v>7.7040321463211867E-2</v>
      </c>
      <c r="T136" s="10">
        <f t="shared" si="50"/>
        <v>1112</v>
      </c>
      <c r="U136" s="10">
        <f t="shared" si="51"/>
        <v>15546</v>
      </c>
      <c r="V136" s="11">
        <v>15330</v>
      </c>
      <c r="W136" s="12">
        <f t="shared" si="52"/>
        <v>896</v>
      </c>
      <c r="X136" s="92">
        <f t="shared" si="46"/>
        <v>6.2100000000000002E-2</v>
      </c>
      <c r="Y136" s="93" t="str">
        <f t="shared" si="39"/>
        <v>6.16%-9.24%</v>
      </c>
      <c r="Z136" s="15"/>
      <c r="AA136" s="15"/>
      <c r="AB136" s="15"/>
      <c r="AC136" s="95"/>
      <c r="AD136" s="8">
        <f t="shared" si="53"/>
        <v>0</v>
      </c>
      <c r="AE136" s="17">
        <f t="shared" si="54"/>
        <v>15330</v>
      </c>
      <c r="AF136" s="18">
        <f t="shared" si="55"/>
        <v>896</v>
      </c>
      <c r="AG136" s="97">
        <f t="shared" si="56"/>
        <v>6.2075654704170757E-2</v>
      </c>
      <c r="AH136" s="20">
        <v>14</v>
      </c>
      <c r="AI136" s="20">
        <v>450</v>
      </c>
      <c r="AJ136" s="20"/>
      <c r="AK136" s="20">
        <v>688</v>
      </c>
      <c r="AL136" s="20">
        <f t="shared" si="57"/>
        <v>220708</v>
      </c>
      <c r="AM136" s="7">
        <v>4</v>
      </c>
      <c r="AN136" s="20"/>
      <c r="AO136" s="21"/>
      <c r="AP136" s="21"/>
      <c r="AQ136" s="5" t="s">
        <v>1490</v>
      </c>
      <c r="AR136" s="5" t="s">
        <v>164</v>
      </c>
      <c r="AS136" s="5" t="s">
        <v>247</v>
      </c>
      <c r="AT136" s="20"/>
      <c r="AU136" s="21"/>
      <c r="AV136" s="21"/>
      <c r="AW136" s="144" t="str">
        <f t="shared" si="45"/>
        <v>OK</v>
      </c>
      <c r="AX136" s="21" t="s">
        <v>3131</v>
      </c>
      <c r="AY136" s="21" t="s">
        <v>3130</v>
      </c>
      <c r="AZ136" s="21"/>
      <c r="BA136" s="21"/>
    </row>
    <row r="137" spans="1:53" ht="20" customHeight="1">
      <c r="A137" s="86" t="s">
        <v>318</v>
      </c>
      <c r="B137" s="372" t="s">
        <v>2467</v>
      </c>
      <c r="C137" s="5" t="s">
        <v>51</v>
      </c>
      <c r="D137" s="5" t="s">
        <v>52</v>
      </c>
      <c r="E137" s="5" t="s">
        <v>1604</v>
      </c>
      <c r="F137" s="5" t="s">
        <v>1494</v>
      </c>
      <c r="G137" s="5" t="s">
        <v>1495</v>
      </c>
      <c r="H137" s="6">
        <v>40023</v>
      </c>
      <c r="I137" s="5" t="s">
        <v>82</v>
      </c>
      <c r="J137" s="5" t="s">
        <v>82</v>
      </c>
      <c r="K137" s="5" t="s">
        <v>84</v>
      </c>
      <c r="L137" s="7">
        <v>2</v>
      </c>
      <c r="M137" s="7">
        <v>3</v>
      </c>
      <c r="N137" s="8">
        <v>8741</v>
      </c>
      <c r="O137" s="88">
        <v>0.03</v>
      </c>
      <c r="P137" s="10">
        <f t="shared" si="47"/>
        <v>262</v>
      </c>
      <c r="Q137" s="88">
        <v>0</v>
      </c>
      <c r="R137" s="10">
        <f t="shared" si="48"/>
        <v>0</v>
      </c>
      <c r="S137" s="88">
        <f t="shared" si="49"/>
        <v>2.9973687221141746E-2</v>
      </c>
      <c r="T137" s="10">
        <f t="shared" si="50"/>
        <v>262</v>
      </c>
      <c r="U137" s="10">
        <f t="shared" si="51"/>
        <v>9003</v>
      </c>
      <c r="V137" s="11">
        <v>9000</v>
      </c>
      <c r="W137" s="12">
        <f t="shared" si="52"/>
        <v>259</v>
      </c>
      <c r="X137" s="92">
        <f t="shared" si="46"/>
        <v>2.9600000000000001E-2</v>
      </c>
      <c r="Y137" s="93" t="str">
        <f t="shared" si="39"/>
        <v>2.40%-3.60%</v>
      </c>
      <c r="Z137" s="15"/>
      <c r="AA137" s="15"/>
      <c r="AB137" s="15"/>
      <c r="AC137" s="95"/>
      <c r="AD137" s="8">
        <f t="shared" si="53"/>
        <v>0</v>
      </c>
      <c r="AE137" s="17">
        <f t="shared" si="54"/>
        <v>9000</v>
      </c>
      <c r="AF137" s="18">
        <f t="shared" si="55"/>
        <v>259</v>
      </c>
      <c r="AG137" s="97">
        <f t="shared" si="56"/>
        <v>2.9630477062120963E-2</v>
      </c>
      <c r="AH137" s="20">
        <v>14</v>
      </c>
      <c r="AI137" s="20">
        <v>450</v>
      </c>
      <c r="AJ137" s="20"/>
      <c r="AK137" s="20">
        <v>688</v>
      </c>
      <c r="AL137" s="20">
        <f t="shared" si="57"/>
        <v>132088</v>
      </c>
      <c r="AM137" s="7">
        <v>4</v>
      </c>
      <c r="AN137" s="20"/>
      <c r="AO137" s="21"/>
      <c r="AP137" s="21"/>
      <c r="AQ137" s="5" t="s">
        <v>1490</v>
      </c>
      <c r="AR137" s="5" t="s">
        <v>164</v>
      </c>
      <c r="AS137" s="5" t="s">
        <v>247</v>
      </c>
      <c r="AT137" s="20"/>
      <c r="AU137" s="21"/>
      <c r="AV137" s="21"/>
      <c r="AW137" s="144" t="str">
        <f t="shared" si="45"/>
        <v>OK</v>
      </c>
      <c r="AX137" s="21" t="s">
        <v>3129</v>
      </c>
      <c r="AY137" s="21" t="s">
        <v>3132</v>
      </c>
      <c r="AZ137" s="21"/>
      <c r="BA137" s="21"/>
    </row>
    <row r="138" spans="1:53" ht="20" customHeight="1">
      <c r="A138" s="86" t="s">
        <v>318</v>
      </c>
      <c r="B138" s="372" t="s">
        <v>2468</v>
      </c>
      <c r="C138" s="5" t="s">
        <v>51</v>
      </c>
      <c r="D138" s="5" t="s">
        <v>52</v>
      </c>
      <c r="E138" s="5" t="s">
        <v>1604</v>
      </c>
      <c r="F138" s="5" t="s">
        <v>1494</v>
      </c>
      <c r="G138" s="5" t="s">
        <v>1495</v>
      </c>
      <c r="H138" s="6">
        <v>40391</v>
      </c>
      <c r="I138" s="5" t="s">
        <v>74</v>
      </c>
      <c r="J138" s="5" t="s">
        <v>74</v>
      </c>
      <c r="K138" s="5" t="s">
        <v>76</v>
      </c>
      <c r="L138" s="7">
        <v>2</v>
      </c>
      <c r="M138" s="7">
        <v>3</v>
      </c>
      <c r="N138" s="8">
        <v>7103</v>
      </c>
      <c r="O138" s="88">
        <v>3.5000000000000003E-2</v>
      </c>
      <c r="P138" s="10">
        <f t="shared" si="47"/>
        <v>249</v>
      </c>
      <c r="Q138" s="88">
        <v>0</v>
      </c>
      <c r="R138" s="10">
        <f t="shared" si="48"/>
        <v>0</v>
      </c>
      <c r="S138" s="88">
        <f t="shared" si="49"/>
        <v>3.505561030550472E-2</v>
      </c>
      <c r="T138" s="10">
        <f t="shared" si="50"/>
        <v>249</v>
      </c>
      <c r="U138" s="10">
        <f t="shared" si="51"/>
        <v>7352</v>
      </c>
      <c r="V138" s="11">
        <v>7800</v>
      </c>
      <c r="W138" s="12">
        <f t="shared" si="52"/>
        <v>697</v>
      </c>
      <c r="X138" s="92">
        <f t="shared" si="46"/>
        <v>9.8100000000000007E-2</v>
      </c>
      <c r="Y138" s="93" t="str">
        <f t="shared" si="39"/>
        <v>2.80%-4.21%</v>
      </c>
      <c r="Z138" s="15"/>
      <c r="AA138" s="15"/>
      <c r="AB138" s="15"/>
      <c r="AC138" s="95"/>
      <c r="AD138" s="8">
        <f t="shared" si="53"/>
        <v>0</v>
      </c>
      <c r="AE138" s="17">
        <f t="shared" si="54"/>
        <v>7800</v>
      </c>
      <c r="AF138" s="18">
        <f t="shared" si="55"/>
        <v>697</v>
      </c>
      <c r="AG138" s="97">
        <f t="shared" si="56"/>
        <v>9.8127551738701912E-2</v>
      </c>
      <c r="AH138" s="20">
        <v>14</v>
      </c>
      <c r="AI138" s="20">
        <v>450</v>
      </c>
      <c r="AJ138" s="20"/>
      <c r="AK138" s="20">
        <v>688</v>
      </c>
      <c r="AL138" s="20">
        <f t="shared" si="57"/>
        <v>115288</v>
      </c>
      <c r="AM138" s="7">
        <v>3</v>
      </c>
      <c r="AN138" s="20"/>
      <c r="AO138" s="21" t="s">
        <v>1498</v>
      </c>
      <c r="AP138" s="21" t="s">
        <v>101</v>
      </c>
      <c r="AQ138" s="5" t="s">
        <v>1490</v>
      </c>
      <c r="AR138" s="5" t="s">
        <v>164</v>
      </c>
      <c r="AS138" s="5" t="s">
        <v>247</v>
      </c>
      <c r="AT138" s="20"/>
      <c r="AU138" s="21"/>
      <c r="AV138" s="21"/>
      <c r="AW138" s="144" t="str">
        <f t="shared" ref="AW138:AW201" si="58">_xlfn.LET(_xlpm.actual,X138,_xlpm.low,VALUE(_xlfn.TEXTBEFORE(Y138,"-")),_xlpm.high,VALUE(_xlfn.TEXTAFTER(Y138,"-")),IF(AND(_xlpm.actual=0,OR(_xlpm.low&lt;&gt;0,_xlpm.high&lt;&gt;0)),"0 increase",IF(_xlpm.actual&gt;_xlpm.high*1.2,"&gt;20",IF(_xlpm.actual&lt;_xlpm.low*0.8,"&lt;20","OK"))))</f>
        <v>&gt;20</v>
      </c>
      <c r="AX138" s="21" t="s">
        <v>3135</v>
      </c>
      <c r="AY138" s="21" t="s">
        <v>3141</v>
      </c>
      <c r="AZ138" s="21"/>
      <c r="BA138" s="21"/>
    </row>
    <row r="139" spans="1:53" ht="20" customHeight="1">
      <c r="A139" s="86" t="s">
        <v>318</v>
      </c>
      <c r="B139" s="372" t="s">
        <v>2469</v>
      </c>
      <c r="C139" s="5" t="s">
        <v>51</v>
      </c>
      <c r="D139" s="5" t="s">
        <v>52</v>
      </c>
      <c r="E139" s="5" t="s">
        <v>1604</v>
      </c>
      <c r="F139" s="5" t="s">
        <v>1479</v>
      </c>
      <c r="G139" s="5" t="s">
        <v>1480</v>
      </c>
      <c r="H139" s="6">
        <v>41460</v>
      </c>
      <c r="I139" s="5" t="s">
        <v>60</v>
      </c>
      <c r="J139" s="5" t="s">
        <v>60</v>
      </c>
      <c r="K139" s="5" t="s">
        <v>61</v>
      </c>
      <c r="L139" s="7">
        <v>2</v>
      </c>
      <c r="M139" s="7">
        <v>1</v>
      </c>
      <c r="N139" s="8">
        <v>13295</v>
      </c>
      <c r="O139" s="88">
        <v>0</v>
      </c>
      <c r="P139" s="10">
        <f t="shared" si="47"/>
        <v>0</v>
      </c>
      <c r="Q139" s="88">
        <v>0</v>
      </c>
      <c r="R139" s="10">
        <f t="shared" si="48"/>
        <v>0</v>
      </c>
      <c r="S139" s="88">
        <f t="shared" si="49"/>
        <v>0</v>
      </c>
      <c r="T139" s="10">
        <f t="shared" si="50"/>
        <v>0</v>
      </c>
      <c r="U139" s="10">
        <f t="shared" si="51"/>
        <v>13295</v>
      </c>
      <c r="V139" s="11">
        <f t="shared" si="37"/>
        <v>13295</v>
      </c>
      <c r="W139" s="12">
        <f t="shared" si="52"/>
        <v>0</v>
      </c>
      <c r="X139" s="92">
        <f t="shared" si="46"/>
        <v>0</v>
      </c>
      <c r="Y139" s="93" t="str">
        <f t="shared" si="39"/>
        <v>0.00%-0.00%</v>
      </c>
      <c r="Z139" s="15"/>
      <c r="AA139" s="15"/>
      <c r="AB139" s="15"/>
      <c r="AC139" s="95"/>
      <c r="AD139" s="8">
        <f t="shared" si="53"/>
        <v>0</v>
      </c>
      <c r="AE139" s="17">
        <f t="shared" si="54"/>
        <v>13295</v>
      </c>
      <c r="AF139" s="18">
        <f t="shared" si="55"/>
        <v>0</v>
      </c>
      <c r="AG139" s="97">
        <f t="shared" si="56"/>
        <v>0</v>
      </c>
      <c r="AH139" s="20">
        <v>14</v>
      </c>
      <c r="AI139" s="20">
        <v>450</v>
      </c>
      <c r="AJ139" s="20"/>
      <c r="AK139" s="20">
        <v>688</v>
      </c>
      <c r="AL139" s="20">
        <f t="shared" si="57"/>
        <v>192218</v>
      </c>
      <c r="AM139" s="7">
        <v>3</v>
      </c>
      <c r="AN139" s="20"/>
      <c r="AO139" s="21"/>
      <c r="AP139" s="21"/>
      <c r="AQ139" s="5" t="s">
        <v>1490</v>
      </c>
      <c r="AR139" s="5" t="s">
        <v>164</v>
      </c>
      <c r="AS139" s="5" t="s">
        <v>247</v>
      </c>
      <c r="AT139" s="20"/>
      <c r="AU139" s="21"/>
      <c r="AV139" s="21"/>
      <c r="AW139" s="144" t="str">
        <f t="shared" si="58"/>
        <v>OK</v>
      </c>
      <c r="AX139" s="21" t="s">
        <v>3135</v>
      </c>
      <c r="AY139" s="21">
        <v>0</v>
      </c>
      <c r="AZ139" s="21"/>
      <c r="BA139" s="21"/>
    </row>
    <row r="140" spans="1:53" ht="20" customHeight="1">
      <c r="A140" s="86" t="s">
        <v>318</v>
      </c>
      <c r="B140" s="372" t="s">
        <v>2470</v>
      </c>
      <c r="C140" s="5" t="s">
        <v>51</v>
      </c>
      <c r="D140" s="5" t="s">
        <v>52</v>
      </c>
      <c r="E140" s="5" t="s">
        <v>1604</v>
      </c>
      <c r="F140" s="5" t="s">
        <v>1499</v>
      </c>
      <c r="G140" s="5" t="s">
        <v>1480</v>
      </c>
      <c r="H140" s="6">
        <v>41814</v>
      </c>
      <c r="I140" s="5" t="s">
        <v>174</v>
      </c>
      <c r="J140" s="5" t="s">
        <v>174</v>
      </c>
      <c r="K140" s="5" t="s">
        <v>175</v>
      </c>
      <c r="L140" s="7">
        <v>2</v>
      </c>
      <c r="M140" s="7" t="s">
        <v>176</v>
      </c>
      <c r="N140" s="8">
        <v>5720</v>
      </c>
      <c r="O140" s="88">
        <v>2.5000000000000001E-2</v>
      </c>
      <c r="P140" s="10">
        <f t="shared" si="47"/>
        <v>143</v>
      </c>
      <c r="Q140" s="88">
        <v>0</v>
      </c>
      <c r="R140" s="10">
        <f t="shared" si="48"/>
        <v>0</v>
      </c>
      <c r="S140" s="88">
        <f t="shared" si="49"/>
        <v>2.5000000000000001E-2</v>
      </c>
      <c r="T140" s="10">
        <f t="shared" si="50"/>
        <v>143</v>
      </c>
      <c r="U140" s="10">
        <f t="shared" si="51"/>
        <v>5863</v>
      </c>
      <c r="V140" s="11">
        <v>6297</v>
      </c>
      <c r="W140" s="12">
        <f t="shared" si="52"/>
        <v>577</v>
      </c>
      <c r="X140" s="92">
        <f t="shared" si="46"/>
        <v>0.1009</v>
      </c>
      <c r="Y140" s="93" t="str">
        <f t="shared" si="39"/>
        <v>2.00%-3.00%</v>
      </c>
      <c r="Z140" s="15"/>
      <c r="AA140" s="15"/>
      <c r="AB140" s="15"/>
      <c r="AC140" s="95"/>
      <c r="AD140" s="8">
        <f t="shared" si="53"/>
        <v>0</v>
      </c>
      <c r="AE140" s="17">
        <f t="shared" si="54"/>
        <v>6297</v>
      </c>
      <c r="AF140" s="18">
        <f t="shared" si="55"/>
        <v>577</v>
      </c>
      <c r="AG140" s="97">
        <f t="shared" si="56"/>
        <v>0.10087412587412592</v>
      </c>
      <c r="AH140" s="20">
        <v>14</v>
      </c>
      <c r="AI140" s="20">
        <v>450</v>
      </c>
      <c r="AJ140" s="20"/>
      <c r="AK140" s="20">
        <v>688</v>
      </c>
      <c r="AL140" s="20">
        <f t="shared" si="57"/>
        <v>94246</v>
      </c>
      <c r="AM140" s="7" t="s">
        <v>176</v>
      </c>
      <c r="AN140" s="20"/>
      <c r="AO140" s="21" t="s">
        <v>1500</v>
      </c>
      <c r="AP140" s="21" t="s">
        <v>101</v>
      </c>
      <c r="AQ140" s="5" t="s">
        <v>1490</v>
      </c>
      <c r="AR140" s="5" t="s">
        <v>164</v>
      </c>
      <c r="AS140" s="5" t="s">
        <v>247</v>
      </c>
      <c r="AT140" s="20"/>
      <c r="AU140" s="21"/>
      <c r="AV140" s="21"/>
      <c r="AW140" s="144" t="str">
        <f t="shared" si="58"/>
        <v>&gt;20</v>
      </c>
      <c r="AX140" s="21" t="s">
        <v>3135</v>
      </c>
      <c r="AY140" s="21">
        <v>0</v>
      </c>
      <c r="AZ140" s="21"/>
      <c r="BA140" s="21"/>
    </row>
    <row r="141" spans="1:53" ht="20" customHeight="1">
      <c r="A141" s="86" t="s">
        <v>318</v>
      </c>
      <c r="B141" s="372" t="s">
        <v>2471</v>
      </c>
      <c r="C141" s="5" t="s">
        <v>51</v>
      </c>
      <c r="D141" s="5" t="s">
        <v>52</v>
      </c>
      <c r="E141" s="5" t="s">
        <v>1604</v>
      </c>
      <c r="F141" s="5" t="s">
        <v>1479</v>
      </c>
      <c r="G141" s="5" t="s">
        <v>1480</v>
      </c>
      <c r="H141" s="6">
        <v>42917</v>
      </c>
      <c r="I141" s="5" t="s">
        <v>174</v>
      </c>
      <c r="J141" s="5" t="s">
        <v>174</v>
      </c>
      <c r="K141" s="5" t="s">
        <v>175</v>
      </c>
      <c r="L141" s="7">
        <v>2</v>
      </c>
      <c r="M141" s="7">
        <v>3</v>
      </c>
      <c r="N141" s="8">
        <v>5745</v>
      </c>
      <c r="O141" s="88">
        <v>2.5000000000000001E-2</v>
      </c>
      <c r="P141" s="10">
        <f t="shared" si="47"/>
        <v>144</v>
      </c>
      <c r="Q141" s="88">
        <v>0</v>
      </c>
      <c r="R141" s="10">
        <f t="shared" si="48"/>
        <v>0</v>
      </c>
      <c r="S141" s="88">
        <f t="shared" si="49"/>
        <v>2.5065274151436032E-2</v>
      </c>
      <c r="T141" s="10">
        <f t="shared" si="50"/>
        <v>144</v>
      </c>
      <c r="U141" s="10">
        <f t="shared" si="51"/>
        <v>5889</v>
      </c>
      <c r="V141" s="11">
        <f t="shared" si="37"/>
        <v>5889</v>
      </c>
      <c r="W141" s="12">
        <f t="shared" si="52"/>
        <v>144</v>
      </c>
      <c r="X141" s="92">
        <f t="shared" si="46"/>
        <v>2.5100000000000001E-2</v>
      </c>
      <c r="Y141" s="93" t="str">
        <f t="shared" si="39"/>
        <v>2.01%-3.01%</v>
      </c>
      <c r="Z141" s="15"/>
      <c r="AA141" s="15"/>
      <c r="AB141" s="15"/>
      <c r="AC141" s="95"/>
      <c r="AD141" s="8">
        <f t="shared" si="53"/>
        <v>0</v>
      </c>
      <c r="AE141" s="17">
        <f t="shared" si="54"/>
        <v>5889</v>
      </c>
      <c r="AF141" s="18">
        <f t="shared" si="55"/>
        <v>144</v>
      </c>
      <c r="AG141" s="97">
        <f t="shared" si="56"/>
        <v>2.5065274151436112E-2</v>
      </c>
      <c r="AH141" s="20">
        <v>14</v>
      </c>
      <c r="AI141" s="20">
        <v>450</v>
      </c>
      <c r="AJ141" s="20"/>
      <c r="AK141" s="20">
        <v>688</v>
      </c>
      <c r="AL141" s="20">
        <f t="shared" si="57"/>
        <v>88534</v>
      </c>
      <c r="AM141" s="7">
        <v>3</v>
      </c>
      <c r="AN141" s="20"/>
      <c r="AO141" s="21"/>
      <c r="AP141" s="21"/>
      <c r="AQ141" s="5" t="s">
        <v>1490</v>
      </c>
      <c r="AR141" s="5" t="s">
        <v>164</v>
      </c>
      <c r="AS141" s="5" t="s">
        <v>247</v>
      </c>
      <c r="AT141" s="20"/>
      <c r="AU141" s="21"/>
      <c r="AV141" s="21"/>
      <c r="AW141" s="144" t="str">
        <f t="shared" si="58"/>
        <v>OK</v>
      </c>
      <c r="AX141" s="21" t="s">
        <v>3133</v>
      </c>
      <c r="AY141" s="21" t="s">
        <v>3130</v>
      </c>
      <c r="AZ141" s="21"/>
      <c r="BA141" s="21"/>
    </row>
    <row r="142" spans="1:53" ht="20" customHeight="1">
      <c r="A142" s="86" t="s">
        <v>318</v>
      </c>
      <c r="B142" s="372" t="s">
        <v>2472</v>
      </c>
      <c r="C142" s="5" t="s">
        <v>51</v>
      </c>
      <c r="D142" s="5" t="s">
        <v>52</v>
      </c>
      <c r="E142" s="5" t="s">
        <v>1604</v>
      </c>
      <c r="F142" s="5" t="s">
        <v>1501</v>
      </c>
      <c r="G142" s="5" t="s">
        <v>1450</v>
      </c>
      <c r="H142" s="6">
        <v>40725</v>
      </c>
      <c r="I142" s="5" t="s">
        <v>82</v>
      </c>
      <c r="J142" s="5" t="s">
        <v>1502</v>
      </c>
      <c r="K142" s="5" t="s">
        <v>84</v>
      </c>
      <c r="L142" s="7">
        <v>2</v>
      </c>
      <c r="M142" s="7">
        <v>4</v>
      </c>
      <c r="N142" s="8">
        <v>10342</v>
      </c>
      <c r="O142" s="9">
        <v>0.03</v>
      </c>
      <c r="P142" s="10">
        <f t="shared" si="47"/>
        <v>310</v>
      </c>
      <c r="Q142" s="9">
        <v>0</v>
      </c>
      <c r="R142" s="10">
        <f t="shared" si="48"/>
        <v>0</v>
      </c>
      <c r="S142" s="9">
        <f t="shared" si="49"/>
        <v>2.9974859795010637E-2</v>
      </c>
      <c r="T142" s="10">
        <f t="shared" si="50"/>
        <v>310</v>
      </c>
      <c r="U142" s="10">
        <f t="shared" si="51"/>
        <v>10652</v>
      </c>
      <c r="V142" s="11">
        <v>10342</v>
      </c>
      <c r="W142" s="12">
        <f t="shared" si="52"/>
        <v>0</v>
      </c>
      <c r="X142" s="13">
        <f t="shared" si="46"/>
        <v>0</v>
      </c>
      <c r="Y142" s="14" t="str">
        <f t="shared" si="39"/>
        <v>2.40%-3.60%</v>
      </c>
      <c r="Z142" s="15" t="s">
        <v>87</v>
      </c>
      <c r="AA142" s="15" t="s">
        <v>1465</v>
      </c>
      <c r="AB142" s="15" t="s">
        <v>139</v>
      </c>
      <c r="AC142" s="16">
        <v>0.16800000000000001</v>
      </c>
      <c r="AD142" s="8">
        <f t="shared" si="53"/>
        <v>1737</v>
      </c>
      <c r="AE142" s="17">
        <f t="shared" si="54"/>
        <v>12079</v>
      </c>
      <c r="AF142" s="18">
        <f t="shared" si="55"/>
        <v>1737</v>
      </c>
      <c r="AG142" s="19">
        <f t="shared" si="56"/>
        <v>0.1679559079481725</v>
      </c>
      <c r="AH142" s="20">
        <v>14</v>
      </c>
      <c r="AI142" s="20">
        <v>450</v>
      </c>
      <c r="AJ142" s="20"/>
      <c r="AK142" s="20">
        <v>688</v>
      </c>
      <c r="AL142" s="20">
        <f t="shared" si="57"/>
        <v>175194</v>
      </c>
      <c r="AM142" s="7">
        <v>3</v>
      </c>
      <c r="AN142" s="20"/>
      <c r="AO142" s="21" t="s">
        <v>1503</v>
      </c>
      <c r="AP142" s="21" t="s">
        <v>173</v>
      </c>
      <c r="AQ142" s="5" t="s">
        <v>1504</v>
      </c>
      <c r="AR142" s="5" t="s">
        <v>164</v>
      </c>
      <c r="AS142" s="5" t="s">
        <v>59</v>
      </c>
      <c r="AT142" s="20"/>
      <c r="AU142" s="21"/>
      <c r="AV142" s="21"/>
      <c r="AW142" s="144" t="str">
        <f t="shared" si="58"/>
        <v>0 increase</v>
      </c>
      <c r="AX142" s="21" t="s">
        <v>3135</v>
      </c>
      <c r="AY142" s="21" t="s">
        <v>3136</v>
      </c>
      <c r="AZ142" s="21"/>
      <c r="BA142" s="21"/>
    </row>
    <row r="143" spans="1:53" ht="20" customHeight="1">
      <c r="A143" s="86" t="s">
        <v>318</v>
      </c>
      <c r="B143" s="372" t="s">
        <v>2473</v>
      </c>
      <c r="C143" s="5" t="s">
        <v>51</v>
      </c>
      <c r="D143" s="5" t="s">
        <v>52</v>
      </c>
      <c r="E143" s="5" t="s">
        <v>1604</v>
      </c>
      <c r="F143" s="5" t="s">
        <v>1501</v>
      </c>
      <c r="G143" s="5" t="s">
        <v>1450</v>
      </c>
      <c r="H143" s="6">
        <v>42893</v>
      </c>
      <c r="I143" s="5" t="s">
        <v>74</v>
      </c>
      <c r="J143" s="5" t="s">
        <v>74</v>
      </c>
      <c r="K143" s="5" t="s">
        <v>76</v>
      </c>
      <c r="L143" s="7">
        <v>2</v>
      </c>
      <c r="M143" s="7">
        <v>3</v>
      </c>
      <c r="N143" s="8">
        <v>19088</v>
      </c>
      <c r="O143" s="9">
        <v>0</v>
      </c>
      <c r="P143" s="10">
        <f t="shared" si="47"/>
        <v>0</v>
      </c>
      <c r="Q143" s="9">
        <v>0</v>
      </c>
      <c r="R143" s="10">
        <f t="shared" si="48"/>
        <v>0</v>
      </c>
      <c r="S143" s="9">
        <f t="shared" si="49"/>
        <v>0</v>
      </c>
      <c r="T143" s="10">
        <f t="shared" si="50"/>
        <v>0</v>
      </c>
      <c r="U143" s="10">
        <f t="shared" si="51"/>
        <v>19088</v>
      </c>
      <c r="V143" s="11">
        <f t="shared" ref="V143:V164" si="59">U143</f>
        <v>19088</v>
      </c>
      <c r="W143" s="12">
        <f t="shared" si="52"/>
        <v>0</v>
      </c>
      <c r="X143" s="13">
        <f t="shared" si="46"/>
        <v>0</v>
      </c>
      <c r="Y143" s="14" t="str">
        <f t="shared" si="39"/>
        <v>0.00%-0.00%</v>
      </c>
      <c r="Z143" s="15"/>
      <c r="AA143" s="15"/>
      <c r="AB143" s="15"/>
      <c r="AC143" s="16"/>
      <c r="AD143" s="8">
        <f t="shared" si="53"/>
        <v>0</v>
      </c>
      <c r="AE143" s="17">
        <f t="shared" si="54"/>
        <v>19088</v>
      </c>
      <c r="AF143" s="18">
        <f t="shared" si="55"/>
        <v>0</v>
      </c>
      <c r="AG143" s="19">
        <f t="shared" si="56"/>
        <v>0</v>
      </c>
      <c r="AH143" s="20">
        <v>14</v>
      </c>
      <c r="AI143" s="20">
        <v>450</v>
      </c>
      <c r="AJ143" s="20"/>
      <c r="AK143" s="20">
        <v>688</v>
      </c>
      <c r="AL143" s="20">
        <f t="shared" si="57"/>
        <v>273320</v>
      </c>
      <c r="AM143" s="7">
        <v>3</v>
      </c>
      <c r="AN143" s="20"/>
      <c r="AO143" s="21"/>
      <c r="AP143" s="21"/>
      <c r="AQ143" s="5" t="s">
        <v>1504</v>
      </c>
      <c r="AR143" s="5" t="s">
        <v>164</v>
      </c>
      <c r="AS143" s="5" t="s">
        <v>59</v>
      </c>
      <c r="AT143" s="20"/>
      <c r="AU143" s="21"/>
      <c r="AV143" s="21"/>
      <c r="AW143" s="144" t="str">
        <f t="shared" si="58"/>
        <v>OK</v>
      </c>
      <c r="AX143" s="21" t="s">
        <v>3133</v>
      </c>
      <c r="AY143" s="21" t="s">
        <v>3134</v>
      </c>
      <c r="AZ143" s="21"/>
      <c r="BA143" s="21"/>
    </row>
    <row r="144" spans="1:53" ht="20" customHeight="1">
      <c r="A144" s="86" t="s">
        <v>318</v>
      </c>
      <c r="B144" s="372" t="s">
        <v>2474</v>
      </c>
      <c r="C144" s="5" t="s">
        <v>51</v>
      </c>
      <c r="D144" s="5" t="s">
        <v>52</v>
      </c>
      <c r="E144" s="5" t="s">
        <v>1604</v>
      </c>
      <c r="F144" s="5" t="s">
        <v>1501</v>
      </c>
      <c r="G144" s="5" t="s">
        <v>1450</v>
      </c>
      <c r="H144" s="6">
        <v>37088</v>
      </c>
      <c r="I144" s="5" t="s">
        <v>111</v>
      </c>
      <c r="J144" s="5" t="s">
        <v>1505</v>
      </c>
      <c r="K144" s="5" t="s">
        <v>56</v>
      </c>
      <c r="L144" s="7">
        <v>2</v>
      </c>
      <c r="M144" s="7">
        <v>4</v>
      </c>
      <c r="N144" s="8">
        <v>23768</v>
      </c>
      <c r="O144" s="9">
        <v>3.7500000000000006E-2</v>
      </c>
      <c r="P144" s="10">
        <f t="shared" si="47"/>
        <v>891</v>
      </c>
      <c r="Q144" s="9">
        <v>1.55E-2</v>
      </c>
      <c r="R144" s="10">
        <f t="shared" si="48"/>
        <v>368</v>
      </c>
      <c r="S144" s="9">
        <f t="shared" si="49"/>
        <v>5.2970380343318746E-2</v>
      </c>
      <c r="T144" s="10">
        <f t="shared" si="50"/>
        <v>1259</v>
      </c>
      <c r="U144" s="10">
        <f t="shared" si="51"/>
        <v>25027</v>
      </c>
      <c r="V144" s="11">
        <v>26000</v>
      </c>
      <c r="W144" s="12">
        <f t="shared" si="52"/>
        <v>2232</v>
      </c>
      <c r="X144" s="13">
        <f t="shared" si="46"/>
        <v>9.3899999999999997E-2</v>
      </c>
      <c r="Y144" s="14" t="str">
        <f t="shared" si="39"/>
        <v>4.24%-6.36%</v>
      </c>
      <c r="Z144" s="15"/>
      <c r="AA144" s="15"/>
      <c r="AB144" s="15"/>
      <c r="AC144" s="16"/>
      <c r="AD144" s="8">
        <f t="shared" si="53"/>
        <v>0</v>
      </c>
      <c r="AE144" s="17">
        <f t="shared" si="54"/>
        <v>26000</v>
      </c>
      <c r="AF144" s="18">
        <f t="shared" si="55"/>
        <v>2232</v>
      </c>
      <c r="AG144" s="19">
        <f t="shared" si="56"/>
        <v>9.3907775159878915E-2</v>
      </c>
      <c r="AH144" s="20">
        <v>14</v>
      </c>
      <c r="AI144" s="20">
        <v>450</v>
      </c>
      <c r="AJ144" s="20"/>
      <c r="AK144" s="20">
        <v>688</v>
      </c>
      <c r="AL144" s="20">
        <f t="shared" si="57"/>
        <v>370088</v>
      </c>
      <c r="AM144" s="7">
        <v>4</v>
      </c>
      <c r="AN144" s="20"/>
      <c r="AO144" s="21" t="s">
        <v>1506</v>
      </c>
      <c r="AP144" s="21" t="s">
        <v>205</v>
      </c>
      <c r="AQ144" s="5" t="s">
        <v>1504</v>
      </c>
      <c r="AR144" s="5" t="s">
        <v>164</v>
      </c>
      <c r="AS144" s="5" t="s">
        <v>59</v>
      </c>
      <c r="AT144" s="20"/>
      <c r="AU144" s="21"/>
      <c r="AV144" s="21"/>
      <c r="AW144" s="144" t="str">
        <f t="shared" si="58"/>
        <v>&gt;20</v>
      </c>
      <c r="AX144" s="21" t="s">
        <v>3139</v>
      </c>
      <c r="AY144" s="21" t="s">
        <v>3130</v>
      </c>
      <c r="AZ144" s="21"/>
      <c r="BA144" s="21"/>
    </row>
    <row r="145" spans="1:53" ht="20" customHeight="1">
      <c r="A145" s="86" t="s">
        <v>318</v>
      </c>
      <c r="B145" s="372" t="s">
        <v>2475</v>
      </c>
      <c r="C145" s="5" t="s">
        <v>51</v>
      </c>
      <c r="D145" s="5" t="s">
        <v>52</v>
      </c>
      <c r="E145" s="5" t="s">
        <v>1604</v>
      </c>
      <c r="F145" s="5" t="s">
        <v>1507</v>
      </c>
      <c r="G145" s="5" t="s">
        <v>1450</v>
      </c>
      <c r="H145" s="6">
        <v>39295</v>
      </c>
      <c r="I145" s="5" t="s">
        <v>82</v>
      </c>
      <c r="J145" s="5" t="s">
        <v>1508</v>
      </c>
      <c r="K145" s="5" t="s">
        <v>84</v>
      </c>
      <c r="L145" s="7">
        <v>2</v>
      </c>
      <c r="M145" s="7">
        <v>3</v>
      </c>
      <c r="N145" s="8">
        <v>8332</v>
      </c>
      <c r="O145" s="9">
        <v>0.03</v>
      </c>
      <c r="P145" s="10">
        <f t="shared" si="47"/>
        <v>250</v>
      </c>
      <c r="Q145" s="9">
        <v>0</v>
      </c>
      <c r="R145" s="10">
        <f t="shared" si="48"/>
        <v>0</v>
      </c>
      <c r="S145" s="9">
        <f t="shared" si="49"/>
        <v>3.00048007681229E-2</v>
      </c>
      <c r="T145" s="10">
        <f t="shared" si="50"/>
        <v>250</v>
      </c>
      <c r="U145" s="10">
        <f t="shared" si="51"/>
        <v>8582</v>
      </c>
      <c r="V145" s="11">
        <f t="shared" si="59"/>
        <v>8582</v>
      </c>
      <c r="W145" s="12">
        <f t="shared" si="52"/>
        <v>250</v>
      </c>
      <c r="X145" s="13">
        <f t="shared" si="46"/>
        <v>0.03</v>
      </c>
      <c r="Y145" s="14" t="str">
        <f t="shared" si="39"/>
        <v>2.40%-3.60%</v>
      </c>
      <c r="Z145" s="15"/>
      <c r="AA145" s="15"/>
      <c r="AB145" s="15"/>
      <c r="AC145" s="16"/>
      <c r="AD145" s="8">
        <f t="shared" si="53"/>
        <v>0</v>
      </c>
      <c r="AE145" s="17">
        <f t="shared" si="54"/>
        <v>8582</v>
      </c>
      <c r="AF145" s="18">
        <f t="shared" si="55"/>
        <v>250</v>
      </c>
      <c r="AG145" s="19">
        <f t="shared" si="56"/>
        <v>3.0004800768122841E-2</v>
      </c>
      <c r="AH145" s="20">
        <v>14</v>
      </c>
      <c r="AI145" s="20">
        <v>450</v>
      </c>
      <c r="AJ145" s="20"/>
      <c r="AK145" s="20">
        <v>688</v>
      </c>
      <c r="AL145" s="20">
        <f t="shared" si="57"/>
        <v>126236</v>
      </c>
      <c r="AM145" s="7">
        <v>3</v>
      </c>
      <c r="AN145" s="20"/>
      <c r="AO145" s="21"/>
      <c r="AP145" s="21"/>
      <c r="AQ145" s="5" t="s">
        <v>1504</v>
      </c>
      <c r="AR145" s="5" t="s">
        <v>164</v>
      </c>
      <c r="AS145" s="5" t="s">
        <v>59</v>
      </c>
      <c r="AT145" s="20"/>
      <c r="AU145" s="21"/>
      <c r="AV145" s="21"/>
      <c r="AW145" s="144" t="str">
        <f t="shared" si="58"/>
        <v>OK</v>
      </c>
      <c r="AX145" s="21" t="s">
        <v>3129</v>
      </c>
      <c r="AY145" s="21" t="s">
        <v>3132</v>
      </c>
      <c r="AZ145" s="21"/>
      <c r="BA145" s="21"/>
    </row>
    <row r="146" spans="1:53" ht="20" customHeight="1">
      <c r="A146" s="86" t="s">
        <v>318</v>
      </c>
      <c r="B146" s="372" t="s">
        <v>2476</v>
      </c>
      <c r="C146" s="5" t="s">
        <v>51</v>
      </c>
      <c r="D146" s="5" t="s">
        <v>52</v>
      </c>
      <c r="E146" s="5" t="s">
        <v>1604</v>
      </c>
      <c r="F146" s="5" t="s">
        <v>1509</v>
      </c>
      <c r="G146" s="5" t="s">
        <v>1450</v>
      </c>
      <c r="H146" s="6">
        <v>45903</v>
      </c>
      <c r="I146" s="5" t="s">
        <v>1510</v>
      </c>
      <c r="J146" s="5" t="s">
        <v>1511</v>
      </c>
      <c r="K146" s="5" t="s">
        <v>84</v>
      </c>
      <c r="L146" s="7">
        <v>2</v>
      </c>
      <c r="M146" s="7">
        <v>1</v>
      </c>
      <c r="N146" s="8">
        <v>8000</v>
      </c>
      <c r="O146" s="9">
        <v>0</v>
      </c>
      <c r="P146" s="10">
        <f t="shared" si="47"/>
        <v>0</v>
      </c>
      <c r="Q146" s="9">
        <v>0</v>
      </c>
      <c r="R146" s="10">
        <f t="shared" si="48"/>
        <v>0</v>
      </c>
      <c r="S146" s="9">
        <f t="shared" si="49"/>
        <v>0</v>
      </c>
      <c r="T146" s="10">
        <f t="shared" si="50"/>
        <v>0</v>
      </c>
      <c r="U146" s="10">
        <f t="shared" si="51"/>
        <v>8000</v>
      </c>
      <c r="V146" s="11">
        <f t="shared" si="59"/>
        <v>8000</v>
      </c>
      <c r="W146" s="12">
        <f t="shared" si="52"/>
        <v>0</v>
      </c>
      <c r="X146" s="13">
        <f t="shared" si="46"/>
        <v>0</v>
      </c>
      <c r="Y146" s="14" t="str">
        <f t="shared" si="39"/>
        <v>0.00%-0.00%</v>
      </c>
      <c r="Z146" s="15"/>
      <c r="AA146" s="15"/>
      <c r="AB146" s="15"/>
      <c r="AC146" s="16"/>
      <c r="AD146" s="8">
        <f t="shared" si="53"/>
        <v>0</v>
      </c>
      <c r="AE146" s="17">
        <f t="shared" si="54"/>
        <v>8000</v>
      </c>
      <c r="AF146" s="18">
        <f t="shared" si="55"/>
        <v>0</v>
      </c>
      <c r="AG146" s="19">
        <f t="shared" si="56"/>
        <v>0</v>
      </c>
      <c r="AH146" s="20">
        <v>14</v>
      </c>
      <c r="AI146" s="20">
        <v>450</v>
      </c>
      <c r="AJ146" s="20"/>
      <c r="AK146" s="20">
        <v>688</v>
      </c>
      <c r="AL146" s="20">
        <f t="shared" si="57"/>
        <v>118088</v>
      </c>
      <c r="AM146" s="7" t="e">
        <v>#N/A</v>
      </c>
      <c r="AN146" s="20"/>
      <c r="AO146" s="21"/>
      <c r="AP146" s="21"/>
      <c r="AQ146" s="5" t="s">
        <v>1504</v>
      </c>
      <c r="AR146" s="5" t="s">
        <v>164</v>
      </c>
      <c r="AS146" s="5" t="s">
        <v>59</v>
      </c>
      <c r="AT146" s="20"/>
      <c r="AU146" s="21"/>
      <c r="AV146" s="21"/>
      <c r="AW146" s="144" t="str">
        <f t="shared" si="58"/>
        <v>OK</v>
      </c>
      <c r="AX146" s="21" t="s">
        <v>3131</v>
      </c>
      <c r="AY146" s="21">
        <v>0</v>
      </c>
      <c r="AZ146" s="21"/>
      <c r="BA146" s="21"/>
    </row>
    <row r="147" spans="1:53" ht="20" customHeight="1">
      <c r="A147" s="86" t="s">
        <v>318</v>
      </c>
      <c r="B147" s="372" t="s">
        <v>2477</v>
      </c>
      <c r="C147" s="5" t="s">
        <v>51</v>
      </c>
      <c r="D147" s="5" t="s">
        <v>52</v>
      </c>
      <c r="E147" s="5" t="s">
        <v>1604</v>
      </c>
      <c r="F147" s="5" t="s">
        <v>1509</v>
      </c>
      <c r="G147" s="5" t="s">
        <v>1450</v>
      </c>
      <c r="H147" s="6">
        <v>39953</v>
      </c>
      <c r="I147" s="5" t="s">
        <v>140</v>
      </c>
      <c r="J147" s="5" t="s">
        <v>140</v>
      </c>
      <c r="K147" s="5" t="s">
        <v>61</v>
      </c>
      <c r="L147" s="7">
        <v>2</v>
      </c>
      <c r="M147" s="7">
        <v>3</v>
      </c>
      <c r="N147" s="8">
        <v>15530</v>
      </c>
      <c r="O147" s="9">
        <v>0.03</v>
      </c>
      <c r="P147" s="10">
        <f t="shared" si="47"/>
        <v>466</v>
      </c>
      <c r="Q147" s="9">
        <v>0</v>
      </c>
      <c r="R147" s="10">
        <f t="shared" si="48"/>
        <v>0</v>
      </c>
      <c r="S147" s="9">
        <f t="shared" si="49"/>
        <v>3.0006439150032194E-2</v>
      </c>
      <c r="T147" s="10">
        <f t="shared" si="50"/>
        <v>466</v>
      </c>
      <c r="U147" s="10">
        <f t="shared" si="51"/>
        <v>15996</v>
      </c>
      <c r="V147" s="11">
        <v>15530</v>
      </c>
      <c r="W147" s="12">
        <f t="shared" si="52"/>
        <v>0</v>
      </c>
      <c r="X147" s="13">
        <f t="shared" si="46"/>
        <v>0</v>
      </c>
      <c r="Y147" s="14" t="str">
        <f t="shared" si="39"/>
        <v>2.40%-3.60%</v>
      </c>
      <c r="Z147" s="15"/>
      <c r="AA147" s="15"/>
      <c r="AB147" s="15"/>
      <c r="AC147" s="16"/>
      <c r="AD147" s="8">
        <f t="shared" si="53"/>
        <v>0</v>
      </c>
      <c r="AE147" s="17">
        <f t="shared" si="54"/>
        <v>15530</v>
      </c>
      <c r="AF147" s="18">
        <f t="shared" si="55"/>
        <v>0</v>
      </c>
      <c r="AG147" s="19">
        <f t="shared" si="56"/>
        <v>0</v>
      </c>
      <c r="AH147" s="20">
        <v>14</v>
      </c>
      <c r="AI147" s="20">
        <v>850</v>
      </c>
      <c r="AJ147" s="20"/>
      <c r="AK147" s="20">
        <v>688</v>
      </c>
      <c r="AL147" s="20">
        <f t="shared" si="57"/>
        <v>228308</v>
      </c>
      <c r="AM147" s="7">
        <v>3</v>
      </c>
      <c r="AN147" s="20"/>
      <c r="AO147" s="21" t="s">
        <v>1512</v>
      </c>
      <c r="AP147" s="21" t="s">
        <v>128</v>
      </c>
      <c r="AQ147" s="5" t="s">
        <v>1504</v>
      </c>
      <c r="AR147" s="5" t="s">
        <v>164</v>
      </c>
      <c r="AS147" s="5" t="s">
        <v>59</v>
      </c>
      <c r="AT147" s="20"/>
      <c r="AU147" s="21"/>
      <c r="AV147" s="21"/>
      <c r="AW147" s="144" t="str">
        <f t="shared" si="58"/>
        <v>0 increase</v>
      </c>
      <c r="AX147" s="21" t="s">
        <v>3129</v>
      </c>
      <c r="AY147" s="21" t="s">
        <v>3132</v>
      </c>
      <c r="AZ147" s="21"/>
      <c r="BA147" s="21"/>
    </row>
    <row r="148" spans="1:53" ht="20" customHeight="1">
      <c r="A148" s="86" t="s">
        <v>318</v>
      </c>
      <c r="B148" s="372" t="s">
        <v>2478</v>
      </c>
      <c r="C148" s="5" t="s">
        <v>51</v>
      </c>
      <c r="D148" s="5" t="s">
        <v>52</v>
      </c>
      <c r="E148" s="5" t="s">
        <v>1604</v>
      </c>
      <c r="F148" s="5" t="s">
        <v>1507</v>
      </c>
      <c r="G148" s="5" t="s">
        <v>1450</v>
      </c>
      <c r="H148" s="6">
        <v>37782</v>
      </c>
      <c r="I148" s="5" t="s">
        <v>82</v>
      </c>
      <c r="J148" s="5" t="s">
        <v>1508</v>
      </c>
      <c r="K148" s="5" t="s">
        <v>84</v>
      </c>
      <c r="L148" s="7">
        <v>2</v>
      </c>
      <c r="M148" s="7">
        <v>3</v>
      </c>
      <c r="N148" s="8">
        <v>12808</v>
      </c>
      <c r="O148" s="9">
        <v>0</v>
      </c>
      <c r="P148" s="10">
        <f t="shared" si="47"/>
        <v>0</v>
      </c>
      <c r="Q148" s="9">
        <v>0</v>
      </c>
      <c r="R148" s="10">
        <f t="shared" si="48"/>
        <v>0</v>
      </c>
      <c r="S148" s="9">
        <f t="shared" si="49"/>
        <v>0</v>
      </c>
      <c r="T148" s="10">
        <f t="shared" si="50"/>
        <v>0</v>
      </c>
      <c r="U148" s="10">
        <f t="shared" si="51"/>
        <v>12808</v>
      </c>
      <c r="V148" s="11">
        <f t="shared" si="59"/>
        <v>12808</v>
      </c>
      <c r="W148" s="12">
        <f t="shared" si="52"/>
        <v>0</v>
      </c>
      <c r="X148" s="13">
        <f t="shared" si="46"/>
        <v>0</v>
      </c>
      <c r="Y148" s="14" t="str">
        <f t="shared" si="39"/>
        <v>0.00%-0.00%</v>
      </c>
      <c r="Z148" s="15"/>
      <c r="AA148" s="15"/>
      <c r="AB148" s="15"/>
      <c r="AC148" s="16"/>
      <c r="AD148" s="8">
        <f t="shared" si="53"/>
        <v>0</v>
      </c>
      <c r="AE148" s="17">
        <f t="shared" si="54"/>
        <v>12808</v>
      </c>
      <c r="AF148" s="18">
        <f t="shared" si="55"/>
        <v>0</v>
      </c>
      <c r="AG148" s="19">
        <f t="shared" si="56"/>
        <v>0</v>
      </c>
      <c r="AH148" s="20">
        <v>14</v>
      </c>
      <c r="AI148" s="20">
        <v>850</v>
      </c>
      <c r="AJ148" s="20"/>
      <c r="AK148" s="20">
        <v>688</v>
      </c>
      <c r="AL148" s="20">
        <f t="shared" si="57"/>
        <v>190200</v>
      </c>
      <c r="AM148" s="7">
        <v>3</v>
      </c>
      <c r="AN148" s="20"/>
      <c r="AO148" s="21"/>
      <c r="AP148" s="21"/>
      <c r="AQ148" s="5" t="s">
        <v>1504</v>
      </c>
      <c r="AR148" s="5" t="s">
        <v>164</v>
      </c>
      <c r="AS148" s="5" t="s">
        <v>59</v>
      </c>
      <c r="AT148" s="20"/>
      <c r="AU148" s="21"/>
      <c r="AV148" s="21"/>
      <c r="AW148" s="144" t="str">
        <f t="shared" si="58"/>
        <v>OK</v>
      </c>
      <c r="AX148" s="21" t="s">
        <v>3139</v>
      </c>
      <c r="AY148" s="21" t="s">
        <v>3134</v>
      </c>
      <c r="AZ148" s="21"/>
      <c r="BA148" s="21"/>
    </row>
    <row r="149" spans="1:53" ht="20" customHeight="1">
      <c r="A149" s="86" t="s">
        <v>318</v>
      </c>
      <c r="B149" s="372" t="s">
        <v>2479</v>
      </c>
      <c r="C149" s="5" t="s">
        <v>51</v>
      </c>
      <c r="D149" s="5" t="s">
        <v>52</v>
      </c>
      <c r="E149" s="5" t="s">
        <v>1604</v>
      </c>
      <c r="F149" s="5" t="s">
        <v>1509</v>
      </c>
      <c r="G149" s="5" t="s">
        <v>1450</v>
      </c>
      <c r="H149" s="6">
        <v>38841</v>
      </c>
      <c r="I149" s="5" t="s">
        <v>74</v>
      </c>
      <c r="J149" s="5" t="s">
        <v>74</v>
      </c>
      <c r="K149" s="5" t="s">
        <v>76</v>
      </c>
      <c r="L149" s="7">
        <v>2</v>
      </c>
      <c r="M149" s="7">
        <v>3</v>
      </c>
      <c r="N149" s="8">
        <v>14147</v>
      </c>
      <c r="O149" s="9">
        <v>2.5000000000000001E-2</v>
      </c>
      <c r="P149" s="10">
        <f t="shared" si="47"/>
        <v>354</v>
      </c>
      <c r="Q149" s="9">
        <v>0</v>
      </c>
      <c r="R149" s="10">
        <f t="shared" si="48"/>
        <v>0</v>
      </c>
      <c r="S149" s="9">
        <f t="shared" si="49"/>
        <v>2.5022973068495089E-2</v>
      </c>
      <c r="T149" s="10">
        <f t="shared" si="50"/>
        <v>354</v>
      </c>
      <c r="U149" s="10">
        <f t="shared" si="51"/>
        <v>14501</v>
      </c>
      <c r="V149" s="11">
        <v>14147</v>
      </c>
      <c r="W149" s="12">
        <f t="shared" si="52"/>
        <v>0</v>
      </c>
      <c r="X149" s="13">
        <f t="shared" si="46"/>
        <v>0</v>
      </c>
      <c r="Y149" s="14" t="str">
        <f t="shared" si="39"/>
        <v>2.00%-3.00%</v>
      </c>
      <c r="Z149" s="15"/>
      <c r="AA149" s="15"/>
      <c r="AB149" s="15"/>
      <c r="AC149" s="16"/>
      <c r="AD149" s="8">
        <f t="shared" si="53"/>
        <v>0</v>
      </c>
      <c r="AE149" s="17">
        <f t="shared" si="54"/>
        <v>14147</v>
      </c>
      <c r="AF149" s="18">
        <f t="shared" si="55"/>
        <v>0</v>
      </c>
      <c r="AG149" s="19">
        <f t="shared" si="56"/>
        <v>0</v>
      </c>
      <c r="AH149" s="20">
        <v>14</v>
      </c>
      <c r="AI149" s="20">
        <v>500</v>
      </c>
      <c r="AJ149" s="20"/>
      <c r="AK149" s="20">
        <v>688</v>
      </c>
      <c r="AL149" s="20">
        <f t="shared" si="57"/>
        <v>204746</v>
      </c>
      <c r="AM149" s="7">
        <v>3</v>
      </c>
      <c r="AN149" s="20"/>
      <c r="AO149" s="21" t="s">
        <v>1512</v>
      </c>
      <c r="AP149" s="21" t="s">
        <v>128</v>
      </c>
      <c r="AQ149" s="5" t="s">
        <v>1504</v>
      </c>
      <c r="AR149" s="5" t="s">
        <v>164</v>
      </c>
      <c r="AS149" s="5" t="s">
        <v>59</v>
      </c>
      <c r="AT149" s="20"/>
      <c r="AU149" s="21"/>
      <c r="AV149" s="21"/>
      <c r="AW149" s="144" t="str">
        <f t="shared" si="58"/>
        <v>0 increase</v>
      </c>
      <c r="AX149" s="21" t="s">
        <v>3129</v>
      </c>
      <c r="AY149" s="21" t="s">
        <v>3130</v>
      </c>
      <c r="AZ149" s="21"/>
      <c r="BA149" s="21"/>
    </row>
    <row r="150" spans="1:53" ht="20" customHeight="1">
      <c r="A150" s="86" t="s">
        <v>318</v>
      </c>
      <c r="B150" s="372" t="s">
        <v>2480</v>
      </c>
      <c r="C150" s="5" t="s">
        <v>51</v>
      </c>
      <c r="D150" s="5" t="s">
        <v>52</v>
      </c>
      <c r="E150" s="5" t="s">
        <v>1604</v>
      </c>
      <c r="F150" s="5" t="s">
        <v>1509</v>
      </c>
      <c r="G150" s="5" t="s">
        <v>1450</v>
      </c>
      <c r="H150" s="6">
        <v>38894</v>
      </c>
      <c r="I150" s="5" t="s">
        <v>82</v>
      </c>
      <c r="J150" s="5" t="s">
        <v>1513</v>
      </c>
      <c r="K150" s="5" t="s">
        <v>84</v>
      </c>
      <c r="L150" s="7">
        <v>2</v>
      </c>
      <c r="M150" s="7">
        <v>3</v>
      </c>
      <c r="N150" s="8">
        <v>9901</v>
      </c>
      <c r="O150" s="9">
        <v>0.03</v>
      </c>
      <c r="P150" s="10">
        <f t="shared" si="47"/>
        <v>297</v>
      </c>
      <c r="Q150" s="9">
        <v>0</v>
      </c>
      <c r="R150" s="10">
        <f t="shared" si="48"/>
        <v>0</v>
      </c>
      <c r="S150" s="9">
        <f t="shared" si="49"/>
        <v>2.9996970003029998E-2</v>
      </c>
      <c r="T150" s="10">
        <f t="shared" si="50"/>
        <v>297</v>
      </c>
      <c r="U150" s="10">
        <f t="shared" si="51"/>
        <v>10198</v>
      </c>
      <c r="V150" s="11">
        <v>10200</v>
      </c>
      <c r="W150" s="12">
        <f t="shared" si="52"/>
        <v>299</v>
      </c>
      <c r="X150" s="13">
        <f t="shared" si="46"/>
        <v>3.0200000000000001E-2</v>
      </c>
      <c r="Y150" s="14" t="str">
        <f t="shared" si="39"/>
        <v>2.40%-3.60%</v>
      </c>
      <c r="Z150" s="15"/>
      <c r="AA150" s="15"/>
      <c r="AB150" s="15"/>
      <c r="AC150" s="16"/>
      <c r="AD150" s="8">
        <f t="shared" si="53"/>
        <v>0</v>
      </c>
      <c r="AE150" s="17">
        <f t="shared" si="54"/>
        <v>10200</v>
      </c>
      <c r="AF150" s="18">
        <f t="shared" si="55"/>
        <v>299</v>
      </c>
      <c r="AG150" s="19">
        <f t="shared" si="56"/>
        <v>3.0198969801030096E-2</v>
      </c>
      <c r="AH150" s="20">
        <v>14</v>
      </c>
      <c r="AI150" s="20">
        <v>450</v>
      </c>
      <c r="AJ150" s="20"/>
      <c r="AK150" s="20">
        <v>688</v>
      </c>
      <c r="AL150" s="20">
        <f t="shared" si="57"/>
        <v>148888</v>
      </c>
      <c r="AM150" s="7">
        <v>3</v>
      </c>
      <c r="AN150" s="20"/>
      <c r="AO150" s="21"/>
      <c r="AP150" s="21"/>
      <c r="AQ150" s="5" t="s">
        <v>1504</v>
      </c>
      <c r="AR150" s="5" t="s">
        <v>164</v>
      </c>
      <c r="AS150" s="5" t="s">
        <v>59</v>
      </c>
      <c r="AT150" s="20"/>
      <c r="AU150" s="21"/>
      <c r="AV150" s="21"/>
      <c r="AW150" s="144" t="str">
        <f t="shared" si="58"/>
        <v>OK</v>
      </c>
      <c r="AX150" s="21" t="s">
        <v>3129</v>
      </c>
      <c r="AY150" s="21" t="s">
        <v>3132</v>
      </c>
      <c r="AZ150" s="21"/>
      <c r="BA150" s="21"/>
    </row>
    <row r="151" spans="1:53" ht="20" customHeight="1">
      <c r="A151" s="86" t="s">
        <v>318</v>
      </c>
      <c r="B151" s="372" t="s">
        <v>2481</v>
      </c>
      <c r="C151" s="5" t="s">
        <v>51</v>
      </c>
      <c r="D151" s="5" t="s">
        <v>52</v>
      </c>
      <c r="E151" s="5" t="s">
        <v>1604</v>
      </c>
      <c r="F151" s="5" t="s">
        <v>1509</v>
      </c>
      <c r="G151" s="5" t="s">
        <v>1450</v>
      </c>
      <c r="H151" s="6">
        <v>39209</v>
      </c>
      <c r="I151" s="5" t="s">
        <v>82</v>
      </c>
      <c r="J151" s="5" t="s">
        <v>1508</v>
      </c>
      <c r="K151" s="5" t="s">
        <v>84</v>
      </c>
      <c r="L151" s="7">
        <v>2</v>
      </c>
      <c r="M151" s="7">
        <v>3</v>
      </c>
      <c r="N151" s="8">
        <v>11426</v>
      </c>
      <c r="O151" s="9">
        <v>2.5000000000000001E-2</v>
      </c>
      <c r="P151" s="10">
        <f t="shared" si="47"/>
        <v>286</v>
      </c>
      <c r="Q151" s="9">
        <v>0</v>
      </c>
      <c r="R151" s="10">
        <f t="shared" si="48"/>
        <v>0</v>
      </c>
      <c r="S151" s="9">
        <f t="shared" si="49"/>
        <v>2.5030631892175741E-2</v>
      </c>
      <c r="T151" s="10">
        <f t="shared" si="50"/>
        <v>286</v>
      </c>
      <c r="U151" s="10">
        <f t="shared" si="51"/>
        <v>11712</v>
      </c>
      <c r="V151" s="11">
        <v>11426</v>
      </c>
      <c r="W151" s="12">
        <f t="shared" si="52"/>
        <v>0</v>
      </c>
      <c r="X151" s="13">
        <f t="shared" si="46"/>
        <v>0</v>
      </c>
      <c r="Y151" s="14" t="str">
        <f t="shared" si="39"/>
        <v>2.00%-3.00%</v>
      </c>
      <c r="Z151" s="15"/>
      <c r="AA151" s="15"/>
      <c r="AB151" s="15"/>
      <c r="AC151" s="16"/>
      <c r="AD151" s="8">
        <f t="shared" si="53"/>
        <v>0</v>
      </c>
      <c r="AE151" s="17">
        <f t="shared" si="54"/>
        <v>11426</v>
      </c>
      <c r="AF151" s="18">
        <f t="shared" si="55"/>
        <v>0</v>
      </c>
      <c r="AG151" s="19">
        <f t="shared" si="56"/>
        <v>0</v>
      </c>
      <c r="AH151" s="20">
        <v>14</v>
      </c>
      <c r="AI151" s="20">
        <v>450</v>
      </c>
      <c r="AJ151" s="20"/>
      <c r="AK151" s="20">
        <v>688</v>
      </c>
      <c r="AL151" s="20">
        <f t="shared" si="57"/>
        <v>166052</v>
      </c>
      <c r="AM151" s="7">
        <v>5</v>
      </c>
      <c r="AN151" s="20"/>
      <c r="AO151" s="21" t="s">
        <v>1512</v>
      </c>
      <c r="AP151" s="21" t="s">
        <v>128</v>
      </c>
      <c r="AQ151" s="5" t="s">
        <v>1504</v>
      </c>
      <c r="AR151" s="5" t="s">
        <v>164</v>
      </c>
      <c r="AS151" s="5" t="s">
        <v>59</v>
      </c>
      <c r="AT151" s="20"/>
      <c r="AU151" s="21"/>
      <c r="AV151" s="21"/>
      <c r="AW151" s="144" t="str">
        <f t="shared" si="58"/>
        <v>0 increase</v>
      </c>
      <c r="AX151" s="21" t="s">
        <v>3129</v>
      </c>
      <c r="AY151" s="21" t="s">
        <v>3130</v>
      </c>
      <c r="AZ151" s="21"/>
      <c r="BA151" s="21"/>
    </row>
    <row r="152" spans="1:53" ht="20" customHeight="1">
      <c r="A152" s="86" t="s">
        <v>318</v>
      </c>
      <c r="B152" s="372" t="s">
        <v>2482</v>
      </c>
      <c r="C152" s="5" t="s">
        <v>51</v>
      </c>
      <c r="D152" s="5" t="s">
        <v>52</v>
      </c>
      <c r="E152" s="5" t="s">
        <v>1604</v>
      </c>
      <c r="F152" s="5" t="s">
        <v>1509</v>
      </c>
      <c r="G152" s="5" t="s">
        <v>1450</v>
      </c>
      <c r="H152" s="6">
        <v>40351</v>
      </c>
      <c r="I152" s="5" t="s">
        <v>111</v>
      </c>
      <c r="J152" s="5" t="s">
        <v>1514</v>
      </c>
      <c r="K152" s="5" t="s">
        <v>56</v>
      </c>
      <c r="L152" s="7">
        <v>2</v>
      </c>
      <c r="M152" s="7">
        <v>5</v>
      </c>
      <c r="N152" s="8">
        <v>22186</v>
      </c>
      <c r="O152" s="9">
        <v>0.05</v>
      </c>
      <c r="P152" s="10">
        <f t="shared" si="47"/>
        <v>1109</v>
      </c>
      <c r="Q152" s="9">
        <v>2.7E-2</v>
      </c>
      <c r="R152" s="10">
        <f t="shared" si="48"/>
        <v>599</v>
      </c>
      <c r="S152" s="9">
        <f t="shared" si="49"/>
        <v>7.6985486342738663E-2</v>
      </c>
      <c r="T152" s="10">
        <f t="shared" si="50"/>
        <v>1708</v>
      </c>
      <c r="U152" s="10">
        <f t="shared" si="51"/>
        <v>23894</v>
      </c>
      <c r="V152" s="11">
        <v>24289</v>
      </c>
      <c r="W152" s="12">
        <f t="shared" si="52"/>
        <v>2103</v>
      </c>
      <c r="X152" s="13">
        <f t="shared" si="46"/>
        <v>9.4799999999999995E-2</v>
      </c>
      <c r="Y152" s="14" t="str">
        <f t="shared" si="39"/>
        <v>6.16%-9.24%</v>
      </c>
      <c r="Z152" s="15"/>
      <c r="AA152" s="15"/>
      <c r="AB152" s="15"/>
      <c r="AC152" s="16"/>
      <c r="AD152" s="8">
        <f t="shared" si="53"/>
        <v>0</v>
      </c>
      <c r="AE152" s="17">
        <f t="shared" si="54"/>
        <v>24289</v>
      </c>
      <c r="AF152" s="18">
        <f t="shared" si="55"/>
        <v>2103</v>
      </c>
      <c r="AG152" s="19">
        <f t="shared" si="56"/>
        <v>9.4789506896240772E-2</v>
      </c>
      <c r="AH152" s="20">
        <v>14</v>
      </c>
      <c r="AI152" s="20">
        <v>450</v>
      </c>
      <c r="AJ152" s="20"/>
      <c r="AK152" s="20">
        <v>688</v>
      </c>
      <c r="AL152" s="20">
        <f t="shared" si="57"/>
        <v>346134</v>
      </c>
      <c r="AM152" s="7">
        <v>5</v>
      </c>
      <c r="AN152" s="20"/>
      <c r="AO152" s="21" t="s">
        <v>1515</v>
      </c>
      <c r="AP152" s="21" t="s">
        <v>90</v>
      </c>
      <c r="AQ152" s="5" t="s">
        <v>1504</v>
      </c>
      <c r="AR152" s="5" t="s">
        <v>164</v>
      </c>
      <c r="AS152" s="5" t="s">
        <v>59</v>
      </c>
      <c r="AT152" s="20"/>
      <c r="AU152" s="21"/>
      <c r="AV152" s="21"/>
      <c r="AW152" s="144" t="str">
        <f t="shared" si="58"/>
        <v>OK</v>
      </c>
      <c r="AX152" s="21" t="s">
        <v>3135</v>
      </c>
      <c r="AY152" s="21" t="s">
        <v>3130</v>
      </c>
      <c r="AZ152" s="21"/>
      <c r="BA152" s="21"/>
    </row>
    <row r="153" spans="1:53" ht="20" customHeight="1">
      <c r="A153" s="86" t="s">
        <v>318</v>
      </c>
      <c r="B153" s="372" t="s">
        <v>2483</v>
      </c>
      <c r="C153" s="5" t="s">
        <v>51</v>
      </c>
      <c r="D153" s="5" t="s">
        <v>52</v>
      </c>
      <c r="E153" s="5" t="s">
        <v>1604</v>
      </c>
      <c r="F153" s="5" t="s">
        <v>1507</v>
      </c>
      <c r="G153" s="5" t="s">
        <v>1450</v>
      </c>
      <c r="H153" s="6">
        <v>41925</v>
      </c>
      <c r="I153" s="5" t="s">
        <v>111</v>
      </c>
      <c r="J153" s="5" t="s">
        <v>1516</v>
      </c>
      <c r="K153" s="5" t="s">
        <v>56</v>
      </c>
      <c r="L153" s="7">
        <v>2</v>
      </c>
      <c r="M153" s="7">
        <v>3</v>
      </c>
      <c r="N153" s="8">
        <v>21344</v>
      </c>
      <c r="O153" s="9">
        <v>2.5000000000000001E-2</v>
      </c>
      <c r="P153" s="10">
        <f t="shared" si="47"/>
        <v>534</v>
      </c>
      <c r="Q153" s="9">
        <v>0</v>
      </c>
      <c r="R153" s="10">
        <f t="shared" si="48"/>
        <v>0</v>
      </c>
      <c r="S153" s="9">
        <f t="shared" si="49"/>
        <v>2.5018740629685156E-2</v>
      </c>
      <c r="T153" s="10">
        <f t="shared" si="50"/>
        <v>534</v>
      </c>
      <c r="U153" s="10">
        <f t="shared" si="51"/>
        <v>21878</v>
      </c>
      <c r="V153" s="11">
        <v>22000</v>
      </c>
      <c r="W153" s="12">
        <f t="shared" si="52"/>
        <v>656</v>
      </c>
      <c r="X153" s="13">
        <f t="shared" si="46"/>
        <v>3.0700000000000002E-2</v>
      </c>
      <c r="Y153" s="14" t="str">
        <f t="shared" si="39"/>
        <v>2.00%-3.00%</v>
      </c>
      <c r="Z153" s="15"/>
      <c r="AA153" s="15"/>
      <c r="AB153" s="15"/>
      <c r="AC153" s="16"/>
      <c r="AD153" s="8">
        <f t="shared" si="53"/>
        <v>0</v>
      </c>
      <c r="AE153" s="17">
        <f t="shared" si="54"/>
        <v>22000</v>
      </c>
      <c r="AF153" s="18">
        <f t="shared" si="55"/>
        <v>656</v>
      </c>
      <c r="AG153" s="19">
        <f t="shared" si="56"/>
        <v>3.073463268365817E-2</v>
      </c>
      <c r="AH153" s="20">
        <v>14</v>
      </c>
      <c r="AI153" s="20">
        <v>4250</v>
      </c>
      <c r="AJ153" s="20"/>
      <c r="AK153" s="20">
        <v>688</v>
      </c>
      <c r="AL153" s="20">
        <f t="shared" si="57"/>
        <v>359688</v>
      </c>
      <c r="AM153" s="7">
        <v>3</v>
      </c>
      <c r="AN153" s="20"/>
      <c r="AO153" s="21" t="s">
        <v>1517</v>
      </c>
      <c r="AP153" s="21" t="s">
        <v>239</v>
      </c>
      <c r="AQ153" s="5" t="s">
        <v>1504</v>
      </c>
      <c r="AR153" s="5" t="s">
        <v>164</v>
      </c>
      <c r="AS153" s="5" t="s">
        <v>59</v>
      </c>
      <c r="AT153" s="20"/>
      <c r="AU153" s="21"/>
      <c r="AV153" s="21"/>
      <c r="AW153" s="144" t="str">
        <f t="shared" si="58"/>
        <v>OK</v>
      </c>
      <c r="AX153" s="21" t="s">
        <v>3135</v>
      </c>
      <c r="AY153" s="21" t="s">
        <v>3130</v>
      </c>
      <c r="AZ153" s="21"/>
      <c r="BA153" s="21"/>
    </row>
    <row r="154" spans="1:53" ht="20" customHeight="1">
      <c r="A154" s="86" t="s">
        <v>318</v>
      </c>
      <c r="B154" s="372" t="s">
        <v>2484</v>
      </c>
      <c r="C154" s="5" t="s">
        <v>51</v>
      </c>
      <c r="D154" s="5" t="s">
        <v>52</v>
      </c>
      <c r="E154" s="5" t="s">
        <v>1604</v>
      </c>
      <c r="F154" s="5" t="s">
        <v>1509</v>
      </c>
      <c r="G154" s="5" t="s">
        <v>1450</v>
      </c>
      <c r="H154" s="6">
        <v>42719</v>
      </c>
      <c r="I154" s="5" t="s">
        <v>82</v>
      </c>
      <c r="J154" s="5" t="s">
        <v>1518</v>
      </c>
      <c r="K154" s="5" t="s">
        <v>84</v>
      </c>
      <c r="L154" s="7">
        <v>2</v>
      </c>
      <c r="M154" s="7">
        <v>3</v>
      </c>
      <c r="N154" s="8">
        <v>7129</v>
      </c>
      <c r="O154" s="9">
        <v>3.5000000000000003E-2</v>
      </c>
      <c r="P154" s="10">
        <f t="shared" si="47"/>
        <v>250</v>
      </c>
      <c r="Q154" s="9">
        <v>0</v>
      </c>
      <c r="R154" s="10">
        <f t="shared" si="48"/>
        <v>0</v>
      </c>
      <c r="S154" s="9">
        <f t="shared" si="49"/>
        <v>3.5068031982045167E-2</v>
      </c>
      <c r="T154" s="10">
        <f t="shared" si="50"/>
        <v>250</v>
      </c>
      <c r="U154" s="10">
        <f t="shared" si="51"/>
        <v>7379</v>
      </c>
      <c r="V154" s="11">
        <v>7200</v>
      </c>
      <c r="W154" s="12">
        <f t="shared" si="52"/>
        <v>71</v>
      </c>
      <c r="X154" s="13">
        <f t="shared" si="46"/>
        <v>0.01</v>
      </c>
      <c r="Y154" s="14" t="str">
        <f t="shared" si="39"/>
        <v>2.81%-4.21%</v>
      </c>
      <c r="Z154" s="15"/>
      <c r="AA154" s="15"/>
      <c r="AB154" s="15"/>
      <c r="AC154" s="16"/>
      <c r="AD154" s="8">
        <f t="shared" si="53"/>
        <v>0</v>
      </c>
      <c r="AE154" s="17">
        <f t="shared" si="54"/>
        <v>7200</v>
      </c>
      <c r="AF154" s="18">
        <f t="shared" si="55"/>
        <v>71</v>
      </c>
      <c r="AG154" s="19">
        <f t="shared" si="56"/>
        <v>9.9593210829007628E-3</v>
      </c>
      <c r="AH154" s="20">
        <v>14</v>
      </c>
      <c r="AI154" s="20">
        <v>850</v>
      </c>
      <c r="AJ154" s="20"/>
      <c r="AK154" s="20">
        <v>688</v>
      </c>
      <c r="AL154" s="20">
        <f t="shared" si="57"/>
        <v>111688</v>
      </c>
      <c r="AM154" s="7">
        <v>3</v>
      </c>
      <c r="AN154" s="20"/>
      <c r="AO154" s="21" t="s">
        <v>1519</v>
      </c>
      <c r="AP154" s="21" t="s">
        <v>97</v>
      </c>
      <c r="AQ154" s="5" t="s">
        <v>1504</v>
      </c>
      <c r="AR154" s="5" t="s">
        <v>164</v>
      </c>
      <c r="AS154" s="5" t="s">
        <v>59</v>
      </c>
      <c r="AT154" s="20"/>
      <c r="AU154" s="21"/>
      <c r="AV154" s="21"/>
      <c r="AW154" s="144" t="str">
        <f t="shared" si="58"/>
        <v>&lt;20</v>
      </c>
      <c r="AX154" s="21" t="s">
        <v>3133</v>
      </c>
      <c r="AY154" s="21" t="s">
        <v>3141</v>
      </c>
      <c r="AZ154" s="21"/>
      <c r="BA154" s="21"/>
    </row>
    <row r="155" spans="1:53" ht="20" customHeight="1">
      <c r="A155" s="86" t="s">
        <v>318</v>
      </c>
      <c r="B155" s="372" t="s">
        <v>2485</v>
      </c>
      <c r="C155" s="5" t="s">
        <v>51</v>
      </c>
      <c r="D155" s="5" t="s">
        <v>52</v>
      </c>
      <c r="E155" s="5" t="s">
        <v>1604</v>
      </c>
      <c r="F155" s="5" t="s">
        <v>1509</v>
      </c>
      <c r="G155" s="5" t="s">
        <v>1450</v>
      </c>
      <c r="H155" s="6">
        <v>42891</v>
      </c>
      <c r="I155" s="5" t="s">
        <v>82</v>
      </c>
      <c r="J155" s="5" t="s">
        <v>1520</v>
      </c>
      <c r="K155" s="5" t="s">
        <v>84</v>
      </c>
      <c r="L155" s="7">
        <v>2</v>
      </c>
      <c r="M155" s="7">
        <v>3</v>
      </c>
      <c r="N155" s="8">
        <v>9798</v>
      </c>
      <c r="O155" s="9">
        <v>0.03</v>
      </c>
      <c r="P155" s="10">
        <f t="shared" si="47"/>
        <v>294</v>
      </c>
      <c r="Q155" s="9">
        <v>0</v>
      </c>
      <c r="R155" s="10">
        <f t="shared" si="48"/>
        <v>0</v>
      </c>
      <c r="S155" s="9">
        <f t="shared" si="49"/>
        <v>3.0006123698714023E-2</v>
      </c>
      <c r="T155" s="10">
        <f t="shared" si="50"/>
        <v>294</v>
      </c>
      <c r="U155" s="10">
        <f t="shared" si="51"/>
        <v>10092</v>
      </c>
      <c r="V155" s="11">
        <v>10000</v>
      </c>
      <c r="W155" s="12">
        <f t="shared" si="52"/>
        <v>202</v>
      </c>
      <c r="X155" s="13">
        <f t="shared" si="46"/>
        <v>2.06E-2</v>
      </c>
      <c r="Y155" s="14" t="str">
        <f t="shared" si="39"/>
        <v>2.40%-3.60%</v>
      </c>
      <c r="Z155" s="15"/>
      <c r="AA155" s="15"/>
      <c r="AB155" s="15"/>
      <c r="AC155" s="16"/>
      <c r="AD155" s="8">
        <f t="shared" si="53"/>
        <v>0</v>
      </c>
      <c r="AE155" s="17">
        <f t="shared" si="54"/>
        <v>10000</v>
      </c>
      <c r="AF155" s="18">
        <f t="shared" si="55"/>
        <v>202</v>
      </c>
      <c r="AG155" s="19">
        <f t="shared" si="56"/>
        <v>2.0616452337211655E-2</v>
      </c>
      <c r="AH155" s="20">
        <v>14</v>
      </c>
      <c r="AI155" s="20">
        <v>850</v>
      </c>
      <c r="AJ155" s="20"/>
      <c r="AK155" s="20">
        <v>688</v>
      </c>
      <c r="AL155" s="20">
        <f t="shared" si="57"/>
        <v>150888</v>
      </c>
      <c r="AM155" s="7">
        <v>3</v>
      </c>
      <c r="AN155" s="20"/>
      <c r="AO155" s="21" t="s">
        <v>1521</v>
      </c>
      <c r="AP155" s="21" t="s">
        <v>97</v>
      </c>
      <c r="AQ155" s="5" t="s">
        <v>1504</v>
      </c>
      <c r="AR155" s="5" t="s">
        <v>164</v>
      </c>
      <c r="AS155" s="5" t="s">
        <v>59</v>
      </c>
      <c r="AT155" s="20"/>
      <c r="AU155" s="21"/>
      <c r="AV155" s="21"/>
      <c r="AW155" s="144" t="str">
        <f t="shared" si="58"/>
        <v>OK</v>
      </c>
      <c r="AX155" s="21" t="s">
        <v>3133</v>
      </c>
      <c r="AY155" s="21" t="s">
        <v>3132</v>
      </c>
      <c r="AZ155" s="21"/>
      <c r="BA155" s="21"/>
    </row>
    <row r="156" spans="1:53" ht="20" customHeight="1">
      <c r="A156" s="86" t="s">
        <v>318</v>
      </c>
      <c r="B156" s="372" t="s">
        <v>2486</v>
      </c>
      <c r="C156" s="5" t="s">
        <v>51</v>
      </c>
      <c r="D156" s="5" t="s">
        <v>52</v>
      </c>
      <c r="E156" s="5" t="s">
        <v>1604</v>
      </c>
      <c r="F156" s="5" t="s">
        <v>1501</v>
      </c>
      <c r="G156" s="5" t="s">
        <v>1450</v>
      </c>
      <c r="H156" s="6">
        <v>39664</v>
      </c>
      <c r="I156" s="5" t="s">
        <v>74</v>
      </c>
      <c r="J156" s="5" t="s">
        <v>74</v>
      </c>
      <c r="K156" s="5" t="s">
        <v>76</v>
      </c>
      <c r="L156" s="7">
        <v>2</v>
      </c>
      <c r="M156" s="7">
        <v>3</v>
      </c>
      <c r="N156" s="8">
        <v>8315</v>
      </c>
      <c r="O156" s="9">
        <v>0.03</v>
      </c>
      <c r="P156" s="10">
        <f t="shared" si="47"/>
        <v>249</v>
      </c>
      <c r="Q156" s="9">
        <v>0</v>
      </c>
      <c r="R156" s="10">
        <f t="shared" si="48"/>
        <v>0</v>
      </c>
      <c r="S156" s="9">
        <f t="shared" si="49"/>
        <v>2.9945880938063739E-2</v>
      </c>
      <c r="T156" s="10">
        <f t="shared" si="50"/>
        <v>249</v>
      </c>
      <c r="U156" s="10">
        <f t="shared" si="51"/>
        <v>8564</v>
      </c>
      <c r="V156" s="11">
        <v>9000</v>
      </c>
      <c r="W156" s="12">
        <f t="shared" si="52"/>
        <v>685</v>
      </c>
      <c r="X156" s="13">
        <f t="shared" si="46"/>
        <v>8.2400000000000001E-2</v>
      </c>
      <c r="Y156" s="14" t="str">
        <f t="shared" si="39"/>
        <v>2.40%-3.59%</v>
      </c>
      <c r="Z156" s="15"/>
      <c r="AA156" s="15"/>
      <c r="AB156" s="15"/>
      <c r="AC156" s="16"/>
      <c r="AD156" s="8">
        <f t="shared" si="53"/>
        <v>0</v>
      </c>
      <c r="AE156" s="17">
        <f t="shared" si="54"/>
        <v>9000</v>
      </c>
      <c r="AF156" s="18">
        <f t="shared" si="55"/>
        <v>685</v>
      </c>
      <c r="AG156" s="19">
        <f t="shared" si="56"/>
        <v>8.2381238725195427E-2</v>
      </c>
      <c r="AH156" s="20">
        <v>14</v>
      </c>
      <c r="AI156" s="20">
        <v>450</v>
      </c>
      <c r="AJ156" s="20"/>
      <c r="AK156" s="20">
        <v>688</v>
      </c>
      <c r="AL156" s="20">
        <f t="shared" si="57"/>
        <v>132088</v>
      </c>
      <c r="AM156" s="7">
        <v>5</v>
      </c>
      <c r="AN156" s="20"/>
      <c r="AO156" s="21" t="s">
        <v>1522</v>
      </c>
      <c r="AP156" s="21" t="s">
        <v>205</v>
      </c>
      <c r="AQ156" s="5" t="s">
        <v>1504</v>
      </c>
      <c r="AR156" s="5" t="s">
        <v>164</v>
      </c>
      <c r="AS156" s="5" t="s">
        <v>59</v>
      </c>
      <c r="AT156" s="20"/>
      <c r="AU156" s="21"/>
      <c r="AV156" s="21"/>
      <c r="AW156" s="144" t="str">
        <f t="shared" si="58"/>
        <v>&gt;20</v>
      </c>
      <c r="AX156" s="21" t="s">
        <v>3129</v>
      </c>
      <c r="AY156" s="21" t="s">
        <v>3132</v>
      </c>
      <c r="AZ156" s="21"/>
      <c r="BA156" s="21"/>
    </row>
    <row r="157" spans="1:53" ht="20" customHeight="1">
      <c r="A157" s="86" t="s">
        <v>318</v>
      </c>
      <c r="B157" s="372" t="s">
        <v>2487</v>
      </c>
      <c r="C157" s="5" t="s">
        <v>51</v>
      </c>
      <c r="D157" s="5" t="s">
        <v>52</v>
      </c>
      <c r="E157" s="5" t="s">
        <v>1604</v>
      </c>
      <c r="F157" s="5" t="s">
        <v>1501</v>
      </c>
      <c r="G157" s="5" t="s">
        <v>1450</v>
      </c>
      <c r="H157" s="6">
        <v>40391</v>
      </c>
      <c r="I157" s="5" t="s">
        <v>60</v>
      </c>
      <c r="J157" s="5" t="s">
        <v>60</v>
      </c>
      <c r="K157" s="5" t="s">
        <v>61</v>
      </c>
      <c r="L157" s="7">
        <v>2</v>
      </c>
      <c r="M157" s="7">
        <v>3</v>
      </c>
      <c r="N157" s="8">
        <v>15491</v>
      </c>
      <c r="O157" s="9">
        <v>2.5000000000000001E-2</v>
      </c>
      <c r="P157" s="10">
        <f t="shared" si="47"/>
        <v>387</v>
      </c>
      <c r="Q157" s="9">
        <v>0</v>
      </c>
      <c r="R157" s="10">
        <f t="shared" si="48"/>
        <v>0</v>
      </c>
      <c r="S157" s="9">
        <f t="shared" si="49"/>
        <v>2.4982247756761992E-2</v>
      </c>
      <c r="T157" s="10">
        <f t="shared" si="50"/>
        <v>387</v>
      </c>
      <c r="U157" s="10">
        <f t="shared" si="51"/>
        <v>15878</v>
      </c>
      <c r="V157" s="11">
        <v>15650</v>
      </c>
      <c r="W157" s="12">
        <f t="shared" si="52"/>
        <v>159</v>
      </c>
      <c r="X157" s="13">
        <f t="shared" si="46"/>
        <v>1.03E-2</v>
      </c>
      <c r="Y157" s="14" t="str">
        <f t="shared" si="39"/>
        <v>2.00%-3.00%</v>
      </c>
      <c r="Z157" s="15"/>
      <c r="AA157" s="15"/>
      <c r="AB157" s="15"/>
      <c r="AC157" s="16"/>
      <c r="AD157" s="8">
        <f t="shared" si="53"/>
        <v>0</v>
      </c>
      <c r="AE157" s="17">
        <f t="shared" si="54"/>
        <v>15650</v>
      </c>
      <c r="AF157" s="18">
        <f t="shared" si="55"/>
        <v>159</v>
      </c>
      <c r="AG157" s="19">
        <f t="shared" si="56"/>
        <v>1.0264024272158112E-2</v>
      </c>
      <c r="AH157" s="20">
        <v>14</v>
      </c>
      <c r="AI157" s="20">
        <v>450</v>
      </c>
      <c r="AJ157" s="20"/>
      <c r="AK157" s="20">
        <v>688</v>
      </c>
      <c r="AL157" s="20">
        <f t="shared" si="57"/>
        <v>225188</v>
      </c>
      <c r="AM157" s="7">
        <v>4</v>
      </c>
      <c r="AN157" s="20"/>
      <c r="AO157" s="21" t="s">
        <v>1523</v>
      </c>
      <c r="AP157" s="21" t="s">
        <v>128</v>
      </c>
      <c r="AQ157" s="5" t="s">
        <v>1504</v>
      </c>
      <c r="AR157" s="5" t="s">
        <v>164</v>
      </c>
      <c r="AS157" s="5" t="s">
        <v>59</v>
      </c>
      <c r="AT157" s="20"/>
      <c r="AU157" s="21"/>
      <c r="AV157" s="21"/>
      <c r="AW157" s="144" t="str">
        <f t="shared" si="58"/>
        <v>&lt;20</v>
      </c>
      <c r="AX157" s="21" t="s">
        <v>3135</v>
      </c>
      <c r="AY157" s="21" t="s">
        <v>3130</v>
      </c>
      <c r="AZ157" s="21"/>
      <c r="BA157" s="21"/>
    </row>
    <row r="158" spans="1:53" ht="20" customHeight="1">
      <c r="A158" s="86" t="s">
        <v>318</v>
      </c>
      <c r="B158" s="372" t="s">
        <v>2488</v>
      </c>
      <c r="C158" s="5" t="s">
        <v>51</v>
      </c>
      <c r="D158" s="5" t="s">
        <v>52</v>
      </c>
      <c r="E158" s="5" t="s">
        <v>1604</v>
      </c>
      <c r="F158" s="5" t="s">
        <v>1509</v>
      </c>
      <c r="G158" s="5" t="s">
        <v>1450</v>
      </c>
      <c r="H158" s="6">
        <v>41460</v>
      </c>
      <c r="I158" s="5" t="s">
        <v>82</v>
      </c>
      <c r="J158" s="5" t="s">
        <v>1524</v>
      </c>
      <c r="K158" s="5" t="s">
        <v>84</v>
      </c>
      <c r="L158" s="7">
        <v>2</v>
      </c>
      <c r="M158" s="7">
        <v>4</v>
      </c>
      <c r="N158" s="8">
        <v>7361</v>
      </c>
      <c r="O158" s="9">
        <v>5.2500000000000005E-2</v>
      </c>
      <c r="P158" s="10">
        <f t="shared" si="47"/>
        <v>386</v>
      </c>
      <c r="Q158" s="9">
        <v>4.2099999999999999E-2</v>
      </c>
      <c r="R158" s="10">
        <f t="shared" si="48"/>
        <v>310</v>
      </c>
      <c r="S158" s="9">
        <f t="shared" si="49"/>
        <v>9.455237060182041E-2</v>
      </c>
      <c r="T158" s="10">
        <f t="shared" si="50"/>
        <v>696</v>
      </c>
      <c r="U158" s="10">
        <f t="shared" si="51"/>
        <v>8057</v>
      </c>
      <c r="V158" s="11">
        <v>8241</v>
      </c>
      <c r="W158" s="12">
        <f t="shared" si="52"/>
        <v>880</v>
      </c>
      <c r="X158" s="13">
        <f t="shared" si="46"/>
        <v>0.1195</v>
      </c>
      <c r="Y158" s="14" t="str">
        <f t="shared" si="39"/>
        <v>7.56%-11.35%</v>
      </c>
      <c r="Z158" s="15"/>
      <c r="AA158" s="15"/>
      <c r="AB158" s="15"/>
      <c r="AC158" s="16"/>
      <c r="AD158" s="8">
        <f t="shared" si="53"/>
        <v>0</v>
      </c>
      <c r="AE158" s="17">
        <f t="shared" si="54"/>
        <v>8241</v>
      </c>
      <c r="AF158" s="18">
        <f t="shared" si="55"/>
        <v>880</v>
      </c>
      <c r="AG158" s="19">
        <f t="shared" si="56"/>
        <v>0.11954897432414069</v>
      </c>
      <c r="AH158" s="20">
        <v>14</v>
      </c>
      <c r="AI158" s="20">
        <v>500</v>
      </c>
      <c r="AJ158" s="20"/>
      <c r="AK158" s="20">
        <v>688</v>
      </c>
      <c r="AL158" s="20">
        <f t="shared" si="57"/>
        <v>122062</v>
      </c>
      <c r="AM158" s="7">
        <v>3</v>
      </c>
      <c r="AN158" s="20"/>
      <c r="AO158" s="21" t="s">
        <v>1525</v>
      </c>
      <c r="AP158" s="21" t="s">
        <v>205</v>
      </c>
      <c r="AQ158" s="5" t="s">
        <v>1504</v>
      </c>
      <c r="AR158" s="5" t="s">
        <v>164</v>
      </c>
      <c r="AS158" s="5" t="s">
        <v>59</v>
      </c>
      <c r="AT158" s="20"/>
      <c r="AU158" s="21"/>
      <c r="AV158" s="21"/>
      <c r="AW158" s="144" t="str">
        <f t="shared" si="58"/>
        <v>OK</v>
      </c>
      <c r="AX158" s="21" t="s">
        <v>3135</v>
      </c>
      <c r="AY158" s="21" t="s">
        <v>3141</v>
      </c>
      <c r="AZ158" s="21"/>
      <c r="BA158" s="21"/>
    </row>
    <row r="159" spans="1:53" ht="20" customHeight="1">
      <c r="A159" s="86" t="s">
        <v>318</v>
      </c>
      <c r="B159" s="372" t="s">
        <v>2489</v>
      </c>
      <c r="C159" s="5" t="s">
        <v>51</v>
      </c>
      <c r="D159" s="5" t="s">
        <v>52</v>
      </c>
      <c r="E159" s="5" t="s">
        <v>1604</v>
      </c>
      <c r="F159" s="5" t="s">
        <v>1507</v>
      </c>
      <c r="G159" s="5" t="s">
        <v>1450</v>
      </c>
      <c r="H159" s="6">
        <v>42917</v>
      </c>
      <c r="I159" s="5" t="s">
        <v>74</v>
      </c>
      <c r="J159" s="5" t="s">
        <v>74</v>
      </c>
      <c r="K159" s="5" t="s">
        <v>76</v>
      </c>
      <c r="L159" s="7">
        <v>2</v>
      </c>
      <c r="M159" s="7">
        <v>4</v>
      </c>
      <c r="N159" s="8">
        <v>6342</v>
      </c>
      <c r="O159" s="9">
        <v>5.2500000000000005E-2</v>
      </c>
      <c r="P159" s="10">
        <f t="shared" si="47"/>
        <v>333</v>
      </c>
      <c r="Q159" s="9">
        <v>9.0300000000000005E-2</v>
      </c>
      <c r="R159" s="10">
        <f t="shared" si="48"/>
        <v>573</v>
      </c>
      <c r="S159" s="9">
        <f t="shared" si="49"/>
        <v>0.14285714285714285</v>
      </c>
      <c r="T159" s="10">
        <f t="shared" si="50"/>
        <v>906</v>
      </c>
      <c r="U159" s="10">
        <f t="shared" si="51"/>
        <v>7248</v>
      </c>
      <c r="V159" s="11">
        <f t="shared" si="59"/>
        <v>7248</v>
      </c>
      <c r="W159" s="12">
        <f t="shared" si="52"/>
        <v>906</v>
      </c>
      <c r="X159" s="13">
        <f t="shared" si="46"/>
        <v>0.1429</v>
      </c>
      <c r="Y159" s="14" t="str">
        <f t="shared" si="39"/>
        <v>11.43%-17.14%</v>
      </c>
      <c r="Z159" s="15"/>
      <c r="AA159" s="15"/>
      <c r="AB159" s="15"/>
      <c r="AC159" s="16"/>
      <c r="AD159" s="8">
        <f t="shared" si="53"/>
        <v>0</v>
      </c>
      <c r="AE159" s="17">
        <f t="shared" si="54"/>
        <v>7248</v>
      </c>
      <c r="AF159" s="18">
        <f t="shared" si="55"/>
        <v>906</v>
      </c>
      <c r="AG159" s="19">
        <f t="shared" si="56"/>
        <v>0.14285714285714279</v>
      </c>
      <c r="AH159" s="20">
        <v>14</v>
      </c>
      <c r="AI159" s="20">
        <v>450</v>
      </c>
      <c r="AJ159" s="20"/>
      <c r="AK159" s="20">
        <v>688</v>
      </c>
      <c r="AL159" s="20">
        <f t="shared" si="57"/>
        <v>107560</v>
      </c>
      <c r="AM159" s="7">
        <v>3</v>
      </c>
      <c r="AN159" s="20"/>
      <c r="AO159" s="21"/>
      <c r="AP159" s="21"/>
      <c r="AQ159" s="5" t="s">
        <v>1504</v>
      </c>
      <c r="AR159" s="5" t="s">
        <v>164</v>
      </c>
      <c r="AS159" s="5" t="s">
        <v>59</v>
      </c>
      <c r="AT159" s="20"/>
      <c r="AU159" s="21"/>
      <c r="AV159" s="21"/>
      <c r="AW159" s="144" t="str">
        <f t="shared" si="58"/>
        <v>OK</v>
      </c>
      <c r="AX159" s="21" t="s">
        <v>3133</v>
      </c>
      <c r="AY159" s="21" t="s">
        <v>3141</v>
      </c>
      <c r="AZ159" s="21"/>
      <c r="BA159" s="21"/>
    </row>
    <row r="160" spans="1:53" ht="20" customHeight="1">
      <c r="A160" s="86" t="s">
        <v>318</v>
      </c>
      <c r="B160" s="372" t="s">
        <v>2490</v>
      </c>
      <c r="C160" s="5" t="s">
        <v>51</v>
      </c>
      <c r="D160" s="5" t="s">
        <v>52</v>
      </c>
      <c r="E160" s="5" t="s">
        <v>1604</v>
      </c>
      <c r="F160" s="5" t="s">
        <v>1507</v>
      </c>
      <c r="G160" s="5" t="s">
        <v>1450</v>
      </c>
      <c r="H160" s="6">
        <v>42917</v>
      </c>
      <c r="I160" s="5" t="s">
        <v>174</v>
      </c>
      <c r="J160" s="5" t="s">
        <v>1526</v>
      </c>
      <c r="K160" s="5" t="s">
        <v>175</v>
      </c>
      <c r="L160" s="7">
        <v>2</v>
      </c>
      <c r="M160" s="7">
        <v>2</v>
      </c>
      <c r="N160" s="8">
        <v>5459</v>
      </c>
      <c r="O160" s="9">
        <v>0</v>
      </c>
      <c r="P160" s="10">
        <f t="shared" si="47"/>
        <v>0</v>
      </c>
      <c r="Q160" s="9">
        <v>0</v>
      </c>
      <c r="R160" s="10">
        <f t="shared" si="48"/>
        <v>0</v>
      </c>
      <c r="S160" s="9">
        <f t="shared" si="49"/>
        <v>0</v>
      </c>
      <c r="T160" s="10">
        <f t="shared" si="50"/>
        <v>0</v>
      </c>
      <c r="U160" s="10">
        <f t="shared" si="51"/>
        <v>5459</v>
      </c>
      <c r="V160" s="11">
        <f t="shared" si="59"/>
        <v>5459</v>
      </c>
      <c r="W160" s="12">
        <f t="shared" si="52"/>
        <v>0</v>
      </c>
      <c r="X160" s="13">
        <f t="shared" si="46"/>
        <v>0</v>
      </c>
      <c r="Y160" s="14" t="str">
        <f t="shared" si="39"/>
        <v>0.00%-0.00%</v>
      </c>
      <c r="Z160" s="15"/>
      <c r="AA160" s="15"/>
      <c r="AB160" s="15"/>
      <c r="AC160" s="16"/>
      <c r="AD160" s="8">
        <f t="shared" si="53"/>
        <v>0</v>
      </c>
      <c r="AE160" s="17">
        <f t="shared" si="54"/>
        <v>5459</v>
      </c>
      <c r="AF160" s="18">
        <f t="shared" si="55"/>
        <v>0</v>
      </c>
      <c r="AG160" s="19">
        <f t="shared" si="56"/>
        <v>0</v>
      </c>
      <c r="AH160" s="20">
        <v>14</v>
      </c>
      <c r="AI160" s="20">
        <v>450</v>
      </c>
      <c r="AJ160" s="20"/>
      <c r="AK160" s="20">
        <v>688</v>
      </c>
      <c r="AL160" s="20">
        <f t="shared" si="57"/>
        <v>82514</v>
      </c>
      <c r="AM160" s="7">
        <v>3</v>
      </c>
      <c r="AN160" s="20"/>
      <c r="AO160" s="21"/>
      <c r="AP160" s="21"/>
      <c r="AQ160" s="5" t="s">
        <v>1504</v>
      </c>
      <c r="AR160" s="5" t="s">
        <v>164</v>
      </c>
      <c r="AS160" s="5" t="s">
        <v>59</v>
      </c>
      <c r="AT160" s="20"/>
      <c r="AU160" s="21"/>
      <c r="AV160" s="21"/>
      <c r="AW160" s="144" t="str">
        <f t="shared" si="58"/>
        <v>OK</v>
      </c>
      <c r="AX160" s="21" t="s">
        <v>3133</v>
      </c>
      <c r="AY160" s="21">
        <v>0</v>
      </c>
      <c r="AZ160" s="21"/>
      <c r="BA160" s="21"/>
    </row>
    <row r="161" spans="1:53" ht="20" customHeight="1">
      <c r="A161" s="86" t="s">
        <v>318</v>
      </c>
      <c r="B161" s="372" t="s">
        <v>2491</v>
      </c>
      <c r="C161" s="5" t="s">
        <v>51</v>
      </c>
      <c r="D161" s="5" t="s">
        <v>52</v>
      </c>
      <c r="E161" s="5" t="s">
        <v>1604</v>
      </c>
      <c r="F161" s="5" t="s">
        <v>1527</v>
      </c>
      <c r="G161" s="5" t="s">
        <v>1528</v>
      </c>
      <c r="H161" s="6">
        <v>38845</v>
      </c>
      <c r="I161" s="5" t="s">
        <v>1510</v>
      </c>
      <c r="J161" s="5" t="s">
        <v>1510</v>
      </c>
      <c r="K161" s="5" t="s">
        <v>84</v>
      </c>
      <c r="L161" s="7">
        <v>2</v>
      </c>
      <c r="M161" s="7">
        <v>3</v>
      </c>
      <c r="N161" s="8">
        <v>10503</v>
      </c>
      <c r="O161" s="9">
        <v>2.5000000000000001E-2</v>
      </c>
      <c r="P161" s="10">
        <f t="shared" si="47"/>
        <v>263</v>
      </c>
      <c r="Q161" s="9">
        <v>0</v>
      </c>
      <c r="R161" s="10">
        <f t="shared" si="48"/>
        <v>0</v>
      </c>
      <c r="S161" s="9">
        <f t="shared" si="49"/>
        <v>2.5040464629153575E-2</v>
      </c>
      <c r="T161" s="10">
        <f t="shared" si="50"/>
        <v>263</v>
      </c>
      <c r="U161" s="10">
        <f t="shared" si="51"/>
        <v>10766</v>
      </c>
      <c r="V161" s="11">
        <v>10550</v>
      </c>
      <c r="W161" s="12">
        <f t="shared" si="52"/>
        <v>47</v>
      </c>
      <c r="X161" s="13">
        <f t="shared" si="46"/>
        <v>4.4999999999999997E-3</v>
      </c>
      <c r="Y161" s="14" t="str">
        <f t="shared" si="39"/>
        <v>2.00%-3.00%</v>
      </c>
      <c r="Z161" s="15"/>
      <c r="AA161" s="15"/>
      <c r="AB161" s="15"/>
      <c r="AC161" s="16"/>
      <c r="AD161" s="8">
        <f t="shared" si="53"/>
        <v>0</v>
      </c>
      <c r="AE161" s="17">
        <f t="shared" si="54"/>
        <v>10550</v>
      </c>
      <c r="AF161" s="18">
        <f t="shared" si="55"/>
        <v>47</v>
      </c>
      <c r="AG161" s="19">
        <f t="shared" si="56"/>
        <v>4.4749119299247742E-3</v>
      </c>
      <c r="AH161" s="20">
        <v>14</v>
      </c>
      <c r="AI161" s="20">
        <v>450</v>
      </c>
      <c r="AJ161" s="20"/>
      <c r="AK161" s="20">
        <v>688</v>
      </c>
      <c r="AL161" s="20">
        <f t="shared" si="57"/>
        <v>153788</v>
      </c>
      <c r="AM161" s="7">
        <v>3</v>
      </c>
      <c r="AN161" s="20"/>
      <c r="AO161" s="21" t="s">
        <v>1512</v>
      </c>
      <c r="AP161" s="21" t="s">
        <v>128</v>
      </c>
      <c r="AQ161" s="5" t="s">
        <v>1504</v>
      </c>
      <c r="AR161" s="5" t="s">
        <v>164</v>
      </c>
      <c r="AS161" s="5" t="s">
        <v>59</v>
      </c>
      <c r="AT161" s="20"/>
      <c r="AU161" s="21"/>
      <c r="AV161" s="21"/>
      <c r="AW161" s="144" t="str">
        <f t="shared" si="58"/>
        <v>&lt;20</v>
      </c>
      <c r="AX161" s="21" t="s">
        <v>3129</v>
      </c>
      <c r="AY161" s="21" t="s">
        <v>3130</v>
      </c>
      <c r="AZ161" s="21"/>
      <c r="BA161" s="21"/>
    </row>
    <row r="162" spans="1:53" ht="20" customHeight="1">
      <c r="A162" s="86" t="s">
        <v>318</v>
      </c>
      <c r="B162" s="372" t="s">
        <v>2492</v>
      </c>
      <c r="C162" s="5" t="s">
        <v>51</v>
      </c>
      <c r="D162" s="5" t="s">
        <v>52</v>
      </c>
      <c r="E162" s="5" t="s">
        <v>1604</v>
      </c>
      <c r="F162" s="5" t="s">
        <v>1529</v>
      </c>
      <c r="G162" s="5" t="s">
        <v>1530</v>
      </c>
      <c r="H162" s="6">
        <v>38315</v>
      </c>
      <c r="I162" s="5" t="s">
        <v>82</v>
      </c>
      <c r="J162" s="5" t="s">
        <v>1508</v>
      </c>
      <c r="K162" s="5" t="s">
        <v>84</v>
      </c>
      <c r="L162" s="7">
        <v>2</v>
      </c>
      <c r="M162" s="7">
        <v>2</v>
      </c>
      <c r="N162" s="8">
        <v>8180</v>
      </c>
      <c r="O162" s="9">
        <v>0</v>
      </c>
      <c r="P162" s="10">
        <f t="shared" si="47"/>
        <v>0</v>
      </c>
      <c r="Q162" s="9">
        <v>0</v>
      </c>
      <c r="R162" s="10">
        <f t="shared" si="48"/>
        <v>0</v>
      </c>
      <c r="S162" s="9">
        <f t="shared" si="49"/>
        <v>0</v>
      </c>
      <c r="T162" s="10">
        <f t="shared" si="50"/>
        <v>0</v>
      </c>
      <c r="U162" s="10">
        <f t="shared" si="51"/>
        <v>8180</v>
      </c>
      <c r="V162" s="11">
        <f t="shared" si="59"/>
        <v>8180</v>
      </c>
      <c r="W162" s="12">
        <f t="shared" si="52"/>
        <v>0</v>
      </c>
      <c r="X162" s="13">
        <f t="shared" si="46"/>
        <v>0</v>
      </c>
      <c r="Y162" s="14" t="str">
        <f t="shared" si="39"/>
        <v>0.00%-0.00%</v>
      </c>
      <c r="Z162" s="15"/>
      <c r="AA162" s="15"/>
      <c r="AB162" s="15"/>
      <c r="AC162" s="16"/>
      <c r="AD162" s="8">
        <f t="shared" si="53"/>
        <v>0</v>
      </c>
      <c r="AE162" s="17">
        <f t="shared" si="54"/>
        <v>8180</v>
      </c>
      <c r="AF162" s="18">
        <f t="shared" si="55"/>
        <v>0</v>
      </c>
      <c r="AG162" s="19">
        <f t="shared" si="56"/>
        <v>0</v>
      </c>
      <c r="AH162" s="20">
        <v>14</v>
      </c>
      <c r="AI162" s="20">
        <v>450</v>
      </c>
      <c r="AJ162" s="20"/>
      <c r="AK162" s="20">
        <v>688</v>
      </c>
      <c r="AL162" s="20">
        <f t="shared" si="57"/>
        <v>120608</v>
      </c>
      <c r="AM162" s="7">
        <v>3</v>
      </c>
      <c r="AN162" s="20"/>
      <c r="AO162" s="21"/>
      <c r="AP162" s="21"/>
      <c r="AQ162" s="5" t="s">
        <v>1504</v>
      </c>
      <c r="AR162" s="5" t="s">
        <v>164</v>
      </c>
      <c r="AS162" s="5" t="s">
        <v>59</v>
      </c>
      <c r="AT162" s="20"/>
      <c r="AU162" s="21"/>
      <c r="AV162" s="21"/>
      <c r="AW162" s="144" t="str">
        <f t="shared" si="58"/>
        <v>OK</v>
      </c>
      <c r="AX162" s="21" t="s">
        <v>3139</v>
      </c>
      <c r="AY162" s="21">
        <v>0</v>
      </c>
      <c r="AZ162" s="21"/>
      <c r="BA162" s="21"/>
    </row>
    <row r="163" spans="1:53" ht="20" customHeight="1">
      <c r="A163" s="86" t="s">
        <v>318</v>
      </c>
      <c r="B163" s="372" t="s">
        <v>2493</v>
      </c>
      <c r="C163" s="5" t="s">
        <v>51</v>
      </c>
      <c r="D163" s="5" t="s">
        <v>52</v>
      </c>
      <c r="E163" s="5" t="s">
        <v>1604</v>
      </c>
      <c r="F163" s="5" t="s">
        <v>1527</v>
      </c>
      <c r="G163" s="5" t="s">
        <v>1528</v>
      </c>
      <c r="H163" s="6">
        <v>39038</v>
      </c>
      <c r="I163" s="5" t="s">
        <v>71</v>
      </c>
      <c r="J163" s="5" t="s">
        <v>1531</v>
      </c>
      <c r="K163" s="5" t="s">
        <v>61</v>
      </c>
      <c r="L163" s="7">
        <v>2</v>
      </c>
      <c r="M163" s="7">
        <v>3</v>
      </c>
      <c r="N163" s="8">
        <v>16923</v>
      </c>
      <c r="O163" s="9">
        <v>2.5000000000000001E-2</v>
      </c>
      <c r="P163" s="10">
        <f t="shared" si="47"/>
        <v>423</v>
      </c>
      <c r="Q163" s="9">
        <v>0</v>
      </c>
      <c r="R163" s="10">
        <f t="shared" si="48"/>
        <v>0</v>
      </c>
      <c r="S163" s="9">
        <f t="shared" si="49"/>
        <v>2.4995568161673462E-2</v>
      </c>
      <c r="T163" s="10">
        <f t="shared" si="50"/>
        <v>423</v>
      </c>
      <c r="U163" s="10">
        <f t="shared" si="51"/>
        <v>17346</v>
      </c>
      <c r="V163" s="11">
        <v>16923</v>
      </c>
      <c r="W163" s="12">
        <f t="shared" si="52"/>
        <v>0</v>
      </c>
      <c r="X163" s="13">
        <f t="shared" si="46"/>
        <v>0</v>
      </c>
      <c r="Y163" s="14" t="str">
        <f t="shared" si="39"/>
        <v>2.00%-3.00%</v>
      </c>
      <c r="Z163" s="15"/>
      <c r="AA163" s="15"/>
      <c r="AB163" s="15"/>
      <c r="AC163" s="16"/>
      <c r="AD163" s="8">
        <f t="shared" si="53"/>
        <v>0</v>
      </c>
      <c r="AE163" s="17">
        <f t="shared" si="54"/>
        <v>16923</v>
      </c>
      <c r="AF163" s="18">
        <f t="shared" si="55"/>
        <v>0</v>
      </c>
      <c r="AG163" s="19">
        <f t="shared" si="56"/>
        <v>0</v>
      </c>
      <c r="AH163" s="20">
        <v>14</v>
      </c>
      <c r="AI163" s="20">
        <v>450</v>
      </c>
      <c r="AJ163" s="20"/>
      <c r="AK163" s="20">
        <v>688</v>
      </c>
      <c r="AL163" s="20">
        <f t="shared" si="57"/>
        <v>243010</v>
      </c>
      <c r="AM163" s="7">
        <v>3</v>
      </c>
      <c r="AN163" s="20"/>
      <c r="AO163" s="21" t="s">
        <v>1512</v>
      </c>
      <c r="AP163" s="21" t="s">
        <v>128</v>
      </c>
      <c r="AQ163" s="5" t="s">
        <v>1504</v>
      </c>
      <c r="AR163" s="5" t="s">
        <v>164</v>
      </c>
      <c r="AS163" s="5" t="s">
        <v>59</v>
      </c>
      <c r="AT163" s="20"/>
      <c r="AU163" s="21"/>
      <c r="AV163" s="21"/>
      <c r="AW163" s="144" t="str">
        <f t="shared" si="58"/>
        <v>0 increase</v>
      </c>
      <c r="AX163" s="21" t="s">
        <v>3129</v>
      </c>
      <c r="AY163" s="21" t="s">
        <v>3130</v>
      </c>
      <c r="AZ163" s="21"/>
      <c r="BA163" s="21"/>
    </row>
    <row r="164" spans="1:53" ht="20" customHeight="1">
      <c r="A164" s="86" t="s">
        <v>318</v>
      </c>
      <c r="B164" s="372" t="s">
        <v>2494</v>
      </c>
      <c r="C164" s="5" t="s">
        <v>51</v>
      </c>
      <c r="D164" s="5" t="s">
        <v>52</v>
      </c>
      <c r="E164" s="5" t="s">
        <v>1604</v>
      </c>
      <c r="F164" s="5" t="s">
        <v>1529</v>
      </c>
      <c r="G164" s="5" t="s">
        <v>1530</v>
      </c>
      <c r="H164" s="6">
        <v>39084</v>
      </c>
      <c r="I164" s="5" t="s">
        <v>82</v>
      </c>
      <c r="J164" s="5" t="s">
        <v>1508</v>
      </c>
      <c r="K164" s="5" t="s">
        <v>84</v>
      </c>
      <c r="L164" s="7">
        <v>2</v>
      </c>
      <c r="M164" s="7">
        <v>3</v>
      </c>
      <c r="N164" s="8">
        <v>9185</v>
      </c>
      <c r="O164" s="9">
        <v>0</v>
      </c>
      <c r="P164" s="10">
        <f t="shared" si="47"/>
        <v>0</v>
      </c>
      <c r="Q164" s="9">
        <v>0</v>
      </c>
      <c r="R164" s="10">
        <f t="shared" si="48"/>
        <v>0</v>
      </c>
      <c r="S164" s="9">
        <f t="shared" si="49"/>
        <v>0</v>
      </c>
      <c r="T164" s="10">
        <f t="shared" si="50"/>
        <v>0</v>
      </c>
      <c r="U164" s="10">
        <f t="shared" si="51"/>
        <v>9185</v>
      </c>
      <c r="V164" s="11">
        <f t="shared" si="59"/>
        <v>9185</v>
      </c>
      <c r="W164" s="12">
        <f t="shared" si="52"/>
        <v>0</v>
      </c>
      <c r="X164" s="13">
        <f t="shared" si="46"/>
        <v>0</v>
      </c>
      <c r="Y164" s="14" t="str">
        <f t="shared" si="39"/>
        <v>0.00%-0.00%</v>
      </c>
      <c r="Z164" s="15"/>
      <c r="AA164" s="15"/>
      <c r="AB164" s="15"/>
      <c r="AC164" s="16"/>
      <c r="AD164" s="8">
        <f t="shared" si="53"/>
        <v>0</v>
      </c>
      <c r="AE164" s="17">
        <f t="shared" si="54"/>
        <v>9185</v>
      </c>
      <c r="AF164" s="18">
        <f t="shared" si="55"/>
        <v>0</v>
      </c>
      <c r="AG164" s="19">
        <f t="shared" si="56"/>
        <v>0</v>
      </c>
      <c r="AH164" s="20">
        <v>14</v>
      </c>
      <c r="AI164" s="20">
        <v>450</v>
      </c>
      <c r="AJ164" s="20"/>
      <c r="AK164" s="20">
        <v>688</v>
      </c>
      <c r="AL164" s="20">
        <f t="shared" si="57"/>
        <v>134678</v>
      </c>
      <c r="AM164" s="7">
        <v>3</v>
      </c>
      <c r="AN164" s="20"/>
      <c r="AO164" s="21"/>
      <c r="AP164" s="21"/>
      <c r="AQ164" s="5" t="s">
        <v>1504</v>
      </c>
      <c r="AR164" s="5" t="s">
        <v>164</v>
      </c>
      <c r="AS164" s="5" t="s">
        <v>59</v>
      </c>
      <c r="AT164" s="20"/>
      <c r="AU164" s="21"/>
      <c r="AV164" s="21"/>
      <c r="AW164" s="144" t="str">
        <f t="shared" si="58"/>
        <v>OK</v>
      </c>
      <c r="AX164" s="21" t="s">
        <v>3129</v>
      </c>
      <c r="AY164" s="21" t="s">
        <v>3134</v>
      </c>
      <c r="AZ164" s="21"/>
      <c r="BA164" s="21"/>
    </row>
    <row r="165" spans="1:53" ht="20" customHeight="1">
      <c r="A165" s="86" t="s">
        <v>318</v>
      </c>
      <c r="B165" s="372" t="s">
        <v>2495</v>
      </c>
      <c r="C165" s="5" t="s">
        <v>51</v>
      </c>
      <c r="D165" s="5" t="s">
        <v>52</v>
      </c>
      <c r="E165" s="5" t="s">
        <v>1604</v>
      </c>
      <c r="F165" s="5" t="s">
        <v>1527</v>
      </c>
      <c r="G165" s="5" t="s">
        <v>1528</v>
      </c>
      <c r="H165" s="6">
        <v>40360</v>
      </c>
      <c r="I165" s="5" t="s">
        <v>1510</v>
      </c>
      <c r="J165" s="5" t="s">
        <v>1510</v>
      </c>
      <c r="K165" s="5" t="s">
        <v>84</v>
      </c>
      <c r="L165" s="7">
        <v>2</v>
      </c>
      <c r="M165" s="7">
        <v>3</v>
      </c>
      <c r="N165" s="8">
        <v>11097</v>
      </c>
      <c r="O165" s="9">
        <v>2.5000000000000001E-2</v>
      </c>
      <c r="P165" s="10">
        <f t="shared" si="47"/>
        <v>277</v>
      </c>
      <c r="Q165" s="9">
        <v>0</v>
      </c>
      <c r="R165" s="10">
        <f t="shared" si="48"/>
        <v>0</v>
      </c>
      <c r="S165" s="9">
        <f t="shared" si="49"/>
        <v>2.4961701360728124E-2</v>
      </c>
      <c r="T165" s="10">
        <f t="shared" si="50"/>
        <v>277</v>
      </c>
      <c r="U165" s="10">
        <f t="shared" si="51"/>
        <v>11374</v>
      </c>
      <c r="V165" s="11">
        <v>11097</v>
      </c>
      <c r="W165" s="12">
        <f t="shared" si="52"/>
        <v>0</v>
      </c>
      <c r="X165" s="13">
        <f t="shared" si="46"/>
        <v>0</v>
      </c>
      <c r="Y165" s="14" t="str">
        <f t="shared" si="39"/>
        <v>2.00%-3.00%</v>
      </c>
      <c r="Z165" s="15"/>
      <c r="AA165" s="15"/>
      <c r="AB165" s="15"/>
      <c r="AC165" s="16"/>
      <c r="AD165" s="8">
        <f t="shared" si="53"/>
        <v>0</v>
      </c>
      <c r="AE165" s="17">
        <f t="shared" si="54"/>
        <v>11097</v>
      </c>
      <c r="AF165" s="18">
        <f t="shared" si="55"/>
        <v>0</v>
      </c>
      <c r="AG165" s="19">
        <f t="shared" si="56"/>
        <v>0</v>
      </c>
      <c r="AH165" s="20">
        <v>14</v>
      </c>
      <c r="AI165" s="20">
        <v>450</v>
      </c>
      <c r="AJ165" s="20"/>
      <c r="AK165" s="20">
        <v>688</v>
      </c>
      <c r="AL165" s="20">
        <f t="shared" si="57"/>
        <v>161446</v>
      </c>
      <c r="AM165" s="7">
        <v>3</v>
      </c>
      <c r="AN165" s="20"/>
      <c r="AO165" s="21" t="s">
        <v>1512</v>
      </c>
      <c r="AP165" s="21" t="s">
        <v>128</v>
      </c>
      <c r="AQ165" s="5" t="s">
        <v>1504</v>
      </c>
      <c r="AR165" s="5" t="s">
        <v>164</v>
      </c>
      <c r="AS165" s="5" t="s">
        <v>59</v>
      </c>
      <c r="AT165" s="20"/>
      <c r="AU165" s="21"/>
      <c r="AV165" s="21"/>
      <c r="AW165" s="144" t="str">
        <f t="shared" si="58"/>
        <v>0 increase</v>
      </c>
      <c r="AX165" s="21" t="s">
        <v>3135</v>
      </c>
      <c r="AY165" s="21" t="s">
        <v>3130</v>
      </c>
      <c r="AZ165" s="21"/>
      <c r="BA165" s="21"/>
    </row>
    <row r="166" spans="1:53" ht="20" customHeight="1">
      <c r="A166" s="86" t="s">
        <v>318</v>
      </c>
      <c r="B166" s="372" t="s">
        <v>2496</v>
      </c>
      <c r="C166" s="5" t="s">
        <v>51</v>
      </c>
      <c r="D166" s="5" t="s">
        <v>52</v>
      </c>
      <c r="E166" s="5" t="s">
        <v>1604</v>
      </c>
      <c r="F166" s="5" t="s">
        <v>1527</v>
      </c>
      <c r="G166" s="5" t="s">
        <v>1528</v>
      </c>
      <c r="H166" s="6">
        <v>40386</v>
      </c>
      <c r="I166" s="5" t="s">
        <v>74</v>
      </c>
      <c r="J166" s="5" t="s">
        <v>74</v>
      </c>
      <c r="K166" s="5" t="s">
        <v>76</v>
      </c>
      <c r="L166" s="7">
        <v>2</v>
      </c>
      <c r="M166" s="7">
        <v>4</v>
      </c>
      <c r="N166" s="8">
        <v>9518</v>
      </c>
      <c r="O166" s="9">
        <v>3.7500000000000006E-2</v>
      </c>
      <c r="P166" s="10">
        <f t="shared" si="47"/>
        <v>357</v>
      </c>
      <c r="Q166" s="9">
        <v>1.55E-2</v>
      </c>
      <c r="R166" s="10">
        <f t="shared" si="48"/>
        <v>148</v>
      </c>
      <c r="S166" s="9">
        <f t="shared" si="49"/>
        <v>5.3057364992645517E-2</v>
      </c>
      <c r="T166" s="10">
        <f t="shared" si="50"/>
        <v>505</v>
      </c>
      <c r="U166" s="10">
        <f t="shared" si="51"/>
        <v>10023</v>
      </c>
      <c r="V166" s="11">
        <v>9800</v>
      </c>
      <c r="W166" s="12">
        <f t="shared" si="52"/>
        <v>282</v>
      </c>
      <c r="X166" s="13">
        <f t="shared" si="46"/>
        <v>2.9600000000000001E-2</v>
      </c>
      <c r="Y166" s="14" t="str">
        <f t="shared" si="39"/>
        <v>4.24%-6.37%</v>
      </c>
      <c r="Z166" s="15"/>
      <c r="AA166" s="15"/>
      <c r="AB166" s="15"/>
      <c r="AC166" s="16"/>
      <c r="AD166" s="8">
        <f t="shared" si="53"/>
        <v>0</v>
      </c>
      <c r="AE166" s="17">
        <f t="shared" si="54"/>
        <v>9800</v>
      </c>
      <c r="AF166" s="18">
        <f t="shared" si="55"/>
        <v>282</v>
      </c>
      <c r="AG166" s="19">
        <f t="shared" si="56"/>
        <v>2.9628073124605914E-2</v>
      </c>
      <c r="AH166" s="20">
        <v>14</v>
      </c>
      <c r="AI166" s="20">
        <v>550</v>
      </c>
      <c r="AJ166" s="20"/>
      <c r="AK166" s="20">
        <v>688</v>
      </c>
      <c r="AL166" s="20">
        <f t="shared" si="57"/>
        <v>144488</v>
      </c>
      <c r="AM166" s="7">
        <v>3</v>
      </c>
      <c r="AN166" s="20"/>
      <c r="AO166" s="21" t="s">
        <v>1532</v>
      </c>
      <c r="AP166" s="21" t="s">
        <v>97</v>
      </c>
      <c r="AQ166" s="5" t="s">
        <v>1504</v>
      </c>
      <c r="AR166" s="5" t="s">
        <v>164</v>
      </c>
      <c r="AS166" s="5" t="s">
        <v>59</v>
      </c>
      <c r="AT166" s="20"/>
      <c r="AU166" s="21"/>
      <c r="AV166" s="21"/>
      <c r="AW166" s="144" t="str">
        <f t="shared" si="58"/>
        <v>&lt;20</v>
      </c>
      <c r="AX166" s="21" t="s">
        <v>3135</v>
      </c>
      <c r="AY166" s="21" t="s">
        <v>3130</v>
      </c>
      <c r="AZ166" s="21"/>
      <c r="BA166" s="21"/>
    </row>
    <row r="167" spans="1:53" ht="20" customHeight="1">
      <c r="A167" s="86" t="s">
        <v>318</v>
      </c>
      <c r="B167" s="372" t="s">
        <v>2497</v>
      </c>
      <c r="C167" s="5" t="s">
        <v>51</v>
      </c>
      <c r="D167" s="5" t="s">
        <v>52</v>
      </c>
      <c r="E167" s="5" t="s">
        <v>1604</v>
      </c>
      <c r="F167" s="5" t="s">
        <v>1529</v>
      </c>
      <c r="G167" s="5" t="s">
        <v>1530</v>
      </c>
      <c r="H167" s="6">
        <v>39664</v>
      </c>
      <c r="I167" s="5" t="s">
        <v>111</v>
      </c>
      <c r="J167" s="5" t="s">
        <v>1533</v>
      </c>
      <c r="K167" s="5" t="s">
        <v>56</v>
      </c>
      <c r="L167" s="7">
        <v>2</v>
      </c>
      <c r="M167" s="7">
        <v>3</v>
      </c>
      <c r="N167" s="8">
        <v>18280</v>
      </c>
      <c r="O167" s="9">
        <v>0.03</v>
      </c>
      <c r="P167" s="10">
        <f t="shared" si="47"/>
        <v>548</v>
      </c>
      <c r="Q167" s="9">
        <v>0</v>
      </c>
      <c r="R167" s="10">
        <f t="shared" si="48"/>
        <v>0</v>
      </c>
      <c r="S167" s="9">
        <f t="shared" si="49"/>
        <v>2.9978118161925603E-2</v>
      </c>
      <c r="T167" s="10">
        <f t="shared" si="50"/>
        <v>548</v>
      </c>
      <c r="U167" s="10">
        <f t="shared" si="51"/>
        <v>18828</v>
      </c>
      <c r="V167" s="11">
        <v>19000</v>
      </c>
      <c r="W167" s="12">
        <f t="shared" si="52"/>
        <v>720</v>
      </c>
      <c r="X167" s="13">
        <f t="shared" si="46"/>
        <v>3.9399999999999998E-2</v>
      </c>
      <c r="Y167" s="14" t="str">
        <f t="shared" si="39"/>
        <v>2.40%-3.60%</v>
      </c>
      <c r="Z167" s="15"/>
      <c r="AA167" s="15"/>
      <c r="AB167" s="15"/>
      <c r="AC167" s="16"/>
      <c r="AD167" s="8">
        <f t="shared" si="53"/>
        <v>0</v>
      </c>
      <c r="AE167" s="17">
        <f t="shared" si="54"/>
        <v>19000</v>
      </c>
      <c r="AF167" s="18">
        <f t="shared" si="55"/>
        <v>720</v>
      </c>
      <c r="AG167" s="19">
        <f t="shared" si="56"/>
        <v>3.938730853391692E-2</v>
      </c>
      <c r="AH167" s="20">
        <v>14</v>
      </c>
      <c r="AI167" s="20">
        <v>450</v>
      </c>
      <c r="AJ167" s="20"/>
      <c r="AK167" s="20">
        <v>688</v>
      </c>
      <c r="AL167" s="20">
        <f t="shared" si="57"/>
        <v>272088</v>
      </c>
      <c r="AM167" s="7">
        <v>5</v>
      </c>
      <c r="AN167" s="20"/>
      <c r="AO167" s="21" t="s">
        <v>1534</v>
      </c>
      <c r="AP167" s="21" t="s">
        <v>179</v>
      </c>
      <c r="AQ167" s="5" t="s">
        <v>1504</v>
      </c>
      <c r="AR167" s="5" t="s">
        <v>164</v>
      </c>
      <c r="AS167" s="5" t="s">
        <v>59</v>
      </c>
      <c r="AT167" s="20"/>
      <c r="AU167" s="21"/>
      <c r="AV167" s="21"/>
      <c r="AW167" s="144" t="str">
        <f t="shared" si="58"/>
        <v>OK</v>
      </c>
      <c r="AX167" s="21" t="s">
        <v>3129</v>
      </c>
      <c r="AY167" s="21" t="s">
        <v>3132</v>
      </c>
      <c r="AZ167" s="21"/>
      <c r="BA167" s="21"/>
    </row>
    <row r="168" spans="1:53" ht="20" customHeight="1">
      <c r="A168" s="86" t="s">
        <v>318</v>
      </c>
      <c r="B168" s="372" t="s">
        <v>2498</v>
      </c>
      <c r="C168" s="5" t="s">
        <v>51</v>
      </c>
      <c r="D168" s="5" t="s">
        <v>52</v>
      </c>
      <c r="E168" s="5" t="s">
        <v>1604</v>
      </c>
      <c r="F168" s="5" t="s">
        <v>1527</v>
      </c>
      <c r="G168" s="5" t="s">
        <v>1528</v>
      </c>
      <c r="H168" s="6">
        <v>40023</v>
      </c>
      <c r="I168" s="5" t="s">
        <v>74</v>
      </c>
      <c r="J168" s="5" t="s">
        <v>74</v>
      </c>
      <c r="K168" s="5" t="s">
        <v>76</v>
      </c>
      <c r="L168" s="7">
        <v>2</v>
      </c>
      <c r="M168" s="7">
        <v>3</v>
      </c>
      <c r="N168" s="8">
        <v>7567</v>
      </c>
      <c r="O168" s="9">
        <v>0.03</v>
      </c>
      <c r="P168" s="10">
        <f t="shared" si="47"/>
        <v>227</v>
      </c>
      <c r="Q168" s="9">
        <v>0</v>
      </c>
      <c r="R168" s="10">
        <f t="shared" si="48"/>
        <v>0</v>
      </c>
      <c r="S168" s="9">
        <f t="shared" si="49"/>
        <v>2.9998678472313994E-2</v>
      </c>
      <c r="T168" s="10">
        <f t="shared" si="50"/>
        <v>227</v>
      </c>
      <c r="U168" s="10">
        <f t="shared" si="51"/>
        <v>7794</v>
      </c>
      <c r="V168" s="11">
        <v>7627</v>
      </c>
      <c r="W168" s="12">
        <f t="shared" si="52"/>
        <v>60</v>
      </c>
      <c r="X168" s="13">
        <f t="shared" si="46"/>
        <v>7.9000000000000008E-3</v>
      </c>
      <c r="Y168" s="14" t="str">
        <f t="shared" si="39"/>
        <v>2.40%-3.60%</v>
      </c>
      <c r="Z168" s="15"/>
      <c r="AA168" s="15"/>
      <c r="AB168" s="15"/>
      <c r="AC168" s="16"/>
      <c r="AD168" s="8">
        <f t="shared" si="53"/>
        <v>0</v>
      </c>
      <c r="AE168" s="17">
        <f t="shared" si="54"/>
        <v>7627</v>
      </c>
      <c r="AF168" s="18">
        <f t="shared" si="55"/>
        <v>60</v>
      </c>
      <c r="AG168" s="19">
        <f t="shared" si="56"/>
        <v>7.9291661160301175E-3</v>
      </c>
      <c r="AH168" s="20">
        <v>14</v>
      </c>
      <c r="AI168" s="20">
        <v>450</v>
      </c>
      <c r="AJ168" s="20"/>
      <c r="AK168" s="20">
        <v>688</v>
      </c>
      <c r="AL168" s="20">
        <f t="shared" si="57"/>
        <v>112866</v>
      </c>
      <c r="AM168" s="7">
        <v>3</v>
      </c>
      <c r="AN168" s="20"/>
      <c r="AO168" s="21" t="s">
        <v>1535</v>
      </c>
      <c r="AP168" s="21" t="s">
        <v>97</v>
      </c>
      <c r="AQ168" s="5" t="s">
        <v>1504</v>
      </c>
      <c r="AR168" s="5" t="s">
        <v>164</v>
      </c>
      <c r="AS168" s="5" t="s">
        <v>59</v>
      </c>
      <c r="AT168" s="20"/>
      <c r="AU168" s="21"/>
      <c r="AV168" s="21"/>
      <c r="AW168" s="144" t="str">
        <f t="shared" si="58"/>
        <v>&lt;20</v>
      </c>
      <c r="AX168" s="21" t="s">
        <v>3129</v>
      </c>
      <c r="AY168" s="21" t="s">
        <v>3132</v>
      </c>
      <c r="AZ168" s="21"/>
      <c r="BA168" s="21"/>
    </row>
    <row r="169" spans="1:53" ht="20" customHeight="1">
      <c r="A169" s="86" t="s">
        <v>318</v>
      </c>
      <c r="B169" s="372" t="s">
        <v>2499</v>
      </c>
      <c r="C169" s="5" t="s">
        <v>51</v>
      </c>
      <c r="D169" s="5" t="s">
        <v>52</v>
      </c>
      <c r="E169" s="5" t="s">
        <v>1604</v>
      </c>
      <c r="F169" s="5" t="s">
        <v>1529</v>
      </c>
      <c r="G169" s="5" t="s">
        <v>1530</v>
      </c>
      <c r="H169" s="6">
        <v>40023</v>
      </c>
      <c r="I169" s="5" t="s">
        <v>82</v>
      </c>
      <c r="J169" s="5" t="s">
        <v>1508</v>
      </c>
      <c r="K169" s="5" t="s">
        <v>84</v>
      </c>
      <c r="L169" s="7">
        <v>2</v>
      </c>
      <c r="M169" s="7">
        <v>5</v>
      </c>
      <c r="N169" s="8">
        <v>6492</v>
      </c>
      <c r="O169" s="9">
        <v>0.05</v>
      </c>
      <c r="P169" s="10">
        <f t="shared" si="47"/>
        <v>325</v>
      </c>
      <c r="Q169" s="9">
        <v>2.7E-2</v>
      </c>
      <c r="R169" s="10">
        <f t="shared" si="48"/>
        <v>175</v>
      </c>
      <c r="S169" s="9">
        <f t="shared" si="49"/>
        <v>7.7017868145409729E-2</v>
      </c>
      <c r="T169" s="10">
        <f t="shared" si="50"/>
        <v>500</v>
      </c>
      <c r="U169" s="10">
        <f t="shared" si="51"/>
        <v>6992</v>
      </c>
      <c r="V169" s="11">
        <v>7790</v>
      </c>
      <c r="W169" s="12">
        <f t="shared" si="52"/>
        <v>1298</v>
      </c>
      <c r="X169" s="13">
        <f t="shared" si="46"/>
        <v>0.19989999999999999</v>
      </c>
      <c r="Y169" s="14" t="str">
        <f t="shared" si="39"/>
        <v>6.16%-9.24%</v>
      </c>
      <c r="Z169" s="15"/>
      <c r="AA169" s="15"/>
      <c r="AB169" s="15"/>
      <c r="AC169" s="16"/>
      <c r="AD169" s="8">
        <f t="shared" si="53"/>
        <v>0</v>
      </c>
      <c r="AE169" s="17">
        <f t="shared" si="54"/>
        <v>7790</v>
      </c>
      <c r="AF169" s="18">
        <f t="shared" si="55"/>
        <v>1298</v>
      </c>
      <c r="AG169" s="19">
        <f t="shared" si="56"/>
        <v>0.19993838570548372</v>
      </c>
      <c r="AH169" s="20">
        <v>14</v>
      </c>
      <c r="AI169" s="20">
        <v>450</v>
      </c>
      <c r="AJ169" s="20"/>
      <c r="AK169" s="20">
        <v>688</v>
      </c>
      <c r="AL169" s="20">
        <f t="shared" si="57"/>
        <v>115148</v>
      </c>
      <c r="AM169" s="7">
        <v>4</v>
      </c>
      <c r="AN169" s="20"/>
      <c r="AO169" s="21" t="s">
        <v>1536</v>
      </c>
      <c r="AP169" s="21" t="s">
        <v>229</v>
      </c>
      <c r="AQ169" s="5" t="s">
        <v>1504</v>
      </c>
      <c r="AR169" s="5" t="s">
        <v>164</v>
      </c>
      <c r="AS169" s="5" t="s">
        <v>59</v>
      </c>
      <c r="AT169" s="20"/>
      <c r="AU169" s="21"/>
      <c r="AV169" s="21"/>
      <c r="AW169" s="144" t="str">
        <f t="shared" si="58"/>
        <v>&gt;20</v>
      </c>
      <c r="AX169" s="21" t="s">
        <v>3129</v>
      </c>
      <c r="AY169" s="21" t="s">
        <v>3130</v>
      </c>
      <c r="AZ169" s="21"/>
      <c r="BA169" s="21"/>
    </row>
    <row r="170" spans="1:53" ht="20" customHeight="1">
      <c r="A170" s="86" t="s">
        <v>318</v>
      </c>
      <c r="B170" s="372" t="s">
        <v>2500</v>
      </c>
      <c r="C170" s="5" t="s">
        <v>51</v>
      </c>
      <c r="D170" s="5" t="s">
        <v>52</v>
      </c>
      <c r="E170" s="5" t="s">
        <v>1604</v>
      </c>
      <c r="F170" s="5" t="s">
        <v>1529</v>
      </c>
      <c r="G170" s="5" t="s">
        <v>1530</v>
      </c>
      <c r="H170" s="6">
        <v>41460</v>
      </c>
      <c r="I170" s="5" t="s">
        <v>82</v>
      </c>
      <c r="J170" s="5" t="s">
        <v>82</v>
      </c>
      <c r="K170" s="5" t="s">
        <v>84</v>
      </c>
      <c r="L170" s="7">
        <v>2</v>
      </c>
      <c r="M170" s="7">
        <v>4</v>
      </c>
      <c r="N170" s="8">
        <v>7976</v>
      </c>
      <c r="O170" s="9">
        <v>4.4999999999999998E-2</v>
      </c>
      <c r="P170" s="10">
        <f t="shared" si="47"/>
        <v>359</v>
      </c>
      <c r="Q170" s="9">
        <v>4.2099999999999999E-2</v>
      </c>
      <c r="R170" s="10">
        <f t="shared" si="48"/>
        <v>336</v>
      </c>
      <c r="S170" s="9">
        <f t="shared" si="49"/>
        <v>8.7136409227683051E-2</v>
      </c>
      <c r="T170" s="10">
        <f t="shared" si="50"/>
        <v>695</v>
      </c>
      <c r="U170" s="10">
        <f t="shared" si="51"/>
        <v>8671</v>
      </c>
      <c r="V170" s="11">
        <v>8800</v>
      </c>
      <c r="W170" s="12">
        <f t="shared" si="52"/>
        <v>824</v>
      </c>
      <c r="X170" s="13">
        <f t="shared" si="46"/>
        <v>0.1033</v>
      </c>
      <c r="Y170" s="14" t="str">
        <f t="shared" ref="Y170:Y196" si="60">IF(OR(L170=1,L170=2,L170=4),TEXT(S170*0.8,"0.00%")&amp;"-"&amp;TEXT(S170*1.2,"0.00%"),IF(OR(L170=3,L170=6),TEXT(0,"0.00%")&amp;"-"&amp;TEXT(7%*1.2,"0.00%"),IF(OR(L170=5,L170=7),TEXT((R170/N170),"0.00%")&amp;"-"&amp;TEXT((R170/N170)+7%,"0.00%"),"")))</f>
        <v>6.97%-10.46%</v>
      </c>
      <c r="Z170" s="15"/>
      <c r="AA170" s="15"/>
      <c r="AB170" s="15"/>
      <c r="AC170" s="16"/>
      <c r="AD170" s="8">
        <f t="shared" si="53"/>
        <v>0</v>
      </c>
      <c r="AE170" s="17">
        <f t="shared" si="54"/>
        <v>8800</v>
      </c>
      <c r="AF170" s="18">
        <f t="shared" si="55"/>
        <v>824</v>
      </c>
      <c r="AG170" s="19">
        <f t="shared" si="56"/>
        <v>0.10330992978936804</v>
      </c>
      <c r="AH170" s="20">
        <v>14</v>
      </c>
      <c r="AI170" s="20">
        <v>450</v>
      </c>
      <c r="AJ170" s="20"/>
      <c r="AK170" s="20">
        <v>688</v>
      </c>
      <c r="AL170" s="20">
        <f t="shared" si="57"/>
        <v>129288</v>
      </c>
      <c r="AM170" s="7">
        <v>4</v>
      </c>
      <c r="AN170" s="20"/>
      <c r="AO170" s="21"/>
      <c r="AP170" s="21"/>
      <c r="AQ170" s="5" t="s">
        <v>1504</v>
      </c>
      <c r="AR170" s="5" t="s">
        <v>164</v>
      </c>
      <c r="AS170" s="5" t="s">
        <v>59</v>
      </c>
      <c r="AT170" s="20"/>
      <c r="AU170" s="21"/>
      <c r="AV170" s="21"/>
      <c r="AW170" s="144" t="str">
        <f t="shared" si="58"/>
        <v>OK</v>
      </c>
      <c r="AX170" s="21" t="s">
        <v>3135</v>
      </c>
      <c r="AY170" s="21" t="s">
        <v>3132</v>
      </c>
      <c r="AZ170" s="21"/>
      <c r="BA170" s="21"/>
    </row>
    <row r="171" spans="1:53" ht="20" customHeight="1">
      <c r="A171" s="86" t="s">
        <v>318</v>
      </c>
      <c r="B171" s="372" t="s">
        <v>2501</v>
      </c>
      <c r="C171" s="5" t="s">
        <v>51</v>
      </c>
      <c r="D171" s="5" t="s">
        <v>52</v>
      </c>
      <c r="E171" s="5" t="s">
        <v>1604</v>
      </c>
      <c r="F171" s="5" t="s">
        <v>1529</v>
      </c>
      <c r="G171" s="5" t="s">
        <v>1530</v>
      </c>
      <c r="H171" s="6">
        <v>44044</v>
      </c>
      <c r="I171" s="5" t="s">
        <v>82</v>
      </c>
      <c r="J171" s="5" t="s">
        <v>1508</v>
      </c>
      <c r="K171" s="5" t="s">
        <v>84</v>
      </c>
      <c r="L171" s="7">
        <v>2</v>
      </c>
      <c r="M171" s="7">
        <v>3</v>
      </c>
      <c r="N171" s="8">
        <v>5528</v>
      </c>
      <c r="O171" s="9">
        <v>0.03</v>
      </c>
      <c r="P171" s="10">
        <f t="shared" si="47"/>
        <v>166</v>
      </c>
      <c r="Q171" s="9">
        <v>0</v>
      </c>
      <c r="R171" s="10">
        <f t="shared" si="48"/>
        <v>0</v>
      </c>
      <c r="S171" s="9">
        <f t="shared" si="49"/>
        <v>3.0028943560057888E-2</v>
      </c>
      <c r="T171" s="10">
        <f t="shared" si="50"/>
        <v>166</v>
      </c>
      <c r="U171" s="10">
        <f t="shared" si="51"/>
        <v>5694</v>
      </c>
      <c r="V171" s="11">
        <v>5704</v>
      </c>
      <c r="W171" s="12">
        <f t="shared" si="52"/>
        <v>176</v>
      </c>
      <c r="X171" s="13">
        <f t="shared" si="46"/>
        <v>3.1800000000000002E-2</v>
      </c>
      <c r="Y171" s="14" t="str">
        <f t="shared" si="60"/>
        <v>2.40%-3.60%</v>
      </c>
      <c r="Z171" s="15"/>
      <c r="AA171" s="15"/>
      <c r="AB171" s="15"/>
      <c r="AC171" s="16"/>
      <c r="AD171" s="8">
        <f t="shared" si="53"/>
        <v>0</v>
      </c>
      <c r="AE171" s="17">
        <f t="shared" si="54"/>
        <v>5704</v>
      </c>
      <c r="AF171" s="18">
        <f t="shared" si="55"/>
        <v>176</v>
      </c>
      <c r="AG171" s="19">
        <f t="shared" si="56"/>
        <v>3.183791606367592E-2</v>
      </c>
      <c r="AH171" s="20">
        <v>14</v>
      </c>
      <c r="AI171" s="20">
        <v>450</v>
      </c>
      <c r="AJ171" s="20"/>
      <c r="AK171" s="20">
        <v>688</v>
      </c>
      <c r="AL171" s="20">
        <f t="shared" si="57"/>
        <v>85944</v>
      </c>
      <c r="AM171" s="7">
        <v>3</v>
      </c>
      <c r="AN171" s="20"/>
      <c r="AO171" s="21"/>
      <c r="AP171" s="21"/>
      <c r="AQ171" s="5" t="s">
        <v>1504</v>
      </c>
      <c r="AR171" s="5" t="s">
        <v>164</v>
      </c>
      <c r="AS171" s="5" t="s">
        <v>59</v>
      </c>
      <c r="AT171" s="20"/>
      <c r="AU171" s="21"/>
      <c r="AV171" s="21"/>
      <c r="AW171" s="144" t="str">
        <f t="shared" si="58"/>
        <v>OK</v>
      </c>
      <c r="AX171" s="21" t="s">
        <v>3131</v>
      </c>
      <c r="AY171" s="21" t="s">
        <v>3132</v>
      </c>
      <c r="AZ171" s="21"/>
      <c r="BA171" s="21"/>
    </row>
    <row r="172" spans="1:53" ht="20" customHeight="1">
      <c r="A172" s="86" t="s">
        <v>318</v>
      </c>
      <c r="B172" s="372" t="s">
        <v>2502</v>
      </c>
      <c r="C172" s="5" t="s">
        <v>51</v>
      </c>
      <c r="D172" s="5" t="s">
        <v>52</v>
      </c>
      <c r="E172" s="5" t="s">
        <v>1604</v>
      </c>
      <c r="F172" s="5" t="s">
        <v>1537</v>
      </c>
      <c r="G172" s="5" t="s">
        <v>1453</v>
      </c>
      <c r="H172" s="6">
        <v>41836</v>
      </c>
      <c r="I172" s="5" t="s">
        <v>74</v>
      </c>
      <c r="J172" s="5" t="s">
        <v>1446</v>
      </c>
      <c r="K172" s="5" t="s">
        <v>76</v>
      </c>
      <c r="L172" s="7">
        <v>2</v>
      </c>
      <c r="M172" s="7">
        <v>1</v>
      </c>
      <c r="N172" s="8">
        <v>12374</v>
      </c>
      <c r="O172" s="88">
        <v>0</v>
      </c>
      <c r="P172" s="10">
        <f t="shared" si="47"/>
        <v>0</v>
      </c>
      <c r="Q172" s="88">
        <v>0</v>
      </c>
      <c r="R172" s="10">
        <f t="shared" si="48"/>
        <v>0</v>
      </c>
      <c r="S172" s="88">
        <f t="shared" si="49"/>
        <v>0</v>
      </c>
      <c r="T172" s="10">
        <f t="shared" si="50"/>
        <v>0</v>
      </c>
      <c r="U172" s="10">
        <f t="shared" si="51"/>
        <v>12374</v>
      </c>
      <c r="V172" s="11">
        <f>U172</f>
        <v>12374</v>
      </c>
      <c r="W172" s="12">
        <f t="shared" si="52"/>
        <v>0</v>
      </c>
      <c r="X172" s="92">
        <f t="shared" si="46"/>
        <v>0</v>
      </c>
      <c r="Y172" s="93" t="str">
        <f t="shared" si="60"/>
        <v>0.00%-0.00%</v>
      </c>
      <c r="Z172" s="15"/>
      <c r="AA172" s="15"/>
      <c r="AB172" s="15"/>
      <c r="AC172" s="95"/>
      <c r="AD172" s="8">
        <f t="shared" si="53"/>
        <v>0</v>
      </c>
      <c r="AE172" s="17">
        <f t="shared" si="54"/>
        <v>12374</v>
      </c>
      <c r="AF172" s="18">
        <f t="shared" si="55"/>
        <v>0</v>
      </c>
      <c r="AG172" s="97">
        <f t="shared" si="56"/>
        <v>0</v>
      </c>
      <c r="AH172" s="20">
        <v>14</v>
      </c>
      <c r="AI172" s="20">
        <v>450</v>
      </c>
      <c r="AJ172" s="20"/>
      <c r="AK172" s="20">
        <v>688</v>
      </c>
      <c r="AL172" s="20">
        <f t="shared" si="57"/>
        <v>179324</v>
      </c>
      <c r="AM172" s="7">
        <v>3</v>
      </c>
      <c r="AN172" s="20"/>
      <c r="AO172" s="21"/>
      <c r="AP172" s="21"/>
      <c r="AQ172" s="5" t="s">
        <v>1538</v>
      </c>
      <c r="AR172" s="5" t="s">
        <v>164</v>
      </c>
      <c r="AS172" s="5" t="s">
        <v>59</v>
      </c>
      <c r="AT172" s="20"/>
      <c r="AU172" s="21"/>
      <c r="AV172" s="21"/>
      <c r="AW172" s="144" t="str">
        <f t="shared" si="58"/>
        <v>OK</v>
      </c>
      <c r="AX172" s="21" t="s">
        <v>3135</v>
      </c>
      <c r="AY172" s="21">
        <v>0</v>
      </c>
      <c r="AZ172" s="21"/>
      <c r="BA172" s="21"/>
    </row>
    <row r="173" spans="1:53" ht="20" customHeight="1">
      <c r="A173" s="86" t="s">
        <v>318</v>
      </c>
      <c r="B173" s="372" t="s">
        <v>2503</v>
      </c>
      <c r="C173" s="5" t="s">
        <v>51</v>
      </c>
      <c r="D173" s="5" t="s">
        <v>52</v>
      </c>
      <c r="E173" s="5" t="s">
        <v>1604</v>
      </c>
      <c r="F173" s="5" t="s">
        <v>1537</v>
      </c>
      <c r="G173" s="5" t="s">
        <v>1453</v>
      </c>
      <c r="H173" s="6">
        <v>44228</v>
      </c>
      <c r="I173" s="5" t="s">
        <v>74</v>
      </c>
      <c r="J173" s="5" t="s">
        <v>1446</v>
      </c>
      <c r="K173" s="5" t="s">
        <v>76</v>
      </c>
      <c r="L173" s="7">
        <v>2</v>
      </c>
      <c r="M173" s="7">
        <v>3</v>
      </c>
      <c r="N173" s="8">
        <v>16847</v>
      </c>
      <c r="O173" s="88">
        <v>0</v>
      </c>
      <c r="P173" s="10">
        <f t="shared" si="47"/>
        <v>0</v>
      </c>
      <c r="Q173" s="88">
        <v>0</v>
      </c>
      <c r="R173" s="10">
        <f t="shared" si="48"/>
        <v>0</v>
      </c>
      <c r="S173" s="88">
        <f t="shared" si="49"/>
        <v>0</v>
      </c>
      <c r="T173" s="10">
        <f t="shared" si="50"/>
        <v>0</v>
      </c>
      <c r="U173" s="10">
        <f t="shared" si="51"/>
        <v>16847</v>
      </c>
      <c r="V173" s="11">
        <f t="shared" ref="V173:V194" si="61">U173</f>
        <v>16847</v>
      </c>
      <c r="W173" s="12">
        <f t="shared" si="52"/>
        <v>0</v>
      </c>
      <c r="X173" s="92">
        <f t="shared" si="46"/>
        <v>0</v>
      </c>
      <c r="Y173" s="93" t="str">
        <f t="shared" si="60"/>
        <v>0.00%-0.00%</v>
      </c>
      <c r="Z173" s="15"/>
      <c r="AA173" s="15"/>
      <c r="AB173" s="15"/>
      <c r="AC173" s="95"/>
      <c r="AD173" s="8">
        <f t="shared" si="53"/>
        <v>0</v>
      </c>
      <c r="AE173" s="17">
        <f t="shared" si="54"/>
        <v>16847</v>
      </c>
      <c r="AF173" s="18">
        <f t="shared" si="55"/>
        <v>0</v>
      </c>
      <c r="AG173" s="97">
        <f t="shared" si="56"/>
        <v>0</v>
      </c>
      <c r="AH173" s="20">
        <v>14</v>
      </c>
      <c r="AI173" s="20">
        <v>500</v>
      </c>
      <c r="AJ173" s="20"/>
      <c r="AK173" s="20">
        <v>688</v>
      </c>
      <c r="AL173" s="20">
        <f t="shared" si="57"/>
        <v>242546</v>
      </c>
      <c r="AM173" s="7">
        <v>3</v>
      </c>
      <c r="AN173" s="20"/>
      <c r="AO173" s="21"/>
      <c r="AP173" s="21"/>
      <c r="AQ173" s="5" t="s">
        <v>1538</v>
      </c>
      <c r="AR173" s="5" t="s">
        <v>164</v>
      </c>
      <c r="AS173" s="5" t="s">
        <v>59</v>
      </c>
      <c r="AT173" s="20"/>
      <c r="AU173" s="21"/>
      <c r="AV173" s="21"/>
      <c r="AW173" s="144" t="str">
        <f t="shared" si="58"/>
        <v>OK</v>
      </c>
      <c r="AX173" s="21" t="s">
        <v>3131</v>
      </c>
      <c r="AY173" s="21" t="s">
        <v>3134</v>
      </c>
      <c r="AZ173" s="21"/>
      <c r="BA173" s="21"/>
    </row>
    <row r="174" spans="1:53" ht="20" customHeight="1">
      <c r="A174" s="86" t="s">
        <v>318</v>
      </c>
      <c r="B174" s="372" t="s">
        <v>2504</v>
      </c>
      <c r="C174" s="5" t="s">
        <v>51</v>
      </c>
      <c r="D174" s="5" t="s">
        <v>52</v>
      </c>
      <c r="E174" s="5" t="s">
        <v>1604</v>
      </c>
      <c r="F174" s="5" t="s">
        <v>1539</v>
      </c>
      <c r="G174" s="5" t="s">
        <v>1453</v>
      </c>
      <c r="H174" s="6">
        <v>42865</v>
      </c>
      <c r="I174" s="5" t="s">
        <v>140</v>
      </c>
      <c r="J174" s="5" t="s">
        <v>141</v>
      </c>
      <c r="K174" s="5" t="s">
        <v>61</v>
      </c>
      <c r="L174" s="7">
        <v>2</v>
      </c>
      <c r="M174" s="7">
        <v>3</v>
      </c>
      <c r="N174" s="8">
        <v>15130</v>
      </c>
      <c r="O174" s="88">
        <v>2.5000000000000001E-2</v>
      </c>
      <c r="P174" s="10">
        <f t="shared" si="47"/>
        <v>378</v>
      </c>
      <c r="Q174" s="88">
        <v>0</v>
      </c>
      <c r="R174" s="10">
        <f t="shared" si="48"/>
        <v>0</v>
      </c>
      <c r="S174" s="88">
        <f t="shared" si="49"/>
        <v>2.4983476536682089E-2</v>
      </c>
      <c r="T174" s="10">
        <f t="shared" si="50"/>
        <v>378</v>
      </c>
      <c r="U174" s="10">
        <f t="shared" si="51"/>
        <v>15508</v>
      </c>
      <c r="V174" s="11">
        <f>U174+72</f>
        <v>15580</v>
      </c>
      <c r="W174" s="12">
        <f t="shared" si="52"/>
        <v>450</v>
      </c>
      <c r="X174" s="92">
        <f t="shared" si="46"/>
        <v>2.9700000000000001E-2</v>
      </c>
      <c r="Y174" s="93" t="str">
        <f t="shared" si="60"/>
        <v>2.00%-3.00%</v>
      </c>
      <c r="Z174" s="15"/>
      <c r="AA174" s="15"/>
      <c r="AB174" s="15"/>
      <c r="AC174" s="95"/>
      <c r="AD174" s="8">
        <f t="shared" si="53"/>
        <v>0</v>
      </c>
      <c r="AE174" s="17">
        <f t="shared" si="54"/>
        <v>15580</v>
      </c>
      <c r="AF174" s="18">
        <f t="shared" si="55"/>
        <v>450</v>
      </c>
      <c r="AG174" s="97">
        <f t="shared" si="56"/>
        <v>2.9742233972240628E-2</v>
      </c>
      <c r="AH174" s="20">
        <v>14</v>
      </c>
      <c r="AI174" s="20">
        <v>450</v>
      </c>
      <c r="AJ174" s="20"/>
      <c r="AK174" s="20">
        <v>688</v>
      </c>
      <c r="AL174" s="20">
        <f t="shared" si="57"/>
        <v>224208</v>
      </c>
      <c r="AM174" s="7">
        <v>3</v>
      </c>
      <c r="AN174" s="20"/>
      <c r="AO174" s="21"/>
      <c r="AP174" s="21"/>
      <c r="AQ174" s="5" t="s">
        <v>1538</v>
      </c>
      <c r="AR174" s="5" t="s">
        <v>164</v>
      </c>
      <c r="AS174" s="5" t="s">
        <v>59</v>
      </c>
      <c r="AT174" s="20"/>
      <c r="AU174" s="21"/>
      <c r="AV174" s="21"/>
      <c r="AW174" s="144" t="str">
        <f t="shared" si="58"/>
        <v>OK</v>
      </c>
      <c r="AX174" s="21" t="s">
        <v>3133</v>
      </c>
      <c r="AY174" s="21" t="s">
        <v>3130</v>
      </c>
      <c r="AZ174" s="21"/>
      <c r="BA174" s="21"/>
    </row>
    <row r="175" spans="1:53" ht="20" customHeight="1">
      <c r="A175" s="86" t="s">
        <v>318</v>
      </c>
      <c r="B175" s="372" t="s">
        <v>2505</v>
      </c>
      <c r="C175" s="5" t="s">
        <v>51</v>
      </c>
      <c r="D175" s="5" t="s">
        <v>52</v>
      </c>
      <c r="E175" s="5" t="s">
        <v>1604</v>
      </c>
      <c r="F175" s="5" t="s">
        <v>1540</v>
      </c>
      <c r="G175" s="5" t="s">
        <v>1453</v>
      </c>
      <c r="H175" s="6">
        <v>44349</v>
      </c>
      <c r="I175" s="5" t="s">
        <v>74</v>
      </c>
      <c r="J175" s="5" t="s">
        <v>1446</v>
      </c>
      <c r="K175" s="5" t="s">
        <v>76</v>
      </c>
      <c r="L175" s="7">
        <v>2</v>
      </c>
      <c r="M175" s="7">
        <v>5</v>
      </c>
      <c r="N175" s="8">
        <v>15564</v>
      </c>
      <c r="O175" s="88">
        <v>0.04</v>
      </c>
      <c r="P175" s="10">
        <f t="shared" si="47"/>
        <v>623</v>
      </c>
      <c r="Q175" s="88">
        <v>0</v>
      </c>
      <c r="R175" s="10">
        <f t="shared" si="48"/>
        <v>0</v>
      </c>
      <c r="S175" s="88">
        <f t="shared" si="49"/>
        <v>4.002827036751478E-2</v>
      </c>
      <c r="T175" s="10">
        <f t="shared" si="50"/>
        <v>623</v>
      </c>
      <c r="U175" s="10">
        <f t="shared" si="51"/>
        <v>16187</v>
      </c>
      <c r="V175" s="11">
        <f>U175-623</f>
        <v>15564</v>
      </c>
      <c r="W175" s="12">
        <f t="shared" si="52"/>
        <v>0</v>
      </c>
      <c r="X175" s="92">
        <f t="shared" si="46"/>
        <v>0</v>
      </c>
      <c r="Y175" s="93" t="str">
        <f t="shared" si="60"/>
        <v>3.20%-4.80%</v>
      </c>
      <c r="Z175" s="15" t="s">
        <v>87</v>
      </c>
      <c r="AA175" s="15" t="s">
        <v>60</v>
      </c>
      <c r="AB175" s="15" t="s">
        <v>89</v>
      </c>
      <c r="AC175" s="95">
        <v>7.0000000000000007E-2</v>
      </c>
      <c r="AD175" s="8">
        <f t="shared" si="53"/>
        <v>1089</v>
      </c>
      <c r="AE175" s="17">
        <f t="shared" si="54"/>
        <v>16653</v>
      </c>
      <c r="AF175" s="18">
        <f t="shared" si="55"/>
        <v>1089</v>
      </c>
      <c r="AG175" s="97">
        <f t="shared" si="56"/>
        <v>6.9969159599074793E-2</v>
      </c>
      <c r="AH175" s="20">
        <v>14</v>
      </c>
      <c r="AI175" s="20">
        <v>450</v>
      </c>
      <c r="AJ175" s="20"/>
      <c r="AK175" s="20">
        <v>688</v>
      </c>
      <c r="AL175" s="20">
        <f t="shared" si="57"/>
        <v>239230</v>
      </c>
      <c r="AM175" s="7">
        <v>3</v>
      </c>
      <c r="AN175" s="20"/>
      <c r="AO175" s="21" t="s">
        <v>1541</v>
      </c>
      <c r="AP175" s="21" t="s">
        <v>173</v>
      </c>
      <c r="AQ175" s="5" t="s">
        <v>1538</v>
      </c>
      <c r="AR175" s="5" t="s">
        <v>164</v>
      </c>
      <c r="AS175" s="5" t="s">
        <v>59</v>
      </c>
      <c r="AT175" s="20"/>
      <c r="AU175" s="21"/>
      <c r="AV175" s="21"/>
      <c r="AW175" s="144" t="str">
        <f t="shared" si="58"/>
        <v>0 increase</v>
      </c>
      <c r="AX175" s="21" t="s">
        <v>3131</v>
      </c>
      <c r="AY175" s="21" t="s">
        <v>3136</v>
      </c>
      <c r="AZ175" s="21"/>
      <c r="BA175" s="21"/>
    </row>
    <row r="176" spans="1:53" ht="20" customHeight="1">
      <c r="A176" s="86" t="s">
        <v>318</v>
      </c>
      <c r="B176" s="372" t="s">
        <v>2506</v>
      </c>
      <c r="C176" s="5" t="s">
        <v>51</v>
      </c>
      <c r="D176" s="5" t="s">
        <v>52</v>
      </c>
      <c r="E176" s="5" t="s">
        <v>1604</v>
      </c>
      <c r="F176" s="5" t="s">
        <v>1537</v>
      </c>
      <c r="G176" s="5" t="s">
        <v>1453</v>
      </c>
      <c r="H176" s="6">
        <v>43243</v>
      </c>
      <c r="I176" s="5" t="s">
        <v>74</v>
      </c>
      <c r="J176" s="5" t="s">
        <v>1446</v>
      </c>
      <c r="K176" s="5" t="s">
        <v>76</v>
      </c>
      <c r="L176" s="7">
        <v>2</v>
      </c>
      <c r="M176" s="7">
        <v>3</v>
      </c>
      <c r="N176" s="8">
        <v>16700</v>
      </c>
      <c r="O176" s="88">
        <v>0</v>
      </c>
      <c r="P176" s="10">
        <f t="shared" si="47"/>
        <v>0</v>
      </c>
      <c r="Q176" s="88">
        <v>0</v>
      </c>
      <c r="R176" s="10">
        <f t="shared" si="48"/>
        <v>0</v>
      </c>
      <c r="S176" s="88">
        <f t="shared" si="49"/>
        <v>0</v>
      </c>
      <c r="T176" s="10">
        <f t="shared" si="50"/>
        <v>0</v>
      </c>
      <c r="U176" s="10">
        <f t="shared" si="51"/>
        <v>16700</v>
      </c>
      <c r="V176" s="11">
        <f t="shared" si="61"/>
        <v>16700</v>
      </c>
      <c r="W176" s="12">
        <f t="shared" si="52"/>
        <v>0</v>
      </c>
      <c r="X176" s="92">
        <f t="shared" si="46"/>
        <v>0</v>
      </c>
      <c r="Y176" s="93" t="str">
        <f t="shared" si="60"/>
        <v>0.00%-0.00%</v>
      </c>
      <c r="Z176" s="15"/>
      <c r="AA176" s="15"/>
      <c r="AB176" s="15"/>
      <c r="AC176" s="95"/>
      <c r="AD176" s="8">
        <f t="shared" si="53"/>
        <v>0</v>
      </c>
      <c r="AE176" s="17">
        <f t="shared" si="54"/>
        <v>16700</v>
      </c>
      <c r="AF176" s="18">
        <f t="shared" si="55"/>
        <v>0</v>
      </c>
      <c r="AG176" s="97">
        <f t="shared" si="56"/>
        <v>0</v>
      </c>
      <c r="AH176" s="20">
        <v>14</v>
      </c>
      <c r="AI176" s="20">
        <v>550</v>
      </c>
      <c r="AJ176" s="20"/>
      <c r="AK176" s="20">
        <v>688</v>
      </c>
      <c r="AL176" s="20">
        <f t="shared" si="57"/>
        <v>241088</v>
      </c>
      <c r="AM176" s="7">
        <v>3</v>
      </c>
      <c r="AN176" s="20"/>
      <c r="AO176" s="21"/>
      <c r="AP176" s="21"/>
      <c r="AQ176" s="5" t="s">
        <v>1538</v>
      </c>
      <c r="AR176" s="5" t="s">
        <v>164</v>
      </c>
      <c r="AS176" s="5" t="s">
        <v>59</v>
      </c>
      <c r="AT176" s="20"/>
      <c r="AU176" s="21"/>
      <c r="AV176" s="21"/>
      <c r="AW176" s="144" t="str">
        <f t="shared" si="58"/>
        <v>OK</v>
      </c>
      <c r="AX176" s="21" t="s">
        <v>3133</v>
      </c>
      <c r="AY176" s="21" t="s">
        <v>3134</v>
      </c>
      <c r="AZ176" s="21"/>
      <c r="BA176" s="21"/>
    </row>
    <row r="177" spans="1:53" ht="20" customHeight="1">
      <c r="A177" s="86" t="s">
        <v>318</v>
      </c>
      <c r="B177" s="372" t="s">
        <v>2507</v>
      </c>
      <c r="C177" s="5" t="s">
        <v>51</v>
      </c>
      <c r="D177" s="5" t="s">
        <v>52</v>
      </c>
      <c r="E177" s="5" t="s">
        <v>1604</v>
      </c>
      <c r="F177" s="5" t="s">
        <v>1539</v>
      </c>
      <c r="G177" s="5" t="s">
        <v>1453</v>
      </c>
      <c r="H177" s="6">
        <v>42473</v>
      </c>
      <c r="I177" s="5" t="s">
        <v>55</v>
      </c>
      <c r="J177" s="5" t="s">
        <v>55</v>
      </c>
      <c r="K177" s="5" t="s">
        <v>56</v>
      </c>
      <c r="L177" s="7">
        <v>2</v>
      </c>
      <c r="M177" s="7">
        <v>4</v>
      </c>
      <c r="N177" s="8">
        <v>14578</v>
      </c>
      <c r="O177" s="88">
        <v>4.4999999999999998E-2</v>
      </c>
      <c r="P177" s="10">
        <f t="shared" si="47"/>
        <v>656</v>
      </c>
      <c r="Q177" s="88">
        <v>4.2099999999999999E-2</v>
      </c>
      <c r="R177" s="10">
        <f t="shared" si="48"/>
        <v>614</v>
      </c>
      <c r="S177" s="88">
        <f t="shared" si="49"/>
        <v>8.7117574427219097E-2</v>
      </c>
      <c r="T177" s="10">
        <f t="shared" si="50"/>
        <v>1270</v>
      </c>
      <c r="U177" s="10">
        <f t="shared" si="51"/>
        <v>15848</v>
      </c>
      <c r="V177" s="11">
        <f>U177+12</f>
        <v>15860</v>
      </c>
      <c r="W177" s="12">
        <f t="shared" si="52"/>
        <v>1282</v>
      </c>
      <c r="X177" s="92">
        <f t="shared" si="46"/>
        <v>8.7900000000000006E-2</v>
      </c>
      <c r="Y177" s="93" t="str">
        <f t="shared" si="60"/>
        <v>6.97%-10.45%</v>
      </c>
      <c r="Z177" s="15"/>
      <c r="AA177" s="15"/>
      <c r="AB177" s="15"/>
      <c r="AC177" s="95"/>
      <c r="AD177" s="8">
        <f t="shared" si="53"/>
        <v>0</v>
      </c>
      <c r="AE177" s="17">
        <f t="shared" si="54"/>
        <v>15860</v>
      </c>
      <c r="AF177" s="18">
        <f t="shared" si="55"/>
        <v>1282</v>
      </c>
      <c r="AG177" s="97">
        <f t="shared" si="56"/>
        <v>8.7940732610783279E-2</v>
      </c>
      <c r="AH177" s="20">
        <v>14</v>
      </c>
      <c r="AI177" s="20">
        <v>450</v>
      </c>
      <c r="AJ177" s="20"/>
      <c r="AK177" s="20">
        <v>688</v>
      </c>
      <c r="AL177" s="20">
        <f t="shared" si="57"/>
        <v>228128</v>
      </c>
      <c r="AM177" s="7">
        <v>3</v>
      </c>
      <c r="AN177" s="20"/>
      <c r="AO177" s="21"/>
      <c r="AP177" s="21"/>
      <c r="AQ177" s="5" t="s">
        <v>1538</v>
      </c>
      <c r="AR177" s="5" t="s">
        <v>164</v>
      </c>
      <c r="AS177" s="5" t="s">
        <v>59</v>
      </c>
      <c r="AT177" s="20"/>
      <c r="AU177" s="21"/>
      <c r="AV177" s="21"/>
      <c r="AW177" s="144" t="str">
        <f t="shared" si="58"/>
        <v>OK</v>
      </c>
      <c r="AX177" s="21" t="s">
        <v>3133</v>
      </c>
      <c r="AY177" s="21" t="s">
        <v>3132</v>
      </c>
      <c r="AZ177" s="21"/>
      <c r="BA177" s="21"/>
    </row>
    <row r="178" spans="1:53" ht="20" customHeight="1">
      <c r="A178" s="86" t="s">
        <v>318</v>
      </c>
      <c r="B178" s="372" t="s">
        <v>2508</v>
      </c>
      <c r="C178" s="5" t="s">
        <v>51</v>
      </c>
      <c r="D178" s="5" t="s">
        <v>52</v>
      </c>
      <c r="E178" s="5" t="s">
        <v>1604</v>
      </c>
      <c r="F178" s="5" t="s">
        <v>1539</v>
      </c>
      <c r="G178" s="5" t="s">
        <v>1453</v>
      </c>
      <c r="H178" s="6">
        <v>44249</v>
      </c>
      <c r="I178" s="5" t="s">
        <v>74</v>
      </c>
      <c r="J178" s="5" t="s">
        <v>74</v>
      </c>
      <c r="K178" s="5" t="s">
        <v>76</v>
      </c>
      <c r="L178" s="7">
        <v>2</v>
      </c>
      <c r="M178" s="7">
        <v>3</v>
      </c>
      <c r="N178" s="8">
        <v>17248</v>
      </c>
      <c r="O178" s="88">
        <v>0</v>
      </c>
      <c r="P178" s="10">
        <f t="shared" si="47"/>
        <v>0</v>
      </c>
      <c r="Q178" s="88">
        <v>0</v>
      </c>
      <c r="R178" s="10">
        <f t="shared" si="48"/>
        <v>0</v>
      </c>
      <c r="S178" s="88">
        <f t="shared" si="49"/>
        <v>0</v>
      </c>
      <c r="T178" s="10">
        <f t="shared" si="50"/>
        <v>0</v>
      </c>
      <c r="U178" s="10">
        <f t="shared" si="51"/>
        <v>17248</v>
      </c>
      <c r="V178" s="11">
        <f t="shared" si="61"/>
        <v>17248</v>
      </c>
      <c r="W178" s="12">
        <f t="shared" si="52"/>
        <v>0</v>
      </c>
      <c r="X178" s="92">
        <f t="shared" si="46"/>
        <v>0</v>
      </c>
      <c r="Y178" s="93" t="str">
        <f t="shared" si="60"/>
        <v>0.00%-0.00%</v>
      </c>
      <c r="Z178" s="15"/>
      <c r="AA178" s="15"/>
      <c r="AB178" s="15"/>
      <c r="AC178" s="95"/>
      <c r="AD178" s="8">
        <f t="shared" si="53"/>
        <v>0</v>
      </c>
      <c r="AE178" s="17">
        <f t="shared" si="54"/>
        <v>17248</v>
      </c>
      <c r="AF178" s="18">
        <f t="shared" si="55"/>
        <v>0</v>
      </c>
      <c r="AG178" s="97">
        <f t="shared" si="56"/>
        <v>0</v>
      </c>
      <c r="AH178" s="20">
        <v>14</v>
      </c>
      <c r="AI178" s="20">
        <v>450</v>
      </c>
      <c r="AJ178" s="20"/>
      <c r="AK178" s="20">
        <v>688</v>
      </c>
      <c r="AL178" s="20">
        <f t="shared" si="57"/>
        <v>247560</v>
      </c>
      <c r="AM178" s="7">
        <v>5</v>
      </c>
      <c r="AN178" s="20"/>
      <c r="AO178" s="21"/>
      <c r="AP178" s="21"/>
      <c r="AQ178" s="5" t="s">
        <v>1538</v>
      </c>
      <c r="AR178" s="5" t="s">
        <v>164</v>
      </c>
      <c r="AS178" s="5" t="s">
        <v>59</v>
      </c>
      <c r="AT178" s="20"/>
      <c r="AU178" s="21"/>
      <c r="AV178" s="21"/>
      <c r="AW178" s="144" t="str">
        <f t="shared" si="58"/>
        <v>OK</v>
      </c>
      <c r="AX178" s="21" t="s">
        <v>3131</v>
      </c>
      <c r="AY178" s="21" t="s">
        <v>3134</v>
      </c>
      <c r="AZ178" s="21"/>
      <c r="BA178" s="21"/>
    </row>
    <row r="179" spans="1:53" ht="20" customHeight="1">
      <c r="A179" s="86" t="s">
        <v>318</v>
      </c>
      <c r="B179" s="372" t="s">
        <v>2509</v>
      </c>
      <c r="C179" s="5" t="s">
        <v>51</v>
      </c>
      <c r="D179" s="5" t="s">
        <v>52</v>
      </c>
      <c r="E179" s="5" t="s">
        <v>1604</v>
      </c>
      <c r="F179" s="5" t="s">
        <v>1537</v>
      </c>
      <c r="G179" s="5" t="s">
        <v>1453</v>
      </c>
      <c r="H179" s="6">
        <v>43236</v>
      </c>
      <c r="I179" s="5" t="s">
        <v>60</v>
      </c>
      <c r="J179" s="5" t="s">
        <v>60</v>
      </c>
      <c r="K179" s="5" t="s">
        <v>61</v>
      </c>
      <c r="L179" s="7">
        <v>2</v>
      </c>
      <c r="M179" s="7">
        <v>3</v>
      </c>
      <c r="N179" s="8">
        <v>20998</v>
      </c>
      <c r="O179" s="88">
        <v>0</v>
      </c>
      <c r="P179" s="10">
        <f t="shared" si="47"/>
        <v>0</v>
      </c>
      <c r="Q179" s="88">
        <v>0</v>
      </c>
      <c r="R179" s="10">
        <f t="shared" si="48"/>
        <v>0</v>
      </c>
      <c r="S179" s="88">
        <f t="shared" si="49"/>
        <v>0</v>
      </c>
      <c r="T179" s="10">
        <f t="shared" si="50"/>
        <v>0</v>
      </c>
      <c r="U179" s="10">
        <f t="shared" si="51"/>
        <v>20998</v>
      </c>
      <c r="V179" s="11">
        <f t="shared" si="61"/>
        <v>20998</v>
      </c>
      <c r="W179" s="12">
        <f t="shared" si="52"/>
        <v>0</v>
      </c>
      <c r="X179" s="92">
        <f t="shared" si="46"/>
        <v>0</v>
      </c>
      <c r="Y179" s="93" t="str">
        <f t="shared" si="60"/>
        <v>0.00%-0.00%</v>
      </c>
      <c r="Z179" s="15"/>
      <c r="AA179" s="15"/>
      <c r="AB179" s="15"/>
      <c r="AC179" s="95"/>
      <c r="AD179" s="8">
        <f t="shared" si="53"/>
        <v>0</v>
      </c>
      <c r="AE179" s="17">
        <f t="shared" si="54"/>
        <v>20998</v>
      </c>
      <c r="AF179" s="18">
        <f t="shared" si="55"/>
        <v>0</v>
      </c>
      <c r="AG179" s="97">
        <f t="shared" si="56"/>
        <v>0</v>
      </c>
      <c r="AH179" s="20">
        <v>14</v>
      </c>
      <c r="AI179" s="20">
        <v>2500</v>
      </c>
      <c r="AJ179" s="20"/>
      <c r="AK179" s="20">
        <v>688</v>
      </c>
      <c r="AL179" s="20">
        <f t="shared" si="57"/>
        <v>324660</v>
      </c>
      <c r="AM179" s="7">
        <v>5</v>
      </c>
      <c r="AN179" s="20"/>
      <c r="AO179" s="21"/>
      <c r="AP179" s="21"/>
      <c r="AQ179" s="5" t="s">
        <v>1538</v>
      </c>
      <c r="AR179" s="5" t="s">
        <v>164</v>
      </c>
      <c r="AS179" s="5" t="s">
        <v>59</v>
      </c>
      <c r="AT179" s="20"/>
      <c r="AU179" s="21"/>
      <c r="AV179" s="21"/>
      <c r="AW179" s="144" t="str">
        <f t="shared" si="58"/>
        <v>OK</v>
      </c>
      <c r="AX179" s="21" t="s">
        <v>3133</v>
      </c>
      <c r="AY179" s="21" t="s">
        <v>3134</v>
      </c>
      <c r="AZ179" s="21"/>
      <c r="BA179" s="21"/>
    </row>
    <row r="180" spans="1:53" ht="20" customHeight="1">
      <c r="A180" s="86" t="s">
        <v>318</v>
      </c>
      <c r="B180" s="372" t="s">
        <v>2510</v>
      </c>
      <c r="C180" s="5" t="s">
        <v>51</v>
      </c>
      <c r="D180" s="5" t="s">
        <v>52</v>
      </c>
      <c r="E180" s="5" t="s">
        <v>1604</v>
      </c>
      <c r="F180" s="5" t="s">
        <v>1542</v>
      </c>
      <c r="G180" s="5" t="s">
        <v>1453</v>
      </c>
      <c r="H180" s="6">
        <v>44440</v>
      </c>
      <c r="I180" s="5" t="s">
        <v>82</v>
      </c>
      <c r="J180" s="5" t="s">
        <v>1510</v>
      </c>
      <c r="K180" s="5" t="s">
        <v>84</v>
      </c>
      <c r="L180" s="7">
        <v>2</v>
      </c>
      <c r="M180" s="7">
        <v>4</v>
      </c>
      <c r="N180" s="8">
        <v>13000</v>
      </c>
      <c r="O180" s="88">
        <v>0.03</v>
      </c>
      <c r="P180" s="10">
        <f t="shared" si="47"/>
        <v>390</v>
      </c>
      <c r="Q180" s="88">
        <v>0</v>
      </c>
      <c r="R180" s="10">
        <f t="shared" si="48"/>
        <v>0</v>
      </c>
      <c r="S180" s="88">
        <f t="shared" si="49"/>
        <v>0.03</v>
      </c>
      <c r="T180" s="10">
        <f t="shared" si="50"/>
        <v>390</v>
      </c>
      <c r="U180" s="10">
        <f t="shared" si="51"/>
        <v>13390</v>
      </c>
      <c r="V180" s="11">
        <f>U180-390</f>
        <v>13000</v>
      </c>
      <c r="W180" s="12">
        <f t="shared" si="52"/>
        <v>0</v>
      </c>
      <c r="X180" s="92">
        <f t="shared" si="46"/>
        <v>0</v>
      </c>
      <c r="Y180" s="93" t="str">
        <f t="shared" si="60"/>
        <v>2.40%-3.60%</v>
      </c>
      <c r="Z180" s="15" t="s">
        <v>87</v>
      </c>
      <c r="AA180" s="15" t="s">
        <v>1446</v>
      </c>
      <c r="AB180" s="15" t="s">
        <v>139</v>
      </c>
      <c r="AC180" s="95">
        <v>7.6999999999999999E-2</v>
      </c>
      <c r="AD180" s="8">
        <f t="shared" si="53"/>
        <v>1001</v>
      </c>
      <c r="AE180" s="17">
        <f t="shared" si="54"/>
        <v>14001</v>
      </c>
      <c r="AF180" s="18">
        <f t="shared" si="55"/>
        <v>1001</v>
      </c>
      <c r="AG180" s="97">
        <f t="shared" si="56"/>
        <v>7.6999999999999957E-2</v>
      </c>
      <c r="AH180" s="20">
        <v>14</v>
      </c>
      <c r="AI180" s="20">
        <v>450</v>
      </c>
      <c r="AJ180" s="20"/>
      <c r="AK180" s="20">
        <v>688</v>
      </c>
      <c r="AL180" s="20">
        <f t="shared" si="57"/>
        <v>202102</v>
      </c>
      <c r="AM180" s="7">
        <v>3</v>
      </c>
      <c r="AN180" s="20"/>
      <c r="AO180" s="21" t="s">
        <v>1543</v>
      </c>
      <c r="AP180" s="21" t="s">
        <v>173</v>
      </c>
      <c r="AQ180" s="5" t="s">
        <v>1538</v>
      </c>
      <c r="AR180" s="5" t="s">
        <v>164</v>
      </c>
      <c r="AS180" s="5" t="s">
        <v>59</v>
      </c>
      <c r="AT180" s="20"/>
      <c r="AU180" s="21"/>
      <c r="AV180" s="21"/>
      <c r="AW180" s="144" t="str">
        <f t="shared" si="58"/>
        <v>0 increase</v>
      </c>
      <c r="AX180" s="21" t="s">
        <v>3131</v>
      </c>
      <c r="AY180" s="21" t="s">
        <v>3136</v>
      </c>
      <c r="AZ180" s="21"/>
      <c r="BA180" s="21"/>
    </row>
    <row r="181" spans="1:53" ht="20" customHeight="1">
      <c r="A181" s="86" t="s">
        <v>318</v>
      </c>
      <c r="B181" s="372" t="s">
        <v>2511</v>
      </c>
      <c r="C181" s="5" t="s">
        <v>51</v>
      </c>
      <c r="D181" s="5" t="s">
        <v>52</v>
      </c>
      <c r="E181" s="5" t="s">
        <v>1604</v>
      </c>
      <c r="F181" s="5" t="s">
        <v>1539</v>
      </c>
      <c r="G181" s="5" t="s">
        <v>1453</v>
      </c>
      <c r="H181" s="6">
        <v>41031</v>
      </c>
      <c r="I181" s="5" t="s">
        <v>140</v>
      </c>
      <c r="J181" s="5" t="s">
        <v>1446</v>
      </c>
      <c r="K181" s="5" t="s">
        <v>61</v>
      </c>
      <c r="L181" s="7">
        <v>2</v>
      </c>
      <c r="M181" s="7">
        <v>3</v>
      </c>
      <c r="N181" s="8">
        <v>17216</v>
      </c>
      <c r="O181" s="88">
        <v>2.5000000000000001E-2</v>
      </c>
      <c r="P181" s="10">
        <f t="shared" si="47"/>
        <v>430</v>
      </c>
      <c r="Q181" s="88">
        <v>0</v>
      </c>
      <c r="R181" s="10">
        <f t="shared" si="48"/>
        <v>0</v>
      </c>
      <c r="S181" s="88">
        <f t="shared" si="49"/>
        <v>2.4976765799256506E-2</v>
      </c>
      <c r="T181" s="10">
        <f t="shared" si="50"/>
        <v>430</v>
      </c>
      <c r="U181" s="10">
        <f t="shared" si="51"/>
        <v>17646</v>
      </c>
      <c r="V181" s="11">
        <f t="shared" si="61"/>
        <v>17646</v>
      </c>
      <c r="W181" s="12">
        <f t="shared" si="52"/>
        <v>430</v>
      </c>
      <c r="X181" s="92">
        <f t="shared" si="46"/>
        <v>2.5000000000000001E-2</v>
      </c>
      <c r="Y181" s="93" t="str">
        <f t="shared" si="60"/>
        <v>2.00%-3.00%</v>
      </c>
      <c r="Z181" s="15"/>
      <c r="AA181" s="15"/>
      <c r="AB181" s="15"/>
      <c r="AC181" s="95"/>
      <c r="AD181" s="8">
        <f t="shared" si="53"/>
        <v>0</v>
      </c>
      <c r="AE181" s="17">
        <f t="shared" si="54"/>
        <v>17646</v>
      </c>
      <c r="AF181" s="18">
        <f t="shared" si="55"/>
        <v>430</v>
      </c>
      <c r="AG181" s="97">
        <f t="shared" si="56"/>
        <v>2.4976765799256562E-2</v>
      </c>
      <c r="AH181" s="20">
        <v>14</v>
      </c>
      <c r="AI181" s="20">
        <v>450</v>
      </c>
      <c r="AJ181" s="20"/>
      <c r="AK181" s="20">
        <v>688</v>
      </c>
      <c r="AL181" s="20">
        <f t="shared" si="57"/>
        <v>253132</v>
      </c>
      <c r="AM181" s="7">
        <v>3</v>
      </c>
      <c r="AN181" s="20"/>
      <c r="AO181" s="21"/>
      <c r="AP181" s="21"/>
      <c r="AQ181" s="5" t="s">
        <v>1538</v>
      </c>
      <c r="AR181" s="5" t="s">
        <v>164</v>
      </c>
      <c r="AS181" s="5" t="s">
        <v>59</v>
      </c>
      <c r="AT181" s="20"/>
      <c r="AU181" s="21"/>
      <c r="AV181" s="21"/>
      <c r="AW181" s="144" t="str">
        <f t="shared" si="58"/>
        <v>OK</v>
      </c>
      <c r="AX181" s="21" t="s">
        <v>3135</v>
      </c>
      <c r="AY181" s="21" t="s">
        <v>3130</v>
      </c>
      <c r="AZ181" s="21"/>
      <c r="BA181" s="21"/>
    </row>
    <row r="182" spans="1:53" ht="20" customHeight="1">
      <c r="A182" s="86" t="s">
        <v>318</v>
      </c>
      <c r="B182" s="372" t="s">
        <v>2512</v>
      </c>
      <c r="C182" s="5" t="s">
        <v>51</v>
      </c>
      <c r="D182" s="5" t="s">
        <v>52</v>
      </c>
      <c r="E182" s="5" t="s">
        <v>1604</v>
      </c>
      <c r="F182" s="5" t="s">
        <v>1539</v>
      </c>
      <c r="G182" s="5" t="s">
        <v>1453</v>
      </c>
      <c r="H182" s="6">
        <v>43243</v>
      </c>
      <c r="I182" s="5" t="s">
        <v>111</v>
      </c>
      <c r="J182" s="5" t="s">
        <v>1544</v>
      </c>
      <c r="K182" s="5" t="s">
        <v>56</v>
      </c>
      <c r="L182" s="7">
        <v>2</v>
      </c>
      <c r="M182" s="7">
        <v>3</v>
      </c>
      <c r="N182" s="8">
        <v>26480</v>
      </c>
      <c r="O182" s="88">
        <v>0</v>
      </c>
      <c r="P182" s="10">
        <f t="shared" si="47"/>
        <v>0</v>
      </c>
      <c r="Q182" s="88">
        <v>0</v>
      </c>
      <c r="R182" s="10">
        <f t="shared" si="48"/>
        <v>0</v>
      </c>
      <c r="S182" s="88">
        <f t="shared" si="49"/>
        <v>0</v>
      </c>
      <c r="T182" s="10">
        <f t="shared" si="50"/>
        <v>0</v>
      </c>
      <c r="U182" s="10">
        <f t="shared" si="51"/>
        <v>26480</v>
      </c>
      <c r="V182" s="11">
        <f>U182</f>
        <v>26480</v>
      </c>
      <c r="W182" s="12">
        <f t="shared" si="52"/>
        <v>0</v>
      </c>
      <c r="X182" s="92">
        <f t="shared" si="46"/>
        <v>0</v>
      </c>
      <c r="Y182" s="93" t="str">
        <f t="shared" si="60"/>
        <v>0.00%-0.00%</v>
      </c>
      <c r="Z182" s="15"/>
      <c r="AA182" s="15"/>
      <c r="AB182" s="15"/>
      <c r="AC182" s="95"/>
      <c r="AD182" s="8">
        <f t="shared" si="53"/>
        <v>0</v>
      </c>
      <c r="AE182" s="17">
        <f t="shared" si="54"/>
        <v>26480</v>
      </c>
      <c r="AF182" s="18">
        <f t="shared" si="55"/>
        <v>0</v>
      </c>
      <c r="AG182" s="97">
        <f t="shared" si="56"/>
        <v>0</v>
      </c>
      <c r="AH182" s="20">
        <v>14</v>
      </c>
      <c r="AI182" s="20">
        <v>450</v>
      </c>
      <c r="AJ182" s="20"/>
      <c r="AK182" s="20">
        <v>688</v>
      </c>
      <c r="AL182" s="20">
        <f t="shared" si="57"/>
        <v>376808</v>
      </c>
      <c r="AM182" s="7">
        <v>3</v>
      </c>
      <c r="AN182" s="20"/>
      <c r="AO182" s="21"/>
      <c r="AP182" s="21"/>
      <c r="AQ182" s="5" t="s">
        <v>1538</v>
      </c>
      <c r="AR182" s="5" t="s">
        <v>164</v>
      </c>
      <c r="AS182" s="5" t="s">
        <v>59</v>
      </c>
      <c r="AT182" s="20"/>
      <c r="AU182" s="21"/>
      <c r="AV182" s="21"/>
      <c r="AW182" s="144" t="str">
        <f t="shared" si="58"/>
        <v>OK</v>
      </c>
      <c r="AX182" s="21" t="s">
        <v>3133</v>
      </c>
      <c r="AY182" s="21" t="s">
        <v>3134</v>
      </c>
      <c r="AZ182" s="21"/>
      <c r="BA182" s="21"/>
    </row>
    <row r="183" spans="1:53" ht="20" customHeight="1">
      <c r="A183" s="86" t="s">
        <v>318</v>
      </c>
      <c r="B183" s="372" t="s">
        <v>2513</v>
      </c>
      <c r="C183" s="5" t="s">
        <v>51</v>
      </c>
      <c r="D183" s="5" t="s">
        <v>52</v>
      </c>
      <c r="E183" s="5" t="s">
        <v>1604</v>
      </c>
      <c r="F183" s="5" t="s">
        <v>1542</v>
      </c>
      <c r="G183" s="5" t="s">
        <v>1453</v>
      </c>
      <c r="H183" s="6">
        <v>44706</v>
      </c>
      <c r="I183" s="5" t="s">
        <v>74</v>
      </c>
      <c r="J183" s="5" t="s">
        <v>1446</v>
      </c>
      <c r="K183" s="5" t="s">
        <v>76</v>
      </c>
      <c r="L183" s="7">
        <v>2</v>
      </c>
      <c r="M183" s="7">
        <v>3</v>
      </c>
      <c r="N183" s="8">
        <v>14629</v>
      </c>
      <c r="O183" s="88">
        <v>0</v>
      </c>
      <c r="P183" s="10">
        <f t="shared" si="47"/>
        <v>0</v>
      </c>
      <c r="Q183" s="88">
        <v>0</v>
      </c>
      <c r="R183" s="10">
        <f t="shared" si="48"/>
        <v>0</v>
      </c>
      <c r="S183" s="88">
        <f t="shared" si="49"/>
        <v>0</v>
      </c>
      <c r="T183" s="10">
        <f t="shared" si="50"/>
        <v>0</v>
      </c>
      <c r="U183" s="10">
        <f t="shared" si="51"/>
        <v>14629</v>
      </c>
      <c r="V183" s="11">
        <f>U183</f>
        <v>14629</v>
      </c>
      <c r="W183" s="12">
        <f t="shared" si="52"/>
        <v>0</v>
      </c>
      <c r="X183" s="92">
        <f t="shared" si="46"/>
        <v>0</v>
      </c>
      <c r="Y183" s="93" t="str">
        <f t="shared" si="60"/>
        <v>0.00%-0.00%</v>
      </c>
      <c r="Z183" s="15"/>
      <c r="AA183" s="15"/>
      <c r="AB183" s="15"/>
      <c r="AC183" s="95"/>
      <c r="AD183" s="8">
        <f t="shared" si="53"/>
        <v>0</v>
      </c>
      <c r="AE183" s="17">
        <f t="shared" si="54"/>
        <v>14629</v>
      </c>
      <c r="AF183" s="18">
        <f t="shared" si="55"/>
        <v>0</v>
      </c>
      <c r="AG183" s="97">
        <f t="shared" si="56"/>
        <v>0</v>
      </c>
      <c r="AH183" s="20">
        <v>14</v>
      </c>
      <c r="AI183" s="20">
        <v>450</v>
      </c>
      <c r="AJ183" s="20"/>
      <c r="AK183" s="20">
        <v>688</v>
      </c>
      <c r="AL183" s="20">
        <f t="shared" si="57"/>
        <v>210894</v>
      </c>
      <c r="AM183" s="7">
        <v>4</v>
      </c>
      <c r="AN183" s="20"/>
      <c r="AO183" s="21"/>
      <c r="AP183" s="21"/>
      <c r="AQ183" s="5" t="s">
        <v>1538</v>
      </c>
      <c r="AR183" s="5" t="s">
        <v>164</v>
      </c>
      <c r="AS183" s="5" t="s">
        <v>59</v>
      </c>
      <c r="AT183" s="20"/>
      <c r="AU183" s="21"/>
      <c r="AV183" s="21"/>
      <c r="AW183" s="144" t="str">
        <f t="shared" si="58"/>
        <v>OK</v>
      </c>
      <c r="AX183" s="21" t="s">
        <v>3131</v>
      </c>
      <c r="AY183" s="21" t="s">
        <v>3134</v>
      </c>
      <c r="AZ183" s="21"/>
      <c r="BA183" s="21"/>
    </row>
    <row r="184" spans="1:53" ht="20" customHeight="1">
      <c r="A184" s="86" t="s">
        <v>318</v>
      </c>
      <c r="B184" s="372" t="s">
        <v>2514</v>
      </c>
      <c r="C184" s="5" t="s">
        <v>51</v>
      </c>
      <c r="D184" s="5" t="s">
        <v>52</v>
      </c>
      <c r="E184" s="5" t="s">
        <v>1604</v>
      </c>
      <c r="F184" s="5" t="s">
        <v>1537</v>
      </c>
      <c r="G184" s="5" t="s">
        <v>1453</v>
      </c>
      <c r="H184" s="6">
        <v>41513</v>
      </c>
      <c r="I184" s="5" t="s">
        <v>55</v>
      </c>
      <c r="J184" s="5" t="s">
        <v>55</v>
      </c>
      <c r="K184" s="5" t="s">
        <v>56</v>
      </c>
      <c r="L184" s="7">
        <v>2</v>
      </c>
      <c r="M184" s="7">
        <v>4</v>
      </c>
      <c r="N184" s="8">
        <v>20978</v>
      </c>
      <c r="O184" s="88">
        <v>3.7500000000000006E-2</v>
      </c>
      <c r="P184" s="10">
        <f t="shared" si="47"/>
        <v>787</v>
      </c>
      <c r="Q184" s="88">
        <v>1.55E-2</v>
      </c>
      <c r="R184" s="10">
        <f t="shared" si="48"/>
        <v>325</v>
      </c>
      <c r="S184" s="88">
        <f t="shared" si="49"/>
        <v>5.3007913051768517E-2</v>
      </c>
      <c r="T184" s="10">
        <f t="shared" si="50"/>
        <v>1112</v>
      </c>
      <c r="U184" s="10">
        <f t="shared" si="51"/>
        <v>22090</v>
      </c>
      <c r="V184" s="11">
        <f t="shared" si="61"/>
        <v>22090</v>
      </c>
      <c r="W184" s="12">
        <f t="shared" si="52"/>
        <v>1112</v>
      </c>
      <c r="X184" s="92">
        <f t="shared" si="46"/>
        <v>5.2999999999999999E-2</v>
      </c>
      <c r="Y184" s="93" t="str">
        <f t="shared" si="60"/>
        <v>4.24%-6.36%</v>
      </c>
      <c r="Z184" s="15"/>
      <c r="AA184" s="15"/>
      <c r="AB184" s="15"/>
      <c r="AC184" s="95"/>
      <c r="AD184" s="8">
        <f t="shared" si="53"/>
        <v>0</v>
      </c>
      <c r="AE184" s="17">
        <f t="shared" si="54"/>
        <v>22090</v>
      </c>
      <c r="AF184" s="18">
        <f t="shared" si="55"/>
        <v>1112</v>
      </c>
      <c r="AG184" s="97">
        <f t="shared" si="56"/>
        <v>5.300791305176844E-2</v>
      </c>
      <c r="AH184" s="20">
        <v>14</v>
      </c>
      <c r="AI184" s="20">
        <v>450</v>
      </c>
      <c r="AJ184" s="20"/>
      <c r="AK184" s="20">
        <v>688</v>
      </c>
      <c r="AL184" s="20">
        <f t="shared" si="57"/>
        <v>315348</v>
      </c>
      <c r="AM184" s="7">
        <v>3</v>
      </c>
      <c r="AN184" s="20"/>
      <c r="AO184" s="21"/>
      <c r="AP184" s="21"/>
      <c r="AQ184" s="5" t="s">
        <v>1538</v>
      </c>
      <c r="AR184" s="5" t="s">
        <v>164</v>
      </c>
      <c r="AS184" s="5" t="s">
        <v>59</v>
      </c>
      <c r="AT184" s="20"/>
      <c r="AU184" s="21"/>
      <c r="AV184" s="21"/>
      <c r="AW184" s="144" t="str">
        <f t="shared" si="58"/>
        <v>OK</v>
      </c>
      <c r="AX184" s="21" t="s">
        <v>3135</v>
      </c>
      <c r="AY184" s="21" t="s">
        <v>3130</v>
      </c>
      <c r="AZ184" s="21"/>
      <c r="BA184" s="21"/>
    </row>
    <row r="185" spans="1:53" ht="20" customHeight="1">
      <c r="A185" s="86" t="s">
        <v>318</v>
      </c>
      <c r="B185" s="372" t="s">
        <v>2515</v>
      </c>
      <c r="C185" s="5" t="s">
        <v>51</v>
      </c>
      <c r="D185" s="5" t="s">
        <v>52</v>
      </c>
      <c r="E185" s="5" t="s">
        <v>1604</v>
      </c>
      <c r="F185" s="5" t="s">
        <v>1542</v>
      </c>
      <c r="G185" s="5" t="s">
        <v>1453</v>
      </c>
      <c r="H185" s="6">
        <v>40010</v>
      </c>
      <c r="I185" s="5" t="s">
        <v>60</v>
      </c>
      <c r="J185" s="5" t="s">
        <v>60</v>
      </c>
      <c r="K185" s="5" t="s">
        <v>61</v>
      </c>
      <c r="L185" s="7">
        <v>2</v>
      </c>
      <c r="M185" s="7">
        <v>4</v>
      </c>
      <c r="N185" s="8">
        <v>15568</v>
      </c>
      <c r="O185" s="88">
        <v>3.7500000000000006E-2</v>
      </c>
      <c r="P185" s="10">
        <f t="shared" si="47"/>
        <v>584</v>
      </c>
      <c r="Q185" s="88">
        <v>1.55E-2</v>
      </c>
      <c r="R185" s="10">
        <f t="shared" si="48"/>
        <v>241</v>
      </c>
      <c r="S185" s="88">
        <f t="shared" si="49"/>
        <v>5.2993319630010277E-2</v>
      </c>
      <c r="T185" s="10">
        <f t="shared" si="50"/>
        <v>825</v>
      </c>
      <c r="U185" s="10">
        <f t="shared" si="51"/>
        <v>16393</v>
      </c>
      <c r="V185" s="11">
        <f>U185+7</f>
        <v>16400</v>
      </c>
      <c r="W185" s="12">
        <f t="shared" si="52"/>
        <v>832</v>
      </c>
      <c r="X185" s="92">
        <f t="shared" si="46"/>
        <v>5.3400000000000003E-2</v>
      </c>
      <c r="Y185" s="93" t="str">
        <f t="shared" si="60"/>
        <v>4.24%-6.36%</v>
      </c>
      <c r="Z185" s="15"/>
      <c r="AA185" s="15"/>
      <c r="AB185" s="15"/>
      <c r="AC185" s="95"/>
      <c r="AD185" s="8">
        <f t="shared" si="53"/>
        <v>0</v>
      </c>
      <c r="AE185" s="17">
        <f t="shared" si="54"/>
        <v>16400</v>
      </c>
      <c r="AF185" s="18">
        <f t="shared" si="55"/>
        <v>832</v>
      </c>
      <c r="AG185" s="97">
        <f t="shared" si="56"/>
        <v>5.3442959917780142E-2</v>
      </c>
      <c r="AH185" s="20">
        <v>14</v>
      </c>
      <c r="AI185" s="20">
        <v>450</v>
      </c>
      <c r="AJ185" s="20"/>
      <c r="AK185" s="20">
        <v>688</v>
      </c>
      <c r="AL185" s="20">
        <f t="shared" si="57"/>
        <v>235688</v>
      </c>
      <c r="AM185" s="7">
        <v>5</v>
      </c>
      <c r="AN185" s="20"/>
      <c r="AO185" s="21"/>
      <c r="AP185" s="21"/>
      <c r="AQ185" s="5" t="s">
        <v>1538</v>
      </c>
      <c r="AR185" s="5" t="s">
        <v>164</v>
      </c>
      <c r="AS185" s="5" t="s">
        <v>59</v>
      </c>
      <c r="AT185" s="20"/>
      <c r="AU185" s="21"/>
      <c r="AV185" s="21"/>
      <c r="AW185" s="144" t="str">
        <f t="shared" si="58"/>
        <v>OK</v>
      </c>
      <c r="AX185" s="21" t="s">
        <v>3129</v>
      </c>
      <c r="AY185" s="21" t="s">
        <v>3130</v>
      </c>
      <c r="AZ185" s="21"/>
      <c r="BA185" s="21"/>
    </row>
    <row r="186" spans="1:53" ht="20" customHeight="1">
      <c r="A186" s="86" t="s">
        <v>318</v>
      </c>
      <c r="B186" s="372" t="s">
        <v>2516</v>
      </c>
      <c r="C186" s="5" t="s">
        <v>51</v>
      </c>
      <c r="D186" s="5" t="s">
        <v>52</v>
      </c>
      <c r="E186" s="5" t="s">
        <v>1604</v>
      </c>
      <c r="F186" s="5" t="s">
        <v>1540</v>
      </c>
      <c r="G186" s="5" t="s">
        <v>1453</v>
      </c>
      <c r="H186" s="6">
        <v>45329</v>
      </c>
      <c r="I186" s="5" t="s">
        <v>74</v>
      </c>
      <c r="J186" s="5" t="s">
        <v>74</v>
      </c>
      <c r="K186" s="5" t="s">
        <v>76</v>
      </c>
      <c r="L186" s="7">
        <v>2</v>
      </c>
      <c r="M186" s="7">
        <v>4</v>
      </c>
      <c r="N186" s="8">
        <v>19450</v>
      </c>
      <c r="O186" s="88">
        <v>1.4999999999999998E-2</v>
      </c>
      <c r="P186" s="10">
        <f t="shared" si="47"/>
        <v>292</v>
      </c>
      <c r="Q186" s="88">
        <v>0</v>
      </c>
      <c r="R186" s="10">
        <f t="shared" si="48"/>
        <v>0</v>
      </c>
      <c r="S186" s="88">
        <f t="shared" si="49"/>
        <v>1.5012853470437019E-2</v>
      </c>
      <c r="T186" s="10">
        <f t="shared" si="50"/>
        <v>292</v>
      </c>
      <c r="U186" s="10">
        <f t="shared" si="51"/>
        <v>19742</v>
      </c>
      <c r="V186" s="11">
        <f>U186+58</f>
        <v>19800</v>
      </c>
      <c r="W186" s="12">
        <f t="shared" si="52"/>
        <v>350</v>
      </c>
      <c r="X186" s="92">
        <f t="shared" si="46"/>
        <v>1.7999999999999999E-2</v>
      </c>
      <c r="Y186" s="93" t="str">
        <f t="shared" si="60"/>
        <v>1.20%-1.80%</v>
      </c>
      <c r="Z186" s="15"/>
      <c r="AA186" s="15"/>
      <c r="AB186" s="15"/>
      <c r="AC186" s="95"/>
      <c r="AD186" s="8">
        <f t="shared" si="53"/>
        <v>0</v>
      </c>
      <c r="AE186" s="17">
        <f t="shared" si="54"/>
        <v>19800</v>
      </c>
      <c r="AF186" s="18">
        <f t="shared" si="55"/>
        <v>350</v>
      </c>
      <c r="AG186" s="97">
        <f t="shared" si="56"/>
        <v>1.799485861182526E-2</v>
      </c>
      <c r="AH186" s="20">
        <v>14</v>
      </c>
      <c r="AI186" s="20">
        <v>450</v>
      </c>
      <c r="AJ186" s="20"/>
      <c r="AK186" s="20">
        <v>688</v>
      </c>
      <c r="AL186" s="20">
        <f t="shared" si="57"/>
        <v>283288</v>
      </c>
      <c r="AM186" s="7">
        <v>4</v>
      </c>
      <c r="AN186" s="20"/>
      <c r="AO186" s="21"/>
      <c r="AP186" s="21"/>
      <c r="AQ186" s="5" t="s">
        <v>1538</v>
      </c>
      <c r="AR186" s="5" t="s">
        <v>164</v>
      </c>
      <c r="AS186" s="5" t="s">
        <v>59</v>
      </c>
      <c r="AT186" s="20"/>
      <c r="AU186" s="21"/>
      <c r="AV186" s="21"/>
      <c r="AW186" s="144" t="str">
        <f t="shared" si="58"/>
        <v>OK</v>
      </c>
      <c r="AX186" s="21" t="s">
        <v>3131</v>
      </c>
      <c r="AY186" s="21" t="s">
        <v>3142</v>
      </c>
      <c r="AZ186" s="21"/>
      <c r="BA186" s="21"/>
    </row>
    <row r="187" spans="1:53" ht="20" customHeight="1">
      <c r="A187" s="86" t="s">
        <v>318</v>
      </c>
      <c r="B187" s="372" t="s">
        <v>2517</v>
      </c>
      <c r="C187" s="5" t="s">
        <v>51</v>
      </c>
      <c r="D187" s="5" t="s">
        <v>52</v>
      </c>
      <c r="E187" s="5" t="s">
        <v>1604</v>
      </c>
      <c r="F187" s="5" t="s">
        <v>1537</v>
      </c>
      <c r="G187" s="5" t="s">
        <v>1453</v>
      </c>
      <c r="H187" s="6">
        <v>40709</v>
      </c>
      <c r="I187" s="5" t="s">
        <v>111</v>
      </c>
      <c r="J187" s="5" t="s">
        <v>1545</v>
      </c>
      <c r="K187" s="5" t="s">
        <v>56</v>
      </c>
      <c r="L187" s="7">
        <v>2</v>
      </c>
      <c r="M187" s="7">
        <v>3</v>
      </c>
      <c r="N187" s="8">
        <v>25118</v>
      </c>
      <c r="O187" s="88">
        <v>2.5000000000000001E-2</v>
      </c>
      <c r="P187" s="10">
        <f t="shared" si="47"/>
        <v>628</v>
      </c>
      <c r="Q187" s="88">
        <v>0</v>
      </c>
      <c r="R187" s="10">
        <f t="shared" si="48"/>
        <v>0</v>
      </c>
      <c r="S187" s="88">
        <f t="shared" si="49"/>
        <v>2.500199060434748E-2</v>
      </c>
      <c r="T187" s="10">
        <f t="shared" si="50"/>
        <v>628</v>
      </c>
      <c r="U187" s="10">
        <f t="shared" si="51"/>
        <v>25746</v>
      </c>
      <c r="V187" s="11">
        <f>U187+54</f>
        <v>25800</v>
      </c>
      <c r="W187" s="12">
        <f t="shared" si="52"/>
        <v>682</v>
      </c>
      <c r="X187" s="92">
        <f t="shared" si="46"/>
        <v>2.7199999999999998E-2</v>
      </c>
      <c r="Y187" s="93" t="str">
        <f t="shared" si="60"/>
        <v>2.00%-3.00%</v>
      </c>
      <c r="Z187" s="15"/>
      <c r="AA187" s="15"/>
      <c r="AB187" s="15"/>
      <c r="AC187" s="95"/>
      <c r="AD187" s="8">
        <f t="shared" si="53"/>
        <v>0</v>
      </c>
      <c r="AE187" s="17">
        <f t="shared" si="54"/>
        <v>25800</v>
      </c>
      <c r="AF187" s="18">
        <f t="shared" si="55"/>
        <v>682</v>
      </c>
      <c r="AG187" s="97">
        <f t="shared" si="56"/>
        <v>2.7151843299625833E-2</v>
      </c>
      <c r="AH187" s="20">
        <v>14</v>
      </c>
      <c r="AI187" s="20">
        <v>450</v>
      </c>
      <c r="AJ187" s="20"/>
      <c r="AK187" s="20">
        <v>688</v>
      </c>
      <c r="AL187" s="20">
        <f t="shared" si="57"/>
        <v>367288</v>
      </c>
      <c r="AM187" s="7">
        <v>3</v>
      </c>
      <c r="AN187" s="20"/>
      <c r="AO187" s="21"/>
      <c r="AP187" s="21"/>
      <c r="AQ187" s="5" t="s">
        <v>1538</v>
      </c>
      <c r="AR187" s="5" t="s">
        <v>164</v>
      </c>
      <c r="AS187" s="5" t="s">
        <v>59</v>
      </c>
      <c r="AT187" s="20"/>
      <c r="AU187" s="21"/>
      <c r="AV187" s="21"/>
      <c r="AW187" s="144" t="str">
        <f t="shared" si="58"/>
        <v>OK</v>
      </c>
      <c r="AX187" s="21" t="s">
        <v>3135</v>
      </c>
      <c r="AY187" s="21" t="s">
        <v>3130</v>
      </c>
      <c r="AZ187" s="21"/>
      <c r="BA187" s="21"/>
    </row>
    <row r="188" spans="1:53" ht="20" customHeight="1">
      <c r="A188" s="86" t="s">
        <v>318</v>
      </c>
      <c r="B188" s="372" t="s">
        <v>2518</v>
      </c>
      <c r="C188" s="5" t="s">
        <v>51</v>
      </c>
      <c r="D188" s="5" t="s">
        <v>52</v>
      </c>
      <c r="E188" s="5" t="s">
        <v>1604</v>
      </c>
      <c r="F188" s="5" t="s">
        <v>1542</v>
      </c>
      <c r="G188" s="5" t="s">
        <v>1453</v>
      </c>
      <c r="H188" s="6">
        <v>40611</v>
      </c>
      <c r="I188" s="5" t="s">
        <v>111</v>
      </c>
      <c r="J188" s="5" t="s">
        <v>1546</v>
      </c>
      <c r="K188" s="5" t="s">
        <v>56</v>
      </c>
      <c r="L188" s="7">
        <v>2</v>
      </c>
      <c r="M188" s="7">
        <v>3</v>
      </c>
      <c r="N188" s="8">
        <v>21333</v>
      </c>
      <c r="O188" s="88">
        <v>2.5000000000000001E-2</v>
      </c>
      <c r="P188" s="10">
        <f t="shared" si="47"/>
        <v>533</v>
      </c>
      <c r="Q188" s="88">
        <v>0</v>
      </c>
      <c r="R188" s="10">
        <f t="shared" si="48"/>
        <v>0</v>
      </c>
      <c r="S188" s="88">
        <f t="shared" si="49"/>
        <v>2.4984765386959172E-2</v>
      </c>
      <c r="T188" s="10">
        <f t="shared" si="50"/>
        <v>533</v>
      </c>
      <c r="U188" s="10">
        <f t="shared" si="51"/>
        <v>21866</v>
      </c>
      <c r="V188" s="11">
        <f>U188+34</f>
        <v>21900</v>
      </c>
      <c r="W188" s="12">
        <f t="shared" si="52"/>
        <v>567</v>
      </c>
      <c r="X188" s="92">
        <f t="shared" si="46"/>
        <v>2.6599999999999999E-2</v>
      </c>
      <c r="Y188" s="93" t="str">
        <f t="shared" si="60"/>
        <v>2.00%-3.00%</v>
      </c>
      <c r="Z188" s="15"/>
      <c r="AA188" s="15"/>
      <c r="AB188" s="15"/>
      <c r="AC188" s="95"/>
      <c r="AD188" s="8">
        <f t="shared" si="53"/>
        <v>0</v>
      </c>
      <c r="AE188" s="17">
        <f t="shared" si="54"/>
        <v>21900</v>
      </c>
      <c r="AF188" s="18">
        <f t="shared" si="55"/>
        <v>567</v>
      </c>
      <c r="AG188" s="97">
        <f t="shared" si="56"/>
        <v>2.6578540289692087E-2</v>
      </c>
      <c r="AH188" s="20">
        <v>14</v>
      </c>
      <c r="AI188" s="20">
        <v>450</v>
      </c>
      <c r="AJ188" s="20"/>
      <c r="AK188" s="20">
        <v>688</v>
      </c>
      <c r="AL188" s="20">
        <f t="shared" si="57"/>
        <v>312688</v>
      </c>
      <c r="AM188" s="7">
        <v>3</v>
      </c>
      <c r="AN188" s="20"/>
      <c r="AO188" s="21"/>
      <c r="AP188" s="21"/>
      <c r="AQ188" s="5" t="s">
        <v>1538</v>
      </c>
      <c r="AR188" s="5" t="s">
        <v>164</v>
      </c>
      <c r="AS188" s="5" t="s">
        <v>59</v>
      </c>
      <c r="AT188" s="20"/>
      <c r="AU188" s="21"/>
      <c r="AV188" s="21"/>
      <c r="AW188" s="144" t="str">
        <f t="shared" si="58"/>
        <v>OK</v>
      </c>
      <c r="AX188" s="21" t="s">
        <v>3135</v>
      </c>
      <c r="AY188" s="21" t="s">
        <v>3130</v>
      </c>
      <c r="AZ188" s="21"/>
      <c r="BA188" s="21"/>
    </row>
    <row r="189" spans="1:53" ht="20" customHeight="1">
      <c r="A189" s="86" t="s">
        <v>318</v>
      </c>
      <c r="B189" s="372" t="s">
        <v>2519</v>
      </c>
      <c r="C189" s="5" t="s">
        <v>51</v>
      </c>
      <c r="D189" s="5" t="s">
        <v>52</v>
      </c>
      <c r="E189" s="5" t="s">
        <v>1604</v>
      </c>
      <c r="F189" s="5" t="s">
        <v>1540</v>
      </c>
      <c r="G189" s="5" t="s">
        <v>1453</v>
      </c>
      <c r="H189" s="6">
        <v>44326</v>
      </c>
      <c r="I189" s="5" t="s">
        <v>111</v>
      </c>
      <c r="J189" s="5" t="s">
        <v>1547</v>
      </c>
      <c r="K189" s="5" t="s">
        <v>56</v>
      </c>
      <c r="L189" s="7">
        <v>2</v>
      </c>
      <c r="M189" s="7">
        <v>3</v>
      </c>
      <c r="N189" s="8">
        <v>34000</v>
      </c>
      <c r="O189" s="88">
        <v>0</v>
      </c>
      <c r="P189" s="10">
        <f t="shared" si="47"/>
        <v>0</v>
      </c>
      <c r="Q189" s="88">
        <v>0</v>
      </c>
      <c r="R189" s="10">
        <f t="shared" si="48"/>
        <v>0</v>
      </c>
      <c r="S189" s="88">
        <f t="shared" si="49"/>
        <v>0</v>
      </c>
      <c r="T189" s="10">
        <f t="shared" si="50"/>
        <v>0</v>
      </c>
      <c r="U189" s="10">
        <f t="shared" si="51"/>
        <v>34000</v>
      </c>
      <c r="V189" s="11">
        <f>U189+340</f>
        <v>34340</v>
      </c>
      <c r="W189" s="12">
        <f t="shared" si="52"/>
        <v>340</v>
      </c>
      <c r="X189" s="92">
        <f t="shared" si="46"/>
        <v>0.01</v>
      </c>
      <c r="Y189" s="93" t="str">
        <f t="shared" si="60"/>
        <v>0.00%-0.00%</v>
      </c>
      <c r="Z189" s="15"/>
      <c r="AA189" s="15"/>
      <c r="AB189" s="15"/>
      <c r="AC189" s="95"/>
      <c r="AD189" s="8">
        <f t="shared" si="53"/>
        <v>0</v>
      </c>
      <c r="AE189" s="17">
        <f t="shared" si="54"/>
        <v>34340</v>
      </c>
      <c r="AF189" s="18">
        <f t="shared" si="55"/>
        <v>340</v>
      </c>
      <c r="AG189" s="97">
        <f t="shared" si="56"/>
        <v>1.0000000000000009E-2</v>
      </c>
      <c r="AH189" s="20">
        <v>14</v>
      </c>
      <c r="AI189" s="20">
        <v>450</v>
      </c>
      <c r="AJ189" s="20"/>
      <c r="AK189" s="20">
        <v>688</v>
      </c>
      <c r="AL189" s="20">
        <f t="shared" si="57"/>
        <v>486848</v>
      </c>
      <c r="AM189" s="7">
        <v>3</v>
      </c>
      <c r="AN189" s="20"/>
      <c r="AO189" s="21" t="s">
        <v>1548</v>
      </c>
      <c r="AP189" s="21" t="s">
        <v>239</v>
      </c>
      <c r="AQ189" s="5" t="s">
        <v>1538</v>
      </c>
      <c r="AR189" s="5" t="s">
        <v>164</v>
      </c>
      <c r="AS189" s="5" t="s">
        <v>59</v>
      </c>
      <c r="AT189" s="20"/>
      <c r="AU189" s="21"/>
      <c r="AV189" s="21"/>
      <c r="AW189" s="144" t="str">
        <f t="shared" si="58"/>
        <v>&gt;20</v>
      </c>
      <c r="AX189" s="21" t="s">
        <v>3131</v>
      </c>
      <c r="AY189" s="21" t="s">
        <v>3134</v>
      </c>
      <c r="AZ189" s="21"/>
      <c r="BA189" s="21"/>
    </row>
    <row r="190" spans="1:53" ht="20" customHeight="1">
      <c r="A190" s="86" t="s">
        <v>318</v>
      </c>
      <c r="B190" s="372" t="s">
        <v>2520</v>
      </c>
      <c r="C190" s="5" t="s">
        <v>51</v>
      </c>
      <c r="D190" s="5" t="s">
        <v>52</v>
      </c>
      <c r="E190" s="5" t="s">
        <v>1604</v>
      </c>
      <c r="F190" s="5" t="s">
        <v>1549</v>
      </c>
      <c r="G190" s="5" t="s">
        <v>1550</v>
      </c>
      <c r="H190" s="6">
        <v>45839</v>
      </c>
      <c r="I190" s="5" t="s">
        <v>82</v>
      </c>
      <c r="J190" s="5" t="s">
        <v>1551</v>
      </c>
      <c r="K190" s="5" t="s">
        <v>84</v>
      </c>
      <c r="L190" s="7">
        <v>2</v>
      </c>
      <c r="M190" s="7">
        <v>3</v>
      </c>
      <c r="N190" s="8">
        <v>10500</v>
      </c>
      <c r="O190" s="88">
        <v>0</v>
      </c>
      <c r="P190" s="10">
        <f t="shared" si="47"/>
        <v>0</v>
      </c>
      <c r="Q190" s="88">
        <v>0</v>
      </c>
      <c r="R190" s="10">
        <f t="shared" si="48"/>
        <v>0</v>
      </c>
      <c r="S190" s="88">
        <f t="shared" si="49"/>
        <v>0</v>
      </c>
      <c r="T190" s="10">
        <f t="shared" si="50"/>
        <v>0</v>
      </c>
      <c r="U190" s="10">
        <f t="shared" si="51"/>
        <v>10500</v>
      </c>
      <c r="V190" s="11">
        <f>U190+300</f>
        <v>10800</v>
      </c>
      <c r="W190" s="12">
        <f t="shared" si="52"/>
        <v>300</v>
      </c>
      <c r="X190" s="92">
        <f t="shared" si="46"/>
        <v>2.86E-2</v>
      </c>
      <c r="Y190" s="93" t="str">
        <f t="shared" si="60"/>
        <v>0.00%-0.00%</v>
      </c>
      <c r="Z190" s="15"/>
      <c r="AA190" s="15"/>
      <c r="AB190" s="15"/>
      <c r="AC190" s="95"/>
      <c r="AD190" s="8">
        <f t="shared" si="53"/>
        <v>0</v>
      </c>
      <c r="AE190" s="17">
        <f t="shared" si="54"/>
        <v>10800</v>
      </c>
      <c r="AF190" s="18">
        <f t="shared" si="55"/>
        <v>300</v>
      </c>
      <c r="AG190" s="97">
        <f t="shared" si="56"/>
        <v>2.857142857142847E-2</v>
      </c>
      <c r="AH190" s="20">
        <v>14</v>
      </c>
      <c r="AI190" s="20">
        <v>450</v>
      </c>
      <c r="AJ190" s="20"/>
      <c r="AK190" s="20">
        <v>688</v>
      </c>
      <c r="AL190" s="20">
        <f t="shared" si="57"/>
        <v>157288</v>
      </c>
      <c r="AM190" s="7" t="e">
        <v>#N/A</v>
      </c>
      <c r="AN190" s="20"/>
      <c r="AO190" s="21" t="s">
        <v>1552</v>
      </c>
      <c r="AP190" s="21" t="s">
        <v>239</v>
      </c>
      <c r="AQ190" s="5" t="s">
        <v>1538</v>
      </c>
      <c r="AR190" s="5" t="s">
        <v>164</v>
      </c>
      <c r="AS190" s="5" t="s">
        <v>59</v>
      </c>
      <c r="AT190" s="20"/>
      <c r="AU190" s="21"/>
      <c r="AV190" s="21"/>
      <c r="AW190" s="144" t="str">
        <f t="shared" si="58"/>
        <v>&gt;20</v>
      </c>
      <c r="AX190" s="21" t="s">
        <v>3131</v>
      </c>
      <c r="AY190" s="21" t="s">
        <v>3134</v>
      </c>
      <c r="AZ190" s="21"/>
      <c r="BA190" s="21"/>
    </row>
    <row r="191" spans="1:53" ht="20" customHeight="1">
      <c r="A191" s="86" t="s">
        <v>318</v>
      </c>
      <c r="B191" s="372" t="s">
        <v>2521</v>
      </c>
      <c r="C191" s="5" t="s">
        <v>51</v>
      </c>
      <c r="D191" s="5" t="s">
        <v>52</v>
      </c>
      <c r="E191" s="5" t="s">
        <v>1604</v>
      </c>
      <c r="F191" s="5" t="s">
        <v>1553</v>
      </c>
      <c r="G191" s="5" t="s">
        <v>1550</v>
      </c>
      <c r="H191" s="6">
        <v>41634</v>
      </c>
      <c r="I191" s="5" t="s">
        <v>74</v>
      </c>
      <c r="J191" s="5" t="s">
        <v>1446</v>
      </c>
      <c r="K191" s="5" t="s">
        <v>76</v>
      </c>
      <c r="L191" s="7">
        <v>2</v>
      </c>
      <c r="M191" s="7">
        <v>3</v>
      </c>
      <c r="N191" s="8">
        <v>10350</v>
      </c>
      <c r="O191" s="88">
        <v>2.5000000000000001E-2</v>
      </c>
      <c r="P191" s="10">
        <f t="shared" si="47"/>
        <v>259</v>
      </c>
      <c r="Q191" s="88">
        <v>0</v>
      </c>
      <c r="R191" s="10">
        <f t="shared" si="48"/>
        <v>0</v>
      </c>
      <c r="S191" s="88">
        <f t="shared" si="49"/>
        <v>2.5024154589371982E-2</v>
      </c>
      <c r="T191" s="10">
        <f t="shared" si="50"/>
        <v>259</v>
      </c>
      <c r="U191" s="10">
        <f t="shared" si="51"/>
        <v>10609</v>
      </c>
      <c r="V191" s="11">
        <f>U191-52</f>
        <v>10557</v>
      </c>
      <c r="W191" s="12">
        <f t="shared" si="52"/>
        <v>207</v>
      </c>
      <c r="X191" s="92">
        <f t="shared" ref="X191:X254" si="62">ROUND(V191/N191-1,4)</f>
        <v>0.02</v>
      </c>
      <c r="Y191" s="93" t="str">
        <f t="shared" si="60"/>
        <v>2.00%-3.00%</v>
      </c>
      <c r="Z191" s="15"/>
      <c r="AA191" s="15"/>
      <c r="AB191" s="15"/>
      <c r="AC191" s="95"/>
      <c r="AD191" s="8">
        <f t="shared" si="53"/>
        <v>0</v>
      </c>
      <c r="AE191" s="17">
        <f t="shared" si="54"/>
        <v>10557</v>
      </c>
      <c r="AF191" s="18">
        <f t="shared" si="55"/>
        <v>207</v>
      </c>
      <c r="AG191" s="97">
        <f t="shared" si="56"/>
        <v>2.0000000000000018E-2</v>
      </c>
      <c r="AH191" s="20">
        <v>14</v>
      </c>
      <c r="AI191" s="20">
        <v>450</v>
      </c>
      <c r="AJ191" s="20"/>
      <c r="AK191" s="20">
        <v>688</v>
      </c>
      <c r="AL191" s="20">
        <f t="shared" si="57"/>
        <v>153886</v>
      </c>
      <c r="AM191" s="7">
        <v>3</v>
      </c>
      <c r="AN191" s="20"/>
      <c r="AO191" s="21"/>
      <c r="AP191" s="21"/>
      <c r="AQ191" s="5" t="s">
        <v>1538</v>
      </c>
      <c r="AR191" s="5" t="s">
        <v>164</v>
      </c>
      <c r="AS191" s="5" t="s">
        <v>59</v>
      </c>
      <c r="AT191" s="20"/>
      <c r="AU191" s="21"/>
      <c r="AV191" s="21"/>
      <c r="AW191" s="144" t="str">
        <f t="shared" si="58"/>
        <v>OK</v>
      </c>
      <c r="AX191" s="21" t="s">
        <v>3135</v>
      </c>
      <c r="AY191" s="21" t="s">
        <v>3130</v>
      </c>
      <c r="AZ191" s="21"/>
      <c r="BA191" s="21"/>
    </row>
    <row r="192" spans="1:53" ht="20" customHeight="1">
      <c r="A192" s="86" t="s">
        <v>318</v>
      </c>
      <c r="B192" s="372" t="s">
        <v>2522</v>
      </c>
      <c r="C192" s="5" t="s">
        <v>51</v>
      </c>
      <c r="D192" s="5" t="s">
        <v>52</v>
      </c>
      <c r="E192" s="5" t="s">
        <v>1604</v>
      </c>
      <c r="F192" s="5" t="s">
        <v>1553</v>
      </c>
      <c r="G192" s="5" t="s">
        <v>1550</v>
      </c>
      <c r="H192" s="6">
        <v>39574</v>
      </c>
      <c r="I192" s="5" t="s">
        <v>82</v>
      </c>
      <c r="J192" s="5" t="s">
        <v>1510</v>
      </c>
      <c r="K192" s="5" t="s">
        <v>84</v>
      </c>
      <c r="L192" s="7">
        <v>2</v>
      </c>
      <c r="M192" s="7">
        <v>3</v>
      </c>
      <c r="N192" s="8">
        <v>9750</v>
      </c>
      <c r="O192" s="88">
        <v>0</v>
      </c>
      <c r="P192" s="10">
        <f t="shared" si="47"/>
        <v>0</v>
      </c>
      <c r="Q192" s="88">
        <v>0</v>
      </c>
      <c r="R192" s="10">
        <f t="shared" si="48"/>
        <v>0</v>
      </c>
      <c r="S192" s="88">
        <f t="shared" si="49"/>
        <v>0</v>
      </c>
      <c r="T192" s="10">
        <f t="shared" si="50"/>
        <v>0</v>
      </c>
      <c r="U192" s="10">
        <f t="shared" si="51"/>
        <v>9750</v>
      </c>
      <c r="V192" s="11">
        <f t="shared" si="61"/>
        <v>9750</v>
      </c>
      <c r="W192" s="12">
        <f t="shared" si="52"/>
        <v>0</v>
      </c>
      <c r="X192" s="92">
        <f t="shared" si="62"/>
        <v>0</v>
      </c>
      <c r="Y192" s="93" t="str">
        <f t="shared" si="60"/>
        <v>0.00%-0.00%</v>
      </c>
      <c r="Z192" s="15"/>
      <c r="AA192" s="15"/>
      <c r="AB192" s="15"/>
      <c r="AC192" s="95"/>
      <c r="AD192" s="8">
        <f t="shared" si="53"/>
        <v>0</v>
      </c>
      <c r="AE192" s="17">
        <f t="shared" si="54"/>
        <v>9750</v>
      </c>
      <c r="AF192" s="18">
        <f t="shared" si="55"/>
        <v>0</v>
      </c>
      <c r="AG192" s="97">
        <f t="shared" si="56"/>
        <v>0</v>
      </c>
      <c r="AH192" s="20">
        <v>14</v>
      </c>
      <c r="AI192" s="20">
        <v>450</v>
      </c>
      <c r="AJ192" s="20"/>
      <c r="AK192" s="20">
        <v>688</v>
      </c>
      <c r="AL192" s="20">
        <f t="shared" si="57"/>
        <v>142588</v>
      </c>
      <c r="AM192" s="7">
        <v>3</v>
      </c>
      <c r="AN192" s="20"/>
      <c r="AO192" s="21"/>
      <c r="AP192" s="21"/>
      <c r="AQ192" s="5" t="s">
        <v>1538</v>
      </c>
      <c r="AR192" s="5" t="s">
        <v>164</v>
      </c>
      <c r="AS192" s="5" t="s">
        <v>59</v>
      </c>
      <c r="AT192" s="20"/>
      <c r="AU192" s="21"/>
      <c r="AV192" s="21"/>
      <c r="AW192" s="144" t="str">
        <f t="shared" si="58"/>
        <v>OK</v>
      </c>
      <c r="AX192" s="21" t="s">
        <v>3129</v>
      </c>
      <c r="AY192" s="21" t="s">
        <v>3134</v>
      </c>
      <c r="AZ192" s="21"/>
      <c r="BA192" s="21"/>
    </row>
    <row r="193" spans="1:53" ht="20" customHeight="1">
      <c r="A193" s="86" t="s">
        <v>318</v>
      </c>
      <c r="B193" s="372" t="s">
        <v>2523</v>
      </c>
      <c r="C193" s="5" t="s">
        <v>51</v>
      </c>
      <c r="D193" s="5" t="s">
        <v>52</v>
      </c>
      <c r="E193" s="5" t="s">
        <v>1604</v>
      </c>
      <c r="F193" s="5" t="s">
        <v>1553</v>
      </c>
      <c r="G193" s="5" t="s">
        <v>1550</v>
      </c>
      <c r="H193" s="6">
        <v>40830</v>
      </c>
      <c r="I193" s="5" t="s">
        <v>71</v>
      </c>
      <c r="J193" s="5" t="s">
        <v>1554</v>
      </c>
      <c r="K193" s="5" t="s">
        <v>61</v>
      </c>
      <c r="L193" s="7">
        <v>2</v>
      </c>
      <c r="M193" s="7">
        <v>3</v>
      </c>
      <c r="N193" s="8">
        <v>15332</v>
      </c>
      <c r="O193" s="88">
        <v>2.5000000000000001E-2</v>
      </c>
      <c r="P193" s="10">
        <f t="shared" si="47"/>
        <v>383</v>
      </c>
      <c r="Q193" s="88">
        <v>0</v>
      </c>
      <c r="R193" s="10">
        <f t="shared" si="48"/>
        <v>0</v>
      </c>
      <c r="S193" s="88">
        <f t="shared" si="49"/>
        <v>2.4980433081137489E-2</v>
      </c>
      <c r="T193" s="10">
        <f t="shared" si="50"/>
        <v>383</v>
      </c>
      <c r="U193" s="10">
        <f t="shared" si="51"/>
        <v>15715</v>
      </c>
      <c r="V193" s="11">
        <f>U193+75</f>
        <v>15790</v>
      </c>
      <c r="W193" s="12">
        <f t="shared" si="52"/>
        <v>458</v>
      </c>
      <c r="X193" s="92">
        <f t="shared" si="62"/>
        <v>2.9899999999999999E-2</v>
      </c>
      <c r="Y193" s="93" t="str">
        <f t="shared" si="60"/>
        <v>2.00%-3.00%</v>
      </c>
      <c r="Z193" s="15"/>
      <c r="AA193" s="15"/>
      <c r="AB193" s="15"/>
      <c r="AC193" s="95"/>
      <c r="AD193" s="8">
        <f t="shared" si="53"/>
        <v>0</v>
      </c>
      <c r="AE193" s="17">
        <f t="shared" si="54"/>
        <v>15790</v>
      </c>
      <c r="AF193" s="18">
        <f t="shared" si="55"/>
        <v>458</v>
      </c>
      <c r="AG193" s="97">
        <f t="shared" si="56"/>
        <v>2.9872162796764856E-2</v>
      </c>
      <c r="AH193" s="20">
        <v>14</v>
      </c>
      <c r="AI193" s="20">
        <v>450</v>
      </c>
      <c r="AJ193" s="20"/>
      <c r="AK193" s="20">
        <v>688</v>
      </c>
      <c r="AL193" s="20">
        <f t="shared" si="57"/>
        <v>227148</v>
      </c>
      <c r="AM193" s="7">
        <v>4</v>
      </c>
      <c r="AN193" s="20"/>
      <c r="AO193" s="21"/>
      <c r="AP193" s="21"/>
      <c r="AQ193" s="5" t="s">
        <v>1538</v>
      </c>
      <c r="AR193" s="5" t="s">
        <v>164</v>
      </c>
      <c r="AS193" s="5" t="s">
        <v>59</v>
      </c>
      <c r="AT193" s="20"/>
      <c r="AU193" s="21"/>
      <c r="AV193" s="21"/>
      <c r="AW193" s="144" t="str">
        <f t="shared" si="58"/>
        <v>OK</v>
      </c>
      <c r="AX193" s="21" t="s">
        <v>3135</v>
      </c>
      <c r="AY193" s="21" t="s">
        <v>3130</v>
      </c>
      <c r="AZ193" s="21"/>
      <c r="BA193" s="21"/>
    </row>
    <row r="194" spans="1:53" ht="20" customHeight="1">
      <c r="A194" s="86" t="s">
        <v>318</v>
      </c>
      <c r="B194" s="372" t="s">
        <v>2524</v>
      </c>
      <c r="C194" s="5" t="s">
        <v>51</v>
      </c>
      <c r="D194" s="5" t="s">
        <v>52</v>
      </c>
      <c r="E194" s="5" t="s">
        <v>1604</v>
      </c>
      <c r="F194" s="5" t="s">
        <v>1553</v>
      </c>
      <c r="G194" s="5" t="s">
        <v>1550</v>
      </c>
      <c r="H194" s="6">
        <v>45546</v>
      </c>
      <c r="I194" s="5" t="s">
        <v>82</v>
      </c>
      <c r="J194" s="5" t="s">
        <v>1555</v>
      </c>
      <c r="K194" s="5" t="s">
        <v>84</v>
      </c>
      <c r="L194" s="7">
        <v>2</v>
      </c>
      <c r="M194" s="7">
        <v>3</v>
      </c>
      <c r="N194" s="8">
        <v>10550</v>
      </c>
      <c r="O194" s="88">
        <v>0</v>
      </c>
      <c r="P194" s="10">
        <f t="shared" si="47"/>
        <v>0</v>
      </c>
      <c r="Q194" s="88">
        <v>0</v>
      </c>
      <c r="R194" s="10">
        <f t="shared" si="48"/>
        <v>0</v>
      </c>
      <c r="S194" s="88">
        <f t="shared" si="49"/>
        <v>0</v>
      </c>
      <c r="T194" s="10">
        <f t="shared" si="50"/>
        <v>0</v>
      </c>
      <c r="U194" s="10">
        <f t="shared" si="51"/>
        <v>10550</v>
      </c>
      <c r="V194" s="11">
        <f t="shared" si="61"/>
        <v>10550</v>
      </c>
      <c r="W194" s="12">
        <f t="shared" si="52"/>
        <v>0</v>
      </c>
      <c r="X194" s="92">
        <f t="shared" si="62"/>
        <v>0</v>
      </c>
      <c r="Y194" s="93" t="str">
        <f t="shared" si="60"/>
        <v>0.00%-0.00%</v>
      </c>
      <c r="Z194" s="15"/>
      <c r="AA194" s="15"/>
      <c r="AB194" s="15"/>
      <c r="AC194" s="95"/>
      <c r="AD194" s="8">
        <f t="shared" si="53"/>
        <v>0</v>
      </c>
      <c r="AE194" s="17">
        <f t="shared" si="54"/>
        <v>10550</v>
      </c>
      <c r="AF194" s="18">
        <f t="shared" si="55"/>
        <v>0</v>
      </c>
      <c r="AG194" s="97">
        <f t="shared" si="56"/>
        <v>0</v>
      </c>
      <c r="AH194" s="20">
        <v>14</v>
      </c>
      <c r="AI194" s="20">
        <v>550</v>
      </c>
      <c r="AJ194" s="20"/>
      <c r="AK194" s="20">
        <v>688</v>
      </c>
      <c r="AL194" s="20">
        <f t="shared" si="57"/>
        <v>154988</v>
      </c>
      <c r="AM194" s="7">
        <v>3</v>
      </c>
      <c r="AN194" s="20"/>
      <c r="AO194" s="21"/>
      <c r="AP194" s="21"/>
      <c r="AQ194" s="5" t="s">
        <v>1538</v>
      </c>
      <c r="AR194" s="5" t="s">
        <v>164</v>
      </c>
      <c r="AS194" s="5" t="s">
        <v>59</v>
      </c>
      <c r="AT194" s="20"/>
      <c r="AU194" s="21"/>
      <c r="AV194" s="21"/>
      <c r="AW194" s="144" t="str">
        <f t="shared" si="58"/>
        <v>OK</v>
      </c>
      <c r="AX194" s="21" t="s">
        <v>3131</v>
      </c>
      <c r="AY194" s="21" t="s">
        <v>3134</v>
      </c>
      <c r="AZ194" s="21"/>
      <c r="BA194" s="21"/>
    </row>
    <row r="195" spans="1:53" ht="20" customHeight="1">
      <c r="A195" s="86" t="s">
        <v>318</v>
      </c>
      <c r="B195" s="372" t="s">
        <v>2525</v>
      </c>
      <c r="C195" s="5" t="s">
        <v>51</v>
      </c>
      <c r="D195" s="5" t="s">
        <v>52</v>
      </c>
      <c r="E195" s="5" t="s">
        <v>1604</v>
      </c>
      <c r="F195" s="5" t="s">
        <v>1549</v>
      </c>
      <c r="G195" s="5" t="s">
        <v>1550</v>
      </c>
      <c r="H195" s="6">
        <v>40725</v>
      </c>
      <c r="I195" s="5" t="s">
        <v>74</v>
      </c>
      <c r="J195" s="5" t="s">
        <v>1446</v>
      </c>
      <c r="K195" s="5" t="s">
        <v>76</v>
      </c>
      <c r="L195" s="7">
        <v>2</v>
      </c>
      <c r="M195" s="7">
        <v>4</v>
      </c>
      <c r="N195" s="8">
        <v>8067</v>
      </c>
      <c r="O195" s="88">
        <v>4.4999999999999998E-2</v>
      </c>
      <c r="P195" s="10">
        <f t="shared" si="47"/>
        <v>363</v>
      </c>
      <c r="Q195" s="88">
        <v>4.2099999999999999E-2</v>
      </c>
      <c r="R195" s="10">
        <f t="shared" si="48"/>
        <v>340</v>
      </c>
      <c r="S195" s="88">
        <f t="shared" si="49"/>
        <v>8.7145159290938384E-2</v>
      </c>
      <c r="T195" s="10">
        <f t="shared" si="50"/>
        <v>703</v>
      </c>
      <c r="U195" s="10">
        <f t="shared" si="51"/>
        <v>8770</v>
      </c>
      <c r="V195" s="11">
        <f>U195+30</f>
        <v>8800</v>
      </c>
      <c r="W195" s="12">
        <f t="shared" si="52"/>
        <v>733</v>
      </c>
      <c r="X195" s="92">
        <f t="shared" si="62"/>
        <v>9.0899999999999995E-2</v>
      </c>
      <c r="Y195" s="93" t="str">
        <f t="shared" si="60"/>
        <v>6.97%-10.46%</v>
      </c>
      <c r="Z195" s="15"/>
      <c r="AA195" s="15"/>
      <c r="AB195" s="15"/>
      <c r="AC195" s="95"/>
      <c r="AD195" s="8">
        <f t="shared" si="53"/>
        <v>0</v>
      </c>
      <c r="AE195" s="17">
        <f t="shared" si="54"/>
        <v>8800</v>
      </c>
      <c r="AF195" s="18">
        <f t="shared" si="55"/>
        <v>733</v>
      </c>
      <c r="AG195" s="97">
        <f t="shared" si="56"/>
        <v>9.0864013883723782E-2</v>
      </c>
      <c r="AH195" s="20">
        <v>14</v>
      </c>
      <c r="AI195" s="20">
        <v>510</v>
      </c>
      <c r="AJ195" s="20"/>
      <c r="AK195" s="20">
        <v>688</v>
      </c>
      <c r="AL195" s="20">
        <f t="shared" si="57"/>
        <v>130008</v>
      </c>
      <c r="AM195" s="7">
        <v>3</v>
      </c>
      <c r="AN195" s="20"/>
      <c r="AO195" s="21"/>
      <c r="AP195" s="21"/>
      <c r="AQ195" s="5" t="s">
        <v>1538</v>
      </c>
      <c r="AR195" s="5" t="s">
        <v>164</v>
      </c>
      <c r="AS195" s="5" t="s">
        <v>59</v>
      </c>
      <c r="AT195" s="20"/>
      <c r="AU195" s="21"/>
      <c r="AV195" s="21"/>
      <c r="AW195" s="144" t="str">
        <f t="shared" si="58"/>
        <v>OK</v>
      </c>
      <c r="AX195" s="21" t="s">
        <v>3135</v>
      </c>
      <c r="AY195" s="21" t="s">
        <v>3132</v>
      </c>
      <c r="AZ195" s="21"/>
      <c r="BA195" s="21"/>
    </row>
    <row r="196" spans="1:53" s="98" customFormat="1" ht="20" customHeight="1">
      <c r="A196" s="86" t="s">
        <v>318</v>
      </c>
      <c r="B196" s="372" t="s">
        <v>2526</v>
      </c>
      <c r="C196" s="5" t="s">
        <v>51</v>
      </c>
      <c r="D196" s="5" t="s">
        <v>52</v>
      </c>
      <c r="E196" s="5" t="s">
        <v>1604</v>
      </c>
      <c r="F196" s="5" t="s">
        <v>1549</v>
      </c>
      <c r="G196" s="5" t="s">
        <v>1550</v>
      </c>
      <c r="H196" s="6">
        <v>43327</v>
      </c>
      <c r="I196" s="5" t="s">
        <v>71</v>
      </c>
      <c r="J196" s="5" t="s">
        <v>1556</v>
      </c>
      <c r="K196" s="5" t="s">
        <v>61</v>
      </c>
      <c r="L196" s="7">
        <v>2</v>
      </c>
      <c r="M196" s="7">
        <v>3</v>
      </c>
      <c r="N196" s="8">
        <v>16756</v>
      </c>
      <c r="O196" s="88">
        <v>2.5000000000000001E-2</v>
      </c>
      <c r="P196" s="10">
        <f t="shared" ref="P196:P259" si="63">ROUND(N196*O196,0)</f>
        <v>419</v>
      </c>
      <c r="Q196" s="88">
        <v>0</v>
      </c>
      <c r="R196" s="10">
        <f t="shared" ref="R196:R259" si="64">ROUND(N196*Q196,0)</f>
        <v>0</v>
      </c>
      <c r="S196" s="88">
        <f t="shared" ref="S196:S259" si="65">T196/N196</f>
        <v>2.5005968011458581E-2</v>
      </c>
      <c r="T196" s="10">
        <f t="shared" ref="T196:T259" si="66">P196+R196</f>
        <v>419</v>
      </c>
      <c r="U196" s="10">
        <f t="shared" ref="U196:U259" si="67">N196+T196</f>
        <v>17175</v>
      </c>
      <c r="V196" s="11">
        <f>U196+83</f>
        <v>17258</v>
      </c>
      <c r="W196" s="12">
        <f t="shared" ref="W196:W259" si="68">V196-N196</f>
        <v>502</v>
      </c>
      <c r="X196" s="92">
        <f t="shared" si="62"/>
        <v>0.03</v>
      </c>
      <c r="Y196" s="93" t="str">
        <f t="shared" si="60"/>
        <v>2.00%-3.00%</v>
      </c>
      <c r="Z196" s="15"/>
      <c r="AA196" s="15"/>
      <c r="AB196" s="15"/>
      <c r="AC196" s="95"/>
      <c r="AD196" s="8">
        <f t="shared" ref="AD196:AD259" si="69">ROUND(N196*AC196,0)</f>
        <v>0</v>
      </c>
      <c r="AE196" s="17">
        <f t="shared" ref="AE196:AE259" si="70">V196+AD196</f>
        <v>17258</v>
      </c>
      <c r="AF196" s="18">
        <f t="shared" ref="AF196:AF259" si="71">AE196-N196</f>
        <v>502</v>
      </c>
      <c r="AG196" s="97">
        <f t="shared" ref="AG196:AG259" si="72">AE196/N196-1</f>
        <v>2.9959417522081644E-2</v>
      </c>
      <c r="AH196" s="20">
        <v>14</v>
      </c>
      <c r="AI196" s="20">
        <v>450</v>
      </c>
      <c r="AJ196" s="20"/>
      <c r="AK196" s="20">
        <v>688</v>
      </c>
      <c r="AL196" s="20">
        <f t="shared" ref="AL196:AL259" si="73">AE196*AH196+AI196*12+AK196+IF(AB196="",AJ196,IF(AB196="D",5000,IF(AB196="C",1000,0)))*12</f>
        <v>247700</v>
      </c>
      <c r="AM196" s="7">
        <v>4</v>
      </c>
      <c r="AN196" s="20"/>
      <c r="AO196" s="21"/>
      <c r="AP196" s="21"/>
      <c r="AQ196" s="5" t="s">
        <v>1538</v>
      </c>
      <c r="AR196" s="5" t="s">
        <v>164</v>
      </c>
      <c r="AS196" s="5" t="s">
        <v>59</v>
      </c>
      <c r="AT196" s="20"/>
      <c r="AU196" s="21"/>
      <c r="AV196" s="21"/>
      <c r="AW196" s="144" t="str">
        <f t="shared" si="58"/>
        <v>OK</v>
      </c>
      <c r="AX196" s="21" t="s">
        <v>3133</v>
      </c>
      <c r="AY196" s="21" t="s">
        <v>3130</v>
      </c>
      <c r="AZ196" s="21"/>
      <c r="BA196" s="21"/>
    </row>
    <row r="197" spans="1:53" s="98" customFormat="1" ht="20" customHeight="1">
      <c r="A197" s="86" t="s">
        <v>318</v>
      </c>
      <c r="B197" s="372" t="s">
        <v>2527</v>
      </c>
      <c r="C197" s="5" t="s">
        <v>51</v>
      </c>
      <c r="D197" s="5" t="s">
        <v>52</v>
      </c>
      <c r="E197" s="5" t="s">
        <v>1604</v>
      </c>
      <c r="F197" s="5" t="s">
        <v>1557</v>
      </c>
      <c r="G197" s="5" t="s">
        <v>1558</v>
      </c>
      <c r="H197" s="6">
        <v>42961</v>
      </c>
      <c r="I197" s="5" t="s">
        <v>82</v>
      </c>
      <c r="J197" s="5" t="s">
        <v>1510</v>
      </c>
      <c r="K197" s="5" t="s">
        <v>84</v>
      </c>
      <c r="L197" s="7">
        <v>2</v>
      </c>
      <c r="M197" s="7">
        <v>3</v>
      </c>
      <c r="N197" s="99">
        <v>9430</v>
      </c>
      <c r="O197" s="9">
        <v>0</v>
      </c>
      <c r="P197" s="100">
        <f t="shared" si="63"/>
        <v>0</v>
      </c>
      <c r="Q197" s="9">
        <v>0</v>
      </c>
      <c r="R197" s="100">
        <f t="shared" si="64"/>
        <v>0</v>
      </c>
      <c r="S197" s="9">
        <f t="shared" si="65"/>
        <v>0</v>
      </c>
      <c r="T197" s="100">
        <f t="shared" si="66"/>
        <v>0</v>
      </c>
      <c r="U197" s="100">
        <f t="shared" si="67"/>
        <v>9430</v>
      </c>
      <c r="V197" s="101">
        <f t="shared" ref="V197:V201" si="74">U197</f>
        <v>9430</v>
      </c>
      <c r="W197" s="102">
        <f t="shared" si="68"/>
        <v>0</v>
      </c>
      <c r="X197" s="13">
        <f t="shared" si="62"/>
        <v>0</v>
      </c>
      <c r="Y197" s="14" t="str">
        <f t="shared" ref="Y197:Y236" si="75">IF(OR(L197=1,L197=2,L197=4),
    TEXT(S197*0.8,"0.00%") &amp; "-" &amp; TEXT(S197*1.2,"0.00%"),
    IF(OR(L197=3,L197=6),
        TEXT(0,"0.00%") &amp; "-" &amp; TEXT(7%*1.2,"0.00%"),
        IF(OR(L197=5,L197=7),
            TEXT((R197/N197),"0.00%") &amp; "-" &amp; TEXT((R197/N197)+7%,"0.00%"),
            ""
        )
    )
)</f>
        <v>0.00%-0.00%</v>
      </c>
      <c r="Z197" s="103"/>
      <c r="AA197" s="103"/>
      <c r="AB197" s="103"/>
      <c r="AC197" s="16"/>
      <c r="AD197" s="99">
        <f t="shared" si="69"/>
        <v>0</v>
      </c>
      <c r="AE197" s="104">
        <f t="shared" si="70"/>
        <v>9430</v>
      </c>
      <c r="AF197" s="18">
        <f t="shared" si="71"/>
        <v>0</v>
      </c>
      <c r="AG197" s="19">
        <f t="shared" si="72"/>
        <v>0</v>
      </c>
      <c r="AH197" s="20">
        <v>14</v>
      </c>
      <c r="AI197" s="20">
        <v>450</v>
      </c>
      <c r="AJ197" s="20"/>
      <c r="AK197" s="20">
        <v>688</v>
      </c>
      <c r="AL197" s="20">
        <f t="shared" si="73"/>
        <v>138108</v>
      </c>
      <c r="AM197" s="7">
        <v>3</v>
      </c>
      <c r="AN197" s="20"/>
      <c r="AO197" s="21"/>
      <c r="AP197" s="21"/>
      <c r="AQ197" s="5" t="s">
        <v>1559</v>
      </c>
      <c r="AR197" s="5" t="s">
        <v>164</v>
      </c>
      <c r="AS197" s="5" t="s">
        <v>59</v>
      </c>
      <c r="AT197" s="20"/>
      <c r="AU197" s="21"/>
      <c r="AV197" s="21"/>
      <c r="AW197" s="144" t="str">
        <f t="shared" si="58"/>
        <v>OK</v>
      </c>
      <c r="AX197" s="21" t="s">
        <v>3133</v>
      </c>
      <c r="AY197" s="21" t="s">
        <v>3134</v>
      </c>
      <c r="AZ197" s="21"/>
      <c r="BA197" s="21"/>
    </row>
    <row r="198" spans="1:53" s="98" customFormat="1" ht="20" customHeight="1">
      <c r="A198" s="86" t="s">
        <v>318</v>
      </c>
      <c r="B198" s="372" t="s">
        <v>2528</v>
      </c>
      <c r="C198" s="5" t="s">
        <v>51</v>
      </c>
      <c r="D198" s="5" t="s">
        <v>52</v>
      </c>
      <c r="E198" s="5" t="s">
        <v>1604</v>
      </c>
      <c r="F198" s="5" t="s">
        <v>1557</v>
      </c>
      <c r="G198" s="5" t="s">
        <v>1558</v>
      </c>
      <c r="H198" s="6">
        <v>40849</v>
      </c>
      <c r="I198" s="5" t="s">
        <v>74</v>
      </c>
      <c r="J198" s="5" t="s">
        <v>1446</v>
      </c>
      <c r="K198" s="5" t="s">
        <v>76</v>
      </c>
      <c r="L198" s="7">
        <v>2</v>
      </c>
      <c r="M198" s="7">
        <v>3</v>
      </c>
      <c r="N198" s="99">
        <v>10448</v>
      </c>
      <c r="O198" s="9">
        <v>2.5000000000000001E-2</v>
      </c>
      <c r="P198" s="100">
        <f t="shared" si="63"/>
        <v>261</v>
      </c>
      <c r="Q198" s="9">
        <v>0</v>
      </c>
      <c r="R198" s="100">
        <f t="shared" si="64"/>
        <v>0</v>
      </c>
      <c r="S198" s="9">
        <f t="shared" si="65"/>
        <v>2.4980857580398162E-2</v>
      </c>
      <c r="T198" s="100">
        <f t="shared" si="66"/>
        <v>261</v>
      </c>
      <c r="U198" s="100">
        <f t="shared" si="67"/>
        <v>10709</v>
      </c>
      <c r="V198" s="101">
        <v>10760</v>
      </c>
      <c r="W198" s="102">
        <f t="shared" si="68"/>
        <v>312</v>
      </c>
      <c r="X198" s="13">
        <f t="shared" si="62"/>
        <v>2.9899999999999999E-2</v>
      </c>
      <c r="Y198" s="14" t="str">
        <f t="shared" si="75"/>
        <v>2.00%-3.00%</v>
      </c>
      <c r="Z198" s="103"/>
      <c r="AA198" s="103"/>
      <c r="AB198" s="103"/>
      <c r="AC198" s="16"/>
      <c r="AD198" s="99">
        <f t="shared" si="69"/>
        <v>0</v>
      </c>
      <c r="AE198" s="104">
        <f t="shared" si="70"/>
        <v>10760</v>
      </c>
      <c r="AF198" s="18">
        <f t="shared" si="71"/>
        <v>312</v>
      </c>
      <c r="AG198" s="19">
        <f t="shared" si="72"/>
        <v>2.9862174578866751E-2</v>
      </c>
      <c r="AH198" s="20">
        <v>14</v>
      </c>
      <c r="AI198" s="20">
        <v>550</v>
      </c>
      <c r="AJ198" s="20"/>
      <c r="AK198" s="20">
        <v>688</v>
      </c>
      <c r="AL198" s="20">
        <f t="shared" si="73"/>
        <v>157928</v>
      </c>
      <c r="AM198" s="7">
        <v>3</v>
      </c>
      <c r="AN198" s="20"/>
      <c r="AO198" s="21"/>
      <c r="AP198" s="21"/>
      <c r="AQ198" s="5" t="s">
        <v>1559</v>
      </c>
      <c r="AR198" s="5" t="s">
        <v>164</v>
      </c>
      <c r="AS198" s="5" t="s">
        <v>59</v>
      </c>
      <c r="AT198" s="20"/>
      <c r="AU198" s="21"/>
      <c r="AV198" s="21"/>
      <c r="AW198" s="144" t="str">
        <f t="shared" si="58"/>
        <v>OK</v>
      </c>
      <c r="AX198" s="21" t="s">
        <v>3135</v>
      </c>
      <c r="AY198" s="21" t="s">
        <v>3130</v>
      </c>
      <c r="AZ198" s="21"/>
      <c r="BA198" s="21"/>
    </row>
    <row r="199" spans="1:53" s="98" customFormat="1" ht="20" customHeight="1">
      <c r="A199" s="86" t="s">
        <v>318</v>
      </c>
      <c r="B199" s="372" t="s">
        <v>2529</v>
      </c>
      <c r="C199" s="5" t="s">
        <v>51</v>
      </c>
      <c r="D199" s="5" t="s">
        <v>52</v>
      </c>
      <c r="E199" s="5" t="s">
        <v>1604</v>
      </c>
      <c r="F199" s="5" t="s">
        <v>1557</v>
      </c>
      <c r="G199" s="5" t="s">
        <v>1558</v>
      </c>
      <c r="H199" s="6">
        <v>40360</v>
      </c>
      <c r="I199" s="5" t="s">
        <v>82</v>
      </c>
      <c r="J199" s="5" t="s">
        <v>1510</v>
      </c>
      <c r="K199" s="5" t="s">
        <v>84</v>
      </c>
      <c r="L199" s="7">
        <v>2</v>
      </c>
      <c r="M199" s="7">
        <v>5</v>
      </c>
      <c r="N199" s="99">
        <v>9860</v>
      </c>
      <c r="O199" s="9">
        <v>0.03</v>
      </c>
      <c r="P199" s="100">
        <f t="shared" si="63"/>
        <v>296</v>
      </c>
      <c r="Q199" s="9">
        <v>0</v>
      </c>
      <c r="R199" s="100">
        <f t="shared" si="64"/>
        <v>0</v>
      </c>
      <c r="S199" s="9">
        <f t="shared" si="65"/>
        <v>3.0020283975659229E-2</v>
      </c>
      <c r="T199" s="100">
        <f t="shared" si="66"/>
        <v>296</v>
      </c>
      <c r="U199" s="100">
        <f t="shared" si="67"/>
        <v>10156</v>
      </c>
      <c r="V199" s="101">
        <v>10200</v>
      </c>
      <c r="W199" s="102">
        <f t="shared" si="68"/>
        <v>340</v>
      </c>
      <c r="X199" s="13">
        <f t="shared" si="62"/>
        <v>3.4500000000000003E-2</v>
      </c>
      <c r="Y199" s="14" t="str">
        <f t="shared" si="75"/>
        <v>2.40%-3.60%</v>
      </c>
      <c r="Z199" s="103" t="s">
        <v>87</v>
      </c>
      <c r="AA199" s="103" t="s">
        <v>1446</v>
      </c>
      <c r="AB199" s="103" t="s">
        <v>139</v>
      </c>
      <c r="AC199" s="16">
        <v>0.05</v>
      </c>
      <c r="AD199" s="99">
        <f t="shared" si="69"/>
        <v>493</v>
      </c>
      <c r="AE199" s="104">
        <f t="shared" si="70"/>
        <v>10693</v>
      </c>
      <c r="AF199" s="18">
        <f t="shared" si="71"/>
        <v>833</v>
      </c>
      <c r="AG199" s="19">
        <f t="shared" si="72"/>
        <v>8.4482758620689546E-2</v>
      </c>
      <c r="AH199" s="20">
        <v>14</v>
      </c>
      <c r="AI199" s="20">
        <v>450</v>
      </c>
      <c r="AJ199" s="20"/>
      <c r="AK199" s="20">
        <v>688</v>
      </c>
      <c r="AL199" s="20">
        <f t="shared" si="73"/>
        <v>155790</v>
      </c>
      <c r="AM199" s="7">
        <v>3</v>
      </c>
      <c r="AN199" s="20"/>
      <c r="AO199" s="22" t="s">
        <v>1560</v>
      </c>
      <c r="AP199" s="21" t="s">
        <v>239</v>
      </c>
      <c r="AQ199" s="5" t="s">
        <v>1559</v>
      </c>
      <c r="AR199" s="5" t="s">
        <v>164</v>
      </c>
      <c r="AS199" s="5" t="s">
        <v>59</v>
      </c>
      <c r="AT199" s="20"/>
      <c r="AU199" s="21"/>
      <c r="AV199" s="21"/>
      <c r="AW199" s="144" t="str">
        <f t="shared" si="58"/>
        <v>OK</v>
      </c>
      <c r="AX199" s="21" t="s">
        <v>3135</v>
      </c>
      <c r="AY199" s="21" t="s">
        <v>3138</v>
      </c>
      <c r="AZ199" s="21"/>
      <c r="BA199" s="21"/>
    </row>
    <row r="200" spans="1:53" s="98" customFormat="1" ht="20" customHeight="1">
      <c r="A200" s="86" t="s">
        <v>318</v>
      </c>
      <c r="B200" s="372" t="s">
        <v>2530</v>
      </c>
      <c r="C200" s="5" t="s">
        <v>51</v>
      </c>
      <c r="D200" s="5" t="s">
        <v>52</v>
      </c>
      <c r="E200" s="5" t="s">
        <v>1604</v>
      </c>
      <c r="F200" s="5" t="s">
        <v>1561</v>
      </c>
      <c r="G200" s="5" t="s">
        <v>1558</v>
      </c>
      <c r="H200" s="6">
        <v>45035</v>
      </c>
      <c r="I200" s="5" t="s">
        <v>111</v>
      </c>
      <c r="J200" s="5" t="s">
        <v>1556</v>
      </c>
      <c r="K200" s="5" t="s">
        <v>56</v>
      </c>
      <c r="L200" s="7">
        <v>2</v>
      </c>
      <c r="M200" s="7">
        <v>3</v>
      </c>
      <c r="N200" s="99">
        <v>21768</v>
      </c>
      <c r="O200" s="9">
        <v>2.5000000000000001E-2</v>
      </c>
      <c r="P200" s="100">
        <f t="shared" si="63"/>
        <v>544</v>
      </c>
      <c r="Q200" s="9">
        <v>0</v>
      </c>
      <c r="R200" s="100">
        <f t="shared" si="64"/>
        <v>0</v>
      </c>
      <c r="S200" s="9">
        <f t="shared" si="65"/>
        <v>2.4990812201396546E-2</v>
      </c>
      <c r="T200" s="100">
        <f t="shared" si="66"/>
        <v>544</v>
      </c>
      <c r="U200" s="100">
        <f t="shared" si="67"/>
        <v>22312</v>
      </c>
      <c r="V200" s="101">
        <v>22210</v>
      </c>
      <c r="W200" s="102">
        <f t="shared" si="68"/>
        <v>442</v>
      </c>
      <c r="X200" s="13">
        <f t="shared" si="62"/>
        <v>2.0299999999999999E-2</v>
      </c>
      <c r="Y200" s="14" t="str">
        <f t="shared" si="75"/>
        <v>2.00%-3.00%</v>
      </c>
      <c r="Z200" s="103"/>
      <c r="AA200" s="103"/>
      <c r="AB200" s="103"/>
      <c r="AC200" s="16"/>
      <c r="AD200" s="99">
        <f t="shared" si="69"/>
        <v>0</v>
      </c>
      <c r="AE200" s="104">
        <f t="shared" si="70"/>
        <v>22210</v>
      </c>
      <c r="AF200" s="18">
        <f t="shared" si="71"/>
        <v>442</v>
      </c>
      <c r="AG200" s="19">
        <f t="shared" si="72"/>
        <v>2.0305034913634668E-2</v>
      </c>
      <c r="AH200" s="20">
        <v>14</v>
      </c>
      <c r="AI200" s="20">
        <v>450</v>
      </c>
      <c r="AJ200" s="20"/>
      <c r="AK200" s="20">
        <v>688</v>
      </c>
      <c r="AL200" s="20">
        <f t="shared" si="73"/>
        <v>317028</v>
      </c>
      <c r="AM200" s="7">
        <v>3</v>
      </c>
      <c r="AN200" s="20"/>
      <c r="AO200" s="21"/>
      <c r="AP200" s="21"/>
      <c r="AQ200" s="5" t="s">
        <v>1559</v>
      </c>
      <c r="AR200" s="5" t="s">
        <v>164</v>
      </c>
      <c r="AS200" s="5" t="s">
        <v>59</v>
      </c>
      <c r="AT200" s="20"/>
      <c r="AU200" s="21"/>
      <c r="AV200" s="21"/>
      <c r="AW200" s="144" t="str">
        <f t="shared" si="58"/>
        <v>OK</v>
      </c>
      <c r="AX200" s="21" t="s">
        <v>3131</v>
      </c>
      <c r="AY200" s="21" t="s">
        <v>3130</v>
      </c>
      <c r="AZ200" s="21"/>
      <c r="BA200" s="21"/>
    </row>
    <row r="201" spans="1:53" s="98" customFormat="1" ht="20" customHeight="1">
      <c r="A201" s="86" t="s">
        <v>318</v>
      </c>
      <c r="B201" s="372" t="s">
        <v>2531</v>
      </c>
      <c r="C201" s="5" t="s">
        <v>51</v>
      </c>
      <c r="D201" s="5" t="s">
        <v>52</v>
      </c>
      <c r="E201" s="5" t="s">
        <v>1604</v>
      </c>
      <c r="F201" s="5" t="s">
        <v>1557</v>
      </c>
      <c r="G201" s="5" t="s">
        <v>1558</v>
      </c>
      <c r="H201" s="6">
        <v>44166</v>
      </c>
      <c r="I201" s="5" t="s">
        <v>74</v>
      </c>
      <c r="J201" s="5" t="s">
        <v>1562</v>
      </c>
      <c r="K201" s="5" t="s">
        <v>76</v>
      </c>
      <c r="L201" s="7">
        <v>2</v>
      </c>
      <c r="M201" s="7">
        <v>3</v>
      </c>
      <c r="N201" s="99">
        <v>12834</v>
      </c>
      <c r="O201" s="9">
        <v>0</v>
      </c>
      <c r="P201" s="100">
        <f t="shared" si="63"/>
        <v>0</v>
      </c>
      <c r="Q201" s="9">
        <v>0</v>
      </c>
      <c r="R201" s="100">
        <f t="shared" si="64"/>
        <v>0</v>
      </c>
      <c r="S201" s="9">
        <f t="shared" si="65"/>
        <v>0</v>
      </c>
      <c r="T201" s="100">
        <f t="shared" si="66"/>
        <v>0</v>
      </c>
      <c r="U201" s="100">
        <f t="shared" si="67"/>
        <v>12834</v>
      </c>
      <c r="V201" s="101">
        <f t="shared" si="74"/>
        <v>12834</v>
      </c>
      <c r="W201" s="102">
        <f t="shared" si="68"/>
        <v>0</v>
      </c>
      <c r="X201" s="13">
        <f t="shared" si="62"/>
        <v>0</v>
      </c>
      <c r="Y201" s="14" t="str">
        <f t="shared" si="75"/>
        <v>0.00%-0.00%</v>
      </c>
      <c r="Z201" s="103"/>
      <c r="AA201" s="103"/>
      <c r="AB201" s="103"/>
      <c r="AC201" s="16"/>
      <c r="AD201" s="99">
        <f t="shared" si="69"/>
        <v>0</v>
      </c>
      <c r="AE201" s="104">
        <f t="shared" si="70"/>
        <v>12834</v>
      </c>
      <c r="AF201" s="18">
        <f t="shared" si="71"/>
        <v>0</v>
      </c>
      <c r="AG201" s="19">
        <f t="shared" si="72"/>
        <v>0</v>
      </c>
      <c r="AH201" s="20">
        <v>14</v>
      </c>
      <c r="AI201" s="20">
        <v>850</v>
      </c>
      <c r="AJ201" s="20"/>
      <c r="AK201" s="20">
        <v>688</v>
      </c>
      <c r="AL201" s="20">
        <f t="shared" si="73"/>
        <v>190564</v>
      </c>
      <c r="AM201" s="7">
        <v>4</v>
      </c>
      <c r="AN201" s="20"/>
      <c r="AO201" s="21"/>
      <c r="AP201" s="21"/>
      <c r="AQ201" s="5" t="s">
        <v>1559</v>
      </c>
      <c r="AR201" s="5" t="s">
        <v>164</v>
      </c>
      <c r="AS201" s="5" t="s">
        <v>59</v>
      </c>
      <c r="AT201" s="20"/>
      <c r="AU201" s="21"/>
      <c r="AV201" s="21"/>
      <c r="AW201" s="144" t="str">
        <f t="shared" si="58"/>
        <v>OK</v>
      </c>
      <c r="AX201" s="21" t="s">
        <v>3131</v>
      </c>
      <c r="AY201" s="21" t="s">
        <v>3134</v>
      </c>
      <c r="AZ201" s="21"/>
      <c r="BA201" s="21"/>
    </row>
    <row r="202" spans="1:53" s="98" customFormat="1" ht="20" customHeight="1">
      <c r="A202" s="86" t="s">
        <v>318</v>
      </c>
      <c r="B202" s="372" t="s">
        <v>2532</v>
      </c>
      <c r="C202" s="5" t="s">
        <v>51</v>
      </c>
      <c r="D202" s="5" t="s">
        <v>52</v>
      </c>
      <c r="E202" s="5" t="s">
        <v>1604</v>
      </c>
      <c r="F202" s="5" t="s">
        <v>1563</v>
      </c>
      <c r="G202" s="5" t="s">
        <v>1564</v>
      </c>
      <c r="H202" s="6">
        <v>44013</v>
      </c>
      <c r="I202" s="5" t="s">
        <v>82</v>
      </c>
      <c r="J202" s="5" t="s">
        <v>1565</v>
      </c>
      <c r="K202" s="5" t="s">
        <v>84</v>
      </c>
      <c r="L202" s="7">
        <v>2</v>
      </c>
      <c r="M202" s="7">
        <v>4</v>
      </c>
      <c r="N202" s="99">
        <v>8720</v>
      </c>
      <c r="O202" s="9">
        <v>0.03</v>
      </c>
      <c r="P202" s="100">
        <f t="shared" si="63"/>
        <v>262</v>
      </c>
      <c r="Q202" s="9">
        <v>0</v>
      </c>
      <c r="R202" s="100">
        <f t="shared" si="64"/>
        <v>0</v>
      </c>
      <c r="S202" s="9">
        <f t="shared" si="65"/>
        <v>3.0045871559633029E-2</v>
      </c>
      <c r="T202" s="100">
        <f t="shared" si="66"/>
        <v>262</v>
      </c>
      <c r="U202" s="100">
        <f t="shared" si="67"/>
        <v>8982</v>
      </c>
      <c r="V202" s="101">
        <v>9020</v>
      </c>
      <c r="W202" s="102">
        <f t="shared" si="68"/>
        <v>300</v>
      </c>
      <c r="X202" s="13">
        <f t="shared" si="62"/>
        <v>3.44E-2</v>
      </c>
      <c r="Y202" s="14" t="str">
        <f t="shared" si="75"/>
        <v>2.40%-3.61%</v>
      </c>
      <c r="Z202" s="103" t="s">
        <v>87</v>
      </c>
      <c r="AA202" s="103" t="s">
        <v>1446</v>
      </c>
      <c r="AB202" s="103" t="s">
        <v>139</v>
      </c>
      <c r="AC202" s="16">
        <v>0.05</v>
      </c>
      <c r="AD202" s="99">
        <f t="shared" si="69"/>
        <v>436</v>
      </c>
      <c r="AE202" s="104">
        <f t="shared" si="70"/>
        <v>9456</v>
      </c>
      <c r="AF202" s="18">
        <f t="shared" si="71"/>
        <v>736</v>
      </c>
      <c r="AG202" s="19">
        <f t="shared" si="72"/>
        <v>8.4403669724770536E-2</v>
      </c>
      <c r="AH202" s="20">
        <v>14</v>
      </c>
      <c r="AI202" s="20">
        <v>450</v>
      </c>
      <c r="AJ202" s="20"/>
      <c r="AK202" s="20">
        <v>688</v>
      </c>
      <c r="AL202" s="20">
        <f t="shared" si="73"/>
        <v>138472</v>
      </c>
      <c r="AM202" s="7">
        <v>3</v>
      </c>
      <c r="AN202" s="20"/>
      <c r="AO202" s="22" t="s">
        <v>1566</v>
      </c>
      <c r="AP202" s="21" t="s">
        <v>239</v>
      </c>
      <c r="AQ202" s="5" t="s">
        <v>1559</v>
      </c>
      <c r="AR202" s="5" t="s">
        <v>164</v>
      </c>
      <c r="AS202" s="5" t="s">
        <v>59</v>
      </c>
      <c r="AT202" s="20"/>
      <c r="AU202" s="21"/>
      <c r="AV202" s="21"/>
      <c r="AW202" s="144" t="str">
        <f t="shared" ref="AW202:AW265" si="76">_xlfn.LET(_xlpm.actual,X202,_xlpm.low,VALUE(_xlfn.TEXTBEFORE(Y202,"-")),_xlpm.high,VALUE(_xlfn.TEXTAFTER(Y202,"-")),IF(AND(_xlpm.actual=0,OR(_xlpm.low&lt;&gt;0,_xlpm.high&lt;&gt;0)),"0 increase",IF(_xlpm.actual&gt;_xlpm.high*1.2,"&gt;20",IF(_xlpm.actual&lt;_xlpm.low*0.8,"&lt;20","OK"))))</f>
        <v>OK</v>
      </c>
      <c r="AX202" s="21" t="s">
        <v>3131</v>
      </c>
      <c r="AY202" s="21" t="s">
        <v>3136</v>
      </c>
      <c r="AZ202" s="21"/>
      <c r="BA202" s="21"/>
    </row>
    <row r="203" spans="1:53" s="98" customFormat="1" ht="20" customHeight="1">
      <c r="A203" s="86" t="s">
        <v>318</v>
      </c>
      <c r="B203" s="372" t="s">
        <v>2533</v>
      </c>
      <c r="C203" s="5" t="s">
        <v>51</v>
      </c>
      <c r="D203" s="5" t="s">
        <v>52</v>
      </c>
      <c r="E203" s="5" t="s">
        <v>1604</v>
      </c>
      <c r="F203" s="5" t="s">
        <v>1567</v>
      </c>
      <c r="G203" s="5" t="s">
        <v>1558</v>
      </c>
      <c r="H203" s="6">
        <v>34881</v>
      </c>
      <c r="I203" s="5" t="s">
        <v>71</v>
      </c>
      <c r="J203" s="5" t="s">
        <v>1568</v>
      </c>
      <c r="K203" s="5" t="s">
        <v>61</v>
      </c>
      <c r="L203" s="7">
        <v>2</v>
      </c>
      <c r="M203" s="7">
        <v>3</v>
      </c>
      <c r="N203" s="99">
        <v>14586</v>
      </c>
      <c r="O203" s="9">
        <v>2.5000000000000001E-2</v>
      </c>
      <c r="P203" s="100">
        <f t="shared" si="63"/>
        <v>365</v>
      </c>
      <c r="Q203" s="9">
        <v>0</v>
      </c>
      <c r="R203" s="100">
        <f t="shared" si="64"/>
        <v>0</v>
      </c>
      <c r="S203" s="9">
        <f t="shared" si="65"/>
        <v>2.5023995612230905E-2</v>
      </c>
      <c r="T203" s="100">
        <f t="shared" si="66"/>
        <v>365</v>
      </c>
      <c r="U203" s="100">
        <f t="shared" si="67"/>
        <v>14951</v>
      </c>
      <c r="V203" s="101">
        <v>15000</v>
      </c>
      <c r="W203" s="102">
        <f t="shared" si="68"/>
        <v>414</v>
      </c>
      <c r="X203" s="13">
        <f t="shared" si="62"/>
        <v>2.8400000000000002E-2</v>
      </c>
      <c r="Y203" s="14" t="str">
        <f t="shared" si="75"/>
        <v>2.00%-3.00%</v>
      </c>
      <c r="Z203" s="103"/>
      <c r="AA203" s="103"/>
      <c r="AB203" s="103"/>
      <c r="AC203" s="16"/>
      <c r="AD203" s="99">
        <f t="shared" si="69"/>
        <v>0</v>
      </c>
      <c r="AE203" s="104">
        <f t="shared" si="70"/>
        <v>15000</v>
      </c>
      <c r="AF203" s="18">
        <f t="shared" si="71"/>
        <v>414</v>
      </c>
      <c r="AG203" s="19">
        <f t="shared" si="72"/>
        <v>2.8383381324557755E-2</v>
      </c>
      <c r="AH203" s="20">
        <v>14</v>
      </c>
      <c r="AI203" s="20">
        <v>450</v>
      </c>
      <c r="AJ203" s="20"/>
      <c r="AK203" s="20">
        <v>688</v>
      </c>
      <c r="AL203" s="20">
        <f t="shared" si="73"/>
        <v>216088</v>
      </c>
      <c r="AM203" s="7">
        <v>3</v>
      </c>
      <c r="AN203" s="20"/>
      <c r="AO203" s="21"/>
      <c r="AP203" s="21"/>
      <c r="AQ203" s="5" t="s">
        <v>1559</v>
      </c>
      <c r="AR203" s="5" t="s">
        <v>164</v>
      </c>
      <c r="AS203" s="5" t="s">
        <v>59</v>
      </c>
      <c r="AT203" s="20"/>
      <c r="AU203" s="21"/>
      <c r="AV203" s="21"/>
      <c r="AW203" s="144" t="str">
        <f t="shared" si="76"/>
        <v>OK</v>
      </c>
      <c r="AX203" s="21" t="s">
        <v>3137</v>
      </c>
      <c r="AY203" s="21" t="s">
        <v>3130</v>
      </c>
      <c r="AZ203" s="21"/>
      <c r="BA203" s="21"/>
    </row>
    <row r="204" spans="1:53" s="98" customFormat="1" ht="20" customHeight="1">
      <c r="A204" s="86" t="s">
        <v>318</v>
      </c>
      <c r="B204" s="372" t="s">
        <v>2534</v>
      </c>
      <c r="C204" s="5" t="s">
        <v>51</v>
      </c>
      <c r="D204" s="5" t="s">
        <v>52</v>
      </c>
      <c r="E204" s="5" t="s">
        <v>1604</v>
      </c>
      <c r="F204" s="5" t="s">
        <v>1569</v>
      </c>
      <c r="G204" s="5" t="s">
        <v>1564</v>
      </c>
      <c r="H204" s="6">
        <v>43126</v>
      </c>
      <c r="I204" s="5" t="s">
        <v>71</v>
      </c>
      <c r="J204" s="5" t="s">
        <v>1570</v>
      </c>
      <c r="K204" s="5" t="s">
        <v>61</v>
      </c>
      <c r="L204" s="7">
        <v>2</v>
      </c>
      <c r="M204" s="7">
        <v>3</v>
      </c>
      <c r="N204" s="99">
        <v>15306</v>
      </c>
      <c r="O204" s="9">
        <v>0.03</v>
      </c>
      <c r="P204" s="100">
        <f t="shared" si="63"/>
        <v>459</v>
      </c>
      <c r="Q204" s="9">
        <v>0</v>
      </c>
      <c r="R204" s="100">
        <f t="shared" si="64"/>
        <v>0</v>
      </c>
      <c r="S204" s="9">
        <f t="shared" si="65"/>
        <v>2.9988239905919246E-2</v>
      </c>
      <c r="T204" s="100">
        <f t="shared" si="66"/>
        <v>459</v>
      </c>
      <c r="U204" s="100">
        <f t="shared" si="67"/>
        <v>15765</v>
      </c>
      <c r="V204" s="101">
        <v>15850</v>
      </c>
      <c r="W204" s="102">
        <f t="shared" si="68"/>
        <v>544</v>
      </c>
      <c r="X204" s="13">
        <f t="shared" si="62"/>
        <v>3.5499999999999997E-2</v>
      </c>
      <c r="Y204" s="14" t="str">
        <f t="shared" si="75"/>
        <v>2.40%-3.60%</v>
      </c>
      <c r="Z204" s="103"/>
      <c r="AA204" s="103"/>
      <c r="AB204" s="103"/>
      <c r="AC204" s="16"/>
      <c r="AD204" s="99">
        <f t="shared" si="69"/>
        <v>0</v>
      </c>
      <c r="AE204" s="104">
        <f t="shared" si="70"/>
        <v>15850</v>
      </c>
      <c r="AF204" s="18">
        <f t="shared" si="71"/>
        <v>544</v>
      </c>
      <c r="AG204" s="19">
        <f t="shared" si="72"/>
        <v>3.5541617666274616E-2</v>
      </c>
      <c r="AH204" s="20">
        <v>14</v>
      </c>
      <c r="AI204" s="20">
        <v>850</v>
      </c>
      <c r="AJ204" s="20"/>
      <c r="AK204" s="20">
        <v>688</v>
      </c>
      <c r="AL204" s="20">
        <f t="shared" si="73"/>
        <v>232788</v>
      </c>
      <c r="AM204" s="7">
        <v>3</v>
      </c>
      <c r="AN204" s="20"/>
      <c r="AO204" s="21"/>
      <c r="AP204" s="21"/>
      <c r="AQ204" s="5" t="s">
        <v>1559</v>
      </c>
      <c r="AR204" s="5" t="s">
        <v>164</v>
      </c>
      <c r="AS204" s="5" t="s">
        <v>59</v>
      </c>
      <c r="AT204" s="20"/>
      <c r="AU204" s="21"/>
      <c r="AV204" s="21"/>
      <c r="AW204" s="144" t="str">
        <f t="shared" si="76"/>
        <v>OK</v>
      </c>
      <c r="AX204" s="21" t="s">
        <v>3133</v>
      </c>
      <c r="AY204" s="21" t="s">
        <v>3132</v>
      </c>
      <c r="AZ204" s="21"/>
      <c r="BA204" s="21"/>
    </row>
    <row r="205" spans="1:53" s="98" customFormat="1" ht="20" customHeight="1">
      <c r="A205" s="86" t="s">
        <v>318</v>
      </c>
      <c r="B205" s="372" t="s">
        <v>2535</v>
      </c>
      <c r="C205" s="5" t="s">
        <v>51</v>
      </c>
      <c r="D205" s="5" t="s">
        <v>52</v>
      </c>
      <c r="E205" s="5" t="s">
        <v>1604</v>
      </c>
      <c r="F205" s="5" t="s">
        <v>1569</v>
      </c>
      <c r="G205" s="5" t="s">
        <v>1564</v>
      </c>
      <c r="H205" s="6">
        <v>43976</v>
      </c>
      <c r="I205" s="5" t="s">
        <v>82</v>
      </c>
      <c r="J205" s="5" t="s">
        <v>1571</v>
      </c>
      <c r="K205" s="5" t="s">
        <v>84</v>
      </c>
      <c r="L205" s="7">
        <v>2</v>
      </c>
      <c r="M205" s="7">
        <v>3</v>
      </c>
      <c r="N205" s="99">
        <v>9610</v>
      </c>
      <c r="O205" s="9">
        <v>2.5000000000000001E-2</v>
      </c>
      <c r="P205" s="100">
        <f t="shared" si="63"/>
        <v>240</v>
      </c>
      <c r="Q205" s="9">
        <v>0</v>
      </c>
      <c r="R205" s="100">
        <f t="shared" si="64"/>
        <v>0</v>
      </c>
      <c r="S205" s="9">
        <f t="shared" si="65"/>
        <v>2.497398543184183E-2</v>
      </c>
      <c r="T205" s="100">
        <f t="shared" si="66"/>
        <v>240</v>
      </c>
      <c r="U205" s="100">
        <f t="shared" si="67"/>
        <v>9850</v>
      </c>
      <c r="V205" s="101">
        <v>9890</v>
      </c>
      <c r="W205" s="102">
        <f t="shared" si="68"/>
        <v>280</v>
      </c>
      <c r="X205" s="13">
        <f t="shared" si="62"/>
        <v>2.9100000000000001E-2</v>
      </c>
      <c r="Y205" s="14" t="str">
        <f t="shared" si="75"/>
        <v>2.00%-3.00%</v>
      </c>
      <c r="Z205" s="103"/>
      <c r="AA205" s="103"/>
      <c r="AB205" s="103"/>
      <c r="AC205" s="16"/>
      <c r="AD205" s="99">
        <f t="shared" si="69"/>
        <v>0</v>
      </c>
      <c r="AE205" s="104">
        <f t="shared" si="70"/>
        <v>9890</v>
      </c>
      <c r="AF205" s="18">
        <f t="shared" si="71"/>
        <v>280</v>
      </c>
      <c r="AG205" s="19">
        <f t="shared" si="72"/>
        <v>2.9136316337148749E-2</v>
      </c>
      <c r="AH205" s="20">
        <v>14</v>
      </c>
      <c r="AI205" s="20">
        <v>450</v>
      </c>
      <c r="AJ205" s="20"/>
      <c r="AK205" s="20">
        <v>688</v>
      </c>
      <c r="AL205" s="20">
        <f t="shared" si="73"/>
        <v>144548</v>
      </c>
      <c r="AM205" s="7">
        <v>3</v>
      </c>
      <c r="AN205" s="20"/>
      <c r="AO205" s="21"/>
      <c r="AP205" s="21"/>
      <c r="AQ205" s="5" t="s">
        <v>1559</v>
      </c>
      <c r="AR205" s="5" t="s">
        <v>164</v>
      </c>
      <c r="AS205" s="5" t="s">
        <v>59</v>
      </c>
      <c r="AT205" s="20"/>
      <c r="AU205" s="21"/>
      <c r="AV205" s="21"/>
      <c r="AW205" s="144" t="str">
        <f t="shared" si="76"/>
        <v>OK</v>
      </c>
      <c r="AX205" s="21" t="s">
        <v>3133</v>
      </c>
      <c r="AY205" s="21" t="s">
        <v>3130</v>
      </c>
      <c r="AZ205" s="21"/>
      <c r="BA205" s="21"/>
    </row>
    <row r="206" spans="1:53" s="98" customFormat="1" ht="20" customHeight="1">
      <c r="A206" s="86" t="s">
        <v>318</v>
      </c>
      <c r="B206" s="372" t="s">
        <v>2536</v>
      </c>
      <c r="C206" s="5" t="s">
        <v>51</v>
      </c>
      <c r="D206" s="5" t="s">
        <v>52</v>
      </c>
      <c r="E206" s="5" t="s">
        <v>1604</v>
      </c>
      <c r="F206" s="5" t="s">
        <v>1567</v>
      </c>
      <c r="G206" s="5" t="s">
        <v>1558</v>
      </c>
      <c r="H206" s="6">
        <v>44343</v>
      </c>
      <c r="I206" s="5" t="s">
        <v>74</v>
      </c>
      <c r="J206" s="5" t="s">
        <v>74</v>
      </c>
      <c r="K206" s="5" t="s">
        <v>76</v>
      </c>
      <c r="L206" s="7">
        <v>2</v>
      </c>
      <c r="M206" s="7">
        <v>3</v>
      </c>
      <c r="N206" s="99">
        <v>10628</v>
      </c>
      <c r="O206" s="9">
        <v>2.5000000000000001E-2</v>
      </c>
      <c r="P206" s="100">
        <f t="shared" si="63"/>
        <v>266</v>
      </c>
      <c r="Q206" s="9">
        <v>0</v>
      </c>
      <c r="R206" s="100">
        <f t="shared" si="64"/>
        <v>0</v>
      </c>
      <c r="S206" s="9">
        <f t="shared" si="65"/>
        <v>2.502822732404968E-2</v>
      </c>
      <c r="T206" s="100">
        <f t="shared" si="66"/>
        <v>266</v>
      </c>
      <c r="U206" s="100">
        <f t="shared" si="67"/>
        <v>10894</v>
      </c>
      <c r="V206" s="101">
        <v>10940</v>
      </c>
      <c r="W206" s="102">
        <f t="shared" si="68"/>
        <v>312</v>
      </c>
      <c r="X206" s="13">
        <f t="shared" si="62"/>
        <v>2.9399999999999999E-2</v>
      </c>
      <c r="Y206" s="14" t="str">
        <f t="shared" si="75"/>
        <v>2.00%-3.00%</v>
      </c>
      <c r="Z206" s="103"/>
      <c r="AA206" s="103"/>
      <c r="AB206" s="103"/>
      <c r="AC206" s="16"/>
      <c r="AD206" s="99">
        <f t="shared" si="69"/>
        <v>0</v>
      </c>
      <c r="AE206" s="104">
        <f t="shared" si="70"/>
        <v>10940</v>
      </c>
      <c r="AF206" s="18">
        <f t="shared" si="71"/>
        <v>312</v>
      </c>
      <c r="AG206" s="19">
        <f t="shared" si="72"/>
        <v>2.9356417011667357E-2</v>
      </c>
      <c r="AH206" s="20">
        <v>14</v>
      </c>
      <c r="AI206" s="20">
        <v>450</v>
      </c>
      <c r="AJ206" s="20"/>
      <c r="AK206" s="20">
        <v>688</v>
      </c>
      <c r="AL206" s="20">
        <f t="shared" si="73"/>
        <v>159248</v>
      </c>
      <c r="AM206" s="7">
        <v>5</v>
      </c>
      <c r="AN206" s="20"/>
      <c r="AO206" s="21"/>
      <c r="AP206" s="21"/>
      <c r="AQ206" s="5" t="s">
        <v>1559</v>
      </c>
      <c r="AR206" s="5" t="s">
        <v>164</v>
      </c>
      <c r="AS206" s="5" t="s">
        <v>59</v>
      </c>
      <c r="AT206" s="20"/>
      <c r="AU206" s="21"/>
      <c r="AV206" s="21"/>
      <c r="AW206" s="144" t="str">
        <f t="shared" si="76"/>
        <v>OK</v>
      </c>
      <c r="AX206" s="21" t="s">
        <v>3131</v>
      </c>
      <c r="AY206" s="21" t="s">
        <v>3130</v>
      </c>
      <c r="AZ206" s="21"/>
      <c r="BA206" s="21"/>
    </row>
    <row r="207" spans="1:53" s="98" customFormat="1" ht="20" customHeight="1">
      <c r="A207" s="86" t="s">
        <v>318</v>
      </c>
      <c r="B207" s="372" t="s">
        <v>2537</v>
      </c>
      <c r="C207" s="5" t="s">
        <v>51</v>
      </c>
      <c r="D207" s="5" t="s">
        <v>52</v>
      </c>
      <c r="E207" s="5" t="s">
        <v>1604</v>
      </c>
      <c r="F207" s="5" t="s">
        <v>1569</v>
      </c>
      <c r="G207" s="5" t="s">
        <v>1564</v>
      </c>
      <c r="H207" s="6">
        <v>44412</v>
      </c>
      <c r="I207" s="5" t="s">
        <v>82</v>
      </c>
      <c r="J207" s="5" t="s">
        <v>1508</v>
      </c>
      <c r="K207" s="5" t="s">
        <v>84</v>
      </c>
      <c r="L207" s="7">
        <v>2</v>
      </c>
      <c r="M207" s="7">
        <v>3</v>
      </c>
      <c r="N207" s="99">
        <v>7888</v>
      </c>
      <c r="O207" s="9">
        <v>0.03</v>
      </c>
      <c r="P207" s="100">
        <f t="shared" si="63"/>
        <v>237</v>
      </c>
      <c r="Q207" s="9">
        <v>0</v>
      </c>
      <c r="R207" s="100">
        <f t="shared" si="64"/>
        <v>0</v>
      </c>
      <c r="S207" s="9">
        <f t="shared" si="65"/>
        <v>3.0045638945233266E-2</v>
      </c>
      <c r="T207" s="100">
        <f t="shared" si="66"/>
        <v>237</v>
      </c>
      <c r="U207" s="100">
        <f t="shared" si="67"/>
        <v>8125</v>
      </c>
      <c r="V207" s="101">
        <v>8150</v>
      </c>
      <c r="W207" s="102">
        <f t="shared" si="68"/>
        <v>262</v>
      </c>
      <c r="X207" s="13">
        <f t="shared" si="62"/>
        <v>3.32E-2</v>
      </c>
      <c r="Y207" s="14" t="str">
        <f t="shared" si="75"/>
        <v>2.40%-3.61%</v>
      </c>
      <c r="Z207" s="103"/>
      <c r="AA207" s="103"/>
      <c r="AB207" s="103"/>
      <c r="AC207" s="16"/>
      <c r="AD207" s="99">
        <f t="shared" si="69"/>
        <v>0</v>
      </c>
      <c r="AE207" s="104">
        <f t="shared" si="70"/>
        <v>8150</v>
      </c>
      <c r="AF207" s="18">
        <f t="shared" si="71"/>
        <v>262</v>
      </c>
      <c r="AG207" s="19">
        <f t="shared" si="72"/>
        <v>3.3215010141987911E-2</v>
      </c>
      <c r="AH207" s="20">
        <v>14</v>
      </c>
      <c r="AI207" s="20">
        <v>850</v>
      </c>
      <c r="AJ207" s="20"/>
      <c r="AK207" s="20">
        <v>688</v>
      </c>
      <c r="AL207" s="20">
        <f t="shared" si="73"/>
        <v>124988</v>
      </c>
      <c r="AM207" s="7">
        <v>3</v>
      </c>
      <c r="AN207" s="20"/>
      <c r="AO207" s="21"/>
      <c r="AP207" s="21"/>
      <c r="AQ207" s="5" t="s">
        <v>1559</v>
      </c>
      <c r="AR207" s="5" t="s">
        <v>164</v>
      </c>
      <c r="AS207" s="5" t="s">
        <v>59</v>
      </c>
      <c r="AT207" s="20"/>
      <c r="AU207" s="21"/>
      <c r="AV207" s="21"/>
      <c r="AW207" s="144" t="str">
        <f t="shared" si="76"/>
        <v>OK</v>
      </c>
      <c r="AX207" s="21" t="s">
        <v>3131</v>
      </c>
      <c r="AY207" s="21" t="s">
        <v>3132</v>
      </c>
      <c r="AZ207" s="21"/>
      <c r="BA207" s="21"/>
    </row>
    <row r="208" spans="1:53" s="98" customFormat="1" ht="20" customHeight="1">
      <c r="A208" s="86" t="s">
        <v>318</v>
      </c>
      <c r="B208" s="372" t="s">
        <v>2538</v>
      </c>
      <c r="C208" s="5" t="s">
        <v>51</v>
      </c>
      <c r="D208" s="5" t="s">
        <v>52</v>
      </c>
      <c r="E208" s="5" t="s">
        <v>1604</v>
      </c>
      <c r="F208" s="5" t="s">
        <v>1569</v>
      </c>
      <c r="G208" s="5" t="s">
        <v>1564</v>
      </c>
      <c r="H208" s="6">
        <v>40764</v>
      </c>
      <c r="I208" s="5" t="s">
        <v>82</v>
      </c>
      <c r="J208" s="5" t="s">
        <v>82</v>
      </c>
      <c r="K208" s="5" t="s">
        <v>84</v>
      </c>
      <c r="L208" s="7">
        <v>2</v>
      </c>
      <c r="M208" s="7">
        <v>5</v>
      </c>
      <c r="N208" s="99">
        <v>7903</v>
      </c>
      <c r="O208" s="9">
        <v>0.06</v>
      </c>
      <c r="P208" s="100">
        <f t="shared" si="63"/>
        <v>474</v>
      </c>
      <c r="Q208" s="9">
        <v>7.7799999999999994E-2</v>
      </c>
      <c r="R208" s="100">
        <f t="shared" si="64"/>
        <v>615</v>
      </c>
      <c r="S208" s="9">
        <f t="shared" si="65"/>
        <v>0.13779577375680122</v>
      </c>
      <c r="T208" s="100">
        <f t="shared" si="66"/>
        <v>1089</v>
      </c>
      <c r="U208" s="100">
        <f t="shared" si="67"/>
        <v>8992</v>
      </c>
      <c r="V208" s="101">
        <v>8800</v>
      </c>
      <c r="W208" s="102">
        <f t="shared" si="68"/>
        <v>897</v>
      </c>
      <c r="X208" s="13">
        <f t="shared" si="62"/>
        <v>0.1135</v>
      </c>
      <c r="Y208" s="14" t="str">
        <f t="shared" si="75"/>
        <v>11.02%-16.54%</v>
      </c>
      <c r="Z208" s="103" t="s">
        <v>87</v>
      </c>
      <c r="AA208" s="103" t="s">
        <v>1446</v>
      </c>
      <c r="AB208" s="103" t="s">
        <v>139</v>
      </c>
      <c r="AC208" s="16">
        <v>0.05</v>
      </c>
      <c r="AD208" s="99">
        <f t="shared" si="69"/>
        <v>395</v>
      </c>
      <c r="AE208" s="104">
        <f t="shared" si="70"/>
        <v>9195</v>
      </c>
      <c r="AF208" s="18">
        <f t="shared" si="71"/>
        <v>1292</v>
      </c>
      <c r="AG208" s="19">
        <f t="shared" si="72"/>
        <v>0.16348222194103501</v>
      </c>
      <c r="AH208" s="20">
        <v>14</v>
      </c>
      <c r="AI208" s="20">
        <v>450</v>
      </c>
      <c r="AJ208" s="20"/>
      <c r="AK208" s="20">
        <v>688</v>
      </c>
      <c r="AL208" s="20">
        <f t="shared" si="73"/>
        <v>134818</v>
      </c>
      <c r="AM208" s="7">
        <v>4</v>
      </c>
      <c r="AN208" s="20"/>
      <c r="AO208" s="22" t="s">
        <v>1572</v>
      </c>
      <c r="AP208" s="21" t="s">
        <v>239</v>
      </c>
      <c r="AQ208" s="5" t="s">
        <v>1559</v>
      </c>
      <c r="AR208" s="5" t="s">
        <v>164</v>
      </c>
      <c r="AS208" s="5" t="s">
        <v>59</v>
      </c>
      <c r="AT208" s="20"/>
      <c r="AU208" s="21"/>
      <c r="AV208" s="21"/>
      <c r="AW208" s="144" t="str">
        <f t="shared" si="76"/>
        <v>OK</v>
      </c>
      <c r="AX208" s="21" t="s">
        <v>3135</v>
      </c>
      <c r="AY208" s="21" t="s">
        <v>3132</v>
      </c>
      <c r="AZ208" s="21"/>
      <c r="BA208" s="21"/>
    </row>
    <row r="209" spans="1:53" s="98" customFormat="1" ht="20" customHeight="1">
      <c r="A209" s="86" t="s">
        <v>318</v>
      </c>
      <c r="B209" s="372" t="s">
        <v>2539</v>
      </c>
      <c r="C209" s="5" t="s">
        <v>51</v>
      </c>
      <c r="D209" s="5" t="s">
        <v>52</v>
      </c>
      <c r="E209" s="5" t="s">
        <v>1604</v>
      </c>
      <c r="F209" s="5" t="s">
        <v>1567</v>
      </c>
      <c r="G209" s="5" t="s">
        <v>1558</v>
      </c>
      <c r="H209" s="6">
        <v>40210</v>
      </c>
      <c r="I209" s="5" t="s">
        <v>60</v>
      </c>
      <c r="J209" s="5" t="s">
        <v>60</v>
      </c>
      <c r="K209" s="5" t="s">
        <v>61</v>
      </c>
      <c r="L209" s="7">
        <v>2</v>
      </c>
      <c r="M209" s="7">
        <v>2</v>
      </c>
      <c r="N209" s="99">
        <v>14867</v>
      </c>
      <c r="O209" s="9">
        <v>0</v>
      </c>
      <c r="P209" s="100">
        <f t="shared" si="63"/>
        <v>0</v>
      </c>
      <c r="Q209" s="9">
        <v>0</v>
      </c>
      <c r="R209" s="100">
        <f t="shared" si="64"/>
        <v>0</v>
      </c>
      <c r="S209" s="9">
        <f t="shared" si="65"/>
        <v>0</v>
      </c>
      <c r="T209" s="100">
        <f t="shared" si="66"/>
        <v>0</v>
      </c>
      <c r="U209" s="100">
        <f t="shared" si="67"/>
        <v>14867</v>
      </c>
      <c r="V209" s="101">
        <f t="shared" ref="V209:V232" si="77">U209</f>
        <v>14867</v>
      </c>
      <c r="W209" s="102">
        <f t="shared" si="68"/>
        <v>0</v>
      </c>
      <c r="X209" s="13">
        <f t="shared" si="62"/>
        <v>0</v>
      </c>
      <c r="Y209" s="14" t="str">
        <f t="shared" si="75"/>
        <v>0.00%-0.00%</v>
      </c>
      <c r="Z209" s="103"/>
      <c r="AA209" s="103"/>
      <c r="AB209" s="103"/>
      <c r="AC209" s="16"/>
      <c r="AD209" s="99">
        <f t="shared" si="69"/>
        <v>0</v>
      </c>
      <c r="AE209" s="104">
        <f t="shared" si="70"/>
        <v>14867</v>
      </c>
      <c r="AF209" s="18">
        <f t="shared" si="71"/>
        <v>0</v>
      </c>
      <c r="AG209" s="19">
        <f t="shared" si="72"/>
        <v>0</v>
      </c>
      <c r="AH209" s="20">
        <v>14</v>
      </c>
      <c r="AI209" s="20">
        <v>450</v>
      </c>
      <c r="AJ209" s="20"/>
      <c r="AK209" s="20">
        <v>688</v>
      </c>
      <c r="AL209" s="20">
        <f t="shared" si="73"/>
        <v>214226</v>
      </c>
      <c r="AM209" s="7">
        <v>2</v>
      </c>
      <c r="AN209" s="20"/>
      <c r="AO209" s="21"/>
      <c r="AP209" s="21"/>
      <c r="AQ209" s="5" t="s">
        <v>1559</v>
      </c>
      <c r="AR209" s="5" t="s">
        <v>164</v>
      </c>
      <c r="AS209" s="5" t="s">
        <v>59</v>
      </c>
      <c r="AT209" s="20"/>
      <c r="AU209" s="21"/>
      <c r="AV209" s="21"/>
      <c r="AW209" s="144" t="str">
        <f t="shared" si="76"/>
        <v>OK</v>
      </c>
      <c r="AX209" s="21" t="s">
        <v>3129</v>
      </c>
      <c r="AY209" s="21">
        <v>0</v>
      </c>
      <c r="AZ209" s="21"/>
      <c r="BA209" s="21"/>
    </row>
    <row r="210" spans="1:53" s="98" customFormat="1" ht="20" customHeight="1">
      <c r="A210" s="86" t="s">
        <v>318</v>
      </c>
      <c r="B210" s="372" t="s">
        <v>2540</v>
      </c>
      <c r="C210" s="5" t="s">
        <v>51</v>
      </c>
      <c r="D210" s="5" t="s">
        <v>52</v>
      </c>
      <c r="E210" s="5" t="s">
        <v>1604</v>
      </c>
      <c r="F210" s="5" t="s">
        <v>1573</v>
      </c>
      <c r="G210" s="5" t="s">
        <v>1476</v>
      </c>
      <c r="H210" s="6">
        <v>44265</v>
      </c>
      <c r="I210" s="5" t="s">
        <v>82</v>
      </c>
      <c r="J210" s="5" t="s">
        <v>1574</v>
      </c>
      <c r="K210" s="5" t="s">
        <v>84</v>
      </c>
      <c r="L210" s="7">
        <v>2</v>
      </c>
      <c r="M210" s="7">
        <v>4</v>
      </c>
      <c r="N210" s="99">
        <v>12634</v>
      </c>
      <c r="O210" s="9">
        <v>3.7500000000000006E-2</v>
      </c>
      <c r="P210" s="100">
        <f t="shared" si="63"/>
        <v>474</v>
      </c>
      <c r="Q210" s="9">
        <v>1.55E-2</v>
      </c>
      <c r="R210" s="100">
        <f t="shared" si="64"/>
        <v>196</v>
      </c>
      <c r="S210" s="9">
        <f t="shared" si="65"/>
        <v>5.3031502295393385E-2</v>
      </c>
      <c r="T210" s="100">
        <f t="shared" si="66"/>
        <v>670</v>
      </c>
      <c r="U210" s="100">
        <f t="shared" si="67"/>
        <v>13304</v>
      </c>
      <c r="V210" s="101">
        <f t="shared" si="77"/>
        <v>13304</v>
      </c>
      <c r="W210" s="102">
        <f t="shared" si="68"/>
        <v>670</v>
      </c>
      <c r="X210" s="13">
        <f t="shared" si="62"/>
        <v>5.2999999999999999E-2</v>
      </c>
      <c r="Y210" s="14" t="str">
        <f t="shared" si="75"/>
        <v>4.24%-6.36%</v>
      </c>
      <c r="Z210" s="103" t="s">
        <v>87</v>
      </c>
      <c r="AA210" s="103" t="s">
        <v>1575</v>
      </c>
      <c r="AB210" s="103" t="s">
        <v>139</v>
      </c>
      <c r="AC210" s="16">
        <v>0.05</v>
      </c>
      <c r="AD210" s="99">
        <f t="shared" si="69"/>
        <v>632</v>
      </c>
      <c r="AE210" s="104">
        <f t="shared" si="70"/>
        <v>13936</v>
      </c>
      <c r="AF210" s="18">
        <f t="shared" si="71"/>
        <v>1302</v>
      </c>
      <c r="AG210" s="19">
        <f t="shared" si="72"/>
        <v>0.1030552477441824</v>
      </c>
      <c r="AH210" s="20">
        <v>14</v>
      </c>
      <c r="AI210" s="20">
        <v>450</v>
      </c>
      <c r="AJ210" s="20"/>
      <c r="AK210" s="20">
        <v>688</v>
      </c>
      <c r="AL210" s="20">
        <f t="shared" si="73"/>
        <v>201192</v>
      </c>
      <c r="AM210" s="7">
        <v>4</v>
      </c>
      <c r="AN210" s="20"/>
      <c r="AO210" s="22" t="s">
        <v>1576</v>
      </c>
      <c r="AP210" s="21" t="s">
        <v>239</v>
      </c>
      <c r="AQ210" s="5" t="s">
        <v>1559</v>
      </c>
      <c r="AR210" s="5" t="s">
        <v>164</v>
      </c>
      <c r="AS210" s="5" t="s">
        <v>59</v>
      </c>
      <c r="AT210" s="20"/>
      <c r="AU210" s="21"/>
      <c r="AV210" s="21"/>
      <c r="AW210" s="144" t="str">
        <f t="shared" si="76"/>
        <v>OK</v>
      </c>
      <c r="AX210" s="21" t="s">
        <v>3131</v>
      </c>
      <c r="AY210" s="21" t="s">
        <v>3130</v>
      </c>
      <c r="AZ210" s="21"/>
      <c r="BA210" s="21"/>
    </row>
    <row r="211" spans="1:53" s="98" customFormat="1" ht="20" customHeight="1">
      <c r="A211" s="86" t="s">
        <v>318</v>
      </c>
      <c r="B211" s="372" t="s">
        <v>2541</v>
      </c>
      <c r="C211" s="5" t="s">
        <v>1577</v>
      </c>
      <c r="D211" s="5" t="s">
        <v>52</v>
      </c>
      <c r="E211" s="5" t="s">
        <v>1604</v>
      </c>
      <c r="F211" s="5" t="s">
        <v>1573</v>
      </c>
      <c r="G211" s="5" t="s">
        <v>1476</v>
      </c>
      <c r="H211" s="6">
        <v>39511</v>
      </c>
      <c r="I211" s="5" t="s">
        <v>377</v>
      </c>
      <c r="J211" s="5" t="s">
        <v>377</v>
      </c>
      <c r="K211" s="5" t="s">
        <v>324</v>
      </c>
      <c r="L211" s="7">
        <v>2</v>
      </c>
      <c r="M211" s="7">
        <v>3</v>
      </c>
      <c r="N211" s="99">
        <v>6578</v>
      </c>
      <c r="O211" s="9">
        <v>0</v>
      </c>
      <c r="P211" s="100">
        <f t="shared" si="63"/>
        <v>0</v>
      </c>
      <c r="Q211" s="9">
        <v>0</v>
      </c>
      <c r="R211" s="100">
        <f t="shared" si="64"/>
        <v>0</v>
      </c>
      <c r="S211" s="9">
        <f t="shared" si="65"/>
        <v>0</v>
      </c>
      <c r="T211" s="100">
        <f t="shared" si="66"/>
        <v>0</v>
      </c>
      <c r="U211" s="100">
        <f t="shared" si="67"/>
        <v>6578</v>
      </c>
      <c r="V211" s="101">
        <f t="shared" si="77"/>
        <v>6578</v>
      </c>
      <c r="W211" s="102">
        <f t="shared" si="68"/>
        <v>0</v>
      </c>
      <c r="X211" s="13">
        <f t="shared" si="62"/>
        <v>0</v>
      </c>
      <c r="Y211" s="14" t="str">
        <f t="shared" si="75"/>
        <v>0.00%-0.00%</v>
      </c>
      <c r="Z211" s="103"/>
      <c r="AA211" s="103"/>
      <c r="AB211" s="103"/>
      <c r="AC211" s="16"/>
      <c r="AD211" s="99">
        <f t="shared" si="69"/>
        <v>0</v>
      </c>
      <c r="AE211" s="104">
        <f t="shared" si="70"/>
        <v>6578</v>
      </c>
      <c r="AF211" s="18">
        <f t="shared" si="71"/>
        <v>0</v>
      </c>
      <c r="AG211" s="19">
        <f t="shared" si="72"/>
        <v>0</v>
      </c>
      <c r="AH211" s="20">
        <v>14</v>
      </c>
      <c r="AI211" s="20">
        <v>500</v>
      </c>
      <c r="AJ211" s="20"/>
      <c r="AK211" s="20">
        <v>688</v>
      </c>
      <c r="AL211" s="20">
        <f t="shared" si="73"/>
        <v>98780</v>
      </c>
      <c r="AM211" s="7">
        <v>3</v>
      </c>
      <c r="AN211" s="20"/>
      <c r="AO211" s="21"/>
      <c r="AP211" s="21"/>
      <c r="AQ211" s="5" t="s">
        <v>1559</v>
      </c>
      <c r="AR211" s="5" t="s">
        <v>164</v>
      </c>
      <c r="AS211" s="5" t="s">
        <v>59</v>
      </c>
      <c r="AT211" s="20"/>
      <c r="AU211" s="21"/>
      <c r="AV211" s="21"/>
      <c r="AW211" s="144" t="str">
        <f t="shared" si="76"/>
        <v>OK</v>
      </c>
      <c r="AX211" s="21" t="e">
        <v>#N/A</v>
      </c>
      <c r="AY211" s="21" t="e">
        <v>#N/A</v>
      </c>
      <c r="AZ211" s="21"/>
      <c r="BA211" s="21"/>
    </row>
    <row r="212" spans="1:53" s="98" customFormat="1" ht="20" customHeight="1">
      <c r="A212" s="86" t="s">
        <v>318</v>
      </c>
      <c r="B212" s="372" t="s">
        <v>2542</v>
      </c>
      <c r="C212" s="5" t="s">
        <v>1577</v>
      </c>
      <c r="D212" s="5" t="s">
        <v>52</v>
      </c>
      <c r="E212" s="5" t="s">
        <v>1604</v>
      </c>
      <c r="F212" s="5" t="s">
        <v>1573</v>
      </c>
      <c r="G212" s="5" t="s">
        <v>1476</v>
      </c>
      <c r="H212" s="6">
        <v>44378</v>
      </c>
      <c r="I212" s="5" t="s">
        <v>377</v>
      </c>
      <c r="J212" s="5" t="s">
        <v>377</v>
      </c>
      <c r="K212" s="5" t="s">
        <v>324</v>
      </c>
      <c r="L212" s="7">
        <v>2</v>
      </c>
      <c r="M212" s="7">
        <v>3</v>
      </c>
      <c r="N212" s="99">
        <v>5100</v>
      </c>
      <c r="O212" s="9">
        <v>0</v>
      </c>
      <c r="P212" s="100">
        <f t="shared" si="63"/>
        <v>0</v>
      </c>
      <c r="Q212" s="9">
        <v>0</v>
      </c>
      <c r="R212" s="100">
        <f t="shared" si="64"/>
        <v>0</v>
      </c>
      <c r="S212" s="9">
        <f t="shared" si="65"/>
        <v>0</v>
      </c>
      <c r="T212" s="100">
        <f t="shared" si="66"/>
        <v>0</v>
      </c>
      <c r="U212" s="100">
        <f t="shared" si="67"/>
        <v>5100</v>
      </c>
      <c r="V212" s="101">
        <f t="shared" si="77"/>
        <v>5100</v>
      </c>
      <c r="W212" s="102">
        <f t="shared" si="68"/>
        <v>0</v>
      </c>
      <c r="X212" s="13">
        <f t="shared" si="62"/>
        <v>0</v>
      </c>
      <c r="Y212" s="14" t="str">
        <f t="shared" si="75"/>
        <v>0.00%-0.00%</v>
      </c>
      <c r="Z212" s="103" t="s">
        <v>87</v>
      </c>
      <c r="AA212" s="103" t="s">
        <v>1578</v>
      </c>
      <c r="AB212" s="103" t="s">
        <v>439</v>
      </c>
      <c r="AC212" s="16">
        <v>0.1356</v>
      </c>
      <c r="AD212" s="99">
        <f t="shared" si="69"/>
        <v>692</v>
      </c>
      <c r="AE212" s="104">
        <f t="shared" si="70"/>
        <v>5792</v>
      </c>
      <c r="AF212" s="18">
        <f t="shared" si="71"/>
        <v>692</v>
      </c>
      <c r="AG212" s="19">
        <f t="shared" si="72"/>
        <v>0.13568627450980397</v>
      </c>
      <c r="AH212" s="20">
        <v>14</v>
      </c>
      <c r="AI212" s="20">
        <v>500</v>
      </c>
      <c r="AJ212" s="20"/>
      <c r="AK212" s="20">
        <v>688</v>
      </c>
      <c r="AL212" s="20">
        <f t="shared" si="73"/>
        <v>87776</v>
      </c>
      <c r="AM212" s="7">
        <v>4</v>
      </c>
      <c r="AN212" s="20"/>
      <c r="AO212" s="22" t="s">
        <v>1579</v>
      </c>
      <c r="AP212" s="21" t="s">
        <v>239</v>
      </c>
      <c r="AQ212" s="5" t="s">
        <v>1559</v>
      </c>
      <c r="AR212" s="5" t="s">
        <v>164</v>
      </c>
      <c r="AS212" s="5" t="s">
        <v>59</v>
      </c>
      <c r="AT212" s="20"/>
      <c r="AU212" s="21"/>
      <c r="AV212" s="21"/>
      <c r="AW212" s="144" t="str">
        <f t="shared" si="76"/>
        <v>OK</v>
      </c>
      <c r="AX212" s="21" t="e">
        <v>#N/A</v>
      </c>
      <c r="AY212" s="21" t="e">
        <v>#N/A</v>
      </c>
      <c r="AZ212" s="21"/>
      <c r="BA212" s="21"/>
    </row>
    <row r="213" spans="1:53" s="98" customFormat="1" ht="20" customHeight="1">
      <c r="A213" s="86" t="s">
        <v>318</v>
      </c>
      <c r="B213" s="372" t="s">
        <v>2543</v>
      </c>
      <c r="C213" s="5" t="s">
        <v>1577</v>
      </c>
      <c r="D213" s="5" t="s">
        <v>52</v>
      </c>
      <c r="E213" s="5" t="s">
        <v>1604</v>
      </c>
      <c r="F213" s="5" t="s">
        <v>1573</v>
      </c>
      <c r="G213" s="5" t="s">
        <v>1476</v>
      </c>
      <c r="H213" s="6">
        <v>39630</v>
      </c>
      <c r="I213" s="5" t="s">
        <v>373</v>
      </c>
      <c r="J213" s="5" t="s">
        <v>373</v>
      </c>
      <c r="K213" s="5" t="s">
        <v>175</v>
      </c>
      <c r="L213" s="7">
        <v>2</v>
      </c>
      <c r="M213" s="7">
        <v>3</v>
      </c>
      <c r="N213" s="99">
        <v>5858</v>
      </c>
      <c r="O213" s="9">
        <v>2.5000000000000001E-2</v>
      </c>
      <c r="P213" s="100">
        <f t="shared" si="63"/>
        <v>146</v>
      </c>
      <c r="Q213" s="9">
        <v>0</v>
      </c>
      <c r="R213" s="100">
        <f t="shared" si="64"/>
        <v>0</v>
      </c>
      <c r="S213" s="9">
        <f t="shared" si="65"/>
        <v>2.4923181973369752E-2</v>
      </c>
      <c r="T213" s="100">
        <f t="shared" si="66"/>
        <v>146</v>
      </c>
      <c r="U213" s="100">
        <f t="shared" si="67"/>
        <v>6004</v>
      </c>
      <c r="V213" s="101">
        <f t="shared" si="77"/>
        <v>6004</v>
      </c>
      <c r="W213" s="102">
        <f t="shared" si="68"/>
        <v>146</v>
      </c>
      <c r="X213" s="13">
        <f t="shared" si="62"/>
        <v>2.4899999999999999E-2</v>
      </c>
      <c r="Y213" s="14" t="str">
        <f t="shared" si="75"/>
        <v>1.99%-2.99%</v>
      </c>
      <c r="Z213" s="103"/>
      <c r="AA213" s="103"/>
      <c r="AB213" s="103"/>
      <c r="AC213" s="16"/>
      <c r="AD213" s="99">
        <f t="shared" si="69"/>
        <v>0</v>
      </c>
      <c r="AE213" s="104">
        <f t="shared" si="70"/>
        <v>6004</v>
      </c>
      <c r="AF213" s="18">
        <f t="shared" si="71"/>
        <v>146</v>
      </c>
      <c r="AG213" s="19">
        <f t="shared" si="72"/>
        <v>2.4923181973369735E-2</v>
      </c>
      <c r="AH213" s="20">
        <v>14</v>
      </c>
      <c r="AI213" s="20">
        <v>550</v>
      </c>
      <c r="AJ213" s="20"/>
      <c r="AK213" s="20">
        <v>688</v>
      </c>
      <c r="AL213" s="20">
        <f t="shared" si="73"/>
        <v>91344</v>
      </c>
      <c r="AM213" s="7">
        <v>2</v>
      </c>
      <c r="AN213" s="20"/>
      <c r="AO213" s="21"/>
      <c r="AP213" s="21"/>
      <c r="AQ213" s="5" t="s">
        <v>1559</v>
      </c>
      <c r="AR213" s="5" t="s">
        <v>164</v>
      </c>
      <c r="AS213" s="5" t="s">
        <v>59</v>
      </c>
      <c r="AT213" s="20"/>
      <c r="AU213" s="21"/>
      <c r="AV213" s="21"/>
      <c r="AW213" s="144" t="str">
        <f t="shared" si="76"/>
        <v>OK</v>
      </c>
      <c r="AX213" s="21" t="s">
        <v>3129</v>
      </c>
      <c r="AY213" s="21" t="s">
        <v>3130</v>
      </c>
      <c r="AZ213" s="21"/>
      <c r="BA213" s="21"/>
    </row>
    <row r="214" spans="1:53" s="98" customFormat="1" ht="20" customHeight="1">
      <c r="A214" s="86" t="s">
        <v>318</v>
      </c>
      <c r="B214" s="372" t="s">
        <v>2544</v>
      </c>
      <c r="C214" s="5" t="s">
        <v>51</v>
      </c>
      <c r="D214" s="5" t="s">
        <v>52</v>
      </c>
      <c r="E214" s="5" t="s">
        <v>1604</v>
      </c>
      <c r="F214" s="5" t="s">
        <v>1573</v>
      </c>
      <c r="G214" s="5" t="s">
        <v>1476</v>
      </c>
      <c r="H214" s="6">
        <v>44671</v>
      </c>
      <c r="I214" s="5" t="s">
        <v>60</v>
      </c>
      <c r="J214" s="5" t="s">
        <v>60</v>
      </c>
      <c r="K214" s="5" t="s">
        <v>61</v>
      </c>
      <c r="L214" s="7">
        <v>2</v>
      </c>
      <c r="M214" s="7">
        <v>3</v>
      </c>
      <c r="N214" s="99">
        <v>18261</v>
      </c>
      <c r="O214" s="9">
        <v>2.5000000000000001E-2</v>
      </c>
      <c r="P214" s="100">
        <f t="shared" si="63"/>
        <v>457</v>
      </c>
      <c r="Q214" s="9">
        <v>0</v>
      </c>
      <c r="R214" s="100">
        <f t="shared" si="64"/>
        <v>0</v>
      </c>
      <c r="S214" s="9">
        <f t="shared" si="65"/>
        <v>2.5026011718963913E-2</v>
      </c>
      <c r="T214" s="100">
        <f t="shared" si="66"/>
        <v>457</v>
      </c>
      <c r="U214" s="100">
        <f t="shared" si="67"/>
        <v>18718</v>
      </c>
      <c r="V214" s="101">
        <f t="shared" si="77"/>
        <v>18718</v>
      </c>
      <c r="W214" s="102">
        <f t="shared" si="68"/>
        <v>457</v>
      </c>
      <c r="X214" s="13">
        <f t="shared" si="62"/>
        <v>2.5000000000000001E-2</v>
      </c>
      <c r="Y214" s="14" t="str">
        <f t="shared" si="75"/>
        <v>2.00%-3.00%</v>
      </c>
      <c r="Z214" s="103"/>
      <c r="AA214" s="103"/>
      <c r="AB214" s="103"/>
      <c r="AC214" s="16"/>
      <c r="AD214" s="99">
        <f t="shared" si="69"/>
        <v>0</v>
      </c>
      <c r="AE214" s="104">
        <f t="shared" si="70"/>
        <v>18718</v>
      </c>
      <c r="AF214" s="18">
        <f t="shared" si="71"/>
        <v>457</v>
      </c>
      <c r="AG214" s="19">
        <f t="shared" si="72"/>
        <v>2.5026011718964014E-2</v>
      </c>
      <c r="AH214" s="20">
        <v>14</v>
      </c>
      <c r="AI214" s="20">
        <v>450</v>
      </c>
      <c r="AJ214" s="20"/>
      <c r="AK214" s="20">
        <v>688</v>
      </c>
      <c r="AL214" s="20">
        <f t="shared" si="73"/>
        <v>268140</v>
      </c>
      <c r="AM214" s="7">
        <v>5</v>
      </c>
      <c r="AN214" s="20"/>
      <c r="AO214" s="21"/>
      <c r="AP214" s="21"/>
      <c r="AQ214" s="5" t="s">
        <v>1559</v>
      </c>
      <c r="AR214" s="5" t="s">
        <v>164</v>
      </c>
      <c r="AS214" s="5" t="s">
        <v>59</v>
      </c>
      <c r="AT214" s="20"/>
      <c r="AU214" s="21"/>
      <c r="AV214" s="21"/>
      <c r="AW214" s="144" t="str">
        <f t="shared" si="76"/>
        <v>OK</v>
      </c>
      <c r="AX214" s="21" t="s">
        <v>3131</v>
      </c>
      <c r="AY214" s="21" t="s">
        <v>3130</v>
      </c>
      <c r="AZ214" s="21"/>
      <c r="BA214" s="21"/>
    </row>
    <row r="215" spans="1:53" s="98" customFormat="1" ht="20" customHeight="1">
      <c r="A215" s="86" t="s">
        <v>318</v>
      </c>
      <c r="B215" s="372" t="s">
        <v>2545</v>
      </c>
      <c r="C215" s="5" t="s">
        <v>51</v>
      </c>
      <c r="D215" s="5" t="s">
        <v>52</v>
      </c>
      <c r="E215" s="5" t="s">
        <v>1604</v>
      </c>
      <c r="F215" s="5" t="s">
        <v>1580</v>
      </c>
      <c r="G215" s="5" t="s">
        <v>1476</v>
      </c>
      <c r="H215" s="6">
        <v>37242</v>
      </c>
      <c r="I215" s="5" t="s">
        <v>111</v>
      </c>
      <c r="J215" s="5" t="s">
        <v>1546</v>
      </c>
      <c r="K215" s="5" t="s">
        <v>56</v>
      </c>
      <c r="L215" s="7">
        <v>2</v>
      </c>
      <c r="M215" s="7">
        <v>4</v>
      </c>
      <c r="N215" s="99">
        <v>31750</v>
      </c>
      <c r="O215" s="9">
        <v>1.4999999999999998E-2</v>
      </c>
      <c r="P215" s="100">
        <f t="shared" si="63"/>
        <v>476</v>
      </c>
      <c r="Q215" s="9">
        <v>0</v>
      </c>
      <c r="R215" s="100">
        <f t="shared" si="64"/>
        <v>0</v>
      </c>
      <c r="S215" s="9">
        <f t="shared" si="65"/>
        <v>1.4992125984251968E-2</v>
      </c>
      <c r="T215" s="100">
        <f t="shared" si="66"/>
        <v>476</v>
      </c>
      <c r="U215" s="100">
        <f t="shared" si="67"/>
        <v>32226</v>
      </c>
      <c r="V215" s="101">
        <f t="shared" si="77"/>
        <v>32226</v>
      </c>
      <c r="W215" s="102">
        <f t="shared" si="68"/>
        <v>476</v>
      </c>
      <c r="X215" s="13">
        <f t="shared" si="62"/>
        <v>1.4999999999999999E-2</v>
      </c>
      <c r="Y215" s="14" t="str">
        <f t="shared" si="75"/>
        <v>1.20%-1.80%</v>
      </c>
      <c r="Z215" s="103"/>
      <c r="AA215" s="103"/>
      <c r="AB215" s="103"/>
      <c r="AC215" s="16"/>
      <c r="AD215" s="99">
        <f t="shared" si="69"/>
        <v>0</v>
      </c>
      <c r="AE215" s="104">
        <f t="shared" si="70"/>
        <v>32226</v>
      </c>
      <c r="AF215" s="18">
        <f t="shared" si="71"/>
        <v>476</v>
      </c>
      <c r="AG215" s="19">
        <f t="shared" si="72"/>
        <v>1.4992125984252036E-2</v>
      </c>
      <c r="AH215" s="20">
        <v>14</v>
      </c>
      <c r="AI215" s="20">
        <v>7950</v>
      </c>
      <c r="AJ215" s="20"/>
      <c r="AK215" s="20">
        <v>688</v>
      </c>
      <c r="AL215" s="20">
        <f t="shared" si="73"/>
        <v>547252</v>
      </c>
      <c r="AM215" s="7">
        <v>3</v>
      </c>
      <c r="AN215" s="20"/>
      <c r="AO215" s="21"/>
      <c r="AP215" s="21"/>
      <c r="AQ215" s="5" t="s">
        <v>1559</v>
      </c>
      <c r="AR215" s="5" t="s">
        <v>164</v>
      </c>
      <c r="AS215" s="5" t="s">
        <v>59</v>
      </c>
      <c r="AT215" s="20"/>
      <c r="AU215" s="21"/>
      <c r="AV215" s="21"/>
      <c r="AW215" s="144" t="str">
        <f t="shared" si="76"/>
        <v>OK</v>
      </c>
      <c r="AX215" s="21" t="s">
        <v>3139</v>
      </c>
      <c r="AY215" s="21" t="s">
        <v>3142</v>
      </c>
      <c r="AZ215" s="21"/>
      <c r="BA215" s="21"/>
    </row>
    <row r="216" spans="1:53" s="98" customFormat="1" ht="20" customHeight="1">
      <c r="A216" s="86" t="s">
        <v>318</v>
      </c>
      <c r="B216" s="372" t="s">
        <v>2546</v>
      </c>
      <c r="C216" s="5" t="s">
        <v>51</v>
      </c>
      <c r="D216" s="5" t="s">
        <v>52</v>
      </c>
      <c r="E216" s="5" t="s">
        <v>1604</v>
      </c>
      <c r="F216" s="5" t="s">
        <v>1573</v>
      </c>
      <c r="G216" s="5" t="s">
        <v>1476</v>
      </c>
      <c r="H216" s="6">
        <v>43047</v>
      </c>
      <c r="I216" s="5" t="s">
        <v>74</v>
      </c>
      <c r="J216" s="5" t="s">
        <v>1581</v>
      </c>
      <c r="K216" s="5" t="s">
        <v>76</v>
      </c>
      <c r="L216" s="7">
        <v>2</v>
      </c>
      <c r="M216" s="7">
        <v>4</v>
      </c>
      <c r="N216" s="99">
        <v>13457</v>
      </c>
      <c r="O216" s="9">
        <v>3.7500000000000006E-2</v>
      </c>
      <c r="P216" s="100">
        <f t="shared" si="63"/>
        <v>505</v>
      </c>
      <c r="Q216" s="9">
        <v>1.55E-2</v>
      </c>
      <c r="R216" s="100">
        <f t="shared" si="64"/>
        <v>209</v>
      </c>
      <c r="S216" s="9">
        <f t="shared" si="65"/>
        <v>5.3057888087983951E-2</v>
      </c>
      <c r="T216" s="100">
        <f t="shared" si="66"/>
        <v>714</v>
      </c>
      <c r="U216" s="100">
        <f t="shared" si="67"/>
        <v>14171</v>
      </c>
      <c r="V216" s="101">
        <f t="shared" si="77"/>
        <v>14171</v>
      </c>
      <c r="W216" s="102">
        <f t="shared" si="68"/>
        <v>714</v>
      </c>
      <c r="X216" s="13">
        <f t="shared" si="62"/>
        <v>5.3100000000000001E-2</v>
      </c>
      <c r="Y216" s="14" t="str">
        <f t="shared" si="75"/>
        <v>4.24%-6.37%</v>
      </c>
      <c r="Z216" s="103"/>
      <c r="AA216" s="103"/>
      <c r="AB216" s="103"/>
      <c r="AC216" s="16"/>
      <c r="AD216" s="99">
        <f t="shared" si="69"/>
        <v>0</v>
      </c>
      <c r="AE216" s="104">
        <f t="shared" si="70"/>
        <v>14171</v>
      </c>
      <c r="AF216" s="18">
        <f t="shared" si="71"/>
        <v>714</v>
      </c>
      <c r="AG216" s="19">
        <f t="shared" si="72"/>
        <v>5.3057888087983951E-2</v>
      </c>
      <c r="AH216" s="20">
        <v>14</v>
      </c>
      <c r="AI216" s="20">
        <v>500</v>
      </c>
      <c r="AJ216" s="20"/>
      <c r="AK216" s="20">
        <v>688</v>
      </c>
      <c r="AL216" s="20">
        <f t="shared" si="73"/>
        <v>205082</v>
      </c>
      <c r="AM216" s="7">
        <v>3</v>
      </c>
      <c r="AN216" s="20"/>
      <c r="AO216" s="21"/>
      <c r="AP216" s="21"/>
      <c r="AQ216" s="5" t="s">
        <v>1559</v>
      </c>
      <c r="AR216" s="5" t="s">
        <v>164</v>
      </c>
      <c r="AS216" s="5" t="s">
        <v>59</v>
      </c>
      <c r="AT216" s="20"/>
      <c r="AU216" s="21"/>
      <c r="AV216" s="21"/>
      <c r="AW216" s="144" t="str">
        <f t="shared" si="76"/>
        <v>OK</v>
      </c>
      <c r="AX216" s="21" t="s">
        <v>3133</v>
      </c>
      <c r="AY216" s="21" t="s">
        <v>3130</v>
      </c>
      <c r="AZ216" s="21"/>
      <c r="BA216" s="21"/>
    </row>
    <row r="217" spans="1:53" s="98" customFormat="1" ht="20" customHeight="1">
      <c r="A217" s="86" t="s">
        <v>318</v>
      </c>
      <c r="B217" s="372" t="s">
        <v>2547</v>
      </c>
      <c r="C217" s="5" t="s">
        <v>1577</v>
      </c>
      <c r="D217" s="5" t="s">
        <v>52</v>
      </c>
      <c r="E217" s="5" t="s">
        <v>1604</v>
      </c>
      <c r="F217" s="5" t="s">
        <v>1580</v>
      </c>
      <c r="G217" s="5" t="s">
        <v>1476</v>
      </c>
      <c r="H217" s="6">
        <v>44378</v>
      </c>
      <c r="I217" s="5" t="s">
        <v>377</v>
      </c>
      <c r="J217" s="5" t="s">
        <v>377</v>
      </c>
      <c r="K217" s="5" t="s">
        <v>324</v>
      </c>
      <c r="L217" s="7">
        <v>2</v>
      </c>
      <c r="M217" s="7">
        <v>3</v>
      </c>
      <c r="N217" s="99">
        <v>4788</v>
      </c>
      <c r="O217" s="9">
        <v>0</v>
      </c>
      <c r="P217" s="100">
        <f t="shared" si="63"/>
        <v>0</v>
      </c>
      <c r="Q217" s="9">
        <v>0</v>
      </c>
      <c r="R217" s="100">
        <f t="shared" si="64"/>
        <v>0</v>
      </c>
      <c r="S217" s="9">
        <f t="shared" si="65"/>
        <v>0</v>
      </c>
      <c r="T217" s="100">
        <f t="shared" si="66"/>
        <v>0</v>
      </c>
      <c r="U217" s="100">
        <f t="shared" si="67"/>
        <v>4788</v>
      </c>
      <c r="V217" s="101">
        <f t="shared" si="77"/>
        <v>4788</v>
      </c>
      <c r="W217" s="102">
        <f t="shared" si="68"/>
        <v>0</v>
      </c>
      <c r="X217" s="13">
        <f t="shared" si="62"/>
        <v>0</v>
      </c>
      <c r="Y217" s="14" t="str">
        <f t="shared" si="75"/>
        <v>0.00%-0.00%</v>
      </c>
      <c r="Z217" s="103"/>
      <c r="AA217" s="103"/>
      <c r="AB217" s="103"/>
      <c r="AC217" s="16"/>
      <c r="AD217" s="99">
        <f t="shared" si="69"/>
        <v>0</v>
      </c>
      <c r="AE217" s="104">
        <f t="shared" si="70"/>
        <v>4788</v>
      </c>
      <c r="AF217" s="18">
        <f t="shared" si="71"/>
        <v>0</v>
      </c>
      <c r="AG217" s="19">
        <f t="shared" si="72"/>
        <v>0</v>
      </c>
      <c r="AH217" s="20">
        <v>14</v>
      </c>
      <c r="AI217" s="20">
        <v>600</v>
      </c>
      <c r="AJ217" s="20"/>
      <c r="AK217" s="20">
        <v>688</v>
      </c>
      <c r="AL217" s="20">
        <f t="shared" si="73"/>
        <v>74920</v>
      </c>
      <c r="AM217" s="7">
        <v>3</v>
      </c>
      <c r="AN217" s="20"/>
      <c r="AO217" s="21"/>
      <c r="AP217" s="21"/>
      <c r="AQ217" s="5" t="s">
        <v>1559</v>
      </c>
      <c r="AR217" s="5" t="s">
        <v>164</v>
      </c>
      <c r="AS217" s="5" t="s">
        <v>59</v>
      </c>
      <c r="AT217" s="20"/>
      <c r="AU217" s="21"/>
      <c r="AV217" s="21"/>
      <c r="AW217" s="144" t="str">
        <f t="shared" si="76"/>
        <v>OK</v>
      </c>
      <c r="AX217" s="21" t="e">
        <v>#N/A</v>
      </c>
      <c r="AY217" s="21" t="e">
        <v>#N/A</v>
      </c>
      <c r="AZ217" s="21"/>
      <c r="BA217" s="21"/>
    </row>
    <row r="218" spans="1:53" s="98" customFormat="1" ht="20" customHeight="1">
      <c r="A218" s="86" t="s">
        <v>318</v>
      </c>
      <c r="B218" s="372" t="s">
        <v>2548</v>
      </c>
      <c r="C218" s="5" t="s">
        <v>51</v>
      </c>
      <c r="D218" s="5" t="s">
        <v>52</v>
      </c>
      <c r="E218" s="5" t="s">
        <v>1604</v>
      </c>
      <c r="F218" s="5" t="s">
        <v>1582</v>
      </c>
      <c r="G218" s="5" t="s">
        <v>1476</v>
      </c>
      <c r="H218" s="6">
        <v>44305</v>
      </c>
      <c r="I218" s="5" t="s">
        <v>82</v>
      </c>
      <c r="J218" s="5" t="s">
        <v>1508</v>
      </c>
      <c r="K218" s="5" t="s">
        <v>84</v>
      </c>
      <c r="L218" s="7">
        <v>2</v>
      </c>
      <c r="M218" s="7">
        <v>3</v>
      </c>
      <c r="N218" s="99">
        <v>11541</v>
      </c>
      <c r="O218" s="9">
        <v>0</v>
      </c>
      <c r="P218" s="100">
        <f t="shared" si="63"/>
        <v>0</v>
      </c>
      <c r="Q218" s="9">
        <v>0</v>
      </c>
      <c r="R218" s="100">
        <f t="shared" si="64"/>
        <v>0</v>
      </c>
      <c r="S218" s="9">
        <f t="shared" si="65"/>
        <v>0</v>
      </c>
      <c r="T218" s="100">
        <f t="shared" si="66"/>
        <v>0</v>
      </c>
      <c r="U218" s="100">
        <f t="shared" si="67"/>
        <v>11541</v>
      </c>
      <c r="V218" s="101">
        <f t="shared" si="77"/>
        <v>11541</v>
      </c>
      <c r="W218" s="102">
        <f t="shared" si="68"/>
        <v>0</v>
      </c>
      <c r="X218" s="13">
        <f t="shared" si="62"/>
        <v>0</v>
      </c>
      <c r="Y218" s="14" t="str">
        <f t="shared" si="75"/>
        <v>0.00%-0.00%</v>
      </c>
      <c r="Z218" s="103"/>
      <c r="AA218" s="103"/>
      <c r="AB218" s="103"/>
      <c r="AC218" s="16"/>
      <c r="AD218" s="99">
        <f t="shared" si="69"/>
        <v>0</v>
      </c>
      <c r="AE218" s="104">
        <f t="shared" si="70"/>
        <v>11541</v>
      </c>
      <c r="AF218" s="18">
        <f t="shared" si="71"/>
        <v>0</v>
      </c>
      <c r="AG218" s="19">
        <f t="shared" si="72"/>
        <v>0</v>
      </c>
      <c r="AH218" s="20">
        <v>14</v>
      </c>
      <c r="AI218" s="20">
        <v>850</v>
      </c>
      <c r="AJ218" s="20"/>
      <c r="AK218" s="20">
        <v>688</v>
      </c>
      <c r="AL218" s="20">
        <f t="shared" si="73"/>
        <v>172462</v>
      </c>
      <c r="AM218" s="7">
        <v>3</v>
      </c>
      <c r="AN218" s="20"/>
      <c r="AO218" s="21"/>
      <c r="AP218" s="21"/>
      <c r="AQ218" s="5" t="s">
        <v>1559</v>
      </c>
      <c r="AR218" s="5" t="s">
        <v>164</v>
      </c>
      <c r="AS218" s="5" t="s">
        <v>59</v>
      </c>
      <c r="AT218" s="20"/>
      <c r="AU218" s="21"/>
      <c r="AV218" s="21"/>
      <c r="AW218" s="144" t="str">
        <f t="shared" si="76"/>
        <v>OK</v>
      </c>
      <c r="AX218" s="21" t="s">
        <v>3131</v>
      </c>
      <c r="AY218" s="21" t="s">
        <v>3134</v>
      </c>
      <c r="AZ218" s="21"/>
      <c r="BA218" s="21"/>
    </row>
    <row r="219" spans="1:53" s="98" customFormat="1" ht="20" customHeight="1">
      <c r="A219" s="86" t="s">
        <v>318</v>
      </c>
      <c r="B219" s="372" t="s">
        <v>2549</v>
      </c>
      <c r="C219" s="5" t="s">
        <v>51</v>
      </c>
      <c r="D219" s="5" t="s">
        <v>52</v>
      </c>
      <c r="E219" s="5" t="s">
        <v>1604</v>
      </c>
      <c r="F219" s="5" t="s">
        <v>1582</v>
      </c>
      <c r="G219" s="5" t="s">
        <v>1476</v>
      </c>
      <c r="H219" s="6">
        <v>42970</v>
      </c>
      <c r="I219" s="5" t="s">
        <v>60</v>
      </c>
      <c r="J219" s="5" t="s">
        <v>60</v>
      </c>
      <c r="K219" s="5" t="s">
        <v>61</v>
      </c>
      <c r="L219" s="7">
        <v>2</v>
      </c>
      <c r="M219" s="7">
        <v>4</v>
      </c>
      <c r="N219" s="99">
        <v>14349</v>
      </c>
      <c r="O219" s="9">
        <v>4.4999999999999998E-2</v>
      </c>
      <c r="P219" s="100">
        <f t="shared" si="63"/>
        <v>646</v>
      </c>
      <c r="Q219" s="9">
        <v>1.55E-2</v>
      </c>
      <c r="R219" s="100">
        <f t="shared" si="64"/>
        <v>222</v>
      </c>
      <c r="S219" s="9">
        <f t="shared" si="65"/>
        <v>6.0492020349850163E-2</v>
      </c>
      <c r="T219" s="100">
        <f t="shared" si="66"/>
        <v>868</v>
      </c>
      <c r="U219" s="100">
        <f t="shared" si="67"/>
        <v>15217</v>
      </c>
      <c r="V219" s="101">
        <f t="shared" si="77"/>
        <v>15217</v>
      </c>
      <c r="W219" s="102">
        <f t="shared" si="68"/>
        <v>868</v>
      </c>
      <c r="X219" s="13">
        <f t="shared" si="62"/>
        <v>6.0499999999999998E-2</v>
      </c>
      <c r="Y219" s="14" t="str">
        <f t="shared" si="75"/>
        <v>4.84%-7.26%</v>
      </c>
      <c r="Z219" s="103"/>
      <c r="AA219" s="103"/>
      <c r="AB219" s="103"/>
      <c r="AC219" s="16"/>
      <c r="AD219" s="99">
        <f t="shared" si="69"/>
        <v>0</v>
      </c>
      <c r="AE219" s="104">
        <f t="shared" si="70"/>
        <v>15217</v>
      </c>
      <c r="AF219" s="18">
        <f t="shared" si="71"/>
        <v>868</v>
      </c>
      <c r="AG219" s="19">
        <f t="shared" si="72"/>
        <v>6.049202034985024E-2</v>
      </c>
      <c r="AH219" s="20">
        <v>14</v>
      </c>
      <c r="AI219" s="20">
        <v>450</v>
      </c>
      <c r="AJ219" s="20"/>
      <c r="AK219" s="20">
        <v>688</v>
      </c>
      <c r="AL219" s="20">
        <f t="shared" si="73"/>
        <v>219126</v>
      </c>
      <c r="AM219" s="7">
        <v>3</v>
      </c>
      <c r="AN219" s="20"/>
      <c r="AO219" s="21"/>
      <c r="AP219" s="21"/>
      <c r="AQ219" s="5" t="s">
        <v>1559</v>
      </c>
      <c r="AR219" s="5" t="s">
        <v>164</v>
      </c>
      <c r="AS219" s="5" t="s">
        <v>59</v>
      </c>
      <c r="AT219" s="20"/>
      <c r="AU219" s="21"/>
      <c r="AV219" s="21"/>
      <c r="AW219" s="144" t="str">
        <f t="shared" si="76"/>
        <v>OK</v>
      </c>
      <c r="AX219" s="21" t="s">
        <v>3133</v>
      </c>
      <c r="AY219" s="21" t="s">
        <v>3132</v>
      </c>
      <c r="AZ219" s="21"/>
      <c r="BA219" s="21"/>
    </row>
    <row r="220" spans="1:53" s="98" customFormat="1" ht="20" customHeight="1">
      <c r="A220" s="86" t="s">
        <v>318</v>
      </c>
      <c r="B220" s="372" t="s">
        <v>2550</v>
      </c>
      <c r="C220" s="5" t="s">
        <v>1577</v>
      </c>
      <c r="D220" s="5" t="s">
        <v>52</v>
      </c>
      <c r="E220" s="5" t="s">
        <v>1604</v>
      </c>
      <c r="F220" s="5" t="s">
        <v>1573</v>
      </c>
      <c r="G220" s="5" t="s">
        <v>1476</v>
      </c>
      <c r="H220" s="6">
        <v>41192</v>
      </c>
      <c r="I220" s="5" t="s">
        <v>377</v>
      </c>
      <c r="J220" s="5" t="s">
        <v>377</v>
      </c>
      <c r="K220" s="5" t="s">
        <v>324</v>
      </c>
      <c r="L220" s="7">
        <v>2</v>
      </c>
      <c r="M220" s="7">
        <v>3</v>
      </c>
      <c r="N220" s="99">
        <v>5558</v>
      </c>
      <c r="O220" s="9">
        <v>0</v>
      </c>
      <c r="P220" s="100">
        <f t="shared" si="63"/>
        <v>0</v>
      </c>
      <c r="Q220" s="9">
        <v>0</v>
      </c>
      <c r="R220" s="100">
        <f t="shared" si="64"/>
        <v>0</v>
      </c>
      <c r="S220" s="9">
        <f t="shared" si="65"/>
        <v>0</v>
      </c>
      <c r="T220" s="100">
        <f t="shared" si="66"/>
        <v>0</v>
      </c>
      <c r="U220" s="100">
        <f t="shared" si="67"/>
        <v>5558</v>
      </c>
      <c r="V220" s="101">
        <f t="shared" si="77"/>
        <v>5558</v>
      </c>
      <c r="W220" s="102">
        <f t="shared" si="68"/>
        <v>0</v>
      </c>
      <c r="X220" s="13">
        <f t="shared" si="62"/>
        <v>0</v>
      </c>
      <c r="Y220" s="14" t="str">
        <f t="shared" si="75"/>
        <v>0.00%-0.00%</v>
      </c>
      <c r="Z220" s="103"/>
      <c r="AA220" s="103"/>
      <c r="AB220" s="103"/>
      <c r="AC220" s="16"/>
      <c r="AD220" s="99">
        <f t="shared" si="69"/>
        <v>0</v>
      </c>
      <c r="AE220" s="104">
        <f t="shared" si="70"/>
        <v>5558</v>
      </c>
      <c r="AF220" s="18">
        <f t="shared" si="71"/>
        <v>0</v>
      </c>
      <c r="AG220" s="19">
        <f t="shared" si="72"/>
        <v>0</v>
      </c>
      <c r="AH220" s="20">
        <v>14</v>
      </c>
      <c r="AI220" s="20">
        <v>600</v>
      </c>
      <c r="AJ220" s="20"/>
      <c r="AK220" s="20">
        <v>688</v>
      </c>
      <c r="AL220" s="20">
        <f t="shared" si="73"/>
        <v>85700</v>
      </c>
      <c r="AM220" s="7">
        <v>3</v>
      </c>
      <c r="AN220" s="20"/>
      <c r="AO220" s="21"/>
      <c r="AP220" s="21"/>
      <c r="AQ220" s="5" t="s">
        <v>1559</v>
      </c>
      <c r="AR220" s="5" t="s">
        <v>164</v>
      </c>
      <c r="AS220" s="5" t="s">
        <v>59</v>
      </c>
      <c r="AT220" s="20"/>
      <c r="AU220" s="21"/>
      <c r="AV220" s="21"/>
      <c r="AW220" s="144" t="str">
        <f t="shared" si="76"/>
        <v>OK</v>
      </c>
      <c r="AX220" s="21" t="e">
        <v>#N/A</v>
      </c>
      <c r="AY220" s="21" t="e">
        <v>#N/A</v>
      </c>
      <c r="AZ220" s="21"/>
      <c r="BA220" s="21"/>
    </row>
    <row r="221" spans="1:53" s="98" customFormat="1" ht="20" customHeight="1">
      <c r="A221" s="86" t="s">
        <v>318</v>
      </c>
      <c r="B221" s="372" t="s">
        <v>2551</v>
      </c>
      <c r="C221" s="5" t="s">
        <v>51</v>
      </c>
      <c r="D221" s="5" t="s">
        <v>52</v>
      </c>
      <c r="E221" s="5" t="s">
        <v>1604</v>
      </c>
      <c r="F221" s="5" t="s">
        <v>1582</v>
      </c>
      <c r="G221" s="5" t="s">
        <v>1476</v>
      </c>
      <c r="H221" s="6">
        <v>41850</v>
      </c>
      <c r="I221" s="5" t="s">
        <v>111</v>
      </c>
      <c r="J221" s="5" t="s">
        <v>1505</v>
      </c>
      <c r="K221" s="5" t="s">
        <v>56</v>
      </c>
      <c r="L221" s="7">
        <v>2</v>
      </c>
      <c r="M221" s="7">
        <v>4</v>
      </c>
      <c r="N221" s="99">
        <v>22023</v>
      </c>
      <c r="O221" s="9">
        <v>4.4999999999999998E-2</v>
      </c>
      <c r="P221" s="100">
        <f t="shared" si="63"/>
        <v>991</v>
      </c>
      <c r="Q221" s="9">
        <v>1.55E-2</v>
      </c>
      <c r="R221" s="100">
        <f t="shared" si="64"/>
        <v>341</v>
      </c>
      <c r="S221" s="9">
        <f t="shared" si="65"/>
        <v>6.0482223130363708E-2</v>
      </c>
      <c r="T221" s="100">
        <f t="shared" si="66"/>
        <v>1332</v>
      </c>
      <c r="U221" s="100">
        <f t="shared" si="67"/>
        <v>23355</v>
      </c>
      <c r="V221" s="101">
        <v>23200</v>
      </c>
      <c r="W221" s="102">
        <f t="shared" si="68"/>
        <v>1177</v>
      </c>
      <c r="X221" s="13">
        <f t="shared" si="62"/>
        <v>5.3400000000000003E-2</v>
      </c>
      <c r="Y221" s="14" t="str">
        <f t="shared" si="75"/>
        <v>4.84%-7.26%</v>
      </c>
      <c r="Z221" s="103"/>
      <c r="AA221" s="103"/>
      <c r="AB221" s="103"/>
      <c r="AC221" s="16"/>
      <c r="AD221" s="99">
        <f t="shared" si="69"/>
        <v>0</v>
      </c>
      <c r="AE221" s="104">
        <f t="shared" si="70"/>
        <v>23200</v>
      </c>
      <c r="AF221" s="18">
        <f t="shared" si="71"/>
        <v>1177</v>
      </c>
      <c r="AG221" s="19">
        <f t="shared" si="72"/>
        <v>5.344412659492348E-2</v>
      </c>
      <c r="AH221" s="20">
        <v>14</v>
      </c>
      <c r="AI221" s="20">
        <v>450</v>
      </c>
      <c r="AJ221" s="20"/>
      <c r="AK221" s="20">
        <v>688</v>
      </c>
      <c r="AL221" s="20">
        <f t="shared" si="73"/>
        <v>330888</v>
      </c>
      <c r="AM221" s="7">
        <v>4</v>
      </c>
      <c r="AN221" s="20"/>
      <c r="AO221" s="21"/>
      <c r="AP221" s="21"/>
      <c r="AQ221" s="5" t="s">
        <v>1559</v>
      </c>
      <c r="AR221" s="5" t="s">
        <v>164</v>
      </c>
      <c r="AS221" s="5" t="s">
        <v>59</v>
      </c>
      <c r="AT221" s="20"/>
      <c r="AU221" s="21"/>
      <c r="AV221" s="21"/>
      <c r="AW221" s="144" t="str">
        <f t="shared" si="76"/>
        <v>OK</v>
      </c>
      <c r="AX221" s="21" t="s">
        <v>3135</v>
      </c>
      <c r="AY221" s="21" t="s">
        <v>3132</v>
      </c>
      <c r="AZ221" s="21"/>
      <c r="BA221" s="21"/>
    </row>
    <row r="222" spans="1:53" s="98" customFormat="1" ht="20" customHeight="1">
      <c r="A222" s="86" t="s">
        <v>318</v>
      </c>
      <c r="B222" s="372" t="s">
        <v>2552</v>
      </c>
      <c r="C222" s="5" t="s">
        <v>51</v>
      </c>
      <c r="D222" s="5" t="s">
        <v>52</v>
      </c>
      <c r="E222" s="5" t="s">
        <v>1604</v>
      </c>
      <c r="F222" s="5" t="s">
        <v>1573</v>
      </c>
      <c r="G222" s="5" t="s">
        <v>1476</v>
      </c>
      <c r="H222" s="6">
        <v>38899</v>
      </c>
      <c r="I222" s="5" t="s">
        <v>111</v>
      </c>
      <c r="J222" s="5" t="s">
        <v>1583</v>
      </c>
      <c r="K222" s="5" t="s">
        <v>56</v>
      </c>
      <c r="L222" s="7">
        <v>2</v>
      </c>
      <c r="M222" s="7">
        <v>4</v>
      </c>
      <c r="N222" s="99">
        <v>28268</v>
      </c>
      <c r="O222" s="9">
        <v>0.03</v>
      </c>
      <c r="P222" s="100">
        <f t="shared" si="63"/>
        <v>848</v>
      </c>
      <c r="Q222" s="9">
        <v>0</v>
      </c>
      <c r="R222" s="100">
        <f t="shared" si="64"/>
        <v>0</v>
      </c>
      <c r="S222" s="9">
        <f t="shared" si="65"/>
        <v>2.9998584972406962E-2</v>
      </c>
      <c r="T222" s="100">
        <f t="shared" si="66"/>
        <v>848</v>
      </c>
      <c r="U222" s="100">
        <f t="shared" si="67"/>
        <v>29116</v>
      </c>
      <c r="V222" s="101">
        <f t="shared" si="77"/>
        <v>29116</v>
      </c>
      <c r="W222" s="102">
        <f t="shared" si="68"/>
        <v>848</v>
      </c>
      <c r="X222" s="13">
        <f t="shared" si="62"/>
        <v>0.03</v>
      </c>
      <c r="Y222" s="14" t="str">
        <f t="shared" si="75"/>
        <v>2.40%-3.60%</v>
      </c>
      <c r="Z222" s="103"/>
      <c r="AA222" s="103"/>
      <c r="AB222" s="103"/>
      <c r="AC222" s="16"/>
      <c r="AD222" s="99">
        <f t="shared" si="69"/>
        <v>0</v>
      </c>
      <c r="AE222" s="104">
        <f t="shared" si="70"/>
        <v>29116</v>
      </c>
      <c r="AF222" s="18">
        <f t="shared" si="71"/>
        <v>848</v>
      </c>
      <c r="AG222" s="19">
        <f t="shared" si="72"/>
        <v>2.9998584972406928E-2</v>
      </c>
      <c r="AH222" s="20">
        <v>14</v>
      </c>
      <c r="AI222" s="20">
        <v>450</v>
      </c>
      <c r="AJ222" s="20"/>
      <c r="AK222" s="20">
        <v>688</v>
      </c>
      <c r="AL222" s="20">
        <f t="shared" si="73"/>
        <v>413712</v>
      </c>
      <c r="AM222" s="7">
        <v>4</v>
      </c>
      <c r="AN222" s="20"/>
      <c r="AO222" s="21"/>
      <c r="AP222" s="21"/>
      <c r="AQ222" s="5" t="s">
        <v>1559</v>
      </c>
      <c r="AR222" s="5" t="s">
        <v>164</v>
      </c>
      <c r="AS222" s="5" t="s">
        <v>59</v>
      </c>
      <c r="AT222" s="20"/>
      <c r="AU222" s="21"/>
      <c r="AV222" s="21"/>
      <c r="AW222" s="144" t="str">
        <f t="shared" si="76"/>
        <v>OK</v>
      </c>
      <c r="AX222" s="21" t="s">
        <v>3129</v>
      </c>
      <c r="AY222" s="21" t="s">
        <v>3136</v>
      </c>
      <c r="AZ222" s="21"/>
      <c r="BA222" s="21"/>
    </row>
    <row r="223" spans="1:53" s="98" customFormat="1" ht="20" customHeight="1">
      <c r="A223" s="86" t="s">
        <v>318</v>
      </c>
      <c r="B223" s="372" t="s">
        <v>2553</v>
      </c>
      <c r="C223" s="5" t="s">
        <v>51</v>
      </c>
      <c r="D223" s="5" t="s">
        <v>52</v>
      </c>
      <c r="E223" s="5" t="s">
        <v>1604</v>
      </c>
      <c r="F223" s="5" t="s">
        <v>1573</v>
      </c>
      <c r="G223" s="5" t="s">
        <v>1476</v>
      </c>
      <c r="H223" s="6">
        <v>41150</v>
      </c>
      <c r="I223" s="5" t="s">
        <v>55</v>
      </c>
      <c r="J223" s="5" t="s">
        <v>55</v>
      </c>
      <c r="K223" s="5" t="s">
        <v>56</v>
      </c>
      <c r="L223" s="7">
        <v>2</v>
      </c>
      <c r="M223" s="7">
        <v>3</v>
      </c>
      <c r="N223" s="99">
        <v>21910</v>
      </c>
      <c r="O223" s="9">
        <v>2.5000000000000001E-2</v>
      </c>
      <c r="P223" s="100">
        <f t="shared" si="63"/>
        <v>548</v>
      </c>
      <c r="Q223" s="9">
        <v>0</v>
      </c>
      <c r="R223" s="100">
        <f t="shared" si="64"/>
        <v>0</v>
      </c>
      <c r="S223" s="9">
        <f t="shared" si="65"/>
        <v>2.5011410314924692E-2</v>
      </c>
      <c r="T223" s="100">
        <f t="shared" si="66"/>
        <v>548</v>
      </c>
      <c r="U223" s="100">
        <f t="shared" si="67"/>
        <v>22458</v>
      </c>
      <c r="V223" s="101">
        <v>22545</v>
      </c>
      <c r="W223" s="102">
        <f t="shared" si="68"/>
        <v>635</v>
      </c>
      <c r="X223" s="13">
        <f t="shared" si="62"/>
        <v>2.9000000000000001E-2</v>
      </c>
      <c r="Y223" s="14" t="str">
        <f t="shared" si="75"/>
        <v>2.00%-3.00%</v>
      </c>
      <c r="Z223" s="103"/>
      <c r="AA223" s="103"/>
      <c r="AB223" s="103"/>
      <c r="AC223" s="16"/>
      <c r="AD223" s="99">
        <f t="shared" si="69"/>
        <v>0</v>
      </c>
      <c r="AE223" s="104">
        <f t="shared" si="70"/>
        <v>22545</v>
      </c>
      <c r="AF223" s="18">
        <f t="shared" si="71"/>
        <v>635</v>
      </c>
      <c r="AG223" s="19">
        <f t="shared" si="72"/>
        <v>2.8982199908717421E-2</v>
      </c>
      <c r="AH223" s="20">
        <v>14</v>
      </c>
      <c r="AI223" s="20">
        <v>500</v>
      </c>
      <c r="AJ223" s="20"/>
      <c r="AK223" s="20">
        <v>688</v>
      </c>
      <c r="AL223" s="20">
        <f t="shared" si="73"/>
        <v>322318</v>
      </c>
      <c r="AM223" s="7">
        <v>4</v>
      </c>
      <c r="AN223" s="20"/>
      <c r="AO223" s="21"/>
      <c r="AP223" s="21"/>
      <c r="AQ223" s="5" t="s">
        <v>1559</v>
      </c>
      <c r="AR223" s="5" t="s">
        <v>164</v>
      </c>
      <c r="AS223" s="5" t="s">
        <v>59</v>
      </c>
      <c r="AT223" s="20"/>
      <c r="AU223" s="21"/>
      <c r="AV223" s="21"/>
      <c r="AW223" s="144" t="str">
        <f t="shared" si="76"/>
        <v>OK</v>
      </c>
      <c r="AX223" s="21" t="s">
        <v>3135</v>
      </c>
      <c r="AY223" s="21" t="s">
        <v>3130</v>
      </c>
      <c r="AZ223" s="21"/>
      <c r="BA223" s="21"/>
    </row>
    <row r="224" spans="1:53" s="98" customFormat="1" ht="20" customHeight="1">
      <c r="A224" s="86" t="s">
        <v>318</v>
      </c>
      <c r="B224" s="372" t="s">
        <v>2554</v>
      </c>
      <c r="C224" s="5" t="s">
        <v>51</v>
      </c>
      <c r="D224" s="5" t="s">
        <v>52</v>
      </c>
      <c r="E224" s="5" t="s">
        <v>1604</v>
      </c>
      <c r="F224" s="5" t="s">
        <v>1573</v>
      </c>
      <c r="G224" s="5" t="s">
        <v>1476</v>
      </c>
      <c r="H224" s="6">
        <v>44517</v>
      </c>
      <c r="I224" s="5" t="s">
        <v>82</v>
      </c>
      <c r="J224" s="5" t="s">
        <v>1584</v>
      </c>
      <c r="K224" s="5" t="s">
        <v>84</v>
      </c>
      <c r="L224" s="7">
        <v>2</v>
      </c>
      <c r="M224" s="7">
        <v>3</v>
      </c>
      <c r="N224" s="99">
        <v>14214</v>
      </c>
      <c r="O224" s="9">
        <v>0</v>
      </c>
      <c r="P224" s="100">
        <f t="shared" si="63"/>
        <v>0</v>
      </c>
      <c r="Q224" s="9">
        <v>0</v>
      </c>
      <c r="R224" s="100">
        <f t="shared" si="64"/>
        <v>0</v>
      </c>
      <c r="S224" s="9">
        <f t="shared" si="65"/>
        <v>0</v>
      </c>
      <c r="T224" s="100">
        <f t="shared" si="66"/>
        <v>0</v>
      </c>
      <c r="U224" s="100">
        <f t="shared" si="67"/>
        <v>14214</v>
      </c>
      <c r="V224" s="101">
        <f t="shared" si="77"/>
        <v>14214</v>
      </c>
      <c r="W224" s="102">
        <f t="shared" si="68"/>
        <v>0</v>
      </c>
      <c r="X224" s="13">
        <f t="shared" si="62"/>
        <v>0</v>
      </c>
      <c r="Y224" s="14" t="str">
        <f t="shared" si="75"/>
        <v>0.00%-0.00%</v>
      </c>
      <c r="Z224" s="103"/>
      <c r="AA224" s="103"/>
      <c r="AB224" s="103"/>
      <c r="AC224" s="16"/>
      <c r="AD224" s="99">
        <f t="shared" si="69"/>
        <v>0</v>
      </c>
      <c r="AE224" s="104">
        <f t="shared" si="70"/>
        <v>14214</v>
      </c>
      <c r="AF224" s="18">
        <f t="shared" si="71"/>
        <v>0</v>
      </c>
      <c r="AG224" s="19">
        <f t="shared" si="72"/>
        <v>0</v>
      </c>
      <c r="AH224" s="20">
        <v>14</v>
      </c>
      <c r="AI224" s="20">
        <v>450</v>
      </c>
      <c r="AJ224" s="20"/>
      <c r="AK224" s="20">
        <v>688</v>
      </c>
      <c r="AL224" s="20">
        <f t="shared" si="73"/>
        <v>205084</v>
      </c>
      <c r="AM224" s="7">
        <v>3</v>
      </c>
      <c r="AN224" s="20"/>
      <c r="AO224" s="21"/>
      <c r="AP224" s="21"/>
      <c r="AQ224" s="5" t="s">
        <v>1559</v>
      </c>
      <c r="AR224" s="5" t="s">
        <v>164</v>
      </c>
      <c r="AS224" s="5" t="s">
        <v>59</v>
      </c>
      <c r="AT224" s="20"/>
      <c r="AU224" s="21"/>
      <c r="AV224" s="21"/>
      <c r="AW224" s="144" t="str">
        <f t="shared" si="76"/>
        <v>OK</v>
      </c>
      <c r="AX224" s="21" t="s">
        <v>3131</v>
      </c>
      <c r="AY224" s="21" t="s">
        <v>3134</v>
      </c>
      <c r="AZ224" s="21"/>
      <c r="BA224" s="21"/>
    </row>
    <row r="225" spans="1:53" s="98" customFormat="1" ht="20" customHeight="1">
      <c r="A225" s="86" t="s">
        <v>318</v>
      </c>
      <c r="B225" s="372" t="s">
        <v>2555</v>
      </c>
      <c r="C225" s="5" t="s">
        <v>51</v>
      </c>
      <c r="D225" s="5" t="s">
        <v>52</v>
      </c>
      <c r="E225" s="5" t="s">
        <v>1604</v>
      </c>
      <c r="F225" s="5" t="s">
        <v>1580</v>
      </c>
      <c r="G225" s="5" t="s">
        <v>1476</v>
      </c>
      <c r="H225" s="6">
        <v>42158</v>
      </c>
      <c r="I225" s="5" t="s">
        <v>74</v>
      </c>
      <c r="J225" s="5" t="s">
        <v>1446</v>
      </c>
      <c r="K225" s="5" t="s">
        <v>76</v>
      </c>
      <c r="L225" s="7">
        <v>2</v>
      </c>
      <c r="M225" s="7">
        <v>3</v>
      </c>
      <c r="N225" s="99">
        <v>11430</v>
      </c>
      <c r="O225" s="9">
        <v>2.5000000000000001E-2</v>
      </c>
      <c r="P225" s="100">
        <f t="shared" si="63"/>
        <v>286</v>
      </c>
      <c r="Q225" s="9">
        <v>0</v>
      </c>
      <c r="R225" s="100">
        <f t="shared" si="64"/>
        <v>0</v>
      </c>
      <c r="S225" s="9">
        <f t="shared" si="65"/>
        <v>2.5021872265966753E-2</v>
      </c>
      <c r="T225" s="100">
        <f t="shared" si="66"/>
        <v>286</v>
      </c>
      <c r="U225" s="100">
        <f t="shared" si="67"/>
        <v>11716</v>
      </c>
      <c r="V225" s="101">
        <v>11760</v>
      </c>
      <c r="W225" s="102">
        <f t="shared" si="68"/>
        <v>330</v>
      </c>
      <c r="X225" s="13">
        <f t="shared" si="62"/>
        <v>2.8899999999999999E-2</v>
      </c>
      <c r="Y225" s="14" t="str">
        <f t="shared" si="75"/>
        <v>2.00%-3.00%</v>
      </c>
      <c r="Z225" s="103"/>
      <c r="AA225" s="103"/>
      <c r="AB225" s="103"/>
      <c r="AC225" s="16"/>
      <c r="AD225" s="99">
        <f t="shared" si="69"/>
        <v>0</v>
      </c>
      <c r="AE225" s="104">
        <f t="shared" si="70"/>
        <v>11760</v>
      </c>
      <c r="AF225" s="18">
        <f t="shared" si="71"/>
        <v>330</v>
      </c>
      <c r="AG225" s="19">
        <f t="shared" si="72"/>
        <v>2.8871391076115582E-2</v>
      </c>
      <c r="AH225" s="20">
        <v>14</v>
      </c>
      <c r="AI225" s="20">
        <v>450</v>
      </c>
      <c r="AJ225" s="20"/>
      <c r="AK225" s="20">
        <v>688</v>
      </c>
      <c r="AL225" s="20">
        <f t="shared" si="73"/>
        <v>170728</v>
      </c>
      <c r="AM225" s="7">
        <v>3</v>
      </c>
      <c r="AN225" s="20"/>
      <c r="AO225" s="21"/>
      <c r="AP225" s="21"/>
      <c r="AQ225" s="5" t="s">
        <v>1559</v>
      </c>
      <c r="AR225" s="5" t="s">
        <v>164</v>
      </c>
      <c r="AS225" s="5" t="s">
        <v>59</v>
      </c>
      <c r="AT225" s="20"/>
      <c r="AU225" s="21"/>
      <c r="AV225" s="21"/>
      <c r="AW225" s="144" t="str">
        <f t="shared" si="76"/>
        <v>OK</v>
      </c>
      <c r="AX225" s="21" t="s">
        <v>3135</v>
      </c>
      <c r="AY225" s="21" t="s">
        <v>3130</v>
      </c>
      <c r="AZ225" s="21"/>
      <c r="BA225" s="21"/>
    </row>
    <row r="226" spans="1:53" s="98" customFormat="1" ht="20" customHeight="1">
      <c r="A226" s="86" t="s">
        <v>318</v>
      </c>
      <c r="B226" s="372" t="s">
        <v>2556</v>
      </c>
      <c r="C226" s="5" t="s">
        <v>1577</v>
      </c>
      <c r="D226" s="5" t="s">
        <v>52</v>
      </c>
      <c r="E226" s="5" t="s">
        <v>1604</v>
      </c>
      <c r="F226" s="5" t="s">
        <v>1573</v>
      </c>
      <c r="G226" s="5" t="s">
        <v>1476</v>
      </c>
      <c r="H226" s="6">
        <v>40179</v>
      </c>
      <c r="I226" s="5" t="s">
        <v>373</v>
      </c>
      <c r="J226" s="5" t="s">
        <v>373</v>
      </c>
      <c r="K226" s="5" t="s">
        <v>175</v>
      </c>
      <c r="L226" s="7">
        <v>2</v>
      </c>
      <c r="M226" s="7">
        <v>3</v>
      </c>
      <c r="N226" s="99">
        <v>6018</v>
      </c>
      <c r="O226" s="9">
        <v>2.5000000000000001E-2</v>
      </c>
      <c r="P226" s="100">
        <f t="shared" si="63"/>
        <v>150</v>
      </c>
      <c r="Q226" s="9">
        <v>0</v>
      </c>
      <c r="R226" s="100">
        <f t="shared" si="64"/>
        <v>0</v>
      </c>
      <c r="S226" s="9">
        <f t="shared" si="65"/>
        <v>2.4925224327018942E-2</v>
      </c>
      <c r="T226" s="100">
        <f t="shared" si="66"/>
        <v>150</v>
      </c>
      <c r="U226" s="100">
        <f t="shared" si="67"/>
        <v>6168</v>
      </c>
      <c r="V226" s="101">
        <v>6198</v>
      </c>
      <c r="W226" s="102">
        <f t="shared" si="68"/>
        <v>180</v>
      </c>
      <c r="X226" s="13">
        <f t="shared" si="62"/>
        <v>2.9899999999999999E-2</v>
      </c>
      <c r="Y226" s="14" t="str">
        <f t="shared" si="75"/>
        <v>1.99%-2.99%</v>
      </c>
      <c r="Z226" s="103"/>
      <c r="AA226" s="103"/>
      <c r="AB226" s="103"/>
      <c r="AC226" s="16"/>
      <c r="AD226" s="99">
        <f t="shared" si="69"/>
        <v>0</v>
      </c>
      <c r="AE226" s="104">
        <f t="shared" si="70"/>
        <v>6198</v>
      </c>
      <c r="AF226" s="18">
        <f t="shared" si="71"/>
        <v>180</v>
      </c>
      <c r="AG226" s="19">
        <f t="shared" si="72"/>
        <v>2.9910269192422678E-2</v>
      </c>
      <c r="AH226" s="20">
        <v>14</v>
      </c>
      <c r="AI226" s="20">
        <v>600</v>
      </c>
      <c r="AJ226" s="20"/>
      <c r="AK226" s="20">
        <v>688</v>
      </c>
      <c r="AL226" s="20">
        <f t="shared" si="73"/>
        <v>94660</v>
      </c>
      <c r="AM226" s="7">
        <v>3</v>
      </c>
      <c r="AN226" s="20"/>
      <c r="AO226" s="21"/>
      <c r="AP226" s="21"/>
      <c r="AQ226" s="5" t="s">
        <v>1559</v>
      </c>
      <c r="AR226" s="5" t="s">
        <v>164</v>
      </c>
      <c r="AS226" s="5" t="s">
        <v>59</v>
      </c>
      <c r="AT226" s="20"/>
      <c r="AU226" s="21"/>
      <c r="AV226" s="21"/>
      <c r="AW226" s="144" t="str">
        <f t="shared" si="76"/>
        <v>OK</v>
      </c>
      <c r="AX226" s="21" t="s">
        <v>3129</v>
      </c>
      <c r="AY226" s="21" t="s">
        <v>3130</v>
      </c>
      <c r="AZ226" s="21"/>
      <c r="BA226" s="21"/>
    </row>
    <row r="227" spans="1:53" s="98" customFormat="1" ht="20" customHeight="1">
      <c r="A227" s="86" t="s">
        <v>318</v>
      </c>
      <c r="B227" s="372" t="s">
        <v>2557</v>
      </c>
      <c r="C227" s="5" t="s">
        <v>51</v>
      </c>
      <c r="D227" s="5" t="s">
        <v>52</v>
      </c>
      <c r="E227" s="5" t="s">
        <v>1604</v>
      </c>
      <c r="F227" s="5" t="s">
        <v>1580</v>
      </c>
      <c r="G227" s="5" t="s">
        <v>1476</v>
      </c>
      <c r="H227" s="6">
        <v>43866</v>
      </c>
      <c r="I227" s="5" t="s">
        <v>60</v>
      </c>
      <c r="J227" s="5" t="s">
        <v>60</v>
      </c>
      <c r="K227" s="5" t="s">
        <v>61</v>
      </c>
      <c r="L227" s="7">
        <v>2</v>
      </c>
      <c r="M227" s="7">
        <v>3</v>
      </c>
      <c r="N227" s="99">
        <v>14020</v>
      </c>
      <c r="O227" s="9">
        <v>2.5000000000000001E-2</v>
      </c>
      <c r="P227" s="100">
        <f t="shared" si="63"/>
        <v>351</v>
      </c>
      <c r="Q227" s="9">
        <v>0</v>
      </c>
      <c r="R227" s="100">
        <f t="shared" si="64"/>
        <v>0</v>
      </c>
      <c r="S227" s="9">
        <f t="shared" si="65"/>
        <v>2.5035663338088446E-2</v>
      </c>
      <c r="T227" s="100">
        <f t="shared" si="66"/>
        <v>351</v>
      </c>
      <c r="U227" s="100">
        <f t="shared" si="67"/>
        <v>14371</v>
      </c>
      <c r="V227" s="101">
        <f t="shared" si="77"/>
        <v>14371</v>
      </c>
      <c r="W227" s="102">
        <f t="shared" si="68"/>
        <v>351</v>
      </c>
      <c r="X227" s="13">
        <f t="shared" si="62"/>
        <v>2.5000000000000001E-2</v>
      </c>
      <c r="Y227" s="14" t="str">
        <f t="shared" si="75"/>
        <v>2.00%-3.00%</v>
      </c>
      <c r="Z227" s="103"/>
      <c r="AA227" s="103"/>
      <c r="AB227" s="103"/>
      <c r="AC227" s="16"/>
      <c r="AD227" s="99">
        <f t="shared" si="69"/>
        <v>0</v>
      </c>
      <c r="AE227" s="104">
        <f t="shared" si="70"/>
        <v>14371</v>
      </c>
      <c r="AF227" s="18">
        <f t="shared" si="71"/>
        <v>351</v>
      </c>
      <c r="AG227" s="19">
        <f t="shared" si="72"/>
        <v>2.5035663338088376E-2</v>
      </c>
      <c r="AH227" s="20">
        <v>14</v>
      </c>
      <c r="AI227" s="20">
        <v>450</v>
      </c>
      <c r="AJ227" s="20"/>
      <c r="AK227" s="20">
        <v>688</v>
      </c>
      <c r="AL227" s="20">
        <f t="shared" si="73"/>
        <v>207282</v>
      </c>
      <c r="AM227" s="7">
        <v>4</v>
      </c>
      <c r="AN227" s="20"/>
      <c r="AO227" s="21"/>
      <c r="AP227" s="21"/>
      <c r="AQ227" s="5" t="s">
        <v>1559</v>
      </c>
      <c r="AR227" s="5" t="s">
        <v>164</v>
      </c>
      <c r="AS227" s="5" t="s">
        <v>59</v>
      </c>
      <c r="AT227" s="20"/>
      <c r="AU227" s="21"/>
      <c r="AV227" s="21"/>
      <c r="AW227" s="144" t="str">
        <f t="shared" si="76"/>
        <v>OK</v>
      </c>
      <c r="AX227" s="21" t="s">
        <v>3133</v>
      </c>
      <c r="AY227" s="21" t="s">
        <v>3130</v>
      </c>
      <c r="AZ227" s="21"/>
      <c r="BA227" s="21"/>
    </row>
    <row r="228" spans="1:53" s="98" customFormat="1" ht="20" customHeight="1">
      <c r="A228" s="86" t="s">
        <v>318</v>
      </c>
      <c r="B228" s="372" t="s">
        <v>2558</v>
      </c>
      <c r="C228" s="5" t="s">
        <v>51</v>
      </c>
      <c r="D228" s="5" t="s">
        <v>52</v>
      </c>
      <c r="E228" s="5" t="s">
        <v>1604</v>
      </c>
      <c r="F228" s="5" t="s">
        <v>1582</v>
      </c>
      <c r="G228" s="5" t="s">
        <v>1476</v>
      </c>
      <c r="H228" s="6">
        <v>41122</v>
      </c>
      <c r="I228" s="5" t="s">
        <v>71</v>
      </c>
      <c r="J228" s="5" t="s">
        <v>71</v>
      </c>
      <c r="K228" s="5" t="s">
        <v>61</v>
      </c>
      <c r="L228" s="7">
        <v>2</v>
      </c>
      <c r="M228" s="7">
        <v>3</v>
      </c>
      <c r="N228" s="99">
        <v>18668</v>
      </c>
      <c r="O228" s="9">
        <v>2.5000000000000001E-2</v>
      </c>
      <c r="P228" s="100">
        <f t="shared" si="63"/>
        <v>467</v>
      </c>
      <c r="Q228" s="9">
        <v>0</v>
      </c>
      <c r="R228" s="100">
        <f t="shared" si="64"/>
        <v>0</v>
      </c>
      <c r="S228" s="9">
        <f t="shared" si="65"/>
        <v>2.5016070280694237E-2</v>
      </c>
      <c r="T228" s="100">
        <f t="shared" si="66"/>
        <v>467</v>
      </c>
      <c r="U228" s="100">
        <f t="shared" si="67"/>
        <v>19135</v>
      </c>
      <c r="V228" s="101">
        <f t="shared" si="77"/>
        <v>19135</v>
      </c>
      <c r="W228" s="102">
        <f t="shared" si="68"/>
        <v>467</v>
      </c>
      <c r="X228" s="13">
        <f t="shared" si="62"/>
        <v>2.5000000000000001E-2</v>
      </c>
      <c r="Y228" s="14" t="str">
        <f t="shared" si="75"/>
        <v>2.00%-3.00%</v>
      </c>
      <c r="Z228" s="103"/>
      <c r="AA228" s="103"/>
      <c r="AB228" s="103"/>
      <c r="AC228" s="16"/>
      <c r="AD228" s="99">
        <f t="shared" si="69"/>
        <v>0</v>
      </c>
      <c r="AE228" s="104">
        <f t="shared" si="70"/>
        <v>19135</v>
      </c>
      <c r="AF228" s="18">
        <f t="shared" si="71"/>
        <v>467</v>
      </c>
      <c r="AG228" s="19">
        <f t="shared" si="72"/>
        <v>2.5016070280694302E-2</v>
      </c>
      <c r="AH228" s="20">
        <v>14</v>
      </c>
      <c r="AI228" s="20">
        <v>450</v>
      </c>
      <c r="AJ228" s="20"/>
      <c r="AK228" s="20">
        <v>688</v>
      </c>
      <c r="AL228" s="20">
        <f t="shared" si="73"/>
        <v>273978</v>
      </c>
      <c r="AM228" s="7">
        <v>3</v>
      </c>
      <c r="AN228" s="20"/>
      <c r="AO228" s="21"/>
      <c r="AP228" s="21"/>
      <c r="AQ228" s="5" t="s">
        <v>1559</v>
      </c>
      <c r="AR228" s="5" t="s">
        <v>164</v>
      </c>
      <c r="AS228" s="5" t="s">
        <v>59</v>
      </c>
      <c r="AT228" s="20"/>
      <c r="AU228" s="21"/>
      <c r="AV228" s="21"/>
      <c r="AW228" s="144" t="str">
        <f t="shared" si="76"/>
        <v>OK</v>
      </c>
      <c r="AX228" s="21" t="s">
        <v>3135</v>
      </c>
      <c r="AY228" s="21" t="s">
        <v>3130</v>
      </c>
      <c r="AZ228" s="21"/>
      <c r="BA228" s="21"/>
    </row>
    <row r="229" spans="1:53" s="98" customFormat="1" ht="20" customHeight="1">
      <c r="A229" s="86" t="s">
        <v>318</v>
      </c>
      <c r="B229" s="372" t="s">
        <v>2559</v>
      </c>
      <c r="C229" s="5" t="s">
        <v>1577</v>
      </c>
      <c r="D229" s="5" t="s">
        <v>52</v>
      </c>
      <c r="E229" s="5" t="s">
        <v>1604</v>
      </c>
      <c r="F229" s="5" t="s">
        <v>1573</v>
      </c>
      <c r="G229" s="5" t="s">
        <v>1476</v>
      </c>
      <c r="H229" s="6">
        <v>40695</v>
      </c>
      <c r="I229" s="5" t="s">
        <v>377</v>
      </c>
      <c r="J229" s="5" t="s">
        <v>377</v>
      </c>
      <c r="K229" s="5" t="s">
        <v>324</v>
      </c>
      <c r="L229" s="7">
        <v>2</v>
      </c>
      <c r="M229" s="7">
        <v>1</v>
      </c>
      <c r="N229" s="99">
        <v>5364</v>
      </c>
      <c r="O229" s="9">
        <v>0</v>
      </c>
      <c r="P229" s="100">
        <f t="shared" si="63"/>
        <v>0</v>
      </c>
      <c r="Q229" s="9">
        <v>0</v>
      </c>
      <c r="R229" s="100">
        <f t="shared" si="64"/>
        <v>0</v>
      </c>
      <c r="S229" s="9">
        <f t="shared" si="65"/>
        <v>0</v>
      </c>
      <c r="T229" s="100">
        <f t="shared" si="66"/>
        <v>0</v>
      </c>
      <c r="U229" s="100">
        <f t="shared" si="67"/>
        <v>5364</v>
      </c>
      <c r="V229" s="101">
        <f t="shared" si="77"/>
        <v>5364</v>
      </c>
      <c r="W229" s="102">
        <f t="shared" si="68"/>
        <v>0</v>
      </c>
      <c r="X229" s="13">
        <f t="shared" si="62"/>
        <v>0</v>
      </c>
      <c r="Y229" s="14" t="str">
        <f t="shared" si="75"/>
        <v>0.00%-0.00%</v>
      </c>
      <c r="Z229" s="103"/>
      <c r="AA229" s="103"/>
      <c r="AB229" s="103"/>
      <c r="AC229" s="16"/>
      <c r="AD229" s="99">
        <f t="shared" si="69"/>
        <v>0</v>
      </c>
      <c r="AE229" s="104">
        <f t="shared" si="70"/>
        <v>5364</v>
      </c>
      <c r="AF229" s="18">
        <f t="shared" si="71"/>
        <v>0</v>
      </c>
      <c r="AG229" s="19">
        <f t="shared" si="72"/>
        <v>0</v>
      </c>
      <c r="AH229" s="20">
        <v>14</v>
      </c>
      <c r="AI229" s="20">
        <v>450</v>
      </c>
      <c r="AJ229" s="20"/>
      <c r="AK229" s="20">
        <v>688</v>
      </c>
      <c r="AL229" s="20">
        <f t="shared" si="73"/>
        <v>81184</v>
      </c>
      <c r="AM229" s="7">
        <v>3</v>
      </c>
      <c r="AN229" s="20"/>
      <c r="AO229" s="21"/>
      <c r="AP229" s="21"/>
      <c r="AQ229" s="5" t="s">
        <v>1559</v>
      </c>
      <c r="AR229" s="5" t="s">
        <v>164</v>
      </c>
      <c r="AS229" s="5" t="s">
        <v>59</v>
      </c>
      <c r="AT229" s="20"/>
      <c r="AU229" s="21"/>
      <c r="AV229" s="21"/>
      <c r="AW229" s="144" t="str">
        <f t="shared" si="76"/>
        <v>OK</v>
      </c>
      <c r="AX229" s="21" t="e">
        <v>#N/A</v>
      </c>
      <c r="AY229" s="21" t="e">
        <v>#N/A</v>
      </c>
      <c r="AZ229" s="21"/>
      <c r="BA229" s="21"/>
    </row>
    <row r="230" spans="1:53" s="98" customFormat="1" ht="20" customHeight="1">
      <c r="A230" s="86" t="s">
        <v>318</v>
      </c>
      <c r="B230" s="372" t="s">
        <v>2560</v>
      </c>
      <c r="C230" s="5" t="s">
        <v>51</v>
      </c>
      <c r="D230" s="5" t="s">
        <v>52</v>
      </c>
      <c r="E230" s="5" t="s">
        <v>1604</v>
      </c>
      <c r="F230" s="5" t="s">
        <v>1573</v>
      </c>
      <c r="G230" s="5" t="s">
        <v>1476</v>
      </c>
      <c r="H230" s="6">
        <v>45748</v>
      </c>
      <c r="I230" s="5" t="s">
        <v>82</v>
      </c>
      <c r="J230" s="5" t="s">
        <v>1510</v>
      </c>
      <c r="K230" s="5" t="s">
        <v>84</v>
      </c>
      <c r="L230" s="7">
        <v>2</v>
      </c>
      <c r="M230" s="7">
        <v>5</v>
      </c>
      <c r="N230" s="99">
        <v>11700</v>
      </c>
      <c r="O230" s="9">
        <v>0.05</v>
      </c>
      <c r="P230" s="100">
        <f t="shared" si="63"/>
        <v>585</v>
      </c>
      <c r="Q230" s="9">
        <v>2.7E-2</v>
      </c>
      <c r="R230" s="100">
        <f t="shared" si="64"/>
        <v>316</v>
      </c>
      <c r="S230" s="9">
        <f t="shared" si="65"/>
        <v>7.7008547008547007E-2</v>
      </c>
      <c r="T230" s="100">
        <f>P230+R230</f>
        <v>901</v>
      </c>
      <c r="U230" s="100">
        <f>N230+T230</f>
        <v>12601</v>
      </c>
      <c r="V230" s="101">
        <f>N230+5000</f>
        <v>16700</v>
      </c>
      <c r="W230" s="102">
        <f>V230-N230</f>
        <v>5000</v>
      </c>
      <c r="X230" s="13">
        <f>ROUND(V230/N230-1,4)</f>
        <v>0.4274</v>
      </c>
      <c r="Y230" s="14" t="str">
        <f t="shared" si="75"/>
        <v>6.16%-9.24%</v>
      </c>
      <c r="Z230" s="103"/>
      <c r="AA230" s="103"/>
      <c r="AB230" s="103"/>
      <c r="AC230" s="16"/>
      <c r="AD230" s="99">
        <f t="shared" si="69"/>
        <v>0</v>
      </c>
      <c r="AE230" s="104">
        <f t="shared" si="70"/>
        <v>16700</v>
      </c>
      <c r="AF230" s="18">
        <f t="shared" si="71"/>
        <v>5000</v>
      </c>
      <c r="AG230" s="19">
        <f t="shared" si="72"/>
        <v>0.42735042735042739</v>
      </c>
      <c r="AH230" s="20">
        <v>14</v>
      </c>
      <c r="AI230" s="20">
        <v>450</v>
      </c>
      <c r="AJ230" s="20"/>
      <c r="AK230" s="20">
        <v>688</v>
      </c>
      <c r="AL230" s="20">
        <f t="shared" si="73"/>
        <v>239888</v>
      </c>
      <c r="AM230" s="7" t="e">
        <v>#N/A</v>
      </c>
      <c r="AN230" s="20"/>
      <c r="AO230" s="21" t="s">
        <v>1721</v>
      </c>
      <c r="AP230" s="21" t="s">
        <v>194</v>
      </c>
      <c r="AQ230" s="5" t="s">
        <v>1559</v>
      </c>
      <c r="AR230" s="5" t="s">
        <v>164</v>
      </c>
      <c r="AS230" s="5" t="s">
        <v>59</v>
      </c>
      <c r="AT230" s="20"/>
      <c r="AU230" s="21"/>
      <c r="AV230" s="21"/>
      <c r="AW230" s="144" t="str">
        <f t="shared" si="76"/>
        <v>&gt;20</v>
      </c>
      <c r="AX230" s="21" t="s">
        <v>3131</v>
      </c>
      <c r="AY230" s="21" t="s">
        <v>3130</v>
      </c>
      <c r="AZ230" s="21"/>
      <c r="BA230" s="21"/>
    </row>
    <row r="231" spans="1:53" s="98" customFormat="1" ht="20" customHeight="1">
      <c r="A231" s="86" t="s">
        <v>318</v>
      </c>
      <c r="B231" s="372" t="s">
        <v>2561</v>
      </c>
      <c r="C231" s="5" t="s">
        <v>51</v>
      </c>
      <c r="D231" s="5" t="s">
        <v>52</v>
      </c>
      <c r="E231" s="5" t="s">
        <v>1604</v>
      </c>
      <c r="F231" s="5" t="s">
        <v>1573</v>
      </c>
      <c r="G231" s="5" t="s">
        <v>1476</v>
      </c>
      <c r="H231" s="6">
        <v>39295</v>
      </c>
      <c r="I231" s="5" t="s">
        <v>82</v>
      </c>
      <c r="J231" s="5" t="s">
        <v>1584</v>
      </c>
      <c r="K231" s="5" t="s">
        <v>84</v>
      </c>
      <c r="L231" s="7">
        <v>2</v>
      </c>
      <c r="M231" s="7">
        <v>3</v>
      </c>
      <c r="N231" s="99">
        <v>8733</v>
      </c>
      <c r="O231" s="9">
        <v>0.03</v>
      </c>
      <c r="P231" s="100">
        <f t="shared" si="63"/>
        <v>262</v>
      </c>
      <c r="Q231" s="9">
        <v>0</v>
      </c>
      <c r="R231" s="100">
        <f t="shared" si="64"/>
        <v>0</v>
      </c>
      <c r="S231" s="9">
        <f t="shared" si="65"/>
        <v>3.0001145081873355E-2</v>
      </c>
      <c r="T231" s="100">
        <f t="shared" si="66"/>
        <v>262</v>
      </c>
      <c r="U231" s="100">
        <f t="shared" si="67"/>
        <v>8995</v>
      </c>
      <c r="V231" s="101">
        <v>9033</v>
      </c>
      <c r="W231" s="102">
        <f t="shared" si="68"/>
        <v>300</v>
      </c>
      <c r="X231" s="13">
        <f t="shared" si="62"/>
        <v>3.44E-2</v>
      </c>
      <c r="Y231" s="14" t="str">
        <f t="shared" si="75"/>
        <v>2.40%-3.60%</v>
      </c>
      <c r="Z231" s="103"/>
      <c r="AA231" s="103"/>
      <c r="AB231" s="103"/>
      <c r="AC231" s="16"/>
      <c r="AD231" s="99">
        <f t="shared" si="69"/>
        <v>0</v>
      </c>
      <c r="AE231" s="104">
        <f t="shared" si="70"/>
        <v>9033</v>
      </c>
      <c r="AF231" s="18">
        <f t="shared" si="71"/>
        <v>300</v>
      </c>
      <c r="AG231" s="19">
        <f t="shared" si="72"/>
        <v>3.4352456200618331E-2</v>
      </c>
      <c r="AH231" s="20">
        <v>14</v>
      </c>
      <c r="AI231" s="20">
        <v>450</v>
      </c>
      <c r="AJ231" s="20"/>
      <c r="AK231" s="20">
        <v>688</v>
      </c>
      <c r="AL231" s="20">
        <f t="shared" si="73"/>
        <v>132550</v>
      </c>
      <c r="AM231" s="7">
        <v>3</v>
      </c>
      <c r="AN231" s="20"/>
      <c r="AO231" s="21"/>
      <c r="AP231" s="21"/>
      <c r="AQ231" s="5" t="s">
        <v>1559</v>
      </c>
      <c r="AR231" s="5" t="s">
        <v>164</v>
      </c>
      <c r="AS231" s="5" t="s">
        <v>59</v>
      </c>
      <c r="AT231" s="20"/>
      <c r="AU231" s="21"/>
      <c r="AV231" s="21"/>
      <c r="AW231" s="144" t="str">
        <f t="shared" si="76"/>
        <v>OK</v>
      </c>
      <c r="AX231" s="21" t="s">
        <v>3129</v>
      </c>
      <c r="AY231" s="21" t="s">
        <v>3132</v>
      </c>
      <c r="AZ231" s="21"/>
      <c r="BA231" s="21"/>
    </row>
    <row r="232" spans="1:53" s="98" customFormat="1" ht="20" customHeight="1">
      <c r="A232" s="86" t="s">
        <v>318</v>
      </c>
      <c r="B232" s="372" t="s">
        <v>2562</v>
      </c>
      <c r="C232" s="5" t="s">
        <v>51</v>
      </c>
      <c r="D232" s="5" t="s">
        <v>52</v>
      </c>
      <c r="E232" s="5" t="s">
        <v>1604</v>
      </c>
      <c r="F232" s="5" t="s">
        <v>1580</v>
      </c>
      <c r="G232" s="5" t="s">
        <v>1476</v>
      </c>
      <c r="H232" s="6">
        <v>40702</v>
      </c>
      <c r="I232" s="5" t="s">
        <v>82</v>
      </c>
      <c r="J232" s="5" t="s">
        <v>1510</v>
      </c>
      <c r="K232" s="5" t="s">
        <v>84</v>
      </c>
      <c r="L232" s="7">
        <v>2</v>
      </c>
      <c r="M232" s="7">
        <v>2</v>
      </c>
      <c r="N232" s="99">
        <v>10032</v>
      </c>
      <c r="O232" s="9">
        <v>0</v>
      </c>
      <c r="P232" s="100">
        <f t="shared" si="63"/>
        <v>0</v>
      </c>
      <c r="Q232" s="9">
        <v>0</v>
      </c>
      <c r="R232" s="100">
        <f t="shared" si="64"/>
        <v>0</v>
      </c>
      <c r="S232" s="9">
        <f t="shared" si="65"/>
        <v>0</v>
      </c>
      <c r="T232" s="100">
        <f t="shared" si="66"/>
        <v>0</v>
      </c>
      <c r="U232" s="100">
        <f t="shared" si="67"/>
        <v>10032</v>
      </c>
      <c r="V232" s="101">
        <f t="shared" si="77"/>
        <v>10032</v>
      </c>
      <c r="W232" s="102">
        <f t="shared" si="68"/>
        <v>0</v>
      </c>
      <c r="X232" s="13">
        <f t="shared" si="62"/>
        <v>0</v>
      </c>
      <c r="Y232" s="14" t="str">
        <f t="shared" si="75"/>
        <v>0.00%-0.00%</v>
      </c>
      <c r="Z232" s="103"/>
      <c r="AA232" s="103"/>
      <c r="AB232" s="103"/>
      <c r="AC232" s="16"/>
      <c r="AD232" s="99">
        <f t="shared" si="69"/>
        <v>0</v>
      </c>
      <c r="AE232" s="104">
        <f t="shared" si="70"/>
        <v>10032</v>
      </c>
      <c r="AF232" s="18">
        <f t="shared" si="71"/>
        <v>0</v>
      </c>
      <c r="AG232" s="19">
        <f t="shared" si="72"/>
        <v>0</v>
      </c>
      <c r="AH232" s="20">
        <v>14</v>
      </c>
      <c r="AI232" s="20">
        <v>450</v>
      </c>
      <c r="AJ232" s="20"/>
      <c r="AK232" s="20">
        <v>688</v>
      </c>
      <c r="AL232" s="20">
        <f t="shared" si="73"/>
        <v>146536</v>
      </c>
      <c r="AM232" s="7">
        <v>3</v>
      </c>
      <c r="AN232" s="20"/>
      <c r="AO232" s="21"/>
      <c r="AP232" s="21"/>
      <c r="AQ232" s="5" t="s">
        <v>1559</v>
      </c>
      <c r="AR232" s="5" t="s">
        <v>164</v>
      </c>
      <c r="AS232" s="5" t="s">
        <v>59</v>
      </c>
      <c r="AT232" s="20"/>
      <c r="AU232" s="21"/>
      <c r="AV232" s="21"/>
      <c r="AW232" s="144" t="str">
        <f t="shared" si="76"/>
        <v>OK</v>
      </c>
      <c r="AX232" s="21" t="s">
        <v>3135</v>
      </c>
      <c r="AY232" s="21">
        <v>0</v>
      </c>
      <c r="AZ232" s="21"/>
      <c r="BA232" s="21"/>
    </row>
    <row r="233" spans="1:53" s="98" customFormat="1" ht="20" customHeight="1">
      <c r="A233" s="86" t="s">
        <v>318</v>
      </c>
      <c r="B233" s="372" t="s">
        <v>2563</v>
      </c>
      <c r="C233" s="5" t="s">
        <v>51</v>
      </c>
      <c r="D233" s="5" t="s">
        <v>52</v>
      </c>
      <c r="E233" s="5" t="s">
        <v>1604</v>
      </c>
      <c r="F233" s="5" t="s">
        <v>1580</v>
      </c>
      <c r="G233" s="5" t="s">
        <v>1476</v>
      </c>
      <c r="H233" s="6">
        <v>42375</v>
      </c>
      <c r="I233" s="5" t="s">
        <v>140</v>
      </c>
      <c r="J233" s="5" t="s">
        <v>141</v>
      </c>
      <c r="K233" s="5" t="s">
        <v>61</v>
      </c>
      <c r="L233" s="7">
        <v>2</v>
      </c>
      <c r="M233" s="7">
        <v>3</v>
      </c>
      <c r="N233" s="99">
        <v>14662</v>
      </c>
      <c r="O233" s="9">
        <v>2.5000000000000001E-2</v>
      </c>
      <c r="P233" s="100">
        <f t="shared" si="63"/>
        <v>367</v>
      </c>
      <c r="Q233" s="9">
        <v>0</v>
      </c>
      <c r="R233" s="100">
        <f t="shared" si="64"/>
        <v>0</v>
      </c>
      <c r="S233" s="9">
        <f t="shared" si="65"/>
        <v>2.5030691583685719E-2</v>
      </c>
      <c r="T233" s="100">
        <f t="shared" si="66"/>
        <v>367</v>
      </c>
      <c r="U233" s="100">
        <f t="shared" si="67"/>
        <v>15029</v>
      </c>
      <c r="V233" s="101">
        <v>15100</v>
      </c>
      <c r="W233" s="102">
        <f t="shared" si="68"/>
        <v>438</v>
      </c>
      <c r="X233" s="13">
        <f t="shared" si="62"/>
        <v>2.9899999999999999E-2</v>
      </c>
      <c r="Y233" s="14" t="str">
        <f t="shared" si="75"/>
        <v>2.00%-3.00%</v>
      </c>
      <c r="Z233" s="103"/>
      <c r="AA233" s="103"/>
      <c r="AB233" s="103"/>
      <c r="AC233" s="16"/>
      <c r="AD233" s="99">
        <f t="shared" si="69"/>
        <v>0</v>
      </c>
      <c r="AE233" s="104">
        <f t="shared" si="70"/>
        <v>15100</v>
      </c>
      <c r="AF233" s="18">
        <f t="shared" si="71"/>
        <v>438</v>
      </c>
      <c r="AG233" s="19">
        <f t="shared" si="72"/>
        <v>2.9873141454099139E-2</v>
      </c>
      <c r="AH233" s="20">
        <v>14</v>
      </c>
      <c r="AI233" s="20">
        <v>450</v>
      </c>
      <c r="AJ233" s="20"/>
      <c r="AK233" s="20">
        <v>688</v>
      </c>
      <c r="AL233" s="20">
        <f t="shared" si="73"/>
        <v>217488</v>
      </c>
      <c r="AM233" s="7">
        <v>3</v>
      </c>
      <c r="AN233" s="20"/>
      <c r="AO233" s="21"/>
      <c r="AP233" s="21"/>
      <c r="AQ233" s="5" t="s">
        <v>1559</v>
      </c>
      <c r="AR233" s="5" t="s">
        <v>164</v>
      </c>
      <c r="AS233" s="5" t="s">
        <v>59</v>
      </c>
      <c r="AT233" s="20"/>
      <c r="AU233" s="21"/>
      <c r="AV233" s="21"/>
      <c r="AW233" s="144" t="str">
        <f t="shared" si="76"/>
        <v>OK</v>
      </c>
      <c r="AX233" s="21" t="s">
        <v>3133</v>
      </c>
      <c r="AY233" s="21" t="s">
        <v>3130</v>
      </c>
      <c r="AZ233" s="21"/>
      <c r="BA233" s="21"/>
    </row>
    <row r="234" spans="1:53" s="98" customFormat="1" ht="20" customHeight="1">
      <c r="A234" s="86" t="s">
        <v>318</v>
      </c>
      <c r="B234" s="372" t="s">
        <v>2564</v>
      </c>
      <c r="C234" s="5" t="s">
        <v>51</v>
      </c>
      <c r="D234" s="5" t="s">
        <v>52</v>
      </c>
      <c r="E234" s="5" t="s">
        <v>1604</v>
      </c>
      <c r="F234" s="5" t="s">
        <v>1582</v>
      </c>
      <c r="G234" s="5" t="s">
        <v>1476</v>
      </c>
      <c r="H234" s="6">
        <v>44249</v>
      </c>
      <c r="I234" s="5" t="s">
        <v>74</v>
      </c>
      <c r="J234" s="5" t="s">
        <v>74</v>
      </c>
      <c r="K234" s="5" t="s">
        <v>76</v>
      </c>
      <c r="L234" s="7">
        <v>2</v>
      </c>
      <c r="M234" s="7">
        <v>3</v>
      </c>
      <c r="N234" s="99">
        <v>11324</v>
      </c>
      <c r="O234" s="9">
        <v>2.5000000000000001E-2</v>
      </c>
      <c r="P234" s="100">
        <f t="shared" si="63"/>
        <v>283</v>
      </c>
      <c r="Q234" s="9">
        <v>0</v>
      </c>
      <c r="R234" s="100">
        <f t="shared" si="64"/>
        <v>0</v>
      </c>
      <c r="S234" s="9">
        <f t="shared" si="65"/>
        <v>2.4991169198163195E-2</v>
      </c>
      <c r="T234" s="100">
        <f t="shared" si="66"/>
        <v>283</v>
      </c>
      <c r="U234" s="100">
        <f t="shared" si="67"/>
        <v>11607</v>
      </c>
      <c r="V234" s="101">
        <v>11650</v>
      </c>
      <c r="W234" s="102">
        <f t="shared" si="68"/>
        <v>326</v>
      </c>
      <c r="X234" s="13">
        <f t="shared" si="62"/>
        <v>2.8799999999999999E-2</v>
      </c>
      <c r="Y234" s="14" t="str">
        <f t="shared" si="75"/>
        <v>2.00%-3.00%</v>
      </c>
      <c r="Z234" s="103"/>
      <c r="AA234" s="103"/>
      <c r="AB234" s="103"/>
      <c r="AC234" s="16"/>
      <c r="AD234" s="99">
        <f t="shared" si="69"/>
        <v>0</v>
      </c>
      <c r="AE234" s="104">
        <f t="shared" si="70"/>
        <v>11650</v>
      </c>
      <c r="AF234" s="18">
        <f t="shared" si="71"/>
        <v>326</v>
      </c>
      <c r="AG234" s="19">
        <f t="shared" si="72"/>
        <v>2.8788413987990147E-2</v>
      </c>
      <c r="AH234" s="20">
        <v>14</v>
      </c>
      <c r="AI234" s="20">
        <v>450</v>
      </c>
      <c r="AJ234" s="20"/>
      <c r="AK234" s="20">
        <v>688</v>
      </c>
      <c r="AL234" s="20">
        <f t="shared" si="73"/>
        <v>169188</v>
      </c>
      <c r="AM234" s="7">
        <v>4</v>
      </c>
      <c r="AN234" s="20"/>
      <c r="AO234" s="21"/>
      <c r="AP234" s="21"/>
      <c r="AQ234" s="5" t="s">
        <v>1559</v>
      </c>
      <c r="AR234" s="5" t="s">
        <v>164</v>
      </c>
      <c r="AS234" s="5" t="s">
        <v>59</v>
      </c>
      <c r="AT234" s="20"/>
      <c r="AU234" s="21"/>
      <c r="AV234" s="21"/>
      <c r="AW234" s="144" t="str">
        <f t="shared" si="76"/>
        <v>OK</v>
      </c>
      <c r="AX234" s="21" t="s">
        <v>3131</v>
      </c>
      <c r="AY234" s="21" t="s">
        <v>3130</v>
      </c>
      <c r="AZ234" s="21"/>
      <c r="BA234" s="21"/>
    </row>
    <row r="235" spans="1:53" s="98" customFormat="1" ht="20" customHeight="1">
      <c r="A235" s="86" t="s">
        <v>318</v>
      </c>
      <c r="B235" s="372" t="s">
        <v>2565</v>
      </c>
      <c r="C235" s="5" t="s">
        <v>51</v>
      </c>
      <c r="D235" s="5" t="s">
        <v>52</v>
      </c>
      <c r="E235" s="5" t="s">
        <v>1604</v>
      </c>
      <c r="F235" s="5" t="s">
        <v>1557</v>
      </c>
      <c r="G235" s="5" t="s">
        <v>1558</v>
      </c>
      <c r="H235" s="6">
        <v>42137</v>
      </c>
      <c r="I235" s="5" t="s">
        <v>198</v>
      </c>
      <c r="J235" s="5" t="s">
        <v>1585</v>
      </c>
      <c r="K235" s="5" t="s">
        <v>199</v>
      </c>
      <c r="L235" s="7">
        <v>2</v>
      </c>
      <c r="M235" s="7">
        <v>3</v>
      </c>
      <c r="N235" s="99">
        <v>22068</v>
      </c>
      <c r="O235" s="9">
        <v>3.5000000000000003E-2</v>
      </c>
      <c r="P235" s="100">
        <f t="shared" si="63"/>
        <v>772</v>
      </c>
      <c r="Q235" s="9">
        <v>0</v>
      </c>
      <c r="R235" s="100">
        <f t="shared" si="64"/>
        <v>0</v>
      </c>
      <c r="S235" s="9">
        <f t="shared" si="65"/>
        <v>3.4982780496646729E-2</v>
      </c>
      <c r="T235" s="100">
        <f t="shared" si="66"/>
        <v>772</v>
      </c>
      <c r="U235" s="100">
        <f t="shared" si="67"/>
        <v>22840</v>
      </c>
      <c r="V235" s="101">
        <v>22950</v>
      </c>
      <c r="W235" s="102">
        <f t="shared" si="68"/>
        <v>882</v>
      </c>
      <c r="X235" s="13">
        <f t="shared" si="62"/>
        <v>0.04</v>
      </c>
      <c r="Y235" s="14" t="str">
        <f t="shared" si="75"/>
        <v>2.80%-4.20%</v>
      </c>
      <c r="Z235" s="103"/>
      <c r="AA235" s="103"/>
      <c r="AB235" s="103"/>
      <c r="AC235" s="16"/>
      <c r="AD235" s="99">
        <f t="shared" si="69"/>
        <v>0</v>
      </c>
      <c r="AE235" s="104">
        <f t="shared" si="70"/>
        <v>22950</v>
      </c>
      <c r="AF235" s="18">
        <f t="shared" si="71"/>
        <v>882</v>
      </c>
      <c r="AG235" s="19">
        <f t="shared" si="72"/>
        <v>3.9967373572593834E-2</v>
      </c>
      <c r="AH235" s="20">
        <v>14</v>
      </c>
      <c r="AI235" s="20">
        <v>1950</v>
      </c>
      <c r="AJ235" s="20">
        <v>1000</v>
      </c>
      <c r="AK235" s="20">
        <v>688</v>
      </c>
      <c r="AL235" s="20">
        <f t="shared" si="73"/>
        <v>357388</v>
      </c>
      <c r="AM235" s="7">
        <v>5</v>
      </c>
      <c r="AN235" s="20"/>
      <c r="AO235" s="21"/>
      <c r="AP235" s="21"/>
      <c r="AQ235" s="5" t="s">
        <v>1559</v>
      </c>
      <c r="AR235" s="5" t="s">
        <v>164</v>
      </c>
      <c r="AS235" s="5" t="s">
        <v>59</v>
      </c>
      <c r="AT235" s="20"/>
      <c r="AU235" s="21"/>
      <c r="AV235" s="21"/>
      <c r="AW235" s="144" t="str">
        <f t="shared" si="76"/>
        <v>OK</v>
      </c>
      <c r="AX235" s="21" t="s">
        <v>3135</v>
      </c>
      <c r="AY235" s="21" t="s">
        <v>3141</v>
      </c>
      <c r="AZ235" s="21"/>
      <c r="BA235" s="21"/>
    </row>
    <row r="236" spans="1:53" ht="20" customHeight="1">
      <c r="A236" s="86" t="s">
        <v>318</v>
      </c>
      <c r="B236" s="372" t="s">
        <v>2566</v>
      </c>
      <c r="C236" s="5" t="s">
        <v>51</v>
      </c>
      <c r="D236" s="5" t="s">
        <v>52</v>
      </c>
      <c r="E236" s="5" t="s">
        <v>1604</v>
      </c>
      <c r="F236" s="5" t="s">
        <v>1586</v>
      </c>
      <c r="G236" s="5" t="s">
        <v>1558</v>
      </c>
      <c r="H236" s="6">
        <v>41169</v>
      </c>
      <c r="I236" s="5" t="s">
        <v>198</v>
      </c>
      <c r="J236" s="5" t="s">
        <v>1585</v>
      </c>
      <c r="K236" s="5" t="s">
        <v>199</v>
      </c>
      <c r="L236" s="7">
        <v>2</v>
      </c>
      <c r="M236" s="7">
        <v>4</v>
      </c>
      <c r="N236" s="99">
        <v>25461</v>
      </c>
      <c r="O236" s="9">
        <v>5.2500000000000005E-2</v>
      </c>
      <c r="P236" s="100">
        <f t="shared" si="63"/>
        <v>1337</v>
      </c>
      <c r="Q236" s="9">
        <v>4.2099999999999999E-2</v>
      </c>
      <c r="R236" s="100">
        <f t="shared" si="64"/>
        <v>1072</v>
      </c>
      <c r="S236" s="9">
        <f t="shared" si="65"/>
        <v>9.4615293979026752E-2</v>
      </c>
      <c r="T236" s="100">
        <f t="shared" si="66"/>
        <v>2409</v>
      </c>
      <c r="U236" s="100">
        <f t="shared" si="67"/>
        <v>27870</v>
      </c>
      <c r="V236" s="101">
        <v>27500</v>
      </c>
      <c r="W236" s="102">
        <f t="shared" si="68"/>
        <v>2039</v>
      </c>
      <c r="X236" s="13">
        <f t="shared" si="62"/>
        <v>8.0100000000000005E-2</v>
      </c>
      <c r="Y236" s="14" t="str">
        <f t="shared" si="75"/>
        <v>7.57%-11.35%</v>
      </c>
      <c r="Z236" s="103"/>
      <c r="AA236" s="103"/>
      <c r="AB236" s="103"/>
      <c r="AC236" s="16"/>
      <c r="AD236" s="99">
        <f t="shared" si="69"/>
        <v>0</v>
      </c>
      <c r="AE236" s="104">
        <f t="shared" si="70"/>
        <v>27500</v>
      </c>
      <c r="AF236" s="18">
        <f t="shared" si="71"/>
        <v>2039</v>
      </c>
      <c r="AG236" s="19">
        <f t="shared" si="72"/>
        <v>8.0083264600761872E-2</v>
      </c>
      <c r="AH236" s="20">
        <v>14</v>
      </c>
      <c r="AI236" s="20">
        <v>450</v>
      </c>
      <c r="AJ236" s="20">
        <v>1000</v>
      </c>
      <c r="AK236" s="20">
        <v>688</v>
      </c>
      <c r="AL236" s="20">
        <f t="shared" si="73"/>
        <v>403088</v>
      </c>
      <c r="AM236" s="7">
        <v>3</v>
      </c>
      <c r="AN236" s="20"/>
      <c r="AO236" s="21"/>
      <c r="AP236" s="21"/>
      <c r="AQ236" s="5" t="s">
        <v>1559</v>
      </c>
      <c r="AR236" s="5" t="s">
        <v>164</v>
      </c>
      <c r="AS236" s="5" t="s">
        <v>59</v>
      </c>
      <c r="AT236" s="20"/>
      <c r="AU236" s="21"/>
      <c r="AV236" s="21"/>
      <c r="AW236" s="144" t="str">
        <f t="shared" si="76"/>
        <v>OK</v>
      </c>
      <c r="AX236" s="21" t="s">
        <v>3135</v>
      </c>
      <c r="AY236" s="21" t="s">
        <v>3141</v>
      </c>
      <c r="AZ236" s="21"/>
      <c r="BA236" s="21"/>
    </row>
    <row r="237" spans="1:53" ht="20" customHeight="1">
      <c r="A237" s="86" t="s">
        <v>318</v>
      </c>
      <c r="B237" s="372" t="s">
        <v>2567</v>
      </c>
      <c r="C237" s="5" t="s">
        <v>51</v>
      </c>
      <c r="D237" s="5" t="s">
        <v>52</v>
      </c>
      <c r="E237" s="5" t="s">
        <v>1604</v>
      </c>
      <c r="F237" s="5" t="s">
        <v>1587</v>
      </c>
      <c r="G237" s="5" t="s">
        <v>1588</v>
      </c>
      <c r="H237" s="6">
        <v>40373</v>
      </c>
      <c r="I237" s="5" t="s">
        <v>82</v>
      </c>
      <c r="J237" s="5" t="s">
        <v>1555</v>
      </c>
      <c r="K237" s="5" t="s">
        <v>84</v>
      </c>
      <c r="L237" s="7">
        <v>2</v>
      </c>
      <c r="M237" s="7">
        <v>3</v>
      </c>
      <c r="N237" s="8">
        <v>8569</v>
      </c>
      <c r="O237" s="9">
        <v>0.03</v>
      </c>
      <c r="P237" s="10">
        <f t="shared" si="63"/>
        <v>257</v>
      </c>
      <c r="Q237" s="9">
        <v>0</v>
      </c>
      <c r="R237" s="10">
        <f t="shared" si="64"/>
        <v>0</v>
      </c>
      <c r="S237" s="9">
        <f t="shared" si="65"/>
        <v>2.9991831018788658E-2</v>
      </c>
      <c r="T237" s="10">
        <f t="shared" si="66"/>
        <v>257</v>
      </c>
      <c r="U237" s="10">
        <f t="shared" si="67"/>
        <v>8826</v>
      </c>
      <c r="V237" s="11">
        <v>8876</v>
      </c>
      <c r="W237" s="12">
        <f t="shared" si="68"/>
        <v>307</v>
      </c>
      <c r="X237" s="13">
        <f t="shared" si="62"/>
        <v>3.5799999999999998E-2</v>
      </c>
      <c r="Y237" s="14" t="str">
        <f t="shared" ref="Y237:Y300" si="78">IF(OR(L237=1,L237=2,L237=4),TEXT(S237*0.8,"0.00%")&amp;"-"&amp;TEXT(S237*1.2,"0.00%"),IF(OR(L237=3,L237=6),TEXT(0,"0.00%")&amp;"-"&amp;TEXT(7%*1.2,"0.00%"),IF(OR(L237=5,L237=7),TEXT((R237/N237),"0.00%")&amp;"-"&amp;TEXT((R237/N237)+7%,"0.00%"),"")))</f>
        <v>2.40%-3.60%</v>
      </c>
      <c r="Z237" s="15"/>
      <c r="AA237" s="15"/>
      <c r="AB237" s="15"/>
      <c r="AC237" s="16"/>
      <c r="AD237" s="8">
        <f t="shared" si="69"/>
        <v>0</v>
      </c>
      <c r="AE237" s="17">
        <f t="shared" si="70"/>
        <v>8876</v>
      </c>
      <c r="AF237" s="18">
        <f t="shared" si="71"/>
        <v>307</v>
      </c>
      <c r="AG237" s="19">
        <f t="shared" si="72"/>
        <v>3.5826817598319627E-2</v>
      </c>
      <c r="AH237" s="20">
        <v>14</v>
      </c>
      <c r="AI237" s="20">
        <v>450</v>
      </c>
      <c r="AJ237" s="20"/>
      <c r="AK237" s="20">
        <v>688</v>
      </c>
      <c r="AL237" s="20">
        <f t="shared" si="73"/>
        <v>130352</v>
      </c>
      <c r="AM237" s="7">
        <v>3</v>
      </c>
      <c r="AN237" s="20"/>
      <c r="AO237" s="21"/>
      <c r="AP237" s="21"/>
      <c r="AQ237" s="5" t="s">
        <v>1589</v>
      </c>
      <c r="AR237" s="5" t="s">
        <v>164</v>
      </c>
      <c r="AS237" s="5" t="s">
        <v>59</v>
      </c>
      <c r="AT237" s="20"/>
      <c r="AU237" s="21"/>
      <c r="AV237" s="21"/>
      <c r="AW237" s="144" t="str">
        <f t="shared" si="76"/>
        <v>OK</v>
      </c>
      <c r="AX237" s="21" t="s">
        <v>3135</v>
      </c>
      <c r="AY237" s="21" t="s">
        <v>3132</v>
      </c>
      <c r="AZ237" s="21"/>
      <c r="BA237" s="21"/>
    </row>
    <row r="238" spans="1:53" ht="20" customHeight="1">
      <c r="A238" s="86" t="s">
        <v>318</v>
      </c>
      <c r="B238" s="372" t="s">
        <v>2568</v>
      </c>
      <c r="C238" s="5" t="s">
        <v>51</v>
      </c>
      <c r="D238" s="5" t="s">
        <v>52</v>
      </c>
      <c r="E238" s="5" t="s">
        <v>1604</v>
      </c>
      <c r="F238" s="5" t="s">
        <v>1587</v>
      </c>
      <c r="G238" s="5" t="s">
        <v>1588</v>
      </c>
      <c r="H238" s="6">
        <v>41456</v>
      </c>
      <c r="I238" s="5" t="s">
        <v>174</v>
      </c>
      <c r="J238" s="5" t="s">
        <v>174</v>
      </c>
      <c r="K238" s="5" t="s">
        <v>175</v>
      </c>
      <c r="L238" s="7">
        <v>2</v>
      </c>
      <c r="M238" s="7">
        <v>3</v>
      </c>
      <c r="N238" s="8">
        <v>7688</v>
      </c>
      <c r="O238" s="9">
        <v>0.03</v>
      </c>
      <c r="P238" s="10">
        <f t="shared" si="63"/>
        <v>231</v>
      </c>
      <c r="Q238" s="9">
        <v>0</v>
      </c>
      <c r="R238" s="10">
        <f t="shared" si="64"/>
        <v>0</v>
      </c>
      <c r="S238" s="9">
        <f t="shared" si="65"/>
        <v>3.0046826222684703E-2</v>
      </c>
      <c r="T238" s="10">
        <f t="shared" si="66"/>
        <v>231</v>
      </c>
      <c r="U238" s="10">
        <f t="shared" si="67"/>
        <v>7919</v>
      </c>
      <c r="V238" s="11">
        <v>8150</v>
      </c>
      <c r="W238" s="12">
        <f t="shared" si="68"/>
        <v>462</v>
      </c>
      <c r="X238" s="13">
        <f t="shared" si="62"/>
        <v>6.0100000000000001E-2</v>
      </c>
      <c r="Y238" s="14" t="str">
        <f t="shared" si="78"/>
        <v>2.40%-3.61%</v>
      </c>
      <c r="Z238" s="15"/>
      <c r="AA238" s="15"/>
      <c r="AB238" s="15"/>
      <c r="AC238" s="16"/>
      <c r="AD238" s="8">
        <f t="shared" si="69"/>
        <v>0</v>
      </c>
      <c r="AE238" s="17">
        <f t="shared" si="70"/>
        <v>8150</v>
      </c>
      <c r="AF238" s="18">
        <f t="shared" si="71"/>
        <v>462</v>
      </c>
      <c r="AG238" s="19">
        <f t="shared" si="72"/>
        <v>6.0093652445369461E-2</v>
      </c>
      <c r="AH238" s="20">
        <v>14</v>
      </c>
      <c r="AI238" s="20">
        <v>600</v>
      </c>
      <c r="AJ238" s="20"/>
      <c r="AK238" s="20">
        <v>688</v>
      </c>
      <c r="AL238" s="20">
        <f t="shared" si="73"/>
        <v>121988</v>
      </c>
      <c r="AM238" s="7">
        <v>3</v>
      </c>
      <c r="AN238" s="20"/>
      <c r="AO238" s="120" t="s">
        <v>1590</v>
      </c>
      <c r="AP238" s="21" t="s">
        <v>128</v>
      </c>
      <c r="AQ238" s="5" t="s">
        <v>1589</v>
      </c>
      <c r="AR238" s="5" t="s">
        <v>164</v>
      </c>
      <c r="AS238" s="5" t="s">
        <v>59</v>
      </c>
      <c r="AT238" s="20"/>
      <c r="AU238" s="21"/>
      <c r="AV238" s="21"/>
      <c r="AW238" s="144" t="str">
        <f t="shared" si="76"/>
        <v>&gt;20</v>
      </c>
      <c r="AX238" s="21" t="s">
        <v>3135</v>
      </c>
      <c r="AY238" s="21" t="s">
        <v>3132</v>
      </c>
      <c r="AZ238" s="21"/>
      <c r="BA238" s="21"/>
    </row>
    <row r="239" spans="1:53" ht="20" customHeight="1">
      <c r="A239" s="86" t="s">
        <v>318</v>
      </c>
      <c r="B239" s="372" t="s">
        <v>2569</v>
      </c>
      <c r="C239" s="5" t="s">
        <v>51</v>
      </c>
      <c r="D239" s="5" t="s">
        <v>52</v>
      </c>
      <c r="E239" s="5" t="s">
        <v>1604</v>
      </c>
      <c r="F239" s="5" t="s">
        <v>1591</v>
      </c>
      <c r="G239" s="5" t="s">
        <v>1592</v>
      </c>
      <c r="H239" s="6">
        <v>42165</v>
      </c>
      <c r="I239" s="5" t="s">
        <v>71</v>
      </c>
      <c r="J239" s="5" t="s">
        <v>1593</v>
      </c>
      <c r="K239" s="5" t="s">
        <v>61</v>
      </c>
      <c r="L239" s="7">
        <v>2</v>
      </c>
      <c r="M239" s="7">
        <v>3</v>
      </c>
      <c r="N239" s="8">
        <v>14772</v>
      </c>
      <c r="O239" s="9">
        <v>2.5000000000000001E-2</v>
      </c>
      <c r="P239" s="10">
        <f t="shared" si="63"/>
        <v>369</v>
      </c>
      <c r="Q239" s="9">
        <v>0</v>
      </c>
      <c r="R239" s="10">
        <f t="shared" si="64"/>
        <v>0</v>
      </c>
      <c r="S239" s="9">
        <f t="shared" si="65"/>
        <v>2.4979691307879772E-2</v>
      </c>
      <c r="T239" s="10">
        <f t="shared" si="66"/>
        <v>369</v>
      </c>
      <c r="U239" s="10">
        <f t="shared" si="67"/>
        <v>15141</v>
      </c>
      <c r="V239" s="11">
        <f t="shared" ref="V239:V271" si="79">U239</f>
        <v>15141</v>
      </c>
      <c r="W239" s="12">
        <f t="shared" si="68"/>
        <v>369</v>
      </c>
      <c r="X239" s="13">
        <f t="shared" si="62"/>
        <v>2.5000000000000001E-2</v>
      </c>
      <c r="Y239" s="14" t="str">
        <f t="shared" si="78"/>
        <v>2.00%-3.00%</v>
      </c>
      <c r="Z239" s="15"/>
      <c r="AA239" s="15"/>
      <c r="AB239" s="15"/>
      <c r="AC239" s="16"/>
      <c r="AD239" s="8">
        <f t="shared" si="69"/>
        <v>0</v>
      </c>
      <c r="AE239" s="17">
        <f t="shared" si="70"/>
        <v>15141</v>
      </c>
      <c r="AF239" s="18">
        <f t="shared" si="71"/>
        <v>369</v>
      </c>
      <c r="AG239" s="19">
        <f t="shared" si="72"/>
        <v>2.4979691307879692E-2</v>
      </c>
      <c r="AH239" s="20">
        <v>14</v>
      </c>
      <c r="AI239" s="20">
        <v>450</v>
      </c>
      <c r="AJ239" s="20"/>
      <c r="AK239" s="20">
        <v>688</v>
      </c>
      <c r="AL239" s="20">
        <f t="shared" si="73"/>
        <v>218062</v>
      </c>
      <c r="AM239" s="7">
        <v>5</v>
      </c>
      <c r="AN239" s="20"/>
      <c r="AO239" s="21"/>
      <c r="AP239" s="21"/>
      <c r="AQ239" s="5" t="s">
        <v>1589</v>
      </c>
      <c r="AR239" s="5" t="s">
        <v>164</v>
      </c>
      <c r="AS239" s="5" t="s">
        <v>59</v>
      </c>
      <c r="AT239" s="20"/>
      <c r="AU239" s="21"/>
      <c r="AV239" s="21"/>
      <c r="AW239" s="144" t="str">
        <f t="shared" si="76"/>
        <v>OK</v>
      </c>
      <c r="AX239" s="21" t="s">
        <v>3135</v>
      </c>
      <c r="AY239" s="21" t="s">
        <v>3130</v>
      </c>
      <c r="AZ239" s="21"/>
      <c r="BA239" s="21"/>
    </row>
    <row r="240" spans="1:53" ht="20" customHeight="1">
      <c r="A240" s="86" t="s">
        <v>318</v>
      </c>
      <c r="B240" s="372" t="s">
        <v>2570</v>
      </c>
      <c r="C240" s="5" t="s">
        <v>51</v>
      </c>
      <c r="D240" s="5" t="s">
        <v>52</v>
      </c>
      <c r="E240" s="5" t="s">
        <v>1604</v>
      </c>
      <c r="F240" s="5" t="s">
        <v>1587</v>
      </c>
      <c r="G240" s="5" t="s">
        <v>1588</v>
      </c>
      <c r="H240" s="6">
        <v>42186</v>
      </c>
      <c r="I240" s="5" t="s">
        <v>71</v>
      </c>
      <c r="J240" s="5" t="s">
        <v>1594</v>
      </c>
      <c r="K240" s="5" t="s">
        <v>61</v>
      </c>
      <c r="L240" s="7">
        <v>2</v>
      </c>
      <c r="M240" s="7">
        <v>3</v>
      </c>
      <c r="N240" s="8">
        <v>14390</v>
      </c>
      <c r="O240" s="9">
        <v>0.03</v>
      </c>
      <c r="P240" s="10">
        <f t="shared" si="63"/>
        <v>432</v>
      </c>
      <c r="Q240" s="9">
        <v>0</v>
      </c>
      <c r="R240" s="10">
        <f t="shared" si="64"/>
        <v>0</v>
      </c>
      <c r="S240" s="9">
        <f t="shared" si="65"/>
        <v>3.0020847810979846E-2</v>
      </c>
      <c r="T240" s="10">
        <f t="shared" si="66"/>
        <v>432</v>
      </c>
      <c r="U240" s="10">
        <f t="shared" si="67"/>
        <v>14822</v>
      </c>
      <c r="V240" s="11">
        <f t="shared" si="79"/>
        <v>14822</v>
      </c>
      <c r="W240" s="12">
        <f t="shared" si="68"/>
        <v>432</v>
      </c>
      <c r="X240" s="13">
        <f t="shared" si="62"/>
        <v>0.03</v>
      </c>
      <c r="Y240" s="14" t="str">
        <f t="shared" si="78"/>
        <v>2.40%-3.60%</v>
      </c>
      <c r="Z240" s="15"/>
      <c r="AA240" s="15"/>
      <c r="AB240" s="15"/>
      <c r="AC240" s="16"/>
      <c r="AD240" s="8">
        <f t="shared" si="69"/>
        <v>0</v>
      </c>
      <c r="AE240" s="17">
        <f t="shared" si="70"/>
        <v>14822</v>
      </c>
      <c r="AF240" s="18">
        <f t="shared" si="71"/>
        <v>432</v>
      </c>
      <c r="AG240" s="19">
        <f t="shared" si="72"/>
        <v>3.00208478109798E-2</v>
      </c>
      <c r="AH240" s="20">
        <v>14</v>
      </c>
      <c r="AI240" s="20">
        <v>450</v>
      </c>
      <c r="AJ240" s="20"/>
      <c r="AK240" s="20">
        <v>688</v>
      </c>
      <c r="AL240" s="20">
        <f t="shared" si="73"/>
        <v>213596</v>
      </c>
      <c r="AM240" s="7">
        <v>3</v>
      </c>
      <c r="AN240" s="20"/>
      <c r="AO240" s="21"/>
      <c r="AP240" s="21"/>
      <c r="AQ240" s="5" t="s">
        <v>1589</v>
      </c>
      <c r="AR240" s="5" t="s">
        <v>164</v>
      </c>
      <c r="AS240" s="5" t="s">
        <v>59</v>
      </c>
      <c r="AT240" s="20"/>
      <c r="AU240" s="21"/>
      <c r="AV240" s="21"/>
      <c r="AW240" s="144" t="str">
        <f t="shared" si="76"/>
        <v>OK</v>
      </c>
      <c r="AX240" s="21" t="s">
        <v>3133</v>
      </c>
      <c r="AY240" s="21" t="s">
        <v>3132</v>
      </c>
      <c r="AZ240" s="21"/>
      <c r="BA240" s="21"/>
    </row>
    <row r="241" spans="1:53" ht="20" customHeight="1">
      <c r="A241" s="86" t="s">
        <v>318</v>
      </c>
      <c r="B241" s="372" t="s">
        <v>2571</v>
      </c>
      <c r="C241" s="5" t="s">
        <v>51</v>
      </c>
      <c r="D241" s="5" t="s">
        <v>52</v>
      </c>
      <c r="E241" s="5" t="s">
        <v>1604</v>
      </c>
      <c r="F241" s="5" t="s">
        <v>1595</v>
      </c>
      <c r="G241" s="5" t="s">
        <v>1592</v>
      </c>
      <c r="H241" s="6">
        <v>42478</v>
      </c>
      <c r="I241" s="5" t="s">
        <v>82</v>
      </c>
      <c r="J241" s="5" t="s">
        <v>1510</v>
      </c>
      <c r="K241" s="5" t="s">
        <v>84</v>
      </c>
      <c r="L241" s="7">
        <v>2</v>
      </c>
      <c r="M241" s="7">
        <v>4</v>
      </c>
      <c r="N241" s="8">
        <v>12677</v>
      </c>
      <c r="O241" s="9">
        <v>2.2499999999999999E-2</v>
      </c>
      <c r="P241" s="10">
        <f t="shared" si="63"/>
        <v>285</v>
      </c>
      <c r="Q241" s="9">
        <v>0</v>
      </c>
      <c r="R241" s="10">
        <f t="shared" si="64"/>
        <v>0</v>
      </c>
      <c r="S241" s="9">
        <f t="shared" si="65"/>
        <v>2.2481659698666875E-2</v>
      </c>
      <c r="T241" s="10">
        <f t="shared" si="66"/>
        <v>285</v>
      </c>
      <c r="U241" s="10">
        <f t="shared" si="67"/>
        <v>12962</v>
      </c>
      <c r="V241" s="11">
        <f t="shared" si="79"/>
        <v>12962</v>
      </c>
      <c r="W241" s="12">
        <f t="shared" si="68"/>
        <v>285</v>
      </c>
      <c r="X241" s="13">
        <f t="shared" si="62"/>
        <v>2.2499999999999999E-2</v>
      </c>
      <c r="Y241" s="14" t="str">
        <f t="shared" si="78"/>
        <v>1.80%-2.70%</v>
      </c>
      <c r="Z241" s="15"/>
      <c r="AA241" s="15"/>
      <c r="AB241" s="15"/>
      <c r="AC241" s="16"/>
      <c r="AD241" s="8">
        <f t="shared" si="69"/>
        <v>0</v>
      </c>
      <c r="AE241" s="17">
        <f t="shared" si="70"/>
        <v>12962</v>
      </c>
      <c r="AF241" s="18">
        <f t="shared" si="71"/>
        <v>285</v>
      </c>
      <c r="AG241" s="19">
        <f t="shared" si="72"/>
        <v>2.2481659698666778E-2</v>
      </c>
      <c r="AH241" s="20">
        <v>14</v>
      </c>
      <c r="AI241" s="20">
        <v>450</v>
      </c>
      <c r="AJ241" s="20"/>
      <c r="AK241" s="20">
        <v>688</v>
      </c>
      <c r="AL241" s="20">
        <f t="shared" si="73"/>
        <v>187556</v>
      </c>
      <c r="AM241" s="7">
        <v>3</v>
      </c>
      <c r="AN241" s="20"/>
      <c r="AO241" s="21"/>
      <c r="AP241" s="21"/>
      <c r="AQ241" s="5" t="s">
        <v>1589</v>
      </c>
      <c r="AR241" s="5" t="s">
        <v>164</v>
      </c>
      <c r="AS241" s="5" t="s">
        <v>59</v>
      </c>
      <c r="AT241" s="20"/>
      <c r="AU241" s="21"/>
      <c r="AV241" s="21"/>
      <c r="AW241" s="144" t="str">
        <f t="shared" si="76"/>
        <v>OK</v>
      </c>
      <c r="AX241" s="21" t="s">
        <v>3133</v>
      </c>
      <c r="AY241" s="21" t="s">
        <v>3138</v>
      </c>
      <c r="AZ241" s="21"/>
      <c r="BA241" s="21"/>
    </row>
    <row r="242" spans="1:53" ht="20" customHeight="1">
      <c r="A242" s="86" t="s">
        <v>318</v>
      </c>
      <c r="B242" s="372" t="s">
        <v>2572</v>
      </c>
      <c r="C242" s="5" t="s">
        <v>51</v>
      </c>
      <c r="D242" s="5" t="s">
        <v>52</v>
      </c>
      <c r="E242" s="5" t="s">
        <v>1604</v>
      </c>
      <c r="F242" s="5" t="s">
        <v>1591</v>
      </c>
      <c r="G242" s="5" t="s">
        <v>1592</v>
      </c>
      <c r="H242" s="6">
        <v>38656</v>
      </c>
      <c r="I242" s="5" t="s">
        <v>74</v>
      </c>
      <c r="J242" s="5" t="s">
        <v>1446</v>
      </c>
      <c r="K242" s="5" t="s">
        <v>76</v>
      </c>
      <c r="L242" s="7">
        <v>2</v>
      </c>
      <c r="M242" s="7">
        <v>4</v>
      </c>
      <c r="N242" s="8">
        <v>10769</v>
      </c>
      <c r="O242" s="9">
        <v>3.7500000000000006E-2</v>
      </c>
      <c r="P242" s="10">
        <f t="shared" si="63"/>
        <v>404</v>
      </c>
      <c r="Q242" s="9">
        <v>1.55E-2</v>
      </c>
      <c r="R242" s="10">
        <f t="shared" si="64"/>
        <v>167</v>
      </c>
      <c r="S242" s="9">
        <f t="shared" si="65"/>
        <v>5.3022564769245058E-2</v>
      </c>
      <c r="T242" s="10">
        <f t="shared" si="66"/>
        <v>571</v>
      </c>
      <c r="U242" s="10">
        <f t="shared" si="67"/>
        <v>11340</v>
      </c>
      <c r="V242" s="11">
        <f t="shared" si="79"/>
        <v>11340</v>
      </c>
      <c r="W242" s="12">
        <f t="shared" si="68"/>
        <v>571</v>
      </c>
      <c r="X242" s="13">
        <f t="shared" si="62"/>
        <v>5.2999999999999999E-2</v>
      </c>
      <c r="Y242" s="14" t="str">
        <f t="shared" si="78"/>
        <v>4.24%-6.36%</v>
      </c>
      <c r="Z242" s="15"/>
      <c r="AA242" s="15"/>
      <c r="AB242" s="15"/>
      <c r="AC242" s="16"/>
      <c r="AD242" s="8">
        <f t="shared" si="69"/>
        <v>0</v>
      </c>
      <c r="AE242" s="17">
        <f t="shared" si="70"/>
        <v>11340</v>
      </c>
      <c r="AF242" s="18">
        <f t="shared" si="71"/>
        <v>571</v>
      </c>
      <c r="AG242" s="19">
        <f t="shared" si="72"/>
        <v>5.3022564769245051E-2</v>
      </c>
      <c r="AH242" s="20">
        <v>14</v>
      </c>
      <c r="AI242" s="20">
        <v>450</v>
      </c>
      <c r="AJ242" s="20"/>
      <c r="AK242" s="20">
        <v>688</v>
      </c>
      <c r="AL242" s="20">
        <f t="shared" si="73"/>
        <v>164848</v>
      </c>
      <c r="AM242" s="7">
        <v>3</v>
      </c>
      <c r="AN242" s="20"/>
      <c r="AO242" s="21"/>
      <c r="AP242" s="21"/>
      <c r="AQ242" s="5" t="s">
        <v>1589</v>
      </c>
      <c r="AR242" s="5" t="s">
        <v>164</v>
      </c>
      <c r="AS242" s="5" t="s">
        <v>59</v>
      </c>
      <c r="AT242" s="20"/>
      <c r="AU242" s="21"/>
      <c r="AV242" s="21"/>
      <c r="AW242" s="144" t="str">
        <f t="shared" si="76"/>
        <v>OK</v>
      </c>
      <c r="AX242" s="21" t="s">
        <v>3129</v>
      </c>
      <c r="AY242" s="21" t="s">
        <v>3130</v>
      </c>
      <c r="AZ242" s="21"/>
      <c r="BA242" s="21"/>
    </row>
    <row r="243" spans="1:53" ht="20" customHeight="1">
      <c r="A243" s="86" t="s">
        <v>318</v>
      </c>
      <c r="B243" s="372" t="s">
        <v>2573</v>
      </c>
      <c r="C243" s="5" t="s">
        <v>51</v>
      </c>
      <c r="D243" s="5" t="s">
        <v>52</v>
      </c>
      <c r="E243" s="5" t="s">
        <v>1604</v>
      </c>
      <c r="F243" s="5" t="s">
        <v>1596</v>
      </c>
      <c r="G243" s="5" t="s">
        <v>1456</v>
      </c>
      <c r="H243" s="6">
        <v>41158</v>
      </c>
      <c r="I243" s="5" t="s">
        <v>74</v>
      </c>
      <c r="J243" s="5" t="s">
        <v>74</v>
      </c>
      <c r="K243" s="5" t="s">
        <v>76</v>
      </c>
      <c r="L243" s="7">
        <v>2</v>
      </c>
      <c r="M243" s="7">
        <v>1</v>
      </c>
      <c r="N243" s="8">
        <v>12854</v>
      </c>
      <c r="O243" s="9">
        <v>0</v>
      </c>
      <c r="P243" s="10">
        <f t="shared" si="63"/>
        <v>0</v>
      </c>
      <c r="Q243" s="9">
        <v>0</v>
      </c>
      <c r="R243" s="10">
        <f t="shared" si="64"/>
        <v>0</v>
      </c>
      <c r="S243" s="9">
        <f t="shared" si="65"/>
        <v>0</v>
      </c>
      <c r="T243" s="10">
        <f t="shared" si="66"/>
        <v>0</v>
      </c>
      <c r="U243" s="10">
        <f t="shared" si="67"/>
        <v>12854</v>
      </c>
      <c r="V243" s="11">
        <f t="shared" si="79"/>
        <v>12854</v>
      </c>
      <c r="W243" s="12">
        <f t="shared" si="68"/>
        <v>0</v>
      </c>
      <c r="X243" s="13">
        <f t="shared" si="62"/>
        <v>0</v>
      </c>
      <c r="Y243" s="14" t="str">
        <f t="shared" si="78"/>
        <v>0.00%-0.00%</v>
      </c>
      <c r="Z243" s="15"/>
      <c r="AA243" s="15"/>
      <c r="AB243" s="15"/>
      <c r="AC243" s="16"/>
      <c r="AD243" s="8">
        <f t="shared" si="69"/>
        <v>0</v>
      </c>
      <c r="AE243" s="17">
        <f t="shared" si="70"/>
        <v>12854</v>
      </c>
      <c r="AF243" s="18">
        <f t="shared" si="71"/>
        <v>0</v>
      </c>
      <c r="AG243" s="19">
        <f t="shared" si="72"/>
        <v>0</v>
      </c>
      <c r="AH243" s="20">
        <v>14</v>
      </c>
      <c r="AI243" s="20">
        <v>450</v>
      </c>
      <c r="AJ243" s="20"/>
      <c r="AK243" s="20">
        <v>688</v>
      </c>
      <c r="AL243" s="20">
        <f t="shared" si="73"/>
        <v>186044</v>
      </c>
      <c r="AM243" s="7">
        <v>3</v>
      </c>
      <c r="AN243" s="20"/>
      <c r="AO243" s="21"/>
      <c r="AP243" s="21"/>
      <c r="AQ243" s="5" t="s">
        <v>1589</v>
      </c>
      <c r="AR243" s="5" t="s">
        <v>164</v>
      </c>
      <c r="AS243" s="5" t="s">
        <v>59</v>
      </c>
      <c r="AT243" s="20"/>
      <c r="AU243" s="21"/>
      <c r="AV243" s="21"/>
      <c r="AW243" s="144" t="str">
        <f t="shared" si="76"/>
        <v>OK</v>
      </c>
      <c r="AX243" s="21" t="s">
        <v>3135</v>
      </c>
      <c r="AY243" s="21">
        <v>0</v>
      </c>
      <c r="AZ243" s="21"/>
      <c r="BA243" s="21"/>
    </row>
    <row r="244" spans="1:53" ht="20" customHeight="1">
      <c r="A244" s="86" t="s">
        <v>318</v>
      </c>
      <c r="B244" s="372" t="s">
        <v>2574</v>
      </c>
      <c r="C244" s="5" t="s">
        <v>51</v>
      </c>
      <c r="D244" s="5" t="s">
        <v>52</v>
      </c>
      <c r="E244" s="5" t="s">
        <v>1604</v>
      </c>
      <c r="F244" s="5" t="s">
        <v>1597</v>
      </c>
      <c r="G244" s="5" t="s">
        <v>1456</v>
      </c>
      <c r="H244" s="6">
        <v>44461</v>
      </c>
      <c r="I244" s="5" t="s">
        <v>82</v>
      </c>
      <c r="J244" s="5" t="s">
        <v>1598</v>
      </c>
      <c r="K244" s="5" t="s">
        <v>84</v>
      </c>
      <c r="L244" s="7">
        <v>2</v>
      </c>
      <c r="M244" s="7">
        <v>3</v>
      </c>
      <c r="N244" s="8">
        <v>9702</v>
      </c>
      <c r="O244" s="9">
        <v>2.5000000000000001E-2</v>
      </c>
      <c r="P244" s="10">
        <f t="shared" si="63"/>
        <v>243</v>
      </c>
      <c r="Q244" s="9">
        <v>0</v>
      </c>
      <c r="R244" s="10">
        <f t="shared" si="64"/>
        <v>0</v>
      </c>
      <c r="S244" s="9">
        <f t="shared" si="65"/>
        <v>2.5046382189239332E-2</v>
      </c>
      <c r="T244" s="10">
        <f t="shared" si="66"/>
        <v>243</v>
      </c>
      <c r="U244" s="10">
        <f t="shared" si="67"/>
        <v>9945</v>
      </c>
      <c r="V244" s="11">
        <v>9994</v>
      </c>
      <c r="W244" s="12">
        <f t="shared" si="68"/>
        <v>292</v>
      </c>
      <c r="X244" s="13">
        <f t="shared" si="62"/>
        <v>3.0099999999999998E-2</v>
      </c>
      <c r="Y244" s="14" t="str">
        <f t="shared" si="78"/>
        <v>2.00%-3.01%</v>
      </c>
      <c r="Z244" s="15"/>
      <c r="AA244" s="15"/>
      <c r="AB244" s="15"/>
      <c r="AC244" s="16"/>
      <c r="AD244" s="8">
        <f t="shared" si="69"/>
        <v>0</v>
      </c>
      <c r="AE244" s="17">
        <f t="shared" si="70"/>
        <v>9994</v>
      </c>
      <c r="AF244" s="18">
        <f t="shared" si="71"/>
        <v>292</v>
      </c>
      <c r="AG244" s="19">
        <f t="shared" si="72"/>
        <v>3.0096887239744463E-2</v>
      </c>
      <c r="AH244" s="20">
        <v>14</v>
      </c>
      <c r="AI244" s="20">
        <v>550</v>
      </c>
      <c r="AJ244" s="20"/>
      <c r="AK244" s="20">
        <v>688</v>
      </c>
      <c r="AL244" s="20">
        <f t="shared" si="73"/>
        <v>147204</v>
      </c>
      <c r="AM244" s="7">
        <v>4</v>
      </c>
      <c r="AN244" s="20"/>
      <c r="AO244" s="21"/>
      <c r="AP244" s="21"/>
      <c r="AQ244" s="5" t="s">
        <v>1589</v>
      </c>
      <c r="AR244" s="5" t="s">
        <v>164</v>
      </c>
      <c r="AS244" s="5" t="s">
        <v>59</v>
      </c>
      <c r="AT244" s="20"/>
      <c r="AU244" s="21"/>
      <c r="AV244" s="21"/>
      <c r="AW244" s="144" t="str">
        <f t="shared" si="76"/>
        <v>OK</v>
      </c>
      <c r="AX244" s="21" t="s">
        <v>3131</v>
      </c>
      <c r="AY244" s="21" t="s">
        <v>3130</v>
      </c>
      <c r="AZ244" s="21"/>
      <c r="BA244" s="21"/>
    </row>
    <row r="245" spans="1:53" ht="20" customHeight="1">
      <c r="A245" s="86" t="s">
        <v>318</v>
      </c>
      <c r="B245" s="372" t="s">
        <v>2575</v>
      </c>
      <c r="C245" s="5" t="s">
        <v>51</v>
      </c>
      <c r="D245" s="5" t="s">
        <v>52</v>
      </c>
      <c r="E245" s="5" t="s">
        <v>1604</v>
      </c>
      <c r="F245" s="5" t="s">
        <v>1596</v>
      </c>
      <c r="G245" s="5" t="s">
        <v>1456</v>
      </c>
      <c r="H245" s="6">
        <v>40310</v>
      </c>
      <c r="I245" s="5" t="s">
        <v>111</v>
      </c>
      <c r="J245" s="5" t="s">
        <v>1599</v>
      </c>
      <c r="K245" s="5" t="s">
        <v>56</v>
      </c>
      <c r="L245" s="7">
        <v>2</v>
      </c>
      <c r="M245" s="7">
        <v>3</v>
      </c>
      <c r="N245" s="8">
        <v>24580</v>
      </c>
      <c r="O245" s="9">
        <v>2.5000000000000001E-2</v>
      </c>
      <c r="P245" s="10">
        <f t="shared" si="63"/>
        <v>615</v>
      </c>
      <c r="Q245" s="9">
        <v>0</v>
      </c>
      <c r="R245" s="10">
        <f t="shared" si="64"/>
        <v>0</v>
      </c>
      <c r="S245" s="9">
        <f t="shared" si="65"/>
        <v>2.502034174125305E-2</v>
      </c>
      <c r="T245" s="10">
        <f t="shared" si="66"/>
        <v>615</v>
      </c>
      <c r="U245" s="10">
        <f t="shared" si="67"/>
        <v>25195</v>
      </c>
      <c r="V245" s="11">
        <v>25100</v>
      </c>
      <c r="W245" s="12">
        <f t="shared" si="68"/>
        <v>520</v>
      </c>
      <c r="X245" s="13">
        <f t="shared" si="62"/>
        <v>2.12E-2</v>
      </c>
      <c r="Y245" s="14" t="str">
        <f t="shared" si="78"/>
        <v>2.00%-3.00%</v>
      </c>
      <c r="Z245" s="15"/>
      <c r="AA245" s="15"/>
      <c r="AB245" s="15"/>
      <c r="AC245" s="16"/>
      <c r="AD245" s="8">
        <f t="shared" si="69"/>
        <v>0</v>
      </c>
      <c r="AE245" s="17">
        <f t="shared" si="70"/>
        <v>25100</v>
      </c>
      <c r="AF245" s="18">
        <f t="shared" si="71"/>
        <v>520</v>
      </c>
      <c r="AG245" s="19">
        <f t="shared" si="72"/>
        <v>2.11554109031733E-2</v>
      </c>
      <c r="AH245" s="20">
        <v>14</v>
      </c>
      <c r="AI245" s="20">
        <v>550</v>
      </c>
      <c r="AJ245" s="20"/>
      <c r="AK245" s="20">
        <v>688</v>
      </c>
      <c r="AL245" s="20">
        <f t="shared" si="73"/>
        <v>358688</v>
      </c>
      <c r="AM245" s="7">
        <v>3</v>
      </c>
      <c r="AN245" s="20"/>
      <c r="AO245" s="21"/>
      <c r="AP245" s="21"/>
      <c r="AQ245" s="5" t="s">
        <v>1589</v>
      </c>
      <c r="AR245" s="5" t="s">
        <v>164</v>
      </c>
      <c r="AS245" s="5" t="s">
        <v>59</v>
      </c>
      <c r="AT245" s="20"/>
      <c r="AU245" s="21"/>
      <c r="AV245" s="21"/>
      <c r="AW245" s="144" t="str">
        <f t="shared" si="76"/>
        <v>OK</v>
      </c>
      <c r="AX245" s="21" t="s">
        <v>3129</v>
      </c>
      <c r="AY245" s="21" t="s">
        <v>3130</v>
      </c>
      <c r="AZ245" s="21"/>
      <c r="BA245" s="21"/>
    </row>
    <row r="246" spans="1:53" ht="20" customHeight="1">
      <c r="A246" s="86" t="s">
        <v>318</v>
      </c>
      <c r="B246" s="372" t="s">
        <v>2576</v>
      </c>
      <c r="C246" s="5" t="s">
        <v>51</v>
      </c>
      <c r="D246" s="5" t="s">
        <v>52</v>
      </c>
      <c r="E246" s="5" t="s">
        <v>1604</v>
      </c>
      <c r="F246" s="5" t="s">
        <v>1597</v>
      </c>
      <c r="G246" s="5" t="s">
        <v>1456</v>
      </c>
      <c r="H246" s="6">
        <v>43200</v>
      </c>
      <c r="I246" s="5" t="s">
        <v>74</v>
      </c>
      <c r="J246" s="5" t="s">
        <v>1581</v>
      </c>
      <c r="K246" s="5" t="s">
        <v>76</v>
      </c>
      <c r="L246" s="7">
        <v>2</v>
      </c>
      <c r="M246" s="7">
        <v>5</v>
      </c>
      <c r="N246" s="8">
        <v>10987</v>
      </c>
      <c r="O246" s="9">
        <v>0.05</v>
      </c>
      <c r="P246" s="10">
        <f t="shared" si="63"/>
        <v>549</v>
      </c>
      <c r="Q246" s="9">
        <v>2.7E-2</v>
      </c>
      <c r="R246" s="10">
        <f t="shared" si="64"/>
        <v>297</v>
      </c>
      <c r="S246" s="9">
        <f t="shared" si="65"/>
        <v>7.7000091016656044E-2</v>
      </c>
      <c r="T246" s="10">
        <f t="shared" si="66"/>
        <v>846</v>
      </c>
      <c r="U246" s="10">
        <f t="shared" si="67"/>
        <v>11833</v>
      </c>
      <c r="V246" s="11">
        <v>11500</v>
      </c>
      <c r="W246" s="12">
        <f t="shared" si="68"/>
        <v>513</v>
      </c>
      <c r="X246" s="13">
        <f t="shared" si="62"/>
        <v>4.6699999999999998E-2</v>
      </c>
      <c r="Y246" s="14" t="str">
        <f t="shared" si="78"/>
        <v>6.16%-9.24%</v>
      </c>
      <c r="Z246" s="15" t="s">
        <v>87</v>
      </c>
      <c r="AA246" s="15" t="s">
        <v>238</v>
      </c>
      <c r="AB246" s="15" t="s">
        <v>89</v>
      </c>
      <c r="AC246" s="16">
        <v>0.12180000000000001</v>
      </c>
      <c r="AD246" s="8">
        <f t="shared" si="69"/>
        <v>1338</v>
      </c>
      <c r="AE246" s="17">
        <f t="shared" si="70"/>
        <v>12838</v>
      </c>
      <c r="AF246" s="18">
        <f t="shared" si="71"/>
        <v>1851</v>
      </c>
      <c r="AG246" s="19">
        <f t="shared" si="72"/>
        <v>0.16847183034495306</v>
      </c>
      <c r="AH246" s="20">
        <v>14</v>
      </c>
      <c r="AI246" s="20">
        <v>450</v>
      </c>
      <c r="AJ246" s="20"/>
      <c r="AK246" s="20">
        <v>688</v>
      </c>
      <c r="AL246" s="20">
        <f t="shared" si="73"/>
        <v>185820</v>
      </c>
      <c r="AM246" s="7">
        <v>3</v>
      </c>
      <c r="AN246" s="20"/>
      <c r="AO246" s="120" t="s">
        <v>1600</v>
      </c>
      <c r="AP246" s="21" t="s">
        <v>173</v>
      </c>
      <c r="AQ246" s="5" t="s">
        <v>1589</v>
      </c>
      <c r="AR246" s="5" t="s">
        <v>164</v>
      </c>
      <c r="AS246" s="5" t="s">
        <v>59</v>
      </c>
      <c r="AT246" s="20"/>
      <c r="AU246" s="21"/>
      <c r="AV246" s="21"/>
      <c r="AW246" s="144" t="str">
        <f t="shared" si="76"/>
        <v>&lt;20</v>
      </c>
      <c r="AX246" s="21" t="s">
        <v>3133</v>
      </c>
      <c r="AY246" s="21" t="s">
        <v>3130</v>
      </c>
      <c r="AZ246" s="21"/>
      <c r="BA246" s="21"/>
    </row>
    <row r="247" spans="1:53" ht="20" customHeight="1">
      <c r="A247" s="86" t="s">
        <v>318</v>
      </c>
      <c r="B247" s="372" t="s">
        <v>2577</v>
      </c>
      <c r="C247" s="5" t="s">
        <v>51</v>
      </c>
      <c r="D247" s="5" t="s">
        <v>52</v>
      </c>
      <c r="E247" s="5" t="s">
        <v>1604</v>
      </c>
      <c r="F247" s="5" t="s">
        <v>1601</v>
      </c>
      <c r="G247" s="5" t="s">
        <v>1456</v>
      </c>
      <c r="H247" s="6">
        <v>44580</v>
      </c>
      <c r="I247" s="5" t="s">
        <v>82</v>
      </c>
      <c r="J247" s="5" t="s">
        <v>82</v>
      </c>
      <c r="K247" s="5" t="s">
        <v>84</v>
      </c>
      <c r="L247" s="7">
        <v>2</v>
      </c>
      <c r="M247" s="7">
        <v>5</v>
      </c>
      <c r="N247" s="8">
        <v>7607</v>
      </c>
      <c r="O247" s="9">
        <v>0.06</v>
      </c>
      <c r="P247" s="10">
        <f t="shared" si="63"/>
        <v>456</v>
      </c>
      <c r="Q247" s="9">
        <v>7.7799999999999994E-2</v>
      </c>
      <c r="R247" s="10">
        <f t="shared" si="64"/>
        <v>592</v>
      </c>
      <c r="S247" s="9">
        <f t="shared" si="65"/>
        <v>0.13776784540554751</v>
      </c>
      <c r="T247" s="10">
        <f t="shared" si="66"/>
        <v>1048</v>
      </c>
      <c r="U247" s="10">
        <f t="shared" si="67"/>
        <v>8655</v>
      </c>
      <c r="V247" s="11">
        <v>8800</v>
      </c>
      <c r="W247" s="12">
        <f t="shared" si="68"/>
        <v>1193</v>
      </c>
      <c r="X247" s="13">
        <f t="shared" si="62"/>
        <v>0.15679999999999999</v>
      </c>
      <c r="Y247" s="14" t="str">
        <f t="shared" si="78"/>
        <v>11.02%-16.53%</v>
      </c>
      <c r="Z247" s="15"/>
      <c r="AA247" s="15"/>
      <c r="AB247" s="15"/>
      <c r="AC247" s="16"/>
      <c r="AD247" s="8">
        <f t="shared" si="69"/>
        <v>0</v>
      </c>
      <c r="AE247" s="17">
        <f t="shared" si="70"/>
        <v>8800</v>
      </c>
      <c r="AF247" s="18">
        <f t="shared" si="71"/>
        <v>1193</v>
      </c>
      <c r="AG247" s="19">
        <f t="shared" si="72"/>
        <v>0.15682923622978828</v>
      </c>
      <c r="AH247" s="20">
        <v>14</v>
      </c>
      <c r="AI247" s="20">
        <v>450</v>
      </c>
      <c r="AJ247" s="20"/>
      <c r="AK247" s="20">
        <v>688</v>
      </c>
      <c r="AL247" s="20">
        <f t="shared" si="73"/>
        <v>129288</v>
      </c>
      <c r="AM247" s="7">
        <v>3</v>
      </c>
      <c r="AN247" s="20"/>
      <c r="AO247" s="21"/>
      <c r="AP247" s="21"/>
      <c r="AQ247" s="5" t="s">
        <v>1589</v>
      </c>
      <c r="AR247" s="5" t="s">
        <v>164</v>
      </c>
      <c r="AS247" s="5" t="s">
        <v>59</v>
      </c>
      <c r="AT247" s="20"/>
      <c r="AU247" s="21"/>
      <c r="AV247" s="21"/>
      <c r="AW247" s="144" t="str">
        <f t="shared" si="76"/>
        <v>OK</v>
      </c>
      <c r="AX247" s="21" t="s">
        <v>3131</v>
      </c>
      <c r="AY247" s="21" t="s">
        <v>3132</v>
      </c>
      <c r="AZ247" s="21"/>
      <c r="BA247" s="21"/>
    </row>
    <row r="248" spans="1:53" ht="20" customHeight="1">
      <c r="A248" s="86" t="s">
        <v>318</v>
      </c>
      <c r="B248" s="372" t="s">
        <v>2578</v>
      </c>
      <c r="C248" s="5" t="s">
        <v>51</v>
      </c>
      <c r="D248" s="5" t="s">
        <v>52</v>
      </c>
      <c r="E248" s="5" t="s">
        <v>1604</v>
      </c>
      <c r="F248" s="5" t="s">
        <v>1597</v>
      </c>
      <c r="G248" s="5" t="s">
        <v>1456</v>
      </c>
      <c r="H248" s="6">
        <v>42289</v>
      </c>
      <c r="I248" s="5" t="s">
        <v>74</v>
      </c>
      <c r="J248" s="5" t="s">
        <v>74</v>
      </c>
      <c r="K248" s="5" t="s">
        <v>76</v>
      </c>
      <c r="L248" s="7">
        <v>2</v>
      </c>
      <c r="M248" s="7">
        <v>2</v>
      </c>
      <c r="N248" s="8">
        <v>11038</v>
      </c>
      <c r="O248" s="9">
        <v>0</v>
      </c>
      <c r="P248" s="10">
        <f t="shared" si="63"/>
        <v>0</v>
      </c>
      <c r="Q248" s="9">
        <v>0</v>
      </c>
      <c r="R248" s="10">
        <f t="shared" si="64"/>
        <v>0</v>
      </c>
      <c r="S248" s="9">
        <f t="shared" si="65"/>
        <v>0</v>
      </c>
      <c r="T248" s="10">
        <f t="shared" si="66"/>
        <v>0</v>
      </c>
      <c r="U248" s="10">
        <f t="shared" si="67"/>
        <v>11038</v>
      </c>
      <c r="V248" s="11">
        <f t="shared" si="79"/>
        <v>11038</v>
      </c>
      <c r="W248" s="12">
        <f t="shared" si="68"/>
        <v>0</v>
      </c>
      <c r="X248" s="13">
        <f t="shared" si="62"/>
        <v>0</v>
      </c>
      <c r="Y248" s="14" t="str">
        <f t="shared" si="78"/>
        <v>0.00%-0.00%</v>
      </c>
      <c r="Z248" s="15"/>
      <c r="AA248" s="15"/>
      <c r="AB248" s="15"/>
      <c r="AC248" s="16"/>
      <c r="AD248" s="8">
        <f t="shared" si="69"/>
        <v>0</v>
      </c>
      <c r="AE248" s="17">
        <f t="shared" si="70"/>
        <v>11038</v>
      </c>
      <c r="AF248" s="18">
        <f t="shared" si="71"/>
        <v>0</v>
      </c>
      <c r="AG248" s="19">
        <f t="shared" si="72"/>
        <v>0</v>
      </c>
      <c r="AH248" s="20">
        <v>14</v>
      </c>
      <c r="AI248" s="20">
        <v>450</v>
      </c>
      <c r="AJ248" s="20"/>
      <c r="AK248" s="20">
        <v>688</v>
      </c>
      <c r="AL248" s="20">
        <f t="shared" si="73"/>
        <v>160620</v>
      </c>
      <c r="AM248" s="7">
        <v>3</v>
      </c>
      <c r="AN248" s="20"/>
      <c r="AO248" s="21"/>
      <c r="AP248" s="21"/>
      <c r="AQ248" s="5" t="s">
        <v>1589</v>
      </c>
      <c r="AR248" s="5" t="s">
        <v>164</v>
      </c>
      <c r="AS248" s="5" t="s">
        <v>59</v>
      </c>
      <c r="AT248" s="20"/>
      <c r="AU248" s="21"/>
      <c r="AV248" s="21"/>
      <c r="AW248" s="144" t="str">
        <f t="shared" si="76"/>
        <v>OK</v>
      </c>
      <c r="AX248" s="21" t="s">
        <v>3133</v>
      </c>
      <c r="AY248" s="21">
        <v>0</v>
      </c>
      <c r="AZ248" s="21"/>
      <c r="BA248" s="21"/>
    </row>
    <row r="249" spans="1:53" ht="20" customHeight="1">
      <c r="A249" s="86" t="s">
        <v>318</v>
      </c>
      <c r="B249" s="372" t="s">
        <v>2579</v>
      </c>
      <c r="C249" s="5" t="s">
        <v>51</v>
      </c>
      <c r="D249" s="5" t="s">
        <v>52</v>
      </c>
      <c r="E249" s="5" t="s">
        <v>1604</v>
      </c>
      <c r="F249" s="5" t="s">
        <v>1597</v>
      </c>
      <c r="G249" s="5" t="s">
        <v>1456</v>
      </c>
      <c r="H249" s="6">
        <v>42248</v>
      </c>
      <c r="I249" s="5" t="s">
        <v>111</v>
      </c>
      <c r="J249" s="5" t="s">
        <v>1505</v>
      </c>
      <c r="K249" s="5" t="s">
        <v>56</v>
      </c>
      <c r="L249" s="7">
        <v>2</v>
      </c>
      <c r="M249" s="7">
        <v>3</v>
      </c>
      <c r="N249" s="8">
        <v>27390</v>
      </c>
      <c r="O249" s="9">
        <v>2.5000000000000001E-2</v>
      </c>
      <c r="P249" s="10">
        <f t="shared" si="63"/>
        <v>685</v>
      </c>
      <c r="Q249" s="9">
        <v>0</v>
      </c>
      <c r="R249" s="10">
        <f t="shared" si="64"/>
        <v>0</v>
      </c>
      <c r="S249" s="9">
        <f t="shared" si="65"/>
        <v>2.5009127418765972E-2</v>
      </c>
      <c r="T249" s="10">
        <f t="shared" si="66"/>
        <v>685</v>
      </c>
      <c r="U249" s="10">
        <f t="shared" si="67"/>
        <v>28075</v>
      </c>
      <c r="V249" s="11">
        <v>28000</v>
      </c>
      <c r="W249" s="12">
        <f t="shared" si="68"/>
        <v>610</v>
      </c>
      <c r="X249" s="13">
        <f t="shared" si="62"/>
        <v>2.23E-2</v>
      </c>
      <c r="Y249" s="14" t="str">
        <f t="shared" si="78"/>
        <v>2.00%-3.00%</v>
      </c>
      <c r="Z249" s="15"/>
      <c r="AA249" s="15"/>
      <c r="AB249" s="15"/>
      <c r="AC249" s="16"/>
      <c r="AD249" s="8">
        <f t="shared" si="69"/>
        <v>0</v>
      </c>
      <c r="AE249" s="17">
        <f t="shared" si="70"/>
        <v>28000</v>
      </c>
      <c r="AF249" s="18">
        <f t="shared" si="71"/>
        <v>610</v>
      </c>
      <c r="AG249" s="19">
        <f t="shared" si="72"/>
        <v>2.2270901788974173E-2</v>
      </c>
      <c r="AH249" s="20">
        <v>14</v>
      </c>
      <c r="AI249" s="20">
        <v>450</v>
      </c>
      <c r="AJ249" s="20"/>
      <c r="AK249" s="20">
        <v>688</v>
      </c>
      <c r="AL249" s="20">
        <f t="shared" si="73"/>
        <v>398088</v>
      </c>
      <c r="AM249" s="7">
        <v>4</v>
      </c>
      <c r="AN249" s="20"/>
      <c r="AO249" s="21"/>
      <c r="AP249" s="21"/>
      <c r="AQ249" s="5" t="s">
        <v>1589</v>
      </c>
      <c r="AR249" s="5" t="s">
        <v>164</v>
      </c>
      <c r="AS249" s="5" t="s">
        <v>59</v>
      </c>
      <c r="AT249" s="20"/>
      <c r="AU249" s="21"/>
      <c r="AV249" s="21"/>
      <c r="AW249" s="144" t="str">
        <f t="shared" si="76"/>
        <v>OK</v>
      </c>
      <c r="AX249" s="21" t="s">
        <v>3133</v>
      </c>
      <c r="AY249" s="21" t="s">
        <v>3130</v>
      </c>
      <c r="AZ249" s="21"/>
      <c r="BA249" s="21"/>
    </row>
    <row r="250" spans="1:53" ht="20" customHeight="1">
      <c r="A250" s="86" t="s">
        <v>318</v>
      </c>
      <c r="B250" s="372" t="s">
        <v>2580</v>
      </c>
      <c r="C250" s="5" t="s">
        <v>51</v>
      </c>
      <c r="D250" s="5" t="s">
        <v>52</v>
      </c>
      <c r="E250" s="5" t="s">
        <v>1604</v>
      </c>
      <c r="F250" s="5" t="s">
        <v>1596</v>
      </c>
      <c r="G250" s="5" t="s">
        <v>1456</v>
      </c>
      <c r="H250" s="6">
        <v>44566</v>
      </c>
      <c r="I250" s="5" t="s">
        <v>82</v>
      </c>
      <c r="J250" s="5" t="s">
        <v>1510</v>
      </c>
      <c r="K250" s="5" t="s">
        <v>84</v>
      </c>
      <c r="L250" s="7">
        <v>2</v>
      </c>
      <c r="M250" s="7">
        <v>3</v>
      </c>
      <c r="N250" s="8">
        <v>10846</v>
      </c>
      <c r="O250" s="9">
        <v>2.5000000000000001E-2</v>
      </c>
      <c r="P250" s="10">
        <f t="shared" si="63"/>
        <v>271</v>
      </c>
      <c r="Q250" s="9">
        <v>0</v>
      </c>
      <c r="R250" s="10">
        <f t="shared" si="64"/>
        <v>0</v>
      </c>
      <c r="S250" s="9">
        <f t="shared" si="65"/>
        <v>2.498617001659598E-2</v>
      </c>
      <c r="T250" s="10">
        <f t="shared" si="66"/>
        <v>271</v>
      </c>
      <c r="U250" s="10">
        <f t="shared" si="67"/>
        <v>11117</v>
      </c>
      <c r="V250" s="11">
        <v>11125</v>
      </c>
      <c r="W250" s="12">
        <f t="shared" si="68"/>
        <v>279</v>
      </c>
      <c r="X250" s="13">
        <f t="shared" si="62"/>
        <v>2.5700000000000001E-2</v>
      </c>
      <c r="Y250" s="14" t="str">
        <f t="shared" si="78"/>
        <v>2.00%-3.00%</v>
      </c>
      <c r="Z250" s="15"/>
      <c r="AA250" s="15"/>
      <c r="AB250" s="15"/>
      <c r="AC250" s="16"/>
      <c r="AD250" s="8">
        <f t="shared" si="69"/>
        <v>0</v>
      </c>
      <c r="AE250" s="17">
        <f t="shared" si="70"/>
        <v>11125</v>
      </c>
      <c r="AF250" s="18">
        <f t="shared" si="71"/>
        <v>279</v>
      </c>
      <c r="AG250" s="19">
        <f t="shared" si="72"/>
        <v>2.5723769131477114E-2</v>
      </c>
      <c r="AH250" s="20">
        <v>14</v>
      </c>
      <c r="AI250" s="20">
        <v>450</v>
      </c>
      <c r="AJ250" s="20"/>
      <c r="AK250" s="20">
        <v>688</v>
      </c>
      <c r="AL250" s="20">
        <f t="shared" si="73"/>
        <v>161838</v>
      </c>
      <c r="AM250" s="7">
        <v>3</v>
      </c>
      <c r="AN250" s="20"/>
      <c r="AO250" s="21"/>
      <c r="AP250" s="21"/>
      <c r="AQ250" s="5" t="s">
        <v>1589</v>
      </c>
      <c r="AR250" s="5" t="s">
        <v>164</v>
      </c>
      <c r="AS250" s="5" t="s">
        <v>59</v>
      </c>
      <c r="AT250" s="20"/>
      <c r="AU250" s="21"/>
      <c r="AV250" s="21"/>
      <c r="AW250" s="144" t="str">
        <f t="shared" si="76"/>
        <v>OK</v>
      </c>
      <c r="AX250" s="21" t="s">
        <v>3131</v>
      </c>
      <c r="AY250" s="21" t="s">
        <v>3130</v>
      </c>
      <c r="AZ250" s="21"/>
      <c r="BA250" s="21"/>
    </row>
    <row r="251" spans="1:53" ht="20" customHeight="1">
      <c r="A251" s="86" t="s">
        <v>318</v>
      </c>
      <c r="B251" s="372" t="s">
        <v>2581</v>
      </c>
      <c r="C251" s="5" t="s">
        <v>51</v>
      </c>
      <c r="D251" s="5" t="s">
        <v>52</v>
      </c>
      <c r="E251" s="5" t="s">
        <v>1604</v>
      </c>
      <c r="F251" s="5" t="s">
        <v>1596</v>
      </c>
      <c r="G251" s="5" t="s">
        <v>1456</v>
      </c>
      <c r="H251" s="6">
        <v>39673</v>
      </c>
      <c r="I251" s="5" t="s">
        <v>82</v>
      </c>
      <c r="J251" s="5" t="s">
        <v>1510</v>
      </c>
      <c r="K251" s="5" t="s">
        <v>84</v>
      </c>
      <c r="L251" s="7">
        <v>2</v>
      </c>
      <c r="M251" s="7">
        <v>3</v>
      </c>
      <c r="N251" s="8">
        <v>9138</v>
      </c>
      <c r="O251" s="9">
        <v>2.5000000000000001E-2</v>
      </c>
      <c r="P251" s="10">
        <f t="shared" si="63"/>
        <v>228</v>
      </c>
      <c r="Q251" s="9">
        <v>0</v>
      </c>
      <c r="R251" s="10">
        <f t="shared" si="64"/>
        <v>0</v>
      </c>
      <c r="S251" s="9">
        <f t="shared" si="65"/>
        <v>2.4950755088640839E-2</v>
      </c>
      <c r="T251" s="10">
        <f t="shared" si="66"/>
        <v>228</v>
      </c>
      <c r="U251" s="10">
        <f t="shared" si="67"/>
        <v>9366</v>
      </c>
      <c r="V251" s="11">
        <f t="shared" si="79"/>
        <v>9366</v>
      </c>
      <c r="W251" s="12">
        <f t="shared" si="68"/>
        <v>228</v>
      </c>
      <c r="X251" s="13">
        <f t="shared" si="62"/>
        <v>2.5000000000000001E-2</v>
      </c>
      <c r="Y251" s="14" t="str">
        <f t="shared" si="78"/>
        <v>2.00%-2.99%</v>
      </c>
      <c r="Z251" s="15"/>
      <c r="AA251" s="15"/>
      <c r="AB251" s="15"/>
      <c r="AC251" s="16"/>
      <c r="AD251" s="8">
        <f t="shared" si="69"/>
        <v>0</v>
      </c>
      <c r="AE251" s="17">
        <f t="shared" si="70"/>
        <v>9366</v>
      </c>
      <c r="AF251" s="18">
        <f t="shared" si="71"/>
        <v>228</v>
      </c>
      <c r="AG251" s="19">
        <f t="shared" si="72"/>
        <v>2.4950755088640753E-2</v>
      </c>
      <c r="AH251" s="20">
        <v>14</v>
      </c>
      <c r="AI251" s="20">
        <v>450</v>
      </c>
      <c r="AJ251" s="20"/>
      <c r="AK251" s="20">
        <v>688</v>
      </c>
      <c r="AL251" s="20">
        <f t="shared" si="73"/>
        <v>137212</v>
      </c>
      <c r="AM251" s="7">
        <v>3</v>
      </c>
      <c r="AN251" s="20"/>
      <c r="AO251" s="21"/>
      <c r="AP251" s="21"/>
      <c r="AQ251" s="5" t="s">
        <v>1589</v>
      </c>
      <c r="AR251" s="5" t="s">
        <v>164</v>
      </c>
      <c r="AS251" s="5" t="s">
        <v>59</v>
      </c>
      <c r="AT251" s="20"/>
      <c r="AU251" s="21"/>
      <c r="AV251" s="21"/>
      <c r="AW251" s="144" t="str">
        <f t="shared" si="76"/>
        <v>OK</v>
      </c>
      <c r="AX251" s="21" t="s">
        <v>3129</v>
      </c>
      <c r="AY251" s="21" t="s">
        <v>3130</v>
      </c>
      <c r="AZ251" s="21"/>
      <c r="BA251" s="21"/>
    </row>
    <row r="252" spans="1:53" ht="20" customHeight="1">
      <c r="A252" s="86" t="s">
        <v>318</v>
      </c>
      <c r="B252" s="372" t="s">
        <v>2582</v>
      </c>
      <c r="C252" s="5" t="s">
        <v>51</v>
      </c>
      <c r="D252" s="5" t="s">
        <v>52</v>
      </c>
      <c r="E252" s="5" t="s">
        <v>1604</v>
      </c>
      <c r="F252" s="5" t="s">
        <v>1601</v>
      </c>
      <c r="G252" s="5" t="s">
        <v>1456</v>
      </c>
      <c r="H252" s="6">
        <v>42949</v>
      </c>
      <c r="I252" s="5" t="s">
        <v>71</v>
      </c>
      <c r="J252" s="5" t="s">
        <v>1602</v>
      </c>
      <c r="K252" s="5" t="s">
        <v>61</v>
      </c>
      <c r="L252" s="7">
        <v>2</v>
      </c>
      <c r="M252" s="7">
        <v>3</v>
      </c>
      <c r="N252" s="8">
        <v>14381</v>
      </c>
      <c r="O252" s="9">
        <v>0.03</v>
      </c>
      <c r="P252" s="10">
        <f t="shared" si="63"/>
        <v>431</v>
      </c>
      <c r="Q252" s="9">
        <v>0</v>
      </c>
      <c r="R252" s="10">
        <f t="shared" si="64"/>
        <v>0</v>
      </c>
      <c r="S252" s="9">
        <f t="shared" si="65"/>
        <v>2.9970099436756832E-2</v>
      </c>
      <c r="T252" s="10">
        <f t="shared" si="66"/>
        <v>431</v>
      </c>
      <c r="U252" s="10">
        <f t="shared" si="67"/>
        <v>14812</v>
      </c>
      <c r="V252" s="11">
        <f t="shared" si="79"/>
        <v>14812</v>
      </c>
      <c r="W252" s="12">
        <f t="shared" si="68"/>
        <v>431</v>
      </c>
      <c r="X252" s="13">
        <f t="shared" si="62"/>
        <v>0.03</v>
      </c>
      <c r="Y252" s="14" t="str">
        <f t="shared" si="78"/>
        <v>2.40%-3.60%</v>
      </c>
      <c r="Z252" s="15"/>
      <c r="AA252" s="15"/>
      <c r="AB252" s="15"/>
      <c r="AC252" s="16"/>
      <c r="AD252" s="8">
        <f t="shared" si="69"/>
        <v>0</v>
      </c>
      <c r="AE252" s="17">
        <f t="shared" si="70"/>
        <v>14812</v>
      </c>
      <c r="AF252" s="18">
        <f t="shared" si="71"/>
        <v>431</v>
      </c>
      <c r="AG252" s="19">
        <f t="shared" si="72"/>
        <v>2.9970099436756881E-2</v>
      </c>
      <c r="AH252" s="20">
        <v>14</v>
      </c>
      <c r="AI252" s="20">
        <v>450</v>
      </c>
      <c r="AJ252" s="20"/>
      <c r="AK252" s="20">
        <v>688</v>
      </c>
      <c r="AL252" s="20">
        <f t="shared" si="73"/>
        <v>213456</v>
      </c>
      <c r="AM252" s="7">
        <v>5</v>
      </c>
      <c r="AN252" s="20"/>
      <c r="AO252" s="21"/>
      <c r="AP252" s="21"/>
      <c r="AQ252" s="5" t="s">
        <v>1589</v>
      </c>
      <c r="AR252" s="5" t="s">
        <v>164</v>
      </c>
      <c r="AS252" s="5" t="s">
        <v>59</v>
      </c>
      <c r="AT252" s="20"/>
      <c r="AU252" s="21"/>
      <c r="AV252" s="21"/>
      <c r="AW252" s="144" t="str">
        <f t="shared" si="76"/>
        <v>OK</v>
      </c>
      <c r="AX252" s="21" t="s">
        <v>3133</v>
      </c>
      <c r="AY252" s="21" t="s">
        <v>3132</v>
      </c>
      <c r="AZ252" s="21"/>
      <c r="BA252" s="21"/>
    </row>
    <row r="253" spans="1:53" ht="20" customHeight="1">
      <c r="A253" s="86" t="s">
        <v>318</v>
      </c>
      <c r="B253" s="372" t="s">
        <v>2583</v>
      </c>
      <c r="C253" s="5" t="s">
        <v>51</v>
      </c>
      <c r="D253" s="5" t="s">
        <v>52</v>
      </c>
      <c r="E253" s="5" t="s">
        <v>1604</v>
      </c>
      <c r="F253" s="5" t="s">
        <v>1595</v>
      </c>
      <c r="G253" s="5" t="s">
        <v>1592</v>
      </c>
      <c r="H253" s="6">
        <v>41354</v>
      </c>
      <c r="I253" s="5" t="s">
        <v>111</v>
      </c>
      <c r="J253" s="5" t="s">
        <v>1585</v>
      </c>
      <c r="K253" s="5" t="s">
        <v>56</v>
      </c>
      <c r="L253" s="7">
        <v>2</v>
      </c>
      <c r="M253" s="7">
        <v>4</v>
      </c>
      <c r="N253" s="8">
        <v>21599</v>
      </c>
      <c r="O253" s="9">
        <v>4.4999999999999998E-2</v>
      </c>
      <c r="P253" s="10">
        <f t="shared" si="63"/>
        <v>972</v>
      </c>
      <c r="Q253" s="9">
        <v>4.2099999999999999E-2</v>
      </c>
      <c r="R253" s="10">
        <f t="shared" si="64"/>
        <v>909</v>
      </c>
      <c r="S253" s="9">
        <f t="shared" si="65"/>
        <v>8.7087365155794252E-2</v>
      </c>
      <c r="T253" s="10">
        <f t="shared" si="66"/>
        <v>1881</v>
      </c>
      <c r="U253" s="10">
        <f t="shared" si="67"/>
        <v>23480</v>
      </c>
      <c r="V253" s="11">
        <v>23500</v>
      </c>
      <c r="W253" s="12">
        <f t="shared" si="68"/>
        <v>1901</v>
      </c>
      <c r="X253" s="13">
        <f t="shared" si="62"/>
        <v>8.7999999999999995E-2</v>
      </c>
      <c r="Y253" s="14" t="str">
        <f t="shared" si="78"/>
        <v>6.97%-10.45%</v>
      </c>
      <c r="Z253" s="15"/>
      <c r="AA253" s="15"/>
      <c r="AB253" s="15"/>
      <c r="AC253" s="16"/>
      <c r="AD253" s="8">
        <f t="shared" si="69"/>
        <v>0</v>
      </c>
      <c r="AE253" s="17">
        <f t="shared" si="70"/>
        <v>23500</v>
      </c>
      <c r="AF253" s="18">
        <f t="shared" si="71"/>
        <v>1901</v>
      </c>
      <c r="AG253" s="19">
        <f t="shared" si="72"/>
        <v>8.8013333950645922E-2</v>
      </c>
      <c r="AH253" s="20">
        <v>14</v>
      </c>
      <c r="AI253" s="20">
        <v>450</v>
      </c>
      <c r="AJ253" s="20"/>
      <c r="AK253" s="20">
        <v>688</v>
      </c>
      <c r="AL253" s="20">
        <f t="shared" si="73"/>
        <v>335088</v>
      </c>
      <c r="AM253" s="7">
        <v>4</v>
      </c>
      <c r="AN253" s="20"/>
      <c r="AO253" s="21"/>
      <c r="AP253" s="21"/>
      <c r="AQ253" s="5" t="s">
        <v>1589</v>
      </c>
      <c r="AR253" s="5" t="s">
        <v>164</v>
      </c>
      <c r="AS253" s="5" t="s">
        <v>59</v>
      </c>
      <c r="AT253" s="20"/>
      <c r="AU253" s="21"/>
      <c r="AV253" s="21"/>
      <c r="AW253" s="144" t="str">
        <f t="shared" si="76"/>
        <v>OK</v>
      </c>
      <c r="AX253" s="21" t="s">
        <v>3135</v>
      </c>
      <c r="AY253" s="21" t="s">
        <v>3132</v>
      </c>
      <c r="AZ253" s="21"/>
      <c r="BA253" s="21"/>
    </row>
    <row r="254" spans="1:53" ht="20" customHeight="1">
      <c r="A254" s="86" t="s">
        <v>318</v>
      </c>
      <c r="B254" s="372" t="s">
        <v>2584</v>
      </c>
      <c r="C254" s="5" t="s">
        <v>1577</v>
      </c>
      <c r="D254" s="5" t="s">
        <v>52</v>
      </c>
      <c r="E254" s="5" t="s">
        <v>1604</v>
      </c>
      <c r="F254" s="5" t="s">
        <v>1601</v>
      </c>
      <c r="G254" s="5" t="s">
        <v>1456</v>
      </c>
      <c r="H254" s="6">
        <v>39326</v>
      </c>
      <c r="I254" s="5" t="s">
        <v>377</v>
      </c>
      <c r="J254" s="5" t="s">
        <v>1603</v>
      </c>
      <c r="K254" s="5" t="s">
        <v>324</v>
      </c>
      <c r="L254" s="7">
        <v>2</v>
      </c>
      <c r="M254" s="7">
        <v>3</v>
      </c>
      <c r="N254" s="8">
        <v>5130</v>
      </c>
      <c r="O254" s="9">
        <v>0</v>
      </c>
      <c r="P254" s="10">
        <f t="shared" si="63"/>
        <v>0</v>
      </c>
      <c r="Q254" s="9">
        <v>0</v>
      </c>
      <c r="R254" s="10">
        <f t="shared" si="64"/>
        <v>0</v>
      </c>
      <c r="S254" s="9">
        <f t="shared" si="65"/>
        <v>0</v>
      </c>
      <c r="T254" s="10">
        <f t="shared" si="66"/>
        <v>0</v>
      </c>
      <c r="U254" s="10">
        <f t="shared" si="67"/>
        <v>5130</v>
      </c>
      <c r="V254" s="11">
        <f t="shared" si="79"/>
        <v>5130</v>
      </c>
      <c r="W254" s="12">
        <f t="shared" si="68"/>
        <v>0</v>
      </c>
      <c r="X254" s="13">
        <f t="shared" si="62"/>
        <v>0</v>
      </c>
      <c r="Y254" s="14" t="str">
        <f t="shared" si="78"/>
        <v>0.00%-0.00%</v>
      </c>
      <c r="Z254" s="15"/>
      <c r="AA254" s="15"/>
      <c r="AB254" s="15"/>
      <c r="AC254" s="16"/>
      <c r="AD254" s="8">
        <f t="shared" si="69"/>
        <v>0</v>
      </c>
      <c r="AE254" s="17">
        <f t="shared" si="70"/>
        <v>5130</v>
      </c>
      <c r="AF254" s="18">
        <f t="shared" si="71"/>
        <v>0</v>
      </c>
      <c r="AG254" s="19">
        <f t="shared" si="72"/>
        <v>0</v>
      </c>
      <c r="AH254" s="20">
        <v>14</v>
      </c>
      <c r="AI254" s="20">
        <v>550</v>
      </c>
      <c r="AJ254" s="20"/>
      <c r="AK254" s="20">
        <v>688</v>
      </c>
      <c r="AL254" s="20">
        <f t="shared" si="73"/>
        <v>79108</v>
      </c>
      <c r="AM254" s="7">
        <v>3</v>
      </c>
      <c r="AN254" s="20"/>
      <c r="AO254" s="21"/>
      <c r="AP254" s="21"/>
      <c r="AQ254" s="5" t="s">
        <v>1589</v>
      </c>
      <c r="AR254" s="5" t="s">
        <v>164</v>
      </c>
      <c r="AS254" s="5" t="s">
        <v>59</v>
      </c>
      <c r="AT254" s="20"/>
      <c r="AU254" s="21"/>
      <c r="AV254" s="21"/>
      <c r="AW254" s="144" t="str">
        <f t="shared" si="76"/>
        <v>OK</v>
      </c>
      <c r="AX254" s="21" t="e">
        <v>#N/A</v>
      </c>
      <c r="AY254" s="21" t="e">
        <v>#N/A</v>
      </c>
      <c r="AZ254" s="21"/>
      <c r="BA254" s="21"/>
    </row>
    <row r="255" spans="1:53" ht="20" customHeight="1">
      <c r="A255" s="86" t="s">
        <v>318</v>
      </c>
      <c r="B255" s="372" t="s">
        <v>2585</v>
      </c>
      <c r="C255" s="5" t="s">
        <v>1577</v>
      </c>
      <c r="D255" s="5" t="s">
        <v>52</v>
      </c>
      <c r="E255" s="5" t="s">
        <v>1604</v>
      </c>
      <c r="F255" s="5" t="s">
        <v>1601</v>
      </c>
      <c r="G255" s="5" t="s">
        <v>1456</v>
      </c>
      <c r="H255" s="6">
        <v>43040</v>
      </c>
      <c r="I255" s="5" t="s">
        <v>377</v>
      </c>
      <c r="J255" s="5" t="s">
        <v>1603</v>
      </c>
      <c r="K255" s="5" t="s">
        <v>324</v>
      </c>
      <c r="L255" s="7">
        <v>2</v>
      </c>
      <c r="M255" s="7">
        <v>3</v>
      </c>
      <c r="N255" s="8">
        <v>5431</v>
      </c>
      <c r="O255" s="9">
        <v>0</v>
      </c>
      <c r="P255" s="10">
        <f t="shared" si="63"/>
        <v>0</v>
      </c>
      <c r="Q255" s="9">
        <v>0</v>
      </c>
      <c r="R255" s="10">
        <f t="shared" si="64"/>
        <v>0</v>
      </c>
      <c r="S255" s="9">
        <f t="shared" si="65"/>
        <v>0</v>
      </c>
      <c r="T255" s="10">
        <f t="shared" si="66"/>
        <v>0</v>
      </c>
      <c r="U255" s="10">
        <f t="shared" si="67"/>
        <v>5431</v>
      </c>
      <c r="V255" s="11">
        <f t="shared" si="79"/>
        <v>5431</v>
      </c>
      <c r="W255" s="12">
        <f t="shared" si="68"/>
        <v>0</v>
      </c>
      <c r="X255" s="13">
        <f t="shared" ref="X255:X318" si="80">ROUND(V255/N255-1,4)</f>
        <v>0</v>
      </c>
      <c r="Y255" s="14" t="str">
        <f t="shared" si="78"/>
        <v>0.00%-0.00%</v>
      </c>
      <c r="Z255" s="15"/>
      <c r="AA255" s="15"/>
      <c r="AB255" s="15"/>
      <c r="AC255" s="16"/>
      <c r="AD255" s="8">
        <f t="shared" si="69"/>
        <v>0</v>
      </c>
      <c r="AE255" s="17">
        <f t="shared" si="70"/>
        <v>5431</v>
      </c>
      <c r="AF255" s="18">
        <f t="shared" si="71"/>
        <v>0</v>
      </c>
      <c r="AG255" s="19">
        <f t="shared" si="72"/>
        <v>0</v>
      </c>
      <c r="AH255" s="20">
        <v>14</v>
      </c>
      <c r="AI255" s="20">
        <v>550</v>
      </c>
      <c r="AJ255" s="20"/>
      <c r="AK255" s="20">
        <v>688</v>
      </c>
      <c r="AL255" s="20">
        <f t="shared" si="73"/>
        <v>83322</v>
      </c>
      <c r="AM255" s="7">
        <v>3</v>
      </c>
      <c r="AN255" s="20"/>
      <c r="AO255" s="21"/>
      <c r="AP255" s="21"/>
      <c r="AQ255" s="5" t="s">
        <v>1589</v>
      </c>
      <c r="AR255" s="5" t="s">
        <v>164</v>
      </c>
      <c r="AS255" s="5" t="s">
        <v>59</v>
      </c>
      <c r="AT255" s="20"/>
      <c r="AU255" s="21"/>
      <c r="AV255" s="21"/>
      <c r="AW255" s="144" t="str">
        <f t="shared" si="76"/>
        <v>OK</v>
      </c>
      <c r="AX255" s="21" t="e">
        <v>#N/A</v>
      </c>
      <c r="AY255" s="21" t="e">
        <v>#N/A</v>
      </c>
      <c r="AZ255" s="21"/>
      <c r="BA255" s="21"/>
    </row>
    <row r="256" spans="1:53" ht="20" customHeight="1">
      <c r="A256" s="86" t="s">
        <v>318</v>
      </c>
      <c r="B256" s="372" t="s">
        <v>2586</v>
      </c>
      <c r="C256" s="5" t="s">
        <v>51</v>
      </c>
      <c r="D256" s="5" t="s">
        <v>52</v>
      </c>
      <c r="E256" s="5" t="s">
        <v>1604</v>
      </c>
      <c r="F256" s="5" t="s">
        <v>1597</v>
      </c>
      <c r="G256" s="5" t="s">
        <v>1456</v>
      </c>
      <c r="H256" s="6">
        <v>43282</v>
      </c>
      <c r="I256" s="5" t="s">
        <v>74</v>
      </c>
      <c r="J256" s="5" t="s">
        <v>74</v>
      </c>
      <c r="K256" s="5" t="s">
        <v>76</v>
      </c>
      <c r="L256" s="7">
        <v>2</v>
      </c>
      <c r="M256" s="7">
        <v>4</v>
      </c>
      <c r="N256" s="8">
        <v>9645</v>
      </c>
      <c r="O256" s="9">
        <v>4.4999999999999998E-2</v>
      </c>
      <c r="P256" s="10">
        <f t="shared" si="63"/>
        <v>434</v>
      </c>
      <c r="Q256" s="9">
        <v>1.55E-2</v>
      </c>
      <c r="R256" s="10">
        <f t="shared" si="64"/>
        <v>149</v>
      </c>
      <c r="S256" s="9">
        <f t="shared" si="65"/>
        <v>6.0445826853291862E-2</v>
      </c>
      <c r="T256" s="10">
        <f t="shared" si="66"/>
        <v>583</v>
      </c>
      <c r="U256" s="10">
        <f t="shared" si="67"/>
        <v>10228</v>
      </c>
      <c r="V256" s="11">
        <f t="shared" si="79"/>
        <v>10228</v>
      </c>
      <c r="W256" s="12">
        <f t="shared" si="68"/>
        <v>583</v>
      </c>
      <c r="X256" s="13">
        <f t="shared" si="80"/>
        <v>6.0400000000000002E-2</v>
      </c>
      <c r="Y256" s="14" t="str">
        <f t="shared" si="78"/>
        <v>4.84%-7.25%</v>
      </c>
      <c r="Z256" s="15"/>
      <c r="AA256" s="15"/>
      <c r="AB256" s="15"/>
      <c r="AC256" s="16"/>
      <c r="AD256" s="8">
        <f t="shared" si="69"/>
        <v>0</v>
      </c>
      <c r="AE256" s="17">
        <f t="shared" si="70"/>
        <v>10228</v>
      </c>
      <c r="AF256" s="18">
        <f t="shared" si="71"/>
        <v>583</v>
      </c>
      <c r="AG256" s="19">
        <f t="shared" si="72"/>
        <v>6.0445826853291917E-2</v>
      </c>
      <c r="AH256" s="20">
        <v>14</v>
      </c>
      <c r="AI256" s="20">
        <v>450</v>
      </c>
      <c r="AJ256" s="20"/>
      <c r="AK256" s="20">
        <v>688</v>
      </c>
      <c r="AL256" s="20">
        <f t="shared" si="73"/>
        <v>149280</v>
      </c>
      <c r="AM256" s="7">
        <v>3</v>
      </c>
      <c r="AN256" s="20"/>
      <c r="AO256" s="21"/>
      <c r="AP256" s="21"/>
      <c r="AQ256" s="5" t="s">
        <v>1589</v>
      </c>
      <c r="AR256" s="5" t="s">
        <v>164</v>
      </c>
      <c r="AS256" s="5" t="s">
        <v>59</v>
      </c>
      <c r="AT256" s="20"/>
      <c r="AU256" s="21"/>
      <c r="AV256" s="21"/>
      <c r="AW256" s="144" t="str">
        <f t="shared" si="76"/>
        <v>OK</v>
      </c>
      <c r="AX256" s="21" t="s">
        <v>3133</v>
      </c>
      <c r="AY256" s="21" t="s">
        <v>3132</v>
      </c>
      <c r="AZ256" s="21"/>
      <c r="BA256" s="21"/>
    </row>
    <row r="257" spans="1:53" ht="20" customHeight="1">
      <c r="A257" s="86" t="s">
        <v>318</v>
      </c>
      <c r="B257" s="372" t="s">
        <v>2587</v>
      </c>
      <c r="C257" s="5" t="s">
        <v>51</v>
      </c>
      <c r="D257" s="5" t="s">
        <v>52</v>
      </c>
      <c r="E257" s="5" t="s">
        <v>1722</v>
      </c>
      <c r="F257" s="5" t="s">
        <v>1722</v>
      </c>
      <c r="G257" s="5" t="s">
        <v>1723</v>
      </c>
      <c r="H257" s="6">
        <v>38139</v>
      </c>
      <c r="I257" s="5" t="s">
        <v>198</v>
      </c>
      <c r="J257" s="5" t="s">
        <v>198</v>
      </c>
      <c r="K257" s="5" t="s">
        <v>199</v>
      </c>
      <c r="L257" s="7">
        <v>2</v>
      </c>
      <c r="M257" s="7">
        <v>3</v>
      </c>
      <c r="N257" s="8">
        <v>50715</v>
      </c>
      <c r="O257" s="121">
        <v>0</v>
      </c>
      <c r="P257" s="10">
        <f t="shared" si="63"/>
        <v>0</v>
      </c>
      <c r="Q257" s="121">
        <v>0</v>
      </c>
      <c r="R257" s="10">
        <f t="shared" si="64"/>
        <v>0</v>
      </c>
      <c r="S257" s="121">
        <f t="shared" si="65"/>
        <v>0</v>
      </c>
      <c r="T257" s="10">
        <f t="shared" si="66"/>
        <v>0</v>
      </c>
      <c r="U257" s="10">
        <f t="shared" si="67"/>
        <v>50715</v>
      </c>
      <c r="V257" s="11">
        <f t="shared" si="79"/>
        <v>50715</v>
      </c>
      <c r="W257" s="12">
        <f t="shared" si="68"/>
        <v>0</v>
      </c>
      <c r="X257" s="122">
        <f t="shared" si="80"/>
        <v>0</v>
      </c>
      <c r="Y257" s="123" t="str">
        <f t="shared" si="78"/>
        <v>0.00%-0.00%</v>
      </c>
      <c r="Z257" s="15"/>
      <c r="AA257" s="15"/>
      <c r="AB257" s="15"/>
      <c r="AC257" s="124"/>
      <c r="AD257" s="8">
        <f t="shared" si="69"/>
        <v>0</v>
      </c>
      <c r="AE257" s="17">
        <f t="shared" si="70"/>
        <v>50715</v>
      </c>
      <c r="AF257" s="18">
        <f t="shared" si="71"/>
        <v>0</v>
      </c>
      <c r="AG257" s="125">
        <f t="shared" si="72"/>
        <v>0</v>
      </c>
      <c r="AH257" s="20">
        <v>14</v>
      </c>
      <c r="AI257" s="20">
        <v>450</v>
      </c>
      <c r="AJ257" s="20">
        <v>1000</v>
      </c>
      <c r="AK257" s="20">
        <v>688</v>
      </c>
      <c r="AL257" s="20">
        <f t="shared" si="73"/>
        <v>728098</v>
      </c>
      <c r="AM257" s="7">
        <v>2</v>
      </c>
      <c r="AN257" s="20"/>
      <c r="AO257" s="21"/>
      <c r="AP257" s="21"/>
      <c r="AQ257" s="5" t="s">
        <v>1724</v>
      </c>
      <c r="AR257" s="5" t="s">
        <v>69</v>
      </c>
      <c r="AW257" s="144" t="str">
        <f t="shared" si="76"/>
        <v>OK</v>
      </c>
      <c r="AX257" s="21" t="s">
        <v>3139</v>
      </c>
      <c r="AY257" s="21" t="s">
        <v>3134</v>
      </c>
      <c r="AZ257" s="21"/>
      <c r="BA257" s="21"/>
    </row>
    <row r="258" spans="1:53" ht="20" customHeight="1">
      <c r="A258" s="86" t="s">
        <v>318</v>
      </c>
      <c r="B258" s="372" t="s">
        <v>2588</v>
      </c>
      <c r="C258" s="5" t="s">
        <v>51</v>
      </c>
      <c r="D258" s="5" t="s">
        <v>52</v>
      </c>
      <c r="E258" s="5" t="s">
        <v>1722</v>
      </c>
      <c r="F258" s="5" t="s">
        <v>1725</v>
      </c>
      <c r="G258" s="5" t="s">
        <v>1726</v>
      </c>
      <c r="H258" s="6">
        <v>38169</v>
      </c>
      <c r="I258" s="5" t="s">
        <v>1727</v>
      </c>
      <c r="J258" s="5" t="s">
        <v>1727</v>
      </c>
      <c r="K258" s="5" t="s">
        <v>56</v>
      </c>
      <c r="L258" s="7">
        <v>2</v>
      </c>
      <c r="M258" s="7">
        <v>4</v>
      </c>
      <c r="N258" s="8">
        <v>38000</v>
      </c>
      <c r="O258" s="121">
        <v>2.2499999999999999E-2</v>
      </c>
      <c r="P258" s="10">
        <f t="shared" si="63"/>
        <v>855</v>
      </c>
      <c r="Q258" s="121">
        <v>0</v>
      </c>
      <c r="R258" s="10">
        <f t="shared" si="64"/>
        <v>0</v>
      </c>
      <c r="S258" s="121">
        <f t="shared" si="65"/>
        <v>2.2499999999999999E-2</v>
      </c>
      <c r="T258" s="10">
        <f t="shared" si="66"/>
        <v>855</v>
      </c>
      <c r="U258" s="10">
        <f t="shared" si="67"/>
        <v>38855</v>
      </c>
      <c r="V258" s="11">
        <f t="shared" si="79"/>
        <v>38855</v>
      </c>
      <c r="W258" s="12">
        <f t="shared" si="68"/>
        <v>855</v>
      </c>
      <c r="X258" s="122">
        <f t="shared" si="80"/>
        <v>2.2499999999999999E-2</v>
      </c>
      <c r="Y258" s="123" t="str">
        <f t="shared" si="78"/>
        <v>1.80%-2.70%</v>
      </c>
      <c r="Z258" s="15"/>
      <c r="AA258" s="15"/>
      <c r="AB258" s="15"/>
      <c r="AC258" s="124"/>
      <c r="AD258" s="8">
        <f t="shared" si="69"/>
        <v>0</v>
      </c>
      <c r="AE258" s="17">
        <f t="shared" si="70"/>
        <v>38855</v>
      </c>
      <c r="AF258" s="18">
        <f t="shared" si="71"/>
        <v>855</v>
      </c>
      <c r="AG258" s="125">
        <f t="shared" si="72"/>
        <v>2.2499999999999964E-2</v>
      </c>
      <c r="AH258" s="20">
        <v>14</v>
      </c>
      <c r="AI258" s="20">
        <v>450</v>
      </c>
      <c r="AJ258" s="20"/>
      <c r="AK258" s="20">
        <v>688</v>
      </c>
      <c r="AL258" s="20">
        <f t="shared" si="73"/>
        <v>550058</v>
      </c>
      <c r="AM258" s="7">
        <v>4</v>
      </c>
      <c r="AN258" s="20"/>
      <c r="AO258" s="21"/>
      <c r="AP258" s="21"/>
      <c r="AQ258" s="5" t="s">
        <v>1724</v>
      </c>
      <c r="AR258" s="5" t="s">
        <v>69</v>
      </c>
      <c r="AW258" s="144" t="str">
        <f t="shared" si="76"/>
        <v>OK</v>
      </c>
      <c r="AX258" s="21" t="s">
        <v>3139</v>
      </c>
      <c r="AY258" s="21" t="s">
        <v>3138</v>
      </c>
      <c r="AZ258" s="21"/>
      <c r="BA258" s="21"/>
    </row>
    <row r="259" spans="1:53" ht="20" customHeight="1">
      <c r="A259" s="86" t="s">
        <v>318</v>
      </c>
      <c r="B259" s="372" t="s">
        <v>2589</v>
      </c>
      <c r="C259" s="5" t="s">
        <v>51</v>
      </c>
      <c r="D259" s="5" t="s">
        <v>52</v>
      </c>
      <c r="E259" s="5" t="s">
        <v>1722</v>
      </c>
      <c r="F259" s="5" t="s">
        <v>1725</v>
      </c>
      <c r="G259" s="5" t="s">
        <v>1726</v>
      </c>
      <c r="H259" s="6">
        <v>41463</v>
      </c>
      <c r="I259" s="5" t="s">
        <v>1728</v>
      </c>
      <c r="J259" s="5" t="s">
        <v>1729</v>
      </c>
      <c r="K259" s="5" t="s">
        <v>61</v>
      </c>
      <c r="L259" s="7">
        <v>2</v>
      </c>
      <c r="M259" s="7">
        <v>3</v>
      </c>
      <c r="N259" s="8">
        <v>22590</v>
      </c>
      <c r="O259" s="121">
        <v>2.5000000000000001E-2</v>
      </c>
      <c r="P259" s="10">
        <f t="shared" si="63"/>
        <v>565</v>
      </c>
      <c r="Q259" s="121">
        <v>0</v>
      </c>
      <c r="R259" s="10">
        <f t="shared" si="64"/>
        <v>0</v>
      </c>
      <c r="S259" s="121">
        <f t="shared" si="65"/>
        <v>2.5011066843736166E-2</v>
      </c>
      <c r="T259" s="10">
        <f t="shared" si="66"/>
        <v>565</v>
      </c>
      <c r="U259" s="10">
        <f t="shared" si="67"/>
        <v>23155</v>
      </c>
      <c r="V259" s="11">
        <f t="shared" si="79"/>
        <v>23155</v>
      </c>
      <c r="W259" s="12">
        <f t="shared" si="68"/>
        <v>565</v>
      </c>
      <c r="X259" s="122">
        <f t="shared" si="80"/>
        <v>2.5000000000000001E-2</v>
      </c>
      <c r="Y259" s="123" t="str">
        <f t="shared" si="78"/>
        <v>2.00%-3.00%</v>
      </c>
      <c r="Z259" s="15"/>
      <c r="AA259" s="15"/>
      <c r="AB259" s="15"/>
      <c r="AC259" s="124"/>
      <c r="AD259" s="8">
        <f t="shared" si="69"/>
        <v>0</v>
      </c>
      <c r="AE259" s="17">
        <f t="shared" si="70"/>
        <v>23155</v>
      </c>
      <c r="AF259" s="18">
        <f t="shared" si="71"/>
        <v>565</v>
      </c>
      <c r="AG259" s="125">
        <f t="shared" si="72"/>
        <v>2.5011066843736218E-2</v>
      </c>
      <c r="AH259" s="20">
        <v>14</v>
      </c>
      <c r="AI259" s="20">
        <v>450</v>
      </c>
      <c r="AJ259" s="20"/>
      <c r="AK259" s="20">
        <v>688</v>
      </c>
      <c r="AL259" s="20">
        <f t="shared" si="73"/>
        <v>330258</v>
      </c>
      <c r="AM259" s="7">
        <v>3</v>
      </c>
      <c r="AN259" s="20"/>
      <c r="AO259" s="21"/>
      <c r="AP259" s="21"/>
      <c r="AQ259" s="5" t="s">
        <v>1724</v>
      </c>
      <c r="AR259" s="5" t="s">
        <v>69</v>
      </c>
      <c r="AW259" s="144" t="str">
        <f t="shared" si="76"/>
        <v>OK</v>
      </c>
      <c r="AX259" s="21" t="s">
        <v>3135</v>
      </c>
      <c r="AY259" s="21" t="s">
        <v>3130</v>
      </c>
      <c r="AZ259" s="21"/>
      <c r="BA259" s="21"/>
    </row>
    <row r="260" spans="1:53" ht="20" customHeight="1">
      <c r="A260" s="86" t="s">
        <v>318</v>
      </c>
      <c r="B260" s="372" t="s">
        <v>2590</v>
      </c>
      <c r="C260" s="5" t="s">
        <v>51</v>
      </c>
      <c r="D260" s="5" t="s">
        <v>52</v>
      </c>
      <c r="E260" s="5" t="s">
        <v>1722</v>
      </c>
      <c r="F260" s="5" t="s">
        <v>1725</v>
      </c>
      <c r="G260" s="5" t="s">
        <v>1726</v>
      </c>
      <c r="H260" s="6">
        <v>40282</v>
      </c>
      <c r="I260" s="5" t="s">
        <v>1728</v>
      </c>
      <c r="J260" s="5" t="s">
        <v>1729</v>
      </c>
      <c r="K260" s="5" t="s">
        <v>61</v>
      </c>
      <c r="L260" s="7">
        <v>2</v>
      </c>
      <c r="M260" s="7">
        <v>2</v>
      </c>
      <c r="N260" s="8">
        <v>19580</v>
      </c>
      <c r="O260" s="121">
        <v>0</v>
      </c>
      <c r="P260" s="10">
        <f t="shared" ref="P260:P323" si="81">ROUND(N260*O260,0)</f>
        <v>0</v>
      </c>
      <c r="Q260" s="121">
        <v>0</v>
      </c>
      <c r="R260" s="10">
        <f t="shared" ref="R260:R323" si="82">ROUND(N260*Q260,0)</f>
        <v>0</v>
      </c>
      <c r="S260" s="121">
        <f t="shared" ref="S260:S323" si="83">T260/N260</f>
        <v>0</v>
      </c>
      <c r="T260" s="10">
        <f t="shared" ref="T260:T323" si="84">P260+R260</f>
        <v>0</v>
      </c>
      <c r="U260" s="10">
        <f t="shared" ref="U260:U323" si="85">N260+T260</f>
        <v>19580</v>
      </c>
      <c r="V260" s="11">
        <f t="shared" si="79"/>
        <v>19580</v>
      </c>
      <c r="W260" s="12">
        <f t="shared" ref="W260:W323" si="86">V260-N260</f>
        <v>0</v>
      </c>
      <c r="X260" s="122">
        <f t="shared" si="80"/>
        <v>0</v>
      </c>
      <c r="Y260" s="123" t="str">
        <f t="shared" si="78"/>
        <v>0.00%-0.00%</v>
      </c>
      <c r="Z260" s="15"/>
      <c r="AA260" s="15"/>
      <c r="AB260" s="15"/>
      <c r="AC260" s="124"/>
      <c r="AD260" s="8">
        <f t="shared" ref="AD260:AD323" si="87">ROUND(N260*AC260,0)</f>
        <v>0</v>
      </c>
      <c r="AE260" s="17">
        <f t="shared" ref="AE260:AE323" si="88">V260+AD260</f>
        <v>19580</v>
      </c>
      <c r="AF260" s="18">
        <f t="shared" ref="AF260:AF323" si="89">AE260-N260</f>
        <v>0</v>
      </c>
      <c r="AG260" s="125">
        <f t="shared" ref="AG260:AG323" si="90">AE260/N260-1</f>
        <v>0</v>
      </c>
      <c r="AH260" s="20">
        <v>14</v>
      </c>
      <c r="AI260" s="20">
        <v>450</v>
      </c>
      <c r="AJ260" s="20"/>
      <c r="AK260" s="20">
        <v>688</v>
      </c>
      <c r="AL260" s="20">
        <f t="shared" ref="AL260:AL323" si="91">AE260*AH260+AI260*12+AK260+IF(AB260="",AJ260,IF(AB260="D",5000,IF(AB260="C",1000,0)))*12</f>
        <v>280208</v>
      </c>
      <c r="AM260" s="7">
        <v>3</v>
      </c>
      <c r="AN260" s="20"/>
      <c r="AO260" s="21"/>
      <c r="AP260" s="21"/>
      <c r="AQ260" s="5" t="s">
        <v>1724</v>
      </c>
      <c r="AR260" s="5" t="s">
        <v>69</v>
      </c>
      <c r="AW260" s="144" t="str">
        <f t="shared" si="76"/>
        <v>OK</v>
      </c>
      <c r="AX260" s="21" t="s">
        <v>3129</v>
      </c>
      <c r="AY260" s="21">
        <v>0</v>
      </c>
      <c r="AZ260" s="21"/>
      <c r="BA260" s="21"/>
    </row>
    <row r="261" spans="1:53" ht="20" customHeight="1">
      <c r="A261" s="86" t="s">
        <v>318</v>
      </c>
      <c r="B261" s="372" t="s">
        <v>2591</v>
      </c>
      <c r="C261" s="5" t="s">
        <v>51</v>
      </c>
      <c r="D261" s="5" t="s">
        <v>52</v>
      </c>
      <c r="E261" s="5" t="s">
        <v>1722</v>
      </c>
      <c r="F261" s="5" t="s">
        <v>1725</v>
      </c>
      <c r="G261" s="5" t="s">
        <v>1726</v>
      </c>
      <c r="H261" s="6">
        <v>44116</v>
      </c>
      <c r="I261" s="5" t="s">
        <v>1728</v>
      </c>
      <c r="J261" s="5" t="s">
        <v>1729</v>
      </c>
      <c r="K261" s="5" t="s">
        <v>61</v>
      </c>
      <c r="L261" s="7">
        <v>2</v>
      </c>
      <c r="M261" s="7">
        <v>1</v>
      </c>
      <c r="N261" s="8">
        <v>24800</v>
      </c>
      <c r="O261" s="121">
        <v>0</v>
      </c>
      <c r="P261" s="10">
        <f t="shared" si="81"/>
        <v>0</v>
      </c>
      <c r="Q261" s="121">
        <v>0</v>
      </c>
      <c r="R261" s="10">
        <f t="shared" si="82"/>
        <v>0</v>
      </c>
      <c r="S261" s="121">
        <f t="shared" si="83"/>
        <v>0</v>
      </c>
      <c r="T261" s="10">
        <f t="shared" si="84"/>
        <v>0</v>
      </c>
      <c r="U261" s="10">
        <f t="shared" si="85"/>
        <v>24800</v>
      </c>
      <c r="V261" s="11">
        <f t="shared" si="79"/>
        <v>24800</v>
      </c>
      <c r="W261" s="12">
        <f t="shared" si="86"/>
        <v>0</v>
      </c>
      <c r="X261" s="122">
        <f t="shared" si="80"/>
        <v>0</v>
      </c>
      <c r="Y261" s="123" t="str">
        <f t="shared" si="78"/>
        <v>0.00%-0.00%</v>
      </c>
      <c r="Z261" s="15"/>
      <c r="AA261" s="15"/>
      <c r="AB261" s="15"/>
      <c r="AC261" s="124"/>
      <c r="AD261" s="8">
        <f t="shared" si="87"/>
        <v>0</v>
      </c>
      <c r="AE261" s="17">
        <f t="shared" si="88"/>
        <v>24800</v>
      </c>
      <c r="AF261" s="18">
        <f t="shared" si="89"/>
        <v>0</v>
      </c>
      <c r="AG261" s="125">
        <f t="shared" si="90"/>
        <v>0</v>
      </c>
      <c r="AH261" s="20">
        <v>14</v>
      </c>
      <c r="AI261" s="20">
        <v>450</v>
      </c>
      <c r="AJ261" s="20"/>
      <c r="AK261" s="20">
        <v>688</v>
      </c>
      <c r="AL261" s="20">
        <f t="shared" si="91"/>
        <v>353288</v>
      </c>
      <c r="AM261" s="7">
        <v>3</v>
      </c>
      <c r="AN261" s="20"/>
      <c r="AO261" s="21"/>
      <c r="AP261" s="21"/>
      <c r="AQ261" s="5" t="s">
        <v>1724</v>
      </c>
      <c r="AR261" s="5" t="s">
        <v>69</v>
      </c>
      <c r="AW261" s="144" t="str">
        <f t="shared" si="76"/>
        <v>OK</v>
      </c>
      <c r="AX261" s="21" t="s">
        <v>3131</v>
      </c>
      <c r="AY261" s="21">
        <v>0</v>
      </c>
      <c r="AZ261" s="21"/>
      <c r="BA261" s="21"/>
    </row>
    <row r="262" spans="1:53" ht="20" customHeight="1">
      <c r="A262" s="86" t="s">
        <v>318</v>
      </c>
      <c r="B262" s="372" t="s">
        <v>2592</v>
      </c>
      <c r="C262" s="5" t="s">
        <v>51</v>
      </c>
      <c r="D262" s="5" t="s">
        <v>52</v>
      </c>
      <c r="E262" s="5" t="s">
        <v>1722</v>
      </c>
      <c r="F262" s="5" t="s">
        <v>1722</v>
      </c>
      <c r="G262" s="5" t="s">
        <v>1723</v>
      </c>
      <c r="H262" s="6">
        <v>44494</v>
      </c>
      <c r="I262" s="5" t="s">
        <v>198</v>
      </c>
      <c r="J262" s="5" t="s">
        <v>198</v>
      </c>
      <c r="K262" s="5" t="s">
        <v>199</v>
      </c>
      <c r="L262" s="7">
        <v>2</v>
      </c>
      <c r="M262" s="7">
        <v>3</v>
      </c>
      <c r="N262" s="8">
        <v>31231</v>
      </c>
      <c r="O262" s="121">
        <v>0.03</v>
      </c>
      <c r="P262" s="10">
        <f t="shared" si="81"/>
        <v>937</v>
      </c>
      <c r="Q262" s="121">
        <v>0</v>
      </c>
      <c r="R262" s="10">
        <f t="shared" si="82"/>
        <v>0</v>
      </c>
      <c r="S262" s="121">
        <f t="shared" si="83"/>
        <v>3.0002241362748552E-2</v>
      </c>
      <c r="T262" s="10">
        <f t="shared" si="84"/>
        <v>937</v>
      </c>
      <c r="U262" s="10">
        <f t="shared" si="85"/>
        <v>32168</v>
      </c>
      <c r="V262" s="11">
        <f t="shared" si="79"/>
        <v>32168</v>
      </c>
      <c r="W262" s="12">
        <f t="shared" si="86"/>
        <v>937</v>
      </c>
      <c r="X262" s="122">
        <f t="shared" si="80"/>
        <v>0.03</v>
      </c>
      <c r="Y262" s="123" t="str">
        <f t="shared" si="78"/>
        <v>2.40%-3.60%</v>
      </c>
      <c r="Z262" s="15"/>
      <c r="AA262" s="15"/>
      <c r="AB262" s="15"/>
      <c r="AC262" s="124"/>
      <c r="AD262" s="8">
        <f t="shared" si="87"/>
        <v>0</v>
      </c>
      <c r="AE262" s="17">
        <f t="shared" si="88"/>
        <v>32168</v>
      </c>
      <c r="AF262" s="18">
        <f t="shared" si="89"/>
        <v>937</v>
      </c>
      <c r="AG262" s="125">
        <f t="shared" si="90"/>
        <v>3.0002241362748538E-2</v>
      </c>
      <c r="AH262" s="20">
        <v>14</v>
      </c>
      <c r="AI262" s="20">
        <v>450</v>
      </c>
      <c r="AJ262" s="20">
        <v>1000</v>
      </c>
      <c r="AK262" s="20">
        <v>688</v>
      </c>
      <c r="AL262" s="20">
        <f t="shared" si="91"/>
        <v>468440</v>
      </c>
      <c r="AM262" s="7">
        <v>4</v>
      </c>
      <c r="AN262" s="20"/>
      <c r="AO262" s="21"/>
      <c r="AP262" s="21"/>
      <c r="AQ262" s="5" t="s">
        <v>1724</v>
      </c>
      <c r="AR262" s="5" t="s">
        <v>69</v>
      </c>
      <c r="AW262" s="144" t="str">
        <f t="shared" si="76"/>
        <v>OK</v>
      </c>
      <c r="AX262" s="21" t="s">
        <v>3131</v>
      </c>
      <c r="AY262" s="21" t="s">
        <v>3132</v>
      </c>
      <c r="AZ262" s="21"/>
      <c r="BA262" s="21"/>
    </row>
    <row r="263" spans="1:53" ht="20" customHeight="1">
      <c r="A263" s="86" t="s">
        <v>318</v>
      </c>
      <c r="B263" s="372" t="s">
        <v>2593</v>
      </c>
      <c r="C263" s="5" t="s">
        <v>51</v>
      </c>
      <c r="D263" s="5" t="s">
        <v>52</v>
      </c>
      <c r="E263" s="5" t="s">
        <v>1722</v>
      </c>
      <c r="F263" s="5" t="s">
        <v>1725</v>
      </c>
      <c r="G263" s="5" t="s">
        <v>1730</v>
      </c>
      <c r="H263" s="6">
        <v>44566</v>
      </c>
      <c r="I263" s="5" t="s">
        <v>1729</v>
      </c>
      <c r="J263" s="5" t="s">
        <v>1729</v>
      </c>
      <c r="K263" s="5" t="s">
        <v>61</v>
      </c>
      <c r="L263" s="7">
        <v>2</v>
      </c>
      <c r="M263" s="7">
        <v>3</v>
      </c>
      <c r="N263" s="8">
        <v>16814</v>
      </c>
      <c r="O263" s="121">
        <v>0.03</v>
      </c>
      <c r="P263" s="10">
        <f t="shared" si="81"/>
        <v>504</v>
      </c>
      <c r="Q263" s="121">
        <v>0</v>
      </c>
      <c r="R263" s="10">
        <f t="shared" si="82"/>
        <v>0</v>
      </c>
      <c r="S263" s="121">
        <f t="shared" si="83"/>
        <v>2.9975020815986679E-2</v>
      </c>
      <c r="T263" s="10">
        <f t="shared" si="84"/>
        <v>504</v>
      </c>
      <c r="U263" s="10">
        <f t="shared" si="85"/>
        <v>17318</v>
      </c>
      <c r="V263" s="11">
        <f t="shared" si="79"/>
        <v>17318</v>
      </c>
      <c r="W263" s="12">
        <f t="shared" si="86"/>
        <v>504</v>
      </c>
      <c r="X263" s="122">
        <f t="shared" si="80"/>
        <v>0.03</v>
      </c>
      <c r="Y263" s="123" t="str">
        <f t="shared" si="78"/>
        <v>2.40%-3.60%</v>
      </c>
      <c r="Z263" s="15"/>
      <c r="AA263" s="15"/>
      <c r="AB263" s="15"/>
      <c r="AC263" s="124"/>
      <c r="AD263" s="8">
        <f t="shared" si="87"/>
        <v>0</v>
      </c>
      <c r="AE263" s="17">
        <f t="shared" si="88"/>
        <v>17318</v>
      </c>
      <c r="AF263" s="18">
        <f t="shared" si="89"/>
        <v>504</v>
      </c>
      <c r="AG263" s="125">
        <f t="shared" si="90"/>
        <v>2.9975020815986575E-2</v>
      </c>
      <c r="AH263" s="20">
        <v>14</v>
      </c>
      <c r="AI263" s="20">
        <v>450</v>
      </c>
      <c r="AJ263" s="20"/>
      <c r="AK263" s="20">
        <v>688</v>
      </c>
      <c r="AL263" s="20">
        <f t="shared" si="91"/>
        <v>248540</v>
      </c>
      <c r="AM263" s="7">
        <v>1</v>
      </c>
      <c r="AN263" s="20"/>
      <c r="AO263" s="21"/>
      <c r="AP263" s="21"/>
      <c r="AQ263" s="5" t="s">
        <v>1724</v>
      </c>
      <c r="AR263" s="5" t="s">
        <v>69</v>
      </c>
      <c r="AW263" s="144" t="str">
        <f t="shared" si="76"/>
        <v>OK</v>
      </c>
      <c r="AX263" s="21" t="s">
        <v>3131</v>
      </c>
      <c r="AY263" s="21" t="s">
        <v>3132</v>
      </c>
      <c r="AZ263" s="21"/>
      <c r="BA263" s="21"/>
    </row>
    <row r="264" spans="1:53" ht="20" customHeight="1">
      <c r="A264" s="86" t="s">
        <v>318</v>
      </c>
      <c r="B264" s="372" t="s">
        <v>2594</v>
      </c>
      <c r="C264" s="5" t="s">
        <v>51</v>
      </c>
      <c r="D264" s="5" t="s">
        <v>52</v>
      </c>
      <c r="E264" s="5" t="s">
        <v>1722</v>
      </c>
      <c r="F264" s="5" t="s">
        <v>1731</v>
      </c>
      <c r="G264" s="5" t="s">
        <v>1730</v>
      </c>
      <c r="H264" s="6">
        <v>40735</v>
      </c>
      <c r="I264" s="5" t="s">
        <v>73</v>
      </c>
      <c r="J264" s="5" t="s">
        <v>73</v>
      </c>
      <c r="K264" s="5" t="s">
        <v>61</v>
      </c>
      <c r="L264" s="7">
        <v>2</v>
      </c>
      <c r="M264" s="7">
        <v>3</v>
      </c>
      <c r="N264" s="8">
        <v>19000</v>
      </c>
      <c r="O264" s="121">
        <v>2.5000000000000001E-2</v>
      </c>
      <c r="P264" s="10">
        <f t="shared" si="81"/>
        <v>475</v>
      </c>
      <c r="Q264" s="121">
        <v>0</v>
      </c>
      <c r="R264" s="10">
        <f t="shared" si="82"/>
        <v>0</v>
      </c>
      <c r="S264" s="121">
        <f t="shared" si="83"/>
        <v>2.5000000000000001E-2</v>
      </c>
      <c r="T264" s="10">
        <f t="shared" si="84"/>
        <v>475</v>
      </c>
      <c r="U264" s="10">
        <f t="shared" si="85"/>
        <v>19475</v>
      </c>
      <c r="V264" s="11">
        <f t="shared" si="79"/>
        <v>19475</v>
      </c>
      <c r="W264" s="12">
        <f t="shared" si="86"/>
        <v>475</v>
      </c>
      <c r="X264" s="122">
        <f t="shared" si="80"/>
        <v>2.5000000000000001E-2</v>
      </c>
      <c r="Y264" s="123" t="str">
        <f t="shared" si="78"/>
        <v>2.00%-3.00%</v>
      </c>
      <c r="Z264" s="15"/>
      <c r="AA264" s="15"/>
      <c r="AB264" s="15"/>
      <c r="AC264" s="124"/>
      <c r="AD264" s="8">
        <f t="shared" si="87"/>
        <v>0</v>
      </c>
      <c r="AE264" s="17">
        <f t="shared" si="88"/>
        <v>19475</v>
      </c>
      <c r="AF264" s="18">
        <f t="shared" si="89"/>
        <v>475</v>
      </c>
      <c r="AG264" s="125">
        <f t="shared" si="90"/>
        <v>2.4999999999999911E-2</v>
      </c>
      <c r="AH264" s="20">
        <v>14</v>
      </c>
      <c r="AI264" s="20">
        <v>450</v>
      </c>
      <c r="AJ264" s="20"/>
      <c r="AK264" s="20">
        <v>688</v>
      </c>
      <c r="AL264" s="20">
        <f t="shared" si="91"/>
        <v>278738</v>
      </c>
      <c r="AM264" s="7">
        <v>3</v>
      </c>
      <c r="AN264" s="20"/>
      <c r="AO264" s="21"/>
      <c r="AP264" s="21"/>
      <c r="AQ264" s="5" t="s">
        <v>1724</v>
      </c>
      <c r="AR264" s="5" t="s">
        <v>69</v>
      </c>
      <c r="AW264" s="144" t="str">
        <f t="shared" si="76"/>
        <v>OK</v>
      </c>
      <c r="AX264" s="21" t="s">
        <v>3135</v>
      </c>
      <c r="AY264" s="21" t="s">
        <v>3130</v>
      </c>
      <c r="AZ264" s="21"/>
      <c r="BA264" s="21"/>
    </row>
    <row r="265" spans="1:53" ht="20" customHeight="1">
      <c r="A265" s="86" t="s">
        <v>318</v>
      </c>
      <c r="B265" s="372" t="s">
        <v>2595</v>
      </c>
      <c r="C265" s="5" t="s">
        <v>51</v>
      </c>
      <c r="D265" s="5" t="s">
        <v>52</v>
      </c>
      <c r="E265" s="5" t="s">
        <v>1722</v>
      </c>
      <c r="F265" s="5" t="s">
        <v>1731</v>
      </c>
      <c r="G265" s="5" t="s">
        <v>1730</v>
      </c>
      <c r="H265" s="6">
        <v>39569</v>
      </c>
      <c r="I265" s="5" t="s">
        <v>198</v>
      </c>
      <c r="J265" s="5" t="s">
        <v>198</v>
      </c>
      <c r="K265" s="5" t="s">
        <v>199</v>
      </c>
      <c r="L265" s="7">
        <v>2</v>
      </c>
      <c r="M265" s="7">
        <v>3</v>
      </c>
      <c r="N265" s="8">
        <v>36462</v>
      </c>
      <c r="O265" s="121">
        <v>0.03</v>
      </c>
      <c r="P265" s="10">
        <f t="shared" si="81"/>
        <v>1094</v>
      </c>
      <c r="Q265" s="121">
        <v>0</v>
      </c>
      <c r="R265" s="10">
        <f t="shared" si="82"/>
        <v>0</v>
      </c>
      <c r="S265" s="121">
        <f t="shared" si="83"/>
        <v>3.0003839613844549E-2</v>
      </c>
      <c r="T265" s="10">
        <f t="shared" si="84"/>
        <v>1094</v>
      </c>
      <c r="U265" s="10">
        <f t="shared" si="85"/>
        <v>37556</v>
      </c>
      <c r="V265" s="11">
        <f t="shared" si="79"/>
        <v>37556</v>
      </c>
      <c r="W265" s="12">
        <f t="shared" si="86"/>
        <v>1094</v>
      </c>
      <c r="X265" s="122">
        <f t="shared" si="80"/>
        <v>0.03</v>
      </c>
      <c r="Y265" s="123" t="str">
        <f t="shared" si="78"/>
        <v>2.40%-3.60%</v>
      </c>
      <c r="Z265" s="15"/>
      <c r="AA265" s="15"/>
      <c r="AB265" s="15"/>
      <c r="AC265" s="124"/>
      <c r="AD265" s="8">
        <f t="shared" si="87"/>
        <v>0</v>
      </c>
      <c r="AE265" s="17">
        <f t="shared" si="88"/>
        <v>37556</v>
      </c>
      <c r="AF265" s="18">
        <f t="shared" si="89"/>
        <v>1094</v>
      </c>
      <c r="AG265" s="125">
        <f t="shared" si="90"/>
        <v>3.0003839613844452E-2</v>
      </c>
      <c r="AH265" s="20">
        <v>14</v>
      </c>
      <c r="AI265" s="20">
        <v>450</v>
      </c>
      <c r="AJ265" s="20">
        <v>1000</v>
      </c>
      <c r="AK265" s="20">
        <v>688</v>
      </c>
      <c r="AL265" s="20">
        <f t="shared" si="91"/>
        <v>543872</v>
      </c>
      <c r="AM265" s="7">
        <v>4</v>
      </c>
      <c r="AN265" s="20"/>
      <c r="AO265" s="21"/>
      <c r="AP265" s="21"/>
      <c r="AQ265" s="5" t="s">
        <v>1724</v>
      </c>
      <c r="AR265" s="5" t="s">
        <v>69</v>
      </c>
      <c r="AW265" s="144" t="str">
        <f t="shared" si="76"/>
        <v>OK</v>
      </c>
      <c r="AX265" s="21" t="s">
        <v>3129</v>
      </c>
      <c r="AY265" s="21" t="s">
        <v>3132</v>
      </c>
      <c r="AZ265" s="21"/>
      <c r="BA265" s="21"/>
    </row>
    <row r="266" spans="1:53" ht="20" customHeight="1">
      <c r="A266" s="86" t="s">
        <v>318</v>
      </c>
      <c r="B266" s="372" t="s">
        <v>2596</v>
      </c>
      <c r="C266" s="5" t="s">
        <v>1732</v>
      </c>
      <c r="D266" s="5" t="s">
        <v>52</v>
      </c>
      <c r="E266" s="5" t="s">
        <v>1722</v>
      </c>
      <c r="F266" s="5" t="s">
        <v>1722</v>
      </c>
      <c r="G266" s="5" t="s">
        <v>1730</v>
      </c>
      <c r="H266" s="6">
        <v>45902</v>
      </c>
      <c r="I266" s="5" t="s">
        <v>1733</v>
      </c>
      <c r="J266" s="5" t="s">
        <v>1733</v>
      </c>
      <c r="K266" s="5" t="s">
        <v>84</v>
      </c>
      <c r="L266" s="7">
        <v>2</v>
      </c>
      <c r="M266" s="7">
        <v>3</v>
      </c>
      <c r="N266" s="8">
        <v>9000</v>
      </c>
      <c r="O266" s="121">
        <v>0</v>
      </c>
      <c r="P266" s="10">
        <f t="shared" si="81"/>
        <v>0</v>
      </c>
      <c r="Q266" s="121">
        <v>0</v>
      </c>
      <c r="R266" s="10">
        <f t="shared" si="82"/>
        <v>0</v>
      </c>
      <c r="S266" s="121">
        <f t="shared" si="83"/>
        <v>0</v>
      </c>
      <c r="T266" s="10">
        <f t="shared" si="84"/>
        <v>0</v>
      </c>
      <c r="U266" s="10">
        <f t="shared" si="85"/>
        <v>9000</v>
      </c>
      <c r="V266" s="11">
        <f t="shared" si="79"/>
        <v>9000</v>
      </c>
      <c r="W266" s="12">
        <f t="shared" si="86"/>
        <v>0</v>
      </c>
      <c r="X266" s="122">
        <f t="shared" si="80"/>
        <v>0</v>
      </c>
      <c r="Y266" s="123" t="str">
        <f t="shared" si="78"/>
        <v>0.00%-0.00%</v>
      </c>
      <c r="Z266" s="15"/>
      <c r="AA266" s="15"/>
      <c r="AB266" s="15"/>
      <c r="AC266" s="124"/>
      <c r="AD266" s="8">
        <f t="shared" si="87"/>
        <v>0</v>
      </c>
      <c r="AE266" s="17">
        <f t="shared" si="88"/>
        <v>9000</v>
      </c>
      <c r="AF266" s="18">
        <f t="shared" si="89"/>
        <v>0</v>
      </c>
      <c r="AG266" s="125">
        <f t="shared" si="90"/>
        <v>0</v>
      </c>
      <c r="AH266" s="20">
        <v>14</v>
      </c>
      <c r="AI266" s="20">
        <v>780</v>
      </c>
      <c r="AJ266" s="20"/>
      <c r="AK266" s="20">
        <v>1210</v>
      </c>
      <c r="AL266" s="20">
        <f t="shared" si="91"/>
        <v>136570</v>
      </c>
      <c r="AM266" s="7" t="e">
        <v>#N/A</v>
      </c>
      <c r="AN266" s="20"/>
      <c r="AO266" s="21"/>
      <c r="AP266" s="21"/>
      <c r="AQ266" s="5" t="s">
        <v>1724</v>
      </c>
      <c r="AR266" s="5" t="s">
        <v>69</v>
      </c>
      <c r="AW266" s="144" t="str">
        <f t="shared" ref="AW266:AW329" si="92">_xlfn.LET(_xlpm.actual,X266,_xlpm.low,VALUE(_xlfn.TEXTBEFORE(Y266,"-")),_xlpm.high,VALUE(_xlfn.TEXTAFTER(Y266,"-")),IF(AND(_xlpm.actual=0,OR(_xlpm.low&lt;&gt;0,_xlpm.high&lt;&gt;0)),"0 increase",IF(_xlpm.actual&gt;_xlpm.high*1.2,"&gt;20",IF(_xlpm.actual&lt;_xlpm.low*0.8,"&lt;20","OK"))))</f>
        <v>OK</v>
      </c>
      <c r="AX266" s="21" t="s">
        <v>3131</v>
      </c>
      <c r="AY266" s="21" t="s">
        <v>3134</v>
      </c>
      <c r="AZ266" s="21"/>
      <c r="BA266" s="21"/>
    </row>
    <row r="267" spans="1:53" ht="20" customHeight="1">
      <c r="A267" s="86" t="s">
        <v>318</v>
      </c>
      <c r="B267" s="372" t="s">
        <v>2597</v>
      </c>
      <c r="C267" s="5" t="s">
        <v>51</v>
      </c>
      <c r="D267" s="5" t="s">
        <v>52</v>
      </c>
      <c r="E267" s="5" t="s">
        <v>1722</v>
      </c>
      <c r="F267" s="5" t="s">
        <v>1731</v>
      </c>
      <c r="G267" s="5" t="s">
        <v>1734</v>
      </c>
      <c r="H267" s="6">
        <v>43528</v>
      </c>
      <c r="I267" s="5" t="s">
        <v>73</v>
      </c>
      <c r="J267" s="5" t="s">
        <v>73</v>
      </c>
      <c r="K267" s="5" t="s">
        <v>61</v>
      </c>
      <c r="L267" s="7">
        <v>2</v>
      </c>
      <c r="M267" s="7">
        <v>4</v>
      </c>
      <c r="N267" s="8">
        <v>20139</v>
      </c>
      <c r="O267" s="121">
        <v>0.03</v>
      </c>
      <c r="P267" s="10">
        <f t="shared" si="81"/>
        <v>604</v>
      </c>
      <c r="Q267" s="121">
        <v>0</v>
      </c>
      <c r="R267" s="10">
        <f t="shared" si="82"/>
        <v>0</v>
      </c>
      <c r="S267" s="121">
        <f t="shared" si="83"/>
        <v>2.9991558667262525E-2</v>
      </c>
      <c r="T267" s="10">
        <f t="shared" si="84"/>
        <v>604</v>
      </c>
      <c r="U267" s="10">
        <f t="shared" si="85"/>
        <v>20743</v>
      </c>
      <c r="V267" s="11">
        <f t="shared" si="79"/>
        <v>20743</v>
      </c>
      <c r="W267" s="12">
        <f t="shared" si="86"/>
        <v>604</v>
      </c>
      <c r="X267" s="122">
        <f t="shared" si="80"/>
        <v>0.03</v>
      </c>
      <c r="Y267" s="123" t="str">
        <f t="shared" si="78"/>
        <v>2.40%-3.60%</v>
      </c>
      <c r="Z267" s="15"/>
      <c r="AA267" s="15"/>
      <c r="AB267" s="15"/>
      <c r="AC267" s="124"/>
      <c r="AD267" s="8">
        <f t="shared" si="87"/>
        <v>0</v>
      </c>
      <c r="AE267" s="17">
        <f t="shared" si="88"/>
        <v>20743</v>
      </c>
      <c r="AF267" s="18">
        <f t="shared" si="89"/>
        <v>604</v>
      </c>
      <c r="AG267" s="125">
        <f t="shared" si="90"/>
        <v>2.9991558667262552E-2</v>
      </c>
      <c r="AH267" s="20">
        <v>14</v>
      </c>
      <c r="AI267" s="20">
        <v>4350</v>
      </c>
      <c r="AJ267" s="20"/>
      <c r="AK267" s="20">
        <v>688</v>
      </c>
      <c r="AL267" s="20">
        <f t="shared" si="91"/>
        <v>343290</v>
      </c>
      <c r="AM267" s="7" t="e">
        <v>#N/A</v>
      </c>
      <c r="AN267" s="20"/>
      <c r="AO267" s="21"/>
      <c r="AP267" s="21"/>
      <c r="AQ267" s="5" t="s">
        <v>1724</v>
      </c>
      <c r="AR267" s="5" t="s">
        <v>69</v>
      </c>
      <c r="AW267" s="144" t="str">
        <f t="shared" si="92"/>
        <v>OK</v>
      </c>
      <c r="AX267" s="21" t="s">
        <v>3133</v>
      </c>
      <c r="AY267" s="21" t="s">
        <v>3136</v>
      </c>
      <c r="AZ267" s="21"/>
      <c r="BA267" s="21"/>
    </row>
    <row r="268" spans="1:53" ht="20" customHeight="1">
      <c r="A268" s="86" t="s">
        <v>318</v>
      </c>
      <c r="B268" s="372" t="s">
        <v>2598</v>
      </c>
      <c r="C268" s="5" t="s">
        <v>51</v>
      </c>
      <c r="D268" s="5" t="s">
        <v>52</v>
      </c>
      <c r="E268" s="5" t="s">
        <v>1722</v>
      </c>
      <c r="F268" s="5" t="s">
        <v>1731</v>
      </c>
      <c r="G268" s="5" t="s">
        <v>1734</v>
      </c>
      <c r="H268" s="6">
        <v>39666</v>
      </c>
      <c r="I268" s="5" t="s">
        <v>266</v>
      </c>
      <c r="J268" s="5" t="s">
        <v>266</v>
      </c>
      <c r="K268" s="5" t="s">
        <v>56</v>
      </c>
      <c r="L268" s="7">
        <v>2</v>
      </c>
      <c r="M268" s="7">
        <v>4</v>
      </c>
      <c r="N268" s="8">
        <v>25900</v>
      </c>
      <c r="O268" s="121">
        <v>0.03</v>
      </c>
      <c r="P268" s="10">
        <f t="shared" si="81"/>
        <v>777</v>
      </c>
      <c r="Q268" s="121">
        <v>0</v>
      </c>
      <c r="R268" s="10">
        <f t="shared" si="82"/>
        <v>0</v>
      </c>
      <c r="S268" s="121">
        <f t="shared" si="83"/>
        <v>0.03</v>
      </c>
      <c r="T268" s="10">
        <f t="shared" si="84"/>
        <v>777</v>
      </c>
      <c r="U268" s="10">
        <f t="shared" si="85"/>
        <v>26677</v>
      </c>
      <c r="V268" s="11">
        <f t="shared" si="79"/>
        <v>26677</v>
      </c>
      <c r="W268" s="12">
        <f t="shared" si="86"/>
        <v>777</v>
      </c>
      <c r="X268" s="122">
        <f t="shared" si="80"/>
        <v>0.03</v>
      </c>
      <c r="Y268" s="123" t="str">
        <f t="shared" si="78"/>
        <v>2.40%-3.60%</v>
      </c>
      <c r="Z268" s="15"/>
      <c r="AA268" s="15"/>
      <c r="AB268" s="15"/>
      <c r="AC268" s="124"/>
      <c r="AD268" s="8">
        <f t="shared" si="87"/>
        <v>0</v>
      </c>
      <c r="AE268" s="17">
        <f t="shared" si="88"/>
        <v>26677</v>
      </c>
      <c r="AF268" s="18">
        <f t="shared" si="89"/>
        <v>777</v>
      </c>
      <c r="AG268" s="125">
        <f t="shared" si="90"/>
        <v>3.0000000000000027E-2</v>
      </c>
      <c r="AH268" s="20">
        <v>14</v>
      </c>
      <c r="AI268" s="20">
        <v>4700</v>
      </c>
      <c r="AJ268" s="20"/>
      <c r="AK268" s="20">
        <v>688</v>
      </c>
      <c r="AL268" s="20">
        <f t="shared" si="91"/>
        <v>430566</v>
      </c>
      <c r="AM268" s="7">
        <v>3</v>
      </c>
      <c r="AN268" s="20"/>
      <c r="AO268" s="21"/>
      <c r="AP268" s="21"/>
      <c r="AQ268" s="5" t="s">
        <v>1724</v>
      </c>
      <c r="AR268" s="5" t="s">
        <v>69</v>
      </c>
      <c r="AW268" s="144" t="str">
        <f t="shared" si="92"/>
        <v>OK</v>
      </c>
      <c r="AX268" s="21" t="s">
        <v>3129</v>
      </c>
      <c r="AY268" s="21" t="s">
        <v>3136</v>
      </c>
      <c r="AZ268" s="21"/>
      <c r="BA268" s="21"/>
    </row>
    <row r="269" spans="1:53" ht="20" customHeight="1">
      <c r="A269" s="86" t="s">
        <v>318</v>
      </c>
      <c r="B269" s="372" t="s">
        <v>2599</v>
      </c>
      <c r="C269" s="5" t="s">
        <v>51</v>
      </c>
      <c r="D269" s="5" t="s">
        <v>52</v>
      </c>
      <c r="E269" s="5" t="s">
        <v>1722</v>
      </c>
      <c r="F269" s="5" t="s">
        <v>1731</v>
      </c>
      <c r="G269" s="5" t="s">
        <v>1734</v>
      </c>
      <c r="H269" s="6">
        <v>39664</v>
      </c>
      <c r="I269" s="5" t="s">
        <v>1735</v>
      </c>
      <c r="J269" s="5" t="s">
        <v>1735</v>
      </c>
      <c r="K269" s="5" t="s">
        <v>199</v>
      </c>
      <c r="L269" s="7">
        <v>2</v>
      </c>
      <c r="M269" s="7">
        <v>5</v>
      </c>
      <c r="N269" s="8">
        <v>31000</v>
      </c>
      <c r="O269" s="121">
        <v>0.06</v>
      </c>
      <c r="P269" s="10">
        <f t="shared" si="81"/>
        <v>1860</v>
      </c>
      <c r="Q269" s="121">
        <v>7.7799999999999994E-2</v>
      </c>
      <c r="R269" s="10">
        <f t="shared" si="82"/>
        <v>2412</v>
      </c>
      <c r="S269" s="121">
        <f t="shared" si="83"/>
        <v>0.13780645161290322</v>
      </c>
      <c r="T269" s="10">
        <f t="shared" si="84"/>
        <v>4272</v>
      </c>
      <c r="U269" s="10">
        <f t="shared" si="85"/>
        <v>35272</v>
      </c>
      <c r="V269" s="11">
        <f t="shared" si="79"/>
        <v>35272</v>
      </c>
      <c r="W269" s="12">
        <f t="shared" si="86"/>
        <v>4272</v>
      </c>
      <c r="X269" s="122">
        <f t="shared" si="80"/>
        <v>0.13780000000000001</v>
      </c>
      <c r="Y269" s="123" t="str">
        <f t="shared" si="78"/>
        <v>11.02%-16.54%</v>
      </c>
      <c r="Z269" s="15"/>
      <c r="AA269" s="15"/>
      <c r="AB269" s="15"/>
      <c r="AC269" s="124"/>
      <c r="AD269" s="8">
        <f t="shared" si="87"/>
        <v>0</v>
      </c>
      <c r="AE269" s="17">
        <f t="shared" si="88"/>
        <v>35272</v>
      </c>
      <c r="AF269" s="18">
        <f t="shared" si="89"/>
        <v>4272</v>
      </c>
      <c r="AG269" s="125">
        <f t="shared" si="90"/>
        <v>0.13780645161290317</v>
      </c>
      <c r="AH269" s="20">
        <v>14</v>
      </c>
      <c r="AI269" s="20">
        <v>4250</v>
      </c>
      <c r="AJ269" s="20">
        <v>1000</v>
      </c>
      <c r="AK269" s="20">
        <v>688</v>
      </c>
      <c r="AL269" s="20">
        <f t="shared" si="91"/>
        <v>557496</v>
      </c>
      <c r="AM269" s="7">
        <v>5</v>
      </c>
      <c r="AN269" s="20"/>
      <c r="AO269" s="21"/>
      <c r="AP269" s="21"/>
      <c r="AQ269" s="5" t="s">
        <v>1724</v>
      </c>
      <c r="AR269" s="5" t="s">
        <v>69</v>
      </c>
      <c r="AW269" s="144" t="str">
        <f t="shared" si="92"/>
        <v>OK</v>
      </c>
      <c r="AX269" s="21" t="s">
        <v>3129</v>
      </c>
      <c r="AY269" s="21">
        <v>0</v>
      </c>
      <c r="AZ269" s="21"/>
      <c r="BA269" s="21"/>
    </row>
    <row r="270" spans="1:53" ht="20" customHeight="1">
      <c r="A270" s="86" t="s">
        <v>318</v>
      </c>
      <c r="B270" s="372" t="s">
        <v>2600</v>
      </c>
      <c r="C270" s="5" t="s">
        <v>51</v>
      </c>
      <c r="D270" s="5" t="s">
        <v>52</v>
      </c>
      <c r="E270" s="5" t="s">
        <v>1722</v>
      </c>
      <c r="F270" s="5" t="s">
        <v>1731</v>
      </c>
      <c r="G270" s="5" t="s">
        <v>1734</v>
      </c>
      <c r="H270" s="6">
        <v>38565</v>
      </c>
      <c r="I270" s="5" t="s">
        <v>266</v>
      </c>
      <c r="J270" s="5" t="s">
        <v>266</v>
      </c>
      <c r="K270" s="5" t="s">
        <v>56</v>
      </c>
      <c r="L270" s="7">
        <v>2</v>
      </c>
      <c r="M270" s="7">
        <v>3</v>
      </c>
      <c r="N270" s="8">
        <v>28200</v>
      </c>
      <c r="O270" s="121">
        <v>0</v>
      </c>
      <c r="P270" s="10">
        <f t="shared" si="81"/>
        <v>0</v>
      </c>
      <c r="Q270" s="121">
        <v>0</v>
      </c>
      <c r="R270" s="10">
        <f t="shared" si="82"/>
        <v>0</v>
      </c>
      <c r="S270" s="121">
        <f t="shared" si="83"/>
        <v>0</v>
      </c>
      <c r="T270" s="10">
        <f t="shared" si="84"/>
        <v>0</v>
      </c>
      <c r="U270" s="10">
        <f t="shared" si="85"/>
        <v>28200</v>
      </c>
      <c r="V270" s="11">
        <f t="shared" si="79"/>
        <v>28200</v>
      </c>
      <c r="W270" s="12">
        <f t="shared" si="86"/>
        <v>0</v>
      </c>
      <c r="X270" s="122">
        <f t="shared" si="80"/>
        <v>0</v>
      </c>
      <c r="Y270" s="123" t="str">
        <f t="shared" si="78"/>
        <v>0.00%-0.00%</v>
      </c>
      <c r="Z270" s="15"/>
      <c r="AA270" s="15"/>
      <c r="AB270" s="15"/>
      <c r="AC270" s="124"/>
      <c r="AD270" s="8">
        <f t="shared" si="87"/>
        <v>0</v>
      </c>
      <c r="AE270" s="17">
        <f t="shared" si="88"/>
        <v>28200</v>
      </c>
      <c r="AF270" s="18">
        <f t="shared" si="89"/>
        <v>0</v>
      </c>
      <c r="AG270" s="125">
        <f t="shared" si="90"/>
        <v>0</v>
      </c>
      <c r="AH270" s="20">
        <v>14</v>
      </c>
      <c r="AI270" s="20">
        <v>4250</v>
      </c>
      <c r="AJ270" s="20"/>
      <c r="AK270" s="20">
        <v>688</v>
      </c>
      <c r="AL270" s="20">
        <f t="shared" si="91"/>
        <v>446488</v>
      </c>
      <c r="AM270" s="7">
        <v>5</v>
      </c>
      <c r="AN270" s="20"/>
      <c r="AO270" s="21"/>
      <c r="AP270" s="21"/>
      <c r="AQ270" s="5" t="s">
        <v>1724</v>
      </c>
      <c r="AR270" s="5" t="s">
        <v>69</v>
      </c>
      <c r="AW270" s="144" t="str">
        <f t="shared" si="92"/>
        <v>OK</v>
      </c>
      <c r="AX270" s="21" t="s">
        <v>3129</v>
      </c>
      <c r="AY270" s="21" t="s">
        <v>3134</v>
      </c>
      <c r="AZ270" s="21"/>
      <c r="BA270" s="21"/>
    </row>
    <row r="271" spans="1:53" ht="20" customHeight="1">
      <c r="A271" s="86" t="s">
        <v>318</v>
      </c>
      <c r="B271" s="372" t="s">
        <v>2601</v>
      </c>
      <c r="C271" s="5" t="s">
        <v>51</v>
      </c>
      <c r="D271" s="5" t="s">
        <v>52</v>
      </c>
      <c r="E271" s="5" t="s">
        <v>1722</v>
      </c>
      <c r="F271" s="5" t="s">
        <v>1731</v>
      </c>
      <c r="G271" s="5" t="s">
        <v>1734</v>
      </c>
      <c r="H271" s="6">
        <v>36839</v>
      </c>
      <c r="I271" s="5" t="s">
        <v>198</v>
      </c>
      <c r="J271" s="5" t="s">
        <v>1736</v>
      </c>
      <c r="K271" s="5" t="s">
        <v>199</v>
      </c>
      <c r="L271" s="7">
        <v>2</v>
      </c>
      <c r="M271" s="7">
        <v>4</v>
      </c>
      <c r="N271" s="8">
        <v>42200</v>
      </c>
      <c r="O271" s="121">
        <v>3.7500000000000006E-2</v>
      </c>
      <c r="P271" s="10">
        <f t="shared" si="81"/>
        <v>1583</v>
      </c>
      <c r="Q271" s="121">
        <v>1.55E-2</v>
      </c>
      <c r="R271" s="10">
        <f t="shared" si="82"/>
        <v>654</v>
      </c>
      <c r="S271" s="121">
        <f t="shared" si="83"/>
        <v>5.3009478672985784E-2</v>
      </c>
      <c r="T271" s="10">
        <f t="shared" si="84"/>
        <v>2237</v>
      </c>
      <c r="U271" s="10">
        <f t="shared" si="85"/>
        <v>44437</v>
      </c>
      <c r="V271" s="11">
        <f t="shared" si="79"/>
        <v>44437</v>
      </c>
      <c r="W271" s="12">
        <f t="shared" si="86"/>
        <v>2237</v>
      </c>
      <c r="X271" s="122">
        <f t="shared" si="80"/>
        <v>5.2999999999999999E-2</v>
      </c>
      <c r="Y271" s="123" t="str">
        <f t="shared" si="78"/>
        <v>4.24%-6.36%</v>
      </c>
      <c r="Z271" s="15"/>
      <c r="AA271" s="15"/>
      <c r="AB271" s="15"/>
      <c r="AC271" s="124"/>
      <c r="AD271" s="8">
        <f t="shared" si="87"/>
        <v>0</v>
      </c>
      <c r="AE271" s="17">
        <f t="shared" si="88"/>
        <v>44437</v>
      </c>
      <c r="AF271" s="18">
        <f t="shared" si="89"/>
        <v>2237</v>
      </c>
      <c r="AG271" s="125">
        <f t="shared" si="90"/>
        <v>5.3009478672985777E-2</v>
      </c>
      <c r="AH271" s="20">
        <v>14</v>
      </c>
      <c r="AI271" s="20">
        <v>4250</v>
      </c>
      <c r="AJ271" s="20">
        <v>1000</v>
      </c>
      <c r="AK271" s="20">
        <v>688</v>
      </c>
      <c r="AL271" s="20">
        <f t="shared" si="91"/>
        <v>685806</v>
      </c>
      <c r="AM271" s="7">
        <v>3</v>
      </c>
      <c r="AN271" s="20"/>
      <c r="AO271" s="21"/>
      <c r="AP271" s="21"/>
      <c r="AQ271" s="5" t="s">
        <v>1724</v>
      </c>
      <c r="AR271" s="5" t="s">
        <v>69</v>
      </c>
      <c r="AW271" s="144" t="str">
        <f t="shared" si="92"/>
        <v>OK</v>
      </c>
      <c r="AX271" s="21" t="s">
        <v>3139</v>
      </c>
      <c r="AY271" s="21" t="s">
        <v>3130</v>
      </c>
      <c r="AZ271" s="21"/>
      <c r="BA271" s="21"/>
    </row>
    <row r="272" spans="1:53" ht="20" customHeight="1">
      <c r="A272" s="86" t="s">
        <v>318</v>
      </c>
      <c r="B272" s="371" t="s">
        <v>2602</v>
      </c>
      <c r="C272" s="151" t="s">
        <v>51</v>
      </c>
      <c r="D272" s="151" t="s">
        <v>52</v>
      </c>
      <c r="E272" s="151" t="s">
        <v>1753</v>
      </c>
      <c r="F272" s="151" t="s">
        <v>1738</v>
      </c>
      <c r="G272" s="151" t="s">
        <v>1739</v>
      </c>
      <c r="H272" s="152">
        <v>40653</v>
      </c>
      <c r="I272" s="151" t="s">
        <v>292</v>
      </c>
      <c r="J272" s="151" t="s">
        <v>1740</v>
      </c>
      <c r="K272" s="151" t="s">
        <v>294</v>
      </c>
      <c r="L272" s="153">
        <v>1</v>
      </c>
      <c r="M272" s="153">
        <v>3</v>
      </c>
      <c r="N272" s="171">
        <v>48000</v>
      </c>
      <c r="O272" s="155">
        <v>4.5025672433819608E-2</v>
      </c>
      <c r="P272" s="172">
        <f t="shared" si="81"/>
        <v>2161</v>
      </c>
      <c r="Q272" s="155">
        <v>0</v>
      </c>
      <c r="R272" s="172">
        <f t="shared" si="82"/>
        <v>0</v>
      </c>
      <c r="S272" s="155">
        <f t="shared" si="83"/>
        <v>4.5020833333333336E-2</v>
      </c>
      <c r="T272" s="172">
        <f t="shared" si="84"/>
        <v>2161</v>
      </c>
      <c r="U272" s="172">
        <f t="shared" si="85"/>
        <v>50161</v>
      </c>
      <c r="V272" s="173">
        <v>52053</v>
      </c>
      <c r="W272" s="174">
        <f t="shared" si="86"/>
        <v>4053</v>
      </c>
      <c r="X272" s="159">
        <f t="shared" si="80"/>
        <v>8.4400000000000003E-2</v>
      </c>
      <c r="Y272" s="160" t="str">
        <f t="shared" si="78"/>
        <v>3.60%-5.40%</v>
      </c>
      <c r="Z272" s="175"/>
      <c r="AA272" s="175"/>
      <c r="AB272" s="175"/>
      <c r="AC272" s="162"/>
      <c r="AD272" s="171">
        <f t="shared" si="87"/>
        <v>0</v>
      </c>
      <c r="AE272" s="176">
        <f t="shared" si="88"/>
        <v>52053</v>
      </c>
      <c r="AF272" s="164">
        <f t="shared" si="89"/>
        <v>4053</v>
      </c>
      <c r="AG272" s="165">
        <f t="shared" si="90"/>
        <v>8.4437499999999943E-2</v>
      </c>
      <c r="AH272" s="166">
        <v>16</v>
      </c>
      <c r="AI272" s="166">
        <v>450</v>
      </c>
      <c r="AJ272" s="166">
        <v>5000</v>
      </c>
      <c r="AK272" s="166">
        <v>0</v>
      </c>
      <c r="AL272" s="166">
        <f t="shared" si="91"/>
        <v>898248</v>
      </c>
      <c r="AM272" s="153">
        <v>3</v>
      </c>
      <c r="AN272" s="166"/>
      <c r="AO272" s="167"/>
      <c r="AP272" s="167"/>
      <c r="AQ272" s="151" t="s">
        <v>1741</v>
      </c>
      <c r="AR272" s="151" t="s">
        <v>124</v>
      </c>
      <c r="AW272" s="144" t="str">
        <f t="shared" si="92"/>
        <v>&gt;20</v>
      </c>
      <c r="AX272" s="21" t="s">
        <v>3135</v>
      </c>
      <c r="AY272" s="21" t="s">
        <v>3143</v>
      </c>
      <c r="AZ272" s="21"/>
      <c r="BA272" s="21"/>
    </row>
    <row r="273" spans="1:53" ht="20" customHeight="1">
      <c r="A273" s="86" t="s">
        <v>318</v>
      </c>
      <c r="B273" s="371" t="s">
        <v>2603</v>
      </c>
      <c r="C273" s="151" t="s">
        <v>51</v>
      </c>
      <c r="D273" s="151" t="s">
        <v>52</v>
      </c>
      <c r="E273" s="151" t="s">
        <v>1753</v>
      </c>
      <c r="F273" s="151" t="s">
        <v>1742</v>
      </c>
      <c r="G273" s="151" t="s">
        <v>1743</v>
      </c>
      <c r="H273" s="152">
        <v>38473</v>
      </c>
      <c r="I273" s="151" t="s">
        <v>292</v>
      </c>
      <c r="J273" s="151" t="s">
        <v>1744</v>
      </c>
      <c r="K273" s="151" t="s">
        <v>294</v>
      </c>
      <c r="L273" s="153">
        <v>1</v>
      </c>
      <c r="M273" s="153">
        <v>3</v>
      </c>
      <c r="N273" s="171">
        <v>58500</v>
      </c>
      <c r="O273" s="155">
        <v>2.8849251159320615E-2</v>
      </c>
      <c r="P273" s="172">
        <f t="shared" si="81"/>
        <v>1688</v>
      </c>
      <c r="Q273" s="155">
        <v>0</v>
      </c>
      <c r="R273" s="172">
        <f t="shared" si="82"/>
        <v>0</v>
      </c>
      <c r="S273" s="155">
        <f t="shared" si="83"/>
        <v>2.8854700854700856E-2</v>
      </c>
      <c r="T273" s="172">
        <f t="shared" si="84"/>
        <v>1688</v>
      </c>
      <c r="U273" s="172">
        <f t="shared" si="85"/>
        <v>60188</v>
      </c>
      <c r="V273" s="173">
        <v>58500</v>
      </c>
      <c r="W273" s="174">
        <f t="shared" si="86"/>
        <v>0</v>
      </c>
      <c r="X273" s="159">
        <f t="shared" si="80"/>
        <v>0</v>
      </c>
      <c r="Y273" s="160" t="str">
        <f t="shared" si="78"/>
        <v>2.31%-3.46%</v>
      </c>
      <c r="Z273" s="175"/>
      <c r="AA273" s="175"/>
      <c r="AB273" s="175"/>
      <c r="AC273" s="162"/>
      <c r="AD273" s="171">
        <f t="shared" si="87"/>
        <v>0</v>
      </c>
      <c r="AE273" s="176">
        <f t="shared" si="88"/>
        <v>58500</v>
      </c>
      <c r="AF273" s="164">
        <f t="shared" si="89"/>
        <v>0</v>
      </c>
      <c r="AG273" s="165">
        <f t="shared" si="90"/>
        <v>0</v>
      </c>
      <c r="AH273" s="166">
        <v>16</v>
      </c>
      <c r="AI273" s="166">
        <v>3450</v>
      </c>
      <c r="AJ273" s="166">
        <v>5000</v>
      </c>
      <c r="AK273" s="166">
        <v>0</v>
      </c>
      <c r="AL273" s="166">
        <f t="shared" si="91"/>
        <v>1037400</v>
      </c>
      <c r="AM273" s="153">
        <v>3</v>
      </c>
      <c r="AN273" s="166"/>
      <c r="AO273" s="167"/>
      <c r="AP273" s="167"/>
      <c r="AQ273" s="151" t="s">
        <v>1741</v>
      </c>
      <c r="AR273" s="151" t="s">
        <v>124</v>
      </c>
      <c r="AW273" s="144" t="str">
        <f t="shared" si="92"/>
        <v>0 increase</v>
      </c>
      <c r="AX273" s="21" t="s">
        <v>3139</v>
      </c>
      <c r="AY273" s="21" t="s">
        <v>3143</v>
      </c>
      <c r="AZ273" s="21"/>
      <c r="BA273" s="21"/>
    </row>
    <row r="274" spans="1:53" ht="20" customHeight="1">
      <c r="A274" s="86" t="s">
        <v>318</v>
      </c>
      <c r="B274" s="371" t="s">
        <v>2604</v>
      </c>
      <c r="C274" s="151" t="s">
        <v>51</v>
      </c>
      <c r="D274" s="151" t="s">
        <v>52</v>
      </c>
      <c r="E274" s="151" t="s">
        <v>1753</v>
      </c>
      <c r="F274" s="151" t="s">
        <v>1745</v>
      </c>
      <c r="G274" s="151" t="s">
        <v>1739</v>
      </c>
      <c r="H274" s="152">
        <v>39314</v>
      </c>
      <c r="I274" s="151" t="s">
        <v>198</v>
      </c>
      <c r="J274" s="151" t="s">
        <v>1746</v>
      </c>
      <c r="K274" s="151" t="s">
        <v>199</v>
      </c>
      <c r="L274" s="153">
        <v>2</v>
      </c>
      <c r="M274" s="153">
        <v>3</v>
      </c>
      <c r="N274" s="171">
        <v>55950</v>
      </c>
      <c r="O274" s="155">
        <v>0</v>
      </c>
      <c r="P274" s="172">
        <f t="shared" si="81"/>
        <v>0</v>
      </c>
      <c r="Q274" s="155">
        <v>0</v>
      </c>
      <c r="R274" s="172">
        <f t="shared" si="82"/>
        <v>0</v>
      </c>
      <c r="S274" s="155">
        <f t="shared" si="83"/>
        <v>0</v>
      </c>
      <c r="T274" s="172">
        <f t="shared" si="84"/>
        <v>0</v>
      </c>
      <c r="U274" s="172">
        <f t="shared" si="85"/>
        <v>55950</v>
      </c>
      <c r="V274" s="173">
        <f t="shared" ref="V274" si="93">U274</f>
        <v>55950</v>
      </c>
      <c r="W274" s="174">
        <f t="shared" si="86"/>
        <v>0</v>
      </c>
      <c r="X274" s="159">
        <f t="shared" si="80"/>
        <v>0</v>
      </c>
      <c r="Y274" s="160" t="str">
        <f t="shared" si="78"/>
        <v>0.00%-0.00%</v>
      </c>
      <c r="Z274" s="175"/>
      <c r="AA274" s="175"/>
      <c r="AB274" s="175"/>
      <c r="AC274" s="162"/>
      <c r="AD274" s="171">
        <f t="shared" si="87"/>
        <v>0</v>
      </c>
      <c r="AE274" s="176">
        <f t="shared" si="88"/>
        <v>55950</v>
      </c>
      <c r="AF274" s="164">
        <f t="shared" si="89"/>
        <v>0</v>
      </c>
      <c r="AG274" s="165">
        <f t="shared" si="90"/>
        <v>0</v>
      </c>
      <c r="AH274" s="166">
        <v>14</v>
      </c>
      <c r="AI274" s="166">
        <v>450</v>
      </c>
      <c r="AJ274" s="166">
        <v>1000</v>
      </c>
      <c r="AK274" s="166">
        <v>688</v>
      </c>
      <c r="AL274" s="166">
        <f t="shared" si="91"/>
        <v>801388</v>
      </c>
      <c r="AM274" s="153">
        <v>4</v>
      </c>
      <c r="AN274" s="166"/>
      <c r="AO274" s="167"/>
      <c r="AP274" s="167"/>
      <c r="AQ274" s="151" t="s">
        <v>1741</v>
      </c>
      <c r="AR274" s="151" t="s">
        <v>124</v>
      </c>
      <c r="AW274" s="144" t="str">
        <f t="shared" si="92"/>
        <v>OK</v>
      </c>
      <c r="AX274" s="21" t="s">
        <v>3129</v>
      </c>
      <c r="AY274" s="21" t="s">
        <v>3134</v>
      </c>
      <c r="AZ274" s="21"/>
      <c r="BA274" s="21"/>
    </row>
    <row r="275" spans="1:53" ht="20" customHeight="1">
      <c r="A275" s="86" t="s">
        <v>318</v>
      </c>
      <c r="B275" s="371" t="s">
        <v>2605</v>
      </c>
      <c r="C275" s="151" t="s">
        <v>51</v>
      </c>
      <c r="D275" s="151" t="s">
        <v>52</v>
      </c>
      <c r="E275" s="151" t="s">
        <v>1753</v>
      </c>
      <c r="F275" s="151" t="s">
        <v>1747</v>
      </c>
      <c r="G275" s="151" t="s">
        <v>1748</v>
      </c>
      <c r="H275" s="152">
        <v>40257</v>
      </c>
      <c r="I275" s="151" t="s">
        <v>198</v>
      </c>
      <c r="J275" s="151" t="s">
        <v>1749</v>
      </c>
      <c r="K275" s="151" t="s">
        <v>199</v>
      </c>
      <c r="L275" s="153">
        <v>2</v>
      </c>
      <c r="M275" s="153">
        <v>5</v>
      </c>
      <c r="N275" s="171">
        <v>44250</v>
      </c>
      <c r="O275" s="155">
        <v>0.05</v>
      </c>
      <c r="P275" s="172">
        <f t="shared" si="81"/>
        <v>2213</v>
      </c>
      <c r="Q275" s="155">
        <v>2.7E-2</v>
      </c>
      <c r="R275" s="172">
        <f t="shared" si="82"/>
        <v>1195</v>
      </c>
      <c r="S275" s="155">
        <f t="shared" si="83"/>
        <v>7.7016949152542369E-2</v>
      </c>
      <c r="T275" s="172">
        <f t="shared" si="84"/>
        <v>3408</v>
      </c>
      <c r="U275" s="172">
        <f t="shared" si="85"/>
        <v>47658</v>
      </c>
      <c r="V275" s="173">
        <v>47100</v>
      </c>
      <c r="W275" s="174">
        <f t="shared" si="86"/>
        <v>2850</v>
      </c>
      <c r="X275" s="159">
        <f>ROUND(V275/N275-1,4)</f>
        <v>6.4399999999999999E-2</v>
      </c>
      <c r="Y275" s="160" t="str">
        <f t="shared" si="78"/>
        <v>6.16%-9.24%</v>
      </c>
      <c r="Z275" s="175"/>
      <c r="AA275" s="175"/>
      <c r="AB275" s="175"/>
      <c r="AC275" s="162"/>
      <c r="AD275" s="171">
        <f t="shared" si="87"/>
        <v>0</v>
      </c>
      <c r="AE275" s="176">
        <f t="shared" si="88"/>
        <v>47100</v>
      </c>
      <c r="AF275" s="164">
        <f t="shared" si="89"/>
        <v>2850</v>
      </c>
      <c r="AG275" s="165">
        <f t="shared" si="90"/>
        <v>6.4406779661017044E-2</v>
      </c>
      <c r="AH275" s="166">
        <v>14</v>
      </c>
      <c r="AI275" s="166">
        <v>450</v>
      </c>
      <c r="AJ275" s="166">
        <v>1000</v>
      </c>
      <c r="AK275" s="166">
        <v>688</v>
      </c>
      <c r="AL275" s="166">
        <f t="shared" si="91"/>
        <v>677488</v>
      </c>
      <c r="AM275" s="153">
        <v>5</v>
      </c>
      <c r="AN275" s="166"/>
      <c r="AO275" s="167"/>
      <c r="AP275" s="167"/>
      <c r="AQ275" s="151" t="s">
        <v>1741</v>
      </c>
      <c r="AR275" s="151" t="s">
        <v>124</v>
      </c>
      <c r="AW275" s="144" t="str">
        <f t="shared" si="92"/>
        <v>OK</v>
      </c>
      <c r="AX275" s="21" t="s">
        <v>3129</v>
      </c>
      <c r="AY275" s="21" t="s">
        <v>3130</v>
      </c>
      <c r="AZ275" s="21"/>
      <c r="BA275" s="21"/>
    </row>
    <row r="276" spans="1:53" ht="20" customHeight="1">
      <c r="A276" s="86" t="s">
        <v>318</v>
      </c>
      <c r="B276" s="371" t="s">
        <v>2606</v>
      </c>
      <c r="C276" s="151" t="s">
        <v>51</v>
      </c>
      <c r="D276" s="151" t="s">
        <v>52</v>
      </c>
      <c r="E276" s="151" t="s">
        <v>1753</v>
      </c>
      <c r="F276" s="151" t="s">
        <v>1750</v>
      </c>
      <c r="G276" s="151" t="s">
        <v>1751</v>
      </c>
      <c r="H276" s="152">
        <v>40731</v>
      </c>
      <c r="I276" s="151" t="s">
        <v>198</v>
      </c>
      <c r="J276" s="151" t="s">
        <v>1752</v>
      </c>
      <c r="K276" s="151" t="s">
        <v>199</v>
      </c>
      <c r="L276" s="153">
        <v>2</v>
      </c>
      <c r="M276" s="153">
        <v>5</v>
      </c>
      <c r="N276" s="171">
        <v>51427</v>
      </c>
      <c r="O276" s="155">
        <v>0.04</v>
      </c>
      <c r="P276" s="172">
        <f t="shared" si="81"/>
        <v>2057</v>
      </c>
      <c r="Q276" s="155">
        <v>0</v>
      </c>
      <c r="R276" s="172">
        <f t="shared" si="82"/>
        <v>0</v>
      </c>
      <c r="S276" s="155">
        <f t="shared" si="83"/>
        <v>3.9998444396912129E-2</v>
      </c>
      <c r="T276" s="172">
        <f t="shared" si="84"/>
        <v>2057</v>
      </c>
      <c r="U276" s="172">
        <f t="shared" si="85"/>
        <v>53484</v>
      </c>
      <c r="V276" s="173">
        <v>53719</v>
      </c>
      <c r="W276" s="174">
        <f t="shared" si="86"/>
        <v>2292</v>
      </c>
      <c r="X276" s="159">
        <f t="shared" si="80"/>
        <v>4.4600000000000001E-2</v>
      </c>
      <c r="Y276" s="160" t="str">
        <f t="shared" si="78"/>
        <v>3.20%-4.80%</v>
      </c>
      <c r="Z276" s="175"/>
      <c r="AA276" s="175"/>
      <c r="AB276" s="175"/>
      <c r="AC276" s="162"/>
      <c r="AD276" s="171">
        <f t="shared" si="87"/>
        <v>0</v>
      </c>
      <c r="AE276" s="176">
        <f t="shared" si="88"/>
        <v>53719</v>
      </c>
      <c r="AF276" s="164">
        <f t="shared" si="89"/>
        <v>2292</v>
      </c>
      <c r="AG276" s="165">
        <f t="shared" si="90"/>
        <v>4.4568028467536491E-2</v>
      </c>
      <c r="AH276" s="166">
        <v>14</v>
      </c>
      <c r="AI276" s="166">
        <v>450</v>
      </c>
      <c r="AJ276" s="166">
        <v>1000</v>
      </c>
      <c r="AK276" s="166">
        <v>688</v>
      </c>
      <c r="AL276" s="166">
        <f t="shared" si="91"/>
        <v>770154</v>
      </c>
      <c r="AM276" s="153">
        <v>5</v>
      </c>
      <c r="AN276" s="166"/>
      <c r="AO276" s="167"/>
      <c r="AP276" s="167"/>
      <c r="AQ276" s="151" t="s">
        <v>1741</v>
      </c>
      <c r="AR276" s="151" t="s">
        <v>124</v>
      </c>
      <c r="AW276" s="144" t="str">
        <f t="shared" si="92"/>
        <v>OK</v>
      </c>
      <c r="AX276" s="21" t="s">
        <v>3135</v>
      </c>
      <c r="AY276" s="21" t="s">
        <v>3136</v>
      </c>
      <c r="AZ276" s="21"/>
      <c r="BA276" s="21"/>
    </row>
    <row r="277" spans="1:53" ht="20" customHeight="1">
      <c r="A277" s="86" t="s">
        <v>318</v>
      </c>
      <c r="B277" s="371" t="s">
        <v>2607</v>
      </c>
      <c r="C277" s="151" t="s">
        <v>51</v>
      </c>
      <c r="D277" s="151" t="s">
        <v>52</v>
      </c>
      <c r="E277" s="151" t="s">
        <v>1753</v>
      </c>
      <c r="F277" s="151" t="s">
        <v>1753</v>
      </c>
      <c r="G277" s="151" t="s">
        <v>1754</v>
      </c>
      <c r="H277" s="152">
        <v>44179</v>
      </c>
      <c r="I277" s="151" t="s">
        <v>1755</v>
      </c>
      <c r="J277" s="151" t="s">
        <v>1755</v>
      </c>
      <c r="K277" s="151" t="s">
        <v>76</v>
      </c>
      <c r="L277" s="153">
        <v>2</v>
      </c>
      <c r="M277" s="153">
        <v>4</v>
      </c>
      <c r="N277" s="171">
        <v>11250</v>
      </c>
      <c r="O277" s="155">
        <v>3.7500000000000006E-2</v>
      </c>
      <c r="P277" s="172">
        <f t="shared" si="81"/>
        <v>422</v>
      </c>
      <c r="Q277" s="155">
        <v>1.55E-2</v>
      </c>
      <c r="R277" s="172">
        <f t="shared" si="82"/>
        <v>174</v>
      </c>
      <c r="S277" s="155">
        <f t="shared" si="83"/>
        <v>5.2977777777777776E-2</v>
      </c>
      <c r="T277" s="172">
        <f t="shared" si="84"/>
        <v>596</v>
      </c>
      <c r="U277" s="172">
        <f t="shared" si="85"/>
        <v>11846</v>
      </c>
      <c r="V277" s="173">
        <v>11965</v>
      </c>
      <c r="W277" s="174">
        <f t="shared" si="86"/>
        <v>715</v>
      </c>
      <c r="X277" s="159">
        <f t="shared" si="80"/>
        <v>6.3600000000000004E-2</v>
      </c>
      <c r="Y277" s="160" t="str">
        <f t="shared" si="78"/>
        <v>4.24%-6.36%</v>
      </c>
      <c r="Z277" s="175"/>
      <c r="AA277" s="175"/>
      <c r="AB277" s="175"/>
      <c r="AC277" s="162"/>
      <c r="AD277" s="171">
        <f t="shared" si="87"/>
        <v>0</v>
      </c>
      <c r="AE277" s="176">
        <f t="shared" si="88"/>
        <v>11965</v>
      </c>
      <c r="AF277" s="164">
        <f t="shared" si="89"/>
        <v>715</v>
      </c>
      <c r="AG277" s="165">
        <f t="shared" si="90"/>
        <v>6.3555555555555587E-2</v>
      </c>
      <c r="AH277" s="166">
        <v>14</v>
      </c>
      <c r="AI277" s="166">
        <v>450</v>
      </c>
      <c r="AJ277" s="166"/>
      <c r="AK277" s="166">
        <v>688</v>
      </c>
      <c r="AL277" s="166">
        <f t="shared" si="91"/>
        <v>173598</v>
      </c>
      <c r="AM277" s="153">
        <v>5</v>
      </c>
      <c r="AN277" s="166"/>
      <c r="AO277" s="167"/>
      <c r="AP277" s="167"/>
      <c r="AQ277" s="151" t="s">
        <v>1741</v>
      </c>
      <c r="AR277" s="151" t="s">
        <v>124</v>
      </c>
      <c r="AW277" s="144" t="str">
        <f t="shared" si="92"/>
        <v>OK</v>
      </c>
      <c r="AX277" s="21" t="s">
        <v>3131</v>
      </c>
      <c r="AY277" s="21" t="s">
        <v>3130</v>
      </c>
      <c r="AZ277" s="21"/>
      <c r="BA277" s="21"/>
    </row>
    <row r="278" spans="1:53" ht="20" customHeight="1">
      <c r="A278" s="86" t="s">
        <v>318</v>
      </c>
      <c r="B278" s="371" t="s">
        <v>2608</v>
      </c>
      <c r="C278" s="151" t="s">
        <v>51</v>
      </c>
      <c r="D278" s="151" t="s">
        <v>52</v>
      </c>
      <c r="E278" s="151" t="s">
        <v>1753</v>
      </c>
      <c r="F278" s="151" t="s">
        <v>1750</v>
      </c>
      <c r="G278" s="151" t="s">
        <v>1751</v>
      </c>
      <c r="H278" s="152">
        <v>38456</v>
      </c>
      <c r="I278" s="151" t="s">
        <v>71</v>
      </c>
      <c r="J278" s="151" t="s">
        <v>71</v>
      </c>
      <c r="K278" s="151" t="s">
        <v>61</v>
      </c>
      <c r="L278" s="153">
        <v>2</v>
      </c>
      <c r="M278" s="153">
        <v>3</v>
      </c>
      <c r="N278" s="171">
        <v>16650</v>
      </c>
      <c r="O278" s="155">
        <v>0.03</v>
      </c>
      <c r="P278" s="172">
        <f t="shared" si="81"/>
        <v>500</v>
      </c>
      <c r="Q278" s="155">
        <v>0</v>
      </c>
      <c r="R278" s="172">
        <f t="shared" si="82"/>
        <v>0</v>
      </c>
      <c r="S278" s="155">
        <f t="shared" si="83"/>
        <v>3.003003003003003E-2</v>
      </c>
      <c r="T278" s="172">
        <f t="shared" si="84"/>
        <v>500</v>
      </c>
      <c r="U278" s="172">
        <f t="shared" si="85"/>
        <v>17150</v>
      </c>
      <c r="V278" s="173">
        <v>17142</v>
      </c>
      <c r="W278" s="174">
        <f t="shared" si="86"/>
        <v>492</v>
      </c>
      <c r="X278" s="159">
        <f t="shared" si="80"/>
        <v>2.9499999999999998E-2</v>
      </c>
      <c r="Y278" s="160" t="str">
        <f t="shared" si="78"/>
        <v>2.40%-3.60%</v>
      </c>
      <c r="Z278" s="175"/>
      <c r="AA278" s="175"/>
      <c r="AB278" s="175"/>
      <c r="AC278" s="162"/>
      <c r="AD278" s="171">
        <f t="shared" si="87"/>
        <v>0</v>
      </c>
      <c r="AE278" s="176">
        <f t="shared" si="88"/>
        <v>17142</v>
      </c>
      <c r="AF278" s="164">
        <f t="shared" si="89"/>
        <v>492</v>
      </c>
      <c r="AG278" s="165">
        <f t="shared" si="90"/>
        <v>2.954954954954947E-2</v>
      </c>
      <c r="AH278" s="166">
        <v>14</v>
      </c>
      <c r="AI278" s="166">
        <v>450</v>
      </c>
      <c r="AJ278" s="166"/>
      <c r="AK278" s="166">
        <v>688</v>
      </c>
      <c r="AL278" s="166">
        <f t="shared" si="91"/>
        <v>246076</v>
      </c>
      <c r="AM278" s="153">
        <v>3</v>
      </c>
      <c r="AN278" s="166"/>
      <c r="AO278" s="167"/>
      <c r="AP278" s="167"/>
      <c r="AQ278" s="151" t="s">
        <v>290</v>
      </c>
      <c r="AR278" s="151" t="s">
        <v>124</v>
      </c>
      <c r="AW278" s="144" t="str">
        <f t="shared" si="92"/>
        <v>OK</v>
      </c>
      <c r="AX278" s="21" t="s">
        <v>3139</v>
      </c>
      <c r="AY278" s="21" t="s">
        <v>3132</v>
      </c>
      <c r="AZ278" s="21"/>
      <c r="BA278" s="21"/>
    </row>
    <row r="279" spans="1:53" ht="20" customHeight="1">
      <c r="A279" s="86" t="s">
        <v>318</v>
      </c>
      <c r="B279" s="371" t="s">
        <v>2609</v>
      </c>
      <c r="C279" s="151" t="s">
        <v>51</v>
      </c>
      <c r="D279" s="151" t="s">
        <v>52</v>
      </c>
      <c r="E279" s="151" t="s">
        <v>1753</v>
      </c>
      <c r="F279" s="151" t="s">
        <v>1750</v>
      </c>
      <c r="G279" s="151" t="s">
        <v>1751</v>
      </c>
      <c r="H279" s="152">
        <v>41407</v>
      </c>
      <c r="I279" s="151" t="s">
        <v>60</v>
      </c>
      <c r="J279" s="151" t="s">
        <v>60</v>
      </c>
      <c r="K279" s="151" t="s">
        <v>61</v>
      </c>
      <c r="L279" s="153">
        <v>2</v>
      </c>
      <c r="M279" s="153">
        <v>3</v>
      </c>
      <c r="N279" s="171">
        <v>14730</v>
      </c>
      <c r="O279" s="155">
        <v>0.03</v>
      </c>
      <c r="P279" s="172">
        <f t="shared" si="81"/>
        <v>442</v>
      </c>
      <c r="Q279" s="155">
        <v>0</v>
      </c>
      <c r="R279" s="172">
        <f t="shared" si="82"/>
        <v>0</v>
      </c>
      <c r="S279" s="155">
        <f t="shared" si="83"/>
        <v>3.0006788866259335E-2</v>
      </c>
      <c r="T279" s="172">
        <f t="shared" si="84"/>
        <v>442</v>
      </c>
      <c r="U279" s="172">
        <f t="shared" si="85"/>
        <v>15172</v>
      </c>
      <c r="V279" s="173">
        <v>15122</v>
      </c>
      <c r="W279" s="174">
        <f t="shared" si="86"/>
        <v>392</v>
      </c>
      <c r="X279" s="159">
        <f t="shared" si="80"/>
        <v>2.6599999999999999E-2</v>
      </c>
      <c r="Y279" s="160" t="str">
        <f t="shared" si="78"/>
        <v>2.40%-3.60%</v>
      </c>
      <c r="Z279" s="175"/>
      <c r="AA279" s="175"/>
      <c r="AB279" s="175"/>
      <c r="AC279" s="162"/>
      <c r="AD279" s="171">
        <f t="shared" si="87"/>
        <v>0</v>
      </c>
      <c r="AE279" s="176">
        <f t="shared" si="88"/>
        <v>15122</v>
      </c>
      <c r="AF279" s="164">
        <f t="shared" si="89"/>
        <v>392</v>
      </c>
      <c r="AG279" s="165">
        <f t="shared" si="90"/>
        <v>2.6612355736592042E-2</v>
      </c>
      <c r="AH279" s="166">
        <v>14</v>
      </c>
      <c r="AI279" s="166">
        <v>450</v>
      </c>
      <c r="AJ279" s="166"/>
      <c r="AK279" s="166">
        <v>688</v>
      </c>
      <c r="AL279" s="166">
        <f t="shared" si="91"/>
        <v>217796</v>
      </c>
      <c r="AM279" s="153">
        <v>4</v>
      </c>
      <c r="AN279" s="166"/>
      <c r="AO279" s="167"/>
      <c r="AP279" s="167"/>
      <c r="AQ279" s="151" t="s">
        <v>290</v>
      </c>
      <c r="AR279" s="151" t="s">
        <v>124</v>
      </c>
      <c r="AW279" s="144" t="str">
        <f t="shared" si="92"/>
        <v>OK</v>
      </c>
      <c r="AX279" s="21" t="s">
        <v>3135</v>
      </c>
      <c r="AY279" s="21" t="s">
        <v>3132</v>
      </c>
      <c r="AZ279" s="21"/>
      <c r="BA279" s="21"/>
    </row>
    <row r="280" spans="1:53" ht="20" customHeight="1">
      <c r="A280" s="86" t="s">
        <v>318</v>
      </c>
      <c r="B280" s="371" t="s">
        <v>2610</v>
      </c>
      <c r="C280" s="151" t="s">
        <v>51</v>
      </c>
      <c r="D280" s="151" t="s">
        <v>52</v>
      </c>
      <c r="E280" s="151" t="s">
        <v>1753</v>
      </c>
      <c r="F280" s="151" t="s">
        <v>1750</v>
      </c>
      <c r="G280" s="151" t="s">
        <v>1751</v>
      </c>
      <c r="H280" s="152">
        <v>40556</v>
      </c>
      <c r="I280" s="151" t="s">
        <v>140</v>
      </c>
      <c r="J280" s="151" t="s">
        <v>141</v>
      </c>
      <c r="K280" s="151" t="s">
        <v>61</v>
      </c>
      <c r="L280" s="153">
        <v>2</v>
      </c>
      <c r="M280" s="153">
        <v>4</v>
      </c>
      <c r="N280" s="171">
        <v>16912</v>
      </c>
      <c r="O280" s="155">
        <v>4.4999999999999998E-2</v>
      </c>
      <c r="P280" s="172">
        <f t="shared" si="81"/>
        <v>761</v>
      </c>
      <c r="Q280" s="155">
        <v>4.2099999999999999E-2</v>
      </c>
      <c r="R280" s="172">
        <f t="shared" si="82"/>
        <v>712</v>
      </c>
      <c r="S280" s="155">
        <f t="shared" si="83"/>
        <v>8.7097918637653732E-2</v>
      </c>
      <c r="T280" s="172">
        <f t="shared" si="84"/>
        <v>1473</v>
      </c>
      <c r="U280" s="172">
        <f t="shared" si="85"/>
        <v>18385</v>
      </c>
      <c r="V280" s="173">
        <v>18000</v>
      </c>
      <c r="W280" s="174">
        <f t="shared" si="86"/>
        <v>1088</v>
      </c>
      <c r="X280" s="159">
        <f t="shared" si="80"/>
        <v>6.4299999999999996E-2</v>
      </c>
      <c r="Y280" s="160" t="str">
        <f t="shared" si="78"/>
        <v>6.97%-10.45%</v>
      </c>
      <c r="Z280" s="175"/>
      <c r="AA280" s="175"/>
      <c r="AB280" s="175"/>
      <c r="AC280" s="162"/>
      <c r="AD280" s="171">
        <f t="shared" si="87"/>
        <v>0</v>
      </c>
      <c r="AE280" s="176">
        <f t="shared" si="88"/>
        <v>18000</v>
      </c>
      <c r="AF280" s="164">
        <f t="shared" si="89"/>
        <v>1088</v>
      </c>
      <c r="AG280" s="165">
        <f t="shared" si="90"/>
        <v>6.4333017975402029E-2</v>
      </c>
      <c r="AH280" s="166">
        <v>14</v>
      </c>
      <c r="AI280" s="166">
        <v>450</v>
      </c>
      <c r="AJ280" s="166"/>
      <c r="AK280" s="166">
        <v>688</v>
      </c>
      <c r="AL280" s="166">
        <f t="shared" si="91"/>
        <v>258088</v>
      </c>
      <c r="AM280" s="153">
        <v>4</v>
      </c>
      <c r="AN280" s="166"/>
      <c r="AO280" s="167"/>
      <c r="AP280" s="167"/>
      <c r="AQ280" s="151" t="s">
        <v>290</v>
      </c>
      <c r="AR280" s="151" t="s">
        <v>124</v>
      </c>
      <c r="AW280" s="144" t="str">
        <f t="shared" si="92"/>
        <v>OK</v>
      </c>
      <c r="AX280" s="21" t="s">
        <v>3135</v>
      </c>
      <c r="AY280" s="21" t="s">
        <v>3132</v>
      </c>
      <c r="AZ280" s="21"/>
      <c r="BA280" s="21"/>
    </row>
    <row r="281" spans="1:53" ht="20" customHeight="1">
      <c r="A281" s="86" t="s">
        <v>318</v>
      </c>
      <c r="B281" s="371" t="s">
        <v>2611</v>
      </c>
      <c r="C281" s="151" t="s">
        <v>51</v>
      </c>
      <c r="D281" s="151" t="s">
        <v>52</v>
      </c>
      <c r="E281" s="151" t="s">
        <v>1753</v>
      </c>
      <c r="F281" s="151" t="s">
        <v>1750</v>
      </c>
      <c r="G281" s="151" t="s">
        <v>1751</v>
      </c>
      <c r="H281" s="152">
        <v>41743</v>
      </c>
      <c r="I281" s="151" t="s">
        <v>266</v>
      </c>
      <c r="J281" s="151" t="s">
        <v>266</v>
      </c>
      <c r="K281" s="151" t="s">
        <v>56</v>
      </c>
      <c r="L281" s="153">
        <v>2</v>
      </c>
      <c r="M281" s="153">
        <v>3</v>
      </c>
      <c r="N281" s="171">
        <v>18770</v>
      </c>
      <c r="O281" s="155">
        <v>0.03</v>
      </c>
      <c r="P281" s="172">
        <f t="shared" si="81"/>
        <v>563</v>
      </c>
      <c r="Q281" s="155">
        <v>0</v>
      </c>
      <c r="R281" s="172">
        <f t="shared" si="82"/>
        <v>0</v>
      </c>
      <c r="S281" s="155">
        <f t="shared" si="83"/>
        <v>2.9994672349493875E-2</v>
      </c>
      <c r="T281" s="172">
        <f t="shared" si="84"/>
        <v>563</v>
      </c>
      <c r="U281" s="172">
        <f t="shared" si="85"/>
        <v>19333</v>
      </c>
      <c r="V281" s="173">
        <v>19133</v>
      </c>
      <c r="W281" s="174">
        <f t="shared" si="86"/>
        <v>363</v>
      </c>
      <c r="X281" s="159">
        <f t="shared" si="80"/>
        <v>1.9300000000000001E-2</v>
      </c>
      <c r="Y281" s="160" t="str">
        <f t="shared" si="78"/>
        <v>2.40%-3.60%</v>
      </c>
      <c r="Z281" s="175"/>
      <c r="AA281" s="175"/>
      <c r="AB281" s="175"/>
      <c r="AC281" s="162"/>
      <c r="AD281" s="171">
        <f t="shared" si="87"/>
        <v>0</v>
      </c>
      <c r="AE281" s="176">
        <f t="shared" si="88"/>
        <v>19133</v>
      </c>
      <c r="AF281" s="164">
        <f t="shared" si="89"/>
        <v>363</v>
      </c>
      <c r="AG281" s="165">
        <f t="shared" si="90"/>
        <v>1.9339371337240285E-2</v>
      </c>
      <c r="AH281" s="166">
        <v>14</v>
      </c>
      <c r="AI281" s="166">
        <v>450</v>
      </c>
      <c r="AJ281" s="166"/>
      <c r="AK281" s="166">
        <v>688</v>
      </c>
      <c r="AL281" s="166">
        <f t="shared" si="91"/>
        <v>273950</v>
      </c>
      <c r="AM281" s="153">
        <v>3</v>
      </c>
      <c r="AN281" s="166"/>
      <c r="AO281" s="167"/>
      <c r="AP281" s="167"/>
      <c r="AQ281" s="151" t="s">
        <v>290</v>
      </c>
      <c r="AR281" s="151" t="s">
        <v>124</v>
      </c>
      <c r="AW281" s="144" t="str">
        <f t="shared" si="92"/>
        <v>OK</v>
      </c>
      <c r="AX281" s="21" t="s">
        <v>3135</v>
      </c>
      <c r="AY281" s="21" t="s">
        <v>3132</v>
      </c>
      <c r="AZ281" s="21"/>
      <c r="BA281" s="21"/>
    </row>
    <row r="282" spans="1:53" ht="20" customHeight="1">
      <c r="A282" s="86" t="s">
        <v>318</v>
      </c>
      <c r="B282" s="371" t="s">
        <v>2612</v>
      </c>
      <c r="C282" s="151" t="s">
        <v>51</v>
      </c>
      <c r="D282" s="151" t="s">
        <v>52</v>
      </c>
      <c r="E282" s="151" t="s">
        <v>1753</v>
      </c>
      <c r="F282" s="151" t="s">
        <v>1750</v>
      </c>
      <c r="G282" s="151" t="s">
        <v>1751</v>
      </c>
      <c r="H282" s="152">
        <v>44480</v>
      </c>
      <c r="I282" s="151" t="s">
        <v>60</v>
      </c>
      <c r="J282" s="151" t="s">
        <v>60</v>
      </c>
      <c r="K282" s="151" t="s">
        <v>61</v>
      </c>
      <c r="L282" s="153">
        <v>2</v>
      </c>
      <c r="M282" s="153">
        <v>3</v>
      </c>
      <c r="N282" s="171">
        <v>16818</v>
      </c>
      <c r="O282" s="155">
        <v>3.5000000000000003E-2</v>
      </c>
      <c r="P282" s="172">
        <f t="shared" si="81"/>
        <v>589</v>
      </c>
      <c r="Q282" s="155">
        <v>0</v>
      </c>
      <c r="R282" s="172">
        <f t="shared" si="82"/>
        <v>0</v>
      </c>
      <c r="S282" s="155">
        <f t="shared" si="83"/>
        <v>3.5022000237840412E-2</v>
      </c>
      <c r="T282" s="172">
        <f t="shared" si="84"/>
        <v>589</v>
      </c>
      <c r="U282" s="172">
        <f t="shared" si="85"/>
        <v>17407</v>
      </c>
      <c r="V282" s="173">
        <v>17900</v>
      </c>
      <c r="W282" s="174">
        <f t="shared" si="86"/>
        <v>1082</v>
      </c>
      <c r="X282" s="159">
        <f t="shared" si="80"/>
        <v>6.4299999999999996E-2</v>
      </c>
      <c r="Y282" s="160" t="str">
        <f t="shared" si="78"/>
        <v>2.80%-4.20%</v>
      </c>
      <c r="Z282" s="175"/>
      <c r="AA282" s="175"/>
      <c r="AB282" s="175"/>
      <c r="AC282" s="162"/>
      <c r="AD282" s="171">
        <f t="shared" si="87"/>
        <v>0</v>
      </c>
      <c r="AE282" s="176">
        <f t="shared" si="88"/>
        <v>17900</v>
      </c>
      <c r="AF282" s="164">
        <f t="shared" si="89"/>
        <v>1082</v>
      </c>
      <c r="AG282" s="165">
        <f t="shared" si="90"/>
        <v>6.4335830657628712E-2</v>
      </c>
      <c r="AH282" s="166">
        <v>14</v>
      </c>
      <c r="AI282" s="166">
        <v>450</v>
      </c>
      <c r="AJ282" s="166"/>
      <c r="AK282" s="166">
        <v>688</v>
      </c>
      <c r="AL282" s="166">
        <f t="shared" si="91"/>
        <v>256688</v>
      </c>
      <c r="AM282" s="153">
        <v>3</v>
      </c>
      <c r="AN282" s="166"/>
      <c r="AO282" s="167"/>
      <c r="AP282" s="167"/>
      <c r="AQ282" s="151" t="s">
        <v>290</v>
      </c>
      <c r="AR282" s="151" t="s">
        <v>124</v>
      </c>
      <c r="AW282" s="144" t="str">
        <f t="shared" si="92"/>
        <v>&gt;20</v>
      </c>
      <c r="AX282" s="21" t="s">
        <v>3131</v>
      </c>
      <c r="AY282" s="21" t="s">
        <v>3141</v>
      </c>
      <c r="AZ282" s="21"/>
      <c r="BA282" s="21"/>
    </row>
    <row r="283" spans="1:53" ht="20" customHeight="1">
      <c r="A283" s="86" t="s">
        <v>318</v>
      </c>
      <c r="B283" s="371" t="s">
        <v>2613</v>
      </c>
      <c r="C283" s="151" t="s">
        <v>51</v>
      </c>
      <c r="D283" s="151" t="s">
        <v>52</v>
      </c>
      <c r="E283" s="151" t="s">
        <v>1753</v>
      </c>
      <c r="F283" s="151" t="s">
        <v>1750</v>
      </c>
      <c r="G283" s="151" t="s">
        <v>1751</v>
      </c>
      <c r="H283" s="152">
        <v>44699</v>
      </c>
      <c r="I283" s="151" t="s">
        <v>140</v>
      </c>
      <c r="J283" s="151" t="s">
        <v>141</v>
      </c>
      <c r="K283" s="151" t="s">
        <v>61</v>
      </c>
      <c r="L283" s="153">
        <v>2</v>
      </c>
      <c r="M283" s="153">
        <v>5</v>
      </c>
      <c r="N283" s="171">
        <v>23796</v>
      </c>
      <c r="O283" s="155">
        <v>0.05</v>
      </c>
      <c r="P283" s="172">
        <f t="shared" si="81"/>
        <v>1190</v>
      </c>
      <c r="Q283" s="155">
        <v>2.7E-2</v>
      </c>
      <c r="R283" s="172">
        <f t="shared" si="82"/>
        <v>642</v>
      </c>
      <c r="S283" s="155">
        <f t="shared" si="83"/>
        <v>7.6987729030089089E-2</v>
      </c>
      <c r="T283" s="172">
        <f t="shared" si="84"/>
        <v>1832</v>
      </c>
      <c r="U283" s="172">
        <f t="shared" si="85"/>
        <v>25628</v>
      </c>
      <c r="V283" s="173">
        <f t="shared" ref="V283" si="94">U283</f>
        <v>25628</v>
      </c>
      <c r="W283" s="174">
        <f t="shared" si="86"/>
        <v>1832</v>
      </c>
      <c r="X283" s="159">
        <f t="shared" si="80"/>
        <v>7.6999999999999999E-2</v>
      </c>
      <c r="Y283" s="160" t="str">
        <f t="shared" si="78"/>
        <v>6.16%-9.24%</v>
      </c>
      <c r="Z283" s="175"/>
      <c r="AA283" s="175"/>
      <c r="AB283" s="175"/>
      <c r="AC283" s="162"/>
      <c r="AD283" s="171">
        <f t="shared" si="87"/>
        <v>0</v>
      </c>
      <c r="AE283" s="176">
        <f t="shared" si="88"/>
        <v>25628</v>
      </c>
      <c r="AF283" s="164">
        <f t="shared" si="89"/>
        <v>1832</v>
      </c>
      <c r="AG283" s="165">
        <f t="shared" si="90"/>
        <v>7.6987729030089103E-2</v>
      </c>
      <c r="AH283" s="166">
        <v>14</v>
      </c>
      <c r="AI283" s="166">
        <v>450</v>
      </c>
      <c r="AJ283" s="166"/>
      <c r="AK283" s="166">
        <v>688</v>
      </c>
      <c r="AL283" s="166">
        <f t="shared" si="91"/>
        <v>364880</v>
      </c>
      <c r="AM283" s="153">
        <v>5</v>
      </c>
      <c r="AN283" s="166"/>
      <c r="AO283" s="167"/>
      <c r="AP283" s="167"/>
      <c r="AQ283" s="151" t="s">
        <v>290</v>
      </c>
      <c r="AR283" s="151" t="s">
        <v>124</v>
      </c>
      <c r="AW283" s="144" t="str">
        <f t="shared" si="92"/>
        <v>OK</v>
      </c>
      <c r="AX283" s="21" t="s">
        <v>3131</v>
      </c>
      <c r="AY283" s="21" t="s">
        <v>3130</v>
      </c>
      <c r="AZ283" s="21"/>
      <c r="BA283" s="21"/>
    </row>
    <row r="284" spans="1:53" ht="20" customHeight="1">
      <c r="A284" s="86" t="s">
        <v>318</v>
      </c>
      <c r="B284" s="371" t="s">
        <v>2614</v>
      </c>
      <c r="C284" s="151" t="s">
        <v>51</v>
      </c>
      <c r="D284" s="151" t="s">
        <v>52</v>
      </c>
      <c r="E284" s="151" t="s">
        <v>1753</v>
      </c>
      <c r="F284" s="151" t="s">
        <v>1750</v>
      </c>
      <c r="G284" s="151" t="s">
        <v>1751</v>
      </c>
      <c r="H284" s="152">
        <v>42891</v>
      </c>
      <c r="I284" s="151" t="s">
        <v>111</v>
      </c>
      <c r="J284" s="151" t="s">
        <v>111</v>
      </c>
      <c r="K284" s="151" t="s">
        <v>56</v>
      </c>
      <c r="L284" s="153">
        <v>2</v>
      </c>
      <c r="M284" s="153">
        <v>3</v>
      </c>
      <c r="N284" s="171">
        <v>29042</v>
      </c>
      <c r="O284" s="155">
        <v>0</v>
      </c>
      <c r="P284" s="172">
        <f t="shared" si="81"/>
        <v>0</v>
      </c>
      <c r="Q284" s="155">
        <v>0</v>
      </c>
      <c r="R284" s="172">
        <f t="shared" si="82"/>
        <v>0</v>
      </c>
      <c r="S284" s="155">
        <f t="shared" si="83"/>
        <v>0</v>
      </c>
      <c r="T284" s="172">
        <f t="shared" si="84"/>
        <v>0</v>
      </c>
      <c r="U284" s="172">
        <f t="shared" si="85"/>
        <v>29042</v>
      </c>
      <c r="V284" s="173">
        <v>29392</v>
      </c>
      <c r="W284" s="174">
        <f t="shared" si="86"/>
        <v>350</v>
      </c>
      <c r="X284" s="159">
        <f t="shared" si="80"/>
        <v>1.21E-2</v>
      </c>
      <c r="Y284" s="160" t="str">
        <f t="shared" si="78"/>
        <v>0.00%-0.00%</v>
      </c>
      <c r="Z284" s="175"/>
      <c r="AA284" s="175"/>
      <c r="AB284" s="175"/>
      <c r="AC284" s="162"/>
      <c r="AD284" s="171">
        <f t="shared" si="87"/>
        <v>0</v>
      </c>
      <c r="AE284" s="176">
        <f t="shared" si="88"/>
        <v>29392</v>
      </c>
      <c r="AF284" s="164">
        <f t="shared" si="89"/>
        <v>350</v>
      </c>
      <c r="AG284" s="165">
        <f t="shared" si="90"/>
        <v>1.2051511603883958E-2</v>
      </c>
      <c r="AH284" s="166">
        <v>14</v>
      </c>
      <c r="AI284" s="166">
        <v>450</v>
      </c>
      <c r="AJ284" s="166"/>
      <c r="AK284" s="166">
        <v>688</v>
      </c>
      <c r="AL284" s="166">
        <f t="shared" si="91"/>
        <v>417576</v>
      </c>
      <c r="AM284" s="153">
        <v>3</v>
      </c>
      <c r="AN284" s="166"/>
      <c r="AO284" s="167"/>
      <c r="AP284" s="167"/>
      <c r="AQ284" s="151" t="s">
        <v>290</v>
      </c>
      <c r="AR284" s="151" t="s">
        <v>124</v>
      </c>
      <c r="AW284" s="144" t="str">
        <f t="shared" si="92"/>
        <v>&gt;20</v>
      </c>
      <c r="AX284" s="21" t="s">
        <v>3133</v>
      </c>
      <c r="AY284" s="21" t="s">
        <v>3134</v>
      </c>
      <c r="AZ284" s="21"/>
      <c r="BA284" s="21"/>
    </row>
    <row r="285" spans="1:53" ht="20" customHeight="1">
      <c r="A285" s="86" t="s">
        <v>318</v>
      </c>
      <c r="B285" s="371" t="s">
        <v>2615</v>
      </c>
      <c r="C285" s="151" t="s">
        <v>51</v>
      </c>
      <c r="D285" s="151" t="s">
        <v>52</v>
      </c>
      <c r="E285" s="151" t="s">
        <v>1753</v>
      </c>
      <c r="F285" s="151" t="s">
        <v>1824</v>
      </c>
      <c r="G285" s="151" t="s">
        <v>1743</v>
      </c>
      <c r="H285" s="152">
        <v>41193</v>
      </c>
      <c r="I285" s="151" t="s">
        <v>85</v>
      </c>
      <c r="J285" s="151" t="s">
        <v>85</v>
      </c>
      <c r="K285" s="151" t="s">
        <v>76</v>
      </c>
      <c r="L285" s="153">
        <v>2</v>
      </c>
      <c r="M285" s="153">
        <v>2</v>
      </c>
      <c r="N285" s="171">
        <v>10324</v>
      </c>
      <c r="O285" s="177">
        <v>0</v>
      </c>
      <c r="P285" s="172">
        <f t="shared" si="81"/>
        <v>0</v>
      </c>
      <c r="Q285" s="177">
        <v>0</v>
      </c>
      <c r="R285" s="172">
        <f t="shared" si="82"/>
        <v>0</v>
      </c>
      <c r="S285" s="177">
        <f t="shared" si="83"/>
        <v>0</v>
      </c>
      <c r="T285" s="172">
        <f t="shared" si="84"/>
        <v>0</v>
      </c>
      <c r="U285" s="172">
        <f t="shared" si="85"/>
        <v>10324</v>
      </c>
      <c r="V285" s="173">
        <f t="shared" ref="V285:V323" si="95">U285</f>
        <v>10324</v>
      </c>
      <c r="W285" s="174">
        <f t="shared" si="86"/>
        <v>0</v>
      </c>
      <c r="X285" s="178">
        <f t="shared" si="80"/>
        <v>0</v>
      </c>
      <c r="Y285" s="179" t="str">
        <f t="shared" si="78"/>
        <v>0.00%-0.00%</v>
      </c>
      <c r="Z285" s="175"/>
      <c r="AA285" s="175"/>
      <c r="AB285" s="175"/>
      <c r="AC285" s="180"/>
      <c r="AD285" s="171">
        <f t="shared" si="87"/>
        <v>0</v>
      </c>
      <c r="AE285" s="176">
        <f t="shared" si="88"/>
        <v>10324</v>
      </c>
      <c r="AF285" s="164">
        <f t="shared" si="89"/>
        <v>0</v>
      </c>
      <c r="AG285" s="181">
        <f t="shared" si="90"/>
        <v>0</v>
      </c>
      <c r="AH285" s="166">
        <v>14</v>
      </c>
      <c r="AI285" s="166">
        <v>450</v>
      </c>
      <c r="AJ285" s="166"/>
      <c r="AK285" s="166">
        <v>688</v>
      </c>
      <c r="AL285" s="166">
        <f t="shared" si="91"/>
        <v>150624</v>
      </c>
      <c r="AM285" s="153">
        <v>5</v>
      </c>
      <c r="AN285" s="166"/>
      <c r="AO285" s="167"/>
      <c r="AP285" s="167"/>
      <c r="AQ285" s="151" t="s">
        <v>1761</v>
      </c>
      <c r="AR285" s="151" t="s">
        <v>124</v>
      </c>
      <c r="AW285" s="144" t="str">
        <f t="shared" si="92"/>
        <v>OK</v>
      </c>
      <c r="AX285" s="21" t="s">
        <v>3135</v>
      </c>
      <c r="AY285" s="21">
        <v>0</v>
      </c>
      <c r="AZ285" s="21"/>
      <c r="BA285" s="21"/>
    </row>
    <row r="286" spans="1:53" ht="20" customHeight="1">
      <c r="A286" s="86" t="s">
        <v>318</v>
      </c>
      <c r="B286" s="371" t="s">
        <v>2616</v>
      </c>
      <c r="C286" s="151" t="s">
        <v>51</v>
      </c>
      <c r="D286" s="151" t="s">
        <v>52</v>
      </c>
      <c r="E286" s="151" t="s">
        <v>1753</v>
      </c>
      <c r="F286" s="151" t="s">
        <v>1825</v>
      </c>
      <c r="G286" s="151" t="s">
        <v>1826</v>
      </c>
      <c r="H286" s="152">
        <v>35926</v>
      </c>
      <c r="I286" s="151" t="s">
        <v>226</v>
      </c>
      <c r="J286" s="151" t="s">
        <v>1827</v>
      </c>
      <c r="K286" s="151" t="s">
        <v>324</v>
      </c>
      <c r="L286" s="153">
        <v>2</v>
      </c>
      <c r="M286" s="153">
        <v>3</v>
      </c>
      <c r="N286" s="171">
        <v>7233</v>
      </c>
      <c r="O286" s="177">
        <v>0</v>
      </c>
      <c r="P286" s="172">
        <f t="shared" si="81"/>
        <v>0</v>
      </c>
      <c r="Q286" s="177">
        <v>0</v>
      </c>
      <c r="R286" s="172">
        <f t="shared" si="82"/>
        <v>0</v>
      </c>
      <c r="S286" s="177">
        <f t="shared" si="83"/>
        <v>0</v>
      </c>
      <c r="T286" s="172">
        <f t="shared" si="84"/>
        <v>0</v>
      </c>
      <c r="U286" s="172">
        <f t="shared" si="85"/>
        <v>7233</v>
      </c>
      <c r="V286" s="173">
        <f t="shared" si="95"/>
        <v>7233</v>
      </c>
      <c r="W286" s="174">
        <f t="shared" si="86"/>
        <v>0</v>
      </c>
      <c r="X286" s="178">
        <f t="shared" si="80"/>
        <v>0</v>
      </c>
      <c r="Y286" s="179" t="str">
        <f t="shared" si="78"/>
        <v>0.00%-0.00%</v>
      </c>
      <c r="Z286" s="175"/>
      <c r="AA286" s="175"/>
      <c r="AB286" s="175"/>
      <c r="AC286" s="180"/>
      <c r="AD286" s="171">
        <f t="shared" si="87"/>
        <v>0</v>
      </c>
      <c r="AE286" s="176">
        <f t="shared" si="88"/>
        <v>7233</v>
      </c>
      <c r="AF286" s="164">
        <f t="shared" si="89"/>
        <v>0</v>
      </c>
      <c r="AG286" s="181">
        <f t="shared" si="90"/>
        <v>0</v>
      </c>
      <c r="AH286" s="166">
        <v>14</v>
      </c>
      <c r="AI286" s="166">
        <v>450</v>
      </c>
      <c r="AJ286" s="166"/>
      <c r="AK286" s="166">
        <v>688</v>
      </c>
      <c r="AL286" s="166">
        <f t="shared" si="91"/>
        <v>107350</v>
      </c>
      <c r="AM286" s="153">
        <v>3</v>
      </c>
      <c r="AN286" s="166"/>
      <c r="AO286" s="167"/>
      <c r="AP286" s="167"/>
      <c r="AQ286" s="151" t="s">
        <v>1761</v>
      </c>
      <c r="AR286" s="151" t="s">
        <v>124</v>
      </c>
      <c r="AW286" s="144" t="str">
        <f t="shared" si="92"/>
        <v>OK</v>
      </c>
      <c r="AX286" s="21" t="s">
        <v>3137</v>
      </c>
      <c r="AY286" s="21" t="s">
        <v>3134</v>
      </c>
      <c r="AZ286" s="21"/>
      <c r="BA286" s="21"/>
    </row>
    <row r="287" spans="1:53" ht="20" customHeight="1">
      <c r="A287" s="86" t="s">
        <v>318</v>
      </c>
      <c r="B287" s="371" t="s">
        <v>2617</v>
      </c>
      <c r="C287" s="151" t="s">
        <v>51</v>
      </c>
      <c r="D287" s="151" t="s">
        <v>52</v>
      </c>
      <c r="E287" s="151" t="s">
        <v>1753</v>
      </c>
      <c r="F287" s="151" t="s">
        <v>1758</v>
      </c>
      <c r="G287" s="151" t="s">
        <v>1823</v>
      </c>
      <c r="H287" s="152">
        <v>35796</v>
      </c>
      <c r="I287" s="151" t="s">
        <v>111</v>
      </c>
      <c r="J287" s="151" t="s">
        <v>1828</v>
      </c>
      <c r="K287" s="151" t="s">
        <v>56</v>
      </c>
      <c r="L287" s="153">
        <v>2</v>
      </c>
      <c r="M287" s="153">
        <v>3</v>
      </c>
      <c r="N287" s="171">
        <v>29320</v>
      </c>
      <c r="O287" s="177">
        <v>0</v>
      </c>
      <c r="P287" s="172">
        <f t="shared" si="81"/>
        <v>0</v>
      </c>
      <c r="Q287" s="177">
        <v>0</v>
      </c>
      <c r="R287" s="172">
        <f t="shared" si="82"/>
        <v>0</v>
      </c>
      <c r="S287" s="177">
        <f t="shared" si="83"/>
        <v>0</v>
      </c>
      <c r="T287" s="172">
        <f t="shared" si="84"/>
        <v>0</v>
      </c>
      <c r="U287" s="172">
        <f t="shared" si="85"/>
        <v>29320</v>
      </c>
      <c r="V287" s="173">
        <f t="shared" si="95"/>
        <v>29320</v>
      </c>
      <c r="W287" s="174">
        <f t="shared" si="86"/>
        <v>0</v>
      </c>
      <c r="X287" s="178">
        <f t="shared" si="80"/>
        <v>0</v>
      </c>
      <c r="Y287" s="179" t="str">
        <f t="shared" si="78"/>
        <v>0.00%-0.00%</v>
      </c>
      <c r="Z287" s="175"/>
      <c r="AA287" s="175"/>
      <c r="AB287" s="175"/>
      <c r="AC287" s="180"/>
      <c r="AD287" s="171">
        <f t="shared" si="87"/>
        <v>0</v>
      </c>
      <c r="AE287" s="176">
        <f t="shared" si="88"/>
        <v>29320</v>
      </c>
      <c r="AF287" s="164">
        <f t="shared" si="89"/>
        <v>0</v>
      </c>
      <c r="AG287" s="181">
        <f t="shared" si="90"/>
        <v>0</v>
      </c>
      <c r="AH287" s="166">
        <v>14</v>
      </c>
      <c r="AI287" s="166">
        <v>1750</v>
      </c>
      <c r="AJ287" s="166"/>
      <c r="AK287" s="166">
        <v>688</v>
      </c>
      <c r="AL287" s="166">
        <f t="shared" si="91"/>
        <v>432168</v>
      </c>
      <c r="AM287" s="153">
        <v>4</v>
      </c>
      <c r="AN287" s="166"/>
      <c r="AO287" s="167"/>
      <c r="AP287" s="167"/>
      <c r="AQ287" s="151" t="s">
        <v>1761</v>
      </c>
      <c r="AR287" s="151" t="s">
        <v>124</v>
      </c>
      <c r="AW287" s="144" t="str">
        <f t="shared" si="92"/>
        <v>OK</v>
      </c>
      <c r="AX287" s="21" t="s">
        <v>3137</v>
      </c>
      <c r="AY287" s="21" t="s">
        <v>3134</v>
      </c>
      <c r="AZ287" s="21"/>
      <c r="BA287" s="21"/>
    </row>
    <row r="288" spans="1:53" ht="20" customHeight="1">
      <c r="A288" s="86" t="s">
        <v>318</v>
      </c>
      <c r="B288" s="371" t="s">
        <v>2618</v>
      </c>
      <c r="C288" s="151" t="s">
        <v>51</v>
      </c>
      <c r="D288" s="151" t="s">
        <v>52</v>
      </c>
      <c r="E288" s="151" t="s">
        <v>1753</v>
      </c>
      <c r="F288" s="151" t="s">
        <v>1829</v>
      </c>
      <c r="G288" s="151" t="s">
        <v>1830</v>
      </c>
      <c r="H288" s="152">
        <v>34919</v>
      </c>
      <c r="I288" s="151" t="s">
        <v>71</v>
      </c>
      <c r="J288" s="151" t="s">
        <v>1831</v>
      </c>
      <c r="K288" s="151" t="s">
        <v>324</v>
      </c>
      <c r="L288" s="153">
        <v>2</v>
      </c>
      <c r="M288" s="153">
        <v>3</v>
      </c>
      <c r="N288" s="171">
        <v>15727</v>
      </c>
      <c r="O288" s="177">
        <v>0</v>
      </c>
      <c r="P288" s="172">
        <f t="shared" si="81"/>
        <v>0</v>
      </c>
      <c r="Q288" s="177">
        <v>0</v>
      </c>
      <c r="R288" s="172">
        <f t="shared" si="82"/>
        <v>0</v>
      </c>
      <c r="S288" s="177">
        <f t="shared" si="83"/>
        <v>0</v>
      </c>
      <c r="T288" s="172">
        <f t="shared" si="84"/>
        <v>0</v>
      </c>
      <c r="U288" s="172">
        <f t="shared" si="85"/>
        <v>15727</v>
      </c>
      <c r="V288" s="173">
        <f t="shared" si="95"/>
        <v>15727</v>
      </c>
      <c r="W288" s="174">
        <f t="shared" si="86"/>
        <v>0</v>
      </c>
      <c r="X288" s="178">
        <f t="shared" si="80"/>
        <v>0</v>
      </c>
      <c r="Y288" s="179" t="str">
        <f t="shared" si="78"/>
        <v>0.00%-0.00%</v>
      </c>
      <c r="Z288" s="175"/>
      <c r="AA288" s="175"/>
      <c r="AB288" s="175"/>
      <c r="AC288" s="180"/>
      <c r="AD288" s="171">
        <f t="shared" si="87"/>
        <v>0</v>
      </c>
      <c r="AE288" s="176">
        <f t="shared" si="88"/>
        <v>15727</v>
      </c>
      <c r="AF288" s="164">
        <f t="shared" si="89"/>
        <v>0</v>
      </c>
      <c r="AG288" s="181">
        <f t="shared" si="90"/>
        <v>0</v>
      </c>
      <c r="AH288" s="166">
        <v>14</v>
      </c>
      <c r="AI288" s="166">
        <v>2950</v>
      </c>
      <c r="AJ288" s="166"/>
      <c r="AK288" s="166">
        <v>688</v>
      </c>
      <c r="AL288" s="166">
        <f t="shared" si="91"/>
        <v>256266</v>
      </c>
      <c r="AM288" s="153">
        <v>3</v>
      </c>
      <c r="AN288" s="166"/>
      <c r="AO288" s="167"/>
      <c r="AP288" s="167"/>
      <c r="AQ288" s="151" t="s">
        <v>1761</v>
      </c>
      <c r="AR288" s="151" t="s">
        <v>124</v>
      </c>
      <c r="AW288" s="144" t="str">
        <f t="shared" si="92"/>
        <v>OK</v>
      </c>
      <c r="AX288" s="21" t="s">
        <v>3137</v>
      </c>
      <c r="AY288" s="21" t="s">
        <v>3134</v>
      </c>
      <c r="AZ288" s="21"/>
      <c r="BA288" s="21"/>
    </row>
    <row r="289" spans="1:53" ht="20" customHeight="1">
      <c r="A289" s="86" t="s">
        <v>318</v>
      </c>
      <c r="B289" s="371" t="s">
        <v>2619</v>
      </c>
      <c r="C289" s="151" t="s">
        <v>51</v>
      </c>
      <c r="D289" s="151" t="s">
        <v>52</v>
      </c>
      <c r="E289" s="151" t="s">
        <v>1753</v>
      </c>
      <c r="F289" s="151" t="s">
        <v>1832</v>
      </c>
      <c r="G289" s="151" t="s">
        <v>1743</v>
      </c>
      <c r="H289" s="152">
        <v>36668</v>
      </c>
      <c r="I289" s="151" t="s">
        <v>111</v>
      </c>
      <c r="J289" s="151" t="s">
        <v>1833</v>
      </c>
      <c r="K289" s="151" t="s">
        <v>56</v>
      </c>
      <c r="L289" s="153">
        <v>2</v>
      </c>
      <c r="M289" s="153">
        <v>2</v>
      </c>
      <c r="N289" s="171">
        <v>19620</v>
      </c>
      <c r="O289" s="177">
        <v>0</v>
      </c>
      <c r="P289" s="172">
        <f t="shared" si="81"/>
        <v>0</v>
      </c>
      <c r="Q289" s="177">
        <v>0</v>
      </c>
      <c r="R289" s="172">
        <f t="shared" si="82"/>
        <v>0</v>
      </c>
      <c r="S289" s="177">
        <f t="shared" si="83"/>
        <v>0</v>
      </c>
      <c r="T289" s="172">
        <f t="shared" si="84"/>
        <v>0</v>
      </c>
      <c r="U289" s="172">
        <f t="shared" si="85"/>
        <v>19620</v>
      </c>
      <c r="V289" s="173">
        <f>U289</f>
        <v>19620</v>
      </c>
      <c r="W289" s="174">
        <f t="shared" si="86"/>
        <v>0</v>
      </c>
      <c r="X289" s="178">
        <f t="shared" si="80"/>
        <v>0</v>
      </c>
      <c r="Y289" s="179" t="str">
        <f t="shared" si="78"/>
        <v>0.00%-0.00%</v>
      </c>
      <c r="Z289" s="175"/>
      <c r="AA289" s="175"/>
      <c r="AB289" s="175"/>
      <c r="AC289" s="180"/>
      <c r="AD289" s="171">
        <f t="shared" si="87"/>
        <v>0</v>
      </c>
      <c r="AE289" s="176">
        <f t="shared" si="88"/>
        <v>19620</v>
      </c>
      <c r="AF289" s="164">
        <f t="shared" si="89"/>
        <v>0</v>
      </c>
      <c r="AG289" s="181">
        <f t="shared" si="90"/>
        <v>0</v>
      </c>
      <c r="AH289" s="166">
        <v>14</v>
      </c>
      <c r="AI289" s="166">
        <v>450</v>
      </c>
      <c r="AJ289" s="166"/>
      <c r="AK289" s="166">
        <v>688</v>
      </c>
      <c r="AL289" s="166">
        <f t="shared" si="91"/>
        <v>280768</v>
      </c>
      <c r="AM289" s="153">
        <v>3</v>
      </c>
      <c r="AN289" s="166"/>
      <c r="AO289" s="167"/>
      <c r="AP289" s="167"/>
      <c r="AQ289" s="151" t="s">
        <v>1761</v>
      </c>
      <c r="AR289" s="151" t="s">
        <v>124</v>
      </c>
      <c r="AW289" s="144" t="str">
        <f t="shared" si="92"/>
        <v>OK</v>
      </c>
      <c r="AX289" s="21" t="s">
        <v>3137</v>
      </c>
      <c r="AY289" s="21">
        <v>0</v>
      </c>
      <c r="AZ289" s="21"/>
      <c r="BA289" s="21"/>
    </row>
    <row r="290" spans="1:53" ht="20" customHeight="1">
      <c r="A290" s="86" t="s">
        <v>318</v>
      </c>
      <c r="B290" s="371" t="s">
        <v>2620</v>
      </c>
      <c r="C290" s="151" t="s">
        <v>51</v>
      </c>
      <c r="D290" s="151" t="s">
        <v>52</v>
      </c>
      <c r="E290" s="151" t="s">
        <v>1753</v>
      </c>
      <c r="F290" s="151" t="s">
        <v>1824</v>
      </c>
      <c r="G290" s="151" t="s">
        <v>1743</v>
      </c>
      <c r="H290" s="152">
        <v>36586</v>
      </c>
      <c r="I290" s="151" t="s">
        <v>1727</v>
      </c>
      <c r="J290" s="151" t="s">
        <v>1727</v>
      </c>
      <c r="K290" s="151" t="s">
        <v>56</v>
      </c>
      <c r="L290" s="153">
        <v>2</v>
      </c>
      <c r="M290" s="153">
        <v>3</v>
      </c>
      <c r="N290" s="171">
        <v>18000</v>
      </c>
      <c r="O290" s="177">
        <v>0.03</v>
      </c>
      <c r="P290" s="172">
        <f t="shared" si="81"/>
        <v>540</v>
      </c>
      <c r="Q290" s="177">
        <v>0</v>
      </c>
      <c r="R290" s="172">
        <f t="shared" si="82"/>
        <v>0</v>
      </c>
      <c r="S290" s="177">
        <f t="shared" si="83"/>
        <v>0.03</v>
      </c>
      <c r="T290" s="172">
        <f t="shared" si="84"/>
        <v>540</v>
      </c>
      <c r="U290" s="172">
        <f t="shared" si="85"/>
        <v>18540</v>
      </c>
      <c r="V290" s="173">
        <f t="shared" si="95"/>
        <v>18540</v>
      </c>
      <c r="W290" s="174">
        <f t="shared" si="86"/>
        <v>540</v>
      </c>
      <c r="X290" s="178">
        <f t="shared" si="80"/>
        <v>0.03</v>
      </c>
      <c r="Y290" s="179" t="str">
        <f t="shared" si="78"/>
        <v>2.40%-3.60%</v>
      </c>
      <c r="Z290" s="175"/>
      <c r="AA290" s="175"/>
      <c r="AB290" s="175"/>
      <c r="AC290" s="180"/>
      <c r="AD290" s="171">
        <f t="shared" si="87"/>
        <v>0</v>
      </c>
      <c r="AE290" s="176">
        <f t="shared" si="88"/>
        <v>18540</v>
      </c>
      <c r="AF290" s="164">
        <f t="shared" si="89"/>
        <v>540</v>
      </c>
      <c r="AG290" s="181">
        <f t="shared" si="90"/>
        <v>3.0000000000000027E-2</v>
      </c>
      <c r="AH290" s="166">
        <v>14</v>
      </c>
      <c r="AI290" s="166">
        <v>450</v>
      </c>
      <c r="AJ290" s="166"/>
      <c r="AK290" s="166">
        <v>688</v>
      </c>
      <c r="AL290" s="166">
        <f t="shared" si="91"/>
        <v>265648</v>
      </c>
      <c r="AM290" s="153">
        <v>3</v>
      </c>
      <c r="AN290" s="166"/>
      <c r="AO290" s="167"/>
      <c r="AP290" s="167"/>
      <c r="AQ290" s="151" t="s">
        <v>1761</v>
      </c>
      <c r="AR290" s="151" t="s">
        <v>124</v>
      </c>
      <c r="AW290" s="144" t="str">
        <f t="shared" si="92"/>
        <v>OK</v>
      </c>
      <c r="AX290" s="21" t="s">
        <v>3137</v>
      </c>
      <c r="AY290" s="21" t="s">
        <v>3132</v>
      </c>
      <c r="AZ290" s="21"/>
      <c r="BA290" s="21"/>
    </row>
    <row r="291" spans="1:53" ht="20" customHeight="1">
      <c r="A291" s="86" t="s">
        <v>318</v>
      </c>
      <c r="B291" s="371" t="s">
        <v>2621</v>
      </c>
      <c r="C291" s="151" t="s">
        <v>51</v>
      </c>
      <c r="D291" s="151" t="s">
        <v>52</v>
      </c>
      <c r="E291" s="151" t="s">
        <v>1753</v>
      </c>
      <c r="F291" s="151" t="s">
        <v>1832</v>
      </c>
      <c r="G291" s="151" t="s">
        <v>1743</v>
      </c>
      <c r="H291" s="152">
        <v>36342</v>
      </c>
      <c r="I291" s="151" t="s">
        <v>85</v>
      </c>
      <c r="J291" s="151" t="s">
        <v>85</v>
      </c>
      <c r="K291" s="151" t="s">
        <v>76</v>
      </c>
      <c r="L291" s="153">
        <v>2</v>
      </c>
      <c r="M291" s="153">
        <v>3</v>
      </c>
      <c r="N291" s="171">
        <v>9780</v>
      </c>
      <c r="O291" s="177">
        <v>2.5000000000000001E-2</v>
      </c>
      <c r="P291" s="172">
        <f t="shared" si="81"/>
        <v>245</v>
      </c>
      <c r="Q291" s="177">
        <v>0</v>
      </c>
      <c r="R291" s="172">
        <f t="shared" si="82"/>
        <v>0</v>
      </c>
      <c r="S291" s="177">
        <f t="shared" si="83"/>
        <v>2.5051124744376277E-2</v>
      </c>
      <c r="T291" s="172">
        <f t="shared" si="84"/>
        <v>245</v>
      </c>
      <c r="U291" s="172">
        <f t="shared" si="85"/>
        <v>10025</v>
      </c>
      <c r="V291" s="173">
        <f t="shared" si="95"/>
        <v>10025</v>
      </c>
      <c r="W291" s="174">
        <f t="shared" si="86"/>
        <v>245</v>
      </c>
      <c r="X291" s="178">
        <f t="shared" si="80"/>
        <v>2.5100000000000001E-2</v>
      </c>
      <c r="Y291" s="179" t="str">
        <f t="shared" si="78"/>
        <v>2.00%-3.01%</v>
      </c>
      <c r="Z291" s="175"/>
      <c r="AA291" s="175"/>
      <c r="AB291" s="175"/>
      <c r="AC291" s="180"/>
      <c r="AD291" s="171">
        <f t="shared" si="87"/>
        <v>0</v>
      </c>
      <c r="AE291" s="176">
        <f t="shared" si="88"/>
        <v>10025</v>
      </c>
      <c r="AF291" s="164">
        <f t="shared" si="89"/>
        <v>245</v>
      </c>
      <c r="AG291" s="181">
        <f t="shared" si="90"/>
        <v>2.5051124744376319E-2</v>
      </c>
      <c r="AH291" s="166">
        <v>14</v>
      </c>
      <c r="AI291" s="166">
        <v>450</v>
      </c>
      <c r="AJ291" s="166"/>
      <c r="AK291" s="166">
        <v>688</v>
      </c>
      <c r="AL291" s="166">
        <f t="shared" si="91"/>
        <v>146438</v>
      </c>
      <c r="AM291" s="153">
        <v>3</v>
      </c>
      <c r="AN291" s="166"/>
      <c r="AO291" s="167"/>
      <c r="AP291" s="167"/>
      <c r="AQ291" s="151" t="s">
        <v>1761</v>
      </c>
      <c r="AR291" s="151" t="s">
        <v>124</v>
      </c>
      <c r="AW291" s="144" t="str">
        <f t="shared" si="92"/>
        <v>OK</v>
      </c>
      <c r="AX291" s="21" t="s">
        <v>3137</v>
      </c>
      <c r="AY291" s="21" t="s">
        <v>3130</v>
      </c>
      <c r="AZ291" s="21"/>
      <c r="BA291" s="21"/>
    </row>
    <row r="292" spans="1:53" ht="20" customHeight="1">
      <c r="A292" s="86" t="s">
        <v>318</v>
      </c>
      <c r="B292" s="371" t="s">
        <v>2622</v>
      </c>
      <c r="C292" s="151" t="s">
        <v>51</v>
      </c>
      <c r="D292" s="151" t="s">
        <v>52</v>
      </c>
      <c r="E292" s="151" t="s">
        <v>1753</v>
      </c>
      <c r="F292" s="151" t="s">
        <v>1829</v>
      </c>
      <c r="G292" s="151" t="s">
        <v>1830</v>
      </c>
      <c r="H292" s="152">
        <v>38480</v>
      </c>
      <c r="I292" s="151" t="s">
        <v>1834</v>
      </c>
      <c r="J292" s="151" t="s">
        <v>1835</v>
      </c>
      <c r="K292" s="151" t="s">
        <v>324</v>
      </c>
      <c r="L292" s="153">
        <v>2</v>
      </c>
      <c r="M292" s="153">
        <v>3</v>
      </c>
      <c r="N292" s="171">
        <v>6479</v>
      </c>
      <c r="O292" s="177">
        <v>0</v>
      </c>
      <c r="P292" s="172">
        <f t="shared" si="81"/>
        <v>0</v>
      </c>
      <c r="Q292" s="177">
        <v>0</v>
      </c>
      <c r="R292" s="172">
        <f t="shared" si="82"/>
        <v>0</v>
      </c>
      <c r="S292" s="177">
        <f t="shared" si="83"/>
        <v>0</v>
      </c>
      <c r="T292" s="172">
        <f t="shared" si="84"/>
        <v>0</v>
      </c>
      <c r="U292" s="172">
        <f t="shared" si="85"/>
        <v>6479</v>
      </c>
      <c r="V292" s="173">
        <f t="shared" si="95"/>
        <v>6479</v>
      </c>
      <c r="W292" s="174">
        <f t="shared" si="86"/>
        <v>0</v>
      </c>
      <c r="X292" s="178">
        <f t="shared" si="80"/>
        <v>0</v>
      </c>
      <c r="Y292" s="179" t="str">
        <f t="shared" si="78"/>
        <v>0.00%-0.00%</v>
      </c>
      <c r="Z292" s="175"/>
      <c r="AA292" s="175"/>
      <c r="AB292" s="175"/>
      <c r="AC292" s="180"/>
      <c r="AD292" s="171">
        <f t="shared" si="87"/>
        <v>0</v>
      </c>
      <c r="AE292" s="176">
        <f t="shared" si="88"/>
        <v>6479</v>
      </c>
      <c r="AF292" s="164">
        <f t="shared" si="89"/>
        <v>0</v>
      </c>
      <c r="AG292" s="181">
        <f t="shared" si="90"/>
        <v>0</v>
      </c>
      <c r="AH292" s="166">
        <v>14</v>
      </c>
      <c r="AI292" s="166">
        <v>450</v>
      </c>
      <c r="AJ292" s="166"/>
      <c r="AK292" s="166">
        <v>688</v>
      </c>
      <c r="AL292" s="166">
        <f t="shared" si="91"/>
        <v>96794</v>
      </c>
      <c r="AM292" s="153">
        <v>3</v>
      </c>
      <c r="AN292" s="166"/>
      <c r="AO292" s="167"/>
      <c r="AP292" s="167"/>
      <c r="AQ292" s="151" t="s">
        <v>1761</v>
      </c>
      <c r="AR292" s="151" t="s">
        <v>124</v>
      </c>
      <c r="AW292" s="144" t="str">
        <f t="shared" si="92"/>
        <v>OK</v>
      </c>
      <c r="AX292" s="21" t="s">
        <v>3139</v>
      </c>
      <c r="AY292" s="21" t="s">
        <v>3134</v>
      </c>
      <c r="AZ292" s="21"/>
      <c r="BA292" s="21"/>
    </row>
    <row r="293" spans="1:53" ht="20" customHeight="1">
      <c r="A293" s="86" t="s">
        <v>318</v>
      </c>
      <c r="B293" s="371" t="s">
        <v>2623</v>
      </c>
      <c r="C293" s="151" t="s">
        <v>51</v>
      </c>
      <c r="D293" s="151" t="s">
        <v>52</v>
      </c>
      <c r="E293" s="151" t="s">
        <v>1753</v>
      </c>
      <c r="F293" s="151" t="s">
        <v>1836</v>
      </c>
      <c r="G293" s="151" t="s">
        <v>1830</v>
      </c>
      <c r="H293" s="152">
        <v>38565</v>
      </c>
      <c r="I293" s="151" t="s">
        <v>111</v>
      </c>
      <c r="J293" s="151" t="s">
        <v>1837</v>
      </c>
      <c r="K293" s="151" t="s">
        <v>56</v>
      </c>
      <c r="L293" s="153">
        <v>2</v>
      </c>
      <c r="M293" s="153">
        <v>3</v>
      </c>
      <c r="N293" s="171">
        <v>20900</v>
      </c>
      <c r="O293" s="177">
        <v>2.5000000000000001E-2</v>
      </c>
      <c r="P293" s="172">
        <f t="shared" si="81"/>
        <v>523</v>
      </c>
      <c r="Q293" s="177">
        <v>0</v>
      </c>
      <c r="R293" s="172">
        <f t="shared" si="82"/>
        <v>0</v>
      </c>
      <c r="S293" s="177">
        <f t="shared" si="83"/>
        <v>2.5023923444976077E-2</v>
      </c>
      <c r="T293" s="172">
        <f t="shared" si="84"/>
        <v>523</v>
      </c>
      <c r="U293" s="172">
        <f t="shared" si="85"/>
        <v>21423</v>
      </c>
      <c r="V293" s="173">
        <f t="shared" si="95"/>
        <v>21423</v>
      </c>
      <c r="W293" s="174">
        <f t="shared" si="86"/>
        <v>523</v>
      </c>
      <c r="X293" s="178">
        <f t="shared" si="80"/>
        <v>2.5000000000000001E-2</v>
      </c>
      <c r="Y293" s="179" t="str">
        <f t="shared" si="78"/>
        <v>2.00%-3.00%</v>
      </c>
      <c r="Z293" s="175"/>
      <c r="AA293" s="175"/>
      <c r="AB293" s="175"/>
      <c r="AC293" s="180"/>
      <c r="AD293" s="171">
        <f t="shared" si="87"/>
        <v>0</v>
      </c>
      <c r="AE293" s="176">
        <f t="shared" si="88"/>
        <v>21423</v>
      </c>
      <c r="AF293" s="164">
        <f t="shared" si="89"/>
        <v>523</v>
      </c>
      <c r="AG293" s="181">
        <f t="shared" si="90"/>
        <v>2.5023923444976059E-2</v>
      </c>
      <c r="AH293" s="166">
        <v>14</v>
      </c>
      <c r="AI293" s="166">
        <v>450</v>
      </c>
      <c r="AJ293" s="166"/>
      <c r="AK293" s="166">
        <v>688</v>
      </c>
      <c r="AL293" s="166">
        <f t="shared" si="91"/>
        <v>306010</v>
      </c>
      <c r="AM293" s="153">
        <v>3</v>
      </c>
      <c r="AN293" s="166"/>
      <c r="AO293" s="167"/>
      <c r="AP293" s="167"/>
      <c r="AQ293" s="151" t="s">
        <v>1761</v>
      </c>
      <c r="AR293" s="151" t="s">
        <v>124</v>
      </c>
      <c r="AW293" s="144" t="str">
        <f t="shared" si="92"/>
        <v>OK</v>
      </c>
      <c r="AX293" s="21" t="s">
        <v>3129</v>
      </c>
      <c r="AY293" s="21" t="s">
        <v>3130</v>
      </c>
      <c r="AZ293" s="21"/>
      <c r="BA293" s="21"/>
    </row>
    <row r="294" spans="1:53" ht="20" customHeight="1">
      <c r="A294" s="86" t="s">
        <v>318</v>
      </c>
      <c r="B294" s="371" t="s">
        <v>2624</v>
      </c>
      <c r="C294" s="151" t="s">
        <v>51</v>
      </c>
      <c r="D294" s="151" t="s">
        <v>52</v>
      </c>
      <c r="E294" s="151" t="s">
        <v>1753</v>
      </c>
      <c r="F294" s="151" t="s">
        <v>1838</v>
      </c>
      <c r="G294" s="151" t="s">
        <v>1743</v>
      </c>
      <c r="H294" s="152">
        <v>38633</v>
      </c>
      <c r="I294" s="151" t="s">
        <v>111</v>
      </c>
      <c r="J294" s="151" t="s">
        <v>1839</v>
      </c>
      <c r="K294" s="151" t="s">
        <v>56</v>
      </c>
      <c r="L294" s="153">
        <v>2</v>
      </c>
      <c r="M294" s="153">
        <v>4</v>
      </c>
      <c r="N294" s="171">
        <v>24782</v>
      </c>
      <c r="O294" s="177">
        <v>0.03</v>
      </c>
      <c r="P294" s="172">
        <f t="shared" si="81"/>
        <v>743</v>
      </c>
      <c r="Q294" s="177">
        <v>0</v>
      </c>
      <c r="R294" s="172">
        <f t="shared" si="82"/>
        <v>0</v>
      </c>
      <c r="S294" s="177">
        <f t="shared" si="83"/>
        <v>2.998143814058591E-2</v>
      </c>
      <c r="T294" s="172">
        <f t="shared" si="84"/>
        <v>743</v>
      </c>
      <c r="U294" s="172">
        <f t="shared" si="85"/>
        <v>25525</v>
      </c>
      <c r="V294" s="173">
        <f t="shared" si="95"/>
        <v>25525</v>
      </c>
      <c r="W294" s="174">
        <f t="shared" si="86"/>
        <v>743</v>
      </c>
      <c r="X294" s="178">
        <f t="shared" si="80"/>
        <v>0.03</v>
      </c>
      <c r="Y294" s="179" t="str">
        <f t="shared" si="78"/>
        <v>2.40%-3.60%</v>
      </c>
      <c r="Z294" s="175"/>
      <c r="AA294" s="175"/>
      <c r="AB294" s="175"/>
      <c r="AC294" s="180"/>
      <c r="AD294" s="171">
        <f t="shared" si="87"/>
        <v>0</v>
      </c>
      <c r="AE294" s="176">
        <f t="shared" si="88"/>
        <v>25525</v>
      </c>
      <c r="AF294" s="164">
        <f t="shared" si="89"/>
        <v>743</v>
      </c>
      <c r="AG294" s="181">
        <f t="shared" si="90"/>
        <v>2.9981438140585848E-2</v>
      </c>
      <c r="AH294" s="166">
        <v>14</v>
      </c>
      <c r="AI294" s="166">
        <v>450</v>
      </c>
      <c r="AJ294" s="166"/>
      <c r="AK294" s="166">
        <v>688</v>
      </c>
      <c r="AL294" s="166">
        <f t="shared" si="91"/>
        <v>363438</v>
      </c>
      <c r="AM294" s="153">
        <v>4</v>
      </c>
      <c r="AN294" s="166"/>
      <c r="AO294" s="167"/>
      <c r="AP294" s="167"/>
      <c r="AQ294" s="151" t="s">
        <v>1761</v>
      </c>
      <c r="AR294" s="151" t="s">
        <v>124</v>
      </c>
      <c r="AW294" s="144" t="str">
        <f t="shared" si="92"/>
        <v>OK</v>
      </c>
      <c r="AX294" s="21" t="s">
        <v>3129</v>
      </c>
      <c r="AY294" s="21" t="s">
        <v>3136</v>
      </c>
      <c r="AZ294" s="21"/>
      <c r="BA294" s="21"/>
    </row>
    <row r="295" spans="1:53" ht="20" customHeight="1">
      <c r="A295" s="86" t="s">
        <v>318</v>
      </c>
      <c r="B295" s="371" t="s">
        <v>2625</v>
      </c>
      <c r="C295" s="151" t="s">
        <v>51</v>
      </c>
      <c r="D295" s="151" t="s">
        <v>52</v>
      </c>
      <c r="E295" s="151" t="s">
        <v>1753</v>
      </c>
      <c r="F295" s="151" t="s">
        <v>1838</v>
      </c>
      <c r="G295" s="151" t="s">
        <v>1743</v>
      </c>
      <c r="H295" s="152">
        <v>38894</v>
      </c>
      <c r="I295" s="151" t="s">
        <v>71</v>
      </c>
      <c r="J295" s="151" t="s">
        <v>71</v>
      </c>
      <c r="K295" s="151" t="s">
        <v>61</v>
      </c>
      <c r="L295" s="153">
        <v>2</v>
      </c>
      <c r="M295" s="153">
        <v>4</v>
      </c>
      <c r="N295" s="171">
        <v>13770</v>
      </c>
      <c r="O295" s="177">
        <v>3.7500000000000006E-2</v>
      </c>
      <c r="P295" s="172">
        <f t="shared" si="81"/>
        <v>516</v>
      </c>
      <c r="Q295" s="177">
        <v>1.55E-2</v>
      </c>
      <c r="R295" s="172">
        <f t="shared" si="82"/>
        <v>213</v>
      </c>
      <c r="S295" s="177">
        <f t="shared" si="83"/>
        <v>5.2941176470588235E-2</v>
      </c>
      <c r="T295" s="172">
        <f t="shared" si="84"/>
        <v>729</v>
      </c>
      <c r="U295" s="172">
        <f t="shared" si="85"/>
        <v>14499</v>
      </c>
      <c r="V295" s="173">
        <v>14600</v>
      </c>
      <c r="W295" s="174">
        <f t="shared" si="86"/>
        <v>830</v>
      </c>
      <c r="X295" s="178">
        <f t="shared" si="80"/>
        <v>6.0299999999999999E-2</v>
      </c>
      <c r="Y295" s="179" t="str">
        <f t="shared" si="78"/>
        <v>4.24%-6.35%</v>
      </c>
      <c r="Z295" s="175"/>
      <c r="AA295" s="175"/>
      <c r="AB295" s="175"/>
      <c r="AC295" s="180"/>
      <c r="AD295" s="171">
        <f t="shared" si="87"/>
        <v>0</v>
      </c>
      <c r="AE295" s="176">
        <f t="shared" si="88"/>
        <v>14600</v>
      </c>
      <c r="AF295" s="164">
        <f t="shared" si="89"/>
        <v>830</v>
      </c>
      <c r="AG295" s="181">
        <f t="shared" si="90"/>
        <v>6.0275962236746583E-2</v>
      </c>
      <c r="AH295" s="166">
        <v>14</v>
      </c>
      <c r="AI295" s="166">
        <v>450</v>
      </c>
      <c r="AJ295" s="166"/>
      <c r="AK295" s="166">
        <v>688</v>
      </c>
      <c r="AL295" s="166">
        <f t="shared" si="91"/>
        <v>210488</v>
      </c>
      <c r="AM295" s="153">
        <v>4</v>
      </c>
      <c r="AN295" s="166"/>
      <c r="AO295" s="167"/>
      <c r="AP295" s="167"/>
      <c r="AQ295" s="151" t="s">
        <v>1761</v>
      </c>
      <c r="AR295" s="151" t="s">
        <v>124</v>
      </c>
      <c r="AW295" s="144" t="str">
        <f t="shared" si="92"/>
        <v>OK</v>
      </c>
      <c r="AX295" s="21" t="s">
        <v>3129</v>
      </c>
      <c r="AY295" s="21" t="s">
        <v>3130</v>
      </c>
      <c r="AZ295" s="21"/>
      <c r="BA295" s="21"/>
    </row>
    <row r="296" spans="1:53" ht="20" customHeight="1">
      <c r="A296" s="86" t="s">
        <v>318</v>
      </c>
      <c r="B296" s="371" t="s">
        <v>2626</v>
      </c>
      <c r="C296" s="151" t="s">
        <v>51</v>
      </c>
      <c r="D296" s="151" t="s">
        <v>52</v>
      </c>
      <c r="E296" s="151" t="s">
        <v>1753</v>
      </c>
      <c r="F296" s="151" t="s">
        <v>1824</v>
      </c>
      <c r="G296" s="151" t="s">
        <v>1743</v>
      </c>
      <c r="H296" s="152">
        <v>39301</v>
      </c>
      <c r="I296" s="151" t="s">
        <v>71</v>
      </c>
      <c r="J296" s="151" t="s">
        <v>71</v>
      </c>
      <c r="K296" s="151" t="s">
        <v>61</v>
      </c>
      <c r="L296" s="153">
        <v>2</v>
      </c>
      <c r="M296" s="153">
        <v>4</v>
      </c>
      <c r="N296" s="171">
        <v>15088</v>
      </c>
      <c r="O296" s="177">
        <v>3.7500000000000006E-2</v>
      </c>
      <c r="P296" s="172">
        <f t="shared" si="81"/>
        <v>566</v>
      </c>
      <c r="Q296" s="177">
        <v>1.55E-2</v>
      </c>
      <c r="R296" s="172">
        <f t="shared" si="82"/>
        <v>234</v>
      </c>
      <c r="S296" s="177">
        <f t="shared" si="83"/>
        <v>5.3022269353128315E-2</v>
      </c>
      <c r="T296" s="172">
        <f t="shared" si="84"/>
        <v>800</v>
      </c>
      <c r="U296" s="172">
        <f t="shared" si="85"/>
        <v>15888</v>
      </c>
      <c r="V296" s="173">
        <f t="shared" si="95"/>
        <v>15888</v>
      </c>
      <c r="W296" s="174">
        <f t="shared" si="86"/>
        <v>800</v>
      </c>
      <c r="X296" s="178">
        <f t="shared" si="80"/>
        <v>5.2999999999999999E-2</v>
      </c>
      <c r="Y296" s="179" t="str">
        <f t="shared" si="78"/>
        <v>4.24%-6.36%</v>
      </c>
      <c r="Z296" s="175"/>
      <c r="AA296" s="175"/>
      <c r="AB296" s="175"/>
      <c r="AC296" s="180"/>
      <c r="AD296" s="171">
        <f t="shared" si="87"/>
        <v>0</v>
      </c>
      <c r="AE296" s="176">
        <f t="shared" si="88"/>
        <v>15888</v>
      </c>
      <c r="AF296" s="164">
        <f t="shared" si="89"/>
        <v>800</v>
      </c>
      <c r="AG296" s="181">
        <f t="shared" si="90"/>
        <v>5.3022269353128371E-2</v>
      </c>
      <c r="AH296" s="166">
        <v>14</v>
      </c>
      <c r="AI296" s="166">
        <v>450</v>
      </c>
      <c r="AJ296" s="166"/>
      <c r="AK296" s="166">
        <v>688</v>
      </c>
      <c r="AL296" s="166">
        <f t="shared" si="91"/>
        <v>228520</v>
      </c>
      <c r="AM296" s="153">
        <v>5</v>
      </c>
      <c r="AN296" s="166"/>
      <c r="AO296" s="167"/>
      <c r="AP296" s="167"/>
      <c r="AQ296" s="151" t="s">
        <v>1761</v>
      </c>
      <c r="AR296" s="151" t="s">
        <v>124</v>
      </c>
      <c r="AW296" s="144" t="str">
        <f t="shared" si="92"/>
        <v>OK</v>
      </c>
      <c r="AX296" s="21" t="s">
        <v>3129</v>
      </c>
      <c r="AY296" s="21" t="s">
        <v>3130</v>
      </c>
      <c r="AZ296" s="21"/>
      <c r="BA296" s="21"/>
    </row>
    <row r="297" spans="1:53" ht="20" customHeight="1">
      <c r="A297" s="86" t="s">
        <v>318</v>
      </c>
      <c r="B297" s="371" t="s">
        <v>2627</v>
      </c>
      <c r="C297" s="151" t="s">
        <v>51</v>
      </c>
      <c r="D297" s="151" t="s">
        <v>52</v>
      </c>
      <c r="E297" s="151" t="s">
        <v>1753</v>
      </c>
      <c r="F297" s="151" t="s">
        <v>1742</v>
      </c>
      <c r="G297" s="151" t="s">
        <v>1743</v>
      </c>
      <c r="H297" s="152">
        <v>39626</v>
      </c>
      <c r="I297" s="151" t="s">
        <v>1727</v>
      </c>
      <c r="J297" s="151" t="s">
        <v>1727</v>
      </c>
      <c r="K297" s="151" t="s">
        <v>56</v>
      </c>
      <c r="L297" s="153">
        <v>2</v>
      </c>
      <c r="M297" s="153">
        <v>3</v>
      </c>
      <c r="N297" s="171">
        <v>19400</v>
      </c>
      <c r="O297" s="177">
        <v>2.5000000000000001E-2</v>
      </c>
      <c r="P297" s="172">
        <f t="shared" si="81"/>
        <v>485</v>
      </c>
      <c r="Q297" s="177">
        <v>0</v>
      </c>
      <c r="R297" s="172">
        <f t="shared" si="82"/>
        <v>0</v>
      </c>
      <c r="S297" s="177">
        <f t="shared" si="83"/>
        <v>2.5000000000000001E-2</v>
      </c>
      <c r="T297" s="172">
        <f t="shared" si="84"/>
        <v>485</v>
      </c>
      <c r="U297" s="172">
        <f t="shared" si="85"/>
        <v>19885</v>
      </c>
      <c r="V297" s="173">
        <f t="shared" si="95"/>
        <v>19885</v>
      </c>
      <c r="W297" s="174">
        <f t="shared" si="86"/>
        <v>485</v>
      </c>
      <c r="X297" s="178">
        <f t="shared" si="80"/>
        <v>2.5000000000000001E-2</v>
      </c>
      <c r="Y297" s="179" t="str">
        <f t="shared" si="78"/>
        <v>2.00%-3.00%</v>
      </c>
      <c r="Z297" s="175"/>
      <c r="AA297" s="175"/>
      <c r="AB297" s="175"/>
      <c r="AC297" s="180"/>
      <c r="AD297" s="171">
        <f t="shared" si="87"/>
        <v>0</v>
      </c>
      <c r="AE297" s="176">
        <f t="shared" si="88"/>
        <v>19885</v>
      </c>
      <c r="AF297" s="164">
        <f t="shared" si="89"/>
        <v>485</v>
      </c>
      <c r="AG297" s="181">
        <f t="shared" si="90"/>
        <v>2.4999999999999911E-2</v>
      </c>
      <c r="AH297" s="166">
        <v>14</v>
      </c>
      <c r="AI297" s="166">
        <v>450</v>
      </c>
      <c r="AJ297" s="166"/>
      <c r="AK297" s="166">
        <v>688</v>
      </c>
      <c r="AL297" s="166">
        <f t="shared" si="91"/>
        <v>284478</v>
      </c>
      <c r="AM297" s="153">
        <v>3</v>
      </c>
      <c r="AN297" s="166"/>
      <c r="AO297" s="167"/>
      <c r="AP297" s="167"/>
      <c r="AQ297" s="151" t="s">
        <v>1761</v>
      </c>
      <c r="AR297" s="151" t="s">
        <v>124</v>
      </c>
      <c r="AW297" s="144" t="str">
        <f t="shared" si="92"/>
        <v>OK</v>
      </c>
      <c r="AX297" s="21" t="s">
        <v>3129</v>
      </c>
      <c r="AY297" s="21" t="s">
        <v>3130</v>
      </c>
      <c r="AZ297" s="21"/>
      <c r="BA297" s="21"/>
    </row>
    <row r="298" spans="1:53" ht="20" customHeight="1">
      <c r="A298" s="86" t="s">
        <v>318</v>
      </c>
      <c r="B298" s="371" t="s">
        <v>2628</v>
      </c>
      <c r="C298" s="151" t="s">
        <v>51</v>
      </c>
      <c r="D298" s="151" t="s">
        <v>52</v>
      </c>
      <c r="E298" s="151" t="s">
        <v>1753</v>
      </c>
      <c r="F298" s="151" t="s">
        <v>1758</v>
      </c>
      <c r="G298" s="151" t="s">
        <v>1823</v>
      </c>
      <c r="H298" s="152">
        <v>39637</v>
      </c>
      <c r="I298" s="151" t="s">
        <v>1834</v>
      </c>
      <c r="J298" s="151" t="s">
        <v>1827</v>
      </c>
      <c r="K298" s="151" t="s">
        <v>324</v>
      </c>
      <c r="L298" s="153">
        <v>2</v>
      </c>
      <c r="M298" s="153">
        <v>2</v>
      </c>
      <c r="N298" s="171">
        <v>6816</v>
      </c>
      <c r="O298" s="177">
        <v>0</v>
      </c>
      <c r="P298" s="172">
        <f t="shared" si="81"/>
        <v>0</v>
      </c>
      <c r="Q298" s="177">
        <v>0</v>
      </c>
      <c r="R298" s="172">
        <f t="shared" si="82"/>
        <v>0</v>
      </c>
      <c r="S298" s="177">
        <f t="shared" si="83"/>
        <v>0</v>
      </c>
      <c r="T298" s="172">
        <f t="shared" si="84"/>
        <v>0</v>
      </c>
      <c r="U298" s="172">
        <f t="shared" si="85"/>
        <v>6816</v>
      </c>
      <c r="V298" s="173">
        <f t="shared" si="95"/>
        <v>6816</v>
      </c>
      <c r="W298" s="174">
        <f t="shared" si="86"/>
        <v>0</v>
      </c>
      <c r="X298" s="178">
        <f t="shared" si="80"/>
        <v>0</v>
      </c>
      <c r="Y298" s="179" t="str">
        <f t="shared" si="78"/>
        <v>0.00%-0.00%</v>
      </c>
      <c r="Z298" s="175"/>
      <c r="AA298" s="175"/>
      <c r="AB298" s="175"/>
      <c r="AC298" s="180"/>
      <c r="AD298" s="171">
        <f t="shared" si="87"/>
        <v>0</v>
      </c>
      <c r="AE298" s="176">
        <f t="shared" si="88"/>
        <v>6816</v>
      </c>
      <c r="AF298" s="164">
        <f t="shared" si="89"/>
        <v>0</v>
      </c>
      <c r="AG298" s="181">
        <f t="shared" si="90"/>
        <v>0</v>
      </c>
      <c r="AH298" s="166">
        <v>14</v>
      </c>
      <c r="AI298" s="166">
        <v>450</v>
      </c>
      <c r="AJ298" s="166"/>
      <c r="AK298" s="166">
        <v>688</v>
      </c>
      <c r="AL298" s="166">
        <f t="shared" si="91"/>
        <v>101512</v>
      </c>
      <c r="AM298" s="153">
        <v>3</v>
      </c>
      <c r="AN298" s="166"/>
      <c r="AO298" s="167"/>
      <c r="AP298" s="167"/>
      <c r="AQ298" s="151" t="s">
        <v>1761</v>
      </c>
      <c r="AR298" s="151" t="s">
        <v>124</v>
      </c>
      <c r="AW298" s="144" t="str">
        <f t="shared" si="92"/>
        <v>OK</v>
      </c>
      <c r="AX298" s="21" t="s">
        <v>3129</v>
      </c>
      <c r="AY298" s="21">
        <v>0</v>
      </c>
      <c r="AZ298" s="21"/>
      <c r="BA298" s="21"/>
    </row>
    <row r="299" spans="1:53" ht="20" customHeight="1">
      <c r="A299" s="86" t="s">
        <v>318</v>
      </c>
      <c r="B299" s="371" t="s">
        <v>2629</v>
      </c>
      <c r="C299" s="151" t="s">
        <v>51</v>
      </c>
      <c r="D299" s="151" t="s">
        <v>52</v>
      </c>
      <c r="E299" s="151" t="s">
        <v>1753</v>
      </c>
      <c r="F299" s="151" t="s">
        <v>1758</v>
      </c>
      <c r="G299" s="151" t="s">
        <v>1823</v>
      </c>
      <c r="H299" s="152">
        <v>39667</v>
      </c>
      <c r="I299" s="151" t="s">
        <v>71</v>
      </c>
      <c r="J299" s="151" t="s">
        <v>1840</v>
      </c>
      <c r="K299" s="151" t="s">
        <v>324</v>
      </c>
      <c r="L299" s="153">
        <v>2</v>
      </c>
      <c r="M299" s="153">
        <v>3</v>
      </c>
      <c r="N299" s="171">
        <v>12660</v>
      </c>
      <c r="O299" s="177">
        <v>2.5000000000000001E-2</v>
      </c>
      <c r="P299" s="172">
        <f t="shared" si="81"/>
        <v>317</v>
      </c>
      <c r="Q299" s="177">
        <v>0</v>
      </c>
      <c r="R299" s="172">
        <f t="shared" si="82"/>
        <v>0</v>
      </c>
      <c r="S299" s="177">
        <f t="shared" si="83"/>
        <v>2.5039494470774092E-2</v>
      </c>
      <c r="T299" s="172">
        <f t="shared" si="84"/>
        <v>317</v>
      </c>
      <c r="U299" s="172">
        <f t="shared" si="85"/>
        <v>12977</v>
      </c>
      <c r="V299" s="173">
        <f t="shared" si="95"/>
        <v>12977</v>
      </c>
      <c r="W299" s="174">
        <f t="shared" si="86"/>
        <v>317</v>
      </c>
      <c r="X299" s="178">
        <f t="shared" si="80"/>
        <v>2.5000000000000001E-2</v>
      </c>
      <c r="Y299" s="179" t="str">
        <f t="shared" si="78"/>
        <v>2.00%-3.00%</v>
      </c>
      <c r="Z299" s="175"/>
      <c r="AA299" s="175"/>
      <c r="AB299" s="175"/>
      <c r="AC299" s="180"/>
      <c r="AD299" s="171">
        <f t="shared" si="87"/>
        <v>0</v>
      </c>
      <c r="AE299" s="176">
        <f t="shared" si="88"/>
        <v>12977</v>
      </c>
      <c r="AF299" s="164">
        <f t="shared" si="89"/>
        <v>317</v>
      </c>
      <c r="AG299" s="181">
        <f t="shared" si="90"/>
        <v>2.5039494470774137E-2</v>
      </c>
      <c r="AH299" s="166">
        <v>14</v>
      </c>
      <c r="AI299" s="166">
        <v>450</v>
      </c>
      <c r="AJ299" s="166"/>
      <c r="AK299" s="166">
        <v>688</v>
      </c>
      <c r="AL299" s="166">
        <f t="shared" si="91"/>
        <v>187766</v>
      </c>
      <c r="AM299" s="153">
        <v>3</v>
      </c>
      <c r="AN299" s="166"/>
      <c r="AO299" s="167"/>
      <c r="AP299" s="167"/>
      <c r="AQ299" s="151" t="s">
        <v>1761</v>
      </c>
      <c r="AR299" s="151" t="s">
        <v>124</v>
      </c>
      <c r="AW299" s="144" t="str">
        <f t="shared" si="92"/>
        <v>OK</v>
      </c>
      <c r="AX299" s="21" t="s">
        <v>3129</v>
      </c>
      <c r="AY299" s="21" t="s">
        <v>3130</v>
      </c>
      <c r="AZ299" s="21"/>
      <c r="BA299" s="21"/>
    </row>
    <row r="300" spans="1:53" ht="20" customHeight="1">
      <c r="A300" s="86" t="s">
        <v>318</v>
      </c>
      <c r="B300" s="371" t="s">
        <v>2630</v>
      </c>
      <c r="C300" s="151" t="s">
        <v>51</v>
      </c>
      <c r="D300" s="151" t="s">
        <v>52</v>
      </c>
      <c r="E300" s="151" t="s">
        <v>1753</v>
      </c>
      <c r="F300" s="151" t="s">
        <v>1825</v>
      </c>
      <c r="G300" s="151" t="s">
        <v>1826</v>
      </c>
      <c r="H300" s="152">
        <v>40087</v>
      </c>
      <c r="I300" s="151" t="s">
        <v>111</v>
      </c>
      <c r="J300" s="151" t="s">
        <v>1841</v>
      </c>
      <c r="K300" s="151" t="s">
        <v>56</v>
      </c>
      <c r="L300" s="153">
        <v>2</v>
      </c>
      <c r="M300" s="153">
        <v>4</v>
      </c>
      <c r="N300" s="171">
        <v>22351</v>
      </c>
      <c r="O300" s="177">
        <v>0.03</v>
      </c>
      <c r="P300" s="172">
        <f t="shared" si="81"/>
        <v>671</v>
      </c>
      <c r="Q300" s="177">
        <v>0</v>
      </c>
      <c r="R300" s="172">
        <f t="shared" si="82"/>
        <v>0</v>
      </c>
      <c r="S300" s="177">
        <f t="shared" si="83"/>
        <v>3.0021028141917587E-2</v>
      </c>
      <c r="T300" s="172">
        <f t="shared" si="84"/>
        <v>671</v>
      </c>
      <c r="U300" s="172">
        <f t="shared" si="85"/>
        <v>23022</v>
      </c>
      <c r="V300" s="173">
        <v>22888</v>
      </c>
      <c r="W300" s="174">
        <f t="shared" si="86"/>
        <v>537</v>
      </c>
      <c r="X300" s="178">
        <f t="shared" si="80"/>
        <v>2.4E-2</v>
      </c>
      <c r="Y300" s="179" t="str">
        <f t="shared" si="78"/>
        <v>2.40%-3.60%</v>
      </c>
      <c r="Z300" s="175"/>
      <c r="AA300" s="175"/>
      <c r="AB300" s="175"/>
      <c r="AC300" s="180"/>
      <c r="AD300" s="171">
        <f t="shared" si="87"/>
        <v>0</v>
      </c>
      <c r="AE300" s="176">
        <f t="shared" si="88"/>
        <v>22888</v>
      </c>
      <c r="AF300" s="164">
        <f t="shared" si="89"/>
        <v>537</v>
      </c>
      <c r="AG300" s="181">
        <f t="shared" si="90"/>
        <v>2.4025770659030998E-2</v>
      </c>
      <c r="AH300" s="166">
        <v>14</v>
      </c>
      <c r="AI300" s="166">
        <v>1750</v>
      </c>
      <c r="AJ300" s="166"/>
      <c r="AK300" s="166">
        <v>688</v>
      </c>
      <c r="AL300" s="166">
        <f t="shared" si="91"/>
        <v>342120</v>
      </c>
      <c r="AM300" s="153">
        <v>4</v>
      </c>
      <c r="AN300" s="166"/>
      <c r="AO300" s="167"/>
      <c r="AP300" s="167"/>
      <c r="AQ300" s="151" t="s">
        <v>1761</v>
      </c>
      <c r="AR300" s="151" t="s">
        <v>124</v>
      </c>
      <c r="AW300" s="144" t="str">
        <f t="shared" si="92"/>
        <v>OK</v>
      </c>
      <c r="AX300" s="21" t="s">
        <v>3129</v>
      </c>
      <c r="AY300" s="21" t="s">
        <v>3136</v>
      </c>
      <c r="AZ300" s="21"/>
      <c r="BA300" s="21"/>
    </row>
    <row r="301" spans="1:53" ht="20" customHeight="1">
      <c r="A301" s="86" t="s">
        <v>318</v>
      </c>
      <c r="B301" s="371" t="s">
        <v>2631</v>
      </c>
      <c r="C301" s="151" t="s">
        <v>51</v>
      </c>
      <c r="D301" s="151" t="s">
        <v>52</v>
      </c>
      <c r="E301" s="151" t="s">
        <v>1753</v>
      </c>
      <c r="F301" s="151" t="s">
        <v>1824</v>
      </c>
      <c r="G301" s="151" t="s">
        <v>1743</v>
      </c>
      <c r="H301" s="152">
        <v>40422</v>
      </c>
      <c r="I301" s="151" t="s">
        <v>85</v>
      </c>
      <c r="J301" s="151" t="s">
        <v>85</v>
      </c>
      <c r="K301" s="151" t="s">
        <v>76</v>
      </c>
      <c r="L301" s="153">
        <v>2</v>
      </c>
      <c r="M301" s="153">
        <v>3</v>
      </c>
      <c r="N301" s="171">
        <v>11950</v>
      </c>
      <c r="O301" s="177">
        <v>2.5000000000000001E-2</v>
      </c>
      <c r="P301" s="172">
        <f t="shared" si="81"/>
        <v>299</v>
      </c>
      <c r="Q301" s="177">
        <v>0</v>
      </c>
      <c r="R301" s="172">
        <f t="shared" si="82"/>
        <v>0</v>
      </c>
      <c r="S301" s="177">
        <f t="shared" si="83"/>
        <v>2.5020920502092051E-2</v>
      </c>
      <c r="T301" s="172">
        <f t="shared" si="84"/>
        <v>299</v>
      </c>
      <c r="U301" s="172">
        <f t="shared" si="85"/>
        <v>12249</v>
      </c>
      <c r="V301" s="173">
        <v>12353</v>
      </c>
      <c r="W301" s="174">
        <f t="shared" si="86"/>
        <v>403</v>
      </c>
      <c r="X301" s="178">
        <f t="shared" si="80"/>
        <v>3.3700000000000001E-2</v>
      </c>
      <c r="Y301" s="179" t="str">
        <f t="shared" ref="Y301:Y364" si="96">IF(OR(L301=1,L301=2,L301=4),TEXT(S301*0.8,"0.00%")&amp;"-"&amp;TEXT(S301*1.2,"0.00%"),IF(OR(L301=3,L301=6),TEXT(0,"0.00%")&amp;"-"&amp;TEXT(7%*1.2,"0.00%"),IF(OR(L301=5,L301=7),TEXT((R301/N301),"0.00%")&amp;"-"&amp;TEXT((R301/N301)+7%,"0.00%"),"")))</f>
        <v>2.00%-3.00%</v>
      </c>
      <c r="Z301" s="175"/>
      <c r="AA301" s="175"/>
      <c r="AB301" s="175"/>
      <c r="AC301" s="180"/>
      <c r="AD301" s="171">
        <f t="shared" si="87"/>
        <v>0</v>
      </c>
      <c r="AE301" s="176">
        <f t="shared" si="88"/>
        <v>12353</v>
      </c>
      <c r="AF301" s="164">
        <f t="shared" si="89"/>
        <v>403</v>
      </c>
      <c r="AG301" s="181">
        <f t="shared" si="90"/>
        <v>3.372384937238504E-2</v>
      </c>
      <c r="AH301" s="166">
        <v>14</v>
      </c>
      <c r="AI301" s="166">
        <v>450</v>
      </c>
      <c r="AJ301" s="166"/>
      <c r="AK301" s="166">
        <v>688</v>
      </c>
      <c r="AL301" s="166">
        <f t="shared" si="91"/>
        <v>179030</v>
      </c>
      <c r="AM301" s="153">
        <v>2</v>
      </c>
      <c r="AN301" s="166"/>
      <c r="AO301" s="167" t="s">
        <v>1842</v>
      </c>
      <c r="AP301" s="167"/>
      <c r="AQ301" s="151" t="s">
        <v>1761</v>
      </c>
      <c r="AR301" s="151" t="s">
        <v>124</v>
      </c>
      <c r="AW301" s="144" t="str">
        <f t="shared" si="92"/>
        <v>OK</v>
      </c>
      <c r="AX301" s="21" t="s">
        <v>3135</v>
      </c>
      <c r="AY301" s="21" t="s">
        <v>3130</v>
      </c>
      <c r="AZ301" s="21"/>
      <c r="BA301" s="21"/>
    </row>
    <row r="302" spans="1:53" ht="20" customHeight="1">
      <c r="A302" s="86" t="s">
        <v>318</v>
      </c>
      <c r="B302" s="371" t="s">
        <v>2632</v>
      </c>
      <c r="C302" s="151" t="s">
        <v>51</v>
      </c>
      <c r="D302" s="151" t="s">
        <v>52</v>
      </c>
      <c r="E302" s="151" t="s">
        <v>1753</v>
      </c>
      <c r="F302" s="151" t="s">
        <v>1824</v>
      </c>
      <c r="G302" s="151" t="s">
        <v>1743</v>
      </c>
      <c r="H302" s="152">
        <v>40323</v>
      </c>
      <c r="I302" s="151" t="s">
        <v>140</v>
      </c>
      <c r="J302" s="151" t="s">
        <v>141</v>
      </c>
      <c r="K302" s="151" t="s">
        <v>61</v>
      </c>
      <c r="L302" s="153">
        <v>2</v>
      </c>
      <c r="M302" s="153">
        <v>5</v>
      </c>
      <c r="N302" s="171">
        <v>17480</v>
      </c>
      <c r="O302" s="177">
        <v>0.05</v>
      </c>
      <c r="P302" s="172">
        <f t="shared" si="81"/>
        <v>874</v>
      </c>
      <c r="Q302" s="177">
        <v>0</v>
      </c>
      <c r="R302" s="172">
        <f t="shared" si="82"/>
        <v>0</v>
      </c>
      <c r="S302" s="177">
        <f t="shared" si="83"/>
        <v>0.05</v>
      </c>
      <c r="T302" s="172">
        <f t="shared" si="84"/>
        <v>874</v>
      </c>
      <c r="U302" s="172">
        <f t="shared" si="85"/>
        <v>18354</v>
      </c>
      <c r="V302" s="173">
        <f t="shared" si="95"/>
        <v>18354</v>
      </c>
      <c r="W302" s="174">
        <f t="shared" si="86"/>
        <v>874</v>
      </c>
      <c r="X302" s="178">
        <f t="shared" si="80"/>
        <v>0.05</v>
      </c>
      <c r="Y302" s="179" t="str">
        <f t="shared" si="96"/>
        <v>4.00%-6.00%</v>
      </c>
      <c r="Z302" s="175"/>
      <c r="AA302" s="175"/>
      <c r="AB302" s="175"/>
      <c r="AC302" s="180"/>
      <c r="AD302" s="171">
        <f t="shared" si="87"/>
        <v>0</v>
      </c>
      <c r="AE302" s="176">
        <f t="shared" si="88"/>
        <v>18354</v>
      </c>
      <c r="AF302" s="164">
        <f t="shared" si="89"/>
        <v>874</v>
      </c>
      <c r="AG302" s="181">
        <f t="shared" si="90"/>
        <v>5.0000000000000044E-2</v>
      </c>
      <c r="AH302" s="166">
        <v>14</v>
      </c>
      <c r="AI302" s="166">
        <v>450</v>
      </c>
      <c r="AJ302" s="166"/>
      <c r="AK302" s="166">
        <v>688</v>
      </c>
      <c r="AL302" s="166">
        <f t="shared" si="91"/>
        <v>263044</v>
      </c>
      <c r="AM302" s="153">
        <v>5</v>
      </c>
      <c r="AN302" s="166"/>
      <c r="AO302" s="167"/>
      <c r="AP302" s="167"/>
      <c r="AQ302" s="151" t="s">
        <v>1761</v>
      </c>
      <c r="AR302" s="151" t="s">
        <v>124</v>
      </c>
      <c r="AW302" s="144" t="str">
        <f t="shared" si="92"/>
        <v>OK</v>
      </c>
      <c r="AX302" s="21" t="s">
        <v>3129</v>
      </c>
      <c r="AY302" s="21" t="s">
        <v>3130</v>
      </c>
      <c r="AZ302" s="21"/>
      <c r="BA302" s="21"/>
    </row>
    <row r="303" spans="1:53" ht="20" customHeight="1">
      <c r="A303" s="86" t="s">
        <v>318</v>
      </c>
      <c r="B303" s="371" t="s">
        <v>2633</v>
      </c>
      <c r="C303" s="151" t="s">
        <v>51</v>
      </c>
      <c r="D303" s="151" t="s">
        <v>52</v>
      </c>
      <c r="E303" s="151" t="s">
        <v>1753</v>
      </c>
      <c r="F303" s="151" t="s">
        <v>1843</v>
      </c>
      <c r="G303" s="151" t="s">
        <v>1743</v>
      </c>
      <c r="H303" s="152">
        <v>40672</v>
      </c>
      <c r="I303" s="151" t="s">
        <v>55</v>
      </c>
      <c r="J303" s="151" t="s">
        <v>55</v>
      </c>
      <c r="K303" s="151" t="s">
        <v>56</v>
      </c>
      <c r="L303" s="153">
        <v>2</v>
      </c>
      <c r="M303" s="153">
        <v>3</v>
      </c>
      <c r="N303" s="171">
        <v>18800</v>
      </c>
      <c r="O303" s="177">
        <v>2.5000000000000001E-2</v>
      </c>
      <c r="P303" s="172">
        <f t="shared" si="81"/>
        <v>470</v>
      </c>
      <c r="Q303" s="177">
        <v>0</v>
      </c>
      <c r="R303" s="172">
        <f t="shared" si="82"/>
        <v>0</v>
      </c>
      <c r="S303" s="177">
        <f t="shared" si="83"/>
        <v>2.5000000000000001E-2</v>
      </c>
      <c r="T303" s="172">
        <f t="shared" si="84"/>
        <v>470</v>
      </c>
      <c r="U303" s="172">
        <f t="shared" si="85"/>
        <v>19270</v>
      </c>
      <c r="V303" s="173">
        <f t="shared" si="95"/>
        <v>19270</v>
      </c>
      <c r="W303" s="174">
        <f t="shared" si="86"/>
        <v>470</v>
      </c>
      <c r="X303" s="178">
        <f t="shared" si="80"/>
        <v>2.5000000000000001E-2</v>
      </c>
      <c r="Y303" s="179" t="str">
        <f t="shared" si="96"/>
        <v>2.00%-3.00%</v>
      </c>
      <c r="Z303" s="175"/>
      <c r="AA303" s="175"/>
      <c r="AB303" s="175"/>
      <c r="AC303" s="180"/>
      <c r="AD303" s="171">
        <f t="shared" si="87"/>
        <v>0</v>
      </c>
      <c r="AE303" s="176">
        <f t="shared" si="88"/>
        <v>19270</v>
      </c>
      <c r="AF303" s="164">
        <f t="shared" si="89"/>
        <v>470</v>
      </c>
      <c r="AG303" s="181">
        <f t="shared" si="90"/>
        <v>2.4999999999999911E-2</v>
      </c>
      <c r="AH303" s="166">
        <v>14</v>
      </c>
      <c r="AI303" s="166">
        <v>450</v>
      </c>
      <c r="AJ303" s="166"/>
      <c r="AK303" s="166">
        <v>688</v>
      </c>
      <c r="AL303" s="166">
        <f t="shared" si="91"/>
        <v>275868</v>
      </c>
      <c r="AM303" s="153">
        <v>5</v>
      </c>
      <c r="AN303" s="166"/>
      <c r="AO303" s="167"/>
      <c r="AP303" s="167"/>
      <c r="AQ303" s="151" t="s">
        <v>1761</v>
      </c>
      <c r="AR303" s="151" t="s">
        <v>124</v>
      </c>
      <c r="AW303" s="144" t="str">
        <f t="shared" si="92"/>
        <v>OK</v>
      </c>
      <c r="AX303" s="21" t="s">
        <v>3135</v>
      </c>
      <c r="AY303" s="21" t="s">
        <v>3130</v>
      </c>
      <c r="AZ303" s="21"/>
      <c r="BA303" s="21"/>
    </row>
    <row r="304" spans="1:53" ht="20" customHeight="1">
      <c r="A304" s="86" t="s">
        <v>318</v>
      </c>
      <c r="B304" s="371" t="s">
        <v>2634</v>
      </c>
      <c r="C304" s="151" t="s">
        <v>51</v>
      </c>
      <c r="D304" s="151" t="s">
        <v>52</v>
      </c>
      <c r="E304" s="151" t="s">
        <v>1753</v>
      </c>
      <c r="F304" s="151" t="s">
        <v>1838</v>
      </c>
      <c r="G304" s="151" t="s">
        <v>1743</v>
      </c>
      <c r="H304" s="152">
        <v>40749</v>
      </c>
      <c r="I304" s="151" t="s">
        <v>71</v>
      </c>
      <c r="J304" s="151" t="s">
        <v>71</v>
      </c>
      <c r="K304" s="151" t="s">
        <v>61</v>
      </c>
      <c r="L304" s="153">
        <v>2</v>
      </c>
      <c r="M304" s="153">
        <v>4</v>
      </c>
      <c r="N304" s="171">
        <v>13764</v>
      </c>
      <c r="O304" s="177">
        <v>3.7500000000000006E-2</v>
      </c>
      <c r="P304" s="172">
        <f t="shared" si="81"/>
        <v>516</v>
      </c>
      <c r="Q304" s="177">
        <v>1.55E-2</v>
      </c>
      <c r="R304" s="172">
        <f t="shared" si="82"/>
        <v>213</v>
      </c>
      <c r="S304" s="177">
        <f t="shared" si="83"/>
        <v>5.2964254577157803E-2</v>
      </c>
      <c r="T304" s="172">
        <f t="shared" si="84"/>
        <v>729</v>
      </c>
      <c r="U304" s="172">
        <f t="shared" si="85"/>
        <v>14493</v>
      </c>
      <c r="V304" s="173">
        <f t="shared" si="95"/>
        <v>14493</v>
      </c>
      <c r="W304" s="174">
        <f t="shared" si="86"/>
        <v>729</v>
      </c>
      <c r="X304" s="178">
        <f t="shared" si="80"/>
        <v>5.2999999999999999E-2</v>
      </c>
      <c r="Y304" s="179" t="str">
        <f t="shared" si="96"/>
        <v>4.24%-6.36%</v>
      </c>
      <c r="Z304" s="175"/>
      <c r="AA304" s="175"/>
      <c r="AB304" s="175"/>
      <c r="AC304" s="180"/>
      <c r="AD304" s="171">
        <f t="shared" si="87"/>
        <v>0</v>
      </c>
      <c r="AE304" s="176">
        <f t="shared" si="88"/>
        <v>14493</v>
      </c>
      <c r="AF304" s="164">
        <f t="shared" si="89"/>
        <v>729</v>
      </c>
      <c r="AG304" s="181">
        <f t="shared" si="90"/>
        <v>5.296425457715781E-2</v>
      </c>
      <c r="AH304" s="166">
        <v>14</v>
      </c>
      <c r="AI304" s="166">
        <v>450</v>
      </c>
      <c r="AJ304" s="166"/>
      <c r="AK304" s="166">
        <v>688</v>
      </c>
      <c r="AL304" s="166">
        <f t="shared" si="91"/>
        <v>208990</v>
      </c>
      <c r="AM304" s="153">
        <v>3</v>
      </c>
      <c r="AN304" s="166"/>
      <c r="AO304" s="167"/>
      <c r="AP304" s="167"/>
      <c r="AQ304" s="151" t="s">
        <v>1761</v>
      </c>
      <c r="AR304" s="151" t="s">
        <v>124</v>
      </c>
      <c r="AW304" s="144" t="str">
        <f t="shared" si="92"/>
        <v>OK</v>
      </c>
      <c r="AX304" s="21" t="s">
        <v>3135</v>
      </c>
      <c r="AY304" s="21" t="s">
        <v>3130</v>
      </c>
      <c r="AZ304" s="21"/>
      <c r="BA304" s="21"/>
    </row>
    <row r="305" spans="1:53" ht="20" customHeight="1">
      <c r="A305" s="86" t="s">
        <v>318</v>
      </c>
      <c r="B305" s="371" t="s">
        <v>2635</v>
      </c>
      <c r="C305" s="151" t="s">
        <v>51</v>
      </c>
      <c r="D305" s="151" t="s">
        <v>52</v>
      </c>
      <c r="E305" s="151" t="s">
        <v>1753</v>
      </c>
      <c r="F305" s="151" t="s">
        <v>1825</v>
      </c>
      <c r="G305" s="151" t="s">
        <v>1826</v>
      </c>
      <c r="H305" s="152">
        <v>41064</v>
      </c>
      <c r="I305" s="151" t="s">
        <v>1844</v>
      </c>
      <c r="J305" s="151" t="s">
        <v>1845</v>
      </c>
      <c r="K305" s="151" t="s">
        <v>324</v>
      </c>
      <c r="L305" s="153">
        <v>2</v>
      </c>
      <c r="M305" s="153">
        <v>3</v>
      </c>
      <c r="N305" s="171">
        <v>5745</v>
      </c>
      <c r="O305" s="177">
        <v>0</v>
      </c>
      <c r="P305" s="172">
        <f t="shared" si="81"/>
        <v>0</v>
      </c>
      <c r="Q305" s="177">
        <v>0</v>
      </c>
      <c r="R305" s="172">
        <f t="shared" si="82"/>
        <v>0</v>
      </c>
      <c r="S305" s="177">
        <f t="shared" si="83"/>
        <v>0</v>
      </c>
      <c r="T305" s="172">
        <f t="shared" si="84"/>
        <v>0</v>
      </c>
      <c r="U305" s="172">
        <f t="shared" si="85"/>
        <v>5745</v>
      </c>
      <c r="V305" s="173">
        <f t="shared" si="95"/>
        <v>5745</v>
      </c>
      <c r="W305" s="174">
        <f t="shared" si="86"/>
        <v>0</v>
      </c>
      <c r="X305" s="178">
        <f t="shared" si="80"/>
        <v>0</v>
      </c>
      <c r="Y305" s="179" t="str">
        <f t="shared" si="96"/>
        <v>0.00%-0.00%</v>
      </c>
      <c r="Z305" s="175"/>
      <c r="AA305" s="175"/>
      <c r="AB305" s="175"/>
      <c r="AC305" s="180"/>
      <c r="AD305" s="171">
        <f t="shared" si="87"/>
        <v>0</v>
      </c>
      <c r="AE305" s="176">
        <f t="shared" si="88"/>
        <v>5745</v>
      </c>
      <c r="AF305" s="164">
        <f t="shared" si="89"/>
        <v>0</v>
      </c>
      <c r="AG305" s="181">
        <f t="shared" si="90"/>
        <v>0</v>
      </c>
      <c r="AH305" s="166">
        <v>14</v>
      </c>
      <c r="AI305" s="166">
        <v>450</v>
      </c>
      <c r="AJ305" s="166"/>
      <c r="AK305" s="166">
        <v>688</v>
      </c>
      <c r="AL305" s="166">
        <f t="shared" si="91"/>
        <v>86518</v>
      </c>
      <c r="AM305" s="153">
        <v>1</v>
      </c>
      <c r="AN305" s="166"/>
      <c r="AO305" s="167"/>
      <c r="AP305" s="167"/>
      <c r="AQ305" s="151" t="s">
        <v>1761</v>
      </c>
      <c r="AR305" s="151" t="s">
        <v>124</v>
      </c>
      <c r="AW305" s="144" t="str">
        <f t="shared" si="92"/>
        <v>OK</v>
      </c>
      <c r="AX305" s="21" t="s">
        <v>3135</v>
      </c>
      <c r="AY305" s="21" t="s">
        <v>3134</v>
      </c>
      <c r="AZ305" s="21"/>
      <c r="BA305" s="21"/>
    </row>
    <row r="306" spans="1:53" ht="20" customHeight="1">
      <c r="A306" s="86" t="s">
        <v>318</v>
      </c>
      <c r="B306" s="371" t="s">
        <v>2636</v>
      </c>
      <c r="C306" s="151" t="s">
        <v>51</v>
      </c>
      <c r="D306" s="151" t="s">
        <v>52</v>
      </c>
      <c r="E306" s="151" t="s">
        <v>1753</v>
      </c>
      <c r="F306" s="151" t="s">
        <v>1843</v>
      </c>
      <c r="G306" s="151" t="s">
        <v>1743</v>
      </c>
      <c r="H306" s="152">
        <v>41456</v>
      </c>
      <c r="I306" s="151" t="s">
        <v>111</v>
      </c>
      <c r="J306" s="151" t="s">
        <v>1846</v>
      </c>
      <c r="K306" s="151" t="s">
        <v>56</v>
      </c>
      <c r="L306" s="153">
        <v>2</v>
      </c>
      <c r="M306" s="153">
        <v>3</v>
      </c>
      <c r="N306" s="171">
        <v>22940</v>
      </c>
      <c r="O306" s="177">
        <v>0</v>
      </c>
      <c r="P306" s="172">
        <f t="shared" si="81"/>
        <v>0</v>
      </c>
      <c r="Q306" s="177">
        <v>0</v>
      </c>
      <c r="R306" s="172">
        <f t="shared" si="82"/>
        <v>0</v>
      </c>
      <c r="S306" s="177">
        <f t="shared" si="83"/>
        <v>0</v>
      </c>
      <c r="T306" s="172">
        <f t="shared" si="84"/>
        <v>0</v>
      </c>
      <c r="U306" s="172">
        <f t="shared" si="85"/>
        <v>22940</v>
      </c>
      <c r="V306" s="173">
        <f t="shared" si="95"/>
        <v>22940</v>
      </c>
      <c r="W306" s="174">
        <f t="shared" si="86"/>
        <v>0</v>
      </c>
      <c r="X306" s="178">
        <f t="shared" si="80"/>
        <v>0</v>
      </c>
      <c r="Y306" s="179" t="str">
        <f t="shared" si="96"/>
        <v>0.00%-0.00%</v>
      </c>
      <c r="Z306" s="175"/>
      <c r="AA306" s="175"/>
      <c r="AB306" s="175"/>
      <c r="AC306" s="180"/>
      <c r="AD306" s="171">
        <f t="shared" si="87"/>
        <v>0</v>
      </c>
      <c r="AE306" s="176">
        <f t="shared" si="88"/>
        <v>22940</v>
      </c>
      <c r="AF306" s="164">
        <f t="shared" si="89"/>
        <v>0</v>
      </c>
      <c r="AG306" s="181">
        <f t="shared" si="90"/>
        <v>0</v>
      </c>
      <c r="AH306" s="166">
        <v>14</v>
      </c>
      <c r="AI306" s="166">
        <v>450</v>
      </c>
      <c r="AJ306" s="166"/>
      <c r="AK306" s="166">
        <v>688</v>
      </c>
      <c r="AL306" s="166">
        <f t="shared" si="91"/>
        <v>327248</v>
      </c>
      <c r="AM306" s="153">
        <v>3</v>
      </c>
      <c r="AN306" s="166"/>
      <c r="AO306" s="167"/>
      <c r="AP306" s="167"/>
      <c r="AQ306" s="151" t="s">
        <v>1761</v>
      </c>
      <c r="AR306" s="151" t="s">
        <v>124</v>
      </c>
      <c r="AW306" s="144" t="str">
        <f t="shared" si="92"/>
        <v>OK</v>
      </c>
      <c r="AX306" s="21" t="s">
        <v>3135</v>
      </c>
      <c r="AY306" s="21" t="s">
        <v>3134</v>
      </c>
      <c r="AZ306" s="21"/>
      <c r="BA306" s="21"/>
    </row>
    <row r="307" spans="1:53" ht="20" customHeight="1">
      <c r="A307" s="86" t="s">
        <v>318</v>
      </c>
      <c r="B307" s="371" t="s">
        <v>2637</v>
      </c>
      <c r="C307" s="151" t="s">
        <v>51</v>
      </c>
      <c r="D307" s="151" t="s">
        <v>52</v>
      </c>
      <c r="E307" s="151" t="s">
        <v>1753</v>
      </c>
      <c r="F307" s="151" t="s">
        <v>1824</v>
      </c>
      <c r="G307" s="151" t="s">
        <v>1743</v>
      </c>
      <c r="H307" s="152">
        <v>38869</v>
      </c>
      <c r="I307" s="151" t="s">
        <v>71</v>
      </c>
      <c r="J307" s="151" t="s">
        <v>71</v>
      </c>
      <c r="K307" s="151" t="s">
        <v>61</v>
      </c>
      <c r="L307" s="153">
        <v>2</v>
      </c>
      <c r="M307" s="153">
        <v>3</v>
      </c>
      <c r="N307" s="171">
        <v>18785</v>
      </c>
      <c r="O307" s="177">
        <v>0</v>
      </c>
      <c r="P307" s="172">
        <f t="shared" si="81"/>
        <v>0</v>
      </c>
      <c r="Q307" s="177">
        <v>0</v>
      </c>
      <c r="R307" s="172">
        <f t="shared" si="82"/>
        <v>0</v>
      </c>
      <c r="S307" s="177">
        <f t="shared" si="83"/>
        <v>0</v>
      </c>
      <c r="T307" s="172">
        <f t="shared" si="84"/>
        <v>0</v>
      </c>
      <c r="U307" s="172">
        <f t="shared" si="85"/>
        <v>18785</v>
      </c>
      <c r="V307" s="173">
        <f t="shared" si="95"/>
        <v>18785</v>
      </c>
      <c r="W307" s="174">
        <f t="shared" si="86"/>
        <v>0</v>
      </c>
      <c r="X307" s="178">
        <f t="shared" si="80"/>
        <v>0</v>
      </c>
      <c r="Y307" s="179" t="str">
        <f t="shared" si="96"/>
        <v>0.00%-0.00%</v>
      </c>
      <c r="Z307" s="175"/>
      <c r="AA307" s="175"/>
      <c r="AB307" s="175"/>
      <c r="AC307" s="180"/>
      <c r="AD307" s="171">
        <f t="shared" si="87"/>
        <v>0</v>
      </c>
      <c r="AE307" s="176">
        <f t="shared" si="88"/>
        <v>18785</v>
      </c>
      <c r="AF307" s="164">
        <f t="shared" si="89"/>
        <v>0</v>
      </c>
      <c r="AG307" s="181">
        <f t="shared" si="90"/>
        <v>0</v>
      </c>
      <c r="AH307" s="166">
        <v>14</v>
      </c>
      <c r="AI307" s="166">
        <v>450</v>
      </c>
      <c r="AJ307" s="166"/>
      <c r="AK307" s="166">
        <v>688</v>
      </c>
      <c r="AL307" s="166">
        <f t="shared" si="91"/>
        <v>269078</v>
      </c>
      <c r="AM307" s="153">
        <v>4</v>
      </c>
      <c r="AN307" s="166"/>
      <c r="AO307" s="167"/>
      <c r="AP307" s="167"/>
      <c r="AQ307" s="151" t="s">
        <v>1761</v>
      </c>
      <c r="AR307" s="151" t="s">
        <v>124</v>
      </c>
      <c r="AW307" s="144" t="str">
        <f t="shared" si="92"/>
        <v>OK</v>
      </c>
      <c r="AX307" s="21" t="s">
        <v>3129</v>
      </c>
      <c r="AY307" s="21" t="s">
        <v>3134</v>
      </c>
      <c r="AZ307" s="21"/>
      <c r="BA307" s="21"/>
    </row>
    <row r="308" spans="1:53" ht="20" customHeight="1">
      <c r="A308" s="86" t="s">
        <v>318</v>
      </c>
      <c r="B308" s="371" t="s">
        <v>2638</v>
      </c>
      <c r="C308" s="151" t="s">
        <v>51</v>
      </c>
      <c r="D308" s="151" t="s">
        <v>52</v>
      </c>
      <c r="E308" s="151" t="s">
        <v>1753</v>
      </c>
      <c r="F308" s="151" t="s">
        <v>1838</v>
      </c>
      <c r="G308" s="151" t="s">
        <v>1743</v>
      </c>
      <c r="H308" s="152">
        <v>41526</v>
      </c>
      <c r="I308" s="151" t="s">
        <v>226</v>
      </c>
      <c r="J308" s="151" t="s">
        <v>226</v>
      </c>
      <c r="K308" s="151" t="s">
        <v>84</v>
      </c>
      <c r="L308" s="153">
        <v>2</v>
      </c>
      <c r="M308" s="153">
        <v>4</v>
      </c>
      <c r="N308" s="171">
        <v>9200</v>
      </c>
      <c r="O308" s="177">
        <v>0.03</v>
      </c>
      <c r="P308" s="172">
        <f t="shared" si="81"/>
        <v>276</v>
      </c>
      <c r="Q308" s="177">
        <v>0</v>
      </c>
      <c r="R308" s="172">
        <f t="shared" si="82"/>
        <v>0</v>
      </c>
      <c r="S308" s="177">
        <f t="shared" si="83"/>
        <v>0.03</v>
      </c>
      <c r="T308" s="172">
        <f t="shared" si="84"/>
        <v>276</v>
      </c>
      <c r="U308" s="172">
        <f t="shared" si="85"/>
        <v>9476</v>
      </c>
      <c r="V308" s="173">
        <v>9200</v>
      </c>
      <c r="W308" s="174">
        <f t="shared" si="86"/>
        <v>0</v>
      </c>
      <c r="X308" s="178">
        <f t="shared" si="80"/>
        <v>0</v>
      </c>
      <c r="Y308" s="179" t="str">
        <f t="shared" si="96"/>
        <v>2.40%-3.60%</v>
      </c>
      <c r="Z308" s="175" t="s">
        <v>87</v>
      </c>
      <c r="AA308" s="175"/>
      <c r="AB308" s="175" t="s">
        <v>139</v>
      </c>
      <c r="AC308" s="180">
        <v>0.14080000000000001</v>
      </c>
      <c r="AD308" s="171">
        <f t="shared" si="87"/>
        <v>1295</v>
      </c>
      <c r="AE308" s="176">
        <f t="shared" si="88"/>
        <v>10495</v>
      </c>
      <c r="AF308" s="164">
        <f t="shared" si="89"/>
        <v>1295</v>
      </c>
      <c r="AG308" s="181">
        <f t="shared" si="90"/>
        <v>0.14076086956521738</v>
      </c>
      <c r="AH308" s="166">
        <v>14</v>
      </c>
      <c r="AI308" s="166">
        <v>450</v>
      </c>
      <c r="AJ308" s="166"/>
      <c r="AK308" s="166">
        <v>688</v>
      </c>
      <c r="AL308" s="166">
        <f t="shared" si="91"/>
        <v>153018</v>
      </c>
      <c r="AM308" s="153">
        <v>3</v>
      </c>
      <c r="AN308" s="166"/>
      <c r="AO308" s="167"/>
      <c r="AP308" s="167"/>
      <c r="AQ308" s="151" t="s">
        <v>1761</v>
      </c>
      <c r="AR308" s="151" t="s">
        <v>124</v>
      </c>
      <c r="AW308" s="144" t="str">
        <f t="shared" si="92"/>
        <v>0 increase</v>
      </c>
      <c r="AX308" s="21" t="s">
        <v>3135</v>
      </c>
      <c r="AY308" s="21" t="s">
        <v>3136</v>
      </c>
      <c r="AZ308" s="21"/>
      <c r="BA308" s="21"/>
    </row>
    <row r="309" spans="1:53" ht="20" customHeight="1">
      <c r="A309" s="86" t="s">
        <v>318</v>
      </c>
      <c r="B309" s="371" t="s">
        <v>2639</v>
      </c>
      <c r="C309" s="151" t="s">
        <v>51</v>
      </c>
      <c r="D309" s="151" t="s">
        <v>52</v>
      </c>
      <c r="E309" s="151" t="s">
        <v>1753</v>
      </c>
      <c r="F309" s="151" t="s">
        <v>1758</v>
      </c>
      <c r="G309" s="151" t="s">
        <v>1823</v>
      </c>
      <c r="H309" s="152">
        <v>41743</v>
      </c>
      <c r="I309" s="151" t="s">
        <v>226</v>
      </c>
      <c r="J309" s="151" t="s">
        <v>226</v>
      </c>
      <c r="K309" s="151" t="s">
        <v>324</v>
      </c>
      <c r="L309" s="153">
        <v>2</v>
      </c>
      <c r="M309" s="153">
        <v>3</v>
      </c>
      <c r="N309" s="171">
        <v>6900</v>
      </c>
      <c r="O309" s="177">
        <v>0</v>
      </c>
      <c r="P309" s="172">
        <f t="shared" si="81"/>
        <v>0</v>
      </c>
      <c r="Q309" s="177">
        <v>0</v>
      </c>
      <c r="R309" s="172">
        <f t="shared" si="82"/>
        <v>0</v>
      </c>
      <c r="S309" s="177">
        <f t="shared" si="83"/>
        <v>0</v>
      </c>
      <c r="T309" s="172">
        <f t="shared" si="84"/>
        <v>0</v>
      </c>
      <c r="U309" s="172">
        <f t="shared" si="85"/>
        <v>6900</v>
      </c>
      <c r="V309" s="173">
        <f t="shared" si="95"/>
        <v>6900</v>
      </c>
      <c r="W309" s="174">
        <f t="shared" si="86"/>
        <v>0</v>
      </c>
      <c r="X309" s="178">
        <f t="shared" si="80"/>
        <v>0</v>
      </c>
      <c r="Y309" s="179" t="str">
        <f t="shared" si="96"/>
        <v>0.00%-0.00%</v>
      </c>
      <c r="Z309" s="175"/>
      <c r="AA309" s="175"/>
      <c r="AB309" s="175"/>
      <c r="AC309" s="180"/>
      <c r="AD309" s="171">
        <f t="shared" si="87"/>
        <v>0</v>
      </c>
      <c r="AE309" s="176">
        <f t="shared" si="88"/>
        <v>6900</v>
      </c>
      <c r="AF309" s="164">
        <f t="shared" si="89"/>
        <v>0</v>
      </c>
      <c r="AG309" s="181">
        <f t="shared" si="90"/>
        <v>0</v>
      </c>
      <c r="AH309" s="166">
        <v>14</v>
      </c>
      <c r="AI309" s="166">
        <v>550</v>
      </c>
      <c r="AJ309" s="166"/>
      <c r="AK309" s="166">
        <v>688</v>
      </c>
      <c r="AL309" s="166">
        <f t="shared" si="91"/>
        <v>103888</v>
      </c>
      <c r="AM309" s="153">
        <v>3</v>
      </c>
      <c r="AN309" s="166"/>
      <c r="AO309" s="167"/>
      <c r="AP309" s="167"/>
      <c r="AQ309" s="151" t="s">
        <v>1761</v>
      </c>
      <c r="AR309" s="151" t="s">
        <v>124</v>
      </c>
      <c r="AW309" s="144" t="str">
        <f t="shared" si="92"/>
        <v>OK</v>
      </c>
      <c r="AX309" s="21" t="s">
        <v>3135</v>
      </c>
      <c r="AY309" s="21" t="s">
        <v>3134</v>
      </c>
      <c r="AZ309" s="21"/>
      <c r="BA309" s="21"/>
    </row>
    <row r="310" spans="1:53" ht="20" customHeight="1">
      <c r="A310" s="86" t="s">
        <v>318</v>
      </c>
      <c r="B310" s="371" t="s">
        <v>2640</v>
      </c>
      <c r="C310" s="151" t="s">
        <v>51</v>
      </c>
      <c r="D310" s="151" t="s">
        <v>52</v>
      </c>
      <c r="E310" s="151" t="s">
        <v>1753</v>
      </c>
      <c r="F310" s="151" t="s">
        <v>1825</v>
      </c>
      <c r="G310" s="151" t="s">
        <v>1826</v>
      </c>
      <c r="H310" s="152">
        <v>39142</v>
      </c>
      <c r="I310" s="151" t="s">
        <v>1844</v>
      </c>
      <c r="J310" s="151" t="s">
        <v>1827</v>
      </c>
      <c r="K310" s="151" t="s">
        <v>324</v>
      </c>
      <c r="L310" s="153">
        <v>2</v>
      </c>
      <c r="M310" s="153">
        <v>3</v>
      </c>
      <c r="N310" s="171">
        <v>6227</v>
      </c>
      <c r="O310" s="177">
        <v>0</v>
      </c>
      <c r="P310" s="172">
        <f t="shared" si="81"/>
        <v>0</v>
      </c>
      <c r="Q310" s="177">
        <v>0</v>
      </c>
      <c r="R310" s="172">
        <f t="shared" si="82"/>
        <v>0</v>
      </c>
      <c r="S310" s="177">
        <f t="shared" si="83"/>
        <v>0</v>
      </c>
      <c r="T310" s="172">
        <f t="shared" si="84"/>
        <v>0</v>
      </c>
      <c r="U310" s="172">
        <f t="shared" si="85"/>
        <v>6227</v>
      </c>
      <c r="V310" s="173">
        <f t="shared" si="95"/>
        <v>6227</v>
      </c>
      <c r="W310" s="174">
        <f t="shared" si="86"/>
        <v>0</v>
      </c>
      <c r="X310" s="178">
        <f t="shared" si="80"/>
        <v>0</v>
      </c>
      <c r="Y310" s="179" t="str">
        <f t="shared" si="96"/>
        <v>0.00%-0.00%</v>
      </c>
      <c r="Z310" s="175"/>
      <c r="AA310" s="175"/>
      <c r="AB310" s="175"/>
      <c r="AC310" s="180"/>
      <c r="AD310" s="171">
        <f t="shared" si="87"/>
        <v>0</v>
      </c>
      <c r="AE310" s="176">
        <f t="shared" si="88"/>
        <v>6227</v>
      </c>
      <c r="AF310" s="164">
        <f t="shared" si="89"/>
        <v>0</v>
      </c>
      <c r="AG310" s="181">
        <f t="shared" si="90"/>
        <v>0</v>
      </c>
      <c r="AH310" s="166">
        <v>14</v>
      </c>
      <c r="AI310" s="166">
        <v>450</v>
      </c>
      <c r="AJ310" s="166"/>
      <c r="AK310" s="166">
        <v>688</v>
      </c>
      <c r="AL310" s="166">
        <f t="shared" si="91"/>
        <v>93266</v>
      </c>
      <c r="AM310" s="153">
        <v>3</v>
      </c>
      <c r="AN310" s="166"/>
      <c r="AO310" s="167"/>
      <c r="AP310" s="167"/>
      <c r="AQ310" s="151" t="s">
        <v>1761</v>
      </c>
      <c r="AR310" s="151" t="s">
        <v>124</v>
      </c>
      <c r="AW310" s="144" t="str">
        <f t="shared" si="92"/>
        <v>OK</v>
      </c>
      <c r="AX310" s="21" t="s">
        <v>3129</v>
      </c>
      <c r="AY310" s="21" t="s">
        <v>3134</v>
      </c>
      <c r="AZ310" s="21"/>
      <c r="BA310" s="21"/>
    </row>
    <row r="311" spans="1:53" ht="20" customHeight="1">
      <c r="A311" s="86" t="s">
        <v>318</v>
      </c>
      <c r="B311" s="371" t="s">
        <v>2641</v>
      </c>
      <c r="C311" s="151" t="s">
        <v>51</v>
      </c>
      <c r="D311" s="151" t="s">
        <v>52</v>
      </c>
      <c r="E311" s="151" t="s">
        <v>1753</v>
      </c>
      <c r="F311" s="151" t="s">
        <v>1832</v>
      </c>
      <c r="G311" s="151" t="s">
        <v>1743</v>
      </c>
      <c r="H311" s="152">
        <v>41967</v>
      </c>
      <c r="I311" s="151" t="s">
        <v>226</v>
      </c>
      <c r="J311" s="151" t="s">
        <v>226</v>
      </c>
      <c r="K311" s="151" t="s">
        <v>84</v>
      </c>
      <c r="L311" s="153">
        <v>2</v>
      </c>
      <c r="M311" s="153">
        <v>3</v>
      </c>
      <c r="N311" s="171">
        <v>10900</v>
      </c>
      <c r="O311" s="177">
        <v>0</v>
      </c>
      <c r="P311" s="172">
        <f t="shared" si="81"/>
        <v>0</v>
      </c>
      <c r="Q311" s="177">
        <v>0</v>
      </c>
      <c r="R311" s="172">
        <f t="shared" si="82"/>
        <v>0</v>
      </c>
      <c r="S311" s="177">
        <f t="shared" si="83"/>
        <v>0</v>
      </c>
      <c r="T311" s="172">
        <f t="shared" si="84"/>
        <v>0</v>
      </c>
      <c r="U311" s="172">
        <f t="shared" si="85"/>
        <v>10900</v>
      </c>
      <c r="V311" s="173">
        <f t="shared" si="95"/>
        <v>10900</v>
      </c>
      <c r="W311" s="174">
        <f t="shared" si="86"/>
        <v>0</v>
      </c>
      <c r="X311" s="178">
        <f t="shared" si="80"/>
        <v>0</v>
      </c>
      <c r="Y311" s="179" t="str">
        <f t="shared" si="96"/>
        <v>0.00%-0.00%</v>
      </c>
      <c r="Z311" s="175"/>
      <c r="AA311" s="175"/>
      <c r="AB311" s="175"/>
      <c r="AC311" s="180"/>
      <c r="AD311" s="171">
        <f t="shared" si="87"/>
        <v>0</v>
      </c>
      <c r="AE311" s="176">
        <f t="shared" si="88"/>
        <v>10900</v>
      </c>
      <c r="AF311" s="164">
        <f t="shared" si="89"/>
        <v>0</v>
      </c>
      <c r="AG311" s="181">
        <f t="shared" si="90"/>
        <v>0</v>
      </c>
      <c r="AH311" s="166">
        <v>14</v>
      </c>
      <c r="AI311" s="166">
        <v>450</v>
      </c>
      <c r="AJ311" s="166"/>
      <c r="AK311" s="166">
        <v>688</v>
      </c>
      <c r="AL311" s="166">
        <f t="shared" si="91"/>
        <v>158688</v>
      </c>
      <c r="AM311" s="153">
        <v>3</v>
      </c>
      <c r="AN311" s="166"/>
      <c r="AO311" s="167"/>
      <c r="AP311" s="167"/>
      <c r="AQ311" s="151" t="s">
        <v>1761</v>
      </c>
      <c r="AR311" s="151" t="s">
        <v>124</v>
      </c>
      <c r="AW311" s="144" t="str">
        <f t="shared" si="92"/>
        <v>OK</v>
      </c>
      <c r="AX311" s="21" t="s">
        <v>3135</v>
      </c>
      <c r="AY311" s="21" t="s">
        <v>3134</v>
      </c>
      <c r="AZ311" s="21"/>
      <c r="BA311" s="21"/>
    </row>
    <row r="312" spans="1:53" ht="20" customHeight="1">
      <c r="A312" s="86" t="s">
        <v>318</v>
      </c>
      <c r="B312" s="371" t="s">
        <v>2642</v>
      </c>
      <c r="C312" s="151" t="s">
        <v>51</v>
      </c>
      <c r="D312" s="151" t="s">
        <v>52</v>
      </c>
      <c r="E312" s="151" t="s">
        <v>1753</v>
      </c>
      <c r="F312" s="151" t="s">
        <v>1758</v>
      </c>
      <c r="G312" s="151" t="s">
        <v>1823</v>
      </c>
      <c r="H312" s="152">
        <v>42110</v>
      </c>
      <c r="I312" s="151" t="s">
        <v>1844</v>
      </c>
      <c r="J312" s="151" t="s">
        <v>1845</v>
      </c>
      <c r="K312" s="151" t="s">
        <v>324</v>
      </c>
      <c r="L312" s="153">
        <v>2</v>
      </c>
      <c r="M312" s="153">
        <v>3</v>
      </c>
      <c r="N312" s="171">
        <v>6466</v>
      </c>
      <c r="O312" s="177">
        <v>0</v>
      </c>
      <c r="P312" s="172">
        <f t="shared" si="81"/>
        <v>0</v>
      </c>
      <c r="Q312" s="177">
        <v>0</v>
      </c>
      <c r="R312" s="172">
        <f t="shared" si="82"/>
        <v>0</v>
      </c>
      <c r="S312" s="177">
        <f t="shared" si="83"/>
        <v>0</v>
      </c>
      <c r="T312" s="172">
        <f t="shared" si="84"/>
        <v>0</v>
      </c>
      <c r="U312" s="172">
        <f t="shared" si="85"/>
        <v>6466</v>
      </c>
      <c r="V312" s="173">
        <f t="shared" si="95"/>
        <v>6466</v>
      </c>
      <c r="W312" s="174">
        <f t="shared" si="86"/>
        <v>0</v>
      </c>
      <c r="X312" s="178">
        <f t="shared" si="80"/>
        <v>0</v>
      </c>
      <c r="Y312" s="179" t="str">
        <f t="shared" si="96"/>
        <v>0.00%-0.00%</v>
      </c>
      <c r="Z312" s="175"/>
      <c r="AA312" s="175"/>
      <c r="AB312" s="175"/>
      <c r="AC312" s="180"/>
      <c r="AD312" s="171">
        <f t="shared" si="87"/>
        <v>0</v>
      </c>
      <c r="AE312" s="176">
        <f t="shared" si="88"/>
        <v>6466</v>
      </c>
      <c r="AF312" s="164">
        <f t="shared" si="89"/>
        <v>0</v>
      </c>
      <c r="AG312" s="181">
        <f t="shared" si="90"/>
        <v>0</v>
      </c>
      <c r="AH312" s="166">
        <v>14</v>
      </c>
      <c r="AI312" s="166">
        <v>450</v>
      </c>
      <c r="AJ312" s="166"/>
      <c r="AK312" s="166">
        <v>688</v>
      </c>
      <c r="AL312" s="166">
        <f t="shared" si="91"/>
        <v>96612</v>
      </c>
      <c r="AM312" s="153">
        <v>3</v>
      </c>
      <c r="AN312" s="166"/>
      <c r="AO312" s="167"/>
      <c r="AP312" s="167"/>
      <c r="AQ312" s="151" t="s">
        <v>1761</v>
      </c>
      <c r="AR312" s="151" t="s">
        <v>124</v>
      </c>
      <c r="AW312" s="144" t="str">
        <f t="shared" si="92"/>
        <v>OK</v>
      </c>
      <c r="AX312" s="21" t="s">
        <v>3135</v>
      </c>
      <c r="AY312" s="21" t="s">
        <v>3134</v>
      </c>
      <c r="AZ312" s="21"/>
      <c r="BA312" s="21"/>
    </row>
    <row r="313" spans="1:53" ht="20" customHeight="1">
      <c r="A313" s="86" t="s">
        <v>318</v>
      </c>
      <c r="B313" s="371" t="s">
        <v>2643</v>
      </c>
      <c r="C313" s="151" t="s">
        <v>51</v>
      </c>
      <c r="D313" s="151" t="s">
        <v>52</v>
      </c>
      <c r="E313" s="151" t="s">
        <v>1753</v>
      </c>
      <c r="F313" s="151" t="s">
        <v>1838</v>
      </c>
      <c r="G313" s="151" t="s">
        <v>1743</v>
      </c>
      <c r="H313" s="152">
        <v>42201</v>
      </c>
      <c r="I313" s="151" t="s">
        <v>226</v>
      </c>
      <c r="J313" s="151" t="s">
        <v>226</v>
      </c>
      <c r="K313" s="151" t="s">
        <v>84</v>
      </c>
      <c r="L313" s="153">
        <v>2</v>
      </c>
      <c r="M313" s="153">
        <v>3</v>
      </c>
      <c r="N313" s="171">
        <v>8550</v>
      </c>
      <c r="O313" s="177">
        <v>0</v>
      </c>
      <c r="P313" s="172">
        <f t="shared" si="81"/>
        <v>0</v>
      </c>
      <c r="Q313" s="177">
        <v>0</v>
      </c>
      <c r="R313" s="172">
        <f t="shared" si="82"/>
        <v>0</v>
      </c>
      <c r="S313" s="177">
        <f t="shared" si="83"/>
        <v>0</v>
      </c>
      <c r="T313" s="172">
        <f t="shared" si="84"/>
        <v>0</v>
      </c>
      <c r="U313" s="172">
        <f t="shared" si="85"/>
        <v>8550</v>
      </c>
      <c r="V313" s="173">
        <f t="shared" si="95"/>
        <v>8550</v>
      </c>
      <c r="W313" s="174">
        <f t="shared" si="86"/>
        <v>0</v>
      </c>
      <c r="X313" s="178">
        <f t="shared" si="80"/>
        <v>0</v>
      </c>
      <c r="Y313" s="179" t="str">
        <f t="shared" si="96"/>
        <v>0.00%-0.00%</v>
      </c>
      <c r="Z313" s="175"/>
      <c r="AA313" s="175"/>
      <c r="AB313" s="175"/>
      <c r="AC313" s="180"/>
      <c r="AD313" s="171">
        <f t="shared" si="87"/>
        <v>0</v>
      </c>
      <c r="AE313" s="176">
        <f t="shared" si="88"/>
        <v>8550</v>
      </c>
      <c r="AF313" s="164">
        <f t="shared" si="89"/>
        <v>0</v>
      </c>
      <c r="AG313" s="181">
        <f t="shared" si="90"/>
        <v>0</v>
      </c>
      <c r="AH313" s="166">
        <v>14</v>
      </c>
      <c r="AI313" s="166">
        <v>450</v>
      </c>
      <c r="AJ313" s="166"/>
      <c r="AK313" s="166">
        <v>688</v>
      </c>
      <c r="AL313" s="166">
        <f t="shared" si="91"/>
        <v>125788</v>
      </c>
      <c r="AM313" s="153">
        <v>3</v>
      </c>
      <c r="AN313" s="166"/>
      <c r="AO313" s="167"/>
      <c r="AP313" s="167"/>
      <c r="AQ313" s="151" t="s">
        <v>1761</v>
      </c>
      <c r="AR313" s="151" t="s">
        <v>124</v>
      </c>
      <c r="AW313" s="144" t="str">
        <f t="shared" si="92"/>
        <v>OK</v>
      </c>
      <c r="AX313" s="21" t="s">
        <v>3133</v>
      </c>
      <c r="AY313" s="21" t="s">
        <v>3134</v>
      </c>
      <c r="AZ313" s="21"/>
      <c r="BA313" s="21"/>
    </row>
    <row r="314" spans="1:53" ht="20" customHeight="1">
      <c r="A314" s="86" t="s">
        <v>318</v>
      </c>
      <c r="B314" s="371" t="s">
        <v>2644</v>
      </c>
      <c r="C314" s="151" t="s">
        <v>51</v>
      </c>
      <c r="D314" s="151" t="s">
        <v>52</v>
      </c>
      <c r="E314" s="151" t="s">
        <v>1753</v>
      </c>
      <c r="F314" s="151" t="s">
        <v>1843</v>
      </c>
      <c r="G314" s="151" t="s">
        <v>1743</v>
      </c>
      <c r="H314" s="152">
        <v>42493</v>
      </c>
      <c r="I314" s="151" t="s">
        <v>85</v>
      </c>
      <c r="J314" s="151" t="s">
        <v>85</v>
      </c>
      <c r="K314" s="151" t="s">
        <v>76</v>
      </c>
      <c r="L314" s="153">
        <v>2</v>
      </c>
      <c r="M314" s="153">
        <v>3</v>
      </c>
      <c r="N314" s="171">
        <v>9866</v>
      </c>
      <c r="O314" s="177">
        <v>2.5000000000000001E-2</v>
      </c>
      <c r="P314" s="172">
        <f t="shared" si="81"/>
        <v>247</v>
      </c>
      <c r="Q314" s="177">
        <v>0</v>
      </c>
      <c r="R314" s="172">
        <f t="shared" si="82"/>
        <v>0</v>
      </c>
      <c r="S314" s="177">
        <f t="shared" si="83"/>
        <v>2.5035475369957431E-2</v>
      </c>
      <c r="T314" s="172">
        <f t="shared" si="84"/>
        <v>247</v>
      </c>
      <c r="U314" s="172">
        <f t="shared" si="85"/>
        <v>10113</v>
      </c>
      <c r="V314" s="173">
        <f t="shared" si="95"/>
        <v>10113</v>
      </c>
      <c r="W314" s="174">
        <f t="shared" si="86"/>
        <v>247</v>
      </c>
      <c r="X314" s="178">
        <f t="shared" si="80"/>
        <v>2.5000000000000001E-2</v>
      </c>
      <c r="Y314" s="179" t="str">
        <f t="shared" si="96"/>
        <v>2.00%-3.00%</v>
      </c>
      <c r="Z314" s="175"/>
      <c r="AA314" s="175"/>
      <c r="AB314" s="175"/>
      <c r="AC314" s="180"/>
      <c r="AD314" s="171">
        <f t="shared" si="87"/>
        <v>0</v>
      </c>
      <c r="AE314" s="176">
        <f t="shared" si="88"/>
        <v>10113</v>
      </c>
      <c r="AF314" s="164">
        <f t="shared" si="89"/>
        <v>247</v>
      </c>
      <c r="AG314" s="181">
        <f t="shared" si="90"/>
        <v>2.5035475369957538E-2</v>
      </c>
      <c r="AH314" s="166">
        <v>14</v>
      </c>
      <c r="AI314" s="166">
        <v>450</v>
      </c>
      <c r="AJ314" s="166"/>
      <c r="AK314" s="166">
        <v>688</v>
      </c>
      <c r="AL314" s="166">
        <f t="shared" si="91"/>
        <v>147670</v>
      </c>
      <c r="AM314" s="153">
        <v>3</v>
      </c>
      <c r="AN314" s="166"/>
      <c r="AO314" s="167"/>
      <c r="AP314" s="167"/>
      <c r="AQ314" s="151" t="s">
        <v>1761</v>
      </c>
      <c r="AR314" s="151" t="s">
        <v>124</v>
      </c>
      <c r="AW314" s="144" t="str">
        <f t="shared" si="92"/>
        <v>OK</v>
      </c>
      <c r="AX314" s="21" t="s">
        <v>3133</v>
      </c>
      <c r="AY314" s="21" t="s">
        <v>3130</v>
      </c>
      <c r="AZ314" s="21"/>
      <c r="BA314" s="21"/>
    </row>
    <row r="315" spans="1:53" ht="20" customHeight="1">
      <c r="A315" s="86" t="s">
        <v>318</v>
      </c>
      <c r="B315" s="371" t="s">
        <v>2645</v>
      </c>
      <c r="C315" s="151" t="s">
        <v>51</v>
      </c>
      <c r="D315" s="151" t="s">
        <v>52</v>
      </c>
      <c r="E315" s="151" t="s">
        <v>1753</v>
      </c>
      <c r="F315" s="151" t="s">
        <v>1843</v>
      </c>
      <c r="G315" s="151" t="s">
        <v>1743</v>
      </c>
      <c r="H315" s="152">
        <v>43332</v>
      </c>
      <c r="I315" s="151" t="s">
        <v>85</v>
      </c>
      <c r="J315" s="151" t="s">
        <v>85</v>
      </c>
      <c r="K315" s="151" t="s">
        <v>76</v>
      </c>
      <c r="L315" s="153">
        <v>2</v>
      </c>
      <c r="M315" s="153">
        <v>5</v>
      </c>
      <c r="N315" s="171">
        <v>10260</v>
      </c>
      <c r="O315" s="177">
        <v>0.05</v>
      </c>
      <c r="P315" s="172">
        <f t="shared" si="81"/>
        <v>513</v>
      </c>
      <c r="Q315" s="177">
        <v>2.7E-2</v>
      </c>
      <c r="R315" s="172">
        <f t="shared" si="82"/>
        <v>277</v>
      </c>
      <c r="S315" s="177">
        <f t="shared" si="83"/>
        <v>7.6998050682261204E-2</v>
      </c>
      <c r="T315" s="172">
        <f t="shared" si="84"/>
        <v>790</v>
      </c>
      <c r="U315" s="172">
        <f t="shared" si="85"/>
        <v>11050</v>
      </c>
      <c r="V315" s="173">
        <f t="shared" si="95"/>
        <v>11050</v>
      </c>
      <c r="W315" s="174">
        <f t="shared" si="86"/>
        <v>790</v>
      </c>
      <c r="X315" s="178">
        <f t="shared" si="80"/>
        <v>7.6999999999999999E-2</v>
      </c>
      <c r="Y315" s="179" t="str">
        <f t="shared" si="96"/>
        <v>6.16%-9.24%</v>
      </c>
      <c r="Z315" s="175"/>
      <c r="AA315" s="175"/>
      <c r="AB315" s="175"/>
      <c r="AC315" s="180"/>
      <c r="AD315" s="171">
        <f t="shared" si="87"/>
        <v>0</v>
      </c>
      <c r="AE315" s="176">
        <f t="shared" si="88"/>
        <v>11050</v>
      </c>
      <c r="AF315" s="164">
        <f t="shared" si="89"/>
        <v>790</v>
      </c>
      <c r="AG315" s="181">
        <f t="shared" si="90"/>
        <v>7.6998050682261177E-2</v>
      </c>
      <c r="AH315" s="166">
        <v>14</v>
      </c>
      <c r="AI315" s="166">
        <v>450</v>
      </c>
      <c r="AJ315" s="166"/>
      <c r="AK315" s="166">
        <v>688</v>
      </c>
      <c r="AL315" s="166">
        <f t="shared" si="91"/>
        <v>160788</v>
      </c>
      <c r="AM315" s="153">
        <v>2</v>
      </c>
      <c r="AN315" s="166"/>
      <c r="AO315" s="167"/>
      <c r="AP315" s="167"/>
      <c r="AQ315" s="151" t="s">
        <v>1761</v>
      </c>
      <c r="AR315" s="151" t="s">
        <v>124</v>
      </c>
      <c r="AW315" s="144" t="str">
        <f t="shared" si="92"/>
        <v>OK</v>
      </c>
      <c r="AX315" s="21" t="s">
        <v>3133</v>
      </c>
      <c r="AY315" s="21" t="s">
        <v>3130</v>
      </c>
      <c r="AZ315" s="21"/>
      <c r="BA315" s="21"/>
    </row>
    <row r="316" spans="1:53" ht="20" customHeight="1">
      <c r="A316" s="86" t="s">
        <v>318</v>
      </c>
      <c r="B316" s="371" t="s">
        <v>2646</v>
      </c>
      <c r="C316" s="151" t="s">
        <v>51</v>
      </c>
      <c r="D316" s="151" t="s">
        <v>52</v>
      </c>
      <c r="E316" s="151" t="s">
        <v>1753</v>
      </c>
      <c r="F316" s="151" t="s">
        <v>1742</v>
      </c>
      <c r="G316" s="151" t="s">
        <v>1743</v>
      </c>
      <c r="H316" s="152">
        <v>44298</v>
      </c>
      <c r="I316" s="151" t="s">
        <v>226</v>
      </c>
      <c r="J316" s="151" t="s">
        <v>226</v>
      </c>
      <c r="K316" s="151" t="s">
        <v>84</v>
      </c>
      <c r="L316" s="153">
        <v>2</v>
      </c>
      <c r="M316" s="153">
        <v>5</v>
      </c>
      <c r="N316" s="171">
        <v>11300</v>
      </c>
      <c r="O316" s="177">
        <v>0.03</v>
      </c>
      <c r="P316" s="172">
        <f t="shared" si="81"/>
        <v>339</v>
      </c>
      <c r="Q316" s="177">
        <v>0</v>
      </c>
      <c r="R316" s="172">
        <f t="shared" si="82"/>
        <v>0</v>
      </c>
      <c r="S316" s="177">
        <f t="shared" si="83"/>
        <v>0.03</v>
      </c>
      <c r="T316" s="172">
        <f t="shared" si="84"/>
        <v>339</v>
      </c>
      <c r="U316" s="172">
        <f t="shared" si="85"/>
        <v>11639</v>
      </c>
      <c r="V316" s="173">
        <v>11300</v>
      </c>
      <c r="W316" s="174">
        <f t="shared" si="86"/>
        <v>0</v>
      </c>
      <c r="X316" s="178">
        <f t="shared" si="80"/>
        <v>0</v>
      </c>
      <c r="Y316" s="179" t="str">
        <f t="shared" si="96"/>
        <v>2.40%-3.60%</v>
      </c>
      <c r="Z316" s="175" t="s">
        <v>87</v>
      </c>
      <c r="AA316" s="175"/>
      <c r="AB316" s="175" t="s">
        <v>76</v>
      </c>
      <c r="AC316" s="180">
        <v>0.155</v>
      </c>
      <c r="AD316" s="171">
        <f t="shared" si="87"/>
        <v>1752</v>
      </c>
      <c r="AE316" s="176">
        <f t="shared" si="88"/>
        <v>13052</v>
      </c>
      <c r="AF316" s="164">
        <f t="shared" si="89"/>
        <v>1752</v>
      </c>
      <c r="AG316" s="181">
        <f t="shared" si="90"/>
        <v>0.15504424778761061</v>
      </c>
      <c r="AH316" s="166">
        <v>14</v>
      </c>
      <c r="AI316" s="166">
        <v>550</v>
      </c>
      <c r="AJ316" s="166"/>
      <c r="AK316" s="166">
        <v>688</v>
      </c>
      <c r="AL316" s="166">
        <f t="shared" si="91"/>
        <v>190016</v>
      </c>
      <c r="AM316" s="153">
        <v>3</v>
      </c>
      <c r="AN316" s="166"/>
      <c r="AO316" s="167" t="s">
        <v>1847</v>
      </c>
      <c r="AP316" s="167"/>
      <c r="AQ316" s="151" t="s">
        <v>1761</v>
      </c>
      <c r="AR316" s="151" t="s">
        <v>124</v>
      </c>
      <c r="AW316" s="144" t="str">
        <f t="shared" si="92"/>
        <v>0 increase</v>
      </c>
      <c r="AX316" s="21" t="s">
        <v>3131</v>
      </c>
      <c r="AY316" s="21" t="s">
        <v>3138</v>
      </c>
      <c r="AZ316" s="21"/>
      <c r="BA316" s="21"/>
    </row>
    <row r="317" spans="1:53" ht="20" customHeight="1">
      <c r="A317" s="86" t="s">
        <v>318</v>
      </c>
      <c r="B317" s="371" t="s">
        <v>2647</v>
      </c>
      <c r="C317" s="151" t="s">
        <v>51</v>
      </c>
      <c r="D317" s="151" t="s">
        <v>52</v>
      </c>
      <c r="E317" s="151" t="s">
        <v>1753</v>
      </c>
      <c r="F317" s="151" t="s">
        <v>1843</v>
      </c>
      <c r="G317" s="151" t="s">
        <v>1743</v>
      </c>
      <c r="H317" s="152">
        <v>44487</v>
      </c>
      <c r="I317" s="151" t="s">
        <v>85</v>
      </c>
      <c r="J317" s="151" t="s">
        <v>85</v>
      </c>
      <c r="K317" s="151" t="s">
        <v>76</v>
      </c>
      <c r="L317" s="153">
        <v>2</v>
      </c>
      <c r="M317" s="153">
        <v>4</v>
      </c>
      <c r="N317" s="171">
        <v>13378</v>
      </c>
      <c r="O317" s="177">
        <v>2.2499999999999999E-2</v>
      </c>
      <c r="P317" s="172">
        <f t="shared" si="81"/>
        <v>301</v>
      </c>
      <c r="Q317" s="177">
        <v>0</v>
      </c>
      <c r="R317" s="172">
        <f t="shared" si="82"/>
        <v>0</v>
      </c>
      <c r="S317" s="177">
        <f t="shared" si="83"/>
        <v>2.2499626252055614E-2</v>
      </c>
      <c r="T317" s="172">
        <f t="shared" si="84"/>
        <v>301</v>
      </c>
      <c r="U317" s="172">
        <f t="shared" si="85"/>
        <v>13679</v>
      </c>
      <c r="V317" s="173">
        <f t="shared" si="95"/>
        <v>13679</v>
      </c>
      <c r="W317" s="174">
        <f t="shared" si="86"/>
        <v>301</v>
      </c>
      <c r="X317" s="178">
        <f t="shared" si="80"/>
        <v>2.2499999999999999E-2</v>
      </c>
      <c r="Y317" s="179" t="str">
        <f t="shared" si="96"/>
        <v>1.80%-2.70%</v>
      </c>
      <c r="Z317" s="175"/>
      <c r="AA317" s="175"/>
      <c r="AB317" s="175"/>
      <c r="AC317" s="180"/>
      <c r="AD317" s="171">
        <f t="shared" si="87"/>
        <v>0</v>
      </c>
      <c r="AE317" s="176">
        <f t="shared" si="88"/>
        <v>13679</v>
      </c>
      <c r="AF317" s="164">
        <f t="shared" si="89"/>
        <v>301</v>
      </c>
      <c r="AG317" s="181">
        <f t="shared" si="90"/>
        <v>2.2499626252055593E-2</v>
      </c>
      <c r="AH317" s="166">
        <v>14</v>
      </c>
      <c r="AI317" s="166">
        <v>550</v>
      </c>
      <c r="AJ317" s="166"/>
      <c r="AK317" s="166">
        <v>688</v>
      </c>
      <c r="AL317" s="166">
        <f t="shared" si="91"/>
        <v>198794</v>
      </c>
      <c r="AM317" s="153">
        <v>3</v>
      </c>
      <c r="AN317" s="166"/>
      <c r="AO317" s="167"/>
      <c r="AP317" s="167"/>
      <c r="AQ317" s="151" t="s">
        <v>1761</v>
      </c>
      <c r="AR317" s="151" t="s">
        <v>124</v>
      </c>
      <c r="AW317" s="144" t="str">
        <f t="shared" si="92"/>
        <v>OK</v>
      </c>
      <c r="AX317" s="21" t="s">
        <v>3131</v>
      </c>
      <c r="AY317" s="21" t="s">
        <v>3138</v>
      </c>
      <c r="AZ317" s="21"/>
      <c r="BA317" s="21"/>
    </row>
    <row r="318" spans="1:53" ht="20" customHeight="1">
      <c r="A318" s="86" t="s">
        <v>318</v>
      </c>
      <c r="B318" s="371" t="s">
        <v>2648</v>
      </c>
      <c r="C318" s="151" t="s">
        <v>51</v>
      </c>
      <c r="D318" s="151" t="s">
        <v>52</v>
      </c>
      <c r="E318" s="151" t="s">
        <v>1753</v>
      </c>
      <c r="F318" s="151" t="s">
        <v>1824</v>
      </c>
      <c r="G318" s="151" t="s">
        <v>1743</v>
      </c>
      <c r="H318" s="152">
        <v>38050</v>
      </c>
      <c r="I318" s="151" t="s">
        <v>198</v>
      </c>
      <c r="J318" s="151" t="s">
        <v>1848</v>
      </c>
      <c r="K318" s="151" t="s">
        <v>199</v>
      </c>
      <c r="L318" s="153">
        <v>2</v>
      </c>
      <c r="M318" s="153">
        <v>4</v>
      </c>
      <c r="N318" s="171">
        <v>48985</v>
      </c>
      <c r="O318" s="177">
        <v>3.7500000000000006E-2</v>
      </c>
      <c r="P318" s="172">
        <f t="shared" si="81"/>
        <v>1837</v>
      </c>
      <c r="Q318" s="177">
        <v>0</v>
      </c>
      <c r="R318" s="172">
        <f t="shared" si="82"/>
        <v>0</v>
      </c>
      <c r="S318" s="177">
        <f t="shared" si="83"/>
        <v>3.7501275900785953E-2</v>
      </c>
      <c r="T318" s="172">
        <f t="shared" si="84"/>
        <v>1837</v>
      </c>
      <c r="U318" s="172">
        <f t="shared" si="85"/>
        <v>50822</v>
      </c>
      <c r="V318" s="173">
        <v>50500</v>
      </c>
      <c r="W318" s="174">
        <f t="shared" si="86"/>
        <v>1515</v>
      </c>
      <c r="X318" s="178">
        <f t="shared" si="80"/>
        <v>3.09E-2</v>
      </c>
      <c r="Y318" s="179" t="str">
        <f t="shared" si="96"/>
        <v>3.00%-4.50%</v>
      </c>
      <c r="Z318" s="175"/>
      <c r="AA318" s="175"/>
      <c r="AB318" s="175"/>
      <c r="AC318" s="180"/>
      <c r="AD318" s="171">
        <f t="shared" si="87"/>
        <v>0</v>
      </c>
      <c r="AE318" s="176">
        <f t="shared" si="88"/>
        <v>50500</v>
      </c>
      <c r="AF318" s="164">
        <f t="shared" si="89"/>
        <v>1515</v>
      </c>
      <c r="AG318" s="181">
        <f t="shared" si="90"/>
        <v>3.0927835051546282E-2</v>
      </c>
      <c r="AH318" s="166">
        <v>14</v>
      </c>
      <c r="AI318" s="166">
        <v>450</v>
      </c>
      <c r="AJ318" s="166">
        <v>1000</v>
      </c>
      <c r="AK318" s="166">
        <v>688</v>
      </c>
      <c r="AL318" s="166">
        <f t="shared" si="91"/>
        <v>725088</v>
      </c>
      <c r="AM318" s="153">
        <v>4</v>
      </c>
      <c r="AN318" s="166"/>
      <c r="AO318" s="167"/>
      <c r="AP318" s="167"/>
      <c r="AQ318" s="151" t="s">
        <v>1761</v>
      </c>
      <c r="AR318" s="151" t="s">
        <v>124</v>
      </c>
      <c r="AW318" s="144" t="str">
        <f t="shared" si="92"/>
        <v>OK</v>
      </c>
      <c r="AX318" s="21" t="s">
        <v>3139</v>
      </c>
      <c r="AY318" s="21" t="s">
        <v>3130</v>
      </c>
      <c r="AZ318" s="21"/>
      <c r="BA318" s="21"/>
    </row>
    <row r="319" spans="1:53" ht="20" customHeight="1">
      <c r="A319" s="86" t="s">
        <v>318</v>
      </c>
      <c r="B319" s="371" t="s">
        <v>2649</v>
      </c>
      <c r="C319" s="151" t="s">
        <v>51</v>
      </c>
      <c r="D319" s="151" t="s">
        <v>52</v>
      </c>
      <c r="E319" s="151" t="s">
        <v>1753</v>
      </c>
      <c r="F319" s="151" t="s">
        <v>1829</v>
      </c>
      <c r="G319" s="151" t="s">
        <v>1830</v>
      </c>
      <c r="H319" s="152">
        <v>38762</v>
      </c>
      <c r="I319" s="151" t="s">
        <v>71</v>
      </c>
      <c r="J319" s="151" t="s">
        <v>1831</v>
      </c>
      <c r="K319" s="151" t="s">
        <v>324</v>
      </c>
      <c r="L319" s="153">
        <v>2</v>
      </c>
      <c r="M319" s="153">
        <v>3</v>
      </c>
      <c r="N319" s="171">
        <v>15211</v>
      </c>
      <c r="O319" s="177">
        <v>0</v>
      </c>
      <c r="P319" s="172">
        <f t="shared" si="81"/>
        <v>0</v>
      </c>
      <c r="Q319" s="177">
        <v>0</v>
      </c>
      <c r="R319" s="172">
        <f t="shared" si="82"/>
        <v>0</v>
      </c>
      <c r="S319" s="177">
        <f t="shared" si="83"/>
        <v>0</v>
      </c>
      <c r="T319" s="172">
        <f t="shared" si="84"/>
        <v>0</v>
      </c>
      <c r="U319" s="172">
        <f t="shared" si="85"/>
        <v>15211</v>
      </c>
      <c r="V319" s="173">
        <f t="shared" si="95"/>
        <v>15211</v>
      </c>
      <c r="W319" s="174">
        <f t="shared" si="86"/>
        <v>0</v>
      </c>
      <c r="X319" s="178">
        <f t="shared" ref="X319:X382" si="97">ROUND(V319/N319-1,4)</f>
        <v>0</v>
      </c>
      <c r="Y319" s="179" t="str">
        <f t="shared" si="96"/>
        <v>0.00%-0.00%</v>
      </c>
      <c r="Z319" s="175"/>
      <c r="AA319" s="175"/>
      <c r="AB319" s="175"/>
      <c r="AC319" s="180"/>
      <c r="AD319" s="171">
        <f t="shared" si="87"/>
        <v>0</v>
      </c>
      <c r="AE319" s="176">
        <f t="shared" si="88"/>
        <v>15211</v>
      </c>
      <c r="AF319" s="164">
        <f t="shared" si="89"/>
        <v>0</v>
      </c>
      <c r="AG319" s="181">
        <f t="shared" si="90"/>
        <v>0</v>
      </c>
      <c r="AH319" s="166">
        <v>14</v>
      </c>
      <c r="AI319" s="166">
        <v>450</v>
      </c>
      <c r="AJ319" s="166"/>
      <c r="AK319" s="166">
        <v>688</v>
      </c>
      <c r="AL319" s="166">
        <f t="shared" si="91"/>
        <v>219042</v>
      </c>
      <c r="AM319" s="153">
        <v>3</v>
      </c>
      <c r="AN319" s="166"/>
      <c r="AO319" s="167"/>
      <c r="AP319" s="167"/>
      <c r="AQ319" s="151" t="s">
        <v>1761</v>
      </c>
      <c r="AR319" s="151" t="s">
        <v>124</v>
      </c>
      <c r="AW319" s="144" t="str">
        <f t="shared" si="92"/>
        <v>OK</v>
      </c>
      <c r="AX319" s="21" t="s">
        <v>3129</v>
      </c>
      <c r="AY319" s="21" t="s">
        <v>3134</v>
      </c>
      <c r="AZ319" s="21"/>
      <c r="BA319" s="21"/>
    </row>
    <row r="320" spans="1:53" ht="20" customHeight="1">
      <c r="A320" s="86" t="s">
        <v>318</v>
      </c>
      <c r="B320" s="371" t="s">
        <v>2650</v>
      </c>
      <c r="C320" s="151" t="s">
        <v>51</v>
      </c>
      <c r="D320" s="151" t="s">
        <v>52</v>
      </c>
      <c r="E320" s="151" t="s">
        <v>1753</v>
      </c>
      <c r="F320" s="151" t="s">
        <v>1742</v>
      </c>
      <c r="G320" s="151" t="s">
        <v>1743</v>
      </c>
      <c r="H320" s="152">
        <v>36003</v>
      </c>
      <c r="I320" s="151" t="s">
        <v>111</v>
      </c>
      <c r="J320" s="151" t="s">
        <v>111</v>
      </c>
      <c r="K320" s="151" t="s">
        <v>56</v>
      </c>
      <c r="L320" s="153">
        <v>2</v>
      </c>
      <c r="M320" s="153">
        <v>2</v>
      </c>
      <c r="N320" s="171">
        <v>30300</v>
      </c>
      <c r="O320" s="177">
        <v>0</v>
      </c>
      <c r="P320" s="172">
        <f t="shared" si="81"/>
        <v>0</v>
      </c>
      <c r="Q320" s="177">
        <v>0</v>
      </c>
      <c r="R320" s="172">
        <f t="shared" si="82"/>
        <v>0</v>
      </c>
      <c r="S320" s="177">
        <f t="shared" si="83"/>
        <v>0</v>
      </c>
      <c r="T320" s="172">
        <f t="shared" si="84"/>
        <v>0</v>
      </c>
      <c r="U320" s="172">
        <f t="shared" si="85"/>
        <v>30300</v>
      </c>
      <c r="V320" s="173">
        <f t="shared" si="95"/>
        <v>30300</v>
      </c>
      <c r="W320" s="174">
        <f t="shared" si="86"/>
        <v>0</v>
      </c>
      <c r="X320" s="178">
        <f t="shared" si="97"/>
        <v>0</v>
      </c>
      <c r="Y320" s="179" t="str">
        <f t="shared" si="96"/>
        <v>0.00%-0.00%</v>
      </c>
      <c r="Z320" s="175"/>
      <c r="AA320" s="175"/>
      <c r="AB320" s="175"/>
      <c r="AC320" s="180"/>
      <c r="AD320" s="171">
        <f t="shared" si="87"/>
        <v>0</v>
      </c>
      <c r="AE320" s="176">
        <f t="shared" si="88"/>
        <v>30300</v>
      </c>
      <c r="AF320" s="164">
        <f t="shared" si="89"/>
        <v>0</v>
      </c>
      <c r="AG320" s="181">
        <f t="shared" si="90"/>
        <v>0</v>
      </c>
      <c r="AH320" s="166">
        <v>14</v>
      </c>
      <c r="AI320" s="166">
        <v>450</v>
      </c>
      <c r="AJ320" s="166"/>
      <c r="AK320" s="166">
        <v>688</v>
      </c>
      <c r="AL320" s="166">
        <f t="shared" si="91"/>
        <v>430288</v>
      </c>
      <c r="AM320" s="153">
        <v>4</v>
      </c>
      <c r="AN320" s="166"/>
      <c r="AO320" s="167"/>
      <c r="AP320" s="167"/>
      <c r="AQ320" s="151" t="s">
        <v>1761</v>
      </c>
      <c r="AR320" s="151" t="s">
        <v>124</v>
      </c>
      <c r="AW320" s="144" t="str">
        <f t="shared" si="92"/>
        <v>OK</v>
      </c>
      <c r="AX320" s="21" t="s">
        <v>3137</v>
      </c>
      <c r="AY320" s="21">
        <v>0</v>
      </c>
      <c r="AZ320" s="21"/>
      <c r="BA320" s="21"/>
    </row>
    <row r="321" spans="1:53" ht="20" customHeight="1">
      <c r="A321" s="86" t="s">
        <v>318</v>
      </c>
      <c r="B321" s="371" t="s">
        <v>2651</v>
      </c>
      <c r="C321" s="151" t="s">
        <v>51</v>
      </c>
      <c r="D321" s="151" t="s">
        <v>52</v>
      </c>
      <c r="E321" s="151" t="s">
        <v>1753</v>
      </c>
      <c r="F321" s="151" t="s">
        <v>1838</v>
      </c>
      <c r="G321" s="151" t="s">
        <v>1743</v>
      </c>
      <c r="H321" s="152">
        <v>40360</v>
      </c>
      <c r="I321" s="151" t="s">
        <v>226</v>
      </c>
      <c r="J321" s="151" t="s">
        <v>226</v>
      </c>
      <c r="K321" s="151" t="s">
        <v>84</v>
      </c>
      <c r="L321" s="153">
        <v>2</v>
      </c>
      <c r="M321" s="153">
        <v>4</v>
      </c>
      <c r="N321" s="171">
        <v>8300</v>
      </c>
      <c r="O321" s="177">
        <v>0.03</v>
      </c>
      <c r="P321" s="172">
        <f t="shared" si="81"/>
        <v>249</v>
      </c>
      <c r="Q321" s="177">
        <v>0</v>
      </c>
      <c r="R321" s="172">
        <f t="shared" si="82"/>
        <v>0</v>
      </c>
      <c r="S321" s="177">
        <f t="shared" si="83"/>
        <v>0.03</v>
      </c>
      <c r="T321" s="172">
        <f t="shared" si="84"/>
        <v>249</v>
      </c>
      <c r="U321" s="172">
        <f t="shared" si="85"/>
        <v>8549</v>
      </c>
      <c r="V321" s="173">
        <v>9000</v>
      </c>
      <c r="W321" s="174">
        <f t="shared" si="86"/>
        <v>700</v>
      </c>
      <c r="X321" s="178">
        <f t="shared" si="97"/>
        <v>8.43E-2</v>
      </c>
      <c r="Y321" s="179" t="str">
        <f t="shared" si="96"/>
        <v>2.40%-3.60%</v>
      </c>
      <c r="Z321" s="175"/>
      <c r="AA321" s="175"/>
      <c r="AB321" s="175"/>
      <c r="AC321" s="180"/>
      <c r="AD321" s="171">
        <f t="shared" si="87"/>
        <v>0</v>
      </c>
      <c r="AE321" s="176">
        <f t="shared" si="88"/>
        <v>9000</v>
      </c>
      <c r="AF321" s="164">
        <f t="shared" si="89"/>
        <v>700</v>
      </c>
      <c r="AG321" s="181">
        <f t="shared" si="90"/>
        <v>8.43373493975903E-2</v>
      </c>
      <c r="AH321" s="166">
        <v>14</v>
      </c>
      <c r="AI321" s="166">
        <v>450</v>
      </c>
      <c r="AJ321" s="166"/>
      <c r="AK321" s="166">
        <v>688</v>
      </c>
      <c r="AL321" s="166">
        <f t="shared" si="91"/>
        <v>132088</v>
      </c>
      <c r="AM321" s="153">
        <v>3</v>
      </c>
      <c r="AN321" s="166"/>
      <c r="AO321" s="167"/>
      <c r="AP321" s="167"/>
      <c r="AQ321" s="151" t="s">
        <v>1761</v>
      </c>
      <c r="AR321" s="151" t="s">
        <v>124</v>
      </c>
      <c r="AW321" s="144" t="str">
        <f t="shared" si="92"/>
        <v>&gt;20</v>
      </c>
      <c r="AX321" s="21" t="s">
        <v>3135</v>
      </c>
      <c r="AY321" s="21" t="s">
        <v>3136</v>
      </c>
      <c r="AZ321" s="21"/>
      <c r="BA321" s="21"/>
    </row>
    <row r="322" spans="1:53" ht="20" customHeight="1">
      <c r="A322" s="86" t="s">
        <v>318</v>
      </c>
      <c r="B322" s="371" t="s">
        <v>2652</v>
      </c>
      <c r="C322" s="151" t="s">
        <v>51</v>
      </c>
      <c r="D322" s="151" t="s">
        <v>52</v>
      </c>
      <c r="E322" s="151" t="s">
        <v>1753</v>
      </c>
      <c r="F322" s="151" t="s">
        <v>1824</v>
      </c>
      <c r="G322" s="151" t="s">
        <v>1743</v>
      </c>
      <c r="H322" s="152">
        <v>40238</v>
      </c>
      <c r="I322" s="151" t="s">
        <v>71</v>
      </c>
      <c r="J322" s="151" t="s">
        <v>71</v>
      </c>
      <c r="K322" s="151" t="s">
        <v>61</v>
      </c>
      <c r="L322" s="153">
        <v>2</v>
      </c>
      <c r="M322" s="153">
        <v>3</v>
      </c>
      <c r="N322" s="171">
        <v>15683</v>
      </c>
      <c r="O322" s="177">
        <v>2.5000000000000001E-2</v>
      </c>
      <c r="P322" s="172">
        <f t="shared" si="81"/>
        <v>392</v>
      </c>
      <c r="Q322" s="177">
        <v>0</v>
      </c>
      <c r="R322" s="172">
        <f t="shared" si="82"/>
        <v>0</v>
      </c>
      <c r="S322" s="177">
        <f t="shared" si="83"/>
        <v>2.499521775170567E-2</v>
      </c>
      <c r="T322" s="172">
        <f t="shared" si="84"/>
        <v>392</v>
      </c>
      <c r="U322" s="172">
        <f t="shared" si="85"/>
        <v>16075</v>
      </c>
      <c r="V322" s="173">
        <f t="shared" si="95"/>
        <v>16075</v>
      </c>
      <c r="W322" s="174">
        <f t="shared" si="86"/>
        <v>392</v>
      </c>
      <c r="X322" s="178">
        <f t="shared" si="97"/>
        <v>2.5000000000000001E-2</v>
      </c>
      <c r="Y322" s="179" t="str">
        <f t="shared" si="96"/>
        <v>2.00%-3.00%</v>
      </c>
      <c r="Z322" s="175"/>
      <c r="AA322" s="175"/>
      <c r="AB322" s="175"/>
      <c r="AC322" s="180"/>
      <c r="AD322" s="171">
        <f t="shared" si="87"/>
        <v>0</v>
      </c>
      <c r="AE322" s="176">
        <f t="shared" si="88"/>
        <v>16075</v>
      </c>
      <c r="AF322" s="164">
        <f t="shared" si="89"/>
        <v>392</v>
      </c>
      <c r="AG322" s="181">
        <f t="shared" si="90"/>
        <v>2.4995217751705656E-2</v>
      </c>
      <c r="AH322" s="166">
        <v>14</v>
      </c>
      <c r="AI322" s="166">
        <v>450</v>
      </c>
      <c r="AJ322" s="166"/>
      <c r="AK322" s="166">
        <v>688</v>
      </c>
      <c r="AL322" s="166">
        <f t="shared" si="91"/>
        <v>231138</v>
      </c>
      <c r="AM322" s="153">
        <v>3</v>
      </c>
      <c r="AN322" s="166"/>
      <c r="AO322" s="167"/>
      <c r="AP322" s="167"/>
      <c r="AQ322" s="151" t="s">
        <v>1761</v>
      </c>
      <c r="AR322" s="151" t="s">
        <v>124</v>
      </c>
      <c r="AW322" s="144" t="str">
        <f t="shared" si="92"/>
        <v>OK</v>
      </c>
      <c r="AX322" s="21" t="s">
        <v>3129</v>
      </c>
      <c r="AY322" s="21" t="s">
        <v>3130</v>
      </c>
      <c r="AZ322" s="21"/>
      <c r="BA322" s="21"/>
    </row>
    <row r="323" spans="1:53" ht="20" customHeight="1">
      <c r="A323" s="86" t="s">
        <v>318</v>
      </c>
      <c r="B323" s="371" t="s">
        <v>2653</v>
      </c>
      <c r="C323" s="151" t="s">
        <v>51</v>
      </c>
      <c r="D323" s="151" t="s">
        <v>52</v>
      </c>
      <c r="E323" s="151" t="s">
        <v>1753</v>
      </c>
      <c r="F323" s="151" t="s">
        <v>1838</v>
      </c>
      <c r="G323" s="151" t="s">
        <v>1743</v>
      </c>
      <c r="H323" s="152">
        <v>44354</v>
      </c>
      <c r="I323" s="151" t="s">
        <v>85</v>
      </c>
      <c r="J323" s="151" t="s">
        <v>85</v>
      </c>
      <c r="K323" s="151" t="s">
        <v>76</v>
      </c>
      <c r="L323" s="153">
        <v>2</v>
      </c>
      <c r="M323" s="153">
        <v>3</v>
      </c>
      <c r="N323" s="171">
        <v>12728</v>
      </c>
      <c r="O323" s="177">
        <v>0</v>
      </c>
      <c r="P323" s="172">
        <f t="shared" si="81"/>
        <v>0</v>
      </c>
      <c r="Q323" s="177">
        <v>0</v>
      </c>
      <c r="R323" s="172">
        <f t="shared" si="82"/>
        <v>0</v>
      </c>
      <c r="S323" s="177">
        <f t="shared" si="83"/>
        <v>0</v>
      </c>
      <c r="T323" s="172">
        <f t="shared" si="84"/>
        <v>0</v>
      </c>
      <c r="U323" s="172">
        <f t="shared" si="85"/>
        <v>12728</v>
      </c>
      <c r="V323" s="173">
        <f t="shared" si="95"/>
        <v>12728</v>
      </c>
      <c r="W323" s="174">
        <f t="shared" si="86"/>
        <v>0</v>
      </c>
      <c r="X323" s="178">
        <f t="shared" si="97"/>
        <v>0</v>
      </c>
      <c r="Y323" s="179" t="str">
        <f t="shared" si="96"/>
        <v>0.00%-0.00%</v>
      </c>
      <c r="Z323" s="175"/>
      <c r="AA323" s="175"/>
      <c r="AB323" s="175"/>
      <c r="AC323" s="180"/>
      <c r="AD323" s="171">
        <f t="shared" si="87"/>
        <v>0</v>
      </c>
      <c r="AE323" s="176">
        <f t="shared" si="88"/>
        <v>12728</v>
      </c>
      <c r="AF323" s="164">
        <f t="shared" si="89"/>
        <v>0</v>
      </c>
      <c r="AG323" s="181">
        <f t="shared" si="90"/>
        <v>0</v>
      </c>
      <c r="AH323" s="166">
        <v>14</v>
      </c>
      <c r="AI323" s="166">
        <v>450</v>
      </c>
      <c r="AJ323" s="166"/>
      <c r="AK323" s="166">
        <v>688</v>
      </c>
      <c r="AL323" s="166">
        <f t="shared" si="91"/>
        <v>184280</v>
      </c>
      <c r="AM323" s="153">
        <v>4</v>
      </c>
      <c r="AN323" s="166"/>
      <c r="AO323" s="167"/>
      <c r="AP323" s="167"/>
      <c r="AQ323" s="151" t="s">
        <v>1761</v>
      </c>
      <c r="AR323" s="151" t="s">
        <v>124</v>
      </c>
      <c r="AW323" s="144" t="str">
        <f t="shared" si="92"/>
        <v>OK</v>
      </c>
      <c r="AX323" s="21" t="s">
        <v>3131</v>
      </c>
      <c r="AY323" s="21" t="s">
        <v>3134</v>
      </c>
      <c r="AZ323" s="21"/>
      <c r="BA323" s="21"/>
    </row>
    <row r="324" spans="1:53" ht="20" customHeight="1">
      <c r="A324" s="86" t="s">
        <v>318</v>
      </c>
      <c r="B324" s="371" t="s">
        <v>2654</v>
      </c>
      <c r="C324" s="151" t="s">
        <v>51</v>
      </c>
      <c r="D324" s="151" t="s">
        <v>52</v>
      </c>
      <c r="E324" s="151" t="s">
        <v>1753</v>
      </c>
      <c r="F324" s="151" t="s">
        <v>1849</v>
      </c>
      <c r="G324" s="151" t="s">
        <v>1850</v>
      </c>
      <c r="H324" s="152">
        <v>42095</v>
      </c>
      <c r="I324" s="151" t="s">
        <v>82</v>
      </c>
      <c r="J324" s="151" t="s">
        <v>144</v>
      </c>
      <c r="K324" s="151" t="s">
        <v>84</v>
      </c>
      <c r="L324" s="153">
        <v>2</v>
      </c>
      <c r="M324" s="153">
        <v>3</v>
      </c>
      <c r="N324" s="171">
        <v>7509</v>
      </c>
      <c r="O324" s="177">
        <v>2.5000000000000001E-2</v>
      </c>
      <c r="P324" s="172">
        <f t="shared" ref="P324:P387" si="98">ROUND(N324*O324,0)</f>
        <v>188</v>
      </c>
      <c r="Q324" s="177">
        <v>0</v>
      </c>
      <c r="R324" s="172">
        <f t="shared" ref="R324:R387" si="99">ROUND(N324*Q324,0)</f>
        <v>0</v>
      </c>
      <c r="S324" s="177">
        <f t="shared" ref="S324:S387" si="100">T324/N324</f>
        <v>2.5036622719403382E-2</v>
      </c>
      <c r="T324" s="172">
        <f t="shared" ref="T324:T387" si="101">P324+R324</f>
        <v>188</v>
      </c>
      <c r="U324" s="172">
        <f t="shared" ref="U324:U387" si="102">N324+T324</f>
        <v>7697</v>
      </c>
      <c r="V324" s="173">
        <v>7750</v>
      </c>
      <c r="W324" s="174">
        <f t="shared" ref="W324:W387" si="103">V324-N324</f>
        <v>241</v>
      </c>
      <c r="X324" s="178">
        <f t="shared" si="97"/>
        <v>3.2099999999999997E-2</v>
      </c>
      <c r="Y324" s="179" t="str">
        <f t="shared" si="96"/>
        <v>2.00%-3.00%</v>
      </c>
      <c r="Z324" s="175"/>
      <c r="AA324" s="175"/>
      <c r="AB324" s="175"/>
      <c r="AC324" s="180"/>
      <c r="AD324" s="171">
        <f t="shared" ref="AD324:AD387" si="104">ROUND(N324*AC324,0)</f>
        <v>0</v>
      </c>
      <c r="AE324" s="176">
        <f t="shared" ref="AE324:AE387" si="105">V324+AD324</f>
        <v>7750</v>
      </c>
      <c r="AF324" s="164">
        <f t="shared" ref="AF324:AF387" si="106">AE324-N324</f>
        <v>241</v>
      </c>
      <c r="AG324" s="181">
        <f t="shared" ref="AG324:AG387" si="107">AE324/N324-1</f>
        <v>3.2094819549873588E-2</v>
      </c>
      <c r="AH324" s="166">
        <v>14</v>
      </c>
      <c r="AI324" s="166">
        <v>3050</v>
      </c>
      <c r="AJ324" s="166"/>
      <c r="AK324" s="166">
        <v>688</v>
      </c>
      <c r="AL324" s="166">
        <f t="shared" ref="AL324:AL387" si="108">AE324*AH324+AI324*12+AK324+IF(AB324="",AJ324,IF(AB324="D",5000,IF(AB324="C",1000,0)))*12</f>
        <v>145788</v>
      </c>
      <c r="AM324" s="153">
        <v>3</v>
      </c>
      <c r="AN324" s="166"/>
      <c r="AO324" s="167" t="s">
        <v>1851</v>
      </c>
      <c r="AP324" s="167"/>
      <c r="AQ324" s="151" t="s">
        <v>1761</v>
      </c>
      <c r="AR324" s="151" t="s">
        <v>124</v>
      </c>
      <c r="AW324" s="144" t="str">
        <f t="shared" si="92"/>
        <v>OK</v>
      </c>
      <c r="AX324" s="21" t="s">
        <v>3135</v>
      </c>
      <c r="AY324" s="21" t="s">
        <v>3130</v>
      </c>
      <c r="AZ324" s="21"/>
      <c r="BA324" s="21"/>
    </row>
    <row r="325" spans="1:53" ht="20" customHeight="1">
      <c r="A325" s="86" t="s">
        <v>318</v>
      </c>
      <c r="B325" s="371" t="s">
        <v>2655</v>
      </c>
      <c r="C325" s="151" t="s">
        <v>51</v>
      </c>
      <c r="D325" s="151" t="s">
        <v>52</v>
      </c>
      <c r="E325" s="151" t="s">
        <v>1753</v>
      </c>
      <c r="F325" s="151" t="s">
        <v>1849</v>
      </c>
      <c r="G325" s="151" t="s">
        <v>1850</v>
      </c>
      <c r="H325" s="152">
        <v>40967</v>
      </c>
      <c r="I325" s="151" t="s">
        <v>71</v>
      </c>
      <c r="J325" s="151" t="s">
        <v>1852</v>
      </c>
      <c r="K325" s="151" t="s">
        <v>61</v>
      </c>
      <c r="L325" s="153">
        <v>2</v>
      </c>
      <c r="M325" s="153">
        <v>3</v>
      </c>
      <c r="N325" s="171">
        <v>15938</v>
      </c>
      <c r="O325" s="177">
        <v>0</v>
      </c>
      <c r="P325" s="172">
        <f t="shared" si="98"/>
        <v>0</v>
      </c>
      <c r="Q325" s="177">
        <v>0</v>
      </c>
      <c r="R325" s="172">
        <f t="shared" si="99"/>
        <v>0</v>
      </c>
      <c r="S325" s="177">
        <f t="shared" si="100"/>
        <v>0</v>
      </c>
      <c r="T325" s="172">
        <f t="shared" si="101"/>
        <v>0</v>
      </c>
      <c r="U325" s="172">
        <f t="shared" si="102"/>
        <v>15938</v>
      </c>
      <c r="V325" s="173">
        <v>16300</v>
      </c>
      <c r="W325" s="174">
        <f t="shared" si="103"/>
        <v>362</v>
      </c>
      <c r="X325" s="178">
        <f t="shared" si="97"/>
        <v>2.2700000000000001E-2</v>
      </c>
      <c r="Y325" s="179" t="str">
        <f t="shared" si="96"/>
        <v>0.00%-0.00%</v>
      </c>
      <c r="Z325" s="175"/>
      <c r="AA325" s="175"/>
      <c r="AB325" s="175"/>
      <c r="AC325" s="180"/>
      <c r="AD325" s="171">
        <f t="shared" si="104"/>
        <v>0</v>
      </c>
      <c r="AE325" s="176">
        <f t="shared" si="105"/>
        <v>16300</v>
      </c>
      <c r="AF325" s="164">
        <f t="shared" si="106"/>
        <v>362</v>
      </c>
      <c r="AG325" s="181">
        <f t="shared" si="107"/>
        <v>2.2713012925084763E-2</v>
      </c>
      <c r="AH325" s="166">
        <v>14</v>
      </c>
      <c r="AI325" s="166">
        <v>2950</v>
      </c>
      <c r="AJ325" s="166"/>
      <c r="AK325" s="166">
        <v>688</v>
      </c>
      <c r="AL325" s="166">
        <f t="shared" si="108"/>
        <v>264288</v>
      </c>
      <c r="AM325" s="153">
        <v>4</v>
      </c>
      <c r="AN325" s="166"/>
      <c r="AO325" s="167" t="s">
        <v>1851</v>
      </c>
      <c r="AP325" s="167"/>
      <c r="AQ325" s="151" t="s">
        <v>1761</v>
      </c>
      <c r="AR325" s="151" t="s">
        <v>124</v>
      </c>
      <c r="AW325" s="144" t="str">
        <f t="shared" si="92"/>
        <v>&gt;20</v>
      </c>
      <c r="AX325" s="21" t="s">
        <v>3135</v>
      </c>
      <c r="AY325" s="21" t="s">
        <v>3134</v>
      </c>
      <c r="AZ325" s="21"/>
      <c r="BA325" s="21"/>
    </row>
    <row r="326" spans="1:53" ht="20" customHeight="1">
      <c r="A326" s="86" t="s">
        <v>318</v>
      </c>
      <c r="B326" s="371" t="s">
        <v>2656</v>
      </c>
      <c r="C326" s="151" t="s">
        <v>51</v>
      </c>
      <c r="D326" s="151" t="s">
        <v>52</v>
      </c>
      <c r="E326" s="151" t="s">
        <v>1753</v>
      </c>
      <c r="F326" s="151" t="s">
        <v>1853</v>
      </c>
      <c r="G326" s="151" t="s">
        <v>1739</v>
      </c>
      <c r="H326" s="152">
        <v>39930</v>
      </c>
      <c r="I326" s="151" t="s">
        <v>85</v>
      </c>
      <c r="J326" s="151" t="s">
        <v>85</v>
      </c>
      <c r="K326" s="151" t="s">
        <v>76</v>
      </c>
      <c r="L326" s="153">
        <v>2</v>
      </c>
      <c r="M326" s="153">
        <v>2</v>
      </c>
      <c r="N326" s="171">
        <v>10637</v>
      </c>
      <c r="O326" s="155">
        <v>0</v>
      </c>
      <c r="P326" s="172">
        <f t="shared" si="98"/>
        <v>0</v>
      </c>
      <c r="Q326" s="155">
        <v>0</v>
      </c>
      <c r="R326" s="172">
        <f t="shared" si="99"/>
        <v>0</v>
      </c>
      <c r="S326" s="155">
        <f t="shared" si="100"/>
        <v>0</v>
      </c>
      <c r="T326" s="172">
        <f t="shared" si="101"/>
        <v>0</v>
      </c>
      <c r="U326" s="172">
        <f t="shared" si="102"/>
        <v>10637</v>
      </c>
      <c r="V326" s="173">
        <f t="shared" ref="V326:V328" si="109">U326</f>
        <v>10637</v>
      </c>
      <c r="W326" s="174">
        <f t="shared" si="103"/>
        <v>0</v>
      </c>
      <c r="X326" s="159">
        <f t="shared" si="97"/>
        <v>0</v>
      </c>
      <c r="Y326" s="160" t="str">
        <f t="shared" si="96"/>
        <v>0.00%-0.00%</v>
      </c>
      <c r="Z326" s="175"/>
      <c r="AA326" s="175"/>
      <c r="AB326" s="175"/>
      <c r="AC326" s="162"/>
      <c r="AD326" s="171">
        <f t="shared" si="104"/>
        <v>0</v>
      </c>
      <c r="AE326" s="176">
        <f t="shared" si="105"/>
        <v>10637</v>
      </c>
      <c r="AF326" s="164">
        <f t="shared" si="106"/>
        <v>0</v>
      </c>
      <c r="AG326" s="165">
        <f t="shared" si="107"/>
        <v>0</v>
      </c>
      <c r="AH326" s="166">
        <v>14</v>
      </c>
      <c r="AI326" s="166">
        <v>450</v>
      </c>
      <c r="AJ326" s="166"/>
      <c r="AK326" s="166">
        <v>688</v>
      </c>
      <c r="AL326" s="166">
        <f t="shared" si="108"/>
        <v>155006</v>
      </c>
      <c r="AM326" s="153">
        <v>3</v>
      </c>
      <c r="AN326" s="166"/>
      <c r="AO326" s="167"/>
      <c r="AP326" s="167"/>
      <c r="AQ326" s="151" t="s">
        <v>1854</v>
      </c>
      <c r="AR326" s="151" t="s">
        <v>124</v>
      </c>
      <c r="AW326" s="144" t="str">
        <f t="shared" si="92"/>
        <v>OK</v>
      </c>
      <c r="AX326" s="21" t="s">
        <v>3129</v>
      </c>
      <c r="AY326" s="21">
        <v>0</v>
      </c>
      <c r="AZ326" s="21"/>
      <c r="BA326" s="21"/>
    </row>
    <row r="327" spans="1:53" ht="20" customHeight="1">
      <c r="A327" s="86" t="s">
        <v>318</v>
      </c>
      <c r="B327" s="371" t="s">
        <v>2657</v>
      </c>
      <c r="C327" s="151" t="s">
        <v>51</v>
      </c>
      <c r="D327" s="151" t="s">
        <v>52</v>
      </c>
      <c r="E327" s="151" t="s">
        <v>1753</v>
      </c>
      <c r="F327" s="151" t="s">
        <v>1855</v>
      </c>
      <c r="G327" s="151" t="s">
        <v>1856</v>
      </c>
      <c r="H327" s="152">
        <v>41610</v>
      </c>
      <c r="I327" s="151" t="s">
        <v>226</v>
      </c>
      <c r="J327" s="151" t="s">
        <v>226</v>
      </c>
      <c r="K327" s="151" t="s">
        <v>84</v>
      </c>
      <c r="L327" s="153">
        <v>2</v>
      </c>
      <c r="M327" s="153">
        <v>3</v>
      </c>
      <c r="N327" s="171">
        <v>8062</v>
      </c>
      <c r="O327" s="155">
        <v>2.5000000000000001E-2</v>
      </c>
      <c r="P327" s="172">
        <f t="shared" si="98"/>
        <v>202</v>
      </c>
      <c r="Q327" s="155">
        <v>0</v>
      </c>
      <c r="R327" s="172">
        <f t="shared" si="99"/>
        <v>0</v>
      </c>
      <c r="S327" s="155">
        <f t="shared" si="100"/>
        <v>2.5055817415033491E-2</v>
      </c>
      <c r="T327" s="172">
        <f t="shared" si="101"/>
        <v>202</v>
      </c>
      <c r="U327" s="172">
        <f t="shared" si="102"/>
        <v>8264</v>
      </c>
      <c r="V327" s="173">
        <f t="shared" si="109"/>
        <v>8264</v>
      </c>
      <c r="W327" s="174">
        <f t="shared" si="103"/>
        <v>202</v>
      </c>
      <c r="X327" s="159">
        <f t="shared" si="97"/>
        <v>2.5100000000000001E-2</v>
      </c>
      <c r="Y327" s="160" t="str">
        <f t="shared" si="96"/>
        <v>2.00%-3.01%</v>
      </c>
      <c r="Z327" s="175"/>
      <c r="AA327" s="175"/>
      <c r="AB327" s="175"/>
      <c r="AC327" s="162"/>
      <c r="AD327" s="171">
        <f t="shared" si="104"/>
        <v>0</v>
      </c>
      <c r="AE327" s="176">
        <f t="shared" si="105"/>
        <v>8264</v>
      </c>
      <c r="AF327" s="164">
        <f t="shared" si="106"/>
        <v>202</v>
      </c>
      <c r="AG327" s="165">
        <f t="shared" si="107"/>
        <v>2.5055817415033488E-2</v>
      </c>
      <c r="AH327" s="166">
        <v>14</v>
      </c>
      <c r="AI327" s="166">
        <v>450</v>
      </c>
      <c r="AJ327" s="166"/>
      <c r="AK327" s="166">
        <v>688</v>
      </c>
      <c r="AL327" s="166">
        <f t="shared" si="108"/>
        <v>121784</v>
      </c>
      <c r="AM327" s="153">
        <v>3</v>
      </c>
      <c r="AN327" s="166"/>
      <c r="AO327" s="167"/>
      <c r="AP327" s="167"/>
      <c r="AQ327" s="151" t="s">
        <v>1854</v>
      </c>
      <c r="AR327" s="151" t="s">
        <v>124</v>
      </c>
      <c r="AW327" s="144" t="str">
        <f t="shared" si="92"/>
        <v>OK</v>
      </c>
      <c r="AX327" s="21" t="s">
        <v>3135</v>
      </c>
      <c r="AY327" s="21" t="s">
        <v>3130</v>
      </c>
      <c r="AZ327" s="21"/>
      <c r="BA327" s="21"/>
    </row>
    <row r="328" spans="1:53" ht="20" customHeight="1">
      <c r="A328" s="86" t="s">
        <v>318</v>
      </c>
      <c r="B328" s="371" t="s">
        <v>2658</v>
      </c>
      <c r="C328" s="151" t="s">
        <v>51</v>
      </c>
      <c r="D328" s="151" t="s">
        <v>52</v>
      </c>
      <c r="E328" s="151" t="s">
        <v>1753</v>
      </c>
      <c r="F328" s="151" t="s">
        <v>1855</v>
      </c>
      <c r="G328" s="151" t="s">
        <v>1856</v>
      </c>
      <c r="H328" s="152">
        <v>43160</v>
      </c>
      <c r="I328" s="151" t="s">
        <v>111</v>
      </c>
      <c r="J328" s="151" t="s">
        <v>1857</v>
      </c>
      <c r="K328" s="151" t="s">
        <v>56</v>
      </c>
      <c r="L328" s="153">
        <v>2</v>
      </c>
      <c r="M328" s="153">
        <v>3</v>
      </c>
      <c r="N328" s="171">
        <v>19131</v>
      </c>
      <c r="O328" s="155">
        <v>2.5000000000000001E-2</v>
      </c>
      <c r="P328" s="172">
        <f t="shared" si="98"/>
        <v>478</v>
      </c>
      <c r="Q328" s="155">
        <v>0</v>
      </c>
      <c r="R328" s="172">
        <f t="shared" si="99"/>
        <v>0</v>
      </c>
      <c r="S328" s="155">
        <f t="shared" si="100"/>
        <v>2.498562542470336E-2</v>
      </c>
      <c r="T328" s="172">
        <f t="shared" si="101"/>
        <v>478</v>
      </c>
      <c r="U328" s="172">
        <f t="shared" si="102"/>
        <v>19609</v>
      </c>
      <c r="V328" s="173">
        <f t="shared" si="109"/>
        <v>19609</v>
      </c>
      <c r="W328" s="174">
        <f t="shared" si="103"/>
        <v>478</v>
      </c>
      <c r="X328" s="159">
        <f t="shared" si="97"/>
        <v>2.5000000000000001E-2</v>
      </c>
      <c r="Y328" s="160" t="str">
        <f t="shared" si="96"/>
        <v>2.00%-3.00%</v>
      </c>
      <c r="Z328" s="175"/>
      <c r="AA328" s="175"/>
      <c r="AB328" s="175"/>
      <c r="AC328" s="162"/>
      <c r="AD328" s="171">
        <f t="shared" si="104"/>
        <v>0</v>
      </c>
      <c r="AE328" s="176">
        <f t="shared" si="105"/>
        <v>19609</v>
      </c>
      <c r="AF328" s="164">
        <f t="shared" si="106"/>
        <v>478</v>
      </c>
      <c r="AG328" s="165">
        <f t="shared" si="107"/>
        <v>2.4985625424703395E-2</v>
      </c>
      <c r="AH328" s="166">
        <v>14</v>
      </c>
      <c r="AI328" s="166">
        <v>450</v>
      </c>
      <c r="AJ328" s="166"/>
      <c r="AK328" s="166">
        <v>688</v>
      </c>
      <c r="AL328" s="166">
        <f t="shared" si="108"/>
        <v>280614</v>
      </c>
      <c r="AM328" s="153">
        <v>4</v>
      </c>
      <c r="AN328" s="166"/>
      <c r="AO328" s="167"/>
      <c r="AP328" s="167"/>
      <c r="AQ328" s="151" t="s">
        <v>1854</v>
      </c>
      <c r="AR328" s="151" t="s">
        <v>124</v>
      </c>
      <c r="AW328" s="144" t="str">
        <f t="shared" si="92"/>
        <v>OK</v>
      </c>
      <c r="AX328" s="21" t="s">
        <v>3129</v>
      </c>
      <c r="AY328" s="21" t="s">
        <v>3130</v>
      </c>
      <c r="AZ328" s="21"/>
      <c r="BA328" s="21"/>
    </row>
    <row r="329" spans="1:53" ht="20" customHeight="1">
      <c r="A329" s="86" t="s">
        <v>318</v>
      </c>
      <c r="B329" s="371" t="s">
        <v>2659</v>
      </c>
      <c r="C329" s="151" t="s">
        <v>51</v>
      </c>
      <c r="D329" s="151" t="s">
        <v>52</v>
      </c>
      <c r="E329" s="151" t="s">
        <v>1753</v>
      </c>
      <c r="F329" s="151" t="s">
        <v>1858</v>
      </c>
      <c r="G329" s="151" t="s">
        <v>1739</v>
      </c>
      <c r="H329" s="152">
        <v>41157</v>
      </c>
      <c r="I329" s="151" t="s">
        <v>85</v>
      </c>
      <c r="J329" s="151" t="s">
        <v>85</v>
      </c>
      <c r="K329" s="151" t="s">
        <v>76</v>
      </c>
      <c r="L329" s="153">
        <v>2</v>
      </c>
      <c r="M329" s="153">
        <v>3</v>
      </c>
      <c r="N329" s="171">
        <v>11566</v>
      </c>
      <c r="O329" s="155">
        <v>2.5000000000000001E-2</v>
      </c>
      <c r="P329" s="172">
        <f t="shared" si="98"/>
        <v>289</v>
      </c>
      <c r="Q329" s="155">
        <v>0</v>
      </c>
      <c r="R329" s="172">
        <f t="shared" si="99"/>
        <v>0</v>
      </c>
      <c r="S329" s="155">
        <f t="shared" si="100"/>
        <v>2.4987030952792668E-2</v>
      </c>
      <c r="T329" s="172">
        <f t="shared" si="101"/>
        <v>289</v>
      </c>
      <c r="U329" s="172">
        <f t="shared" si="102"/>
        <v>11855</v>
      </c>
      <c r="V329" s="173">
        <f>U329+100</f>
        <v>11955</v>
      </c>
      <c r="W329" s="174">
        <f t="shared" si="103"/>
        <v>389</v>
      </c>
      <c r="X329" s="159">
        <f t="shared" si="97"/>
        <v>3.3599999999999998E-2</v>
      </c>
      <c r="Y329" s="160" t="str">
        <f t="shared" si="96"/>
        <v>2.00%-3.00%</v>
      </c>
      <c r="Z329" s="175"/>
      <c r="AA329" s="175"/>
      <c r="AB329" s="175"/>
      <c r="AC329" s="162"/>
      <c r="AD329" s="171">
        <f t="shared" si="104"/>
        <v>0</v>
      </c>
      <c r="AE329" s="176">
        <f t="shared" si="105"/>
        <v>11955</v>
      </c>
      <c r="AF329" s="164">
        <f t="shared" si="106"/>
        <v>389</v>
      </c>
      <c r="AG329" s="165">
        <f t="shared" si="107"/>
        <v>3.3633062424347271E-2</v>
      </c>
      <c r="AH329" s="166">
        <v>14</v>
      </c>
      <c r="AI329" s="166">
        <v>450</v>
      </c>
      <c r="AJ329" s="166"/>
      <c r="AK329" s="166">
        <v>688</v>
      </c>
      <c r="AL329" s="166">
        <f t="shared" si="108"/>
        <v>173458</v>
      </c>
      <c r="AM329" s="153">
        <v>3</v>
      </c>
      <c r="AN329" s="166"/>
      <c r="AO329" s="167"/>
      <c r="AP329" s="167"/>
      <c r="AQ329" s="151" t="s">
        <v>1854</v>
      </c>
      <c r="AR329" s="151" t="s">
        <v>124</v>
      </c>
      <c r="AW329" s="144" t="str">
        <f t="shared" si="92"/>
        <v>OK</v>
      </c>
      <c r="AX329" s="21" t="s">
        <v>3135</v>
      </c>
      <c r="AY329" s="21" t="s">
        <v>3130</v>
      </c>
      <c r="AZ329" s="21"/>
      <c r="BA329" s="21"/>
    </row>
    <row r="330" spans="1:53" ht="20" customHeight="1">
      <c r="A330" s="86" t="s">
        <v>318</v>
      </c>
      <c r="B330" s="371" t="s">
        <v>2660</v>
      </c>
      <c r="C330" s="151" t="s">
        <v>51</v>
      </c>
      <c r="D330" s="151" t="s">
        <v>52</v>
      </c>
      <c r="E330" s="151" t="s">
        <v>1753</v>
      </c>
      <c r="F330" s="151" t="s">
        <v>1853</v>
      </c>
      <c r="G330" s="151" t="s">
        <v>1739</v>
      </c>
      <c r="H330" s="152">
        <v>41953</v>
      </c>
      <c r="I330" s="151" t="s">
        <v>85</v>
      </c>
      <c r="J330" s="151" t="s">
        <v>85</v>
      </c>
      <c r="K330" s="151" t="s">
        <v>76</v>
      </c>
      <c r="L330" s="153">
        <v>2</v>
      </c>
      <c r="M330" s="153">
        <v>3</v>
      </c>
      <c r="N330" s="171">
        <v>12108</v>
      </c>
      <c r="O330" s="155">
        <v>0</v>
      </c>
      <c r="P330" s="172">
        <f t="shared" si="98"/>
        <v>0</v>
      </c>
      <c r="Q330" s="155">
        <v>0</v>
      </c>
      <c r="R330" s="172">
        <f t="shared" si="99"/>
        <v>0</v>
      </c>
      <c r="S330" s="155">
        <f t="shared" si="100"/>
        <v>0</v>
      </c>
      <c r="T330" s="172">
        <f t="shared" si="101"/>
        <v>0</v>
      </c>
      <c r="U330" s="172">
        <f t="shared" si="102"/>
        <v>12108</v>
      </c>
      <c r="V330" s="173">
        <f t="shared" ref="V330:V332" si="110">U330</f>
        <v>12108</v>
      </c>
      <c r="W330" s="174">
        <f t="shared" si="103"/>
        <v>0</v>
      </c>
      <c r="X330" s="159">
        <f t="shared" si="97"/>
        <v>0</v>
      </c>
      <c r="Y330" s="160" t="str">
        <f t="shared" si="96"/>
        <v>0.00%-0.00%</v>
      </c>
      <c r="Z330" s="175"/>
      <c r="AA330" s="175"/>
      <c r="AB330" s="175"/>
      <c r="AC330" s="162"/>
      <c r="AD330" s="171">
        <f t="shared" si="104"/>
        <v>0</v>
      </c>
      <c r="AE330" s="176">
        <f t="shared" si="105"/>
        <v>12108</v>
      </c>
      <c r="AF330" s="164">
        <f t="shared" si="106"/>
        <v>0</v>
      </c>
      <c r="AG330" s="165">
        <f t="shared" si="107"/>
        <v>0</v>
      </c>
      <c r="AH330" s="166">
        <v>14</v>
      </c>
      <c r="AI330" s="166">
        <v>450</v>
      </c>
      <c r="AJ330" s="166"/>
      <c r="AK330" s="166">
        <v>688</v>
      </c>
      <c r="AL330" s="166">
        <f t="shared" si="108"/>
        <v>175600</v>
      </c>
      <c r="AM330" s="153">
        <v>2</v>
      </c>
      <c r="AN330" s="166"/>
      <c r="AO330" s="167"/>
      <c r="AP330" s="167"/>
      <c r="AQ330" s="151" t="s">
        <v>1854</v>
      </c>
      <c r="AR330" s="151" t="s">
        <v>124</v>
      </c>
      <c r="AW330" s="144" t="str">
        <f t="shared" ref="AW330:AW393" si="111">_xlfn.LET(_xlpm.actual,X330,_xlpm.low,VALUE(_xlfn.TEXTBEFORE(Y330,"-")),_xlpm.high,VALUE(_xlfn.TEXTAFTER(Y330,"-")),IF(AND(_xlpm.actual=0,OR(_xlpm.low&lt;&gt;0,_xlpm.high&lt;&gt;0)),"0 increase",IF(_xlpm.actual&gt;_xlpm.high*1.2,"&gt;20",IF(_xlpm.actual&lt;_xlpm.low*0.8,"&lt;20","OK"))))</f>
        <v>OK</v>
      </c>
      <c r="AX330" s="21" t="s">
        <v>3135</v>
      </c>
      <c r="AY330" s="21" t="s">
        <v>3134</v>
      </c>
      <c r="AZ330" s="21"/>
      <c r="BA330" s="21"/>
    </row>
    <row r="331" spans="1:53" ht="20" customHeight="1">
      <c r="A331" s="86" t="s">
        <v>318</v>
      </c>
      <c r="B331" s="371" t="s">
        <v>2661</v>
      </c>
      <c r="C331" s="151" t="s">
        <v>51</v>
      </c>
      <c r="D331" s="151" t="s">
        <v>52</v>
      </c>
      <c r="E331" s="151" t="s">
        <v>1753</v>
      </c>
      <c r="F331" s="151" t="s">
        <v>1858</v>
      </c>
      <c r="G331" s="151" t="s">
        <v>1739</v>
      </c>
      <c r="H331" s="152">
        <v>41228</v>
      </c>
      <c r="I331" s="151" t="s">
        <v>111</v>
      </c>
      <c r="J331" s="151" t="s">
        <v>1859</v>
      </c>
      <c r="K331" s="151" t="s">
        <v>56</v>
      </c>
      <c r="L331" s="153">
        <v>2</v>
      </c>
      <c r="M331" s="153">
        <v>3</v>
      </c>
      <c r="N331" s="171">
        <v>30100</v>
      </c>
      <c r="O331" s="155">
        <v>0</v>
      </c>
      <c r="P331" s="172">
        <f t="shared" si="98"/>
        <v>0</v>
      </c>
      <c r="Q331" s="155">
        <v>0</v>
      </c>
      <c r="R331" s="172">
        <f t="shared" si="99"/>
        <v>0</v>
      </c>
      <c r="S331" s="155">
        <f t="shared" si="100"/>
        <v>0</v>
      </c>
      <c r="T331" s="172">
        <f t="shared" si="101"/>
        <v>0</v>
      </c>
      <c r="U331" s="172">
        <f t="shared" si="102"/>
        <v>30100</v>
      </c>
      <c r="V331" s="173">
        <f t="shared" si="110"/>
        <v>30100</v>
      </c>
      <c r="W331" s="174">
        <f t="shared" si="103"/>
        <v>0</v>
      </c>
      <c r="X331" s="159">
        <f t="shared" si="97"/>
        <v>0</v>
      </c>
      <c r="Y331" s="160" t="str">
        <f t="shared" si="96"/>
        <v>0.00%-0.00%</v>
      </c>
      <c r="Z331" s="175"/>
      <c r="AA331" s="175"/>
      <c r="AB331" s="175"/>
      <c r="AC331" s="162"/>
      <c r="AD331" s="171">
        <f t="shared" si="104"/>
        <v>0</v>
      </c>
      <c r="AE331" s="176">
        <f t="shared" si="105"/>
        <v>30100</v>
      </c>
      <c r="AF331" s="164">
        <f t="shared" si="106"/>
        <v>0</v>
      </c>
      <c r="AG331" s="165">
        <f t="shared" si="107"/>
        <v>0</v>
      </c>
      <c r="AH331" s="166">
        <v>14</v>
      </c>
      <c r="AI331" s="166">
        <v>450</v>
      </c>
      <c r="AJ331" s="166"/>
      <c r="AK331" s="166">
        <v>688</v>
      </c>
      <c r="AL331" s="166">
        <f t="shared" si="108"/>
        <v>427488</v>
      </c>
      <c r="AM331" s="153">
        <v>5</v>
      </c>
      <c r="AN331" s="166"/>
      <c r="AO331" s="167"/>
      <c r="AP331" s="167"/>
      <c r="AQ331" s="151" t="s">
        <v>1854</v>
      </c>
      <c r="AR331" s="151" t="s">
        <v>124</v>
      </c>
      <c r="AW331" s="144" t="str">
        <f t="shared" si="111"/>
        <v>OK</v>
      </c>
      <c r="AX331" s="21" t="s">
        <v>3135</v>
      </c>
      <c r="AY331" s="21" t="s">
        <v>3134</v>
      </c>
      <c r="AZ331" s="21"/>
      <c r="BA331" s="21"/>
    </row>
    <row r="332" spans="1:53" ht="20" customHeight="1">
      <c r="A332" s="86" t="s">
        <v>318</v>
      </c>
      <c r="B332" s="371" t="s">
        <v>2662</v>
      </c>
      <c r="C332" s="151" t="s">
        <v>51</v>
      </c>
      <c r="D332" s="151" t="s">
        <v>52</v>
      </c>
      <c r="E332" s="151" t="s">
        <v>1753</v>
      </c>
      <c r="F332" s="151" t="s">
        <v>1853</v>
      </c>
      <c r="G332" s="151" t="s">
        <v>1739</v>
      </c>
      <c r="H332" s="152">
        <v>43164</v>
      </c>
      <c r="I332" s="151" t="s">
        <v>85</v>
      </c>
      <c r="J332" s="151" t="s">
        <v>85</v>
      </c>
      <c r="K332" s="151" t="s">
        <v>76</v>
      </c>
      <c r="L332" s="153">
        <v>2</v>
      </c>
      <c r="M332" s="153">
        <v>3</v>
      </c>
      <c r="N332" s="171">
        <v>12341</v>
      </c>
      <c r="O332" s="155">
        <v>0</v>
      </c>
      <c r="P332" s="172">
        <f t="shared" si="98"/>
        <v>0</v>
      </c>
      <c r="Q332" s="155">
        <v>0</v>
      </c>
      <c r="R332" s="172">
        <f t="shared" si="99"/>
        <v>0</v>
      </c>
      <c r="S332" s="155">
        <f t="shared" si="100"/>
        <v>0</v>
      </c>
      <c r="T332" s="172">
        <f t="shared" si="101"/>
        <v>0</v>
      </c>
      <c r="U332" s="172">
        <f t="shared" si="102"/>
        <v>12341</v>
      </c>
      <c r="V332" s="173">
        <f t="shared" si="110"/>
        <v>12341</v>
      </c>
      <c r="W332" s="174">
        <f t="shared" si="103"/>
        <v>0</v>
      </c>
      <c r="X332" s="159">
        <f t="shared" si="97"/>
        <v>0</v>
      </c>
      <c r="Y332" s="160" t="str">
        <f t="shared" si="96"/>
        <v>0.00%-0.00%</v>
      </c>
      <c r="Z332" s="175"/>
      <c r="AA332" s="175"/>
      <c r="AB332" s="175"/>
      <c r="AC332" s="162"/>
      <c r="AD332" s="171">
        <f t="shared" si="104"/>
        <v>0</v>
      </c>
      <c r="AE332" s="176">
        <f t="shared" si="105"/>
        <v>12341</v>
      </c>
      <c r="AF332" s="164">
        <f t="shared" si="106"/>
        <v>0</v>
      </c>
      <c r="AG332" s="165">
        <f t="shared" si="107"/>
        <v>0</v>
      </c>
      <c r="AH332" s="166">
        <v>14</v>
      </c>
      <c r="AI332" s="166">
        <v>450</v>
      </c>
      <c r="AJ332" s="166"/>
      <c r="AK332" s="166">
        <v>688</v>
      </c>
      <c r="AL332" s="166">
        <f t="shared" si="108"/>
        <v>178862</v>
      </c>
      <c r="AM332" s="153">
        <v>3</v>
      </c>
      <c r="AN332" s="166"/>
      <c r="AO332" s="167"/>
      <c r="AP332" s="167"/>
      <c r="AQ332" s="151" t="s">
        <v>1854</v>
      </c>
      <c r="AR332" s="151" t="s">
        <v>124</v>
      </c>
      <c r="AW332" s="144" t="str">
        <f t="shared" si="111"/>
        <v>OK</v>
      </c>
      <c r="AX332" s="21" t="s">
        <v>3133</v>
      </c>
      <c r="AY332" s="21" t="s">
        <v>3134</v>
      </c>
      <c r="AZ332" s="21"/>
      <c r="BA332" s="21"/>
    </row>
    <row r="333" spans="1:53" ht="20" customHeight="1">
      <c r="A333" s="86" t="s">
        <v>318</v>
      </c>
      <c r="B333" s="371" t="s">
        <v>2663</v>
      </c>
      <c r="C333" s="151" t="s">
        <v>51</v>
      </c>
      <c r="D333" s="151" t="s">
        <v>52</v>
      </c>
      <c r="E333" s="151" t="s">
        <v>1753</v>
      </c>
      <c r="F333" s="151" t="s">
        <v>1853</v>
      </c>
      <c r="G333" s="151" t="s">
        <v>1739</v>
      </c>
      <c r="H333" s="152">
        <v>43234</v>
      </c>
      <c r="I333" s="151" t="s">
        <v>71</v>
      </c>
      <c r="J333" s="151" t="s">
        <v>71</v>
      </c>
      <c r="K333" s="151" t="s">
        <v>61</v>
      </c>
      <c r="L333" s="153">
        <v>2</v>
      </c>
      <c r="M333" s="153">
        <v>4</v>
      </c>
      <c r="N333" s="171">
        <v>14800</v>
      </c>
      <c r="O333" s="155">
        <v>3.7500000000000006E-2</v>
      </c>
      <c r="P333" s="172">
        <f t="shared" si="98"/>
        <v>555</v>
      </c>
      <c r="Q333" s="155">
        <v>1.55E-2</v>
      </c>
      <c r="R333" s="172">
        <f t="shared" si="99"/>
        <v>229</v>
      </c>
      <c r="S333" s="155">
        <f t="shared" si="100"/>
        <v>5.2972972972972973E-2</v>
      </c>
      <c r="T333" s="172">
        <f t="shared" si="101"/>
        <v>784</v>
      </c>
      <c r="U333" s="172">
        <f t="shared" si="102"/>
        <v>15584</v>
      </c>
      <c r="V333" s="173">
        <f>U333+600</f>
        <v>16184</v>
      </c>
      <c r="W333" s="174">
        <f t="shared" si="103"/>
        <v>1384</v>
      </c>
      <c r="X333" s="159">
        <f t="shared" si="97"/>
        <v>9.35E-2</v>
      </c>
      <c r="Y333" s="160" t="str">
        <f t="shared" si="96"/>
        <v>4.24%-6.36%</v>
      </c>
      <c r="Z333" s="175"/>
      <c r="AA333" s="175"/>
      <c r="AB333" s="175"/>
      <c r="AC333" s="162"/>
      <c r="AD333" s="171">
        <f t="shared" si="104"/>
        <v>0</v>
      </c>
      <c r="AE333" s="176">
        <f t="shared" si="105"/>
        <v>16184</v>
      </c>
      <c r="AF333" s="164">
        <f t="shared" si="106"/>
        <v>1384</v>
      </c>
      <c r="AG333" s="165">
        <f t="shared" si="107"/>
        <v>9.3513513513513447E-2</v>
      </c>
      <c r="AH333" s="166">
        <v>14</v>
      </c>
      <c r="AI333" s="166">
        <v>450</v>
      </c>
      <c r="AJ333" s="166"/>
      <c r="AK333" s="166">
        <v>688</v>
      </c>
      <c r="AL333" s="166">
        <f t="shared" si="108"/>
        <v>232664</v>
      </c>
      <c r="AM333" s="153">
        <v>3</v>
      </c>
      <c r="AN333" s="166"/>
      <c r="AO333" s="167"/>
      <c r="AP333" s="167"/>
      <c r="AQ333" s="151" t="s">
        <v>1854</v>
      </c>
      <c r="AR333" s="151" t="s">
        <v>124</v>
      </c>
      <c r="AW333" s="144" t="str">
        <f t="shared" si="111"/>
        <v>&gt;20</v>
      </c>
      <c r="AX333" s="21" t="s">
        <v>3133</v>
      </c>
      <c r="AY333" s="21" t="s">
        <v>3130</v>
      </c>
      <c r="AZ333" s="21"/>
      <c r="BA333" s="21"/>
    </row>
    <row r="334" spans="1:53" ht="20" customHeight="1">
      <c r="A334" s="86" t="s">
        <v>318</v>
      </c>
      <c r="B334" s="371" t="s">
        <v>2664</v>
      </c>
      <c r="C334" s="151" t="s">
        <v>51</v>
      </c>
      <c r="D334" s="151" t="s">
        <v>52</v>
      </c>
      <c r="E334" s="151" t="s">
        <v>1753</v>
      </c>
      <c r="F334" s="151" t="s">
        <v>1855</v>
      </c>
      <c r="G334" s="151" t="s">
        <v>1856</v>
      </c>
      <c r="H334" s="152">
        <v>43633</v>
      </c>
      <c r="I334" s="151" t="s">
        <v>85</v>
      </c>
      <c r="J334" s="151" t="s">
        <v>85</v>
      </c>
      <c r="K334" s="151" t="s">
        <v>76</v>
      </c>
      <c r="L334" s="153">
        <v>2</v>
      </c>
      <c r="M334" s="153">
        <v>4</v>
      </c>
      <c r="N334" s="171">
        <v>14900</v>
      </c>
      <c r="O334" s="155">
        <v>2.2499999999999999E-2</v>
      </c>
      <c r="P334" s="172">
        <f t="shared" si="98"/>
        <v>335</v>
      </c>
      <c r="Q334" s="155">
        <v>0</v>
      </c>
      <c r="R334" s="172">
        <f t="shared" si="99"/>
        <v>0</v>
      </c>
      <c r="S334" s="155">
        <f t="shared" si="100"/>
        <v>2.2483221476510069E-2</v>
      </c>
      <c r="T334" s="172">
        <f t="shared" si="101"/>
        <v>335</v>
      </c>
      <c r="U334" s="172">
        <f t="shared" si="102"/>
        <v>15235</v>
      </c>
      <c r="V334" s="173">
        <f>U334+175</f>
        <v>15410</v>
      </c>
      <c r="W334" s="174">
        <f t="shared" si="103"/>
        <v>510</v>
      </c>
      <c r="X334" s="159">
        <f t="shared" si="97"/>
        <v>3.4200000000000001E-2</v>
      </c>
      <c r="Y334" s="160" t="str">
        <f t="shared" si="96"/>
        <v>1.80%-2.70%</v>
      </c>
      <c r="Z334" s="175"/>
      <c r="AA334" s="175"/>
      <c r="AB334" s="175"/>
      <c r="AC334" s="162"/>
      <c r="AD334" s="171">
        <f t="shared" si="104"/>
        <v>0</v>
      </c>
      <c r="AE334" s="176">
        <f t="shared" si="105"/>
        <v>15410</v>
      </c>
      <c r="AF334" s="164">
        <f t="shared" si="106"/>
        <v>510</v>
      </c>
      <c r="AG334" s="165">
        <f t="shared" si="107"/>
        <v>3.4228187919463027E-2</v>
      </c>
      <c r="AH334" s="166">
        <v>14</v>
      </c>
      <c r="AI334" s="166">
        <v>450</v>
      </c>
      <c r="AJ334" s="166"/>
      <c r="AK334" s="166">
        <v>688</v>
      </c>
      <c r="AL334" s="166">
        <f t="shared" si="108"/>
        <v>221828</v>
      </c>
      <c r="AM334" s="153">
        <v>3</v>
      </c>
      <c r="AN334" s="166"/>
      <c r="AO334" s="167"/>
      <c r="AP334" s="167"/>
      <c r="AQ334" s="151" t="s">
        <v>1854</v>
      </c>
      <c r="AR334" s="151" t="s">
        <v>124</v>
      </c>
      <c r="AW334" s="144" t="str">
        <f t="shared" si="111"/>
        <v>&gt;20</v>
      </c>
      <c r="AX334" s="21" t="s">
        <v>3133</v>
      </c>
      <c r="AY334" s="21" t="s">
        <v>3138</v>
      </c>
      <c r="AZ334" s="21"/>
      <c r="BA334" s="21"/>
    </row>
    <row r="335" spans="1:53" ht="20" customHeight="1">
      <c r="A335" s="86" t="s">
        <v>318</v>
      </c>
      <c r="B335" s="371" t="s">
        <v>2665</v>
      </c>
      <c r="C335" s="151" t="s">
        <v>51</v>
      </c>
      <c r="D335" s="151" t="s">
        <v>52</v>
      </c>
      <c r="E335" s="151" t="s">
        <v>1753</v>
      </c>
      <c r="F335" s="151" t="s">
        <v>1855</v>
      </c>
      <c r="G335" s="151" t="s">
        <v>1856</v>
      </c>
      <c r="H335" s="152">
        <v>44433</v>
      </c>
      <c r="I335" s="151" t="s">
        <v>85</v>
      </c>
      <c r="J335" s="151" t="s">
        <v>85</v>
      </c>
      <c r="K335" s="151" t="s">
        <v>76</v>
      </c>
      <c r="L335" s="153">
        <v>2</v>
      </c>
      <c r="M335" s="153">
        <v>3</v>
      </c>
      <c r="N335" s="171">
        <v>12428</v>
      </c>
      <c r="O335" s="155">
        <v>0</v>
      </c>
      <c r="P335" s="172">
        <f t="shared" si="98"/>
        <v>0</v>
      </c>
      <c r="Q335" s="155">
        <v>0</v>
      </c>
      <c r="R335" s="172">
        <f t="shared" si="99"/>
        <v>0</v>
      </c>
      <c r="S335" s="155">
        <f t="shared" si="100"/>
        <v>0</v>
      </c>
      <c r="T335" s="172">
        <f t="shared" si="101"/>
        <v>0</v>
      </c>
      <c r="U335" s="172">
        <f t="shared" si="102"/>
        <v>12428</v>
      </c>
      <c r="V335" s="173">
        <f t="shared" ref="V335:V364" si="112">U335</f>
        <v>12428</v>
      </c>
      <c r="W335" s="174">
        <f t="shared" si="103"/>
        <v>0</v>
      </c>
      <c r="X335" s="159">
        <f t="shared" si="97"/>
        <v>0</v>
      </c>
      <c r="Y335" s="160" t="str">
        <f t="shared" si="96"/>
        <v>0.00%-0.00%</v>
      </c>
      <c r="Z335" s="175"/>
      <c r="AA335" s="175"/>
      <c r="AB335" s="175"/>
      <c r="AC335" s="162"/>
      <c r="AD335" s="171">
        <f t="shared" si="104"/>
        <v>0</v>
      </c>
      <c r="AE335" s="176">
        <f t="shared" si="105"/>
        <v>12428</v>
      </c>
      <c r="AF335" s="164">
        <f t="shared" si="106"/>
        <v>0</v>
      </c>
      <c r="AG335" s="165">
        <f t="shared" si="107"/>
        <v>0</v>
      </c>
      <c r="AH335" s="166">
        <v>14</v>
      </c>
      <c r="AI335" s="166">
        <v>450</v>
      </c>
      <c r="AJ335" s="166"/>
      <c r="AK335" s="166">
        <v>688</v>
      </c>
      <c r="AL335" s="166">
        <f t="shared" si="108"/>
        <v>180080</v>
      </c>
      <c r="AM335" s="153">
        <v>3</v>
      </c>
      <c r="AN335" s="166"/>
      <c r="AO335" s="167"/>
      <c r="AP335" s="167"/>
      <c r="AQ335" s="151" t="s">
        <v>1854</v>
      </c>
      <c r="AR335" s="151" t="s">
        <v>124</v>
      </c>
      <c r="AW335" s="144" t="str">
        <f t="shared" si="111"/>
        <v>OK</v>
      </c>
      <c r="AX335" s="21" t="s">
        <v>3131</v>
      </c>
      <c r="AY335" s="21" t="s">
        <v>3134</v>
      </c>
      <c r="AZ335" s="21"/>
      <c r="BA335" s="21"/>
    </row>
    <row r="336" spans="1:53" ht="20" customHeight="1">
      <c r="A336" s="86" t="s">
        <v>318</v>
      </c>
      <c r="B336" s="371" t="s">
        <v>2666</v>
      </c>
      <c r="C336" s="151" t="s">
        <v>51</v>
      </c>
      <c r="D336" s="151" t="s">
        <v>52</v>
      </c>
      <c r="E336" s="151" t="s">
        <v>1753</v>
      </c>
      <c r="F336" s="151" t="s">
        <v>1858</v>
      </c>
      <c r="G336" s="151" t="s">
        <v>1739</v>
      </c>
      <c r="H336" s="152">
        <v>44480</v>
      </c>
      <c r="I336" s="151" t="s">
        <v>85</v>
      </c>
      <c r="J336" s="151" t="s">
        <v>85</v>
      </c>
      <c r="K336" s="151" t="s">
        <v>76</v>
      </c>
      <c r="L336" s="153">
        <v>2</v>
      </c>
      <c r="M336" s="153">
        <v>3</v>
      </c>
      <c r="N336" s="171">
        <v>12879</v>
      </c>
      <c r="O336" s="155">
        <v>0</v>
      </c>
      <c r="P336" s="172">
        <f t="shared" si="98"/>
        <v>0</v>
      </c>
      <c r="Q336" s="155">
        <v>0</v>
      </c>
      <c r="R336" s="172">
        <f t="shared" si="99"/>
        <v>0</v>
      </c>
      <c r="S336" s="155">
        <f t="shared" si="100"/>
        <v>0</v>
      </c>
      <c r="T336" s="172">
        <f t="shared" si="101"/>
        <v>0</v>
      </c>
      <c r="U336" s="172">
        <f t="shared" si="102"/>
        <v>12879</v>
      </c>
      <c r="V336" s="173">
        <f t="shared" si="112"/>
        <v>12879</v>
      </c>
      <c r="W336" s="174">
        <f t="shared" si="103"/>
        <v>0</v>
      </c>
      <c r="X336" s="159">
        <f t="shared" si="97"/>
        <v>0</v>
      </c>
      <c r="Y336" s="160" t="str">
        <f t="shared" si="96"/>
        <v>0.00%-0.00%</v>
      </c>
      <c r="Z336" s="175"/>
      <c r="AA336" s="175"/>
      <c r="AB336" s="175"/>
      <c r="AC336" s="162"/>
      <c r="AD336" s="171">
        <f t="shared" si="104"/>
        <v>0</v>
      </c>
      <c r="AE336" s="176">
        <f t="shared" si="105"/>
        <v>12879</v>
      </c>
      <c r="AF336" s="164">
        <f t="shared" si="106"/>
        <v>0</v>
      </c>
      <c r="AG336" s="165">
        <f t="shared" si="107"/>
        <v>0</v>
      </c>
      <c r="AH336" s="166">
        <v>14</v>
      </c>
      <c r="AI336" s="166">
        <v>450</v>
      </c>
      <c r="AJ336" s="166"/>
      <c r="AK336" s="166">
        <v>688</v>
      </c>
      <c r="AL336" s="166">
        <f t="shared" si="108"/>
        <v>186394</v>
      </c>
      <c r="AM336" s="153">
        <v>3</v>
      </c>
      <c r="AN336" s="166"/>
      <c r="AO336" s="167"/>
      <c r="AP336" s="167"/>
      <c r="AQ336" s="151" t="s">
        <v>1854</v>
      </c>
      <c r="AR336" s="151" t="s">
        <v>124</v>
      </c>
      <c r="AW336" s="144" t="str">
        <f t="shared" si="111"/>
        <v>OK</v>
      </c>
      <c r="AX336" s="21" t="s">
        <v>3131</v>
      </c>
      <c r="AY336" s="21" t="s">
        <v>3134</v>
      </c>
      <c r="AZ336" s="21"/>
      <c r="BA336" s="21"/>
    </row>
    <row r="337" spans="1:53" ht="20" customHeight="1">
      <c r="A337" s="86" t="s">
        <v>318</v>
      </c>
      <c r="B337" s="371" t="s">
        <v>2667</v>
      </c>
      <c r="C337" s="151" t="s">
        <v>51</v>
      </c>
      <c r="D337" s="151" t="s">
        <v>52</v>
      </c>
      <c r="E337" s="151" t="s">
        <v>1753</v>
      </c>
      <c r="F337" s="151" t="s">
        <v>1858</v>
      </c>
      <c r="G337" s="151" t="s">
        <v>1739</v>
      </c>
      <c r="H337" s="152">
        <v>44538</v>
      </c>
      <c r="I337" s="151" t="s">
        <v>85</v>
      </c>
      <c r="J337" s="151" t="s">
        <v>85</v>
      </c>
      <c r="K337" s="151" t="s">
        <v>76</v>
      </c>
      <c r="L337" s="153">
        <v>2</v>
      </c>
      <c r="M337" s="153">
        <v>3</v>
      </c>
      <c r="N337" s="171">
        <v>16045</v>
      </c>
      <c r="O337" s="155">
        <v>0</v>
      </c>
      <c r="P337" s="172">
        <f t="shared" si="98"/>
        <v>0</v>
      </c>
      <c r="Q337" s="155">
        <v>0</v>
      </c>
      <c r="R337" s="172">
        <f t="shared" si="99"/>
        <v>0</v>
      </c>
      <c r="S337" s="155">
        <f t="shared" si="100"/>
        <v>0</v>
      </c>
      <c r="T337" s="172">
        <f t="shared" si="101"/>
        <v>0</v>
      </c>
      <c r="U337" s="172">
        <f t="shared" si="102"/>
        <v>16045</v>
      </c>
      <c r="V337" s="173">
        <f t="shared" si="112"/>
        <v>16045</v>
      </c>
      <c r="W337" s="174">
        <f t="shared" si="103"/>
        <v>0</v>
      </c>
      <c r="X337" s="159">
        <f t="shared" si="97"/>
        <v>0</v>
      </c>
      <c r="Y337" s="160" t="str">
        <f t="shared" si="96"/>
        <v>0.00%-0.00%</v>
      </c>
      <c r="Z337" s="175"/>
      <c r="AA337" s="175"/>
      <c r="AB337" s="175"/>
      <c r="AC337" s="162"/>
      <c r="AD337" s="171">
        <f t="shared" si="104"/>
        <v>0</v>
      </c>
      <c r="AE337" s="176">
        <f t="shared" si="105"/>
        <v>16045</v>
      </c>
      <c r="AF337" s="164">
        <f t="shared" si="106"/>
        <v>0</v>
      </c>
      <c r="AG337" s="165">
        <f t="shared" si="107"/>
        <v>0</v>
      </c>
      <c r="AH337" s="166">
        <v>14</v>
      </c>
      <c r="AI337" s="166">
        <v>450</v>
      </c>
      <c r="AJ337" s="166"/>
      <c r="AK337" s="166">
        <v>688</v>
      </c>
      <c r="AL337" s="166">
        <f t="shared" si="108"/>
        <v>230718</v>
      </c>
      <c r="AM337" s="153">
        <v>3</v>
      </c>
      <c r="AN337" s="166"/>
      <c r="AO337" s="167"/>
      <c r="AP337" s="167"/>
      <c r="AQ337" s="151" t="s">
        <v>1854</v>
      </c>
      <c r="AR337" s="151" t="s">
        <v>124</v>
      </c>
      <c r="AW337" s="144" t="str">
        <f t="shared" si="111"/>
        <v>OK</v>
      </c>
      <c r="AX337" s="21" t="s">
        <v>3131</v>
      </c>
      <c r="AY337" s="21" t="s">
        <v>3134</v>
      </c>
      <c r="AZ337" s="21"/>
      <c r="BA337" s="21"/>
    </row>
    <row r="338" spans="1:53" ht="20" customHeight="1">
      <c r="A338" s="86" t="s">
        <v>318</v>
      </c>
      <c r="B338" s="371" t="s">
        <v>2668</v>
      </c>
      <c r="C338" s="151" t="s">
        <v>51</v>
      </c>
      <c r="D338" s="151" t="s">
        <v>52</v>
      </c>
      <c r="E338" s="151" t="s">
        <v>1753</v>
      </c>
      <c r="F338" s="151" t="s">
        <v>1860</v>
      </c>
      <c r="G338" s="151" t="s">
        <v>1861</v>
      </c>
      <c r="H338" s="152">
        <v>44013</v>
      </c>
      <c r="I338" s="151" t="s">
        <v>1862</v>
      </c>
      <c r="J338" s="151" t="s">
        <v>1862</v>
      </c>
      <c r="K338" s="151" t="s">
        <v>324</v>
      </c>
      <c r="L338" s="153">
        <v>2</v>
      </c>
      <c r="M338" s="153">
        <v>2</v>
      </c>
      <c r="N338" s="171">
        <v>7514</v>
      </c>
      <c r="O338" s="155">
        <v>0</v>
      </c>
      <c r="P338" s="172">
        <f t="shared" si="98"/>
        <v>0</v>
      </c>
      <c r="Q338" s="155">
        <v>0</v>
      </c>
      <c r="R338" s="172">
        <f t="shared" si="99"/>
        <v>0</v>
      </c>
      <c r="S338" s="155">
        <f t="shared" si="100"/>
        <v>0</v>
      </c>
      <c r="T338" s="172">
        <f t="shared" si="101"/>
        <v>0</v>
      </c>
      <c r="U338" s="172">
        <f t="shared" si="102"/>
        <v>7514</v>
      </c>
      <c r="V338" s="173">
        <f t="shared" si="112"/>
        <v>7514</v>
      </c>
      <c r="W338" s="174">
        <f t="shared" si="103"/>
        <v>0</v>
      </c>
      <c r="X338" s="159">
        <f t="shared" si="97"/>
        <v>0</v>
      </c>
      <c r="Y338" s="160" t="str">
        <f t="shared" si="96"/>
        <v>0.00%-0.00%</v>
      </c>
      <c r="Z338" s="175"/>
      <c r="AA338" s="175"/>
      <c r="AB338" s="175"/>
      <c r="AC338" s="162"/>
      <c r="AD338" s="171">
        <f t="shared" si="104"/>
        <v>0</v>
      </c>
      <c r="AE338" s="176">
        <f t="shared" si="105"/>
        <v>7514</v>
      </c>
      <c r="AF338" s="164">
        <f t="shared" si="106"/>
        <v>0</v>
      </c>
      <c r="AG338" s="165">
        <f t="shared" si="107"/>
        <v>0</v>
      </c>
      <c r="AH338" s="166">
        <v>14</v>
      </c>
      <c r="AI338" s="166">
        <v>450</v>
      </c>
      <c r="AJ338" s="166"/>
      <c r="AK338" s="166">
        <v>688</v>
      </c>
      <c r="AL338" s="166">
        <f t="shared" si="108"/>
        <v>111284</v>
      </c>
      <c r="AM338" s="153">
        <v>2</v>
      </c>
      <c r="AN338" s="166"/>
      <c r="AO338" s="167"/>
      <c r="AP338" s="167"/>
      <c r="AQ338" s="151" t="s">
        <v>1854</v>
      </c>
      <c r="AR338" s="151" t="s">
        <v>124</v>
      </c>
      <c r="AW338" s="144" t="str">
        <f t="shared" si="111"/>
        <v>OK</v>
      </c>
      <c r="AX338" s="21" t="s">
        <v>3131</v>
      </c>
      <c r="AY338" s="21">
        <v>0</v>
      </c>
      <c r="AZ338" s="21"/>
      <c r="BA338" s="21"/>
    </row>
    <row r="339" spans="1:53" ht="20" customHeight="1">
      <c r="A339" s="86" t="s">
        <v>318</v>
      </c>
      <c r="B339" s="371" t="s">
        <v>2669</v>
      </c>
      <c r="C339" s="151" t="s">
        <v>51</v>
      </c>
      <c r="D339" s="151" t="s">
        <v>52</v>
      </c>
      <c r="E339" s="151" t="s">
        <v>1753</v>
      </c>
      <c r="F339" s="151" t="s">
        <v>1863</v>
      </c>
      <c r="G339" s="151" t="s">
        <v>1864</v>
      </c>
      <c r="H339" s="152">
        <v>43922</v>
      </c>
      <c r="I339" s="151" t="s">
        <v>1865</v>
      </c>
      <c r="J339" s="151" t="s">
        <v>1865</v>
      </c>
      <c r="K339" s="151" t="s">
        <v>324</v>
      </c>
      <c r="L339" s="153">
        <v>2</v>
      </c>
      <c r="M339" s="153">
        <v>3</v>
      </c>
      <c r="N339" s="171">
        <v>6831</v>
      </c>
      <c r="O339" s="155">
        <v>0</v>
      </c>
      <c r="P339" s="172">
        <f t="shared" si="98"/>
        <v>0</v>
      </c>
      <c r="Q339" s="155">
        <v>0</v>
      </c>
      <c r="R339" s="172">
        <f t="shared" si="99"/>
        <v>0</v>
      </c>
      <c r="S339" s="155">
        <f t="shared" si="100"/>
        <v>0</v>
      </c>
      <c r="T339" s="172">
        <f t="shared" si="101"/>
        <v>0</v>
      </c>
      <c r="U339" s="172">
        <f t="shared" si="102"/>
        <v>6831</v>
      </c>
      <c r="V339" s="173">
        <f>U339+100</f>
        <v>6931</v>
      </c>
      <c r="W339" s="174">
        <f t="shared" si="103"/>
        <v>100</v>
      </c>
      <c r="X339" s="159">
        <f t="shared" si="97"/>
        <v>1.46E-2</v>
      </c>
      <c r="Y339" s="160" t="str">
        <f t="shared" si="96"/>
        <v>0.00%-0.00%</v>
      </c>
      <c r="Z339" s="175"/>
      <c r="AA339" s="175"/>
      <c r="AB339" s="175"/>
      <c r="AC339" s="162"/>
      <c r="AD339" s="171">
        <f t="shared" si="104"/>
        <v>0</v>
      </c>
      <c r="AE339" s="176">
        <f t="shared" si="105"/>
        <v>6931</v>
      </c>
      <c r="AF339" s="164">
        <f t="shared" si="106"/>
        <v>100</v>
      </c>
      <c r="AG339" s="165">
        <f t="shared" si="107"/>
        <v>1.4639145073927606E-2</v>
      </c>
      <c r="AH339" s="166">
        <v>14</v>
      </c>
      <c r="AI339" s="166">
        <v>650</v>
      </c>
      <c r="AJ339" s="166"/>
      <c r="AK339" s="166">
        <v>688</v>
      </c>
      <c r="AL339" s="166">
        <f t="shared" si="108"/>
        <v>105522</v>
      </c>
      <c r="AM339" s="153">
        <v>3</v>
      </c>
      <c r="AN339" s="166"/>
      <c r="AO339" s="167"/>
      <c r="AP339" s="167"/>
      <c r="AQ339" s="151" t="s">
        <v>1854</v>
      </c>
      <c r="AR339" s="151" t="s">
        <v>124</v>
      </c>
      <c r="AW339" s="144" t="str">
        <f t="shared" si="111"/>
        <v>&gt;20</v>
      </c>
      <c r="AX339" s="21" t="s">
        <v>3133</v>
      </c>
      <c r="AY339" s="21" t="s">
        <v>3134</v>
      </c>
      <c r="AZ339" s="21"/>
      <c r="BA339" s="21"/>
    </row>
    <row r="340" spans="1:53" ht="20" customHeight="1">
      <c r="A340" s="86" t="s">
        <v>318</v>
      </c>
      <c r="B340" s="371" t="s">
        <v>2670</v>
      </c>
      <c r="C340" s="151" t="s">
        <v>51</v>
      </c>
      <c r="D340" s="151" t="s">
        <v>52</v>
      </c>
      <c r="E340" s="151" t="s">
        <v>1753</v>
      </c>
      <c r="F340" s="151" t="s">
        <v>1860</v>
      </c>
      <c r="G340" s="151" t="s">
        <v>1861</v>
      </c>
      <c r="H340" s="152">
        <v>36325</v>
      </c>
      <c r="I340" s="151" t="s">
        <v>1866</v>
      </c>
      <c r="J340" s="151" t="s">
        <v>1866</v>
      </c>
      <c r="K340" s="151" t="s">
        <v>324</v>
      </c>
      <c r="L340" s="153">
        <v>2</v>
      </c>
      <c r="M340" s="153">
        <v>3</v>
      </c>
      <c r="N340" s="171">
        <v>13051</v>
      </c>
      <c r="O340" s="155">
        <v>0</v>
      </c>
      <c r="P340" s="172">
        <f t="shared" si="98"/>
        <v>0</v>
      </c>
      <c r="Q340" s="155">
        <v>0</v>
      </c>
      <c r="R340" s="172">
        <f t="shared" si="99"/>
        <v>0</v>
      </c>
      <c r="S340" s="155">
        <f t="shared" si="100"/>
        <v>0</v>
      </c>
      <c r="T340" s="172">
        <f t="shared" si="101"/>
        <v>0</v>
      </c>
      <c r="U340" s="172">
        <f t="shared" si="102"/>
        <v>13051</v>
      </c>
      <c r="V340" s="173">
        <f t="shared" si="112"/>
        <v>13051</v>
      </c>
      <c r="W340" s="174">
        <f t="shared" si="103"/>
        <v>0</v>
      </c>
      <c r="X340" s="159">
        <f t="shared" si="97"/>
        <v>0</v>
      </c>
      <c r="Y340" s="160" t="str">
        <f t="shared" si="96"/>
        <v>0.00%-0.00%</v>
      </c>
      <c r="Z340" s="175"/>
      <c r="AA340" s="175"/>
      <c r="AB340" s="175"/>
      <c r="AC340" s="162"/>
      <c r="AD340" s="171">
        <f t="shared" si="104"/>
        <v>0</v>
      </c>
      <c r="AE340" s="176">
        <f t="shared" si="105"/>
        <v>13051</v>
      </c>
      <c r="AF340" s="164">
        <f t="shared" si="106"/>
        <v>0</v>
      </c>
      <c r="AG340" s="165">
        <f t="shared" si="107"/>
        <v>0</v>
      </c>
      <c r="AH340" s="166">
        <v>14</v>
      </c>
      <c r="AI340" s="166">
        <v>850</v>
      </c>
      <c r="AJ340" s="166"/>
      <c r="AK340" s="166">
        <v>688</v>
      </c>
      <c r="AL340" s="166">
        <f t="shared" si="108"/>
        <v>193602</v>
      </c>
      <c r="AM340" s="153">
        <v>3</v>
      </c>
      <c r="AN340" s="166"/>
      <c r="AO340" s="167"/>
      <c r="AP340" s="167"/>
      <c r="AQ340" s="151" t="s">
        <v>1854</v>
      </c>
      <c r="AR340" s="151" t="s">
        <v>124</v>
      </c>
      <c r="AW340" s="144" t="str">
        <f t="shared" si="111"/>
        <v>OK</v>
      </c>
      <c r="AX340" s="21" t="s">
        <v>3137</v>
      </c>
      <c r="AY340" s="21" t="s">
        <v>3134</v>
      </c>
      <c r="AZ340" s="21"/>
      <c r="BA340" s="21"/>
    </row>
    <row r="341" spans="1:53" ht="20" customHeight="1">
      <c r="A341" s="86" t="s">
        <v>318</v>
      </c>
      <c r="B341" s="371" t="s">
        <v>2671</v>
      </c>
      <c r="C341" s="151" t="s">
        <v>51</v>
      </c>
      <c r="D341" s="151" t="s">
        <v>52</v>
      </c>
      <c r="E341" s="151" t="s">
        <v>1753</v>
      </c>
      <c r="F341" s="151" t="s">
        <v>1867</v>
      </c>
      <c r="G341" s="151" t="s">
        <v>1748</v>
      </c>
      <c r="H341" s="152">
        <v>35653</v>
      </c>
      <c r="I341" s="151" t="s">
        <v>85</v>
      </c>
      <c r="J341" s="151" t="s">
        <v>85</v>
      </c>
      <c r="K341" s="151" t="s">
        <v>76</v>
      </c>
      <c r="L341" s="153">
        <v>2</v>
      </c>
      <c r="M341" s="153">
        <v>3</v>
      </c>
      <c r="N341" s="171">
        <v>13991</v>
      </c>
      <c r="O341" s="155">
        <v>0</v>
      </c>
      <c r="P341" s="172">
        <f t="shared" si="98"/>
        <v>0</v>
      </c>
      <c r="Q341" s="155">
        <v>0</v>
      </c>
      <c r="R341" s="172">
        <f t="shared" si="99"/>
        <v>0</v>
      </c>
      <c r="S341" s="155">
        <f t="shared" si="100"/>
        <v>0</v>
      </c>
      <c r="T341" s="172">
        <f t="shared" si="101"/>
        <v>0</v>
      </c>
      <c r="U341" s="172">
        <f t="shared" si="102"/>
        <v>13991</v>
      </c>
      <c r="V341" s="173">
        <f t="shared" si="112"/>
        <v>13991</v>
      </c>
      <c r="W341" s="174">
        <f t="shared" si="103"/>
        <v>0</v>
      </c>
      <c r="X341" s="159">
        <f t="shared" si="97"/>
        <v>0</v>
      </c>
      <c r="Y341" s="160" t="str">
        <f t="shared" si="96"/>
        <v>0.00%-0.00%</v>
      </c>
      <c r="Z341" s="175"/>
      <c r="AA341" s="175"/>
      <c r="AB341" s="175"/>
      <c r="AC341" s="162"/>
      <c r="AD341" s="171">
        <f t="shared" si="104"/>
        <v>0</v>
      </c>
      <c r="AE341" s="176">
        <f t="shared" si="105"/>
        <v>13991</v>
      </c>
      <c r="AF341" s="164">
        <f t="shared" si="106"/>
        <v>0</v>
      </c>
      <c r="AG341" s="165">
        <f t="shared" si="107"/>
        <v>0</v>
      </c>
      <c r="AH341" s="166">
        <v>14</v>
      </c>
      <c r="AI341" s="166">
        <v>450</v>
      </c>
      <c r="AJ341" s="166"/>
      <c r="AK341" s="166">
        <v>688</v>
      </c>
      <c r="AL341" s="166">
        <f t="shared" si="108"/>
        <v>201962</v>
      </c>
      <c r="AM341" s="153">
        <v>3</v>
      </c>
      <c r="AN341" s="166"/>
      <c r="AO341" s="167"/>
      <c r="AP341" s="167"/>
      <c r="AQ341" s="151" t="s">
        <v>1854</v>
      </c>
      <c r="AR341" s="151" t="s">
        <v>124</v>
      </c>
      <c r="AW341" s="144" t="str">
        <f t="shared" si="111"/>
        <v>OK</v>
      </c>
      <c r="AX341" s="21" t="s">
        <v>3137</v>
      </c>
      <c r="AY341" s="21" t="s">
        <v>3134</v>
      </c>
      <c r="AZ341" s="21"/>
      <c r="BA341" s="21"/>
    </row>
    <row r="342" spans="1:53" ht="20" customHeight="1">
      <c r="A342" s="86" t="s">
        <v>318</v>
      </c>
      <c r="B342" s="371" t="s">
        <v>2672</v>
      </c>
      <c r="C342" s="151" t="s">
        <v>51</v>
      </c>
      <c r="D342" s="151" t="s">
        <v>52</v>
      </c>
      <c r="E342" s="151" t="s">
        <v>1753</v>
      </c>
      <c r="F342" s="151" t="s">
        <v>1868</v>
      </c>
      <c r="G342" s="151" t="s">
        <v>1869</v>
      </c>
      <c r="H342" s="152">
        <v>36271</v>
      </c>
      <c r="I342" s="151" t="s">
        <v>1870</v>
      </c>
      <c r="J342" s="151" t="s">
        <v>1870</v>
      </c>
      <c r="K342" s="151" t="s">
        <v>324</v>
      </c>
      <c r="L342" s="153">
        <v>2</v>
      </c>
      <c r="M342" s="153">
        <v>2</v>
      </c>
      <c r="N342" s="171">
        <v>9327</v>
      </c>
      <c r="O342" s="155">
        <v>0</v>
      </c>
      <c r="P342" s="172">
        <f t="shared" si="98"/>
        <v>0</v>
      </c>
      <c r="Q342" s="155">
        <v>0</v>
      </c>
      <c r="R342" s="172">
        <f t="shared" si="99"/>
        <v>0</v>
      </c>
      <c r="S342" s="155">
        <f t="shared" si="100"/>
        <v>0</v>
      </c>
      <c r="T342" s="172">
        <f t="shared" si="101"/>
        <v>0</v>
      </c>
      <c r="U342" s="172">
        <f t="shared" si="102"/>
        <v>9327</v>
      </c>
      <c r="V342" s="173">
        <f t="shared" si="112"/>
        <v>9327</v>
      </c>
      <c r="W342" s="174">
        <f t="shared" si="103"/>
        <v>0</v>
      </c>
      <c r="X342" s="159">
        <f t="shared" si="97"/>
        <v>0</v>
      </c>
      <c r="Y342" s="160" t="str">
        <f t="shared" si="96"/>
        <v>0.00%-0.00%</v>
      </c>
      <c r="Z342" s="175"/>
      <c r="AA342" s="175"/>
      <c r="AB342" s="175"/>
      <c r="AC342" s="162"/>
      <c r="AD342" s="171">
        <f t="shared" si="104"/>
        <v>0</v>
      </c>
      <c r="AE342" s="176">
        <f t="shared" si="105"/>
        <v>9327</v>
      </c>
      <c r="AF342" s="164">
        <f t="shared" si="106"/>
        <v>0</v>
      </c>
      <c r="AG342" s="165">
        <f t="shared" si="107"/>
        <v>0</v>
      </c>
      <c r="AH342" s="166">
        <v>14</v>
      </c>
      <c r="AI342" s="166">
        <v>450</v>
      </c>
      <c r="AJ342" s="166"/>
      <c r="AK342" s="166">
        <v>688</v>
      </c>
      <c r="AL342" s="166">
        <f t="shared" si="108"/>
        <v>136666</v>
      </c>
      <c r="AM342" s="153">
        <v>3</v>
      </c>
      <c r="AN342" s="166"/>
      <c r="AO342" s="167"/>
      <c r="AP342" s="167"/>
      <c r="AQ342" s="151" t="s">
        <v>1854</v>
      </c>
      <c r="AR342" s="151" t="s">
        <v>124</v>
      </c>
      <c r="AW342" s="144" t="str">
        <f t="shared" si="111"/>
        <v>OK</v>
      </c>
      <c r="AX342" s="21" t="s">
        <v>3137</v>
      </c>
      <c r="AY342" s="21">
        <v>0</v>
      </c>
      <c r="AZ342" s="21"/>
      <c r="BA342" s="21"/>
    </row>
    <row r="343" spans="1:53" ht="20" customHeight="1">
      <c r="A343" s="86" t="s">
        <v>318</v>
      </c>
      <c r="B343" s="371" t="s">
        <v>2673</v>
      </c>
      <c r="C343" s="151" t="s">
        <v>51</v>
      </c>
      <c r="D343" s="151" t="s">
        <v>52</v>
      </c>
      <c r="E343" s="151" t="s">
        <v>1753</v>
      </c>
      <c r="F343" s="151" t="s">
        <v>1868</v>
      </c>
      <c r="G343" s="151" t="s">
        <v>1869</v>
      </c>
      <c r="H343" s="152">
        <v>35796</v>
      </c>
      <c r="I343" s="151" t="s">
        <v>1862</v>
      </c>
      <c r="J343" s="151" t="s">
        <v>1862</v>
      </c>
      <c r="K343" s="151" t="s">
        <v>324</v>
      </c>
      <c r="L343" s="153">
        <v>2</v>
      </c>
      <c r="M343" s="153">
        <v>3</v>
      </c>
      <c r="N343" s="171">
        <v>10764</v>
      </c>
      <c r="O343" s="155">
        <v>0</v>
      </c>
      <c r="P343" s="172">
        <f t="shared" si="98"/>
        <v>0</v>
      </c>
      <c r="Q343" s="155">
        <v>0</v>
      </c>
      <c r="R343" s="172">
        <f t="shared" si="99"/>
        <v>0</v>
      </c>
      <c r="S343" s="155">
        <f t="shared" si="100"/>
        <v>0</v>
      </c>
      <c r="T343" s="172">
        <f t="shared" si="101"/>
        <v>0</v>
      </c>
      <c r="U343" s="172">
        <f t="shared" si="102"/>
        <v>10764</v>
      </c>
      <c r="V343" s="173">
        <f t="shared" si="112"/>
        <v>10764</v>
      </c>
      <c r="W343" s="174">
        <f t="shared" si="103"/>
        <v>0</v>
      </c>
      <c r="X343" s="159">
        <f t="shared" si="97"/>
        <v>0</v>
      </c>
      <c r="Y343" s="160" t="str">
        <f t="shared" si="96"/>
        <v>0.00%-0.00%</v>
      </c>
      <c r="Z343" s="175"/>
      <c r="AA343" s="175"/>
      <c r="AB343" s="175"/>
      <c r="AC343" s="162"/>
      <c r="AD343" s="171">
        <f t="shared" si="104"/>
        <v>0</v>
      </c>
      <c r="AE343" s="176">
        <f t="shared" si="105"/>
        <v>10764</v>
      </c>
      <c r="AF343" s="164">
        <f t="shared" si="106"/>
        <v>0</v>
      </c>
      <c r="AG343" s="165">
        <f t="shared" si="107"/>
        <v>0</v>
      </c>
      <c r="AH343" s="166">
        <v>14</v>
      </c>
      <c r="AI343" s="166">
        <v>500</v>
      </c>
      <c r="AJ343" s="166"/>
      <c r="AK343" s="166">
        <v>688</v>
      </c>
      <c r="AL343" s="166">
        <f t="shared" si="108"/>
        <v>157384</v>
      </c>
      <c r="AM343" s="153">
        <v>3</v>
      </c>
      <c r="AN343" s="166"/>
      <c r="AO343" s="167"/>
      <c r="AP343" s="167"/>
      <c r="AQ343" s="151" t="s">
        <v>1854</v>
      </c>
      <c r="AR343" s="151" t="s">
        <v>124</v>
      </c>
      <c r="AW343" s="144" t="str">
        <f t="shared" si="111"/>
        <v>OK</v>
      </c>
      <c r="AX343" s="21" t="s">
        <v>3137</v>
      </c>
      <c r="AY343" s="21" t="s">
        <v>3134</v>
      </c>
      <c r="AZ343" s="21"/>
      <c r="BA343" s="21"/>
    </row>
    <row r="344" spans="1:53" ht="20" customHeight="1">
      <c r="A344" s="86" t="s">
        <v>318</v>
      </c>
      <c r="B344" s="371" t="s">
        <v>2674</v>
      </c>
      <c r="C344" s="151" t="s">
        <v>51</v>
      </c>
      <c r="D344" s="151" t="s">
        <v>52</v>
      </c>
      <c r="E344" s="151" t="s">
        <v>1753</v>
      </c>
      <c r="F344" s="151" t="s">
        <v>1860</v>
      </c>
      <c r="G344" s="151" t="s">
        <v>1861</v>
      </c>
      <c r="H344" s="152">
        <v>37511</v>
      </c>
      <c r="I344" s="151" t="s">
        <v>1871</v>
      </c>
      <c r="J344" s="151" t="s">
        <v>1871</v>
      </c>
      <c r="K344" s="151" t="s">
        <v>324</v>
      </c>
      <c r="L344" s="153">
        <v>2</v>
      </c>
      <c r="M344" s="153">
        <v>3</v>
      </c>
      <c r="N344" s="171">
        <v>7581</v>
      </c>
      <c r="O344" s="155">
        <v>2.5000000000000001E-2</v>
      </c>
      <c r="P344" s="172">
        <f t="shared" si="98"/>
        <v>190</v>
      </c>
      <c r="Q344" s="155">
        <v>0</v>
      </c>
      <c r="R344" s="172">
        <f t="shared" si="99"/>
        <v>0</v>
      </c>
      <c r="S344" s="155">
        <f t="shared" si="100"/>
        <v>2.5062656641604009E-2</v>
      </c>
      <c r="T344" s="172">
        <f t="shared" si="101"/>
        <v>190</v>
      </c>
      <c r="U344" s="172">
        <f t="shared" si="102"/>
        <v>7771</v>
      </c>
      <c r="V344" s="173">
        <f t="shared" si="112"/>
        <v>7771</v>
      </c>
      <c r="W344" s="174">
        <f t="shared" si="103"/>
        <v>190</v>
      </c>
      <c r="X344" s="159">
        <f t="shared" si="97"/>
        <v>2.5100000000000001E-2</v>
      </c>
      <c r="Y344" s="160" t="str">
        <f t="shared" si="96"/>
        <v>2.01%-3.01%</v>
      </c>
      <c r="Z344" s="175"/>
      <c r="AA344" s="175"/>
      <c r="AB344" s="175"/>
      <c r="AC344" s="162"/>
      <c r="AD344" s="171">
        <f t="shared" si="104"/>
        <v>0</v>
      </c>
      <c r="AE344" s="176">
        <f t="shared" si="105"/>
        <v>7771</v>
      </c>
      <c r="AF344" s="164">
        <f t="shared" si="106"/>
        <v>190</v>
      </c>
      <c r="AG344" s="165">
        <f t="shared" si="107"/>
        <v>2.506265664160412E-2</v>
      </c>
      <c r="AH344" s="166">
        <v>14</v>
      </c>
      <c r="AI344" s="166">
        <v>450</v>
      </c>
      <c r="AJ344" s="166"/>
      <c r="AK344" s="166">
        <v>688</v>
      </c>
      <c r="AL344" s="166">
        <f t="shared" si="108"/>
        <v>114882</v>
      </c>
      <c r="AM344" s="153">
        <v>3</v>
      </c>
      <c r="AN344" s="166"/>
      <c r="AO344" s="167"/>
      <c r="AP344" s="167"/>
      <c r="AQ344" s="151" t="s">
        <v>1854</v>
      </c>
      <c r="AR344" s="151" t="s">
        <v>124</v>
      </c>
      <c r="AW344" s="144" t="str">
        <f t="shared" si="111"/>
        <v>OK</v>
      </c>
      <c r="AX344" s="21" t="s">
        <v>3139</v>
      </c>
      <c r="AY344" s="21" t="s">
        <v>3130</v>
      </c>
      <c r="AZ344" s="21"/>
      <c r="BA344" s="21"/>
    </row>
    <row r="345" spans="1:53" ht="20" customHeight="1">
      <c r="A345" s="86" t="s">
        <v>318</v>
      </c>
      <c r="B345" s="371" t="s">
        <v>2675</v>
      </c>
      <c r="C345" s="151" t="s">
        <v>51</v>
      </c>
      <c r="D345" s="151" t="s">
        <v>52</v>
      </c>
      <c r="E345" s="151" t="s">
        <v>1753</v>
      </c>
      <c r="F345" s="151" t="s">
        <v>1860</v>
      </c>
      <c r="G345" s="151" t="s">
        <v>1861</v>
      </c>
      <c r="H345" s="152">
        <v>38504</v>
      </c>
      <c r="I345" s="151" t="s">
        <v>1866</v>
      </c>
      <c r="J345" s="151" t="s">
        <v>1866</v>
      </c>
      <c r="K345" s="151" t="s">
        <v>324</v>
      </c>
      <c r="L345" s="153">
        <v>2</v>
      </c>
      <c r="M345" s="153">
        <v>5</v>
      </c>
      <c r="N345" s="171">
        <v>8717</v>
      </c>
      <c r="O345" s="155">
        <v>0.03</v>
      </c>
      <c r="P345" s="172">
        <f t="shared" si="98"/>
        <v>262</v>
      </c>
      <c r="Q345" s="155">
        <v>0</v>
      </c>
      <c r="R345" s="172">
        <f t="shared" si="99"/>
        <v>0</v>
      </c>
      <c r="S345" s="155">
        <f t="shared" si="100"/>
        <v>3.0056211999541126E-2</v>
      </c>
      <c r="T345" s="172">
        <f t="shared" si="101"/>
        <v>262</v>
      </c>
      <c r="U345" s="172">
        <f t="shared" si="102"/>
        <v>8979</v>
      </c>
      <c r="V345" s="173">
        <f>N345</f>
        <v>8717</v>
      </c>
      <c r="W345" s="174">
        <f t="shared" si="103"/>
        <v>0</v>
      </c>
      <c r="X345" s="159">
        <f t="shared" si="97"/>
        <v>0</v>
      </c>
      <c r="Y345" s="160" t="str">
        <f t="shared" si="96"/>
        <v>2.40%-3.61%</v>
      </c>
      <c r="Z345" s="175" t="s">
        <v>87</v>
      </c>
      <c r="AA345" s="175" t="s">
        <v>85</v>
      </c>
      <c r="AB345" s="175" t="s">
        <v>139</v>
      </c>
      <c r="AC345" s="162">
        <v>0.113</v>
      </c>
      <c r="AD345" s="171">
        <f t="shared" si="104"/>
        <v>985</v>
      </c>
      <c r="AE345" s="176">
        <f t="shared" si="105"/>
        <v>9702</v>
      </c>
      <c r="AF345" s="164">
        <f t="shared" si="106"/>
        <v>985</v>
      </c>
      <c r="AG345" s="165">
        <f t="shared" si="107"/>
        <v>0.11299759091430528</v>
      </c>
      <c r="AH345" s="166">
        <v>14</v>
      </c>
      <c r="AI345" s="166">
        <v>1050</v>
      </c>
      <c r="AJ345" s="166"/>
      <c r="AK345" s="166">
        <v>688</v>
      </c>
      <c r="AL345" s="166">
        <f t="shared" si="108"/>
        <v>149116</v>
      </c>
      <c r="AM345" s="153">
        <v>4</v>
      </c>
      <c r="AN345" s="166"/>
      <c r="AO345" s="167"/>
      <c r="AP345" s="167"/>
      <c r="AQ345" s="151" t="s">
        <v>1854</v>
      </c>
      <c r="AR345" s="151" t="s">
        <v>124</v>
      </c>
      <c r="AW345" s="144" t="str">
        <f t="shared" si="111"/>
        <v>0 increase</v>
      </c>
      <c r="AX345" s="21" t="s">
        <v>3139</v>
      </c>
      <c r="AY345" s="21" t="s">
        <v>3138</v>
      </c>
      <c r="AZ345" s="21"/>
      <c r="BA345" s="21"/>
    </row>
    <row r="346" spans="1:53" ht="20" customHeight="1">
      <c r="A346" s="86" t="s">
        <v>318</v>
      </c>
      <c r="B346" s="371" t="s">
        <v>2676</v>
      </c>
      <c r="C346" s="151" t="s">
        <v>51</v>
      </c>
      <c r="D346" s="151" t="s">
        <v>52</v>
      </c>
      <c r="E346" s="151" t="s">
        <v>1753</v>
      </c>
      <c r="F346" s="151" t="s">
        <v>1872</v>
      </c>
      <c r="G346" s="151" t="s">
        <v>1873</v>
      </c>
      <c r="H346" s="152">
        <v>38777</v>
      </c>
      <c r="I346" s="151" t="s">
        <v>1871</v>
      </c>
      <c r="J346" s="151" t="s">
        <v>1871</v>
      </c>
      <c r="K346" s="151" t="s">
        <v>324</v>
      </c>
      <c r="L346" s="153">
        <v>2</v>
      </c>
      <c r="M346" s="153">
        <v>3</v>
      </c>
      <c r="N346" s="171">
        <v>10920</v>
      </c>
      <c r="O346" s="155">
        <v>0</v>
      </c>
      <c r="P346" s="172">
        <f t="shared" si="98"/>
        <v>0</v>
      </c>
      <c r="Q346" s="155">
        <v>0</v>
      </c>
      <c r="R346" s="172">
        <f t="shared" si="99"/>
        <v>0</v>
      </c>
      <c r="S346" s="155">
        <f t="shared" si="100"/>
        <v>0</v>
      </c>
      <c r="T346" s="172">
        <f t="shared" si="101"/>
        <v>0</v>
      </c>
      <c r="U346" s="172">
        <f t="shared" si="102"/>
        <v>10920</v>
      </c>
      <c r="V346" s="173">
        <f>U346+100</f>
        <v>11020</v>
      </c>
      <c r="W346" s="174">
        <f t="shared" si="103"/>
        <v>100</v>
      </c>
      <c r="X346" s="159">
        <f t="shared" si="97"/>
        <v>9.1999999999999998E-3</v>
      </c>
      <c r="Y346" s="160" t="str">
        <f t="shared" si="96"/>
        <v>0.00%-0.00%</v>
      </c>
      <c r="Z346" s="175"/>
      <c r="AA346" s="175"/>
      <c r="AB346" s="175"/>
      <c r="AC346" s="162"/>
      <c r="AD346" s="171">
        <f t="shared" si="104"/>
        <v>0</v>
      </c>
      <c r="AE346" s="176">
        <f t="shared" si="105"/>
        <v>11020</v>
      </c>
      <c r="AF346" s="164">
        <f t="shared" si="106"/>
        <v>100</v>
      </c>
      <c r="AG346" s="165">
        <f t="shared" si="107"/>
        <v>9.157509157509125E-3</v>
      </c>
      <c r="AH346" s="166">
        <v>14</v>
      </c>
      <c r="AI346" s="166">
        <v>450</v>
      </c>
      <c r="AJ346" s="166"/>
      <c r="AK346" s="166">
        <v>688</v>
      </c>
      <c r="AL346" s="166">
        <f t="shared" si="108"/>
        <v>160368</v>
      </c>
      <c r="AM346" s="153">
        <v>3</v>
      </c>
      <c r="AN346" s="166"/>
      <c r="AO346" s="167"/>
      <c r="AP346" s="167"/>
      <c r="AQ346" s="151" t="s">
        <v>1854</v>
      </c>
      <c r="AR346" s="151" t="s">
        <v>124</v>
      </c>
      <c r="AW346" s="144" t="str">
        <f t="shared" si="111"/>
        <v>&gt;20</v>
      </c>
      <c r="AX346" s="21" t="s">
        <v>3129</v>
      </c>
      <c r="AY346" s="21" t="s">
        <v>3134</v>
      </c>
      <c r="AZ346" s="21"/>
      <c r="BA346" s="21"/>
    </row>
    <row r="347" spans="1:53" ht="20" customHeight="1">
      <c r="A347" s="86" t="s">
        <v>318</v>
      </c>
      <c r="B347" s="371" t="s">
        <v>2677</v>
      </c>
      <c r="C347" s="151" t="s">
        <v>51</v>
      </c>
      <c r="D347" s="151" t="s">
        <v>52</v>
      </c>
      <c r="E347" s="151" t="s">
        <v>1753</v>
      </c>
      <c r="F347" s="151" t="s">
        <v>1863</v>
      </c>
      <c r="G347" s="151" t="s">
        <v>1864</v>
      </c>
      <c r="H347" s="152">
        <v>39387</v>
      </c>
      <c r="I347" s="151" t="s">
        <v>111</v>
      </c>
      <c r="J347" s="151" t="s">
        <v>1874</v>
      </c>
      <c r="K347" s="151" t="s">
        <v>56</v>
      </c>
      <c r="L347" s="153">
        <v>2</v>
      </c>
      <c r="M347" s="153">
        <v>4</v>
      </c>
      <c r="N347" s="171">
        <v>22134</v>
      </c>
      <c r="O347" s="155">
        <v>3.7500000000000006E-2</v>
      </c>
      <c r="P347" s="172">
        <f t="shared" si="98"/>
        <v>830</v>
      </c>
      <c r="Q347" s="155">
        <v>1.55E-2</v>
      </c>
      <c r="R347" s="172">
        <f t="shared" si="99"/>
        <v>343</v>
      </c>
      <c r="S347" s="155">
        <f t="shared" si="100"/>
        <v>5.2995391705069124E-2</v>
      </c>
      <c r="T347" s="172">
        <f t="shared" si="101"/>
        <v>1173</v>
      </c>
      <c r="U347" s="172">
        <f t="shared" si="102"/>
        <v>23307</v>
      </c>
      <c r="V347" s="173">
        <f t="shared" si="112"/>
        <v>23307</v>
      </c>
      <c r="W347" s="174">
        <f t="shared" si="103"/>
        <v>1173</v>
      </c>
      <c r="X347" s="159">
        <f t="shared" si="97"/>
        <v>5.2999999999999999E-2</v>
      </c>
      <c r="Y347" s="160" t="str">
        <f t="shared" si="96"/>
        <v>4.24%-6.36%</v>
      </c>
      <c r="Z347" s="175"/>
      <c r="AA347" s="175"/>
      <c r="AB347" s="175"/>
      <c r="AC347" s="162"/>
      <c r="AD347" s="171">
        <f t="shared" si="104"/>
        <v>0</v>
      </c>
      <c r="AE347" s="176">
        <f t="shared" si="105"/>
        <v>23307</v>
      </c>
      <c r="AF347" s="164">
        <f t="shared" si="106"/>
        <v>1173</v>
      </c>
      <c r="AG347" s="165">
        <f t="shared" si="107"/>
        <v>5.2995391705069173E-2</v>
      </c>
      <c r="AH347" s="166">
        <v>14</v>
      </c>
      <c r="AI347" s="166">
        <v>450</v>
      </c>
      <c r="AJ347" s="166"/>
      <c r="AK347" s="166">
        <v>688</v>
      </c>
      <c r="AL347" s="166">
        <f t="shared" si="108"/>
        <v>332386</v>
      </c>
      <c r="AM347" s="153">
        <v>5</v>
      </c>
      <c r="AN347" s="166"/>
      <c r="AO347" s="167"/>
      <c r="AP347" s="167"/>
      <c r="AQ347" s="151" t="s">
        <v>1854</v>
      </c>
      <c r="AR347" s="151" t="s">
        <v>124</v>
      </c>
      <c r="AW347" s="144" t="str">
        <f t="shared" si="111"/>
        <v>OK</v>
      </c>
      <c r="AX347" s="21" t="s">
        <v>3129</v>
      </c>
      <c r="AY347" s="21" t="s">
        <v>3130</v>
      </c>
      <c r="AZ347" s="21"/>
      <c r="BA347" s="21"/>
    </row>
    <row r="348" spans="1:53" ht="20" customHeight="1">
      <c r="A348" s="86" t="s">
        <v>318</v>
      </c>
      <c r="B348" s="371" t="s">
        <v>2678</v>
      </c>
      <c r="C348" s="151" t="s">
        <v>51</v>
      </c>
      <c r="D348" s="151" t="s">
        <v>52</v>
      </c>
      <c r="E348" s="151" t="s">
        <v>1753</v>
      </c>
      <c r="F348" s="151" t="s">
        <v>1863</v>
      </c>
      <c r="G348" s="151" t="s">
        <v>1864</v>
      </c>
      <c r="H348" s="152">
        <v>41808</v>
      </c>
      <c r="I348" s="151" t="s">
        <v>111</v>
      </c>
      <c r="J348" s="151" t="s">
        <v>1862</v>
      </c>
      <c r="K348" s="151" t="s">
        <v>56</v>
      </c>
      <c r="L348" s="153">
        <v>2</v>
      </c>
      <c r="M348" s="153">
        <v>3</v>
      </c>
      <c r="N348" s="171">
        <v>18254</v>
      </c>
      <c r="O348" s="155">
        <v>0.03</v>
      </c>
      <c r="P348" s="172">
        <f t="shared" si="98"/>
        <v>548</v>
      </c>
      <c r="Q348" s="155">
        <v>0</v>
      </c>
      <c r="R348" s="172">
        <f t="shared" si="99"/>
        <v>0</v>
      </c>
      <c r="S348" s="155">
        <f t="shared" si="100"/>
        <v>3.0020817355100253E-2</v>
      </c>
      <c r="T348" s="172">
        <f t="shared" si="101"/>
        <v>548</v>
      </c>
      <c r="U348" s="172">
        <f t="shared" si="102"/>
        <v>18802</v>
      </c>
      <c r="V348" s="173">
        <f t="shared" si="112"/>
        <v>18802</v>
      </c>
      <c r="W348" s="174">
        <f t="shared" si="103"/>
        <v>548</v>
      </c>
      <c r="X348" s="159">
        <f t="shared" si="97"/>
        <v>0.03</v>
      </c>
      <c r="Y348" s="160" t="str">
        <f t="shared" si="96"/>
        <v>2.40%-3.60%</v>
      </c>
      <c r="Z348" s="175"/>
      <c r="AA348" s="175"/>
      <c r="AB348" s="175"/>
      <c r="AC348" s="162"/>
      <c r="AD348" s="171">
        <f t="shared" si="104"/>
        <v>0</v>
      </c>
      <c r="AE348" s="176">
        <f t="shared" si="105"/>
        <v>18802</v>
      </c>
      <c r="AF348" s="164">
        <f t="shared" si="106"/>
        <v>548</v>
      </c>
      <c r="AG348" s="165">
        <f t="shared" si="107"/>
        <v>3.0020817355100204E-2</v>
      </c>
      <c r="AH348" s="166">
        <v>14</v>
      </c>
      <c r="AI348" s="166">
        <v>450</v>
      </c>
      <c r="AJ348" s="166"/>
      <c r="AK348" s="166">
        <v>688</v>
      </c>
      <c r="AL348" s="166">
        <f t="shared" si="108"/>
        <v>269316</v>
      </c>
      <c r="AM348" s="153">
        <v>4</v>
      </c>
      <c r="AN348" s="166"/>
      <c r="AO348" s="167"/>
      <c r="AP348" s="167"/>
      <c r="AQ348" s="151" t="s">
        <v>1854</v>
      </c>
      <c r="AR348" s="151" t="s">
        <v>124</v>
      </c>
      <c r="AW348" s="144" t="str">
        <f t="shared" si="111"/>
        <v>OK</v>
      </c>
      <c r="AX348" s="21" t="s">
        <v>3135</v>
      </c>
      <c r="AY348" s="21" t="s">
        <v>3132</v>
      </c>
      <c r="AZ348" s="21"/>
      <c r="BA348" s="21"/>
    </row>
    <row r="349" spans="1:53" ht="20" customHeight="1">
      <c r="A349" s="86" t="s">
        <v>318</v>
      </c>
      <c r="B349" s="371" t="s">
        <v>2679</v>
      </c>
      <c r="C349" s="151" t="s">
        <v>51</v>
      </c>
      <c r="D349" s="151" t="s">
        <v>52</v>
      </c>
      <c r="E349" s="151" t="s">
        <v>1753</v>
      </c>
      <c r="F349" s="151" t="s">
        <v>1875</v>
      </c>
      <c r="G349" s="151" t="s">
        <v>1876</v>
      </c>
      <c r="H349" s="152">
        <v>40238</v>
      </c>
      <c r="I349" s="151" t="s">
        <v>1877</v>
      </c>
      <c r="J349" s="151" t="s">
        <v>1878</v>
      </c>
      <c r="K349" s="151" t="s">
        <v>56</v>
      </c>
      <c r="L349" s="153">
        <v>2</v>
      </c>
      <c r="M349" s="153">
        <v>4</v>
      </c>
      <c r="N349" s="171">
        <v>22721</v>
      </c>
      <c r="O349" s="155">
        <v>3.7500000000000006E-2</v>
      </c>
      <c r="P349" s="172">
        <f t="shared" si="98"/>
        <v>852</v>
      </c>
      <c r="Q349" s="155">
        <v>1.55E-2</v>
      </c>
      <c r="R349" s="172">
        <f t="shared" si="99"/>
        <v>352</v>
      </c>
      <c r="S349" s="155">
        <f t="shared" si="100"/>
        <v>5.299062541261388E-2</v>
      </c>
      <c r="T349" s="172">
        <f t="shared" si="101"/>
        <v>1204</v>
      </c>
      <c r="U349" s="172">
        <f t="shared" si="102"/>
        <v>23925</v>
      </c>
      <c r="V349" s="173">
        <f t="shared" si="112"/>
        <v>23925</v>
      </c>
      <c r="W349" s="174">
        <f t="shared" si="103"/>
        <v>1204</v>
      </c>
      <c r="X349" s="159">
        <f t="shared" si="97"/>
        <v>5.2999999999999999E-2</v>
      </c>
      <c r="Y349" s="160" t="str">
        <f t="shared" si="96"/>
        <v>4.24%-6.36%</v>
      </c>
      <c r="Z349" s="175"/>
      <c r="AA349" s="175"/>
      <c r="AB349" s="175"/>
      <c r="AC349" s="162"/>
      <c r="AD349" s="171">
        <f t="shared" si="104"/>
        <v>0</v>
      </c>
      <c r="AE349" s="176">
        <f t="shared" si="105"/>
        <v>23925</v>
      </c>
      <c r="AF349" s="164">
        <f t="shared" si="106"/>
        <v>1204</v>
      </c>
      <c r="AG349" s="165">
        <f t="shared" si="107"/>
        <v>5.299062541261379E-2</v>
      </c>
      <c r="AH349" s="166">
        <v>14</v>
      </c>
      <c r="AI349" s="166">
        <v>450</v>
      </c>
      <c r="AJ349" s="166"/>
      <c r="AK349" s="166">
        <v>688</v>
      </c>
      <c r="AL349" s="166">
        <f t="shared" si="108"/>
        <v>341038</v>
      </c>
      <c r="AM349" s="153">
        <v>5</v>
      </c>
      <c r="AN349" s="166"/>
      <c r="AO349" s="167"/>
      <c r="AP349" s="167"/>
      <c r="AQ349" s="151" t="s">
        <v>1854</v>
      </c>
      <c r="AR349" s="151" t="s">
        <v>124</v>
      </c>
      <c r="AW349" s="144" t="str">
        <f t="shared" si="111"/>
        <v>OK</v>
      </c>
      <c r="AX349" s="21" t="s">
        <v>3129</v>
      </c>
      <c r="AY349" s="21" t="s">
        <v>3130</v>
      </c>
      <c r="AZ349" s="21"/>
      <c r="BA349" s="21"/>
    </row>
    <row r="350" spans="1:53" ht="20" customHeight="1">
      <c r="A350" s="86" t="s">
        <v>318</v>
      </c>
      <c r="B350" s="371" t="s">
        <v>2680</v>
      </c>
      <c r="C350" s="151" t="s">
        <v>51</v>
      </c>
      <c r="D350" s="151" t="s">
        <v>52</v>
      </c>
      <c r="E350" s="151" t="s">
        <v>1753</v>
      </c>
      <c r="F350" s="151" t="s">
        <v>1879</v>
      </c>
      <c r="G350" s="151" t="s">
        <v>1880</v>
      </c>
      <c r="H350" s="152">
        <v>40346</v>
      </c>
      <c r="I350" s="151" t="s">
        <v>1866</v>
      </c>
      <c r="J350" s="151" t="s">
        <v>1881</v>
      </c>
      <c r="K350" s="151" t="s">
        <v>324</v>
      </c>
      <c r="L350" s="153">
        <v>2</v>
      </c>
      <c r="M350" s="153">
        <v>4</v>
      </c>
      <c r="N350" s="171">
        <v>9197</v>
      </c>
      <c r="O350" s="155">
        <v>2.2499999999999999E-2</v>
      </c>
      <c r="P350" s="172">
        <f t="shared" si="98"/>
        <v>207</v>
      </c>
      <c r="Q350" s="155">
        <v>0</v>
      </c>
      <c r="R350" s="172">
        <f t="shared" si="99"/>
        <v>0</v>
      </c>
      <c r="S350" s="155">
        <f t="shared" si="100"/>
        <v>2.2507339349787974E-2</v>
      </c>
      <c r="T350" s="172">
        <f t="shared" si="101"/>
        <v>207</v>
      </c>
      <c r="U350" s="172">
        <f t="shared" si="102"/>
        <v>9404</v>
      </c>
      <c r="V350" s="173">
        <f t="shared" si="112"/>
        <v>9404</v>
      </c>
      <c r="W350" s="174">
        <f t="shared" si="103"/>
        <v>207</v>
      </c>
      <c r="X350" s="159">
        <f t="shared" si="97"/>
        <v>2.2499999999999999E-2</v>
      </c>
      <c r="Y350" s="160" t="str">
        <f t="shared" si="96"/>
        <v>1.80%-2.70%</v>
      </c>
      <c r="Z350" s="175"/>
      <c r="AA350" s="175"/>
      <c r="AB350" s="175"/>
      <c r="AC350" s="162"/>
      <c r="AD350" s="171">
        <f t="shared" si="104"/>
        <v>0</v>
      </c>
      <c r="AE350" s="176">
        <f t="shared" si="105"/>
        <v>9404</v>
      </c>
      <c r="AF350" s="164">
        <f t="shared" si="106"/>
        <v>207</v>
      </c>
      <c r="AG350" s="165">
        <f t="shared" si="107"/>
        <v>2.250733934978788E-2</v>
      </c>
      <c r="AH350" s="166">
        <v>14</v>
      </c>
      <c r="AI350" s="166">
        <v>450</v>
      </c>
      <c r="AJ350" s="166"/>
      <c r="AK350" s="166">
        <v>688</v>
      </c>
      <c r="AL350" s="166">
        <f t="shared" si="108"/>
        <v>137744</v>
      </c>
      <c r="AM350" s="153">
        <v>3</v>
      </c>
      <c r="AN350" s="166"/>
      <c r="AO350" s="167"/>
      <c r="AP350" s="167"/>
      <c r="AQ350" s="151" t="s">
        <v>1854</v>
      </c>
      <c r="AR350" s="151" t="s">
        <v>124</v>
      </c>
      <c r="AW350" s="144" t="str">
        <f t="shared" si="111"/>
        <v>OK</v>
      </c>
      <c r="AX350" s="21" t="s">
        <v>3135</v>
      </c>
      <c r="AY350" s="21" t="s">
        <v>3138</v>
      </c>
      <c r="AZ350" s="21"/>
      <c r="BA350" s="21"/>
    </row>
    <row r="351" spans="1:53" ht="20" customHeight="1">
      <c r="A351" s="86" t="s">
        <v>318</v>
      </c>
      <c r="B351" s="371" t="s">
        <v>2681</v>
      </c>
      <c r="C351" s="151" t="s">
        <v>51</v>
      </c>
      <c r="D351" s="151" t="s">
        <v>52</v>
      </c>
      <c r="E351" s="151" t="s">
        <v>1753</v>
      </c>
      <c r="F351" s="151" t="s">
        <v>1882</v>
      </c>
      <c r="G351" s="151" t="s">
        <v>1883</v>
      </c>
      <c r="H351" s="152">
        <v>40400</v>
      </c>
      <c r="I351" s="151" t="s">
        <v>1862</v>
      </c>
      <c r="J351" s="151" t="s">
        <v>1862</v>
      </c>
      <c r="K351" s="151" t="s">
        <v>324</v>
      </c>
      <c r="L351" s="153">
        <v>2</v>
      </c>
      <c r="M351" s="153">
        <v>3</v>
      </c>
      <c r="N351" s="171">
        <v>8684</v>
      </c>
      <c r="O351" s="155">
        <v>2.5000000000000001E-2</v>
      </c>
      <c r="P351" s="172">
        <f t="shared" si="98"/>
        <v>217</v>
      </c>
      <c r="Q351" s="155">
        <v>0</v>
      </c>
      <c r="R351" s="172">
        <f t="shared" si="99"/>
        <v>0</v>
      </c>
      <c r="S351" s="155">
        <f t="shared" si="100"/>
        <v>2.4988484569322893E-2</v>
      </c>
      <c r="T351" s="172">
        <f t="shared" si="101"/>
        <v>217</v>
      </c>
      <c r="U351" s="172">
        <f t="shared" si="102"/>
        <v>8901</v>
      </c>
      <c r="V351" s="173">
        <f t="shared" si="112"/>
        <v>8901</v>
      </c>
      <c r="W351" s="174">
        <f t="shared" si="103"/>
        <v>217</v>
      </c>
      <c r="X351" s="159">
        <f t="shared" si="97"/>
        <v>2.5000000000000001E-2</v>
      </c>
      <c r="Y351" s="160" t="str">
        <f t="shared" si="96"/>
        <v>2.00%-3.00%</v>
      </c>
      <c r="Z351" s="175"/>
      <c r="AA351" s="175"/>
      <c r="AB351" s="175"/>
      <c r="AC351" s="162"/>
      <c r="AD351" s="171">
        <f t="shared" si="104"/>
        <v>0</v>
      </c>
      <c r="AE351" s="176">
        <f t="shared" si="105"/>
        <v>8901</v>
      </c>
      <c r="AF351" s="164">
        <f t="shared" si="106"/>
        <v>217</v>
      </c>
      <c r="AG351" s="165">
        <f t="shared" si="107"/>
        <v>2.49884845693229E-2</v>
      </c>
      <c r="AH351" s="166">
        <v>14</v>
      </c>
      <c r="AI351" s="166">
        <v>450</v>
      </c>
      <c r="AJ351" s="166"/>
      <c r="AK351" s="166">
        <v>688</v>
      </c>
      <c r="AL351" s="166">
        <f t="shared" si="108"/>
        <v>130702</v>
      </c>
      <c r="AM351" s="153">
        <v>3</v>
      </c>
      <c r="AN351" s="166"/>
      <c r="AO351" s="167"/>
      <c r="AP351" s="167"/>
      <c r="AQ351" s="151" t="s">
        <v>1854</v>
      </c>
      <c r="AR351" s="151" t="s">
        <v>124</v>
      </c>
      <c r="AW351" s="144" t="str">
        <f t="shared" si="111"/>
        <v>OK</v>
      </c>
      <c r="AX351" s="21" t="s">
        <v>3135</v>
      </c>
      <c r="AY351" s="21" t="s">
        <v>3130</v>
      </c>
      <c r="AZ351" s="21"/>
      <c r="BA351" s="21"/>
    </row>
    <row r="352" spans="1:53" ht="20" customHeight="1">
      <c r="A352" s="86" t="s">
        <v>318</v>
      </c>
      <c r="B352" s="371" t="s">
        <v>2682</v>
      </c>
      <c r="C352" s="151" t="s">
        <v>51</v>
      </c>
      <c r="D352" s="151" t="s">
        <v>52</v>
      </c>
      <c r="E352" s="151" t="s">
        <v>1753</v>
      </c>
      <c r="F352" s="151" t="s">
        <v>1884</v>
      </c>
      <c r="G352" s="151" t="s">
        <v>1748</v>
      </c>
      <c r="H352" s="152">
        <v>40440</v>
      </c>
      <c r="I352" s="151" t="s">
        <v>85</v>
      </c>
      <c r="J352" s="151" t="s">
        <v>85</v>
      </c>
      <c r="K352" s="151" t="s">
        <v>76</v>
      </c>
      <c r="L352" s="153">
        <v>2</v>
      </c>
      <c r="M352" s="153">
        <v>3</v>
      </c>
      <c r="N352" s="171">
        <v>14310</v>
      </c>
      <c r="O352" s="155">
        <v>0</v>
      </c>
      <c r="P352" s="172">
        <f t="shared" si="98"/>
        <v>0</v>
      </c>
      <c r="Q352" s="155">
        <v>0</v>
      </c>
      <c r="R352" s="172">
        <f t="shared" si="99"/>
        <v>0</v>
      </c>
      <c r="S352" s="155">
        <f t="shared" si="100"/>
        <v>0</v>
      </c>
      <c r="T352" s="172">
        <f t="shared" si="101"/>
        <v>0</v>
      </c>
      <c r="U352" s="172">
        <f t="shared" si="102"/>
        <v>14310</v>
      </c>
      <c r="V352" s="173">
        <f t="shared" si="112"/>
        <v>14310</v>
      </c>
      <c r="W352" s="174">
        <f t="shared" si="103"/>
        <v>0</v>
      </c>
      <c r="X352" s="159">
        <f t="shared" si="97"/>
        <v>0</v>
      </c>
      <c r="Y352" s="160" t="str">
        <f t="shared" si="96"/>
        <v>0.00%-0.00%</v>
      </c>
      <c r="Z352" s="175"/>
      <c r="AA352" s="175"/>
      <c r="AB352" s="175"/>
      <c r="AC352" s="162"/>
      <c r="AD352" s="171">
        <f t="shared" si="104"/>
        <v>0</v>
      </c>
      <c r="AE352" s="176">
        <f t="shared" si="105"/>
        <v>14310</v>
      </c>
      <c r="AF352" s="164">
        <f t="shared" si="106"/>
        <v>0</v>
      </c>
      <c r="AG352" s="165">
        <f t="shared" si="107"/>
        <v>0</v>
      </c>
      <c r="AH352" s="166">
        <v>14</v>
      </c>
      <c r="AI352" s="166">
        <v>450</v>
      </c>
      <c r="AJ352" s="166"/>
      <c r="AK352" s="166">
        <v>688</v>
      </c>
      <c r="AL352" s="166">
        <f t="shared" si="108"/>
        <v>206428</v>
      </c>
      <c r="AM352" s="153">
        <v>2</v>
      </c>
      <c r="AN352" s="166"/>
      <c r="AO352" s="167"/>
      <c r="AP352" s="167"/>
      <c r="AQ352" s="151" t="s">
        <v>1854</v>
      </c>
      <c r="AR352" s="151" t="s">
        <v>124</v>
      </c>
      <c r="AW352" s="144" t="str">
        <f t="shared" si="111"/>
        <v>OK</v>
      </c>
      <c r="AX352" s="21" t="s">
        <v>3135</v>
      </c>
      <c r="AY352" s="21" t="s">
        <v>3134</v>
      </c>
      <c r="AZ352" s="21"/>
      <c r="BA352" s="21"/>
    </row>
    <row r="353" spans="1:53" ht="20" customHeight="1">
      <c r="A353" s="86" t="s">
        <v>318</v>
      </c>
      <c r="B353" s="371" t="s">
        <v>2683</v>
      </c>
      <c r="C353" s="151" t="s">
        <v>51</v>
      </c>
      <c r="D353" s="151" t="s">
        <v>52</v>
      </c>
      <c r="E353" s="151" t="s">
        <v>1753</v>
      </c>
      <c r="F353" s="151" t="s">
        <v>1863</v>
      </c>
      <c r="G353" s="151" t="s">
        <v>1864</v>
      </c>
      <c r="H353" s="152">
        <v>40459</v>
      </c>
      <c r="I353" s="151" t="s">
        <v>1865</v>
      </c>
      <c r="J353" s="151" t="s">
        <v>1865</v>
      </c>
      <c r="K353" s="151" t="s">
        <v>324</v>
      </c>
      <c r="L353" s="153">
        <v>2</v>
      </c>
      <c r="M353" s="153">
        <v>3</v>
      </c>
      <c r="N353" s="171">
        <v>10487</v>
      </c>
      <c r="O353" s="155">
        <v>0</v>
      </c>
      <c r="P353" s="172">
        <f t="shared" si="98"/>
        <v>0</v>
      </c>
      <c r="Q353" s="155">
        <v>0</v>
      </c>
      <c r="R353" s="172">
        <f t="shared" si="99"/>
        <v>0</v>
      </c>
      <c r="S353" s="155">
        <f t="shared" si="100"/>
        <v>0</v>
      </c>
      <c r="T353" s="172">
        <f t="shared" si="101"/>
        <v>0</v>
      </c>
      <c r="U353" s="172">
        <f t="shared" si="102"/>
        <v>10487</v>
      </c>
      <c r="V353" s="173">
        <f t="shared" si="112"/>
        <v>10487</v>
      </c>
      <c r="W353" s="174">
        <f t="shared" si="103"/>
        <v>0</v>
      </c>
      <c r="X353" s="159">
        <f t="shared" si="97"/>
        <v>0</v>
      </c>
      <c r="Y353" s="160" t="str">
        <f t="shared" si="96"/>
        <v>0.00%-0.00%</v>
      </c>
      <c r="Z353" s="175"/>
      <c r="AA353" s="175"/>
      <c r="AB353" s="175"/>
      <c r="AC353" s="162"/>
      <c r="AD353" s="171">
        <f t="shared" si="104"/>
        <v>0</v>
      </c>
      <c r="AE353" s="176">
        <f t="shared" si="105"/>
        <v>10487</v>
      </c>
      <c r="AF353" s="164">
        <f t="shared" si="106"/>
        <v>0</v>
      </c>
      <c r="AG353" s="165">
        <f t="shared" si="107"/>
        <v>0</v>
      </c>
      <c r="AH353" s="166">
        <v>14</v>
      </c>
      <c r="AI353" s="166">
        <v>1750</v>
      </c>
      <c r="AJ353" s="166"/>
      <c r="AK353" s="166">
        <v>688</v>
      </c>
      <c r="AL353" s="166">
        <f t="shared" si="108"/>
        <v>168506</v>
      </c>
      <c r="AM353" s="153">
        <v>3</v>
      </c>
      <c r="AN353" s="166"/>
      <c r="AO353" s="167"/>
      <c r="AP353" s="167"/>
      <c r="AQ353" s="151" t="s">
        <v>1854</v>
      </c>
      <c r="AR353" s="151" t="s">
        <v>124</v>
      </c>
      <c r="AW353" s="144" t="str">
        <f t="shared" si="111"/>
        <v>OK</v>
      </c>
      <c r="AX353" s="21" t="s">
        <v>3135</v>
      </c>
      <c r="AY353" s="21" t="s">
        <v>3134</v>
      </c>
      <c r="AZ353" s="21"/>
      <c r="BA353" s="21"/>
    </row>
    <row r="354" spans="1:53" ht="20" customHeight="1">
      <c r="A354" s="86" t="s">
        <v>318</v>
      </c>
      <c r="B354" s="371" t="s">
        <v>2684</v>
      </c>
      <c r="C354" s="151" t="s">
        <v>51</v>
      </c>
      <c r="D354" s="151" t="s">
        <v>52</v>
      </c>
      <c r="E354" s="151" t="s">
        <v>1753</v>
      </c>
      <c r="F354" s="151" t="s">
        <v>1872</v>
      </c>
      <c r="G354" s="151" t="s">
        <v>1873</v>
      </c>
      <c r="H354" s="152">
        <v>40497</v>
      </c>
      <c r="I354" s="151" t="s">
        <v>1865</v>
      </c>
      <c r="J354" s="151" t="s">
        <v>1865</v>
      </c>
      <c r="K354" s="151" t="s">
        <v>324</v>
      </c>
      <c r="L354" s="153">
        <v>2</v>
      </c>
      <c r="M354" s="153">
        <v>3</v>
      </c>
      <c r="N354" s="171">
        <v>6795</v>
      </c>
      <c r="O354" s="155">
        <v>0</v>
      </c>
      <c r="P354" s="172">
        <f t="shared" si="98"/>
        <v>0</v>
      </c>
      <c r="Q354" s="155">
        <v>0</v>
      </c>
      <c r="R354" s="172">
        <f t="shared" si="99"/>
        <v>0</v>
      </c>
      <c r="S354" s="155">
        <f t="shared" si="100"/>
        <v>0</v>
      </c>
      <c r="T354" s="172">
        <f t="shared" si="101"/>
        <v>0</v>
      </c>
      <c r="U354" s="172">
        <f t="shared" si="102"/>
        <v>6795</v>
      </c>
      <c r="V354" s="173">
        <f>U354+100</f>
        <v>6895</v>
      </c>
      <c r="W354" s="174">
        <f t="shared" si="103"/>
        <v>100</v>
      </c>
      <c r="X354" s="159">
        <f t="shared" si="97"/>
        <v>1.47E-2</v>
      </c>
      <c r="Y354" s="160" t="str">
        <f t="shared" si="96"/>
        <v>0.00%-0.00%</v>
      </c>
      <c r="Z354" s="175"/>
      <c r="AA354" s="175"/>
      <c r="AB354" s="175"/>
      <c r="AC354" s="162"/>
      <c r="AD354" s="171">
        <f t="shared" si="104"/>
        <v>0</v>
      </c>
      <c r="AE354" s="176">
        <f t="shared" si="105"/>
        <v>6895</v>
      </c>
      <c r="AF354" s="164">
        <f t="shared" si="106"/>
        <v>100</v>
      </c>
      <c r="AG354" s="165">
        <f t="shared" si="107"/>
        <v>1.471670345842524E-2</v>
      </c>
      <c r="AH354" s="166">
        <v>14</v>
      </c>
      <c r="AI354" s="166">
        <v>2050</v>
      </c>
      <c r="AJ354" s="166"/>
      <c r="AK354" s="166">
        <v>688</v>
      </c>
      <c r="AL354" s="166">
        <f t="shared" si="108"/>
        <v>121818</v>
      </c>
      <c r="AM354" s="153">
        <v>3</v>
      </c>
      <c r="AN354" s="166"/>
      <c r="AO354" s="167"/>
      <c r="AP354" s="167"/>
      <c r="AQ354" s="151" t="s">
        <v>1854</v>
      </c>
      <c r="AR354" s="151" t="s">
        <v>124</v>
      </c>
      <c r="AW354" s="144" t="str">
        <f t="shared" si="111"/>
        <v>&gt;20</v>
      </c>
      <c r="AX354" s="21" t="s">
        <v>3135</v>
      </c>
      <c r="AY354" s="21" t="s">
        <v>3134</v>
      </c>
      <c r="AZ354" s="21"/>
      <c r="BA354" s="21"/>
    </row>
    <row r="355" spans="1:53" ht="20" customHeight="1">
      <c r="A355" s="86" t="s">
        <v>318</v>
      </c>
      <c r="B355" s="371" t="s">
        <v>2685</v>
      </c>
      <c r="C355" s="151" t="s">
        <v>51</v>
      </c>
      <c r="D355" s="151" t="s">
        <v>52</v>
      </c>
      <c r="E355" s="151" t="s">
        <v>1753</v>
      </c>
      <c r="F355" s="151" t="s">
        <v>1860</v>
      </c>
      <c r="G355" s="151" t="s">
        <v>1861</v>
      </c>
      <c r="H355" s="152">
        <v>40497</v>
      </c>
      <c r="I355" s="151" t="s">
        <v>1865</v>
      </c>
      <c r="J355" s="151" t="s">
        <v>1865</v>
      </c>
      <c r="K355" s="151" t="s">
        <v>324</v>
      </c>
      <c r="L355" s="153">
        <v>2</v>
      </c>
      <c r="M355" s="153">
        <v>3</v>
      </c>
      <c r="N355" s="171">
        <v>8348</v>
      </c>
      <c r="O355" s="155">
        <v>0</v>
      </c>
      <c r="P355" s="172">
        <f t="shared" si="98"/>
        <v>0</v>
      </c>
      <c r="Q355" s="155">
        <v>0</v>
      </c>
      <c r="R355" s="172">
        <f t="shared" si="99"/>
        <v>0</v>
      </c>
      <c r="S355" s="155">
        <f t="shared" si="100"/>
        <v>0</v>
      </c>
      <c r="T355" s="172">
        <f t="shared" si="101"/>
        <v>0</v>
      </c>
      <c r="U355" s="172">
        <f t="shared" si="102"/>
        <v>8348</v>
      </c>
      <c r="V355" s="173">
        <f t="shared" si="112"/>
        <v>8348</v>
      </c>
      <c r="W355" s="174">
        <f t="shared" si="103"/>
        <v>0</v>
      </c>
      <c r="X355" s="159">
        <f t="shared" si="97"/>
        <v>0</v>
      </c>
      <c r="Y355" s="160" t="str">
        <f t="shared" si="96"/>
        <v>0.00%-0.00%</v>
      </c>
      <c r="Z355" s="175"/>
      <c r="AA355" s="175"/>
      <c r="AB355" s="175"/>
      <c r="AC355" s="162"/>
      <c r="AD355" s="171">
        <f t="shared" si="104"/>
        <v>0</v>
      </c>
      <c r="AE355" s="176">
        <f t="shared" si="105"/>
        <v>8348</v>
      </c>
      <c r="AF355" s="164">
        <f t="shared" si="106"/>
        <v>0</v>
      </c>
      <c r="AG355" s="165">
        <f t="shared" si="107"/>
        <v>0</v>
      </c>
      <c r="AH355" s="166">
        <v>14</v>
      </c>
      <c r="AI355" s="166">
        <v>1650</v>
      </c>
      <c r="AJ355" s="166"/>
      <c r="AK355" s="166">
        <v>688</v>
      </c>
      <c r="AL355" s="166">
        <f t="shared" si="108"/>
        <v>137360</v>
      </c>
      <c r="AM355" s="153">
        <v>4</v>
      </c>
      <c r="AN355" s="166"/>
      <c r="AO355" s="167"/>
      <c r="AP355" s="167"/>
      <c r="AQ355" s="151" t="s">
        <v>1854</v>
      </c>
      <c r="AR355" s="151" t="s">
        <v>124</v>
      </c>
      <c r="AW355" s="144" t="str">
        <f t="shared" si="111"/>
        <v>OK</v>
      </c>
      <c r="AX355" s="21" t="s">
        <v>3135</v>
      </c>
      <c r="AY355" s="21" t="s">
        <v>3134</v>
      </c>
      <c r="AZ355" s="21"/>
      <c r="BA355" s="21"/>
    </row>
    <row r="356" spans="1:53" ht="20" customHeight="1">
      <c r="A356" s="86" t="s">
        <v>318</v>
      </c>
      <c r="B356" s="371" t="s">
        <v>2686</v>
      </c>
      <c r="C356" s="151" t="s">
        <v>51</v>
      </c>
      <c r="D356" s="151" t="s">
        <v>52</v>
      </c>
      <c r="E356" s="151" t="s">
        <v>1753</v>
      </c>
      <c r="F356" s="151" t="s">
        <v>1863</v>
      </c>
      <c r="G356" s="151" t="s">
        <v>1864</v>
      </c>
      <c r="H356" s="152">
        <v>40513</v>
      </c>
      <c r="I356" s="151" t="s">
        <v>1865</v>
      </c>
      <c r="J356" s="151" t="s">
        <v>1865</v>
      </c>
      <c r="K356" s="151" t="s">
        <v>324</v>
      </c>
      <c r="L356" s="153">
        <v>2</v>
      </c>
      <c r="M356" s="153">
        <v>3</v>
      </c>
      <c r="N356" s="171">
        <v>7972</v>
      </c>
      <c r="O356" s="155">
        <v>0</v>
      </c>
      <c r="P356" s="172">
        <f t="shared" si="98"/>
        <v>0</v>
      </c>
      <c r="Q356" s="155">
        <v>0</v>
      </c>
      <c r="R356" s="172">
        <f t="shared" si="99"/>
        <v>0</v>
      </c>
      <c r="S356" s="155">
        <f t="shared" si="100"/>
        <v>0</v>
      </c>
      <c r="T356" s="172">
        <f t="shared" si="101"/>
        <v>0</v>
      </c>
      <c r="U356" s="172">
        <f t="shared" si="102"/>
        <v>7972</v>
      </c>
      <c r="V356" s="173">
        <f t="shared" si="112"/>
        <v>7972</v>
      </c>
      <c r="W356" s="174">
        <f t="shared" si="103"/>
        <v>0</v>
      </c>
      <c r="X356" s="159">
        <f t="shared" si="97"/>
        <v>0</v>
      </c>
      <c r="Y356" s="160" t="str">
        <f t="shared" si="96"/>
        <v>0.00%-0.00%</v>
      </c>
      <c r="Z356" s="175"/>
      <c r="AA356" s="175"/>
      <c r="AB356" s="175"/>
      <c r="AC356" s="162"/>
      <c r="AD356" s="171">
        <f t="shared" si="104"/>
        <v>0</v>
      </c>
      <c r="AE356" s="176">
        <f t="shared" si="105"/>
        <v>7972</v>
      </c>
      <c r="AF356" s="164">
        <f t="shared" si="106"/>
        <v>0</v>
      </c>
      <c r="AG356" s="165">
        <f t="shared" si="107"/>
        <v>0</v>
      </c>
      <c r="AH356" s="166">
        <v>14</v>
      </c>
      <c r="AI356" s="166">
        <v>850</v>
      </c>
      <c r="AJ356" s="166"/>
      <c r="AK356" s="166">
        <v>688</v>
      </c>
      <c r="AL356" s="166">
        <f t="shared" si="108"/>
        <v>122496</v>
      </c>
      <c r="AM356" s="153">
        <v>3</v>
      </c>
      <c r="AN356" s="166"/>
      <c r="AO356" s="167"/>
      <c r="AP356" s="167"/>
      <c r="AQ356" s="151" t="s">
        <v>1854</v>
      </c>
      <c r="AR356" s="151" t="s">
        <v>124</v>
      </c>
      <c r="AW356" s="144" t="str">
        <f t="shared" si="111"/>
        <v>OK</v>
      </c>
      <c r="AX356" s="21" t="s">
        <v>3135</v>
      </c>
      <c r="AY356" s="21" t="s">
        <v>3134</v>
      </c>
      <c r="AZ356" s="21"/>
      <c r="BA356" s="21"/>
    </row>
    <row r="357" spans="1:53" ht="20" customHeight="1">
      <c r="A357" s="86" t="s">
        <v>318</v>
      </c>
      <c r="B357" s="371" t="s">
        <v>2687</v>
      </c>
      <c r="C357" s="151" t="s">
        <v>51</v>
      </c>
      <c r="D357" s="151" t="s">
        <v>52</v>
      </c>
      <c r="E357" s="151" t="s">
        <v>1753</v>
      </c>
      <c r="F357" s="151" t="s">
        <v>1879</v>
      </c>
      <c r="G357" s="151" t="s">
        <v>1880</v>
      </c>
      <c r="H357" s="152">
        <v>40536</v>
      </c>
      <c r="I357" s="151" t="s">
        <v>1865</v>
      </c>
      <c r="J357" s="151" t="s">
        <v>1865</v>
      </c>
      <c r="K357" s="151" t="s">
        <v>324</v>
      </c>
      <c r="L357" s="153">
        <v>2</v>
      </c>
      <c r="M357" s="153">
        <v>3</v>
      </c>
      <c r="N357" s="171">
        <v>8331</v>
      </c>
      <c r="O357" s="155">
        <v>0</v>
      </c>
      <c r="P357" s="172">
        <f t="shared" si="98"/>
        <v>0</v>
      </c>
      <c r="Q357" s="155">
        <v>0</v>
      </c>
      <c r="R357" s="172">
        <f t="shared" si="99"/>
        <v>0</v>
      </c>
      <c r="S357" s="155">
        <f t="shared" si="100"/>
        <v>0</v>
      </c>
      <c r="T357" s="172">
        <f t="shared" si="101"/>
        <v>0</v>
      </c>
      <c r="U357" s="172">
        <f t="shared" si="102"/>
        <v>8331</v>
      </c>
      <c r="V357" s="173">
        <f t="shared" si="112"/>
        <v>8331</v>
      </c>
      <c r="W357" s="174">
        <f t="shared" si="103"/>
        <v>0</v>
      </c>
      <c r="X357" s="159">
        <f t="shared" si="97"/>
        <v>0</v>
      </c>
      <c r="Y357" s="160" t="str">
        <f t="shared" si="96"/>
        <v>0.00%-0.00%</v>
      </c>
      <c r="Z357" s="175"/>
      <c r="AA357" s="175"/>
      <c r="AB357" s="175"/>
      <c r="AC357" s="162"/>
      <c r="AD357" s="171">
        <f t="shared" si="104"/>
        <v>0</v>
      </c>
      <c r="AE357" s="176">
        <f t="shared" si="105"/>
        <v>8331</v>
      </c>
      <c r="AF357" s="164">
        <f t="shared" si="106"/>
        <v>0</v>
      </c>
      <c r="AG357" s="165">
        <f t="shared" si="107"/>
        <v>0</v>
      </c>
      <c r="AH357" s="166">
        <v>14</v>
      </c>
      <c r="AI357" s="166">
        <v>1450</v>
      </c>
      <c r="AJ357" s="166"/>
      <c r="AK357" s="166">
        <v>688</v>
      </c>
      <c r="AL357" s="166">
        <f t="shared" si="108"/>
        <v>134722</v>
      </c>
      <c r="AM357" s="153">
        <v>3</v>
      </c>
      <c r="AN357" s="166"/>
      <c r="AO357" s="167"/>
      <c r="AP357" s="167"/>
      <c r="AQ357" s="151" t="s">
        <v>1854</v>
      </c>
      <c r="AR357" s="151" t="s">
        <v>124</v>
      </c>
      <c r="AW357" s="144" t="str">
        <f t="shared" si="111"/>
        <v>OK</v>
      </c>
      <c r="AX357" s="21" t="s">
        <v>3135</v>
      </c>
      <c r="AY357" s="21" t="s">
        <v>3134</v>
      </c>
      <c r="AZ357" s="21"/>
      <c r="BA357" s="21"/>
    </row>
    <row r="358" spans="1:53" ht="20" customHeight="1">
      <c r="A358" s="86" t="s">
        <v>318</v>
      </c>
      <c r="B358" s="371" t="s">
        <v>2688</v>
      </c>
      <c r="C358" s="151" t="s">
        <v>51</v>
      </c>
      <c r="D358" s="151" t="s">
        <v>52</v>
      </c>
      <c r="E358" s="151" t="s">
        <v>1753</v>
      </c>
      <c r="F358" s="151" t="s">
        <v>1885</v>
      </c>
      <c r="G358" s="151" t="s">
        <v>1886</v>
      </c>
      <c r="H358" s="152">
        <v>40583</v>
      </c>
      <c r="I358" s="151" t="s">
        <v>1866</v>
      </c>
      <c r="J358" s="151" t="s">
        <v>1866</v>
      </c>
      <c r="K358" s="151" t="s">
        <v>324</v>
      </c>
      <c r="L358" s="153">
        <v>2</v>
      </c>
      <c r="M358" s="153">
        <v>3</v>
      </c>
      <c r="N358" s="171">
        <v>7056</v>
      </c>
      <c r="O358" s="155">
        <v>0</v>
      </c>
      <c r="P358" s="172">
        <f t="shared" si="98"/>
        <v>0</v>
      </c>
      <c r="Q358" s="155">
        <v>0</v>
      </c>
      <c r="R358" s="172">
        <f t="shared" si="99"/>
        <v>0</v>
      </c>
      <c r="S358" s="155">
        <f t="shared" si="100"/>
        <v>0</v>
      </c>
      <c r="T358" s="172">
        <f t="shared" si="101"/>
        <v>0</v>
      </c>
      <c r="U358" s="172">
        <f t="shared" si="102"/>
        <v>7056</v>
      </c>
      <c r="V358" s="173">
        <f>U358+100</f>
        <v>7156</v>
      </c>
      <c r="W358" s="174">
        <f t="shared" si="103"/>
        <v>100</v>
      </c>
      <c r="X358" s="159">
        <f t="shared" si="97"/>
        <v>1.4200000000000001E-2</v>
      </c>
      <c r="Y358" s="160" t="str">
        <f t="shared" si="96"/>
        <v>0.00%-0.00%</v>
      </c>
      <c r="Z358" s="175"/>
      <c r="AA358" s="175"/>
      <c r="AB358" s="175"/>
      <c r="AC358" s="162"/>
      <c r="AD358" s="171">
        <f t="shared" si="104"/>
        <v>0</v>
      </c>
      <c r="AE358" s="176">
        <f t="shared" si="105"/>
        <v>7156</v>
      </c>
      <c r="AF358" s="164">
        <f t="shared" si="106"/>
        <v>100</v>
      </c>
      <c r="AG358" s="165">
        <f t="shared" si="107"/>
        <v>1.4172335600907138E-2</v>
      </c>
      <c r="AH358" s="166">
        <v>14</v>
      </c>
      <c r="AI358" s="166">
        <v>750</v>
      </c>
      <c r="AJ358" s="166"/>
      <c r="AK358" s="166">
        <v>688</v>
      </c>
      <c r="AL358" s="166">
        <f t="shared" si="108"/>
        <v>109872</v>
      </c>
      <c r="AM358" s="153">
        <v>3</v>
      </c>
      <c r="AN358" s="166"/>
      <c r="AO358" s="167"/>
      <c r="AP358" s="167"/>
      <c r="AQ358" s="151" t="s">
        <v>1854</v>
      </c>
      <c r="AR358" s="151" t="s">
        <v>124</v>
      </c>
      <c r="AW358" s="144" t="str">
        <f t="shared" si="111"/>
        <v>&gt;20</v>
      </c>
      <c r="AX358" s="21" t="s">
        <v>3135</v>
      </c>
      <c r="AY358" s="21" t="s">
        <v>3134</v>
      </c>
      <c r="AZ358" s="21"/>
      <c r="BA358" s="21"/>
    </row>
    <row r="359" spans="1:53" ht="20" customHeight="1">
      <c r="A359" s="86" t="s">
        <v>318</v>
      </c>
      <c r="B359" s="371" t="s">
        <v>2689</v>
      </c>
      <c r="C359" s="151" t="s">
        <v>51</v>
      </c>
      <c r="D359" s="151" t="s">
        <v>52</v>
      </c>
      <c r="E359" s="151" t="s">
        <v>1753</v>
      </c>
      <c r="F359" s="151" t="s">
        <v>1882</v>
      </c>
      <c r="G359" s="151" t="s">
        <v>1883</v>
      </c>
      <c r="H359" s="152">
        <v>40654</v>
      </c>
      <c r="I359" s="151" t="s">
        <v>1865</v>
      </c>
      <c r="J359" s="151" t="s">
        <v>1865</v>
      </c>
      <c r="K359" s="151" t="s">
        <v>324</v>
      </c>
      <c r="L359" s="153">
        <v>2</v>
      </c>
      <c r="M359" s="153">
        <v>3</v>
      </c>
      <c r="N359" s="171">
        <v>7827</v>
      </c>
      <c r="O359" s="155">
        <v>0</v>
      </c>
      <c r="P359" s="172">
        <f t="shared" si="98"/>
        <v>0</v>
      </c>
      <c r="Q359" s="155">
        <v>0</v>
      </c>
      <c r="R359" s="172">
        <f t="shared" si="99"/>
        <v>0</v>
      </c>
      <c r="S359" s="155">
        <f t="shared" si="100"/>
        <v>0</v>
      </c>
      <c r="T359" s="172">
        <f t="shared" si="101"/>
        <v>0</v>
      </c>
      <c r="U359" s="172">
        <f t="shared" si="102"/>
        <v>7827</v>
      </c>
      <c r="V359" s="173">
        <f t="shared" si="112"/>
        <v>7827</v>
      </c>
      <c r="W359" s="174">
        <f t="shared" si="103"/>
        <v>0</v>
      </c>
      <c r="X359" s="159">
        <f t="shared" si="97"/>
        <v>0</v>
      </c>
      <c r="Y359" s="160" t="str">
        <f t="shared" si="96"/>
        <v>0.00%-0.00%</v>
      </c>
      <c r="Z359" s="175"/>
      <c r="AA359" s="175"/>
      <c r="AB359" s="175"/>
      <c r="AC359" s="162"/>
      <c r="AD359" s="171">
        <f t="shared" si="104"/>
        <v>0</v>
      </c>
      <c r="AE359" s="176">
        <f t="shared" si="105"/>
        <v>7827</v>
      </c>
      <c r="AF359" s="164">
        <f t="shared" si="106"/>
        <v>0</v>
      </c>
      <c r="AG359" s="165">
        <f t="shared" si="107"/>
        <v>0</v>
      </c>
      <c r="AH359" s="166">
        <v>14</v>
      </c>
      <c r="AI359" s="166">
        <v>950</v>
      </c>
      <c r="AJ359" s="166"/>
      <c r="AK359" s="166">
        <v>688</v>
      </c>
      <c r="AL359" s="166">
        <f t="shared" si="108"/>
        <v>121666</v>
      </c>
      <c r="AM359" s="153">
        <v>3</v>
      </c>
      <c r="AN359" s="166"/>
      <c r="AO359" s="167"/>
      <c r="AP359" s="167"/>
      <c r="AQ359" s="151" t="s">
        <v>1854</v>
      </c>
      <c r="AR359" s="151" t="s">
        <v>124</v>
      </c>
      <c r="AW359" s="144" t="str">
        <f t="shared" si="111"/>
        <v>OK</v>
      </c>
      <c r="AX359" s="21" t="s">
        <v>3135</v>
      </c>
      <c r="AY359" s="21" t="s">
        <v>3134</v>
      </c>
      <c r="AZ359" s="21"/>
      <c r="BA359" s="21"/>
    </row>
    <row r="360" spans="1:53" ht="20" customHeight="1">
      <c r="A360" s="86" t="s">
        <v>318</v>
      </c>
      <c r="B360" s="371" t="s">
        <v>2690</v>
      </c>
      <c r="C360" s="151" t="s">
        <v>51</v>
      </c>
      <c r="D360" s="151" t="s">
        <v>52</v>
      </c>
      <c r="E360" s="151" t="s">
        <v>1753</v>
      </c>
      <c r="F360" s="151" t="s">
        <v>1875</v>
      </c>
      <c r="G360" s="151" t="s">
        <v>1876</v>
      </c>
      <c r="H360" s="152">
        <v>40667</v>
      </c>
      <c r="I360" s="151" t="s">
        <v>1862</v>
      </c>
      <c r="J360" s="151" t="s">
        <v>1862</v>
      </c>
      <c r="K360" s="151" t="s">
        <v>324</v>
      </c>
      <c r="L360" s="153">
        <v>2</v>
      </c>
      <c r="M360" s="153">
        <v>3</v>
      </c>
      <c r="N360" s="171">
        <v>7001</v>
      </c>
      <c r="O360" s="155">
        <v>0</v>
      </c>
      <c r="P360" s="172">
        <f t="shared" si="98"/>
        <v>0</v>
      </c>
      <c r="Q360" s="155">
        <v>0</v>
      </c>
      <c r="R360" s="172">
        <f t="shared" si="99"/>
        <v>0</v>
      </c>
      <c r="S360" s="155">
        <f t="shared" si="100"/>
        <v>0</v>
      </c>
      <c r="T360" s="172">
        <f t="shared" si="101"/>
        <v>0</v>
      </c>
      <c r="U360" s="172">
        <f t="shared" si="102"/>
        <v>7001</v>
      </c>
      <c r="V360" s="173">
        <f t="shared" si="112"/>
        <v>7001</v>
      </c>
      <c r="W360" s="174">
        <f t="shared" si="103"/>
        <v>0</v>
      </c>
      <c r="X360" s="159">
        <f t="shared" si="97"/>
        <v>0</v>
      </c>
      <c r="Y360" s="160" t="str">
        <f t="shared" si="96"/>
        <v>0.00%-0.00%</v>
      </c>
      <c r="Z360" s="175"/>
      <c r="AA360" s="175"/>
      <c r="AB360" s="175"/>
      <c r="AC360" s="162"/>
      <c r="AD360" s="171">
        <f t="shared" si="104"/>
        <v>0</v>
      </c>
      <c r="AE360" s="176">
        <f t="shared" si="105"/>
        <v>7001</v>
      </c>
      <c r="AF360" s="164">
        <f t="shared" si="106"/>
        <v>0</v>
      </c>
      <c r="AG360" s="165">
        <f t="shared" si="107"/>
        <v>0</v>
      </c>
      <c r="AH360" s="166">
        <v>14</v>
      </c>
      <c r="AI360" s="166">
        <v>1550</v>
      </c>
      <c r="AJ360" s="166"/>
      <c r="AK360" s="166">
        <v>688</v>
      </c>
      <c r="AL360" s="166">
        <f t="shared" si="108"/>
        <v>117302</v>
      </c>
      <c r="AM360" s="153">
        <v>3</v>
      </c>
      <c r="AN360" s="166"/>
      <c r="AO360" s="167"/>
      <c r="AP360" s="167"/>
      <c r="AQ360" s="151" t="s">
        <v>1854</v>
      </c>
      <c r="AR360" s="151" t="s">
        <v>124</v>
      </c>
      <c r="AW360" s="144" t="str">
        <f t="shared" si="111"/>
        <v>OK</v>
      </c>
      <c r="AX360" s="21" t="s">
        <v>3135</v>
      </c>
      <c r="AY360" s="21" t="s">
        <v>3134</v>
      </c>
      <c r="AZ360" s="21"/>
      <c r="BA360" s="21"/>
    </row>
    <row r="361" spans="1:53" ht="20" customHeight="1">
      <c r="A361" s="86" t="s">
        <v>318</v>
      </c>
      <c r="B361" s="371" t="s">
        <v>2691</v>
      </c>
      <c r="C361" s="151" t="s">
        <v>51</v>
      </c>
      <c r="D361" s="151" t="s">
        <v>52</v>
      </c>
      <c r="E361" s="151" t="s">
        <v>1753</v>
      </c>
      <c r="F361" s="151" t="s">
        <v>1879</v>
      </c>
      <c r="G361" s="151" t="s">
        <v>1880</v>
      </c>
      <c r="H361" s="152">
        <v>40672</v>
      </c>
      <c r="I361" s="151" t="s">
        <v>1865</v>
      </c>
      <c r="J361" s="151" t="s">
        <v>1865</v>
      </c>
      <c r="K361" s="151" t="s">
        <v>324</v>
      </c>
      <c r="L361" s="153">
        <v>2</v>
      </c>
      <c r="M361" s="153">
        <v>3</v>
      </c>
      <c r="N361" s="171">
        <v>8193</v>
      </c>
      <c r="O361" s="155">
        <v>0</v>
      </c>
      <c r="P361" s="172">
        <f t="shared" si="98"/>
        <v>0</v>
      </c>
      <c r="Q361" s="155">
        <v>0</v>
      </c>
      <c r="R361" s="172">
        <f t="shared" si="99"/>
        <v>0</v>
      </c>
      <c r="S361" s="155">
        <f t="shared" si="100"/>
        <v>0</v>
      </c>
      <c r="T361" s="172">
        <f t="shared" si="101"/>
        <v>0</v>
      </c>
      <c r="U361" s="172">
        <f t="shared" si="102"/>
        <v>8193</v>
      </c>
      <c r="V361" s="173">
        <f t="shared" si="112"/>
        <v>8193</v>
      </c>
      <c r="W361" s="174">
        <f t="shared" si="103"/>
        <v>0</v>
      </c>
      <c r="X361" s="159">
        <f t="shared" si="97"/>
        <v>0</v>
      </c>
      <c r="Y361" s="160" t="str">
        <f t="shared" si="96"/>
        <v>0.00%-0.00%</v>
      </c>
      <c r="Z361" s="175"/>
      <c r="AA361" s="175"/>
      <c r="AB361" s="175"/>
      <c r="AC361" s="162"/>
      <c r="AD361" s="171">
        <f t="shared" si="104"/>
        <v>0</v>
      </c>
      <c r="AE361" s="176">
        <f t="shared" si="105"/>
        <v>8193</v>
      </c>
      <c r="AF361" s="164">
        <f t="shared" si="106"/>
        <v>0</v>
      </c>
      <c r="AG361" s="165">
        <f t="shared" si="107"/>
        <v>0</v>
      </c>
      <c r="AH361" s="166">
        <v>14</v>
      </c>
      <c r="AI361" s="166">
        <v>1750</v>
      </c>
      <c r="AJ361" s="166"/>
      <c r="AK361" s="166">
        <v>688</v>
      </c>
      <c r="AL361" s="166">
        <f t="shared" si="108"/>
        <v>136390</v>
      </c>
      <c r="AM361" s="153">
        <v>3</v>
      </c>
      <c r="AN361" s="166"/>
      <c r="AO361" s="167"/>
      <c r="AP361" s="167"/>
      <c r="AQ361" s="151" t="s">
        <v>1854</v>
      </c>
      <c r="AR361" s="151" t="s">
        <v>124</v>
      </c>
      <c r="AW361" s="144" t="str">
        <f t="shared" si="111"/>
        <v>OK</v>
      </c>
      <c r="AX361" s="21" t="s">
        <v>3135</v>
      </c>
      <c r="AY361" s="21" t="s">
        <v>3134</v>
      </c>
      <c r="AZ361" s="21"/>
      <c r="BA361" s="21"/>
    </row>
    <row r="362" spans="1:53" ht="20" customHeight="1">
      <c r="A362" s="86" t="s">
        <v>318</v>
      </c>
      <c r="B362" s="371" t="s">
        <v>2692</v>
      </c>
      <c r="C362" s="151" t="s">
        <v>51</v>
      </c>
      <c r="D362" s="151" t="s">
        <v>52</v>
      </c>
      <c r="E362" s="151" t="s">
        <v>1753</v>
      </c>
      <c r="F362" s="151" t="s">
        <v>1863</v>
      </c>
      <c r="G362" s="151" t="s">
        <v>1864</v>
      </c>
      <c r="H362" s="152">
        <v>40725</v>
      </c>
      <c r="I362" s="151" t="s">
        <v>1871</v>
      </c>
      <c r="J362" s="151" t="s">
        <v>1887</v>
      </c>
      <c r="K362" s="151" t="s">
        <v>76</v>
      </c>
      <c r="L362" s="153">
        <v>2</v>
      </c>
      <c r="M362" s="153">
        <v>4</v>
      </c>
      <c r="N362" s="171">
        <v>15119</v>
      </c>
      <c r="O362" s="155">
        <v>0.03</v>
      </c>
      <c r="P362" s="172">
        <f t="shared" si="98"/>
        <v>454</v>
      </c>
      <c r="Q362" s="155">
        <v>0</v>
      </c>
      <c r="R362" s="172">
        <f t="shared" si="99"/>
        <v>0</v>
      </c>
      <c r="S362" s="155">
        <f t="shared" si="100"/>
        <v>3.0028441034459952E-2</v>
      </c>
      <c r="T362" s="172">
        <f t="shared" si="101"/>
        <v>454</v>
      </c>
      <c r="U362" s="172">
        <f t="shared" si="102"/>
        <v>15573</v>
      </c>
      <c r="V362" s="173">
        <f t="shared" si="112"/>
        <v>15573</v>
      </c>
      <c r="W362" s="174">
        <f t="shared" si="103"/>
        <v>454</v>
      </c>
      <c r="X362" s="159">
        <f t="shared" si="97"/>
        <v>0.03</v>
      </c>
      <c r="Y362" s="160" t="str">
        <f t="shared" si="96"/>
        <v>2.40%-3.60%</v>
      </c>
      <c r="Z362" s="175"/>
      <c r="AA362" s="175"/>
      <c r="AB362" s="175"/>
      <c r="AC362" s="162"/>
      <c r="AD362" s="171">
        <f t="shared" si="104"/>
        <v>0</v>
      </c>
      <c r="AE362" s="176">
        <f t="shared" si="105"/>
        <v>15573</v>
      </c>
      <c r="AF362" s="164">
        <f t="shared" si="106"/>
        <v>454</v>
      </c>
      <c r="AG362" s="165">
        <f t="shared" si="107"/>
        <v>3.0028441034460007E-2</v>
      </c>
      <c r="AH362" s="166">
        <v>14</v>
      </c>
      <c r="AI362" s="166">
        <v>450</v>
      </c>
      <c r="AJ362" s="166"/>
      <c r="AK362" s="166">
        <v>688</v>
      </c>
      <c r="AL362" s="166">
        <f t="shared" si="108"/>
        <v>224110</v>
      </c>
      <c r="AM362" s="153">
        <v>4</v>
      </c>
      <c r="AN362" s="166"/>
      <c r="AO362" s="167"/>
      <c r="AP362" s="167"/>
      <c r="AQ362" s="151" t="s">
        <v>1854</v>
      </c>
      <c r="AR362" s="151" t="s">
        <v>124</v>
      </c>
      <c r="AW362" s="144" t="str">
        <f t="shared" si="111"/>
        <v>OK</v>
      </c>
      <c r="AX362" s="21" t="s">
        <v>3135</v>
      </c>
      <c r="AY362" s="21" t="s">
        <v>3136</v>
      </c>
      <c r="AZ362" s="21"/>
      <c r="BA362" s="21"/>
    </row>
    <row r="363" spans="1:53" ht="20" customHeight="1">
      <c r="A363" s="86" t="s">
        <v>318</v>
      </c>
      <c r="B363" s="371" t="s">
        <v>2693</v>
      </c>
      <c r="C363" s="151" t="s">
        <v>51</v>
      </c>
      <c r="D363" s="151" t="s">
        <v>52</v>
      </c>
      <c r="E363" s="151" t="s">
        <v>1753</v>
      </c>
      <c r="F363" s="151" t="s">
        <v>1888</v>
      </c>
      <c r="G363" s="151" t="s">
        <v>1869</v>
      </c>
      <c r="H363" s="152">
        <v>41689</v>
      </c>
      <c r="I363" s="151" t="s">
        <v>1871</v>
      </c>
      <c r="J363" s="151" t="s">
        <v>1871</v>
      </c>
      <c r="K363" s="151" t="s">
        <v>324</v>
      </c>
      <c r="L363" s="153">
        <v>2</v>
      </c>
      <c r="M363" s="153">
        <v>3</v>
      </c>
      <c r="N363" s="171">
        <v>13084</v>
      </c>
      <c r="O363" s="155">
        <v>0</v>
      </c>
      <c r="P363" s="172">
        <f t="shared" si="98"/>
        <v>0</v>
      </c>
      <c r="Q363" s="155">
        <v>0</v>
      </c>
      <c r="R363" s="172">
        <f t="shared" si="99"/>
        <v>0</v>
      </c>
      <c r="S363" s="155">
        <f t="shared" si="100"/>
        <v>0</v>
      </c>
      <c r="T363" s="172">
        <f t="shared" si="101"/>
        <v>0</v>
      </c>
      <c r="U363" s="172">
        <f t="shared" si="102"/>
        <v>13084</v>
      </c>
      <c r="V363" s="173">
        <f t="shared" si="112"/>
        <v>13084</v>
      </c>
      <c r="W363" s="174">
        <f t="shared" si="103"/>
        <v>0</v>
      </c>
      <c r="X363" s="159">
        <f t="shared" si="97"/>
        <v>0</v>
      </c>
      <c r="Y363" s="160" t="str">
        <f t="shared" si="96"/>
        <v>0.00%-0.00%</v>
      </c>
      <c r="Z363" s="175"/>
      <c r="AA363" s="175"/>
      <c r="AB363" s="175"/>
      <c r="AC363" s="162"/>
      <c r="AD363" s="171">
        <f t="shared" si="104"/>
        <v>0</v>
      </c>
      <c r="AE363" s="176">
        <f t="shared" si="105"/>
        <v>13084</v>
      </c>
      <c r="AF363" s="164">
        <f t="shared" si="106"/>
        <v>0</v>
      </c>
      <c r="AG363" s="165">
        <f t="shared" si="107"/>
        <v>0</v>
      </c>
      <c r="AH363" s="166">
        <v>14</v>
      </c>
      <c r="AI363" s="166">
        <v>450</v>
      </c>
      <c r="AJ363" s="166"/>
      <c r="AK363" s="166">
        <v>688</v>
      </c>
      <c r="AL363" s="166">
        <f t="shared" si="108"/>
        <v>189264</v>
      </c>
      <c r="AM363" s="153">
        <v>3</v>
      </c>
      <c r="AN363" s="166"/>
      <c r="AO363" s="167"/>
      <c r="AP363" s="167"/>
      <c r="AQ363" s="151" t="s">
        <v>1854</v>
      </c>
      <c r="AR363" s="151" t="s">
        <v>124</v>
      </c>
      <c r="AW363" s="144" t="str">
        <f t="shared" si="111"/>
        <v>OK</v>
      </c>
      <c r="AX363" s="21" t="s">
        <v>3135</v>
      </c>
      <c r="AY363" s="21" t="s">
        <v>3134</v>
      </c>
      <c r="AZ363" s="21"/>
      <c r="BA363" s="21"/>
    </row>
    <row r="364" spans="1:53" ht="20" customHeight="1">
      <c r="A364" s="86" t="s">
        <v>318</v>
      </c>
      <c r="B364" s="371" t="s">
        <v>2694</v>
      </c>
      <c r="C364" s="151" t="s">
        <v>51</v>
      </c>
      <c r="D364" s="151" t="s">
        <v>52</v>
      </c>
      <c r="E364" s="151" t="s">
        <v>1753</v>
      </c>
      <c r="F364" s="151" t="s">
        <v>1868</v>
      </c>
      <c r="G364" s="151" t="s">
        <v>1869</v>
      </c>
      <c r="H364" s="152">
        <v>41009</v>
      </c>
      <c r="I364" s="151" t="s">
        <v>111</v>
      </c>
      <c r="J364" s="151" t="s">
        <v>1889</v>
      </c>
      <c r="K364" s="151" t="s">
        <v>56</v>
      </c>
      <c r="L364" s="153">
        <v>2</v>
      </c>
      <c r="M364" s="153">
        <v>3</v>
      </c>
      <c r="N364" s="171">
        <v>19095</v>
      </c>
      <c r="O364" s="155">
        <v>0.03</v>
      </c>
      <c r="P364" s="172">
        <f t="shared" si="98"/>
        <v>573</v>
      </c>
      <c r="Q364" s="155">
        <v>0</v>
      </c>
      <c r="R364" s="172">
        <f t="shared" si="99"/>
        <v>0</v>
      </c>
      <c r="S364" s="155">
        <f t="shared" si="100"/>
        <v>3.0007855459544382E-2</v>
      </c>
      <c r="T364" s="172">
        <f t="shared" si="101"/>
        <v>573</v>
      </c>
      <c r="U364" s="172">
        <f t="shared" si="102"/>
        <v>19668</v>
      </c>
      <c r="V364" s="173">
        <f t="shared" si="112"/>
        <v>19668</v>
      </c>
      <c r="W364" s="174">
        <f t="shared" si="103"/>
        <v>573</v>
      </c>
      <c r="X364" s="159">
        <f t="shared" si="97"/>
        <v>0.03</v>
      </c>
      <c r="Y364" s="160" t="str">
        <f t="shared" si="96"/>
        <v>2.40%-3.60%</v>
      </c>
      <c r="Z364" s="175"/>
      <c r="AA364" s="175"/>
      <c r="AB364" s="175"/>
      <c r="AC364" s="162"/>
      <c r="AD364" s="171">
        <f t="shared" si="104"/>
        <v>0</v>
      </c>
      <c r="AE364" s="176">
        <f t="shared" si="105"/>
        <v>19668</v>
      </c>
      <c r="AF364" s="164">
        <f t="shared" si="106"/>
        <v>573</v>
      </c>
      <c r="AG364" s="165">
        <f t="shared" si="107"/>
        <v>3.000785545954443E-2</v>
      </c>
      <c r="AH364" s="166">
        <v>14</v>
      </c>
      <c r="AI364" s="166">
        <v>450</v>
      </c>
      <c r="AJ364" s="166"/>
      <c r="AK364" s="166">
        <v>688</v>
      </c>
      <c r="AL364" s="166">
        <f t="shared" si="108"/>
        <v>281440</v>
      </c>
      <c r="AM364" s="153">
        <v>5</v>
      </c>
      <c r="AN364" s="166"/>
      <c r="AO364" s="167"/>
      <c r="AP364" s="167"/>
      <c r="AQ364" s="151" t="s">
        <v>1854</v>
      </c>
      <c r="AR364" s="151" t="s">
        <v>124</v>
      </c>
      <c r="AW364" s="144" t="str">
        <f t="shared" si="111"/>
        <v>OK</v>
      </c>
      <c r="AX364" s="21" t="s">
        <v>3135</v>
      </c>
      <c r="AY364" s="21" t="s">
        <v>3132</v>
      </c>
      <c r="AZ364" s="21"/>
      <c r="BA364" s="21"/>
    </row>
    <row r="365" spans="1:53" ht="20" customHeight="1">
      <c r="A365" s="86" t="s">
        <v>318</v>
      </c>
      <c r="B365" s="371" t="s">
        <v>2695</v>
      </c>
      <c r="C365" s="151" t="s">
        <v>51</v>
      </c>
      <c r="D365" s="151" t="s">
        <v>52</v>
      </c>
      <c r="E365" s="151" t="s">
        <v>1753</v>
      </c>
      <c r="F365" s="151" t="s">
        <v>1872</v>
      </c>
      <c r="G365" s="151" t="s">
        <v>1873</v>
      </c>
      <c r="H365" s="152">
        <v>41114</v>
      </c>
      <c r="I365" s="151" t="s">
        <v>1866</v>
      </c>
      <c r="J365" s="151" t="s">
        <v>1890</v>
      </c>
      <c r="K365" s="151" t="s">
        <v>56</v>
      </c>
      <c r="L365" s="153">
        <v>2</v>
      </c>
      <c r="M365" s="153">
        <v>3</v>
      </c>
      <c r="N365" s="171">
        <v>17270</v>
      </c>
      <c r="O365" s="155">
        <v>0.03</v>
      </c>
      <c r="P365" s="172">
        <f t="shared" si="98"/>
        <v>518</v>
      </c>
      <c r="Q365" s="155">
        <v>0</v>
      </c>
      <c r="R365" s="172">
        <f t="shared" si="99"/>
        <v>0</v>
      </c>
      <c r="S365" s="155">
        <f t="shared" si="100"/>
        <v>2.9994209612044007E-2</v>
      </c>
      <c r="T365" s="172">
        <f t="shared" si="101"/>
        <v>518</v>
      </c>
      <c r="U365" s="172">
        <f t="shared" si="102"/>
        <v>17788</v>
      </c>
      <c r="V365" s="173">
        <f>U365-300</f>
        <v>17488</v>
      </c>
      <c r="W365" s="174">
        <f t="shared" si="103"/>
        <v>218</v>
      </c>
      <c r="X365" s="159">
        <f t="shared" si="97"/>
        <v>1.26E-2</v>
      </c>
      <c r="Y365" s="160" t="str">
        <f t="shared" ref="Y365:Y423" si="113">IF(OR(L365=1,L365=2,L365=4),TEXT(S365*0.8,"0.00%")&amp;"-"&amp;TEXT(S365*1.2,"0.00%"),IF(OR(L365=3,L365=6),TEXT(0,"0.00%")&amp;"-"&amp;TEXT(7%*1.2,"0.00%"),IF(OR(L365=5,L365=7),TEXT((R365/N365),"0.00%")&amp;"-"&amp;TEXT((R365/N365)+7%,"0.00%"),"")))</f>
        <v>2.40%-3.60%</v>
      </c>
      <c r="Z365" s="175"/>
      <c r="AA365" s="175"/>
      <c r="AB365" s="175"/>
      <c r="AC365" s="162"/>
      <c r="AD365" s="171">
        <f t="shared" si="104"/>
        <v>0</v>
      </c>
      <c r="AE365" s="176">
        <f t="shared" si="105"/>
        <v>17488</v>
      </c>
      <c r="AF365" s="164">
        <f t="shared" si="106"/>
        <v>218</v>
      </c>
      <c r="AG365" s="165">
        <f t="shared" si="107"/>
        <v>1.2623045744064809E-2</v>
      </c>
      <c r="AH365" s="166">
        <v>14</v>
      </c>
      <c r="AI365" s="166">
        <v>450</v>
      </c>
      <c r="AJ365" s="166"/>
      <c r="AK365" s="166">
        <v>688</v>
      </c>
      <c r="AL365" s="166">
        <f t="shared" si="108"/>
        <v>250920</v>
      </c>
      <c r="AM365" s="153">
        <v>4</v>
      </c>
      <c r="AN365" s="166"/>
      <c r="AO365" s="167"/>
      <c r="AP365" s="167"/>
      <c r="AQ365" s="151" t="s">
        <v>1854</v>
      </c>
      <c r="AR365" s="151" t="s">
        <v>124</v>
      </c>
      <c r="AW365" s="144" t="str">
        <f t="shared" si="111"/>
        <v>&lt;20</v>
      </c>
      <c r="AX365" s="21" t="s">
        <v>3135</v>
      </c>
      <c r="AY365" s="21" t="s">
        <v>3132</v>
      </c>
      <c r="AZ365" s="21"/>
      <c r="BA365" s="21"/>
    </row>
    <row r="366" spans="1:53" ht="20" customHeight="1">
      <c r="A366" s="86" t="s">
        <v>318</v>
      </c>
      <c r="B366" s="371" t="s">
        <v>2696</v>
      </c>
      <c r="C366" s="151" t="s">
        <v>51</v>
      </c>
      <c r="D366" s="151" t="s">
        <v>52</v>
      </c>
      <c r="E366" s="151" t="s">
        <v>1753</v>
      </c>
      <c r="F366" s="151" t="s">
        <v>1891</v>
      </c>
      <c r="G366" s="151" t="s">
        <v>1873</v>
      </c>
      <c r="H366" s="152">
        <v>41154</v>
      </c>
      <c r="I366" s="151" t="s">
        <v>1877</v>
      </c>
      <c r="J366" s="151" t="s">
        <v>1892</v>
      </c>
      <c r="K366" s="151" t="s">
        <v>56</v>
      </c>
      <c r="L366" s="153">
        <v>2</v>
      </c>
      <c r="M366" s="153">
        <v>4</v>
      </c>
      <c r="N366" s="171">
        <v>24295</v>
      </c>
      <c r="O366" s="155">
        <v>3.7500000000000006E-2</v>
      </c>
      <c r="P366" s="172">
        <f t="shared" si="98"/>
        <v>911</v>
      </c>
      <c r="Q366" s="155">
        <v>0</v>
      </c>
      <c r="R366" s="172">
        <f t="shared" si="99"/>
        <v>0</v>
      </c>
      <c r="S366" s="155">
        <f t="shared" si="100"/>
        <v>3.7497427454208684E-2</v>
      </c>
      <c r="T366" s="172">
        <f t="shared" si="101"/>
        <v>911</v>
      </c>
      <c r="U366" s="172">
        <f t="shared" si="102"/>
        <v>25206</v>
      </c>
      <c r="V366" s="173">
        <f t="shared" ref="V366:V423" si="114">U366</f>
        <v>25206</v>
      </c>
      <c r="W366" s="174">
        <f t="shared" si="103"/>
        <v>911</v>
      </c>
      <c r="X366" s="159">
        <f t="shared" si="97"/>
        <v>3.7499999999999999E-2</v>
      </c>
      <c r="Y366" s="160" t="str">
        <f t="shared" si="113"/>
        <v>3.00%-4.50%</v>
      </c>
      <c r="Z366" s="175"/>
      <c r="AA366" s="175"/>
      <c r="AB366" s="175"/>
      <c r="AC366" s="162"/>
      <c r="AD366" s="171">
        <f t="shared" si="104"/>
        <v>0</v>
      </c>
      <c r="AE366" s="176">
        <f t="shared" si="105"/>
        <v>25206</v>
      </c>
      <c r="AF366" s="164">
        <f t="shared" si="106"/>
        <v>911</v>
      </c>
      <c r="AG366" s="165">
        <f t="shared" si="107"/>
        <v>3.7497427454208587E-2</v>
      </c>
      <c r="AH366" s="166">
        <v>14</v>
      </c>
      <c r="AI366" s="166">
        <v>450</v>
      </c>
      <c r="AJ366" s="166"/>
      <c r="AK366" s="166">
        <v>688</v>
      </c>
      <c r="AL366" s="166">
        <f t="shared" si="108"/>
        <v>358972</v>
      </c>
      <c r="AM366" s="153">
        <v>5</v>
      </c>
      <c r="AN366" s="166"/>
      <c r="AO366" s="167"/>
      <c r="AP366" s="167"/>
      <c r="AQ366" s="151" t="s">
        <v>1854</v>
      </c>
      <c r="AR366" s="151" t="s">
        <v>124</v>
      </c>
      <c r="AW366" s="144" t="str">
        <f t="shared" si="111"/>
        <v>OK</v>
      </c>
      <c r="AX366" s="21" t="s">
        <v>3135</v>
      </c>
      <c r="AY366" s="21" t="s">
        <v>3130</v>
      </c>
      <c r="AZ366" s="21"/>
      <c r="BA366" s="21"/>
    </row>
    <row r="367" spans="1:53" ht="20" customHeight="1">
      <c r="A367" s="86" t="s">
        <v>318</v>
      </c>
      <c r="B367" s="371" t="s">
        <v>2697</v>
      </c>
      <c r="C367" s="151" t="s">
        <v>51</v>
      </c>
      <c r="D367" s="151" t="s">
        <v>52</v>
      </c>
      <c r="E367" s="151" t="s">
        <v>1753</v>
      </c>
      <c r="F367" s="151" t="s">
        <v>1885</v>
      </c>
      <c r="G367" s="151" t="s">
        <v>1886</v>
      </c>
      <c r="H367" s="152">
        <v>41178</v>
      </c>
      <c r="I367" s="151" t="s">
        <v>111</v>
      </c>
      <c r="J367" s="151" t="s">
        <v>1893</v>
      </c>
      <c r="K367" s="151" t="s">
        <v>56</v>
      </c>
      <c r="L367" s="153">
        <v>2</v>
      </c>
      <c r="M367" s="153">
        <v>3</v>
      </c>
      <c r="N367" s="171">
        <v>22417</v>
      </c>
      <c r="O367" s="155">
        <v>2.5000000000000001E-2</v>
      </c>
      <c r="P367" s="172">
        <f t="shared" si="98"/>
        <v>560</v>
      </c>
      <c r="Q367" s="155">
        <v>0</v>
      </c>
      <c r="R367" s="172">
        <f t="shared" si="99"/>
        <v>0</v>
      </c>
      <c r="S367" s="155">
        <f t="shared" si="100"/>
        <v>2.4981041174108935E-2</v>
      </c>
      <c r="T367" s="172">
        <f t="shared" si="101"/>
        <v>560</v>
      </c>
      <c r="U367" s="172">
        <f t="shared" si="102"/>
        <v>22977</v>
      </c>
      <c r="V367" s="173">
        <f t="shared" si="114"/>
        <v>22977</v>
      </c>
      <c r="W367" s="174">
        <f t="shared" si="103"/>
        <v>560</v>
      </c>
      <c r="X367" s="159">
        <f t="shared" si="97"/>
        <v>2.5000000000000001E-2</v>
      </c>
      <c r="Y367" s="160" t="str">
        <f t="shared" si="113"/>
        <v>2.00%-3.00%</v>
      </c>
      <c r="Z367" s="175"/>
      <c r="AA367" s="175"/>
      <c r="AB367" s="175"/>
      <c r="AC367" s="162"/>
      <c r="AD367" s="171">
        <f t="shared" si="104"/>
        <v>0</v>
      </c>
      <c r="AE367" s="176">
        <f t="shared" si="105"/>
        <v>22977</v>
      </c>
      <c r="AF367" s="164">
        <f t="shared" si="106"/>
        <v>560</v>
      </c>
      <c r="AG367" s="165">
        <f t="shared" si="107"/>
        <v>2.4981041174108931E-2</v>
      </c>
      <c r="AH367" s="166">
        <v>14</v>
      </c>
      <c r="AI367" s="166">
        <v>450</v>
      </c>
      <c r="AJ367" s="166"/>
      <c r="AK367" s="166">
        <v>688</v>
      </c>
      <c r="AL367" s="166">
        <f t="shared" si="108"/>
        <v>327766</v>
      </c>
      <c r="AM367" s="153">
        <v>5</v>
      </c>
      <c r="AN367" s="166"/>
      <c r="AO367" s="167"/>
      <c r="AP367" s="167"/>
      <c r="AQ367" s="151" t="s">
        <v>1854</v>
      </c>
      <c r="AR367" s="151" t="s">
        <v>124</v>
      </c>
      <c r="AW367" s="144" t="str">
        <f t="shared" si="111"/>
        <v>OK</v>
      </c>
      <c r="AX367" s="21" t="s">
        <v>3135</v>
      </c>
      <c r="AY367" s="21" t="s">
        <v>3130</v>
      </c>
      <c r="AZ367" s="21"/>
      <c r="BA367" s="21"/>
    </row>
    <row r="368" spans="1:53" ht="20" customHeight="1">
      <c r="A368" s="86" t="s">
        <v>318</v>
      </c>
      <c r="B368" s="371" t="s">
        <v>2698</v>
      </c>
      <c r="C368" s="151" t="s">
        <v>51</v>
      </c>
      <c r="D368" s="151" t="s">
        <v>52</v>
      </c>
      <c r="E368" s="151" t="s">
        <v>1753</v>
      </c>
      <c r="F368" s="151" t="s">
        <v>1894</v>
      </c>
      <c r="G368" s="151" t="s">
        <v>1748</v>
      </c>
      <c r="H368" s="152">
        <v>41456</v>
      </c>
      <c r="I368" s="151" t="s">
        <v>226</v>
      </c>
      <c r="J368" s="151" t="s">
        <v>226</v>
      </c>
      <c r="K368" s="151" t="s">
        <v>84</v>
      </c>
      <c r="L368" s="153">
        <v>2</v>
      </c>
      <c r="M368" s="153">
        <v>3</v>
      </c>
      <c r="N368" s="171">
        <v>7691</v>
      </c>
      <c r="O368" s="155">
        <v>2.5000000000000001E-2</v>
      </c>
      <c r="P368" s="172">
        <f t="shared" si="98"/>
        <v>192</v>
      </c>
      <c r="Q368" s="155">
        <v>0</v>
      </c>
      <c r="R368" s="172">
        <f t="shared" si="99"/>
        <v>0</v>
      </c>
      <c r="S368" s="155">
        <f t="shared" si="100"/>
        <v>2.496424392146665E-2</v>
      </c>
      <c r="T368" s="172">
        <f t="shared" si="101"/>
        <v>192</v>
      </c>
      <c r="U368" s="172">
        <f t="shared" si="102"/>
        <v>7883</v>
      </c>
      <c r="V368" s="173">
        <f t="shared" si="114"/>
        <v>7883</v>
      </c>
      <c r="W368" s="174">
        <f t="shared" si="103"/>
        <v>192</v>
      </c>
      <c r="X368" s="159">
        <f t="shared" si="97"/>
        <v>2.5000000000000001E-2</v>
      </c>
      <c r="Y368" s="160" t="str">
        <f t="shared" si="113"/>
        <v>2.00%-3.00%</v>
      </c>
      <c r="Z368" s="175"/>
      <c r="AA368" s="175"/>
      <c r="AB368" s="175"/>
      <c r="AC368" s="162"/>
      <c r="AD368" s="171">
        <f t="shared" si="104"/>
        <v>0</v>
      </c>
      <c r="AE368" s="176">
        <f t="shared" si="105"/>
        <v>7883</v>
      </c>
      <c r="AF368" s="164">
        <f t="shared" si="106"/>
        <v>192</v>
      </c>
      <c r="AG368" s="165">
        <f t="shared" si="107"/>
        <v>2.4964243921466567E-2</v>
      </c>
      <c r="AH368" s="166">
        <v>14</v>
      </c>
      <c r="AI368" s="166">
        <v>450</v>
      </c>
      <c r="AJ368" s="166"/>
      <c r="AK368" s="166">
        <v>688</v>
      </c>
      <c r="AL368" s="166">
        <f t="shared" si="108"/>
        <v>116450</v>
      </c>
      <c r="AM368" s="153">
        <v>3</v>
      </c>
      <c r="AN368" s="166"/>
      <c r="AO368" s="167"/>
      <c r="AP368" s="167"/>
      <c r="AQ368" s="151" t="s">
        <v>1854</v>
      </c>
      <c r="AR368" s="151" t="s">
        <v>124</v>
      </c>
      <c r="AW368" s="144" t="str">
        <f t="shared" si="111"/>
        <v>OK</v>
      </c>
      <c r="AX368" s="21" t="s">
        <v>3135</v>
      </c>
      <c r="AY368" s="21" t="s">
        <v>3130</v>
      </c>
      <c r="AZ368" s="21"/>
      <c r="BA368" s="21"/>
    </row>
    <row r="369" spans="1:53" ht="20" customHeight="1">
      <c r="A369" s="86" t="s">
        <v>318</v>
      </c>
      <c r="B369" s="371" t="s">
        <v>2699</v>
      </c>
      <c r="C369" s="151" t="s">
        <v>51</v>
      </c>
      <c r="D369" s="151" t="s">
        <v>52</v>
      </c>
      <c r="E369" s="151" t="s">
        <v>1753</v>
      </c>
      <c r="F369" s="151" t="s">
        <v>1868</v>
      </c>
      <c r="G369" s="151" t="s">
        <v>1869</v>
      </c>
      <c r="H369" s="152">
        <v>41334</v>
      </c>
      <c r="I369" s="151" t="s">
        <v>1865</v>
      </c>
      <c r="J369" s="151" t="s">
        <v>1865</v>
      </c>
      <c r="K369" s="151" t="s">
        <v>324</v>
      </c>
      <c r="L369" s="153">
        <v>2</v>
      </c>
      <c r="M369" s="153">
        <v>3</v>
      </c>
      <c r="N369" s="171">
        <v>7722</v>
      </c>
      <c r="O369" s="155">
        <v>0</v>
      </c>
      <c r="P369" s="172">
        <f t="shared" si="98"/>
        <v>0</v>
      </c>
      <c r="Q369" s="155">
        <v>0</v>
      </c>
      <c r="R369" s="172">
        <f t="shared" si="99"/>
        <v>0</v>
      </c>
      <c r="S369" s="155">
        <f t="shared" si="100"/>
        <v>0</v>
      </c>
      <c r="T369" s="172">
        <f t="shared" si="101"/>
        <v>0</v>
      </c>
      <c r="U369" s="172">
        <f t="shared" si="102"/>
        <v>7722</v>
      </c>
      <c r="V369" s="173">
        <f t="shared" si="114"/>
        <v>7722</v>
      </c>
      <c r="W369" s="174">
        <f t="shared" si="103"/>
        <v>0</v>
      </c>
      <c r="X369" s="159">
        <f t="shared" si="97"/>
        <v>0</v>
      </c>
      <c r="Y369" s="160" t="str">
        <f t="shared" si="113"/>
        <v>0.00%-0.00%</v>
      </c>
      <c r="Z369" s="175"/>
      <c r="AA369" s="175"/>
      <c r="AB369" s="175"/>
      <c r="AC369" s="162"/>
      <c r="AD369" s="171">
        <f t="shared" si="104"/>
        <v>0</v>
      </c>
      <c r="AE369" s="176">
        <f t="shared" si="105"/>
        <v>7722</v>
      </c>
      <c r="AF369" s="164">
        <f t="shared" si="106"/>
        <v>0</v>
      </c>
      <c r="AG369" s="165">
        <f t="shared" si="107"/>
        <v>0</v>
      </c>
      <c r="AH369" s="166">
        <v>14</v>
      </c>
      <c r="AI369" s="166">
        <v>3750</v>
      </c>
      <c r="AJ369" s="166"/>
      <c r="AK369" s="166">
        <v>688</v>
      </c>
      <c r="AL369" s="166">
        <f t="shared" si="108"/>
        <v>153796</v>
      </c>
      <c r="AM369" s="153">
        <v>3</v>
      </c>
      <c r="AN369" s="166"/>
      <c r="AO369" s="167"/>
      <c r="AP369" s="167"/>
      <c r="AQ369" s="151" t="s">
        <v>1854</v>
      </c>
      <c r="AR369" s="151" t="s">
        <v>124</v>
      </c>
      <c r="AW369" s="144" t="str">
        <f t="shared" si="111"/>
        <v>OK</v>
      </c>
      <c r="AX369" s="21" t="s">
        <v>3135</v>
      </c>
      <c r="AY369" s="21" t="s">
        <v>3134</v>
      </c>
      <c r="AZ369" s="21"/>
      <c r="BA369" s="21"/>
    </row>
    <row r="370" spans="1:53" ht="20" customHeight="1">
      <c r="A370" s="86" t="s">
        <v>318</v>
      </c>
      <c r="B370" s="371" t="s">
        <v>2700</v>
      </c>
      <c r="C370" s="151" t="s">
        <v>51</v>
      </c>
      <c r="D370" s="151" t="s">
        <v>52</v>
      </c>
      <c r="E370" s="151" t="s">
        <v>1753</v>
      </c>
      <c r="F370" s="151" t="s">
        <v>1894</v>
      </c>
      <c r="G370" s="151" t="s">
        <v>1748</v>
      </c>
      <c r="H370" s="152">
        <v>41487</v>
      </c>
      <c r="I370" s="151" t="s">
        <v>111</v>
      </c>
      <c r="J370" s="151" t="s">
        <v>1895</v>
      </c>
      <c r="K370" s="151" t="s">
        <v>56</v>
      </c>
      <c r="L370" s="153">
        <v>2</v>
      </c>
      <c r="M370" s="153">
        <v>4</v>
      </c>
      <c r="N370" s="171">
        <v>21758</v>
      </c>
      <c r="O370" s="155">
        <v>3.7500000000000006E-2</v>
      </c>
      <c r="P370" s="172">
        <f t="shared" si="98"/>
        <v>816</v>
      </c>
      <c r="Q370" s="155">
        <v>0</v>
      </c>
      <c r="R370" s="172">
        <f t="shared" si="99"/>
        <v>0</v>
      </c>
      <c r="S370" s="155">
        <f t="shared" si="100"/>
        <v>3.7503447007997057E-2</v>
      </c>
      <c r="T370" s="172">
        <f t="shared" si="101"/>
        <v>816</v>
      </c>
      <c r="U370" s="172">
        <f t="shared" si="102"/>
        <v>22574</v>
      </c>
      <c r="V370" s="173">
        <f>22779</f>
        <v>22779</v>
      </c>
      <c r="W370" s="174">
        <f t="shared" si="103"/>
        <v>1021</v>
      </c>
      <c r="X370" s="159">
        <f t="shared" si="97"/>
        <v>4.6899999999999997E-2</v>
      </c>
      <c r="Y370" s="160" t="str">
        <f t="shared" si="113"/>
        <v>3.00%-4.50%</v>
      </c>
      <c r="Z370" s="175"/>
      <c r="AA370" s="175"/>
      <c r="AB370" s="175"/>
      <c r="AC370" s="162"/>
      <c r="AD370" s="171">
        <f t="shared" si="104"/>
        <v>0</v>
      </c>
      <c r="AE370" s="176">
        <f t="shared" si="105"/>
        <v>22779</v>
      </c>
      <c r="AF370" s="164">
        <f t="shared" si="106"/>
        <v>1021</v>
      </c>
      <c r="AG370" s="165">
        <f t="shared" si="107"/>
        <v>4.6925268866623737E-2</v>
      </c>
      <c r="AH370" s="166">
        <v>14</v>
      </c>
      <c r="AI370" s="166">
        <v>450</v>
      </c>
      <c r="AJ370" s="166"/>
      <c r="AK370" s="166">
        <v>688</v>
      </c>
      <c r="AL370" s="166">
        <f t="shared" si="108"/>
        <v>324994</v>
      </c>
      <c r="AM370" s="153">
        <v>5</v>
      </c>
      <c r="AN370" s="166"/>
      <c r="AO370" s="167"/>
      <c r="AP370" s="167"/>
      <c r="AQ370" s="151" t="s">
        <v>1854</v>
      </c>
      <c r="AR370" s="151" t="s">
        <v>124</v>
      </c>
      <c r="AW370" s="144" t="str">
        <f t="shared" si="111"/>
        <v>OK</v>
      </c>
      <c r="AX370" s="21" t="s">
        <v>3135</v>
      </c>
      <c r="AY370" s="21" t="s">
        <v>3130</v>
      </c>
      <c r="AZ370" s="21"/>
      <c r="BA370" s="21"/>
    </row>
    <row r="371" spans="1:53" ht="20" customHeight="1">
      <c r="A371" s="86" t="s">
        <v>318</v>
      </c>
      <c r="B371" s="371" t="s">
        <v>2701</v>
      </c>
      <c r="C371" s="151" t="s">
        <v>51</v>
      </c>
      <c r="D371" s="151" t="s">
        <v>52</v>
      </c>
      <c r="E371" s="151" t="s">
        <v>1753</v>
      </c>
      <c r="F371" s="151" t="s">
        <v>1884</v>
      </c>
      <c r="G371" s="151" t="s">
        <v>1748</v>
      </c>
      <c r="H371" s="152">
        <v>41730</v>
      </c>
      <c r="I371" s="151" t="s">
        <v>85</v>
      </c>
      <c r="J371" s="151" t="s">
        <v>85</v>
      </c>
      <c r="K371" s="151" t="s">
        <v>76</v>
      </c>
      <c r="L371" s="153">
        <v>2</v>
      </c>
      <c r="M371" s="153">
        <v>3</v>
      </c>
      <c r="N371" s="171">
        <v>12554</v>
      </c>
      <c r="O371" s="155">
        <v>0</v>
      </c>
      <c r="P371" s="172">
        <f t="shared" si="98"/>
        <v>0</v>
      </c>
      <c r="Q371" s="155">
        <v>0</v>
      </c>
      <c r="R371" s="172">
        <f t="shared" si="99"/>
        <v>0</v>
      </c>
      <c r="S371" s="155">
        <f t="shared" si="100"/>
        <v>0</v>
      </c>
      <c r="T371" s="172">
        <f t="shared" si="101"/>
        <v>0</v>
      </c>
      <c r="U371" s="172">
        <f t="shared" si="102"/>
        <v>12554</v>
      </c>
      <c r="V371" s="173">
        <f t="shared" si="114"/>
        <v>12554</v>
      </c>
      <c r="W371" s="174">
        <f t="shared" si="103"/>
        <v>0</v>
      </c>
      <c r="X371" s="159">
        <f t="shared" si="97"/>
        <v>0</v>
      </c>
      <c r="Y371" s="160" t="str">
        <f t="shared" si="113"/>
        <v>0.00%-0.00%</v>
      </c>
      <c r="Z371" s="175"/>
      <c r="AA371" s="175"/>
      <c r="AB371" s="175"/>
      <c r="AC371" s="162"/>
      <c r="AD371" s="171">
        <f t="shared" si="104"/>
        <v>0</v>
      </c>
      <c r="AE371" s="176">
        <f t="shared" si="105"/>
        <v>12554</v>
      </c>
      <c r="AF371" s="164">
        <f t="shared" si="106"/>
        <v>0</v>
      </c>
      <c r="AG371" s="165">
        <f t="shared" si="107"/>
        <v>0</v>
      </c>
      <c r="AH371" s="166">
        <v>14</v>
      </c>
      <c r="AI371" s="166">
        <v>450</v>
      </c>
      <c r="AJ371" s="166"/>
      <c r="AK371" s="166">
        <v>688</v>
      </c>
      <c r="AL371" s="166">
        <f t="shared" si="108"/>
        <v>181844</v>
      </c>
      <c r="AM371" s="153">
        <v>3</v>
      </c>
      <c r="AN371" s="166"/>
      <c r="AO371" s="167"/>
      <c r="AP371" s="167"/>
      <c r="AQ371" s="151" t="s">
        <v>1854</v>
      </c>
      <c r="AR371" s="151" t="s">
        <v>124</v>
      </c>
      <c r="AW371" s="144" t="str">
        <f t="shared" si="111"/>
        <v>OK</v>
      </c>
      <c r="AX371" s="21" t="s">
        <v>3135</v>
      </c>
      <c r="AY371" s="21" t="s">
        <v>3134</v>
      </c>
      <c r="AZ371" s="21"/>
      <c r="BA371" s="21"/>
    </row>
    <row r="372" spans="1:53" ht="20" customHeight="1">
      <c r="A372" s="86" t="s">
        <v>318</v>
      </c>
      <c r="B372" s="371" t="s">
        <v>2702</v>
      </c>
      <c r="C372" s="151" t="s">
        <v>51</v>
      </c>
      <c r="D372" s="151" t="s">
        <v>52</v>
      </c>
      <c r="E372" s="151" t="s">
        <v>1753</v>
      </c>
      <c r="F372" s="151" t="s">
        <v>1884</v>
      </c>
      <c r="G372" s="151" t="s">
        <v>1748</v>
      </c>
      <c r="H372" s="152">
        <v>41654</v>
      </c>
      <c r="I372" s="151" t="s">
        <v>111</v>
      </c>
      <c r="J372" s="151" t="s">
        <v>111</v>
      </c>
      <c r="K372" s="151" t="s">
        <v>56</v>
      </c>
      <c r="L372" s="153">
        <v>2</v>
      </c>
      <c r="M372" s="153">
        <v>3</v>
      </c>
      <c r="N372" s="171">
        <v>17454</v>
      </c>
      <c r="O372" s="155">
        <v>0.03</v>
      </c>
      <c r="P372" s="172">
        <f t="shared" si="98"/>
        <v>524</v>
      </c>
      <c r="Q372" s="155">
        <v>0</v>
      </c>
      <c r="R372" s="172">
        <f t="shared" si="99"/>
        <v>0</v>
      </c>
      <c r="S372" s="155">
        <f t="shared" si="100"/>
        <v>3.0021771513693136E-2</v>
      </c>
      <c r="T372" s="172">
        <f t="shared" si="101"/>
        <v>524</v>
      </c>
      <c r="U372" s="172">
        <f t="shared" si="102"/>
        <v>17978</v>
      </c>
      <c r="V372" s="173">
        <f t="shared" si="114"/>
        <v>17978</v>
      </c>
      <c r="W372" s="174">
        <f t="shared" si="103"/>
        <v>524</v>
      </c>
      <c r="X372" s="159">
        <f t="shared" si="97"/>
        <v>0.03</v>
      </c>
      <c r="Y372" s="160" t="str">
        <f t="shared" si="113"/>
        <v>2.40%-3.60%</v>
      </c>
      <c r="Z372" s="175"/>
      <c r="AA372" s="175"/>
      <c r="AB372" s="175"/>
      <c r="AC372" s="162"/>
      <c r="AD372" s="171">
        <f t="shared" si="104"/>
        <v>0</v>
      </c>
      <c r="AE372" s="176">
        <f t="shared" si="105"/>
        <v>17978</v>
      </c>
      <c r="AF372" s="164">
        <f t="shared" si="106"/>
        <v>524</v>
      </c>
      <c r="AG372" s="165">
        <f t="shared" si="107"/>
        <v>3.0021771513693229E-2</v>
      </c>
      <c r="AH372" s="166">
        <v>14</v>
      </c>
      <c r="AI372" s="166">
        <v>450</v>
      </c>
      <c r="AJ372" s="166"/>
      <c r="AK372" s="166">
        <v>688</v>
      </c>
      <c r="AL372" s="166">
        <f t="shared" si="108"/>
        <v>257780</v>
      </c>
      <c r="AM372" s="153">
        <v>3</v>
      </c>
      <c r="AN372" s="166"/>
      <c r="AO372" s="167"/>
      <c r="AP372" s="167"/>
      <c r="AQ372" s="151" t="s">
        <v>1854</v>
      </c>
      <c r="AR372" s="151" t="s">
        <v>124</v>
      </c>
      <c r="AW372" s="144" t="str">
        <f t="shared" si="111"/>
        <v>OK</v>
      </c>
      <c r="AX372" s="21" t="s">
        <v>3135</v>
      </c>
      <c r="AY372" s="21" t="s">
        <v>3132</v>
      </c>
      <c r="AZ372" s="21"/>
      <c r="BA372" s="21"/>
    </row>
    <row r="373" spans="1:53" ht="20" customHeight="1">
      <c r="A373" s="86" t="s">
        <v>318</v>
      </c>
      <c r="B373" s="371" t="s">
        <v>2703</v>
      </c>
      <c r="C373" s="151" t="s">
        <v>51</v>
      </c>
      <c r="D373" s="151" t="s">
        <v>52</v>
      </c>
      <c r="E373" s="151" t="s">
        <v>1753</v>
      </c>
      <c r="F373" s="151" t="s">
        <v>1884</v>
      </c>
      <c r="G373" s="151" t="s">
        <v>1748</v>
      </c>
      <c r="H373" s="152">
        <v>41659</v>
      </c>
      <c r="I373" s="151" t="s">
        <v>71</v>
      </c>
      <c r="J373" s="151" t="s">
        <v>71</v>
      </c>
      <c r="K373" s="151" t="s">
        <v>61</v>
      </c>
      <c r="L373" s="153">
        <v>2</v>
      </c>
      <c r="M373" s="153">
        <v>5</v>
      </c>
      <c r="N373" s="171">
        <v>11487</v>
      </c>
      <c r="O373" s="155">
        <v>0.06</v>
      </c>
      <c r="P373" s="172">
        <f t="shared" si="98"/>
        <v>689</v>
      </c>
      <c r="Q373" s="155">
        <v>7.7799999999999994E-2</v>
      </c>
      <c r="R373" s="172">
        <f t="shared" si="99"/>
        <v>894</v>
      </c>
      <c r="S373" s="155">
        <f t="shared" si="100"/>
        <v>0.13780795682075389</v>
      </c>
      <c r="T373" s="172">
        <f t="shared" si="101"/>
        <v>1583</v>
      </c>
      <c r="U373" s="172">
        <f t="shared" si="102"/>
        <v>13070</v>
      </c>
      <c r="V373" s="173">
        <f>U373-500</f>
        <v>12570</v>
      </c>
      <c r="W373" s="174">
        <f t="shared" si="103"/>
        <v>1083</v>
      </c>
      <c r="X373" s="159">
        <f t="shared" si="97"/>
        <v>9.4299999999999995E-2</v>
      </c>
      <c r="Y373" s="160" t="str">
        <f t="shared" si="113"/>
        <v>11.02%-16.54%</v>
      </c>
      <c r="Z373" s="175"/>
      <c r="AA373" s="175"/>
      <c r="AB373" s="175"/>
      <c r="AC373" s="162"/>
      <c r="AD373" s="171">
        <f t="shared" si="104"/>
        <v>0</v>
      </c>
      <c r="AE373" s="176">
        <f t="shared" si="105"/>
        <v>12570</v>
      </c>
      <c r="AF373" s="164">
        <f t="shared" si="106"/>
        <v>1083</v>
      </c>
      <c r="AG373" s="165">
        <f t="shared" si="107"/>
        <v>9.4280490989814503E-2</v>
      </c>
      <c r="AH373" s="166">
        <v>14</v>
      </c>
      <c r="AI373" s="166">
        <v>450</v>
      </c>
      <c r="AJ373" s="166"/>
      <c r="AK373" s="166">
        <v>688</v>
      </c>
      <c r="AL373" s="166">
        <f t="shared" si="108"/>
        <v>182068</v>
      </c>
      <c r="AM373" s="153">
        <v>3</v>
      </c>
      <c r="AN373" s="166"/>
      <c r="AO373" s="167"/>
      <c r="AP373" s="167"/>
      <c r="AQ373" s="151" t="s">
        <v>1854</v>
      </c>
      <c r="AR373" s="151" t="s">
        <v>124</v>
      </c>
      <c r="AW373" s="144" t="str">
        <f t="shared" si="111"/>
        <v>OK</v>
      </c>
      <c r="AX373" s="21" t="s">
        <v>3135</v>
      </c>
      <c r="AY373" s="21">
        <v>0</v>
      </c>
      <c r="AZ373" s="21"/>
      <c r="BA373" s="21"/>
    </row>
    <row r="374" spans="1:53" ht="20" customHeight="1">
      <c r="A374" s="86" t="s">
        <v>318</v>
      </c>
      <c r="B374" s="371" t="s">
        <v>2704</v>
      </c>
      <c r="C374" s="151" t="s">
        <v>51</v>
      </c>
      <c r="D374" s="151" t="s">
        <v>52</v>
      </c>
      <c r="E374" s="151" t="s">
        <v>1753</v>
      </c>
      <c r="F374" s="151" t="s">
        <v>1882</v>
      </c>
      <c r="G374" s="151" t="s">
        <v>1883</v>
      </c>
      <c r="H374" s="152">
        <v>41743</v>
      </c>
      <c r="I374" s="151" t="s">
        <v>1865</v>
      </c>
      <c r="J374" s="151" t="s">
        <v>1865</v>
      </c>
      <c r="K374" s="151" t="s">
        <v>324</v>
      </c>
      <c r="L374" s="153">
        <v>2</v>
      </c>
      <c r="M374" s="153">
        <v>5</v>
      </c>
      <c r="N374" s="171">
        <v>8577</v>
      </c>
      <c r="O374" s="155">
        <v>0.03</v>
      </c>
      <c r="P374" s="172">
        <f t="shared" si="98"/>
        <v>257</v>
      </c>
      <c r="Q374" s="155">
        <v>0</v>
      </c>
      <c r="R374" s="172">
        <f t="shared" si="99"/>
        <v>0</v>
      </c>
      <c r="S374" s="155">
        <f t="shared" si="100"/>
        <v>2.9963856826396174E-2</v>
      </c>
      <c r="T374" s="172">
        <f t="shared" si="101"/>
        <v>257</v>
      </c>
      <c r="U374" s="172">
        <f t="shared" si="102"/>
        <v>8834</v>
      </c>
      <c r="V374" s="173">
        <f t="shared" si="114"/>
        <v>8834</v>
      </c>
      <c r="W374" s="174">
        <f t="shared" si="103"/>
        <v>257</v>
      </c>
      <c r="X374" s="159">
        <f t="shared" si="97"/>
        <v>0.03</v>
      </c>
      <c r="Y374" s="160" t="str">
        <f t="shared" si="113"/>
        <v>2.40%-3.60%</v>
      </c>
      <c r="Z374" s="175"/>
      <c r="AA374" s="175"/>
      <c r="AB374" s="175"/>
      <c r="AC374" s="162"/>
      <c r="AD374" s="171">
        <f t="shared" si="104"/>
        <v>0</v>
      </c>
      <c r="AE374" s="176">
        <f t="shared" si="105"/>
        <v>8834</v>
      </c>
      <c r="AF374" s="164">
        <f t="shared" si="106"/>
        <v>257</v>
      </c>
      <c r="AG374" s="165">
        <f t="shared" si="107"/>
        <v>2.996385682639624E-2</v>
      </c>
      <c r="AH374" s="166">
        <v>14</v>
      </c>
      <c r="AI374" s="166">
        <v>1350</v>
      </c>
      <c r="AJ374" s="166"/>
      <c r="AK374" s="166">
        <v>688</v>
      </c>
      <c r="AL374" s="166">
        <f t="shared" si="108"/>
        <v>140564</v>
      </c>
      <c r="AM374" s="153">
        <v>4</v>
      </c>
      <c r="AN374" s="166"/>
      <c r="AO374" s="167"/>
      <c r="AP374" s="167"/>
      <c r="AQ374" s="151" t="s">
        <v>1854</v>
      </c>
      <c r="AR374" s="151" t="s">
        <v>124</v>
      </c>
      <c r="AW374" s="144" t="str">
        <f t="shared" si="111"/>
        <v>OK</v>
      </c>
      <c r="AX374" s="21" t="s">
        <v>3135</v>
      </c>
      <c r="AY374" s="21" t="s">
        <v>3138</v>
      </c>
      <c r="AZ374" s="21"/>
      <c r="BA374" s="21"/>
    </row>
    <row r="375" spans="1:53" ht="20" customHeight="1">
      <c r="A375" s="86" t="s">
        <v>318</v>
      </c>
      <c r="B375" s="371" t="s">
        <v>2705</v>
      </c>
      <c r="C375" s="151" t="s">
        <v>51</v>
      </c>
      <c r="D375" s="151" t="s">
        <v>52</v>
      </c>
      <c r="E375" s="151" t="s">
        <v>1753</v>
      </c>
      <c r="F375" s="151" t="s">
        <v>1860</v>
      </c>
      <c r="G375" s="151" t="s">
        <v>1861</v>
      </c>
      <c r="H375" s="152">
        <v>41754</v>
      </c>
      <c r="I375" s="151" t="s">
        <v>1865</v>
      </c>
      <c r="J375" s="151" t="s">
        <v>1865</v>
      </c>
      <c r="K375" s="151" t="s">
        <v>324</v>
      </c>
      <c r="L375" s="153">
        <v>2</v>
      </c>
      <c r="M375" s="153">
        <v>3</v>
      </c>
      <c r="N375" s="171">
        <v>8586</v>
      </c>
      <c r="O375" s="155">
        <v>0</v>
      </c>
      <c r="P375" s="172">
        <f t="shared" si="98"/>
        <v>0</v>
      </c>
      <c r="Q375" s="155">
        <v>0</v>
      </c>
      <c r="R375" s="172">
        <f t="shared" si="99"/>
        <v>0</v>
      </c>
      <c r="S375" s="155">
        <f t="shared" si="100"/>
        <v>0</v>
      </c>
      <c r="T375" s="172">
        <f t="shared" si="101"/>
        <v>0</v>
      </c>
      <c r="U375" s="172">
        <f t="shared" si="102"/>
        <v>8586</v>
      </c>
      <c r="V375" s="173">
        <f t="shared" si="114"/>
        <v>8586</v>
      </c>
      <c r="W375" s="174">
        <f t="shared" si="103"/>
        <v>0</v>
      </c>
      <c r="X375" s="159">
        <f t="shared" si="97"/>
        <v>0</v>
      </c>
      <c r="Y375" s="160" t="str">
        <f t="shared" si="113"/>
        <v>0.00%-0.00%</v>
      </c>
      <c r="Z375" s="175"/>
      <c r="AA375" s="175"/>
      <c r="AB375" s="175"/>
      <c r="AC375" s="162"/>
      <c r="AD375" s="171">
        <f t="shared" si="104"/>
        <v>0</v>
      </c>
      <c r="AE375" s="176">
        <f t="shared" si="105"/>
        <v>8586</v>
      </c>
      <c r="AF375" s="164">
        <f t="shared" si="106"/>
        <v>0</v>
      </c>
      <c r="AG375" s="165">
        <f t="shared" si="107"/>
        <v>0</v>
      </c>
      <c r="AH375" s="166">
        <v>14</v>
      </c>
      <c r="AI375" s="166">
        <v>850</v>
      </c>
      <c r="AJ375" s="166"/>
      <c r="AK375" s="166">
        <v>688</v>
      </c>
      <c r="AL375" s="166">
        <f t="shared" si="108"/>
        <v>131092</v>
      </c>
      <c r="AM375" s="153">
        <v>3</v>
      </c>
      <c r="AN375" s="166"/>
      <c r="AO375" s="167"/>
      <c r="AP375" s="167"/>
      <c r="AQ375" s="151" t="s">
        <v>1854</v>
      </c>
      <c r="AR375" s="151" t="s">
        <v>124</v>
      </c>
      <c r="AW375" s="144" t="str">
        <f t="shared" si="111"/>
        <v>OK</v>
      </c>
      <c r="AX375" s="21" t="s">
        <v>3135</v>
      </c>
      <c r="AY375" s="21" t="s">
        <v>3134</v>
      </c>
      <c r="AZ375" s="21"/>
      <c r="BA375" s="21"/>
    </row>
    <row r="376" spans="1:53" ht="20" customHeight="1">
      <c r="A376" s="86" t="s">
        <v>318</v>
      </c>
      <c r="B376" s="371" t="s">
        <v>2706</v>
      </c>
      <c r="C376" s="151" t="s">
        <v>51</v>
      </c>
      <c r="D376" s="151" t="s">
        <v>52</v>
      </c>
      <c r="E376" s="151" t="s">
        <v>1753</v>
      </c>
      <c r="F376" s="151" t="s">
        <v>1875</v>
      </c>
      <c r="G376" s="151" t="s">
        <v>1876</v>
      </c>
      <c r="H376" s="152">
        <v>41827</v>
      </c>
      <c r="I376" s="151" t="s">
        <v>1865</v>
      </c>
      <c r="J376" s="151" t="s">
        <v>1865</v>
      </c>
      <c r="K376" s="151" t="s">
        <v>324</v>
      </c>
      <c r="L376" s="153">
        <v>2</v>
      </c>
      <c r="M376" s="153">
        <v>4</v>
      </c>
      <c r="N376" s="171">
        <v>8300</v>
      </c>
      <c r="O376" s="155">
        <v>2.2499999999999999E-2</v>
      </c>
      <c r="P376" s="172">
        <f t="shared" si="98"/>
        <v>187</v>
      </c>
      <c r="Q376" s="155">
        <v>0</v>
      </c>
      <c r="R376" s="172">
        <f t="shared" si="99"/>
        <v>0</v>
      </c>
      <c r="S376" s="155">
        <f t="shared" si="100"/>
        <v>2.253012048192771E-2</v>
      </c>
      <c r="T376" s="172">
        <f t="shared" si="101"/>
        <v>187</v>
      </c>
      <c r="U376" s="172">
        <f t="shared" si="102"/>
        <v>8487</v>
      </c>
      <c r="V376" s="173">
        <f>N376</f>
        <v>8300</v>
      </c>
      <c r="W376" s="174">
        <f t="shared" si="103"/>
        <v>0</v>
      </c>
      <c r="X376" s="159">
        <f t="shared" si="97"/>
        <v>0</v>
      </c>
      <c r="Y376" s="160" t="str">
        <f t="shared" si="113"/>
        <v>1.80%-2.70%</v>
      </c>
      <c r="Z376" s="175" t="s">
        <v>87</v>
      </c>
      <c r="AA376" s="175" t="s">
        <v>85</v>
      </c>
      <c r="AB376" s="175" t="s">
        <v>139</v>
      </c>
      <c r="AC376" s="162">
        <v>0.16</v>
      </c>
      <c r="AD376" s="171">
        <f t="shared" si="104"/>
        <v>1328</v>
      </c>
      <c r="AE376" s="176">
        <f t="shared" si="105"/>
        <v>9628</v>
      </c>
      <c r="AF376" s="164">
        <f t="shared" si="106"/>
        <v>1328</v>
      </c>
      <c r="AG376" s="165">
        <f t="shared" si="107"/>
        <v>0.15999999999999992</v>
      </c>
      <c r="AH376" s="166">
        <v>14</v>
      </c>
      <c r="AI376" s="166">
        <v>1650</v>
      </c>
      <c r="AJ376" s="166"/>
      <c r="AK376" s="166">
        <v>688</v>
      </c>
      <c r="AL376" s="166">
        <f t="shared" si="108"/>
        <v>155280</v>
      </c>
      <c r="AM376" s="153">
        <v>3</v>
      </c>
      <c r="AN376" s="166"/>
      <c r="AO376" s="167"/>
      <c r="AP376" s="167"/>
      <c r="AQ376" s="151" t="s">
        <v>1854</v>
      </c>
      <c r="AR376" s="151" t="s">
        <v>124</v>
      </c>
      <c r="AW376" s="144" t="str">
        <f t="shared" si="111"/>
        <v>0 increase</v>
      </c>
      <c r="AX376" s="21" t="s">
        <v>3135</v>
      </c>
      <c r="AY376" s="21" t="s">
        <v>3138</v>
      </c>
      <c r="AZ376" s="21"/>
      <c r="BA376" s="21"/>
    </row>
    <row r="377" spans="1:53" ht="20" customHeight="1">
      <c r="A377" s="86" t="s">
        <v>318</v>
      </c>
      <c r="B377" s="371" t="s">
        <v>2707</v>
      </c>
      <c r="C377" s="151" t="s">
        <v>51</v>
      </c>
      <c r="D377" s="151" t="s">
        <v>52</v>
      </c>
      <c r="E377" s="151" t="s">
        <v>1753</v>
      </c>
      <c r="F377" s="151" t="s">
        <v>1885</v>
      </c>
      <c r="G377" s="151" t="s">
        <v>1886</v>
      </c>
      <c r="H377" s="152">
        <v>41897</v>
      </c>
      <c r="I377" s="151" t="s">
        <v>1866</v>
      </c>
      <c r="J377" s="151" t="s">
        <v>1866</v>
      </c>
      <c r="K377" s="151" t="s">
        <v>324</v>
      </c>
      <c r="L377" s="153">
        <v>2</v>
      </c>
      <c r="M377" s="153">
        <v>3</v>
      </c>
      <c r="N377" s="171">
        <v>10002</v>
      </c>
      <c r="O377" s="155">
        <v>0</v>
      </c>
      <c r="P377" s="172">
        <f t="shared" si="98"/>
        <v>0</v>
      </c>
      <c r="Q377" s="155">
        <v>0</v>
      </c>
      <c r="R377" s="172">
        <f t="shared" si="99"/>
        <v>0</v>
      </c>
      <c r="S377" s="155">
        <f t="shared" si="100"/>
        <v>0</v>
      </c>
      <c r="T377" s="172">
        <f t="shared" si="101"/>
        <v>0</v>
      </c>
      <c r="U377" s="172">
        <f t="shared" si="102"/>
        <v>10002</v>
      </c>
      <c r="V377" s="173">
        <f>U377</f>
        <v>10002</v>
      </c>
      <c r="W377" s="174">
        <f t="shared" si="103"/>
        <v>0</v>
      </c>
      <c r="X377" s="159">
        <f t="shared" si="97"/>
        <v>0</v>
      </c>
      <c r="Y377" s="160" t="str">
        <f t="shared" si="113"/>
        <v>0.00%-0.00%</v>
      </c>
      <c r="Z377" s="175"/>
      <c r="AA377" s="175"/>
      <c r="AB377" s="175"/>
      <c r="AC377" s="162"/>
      <c r="AD377" s="171">
        <f t="shared" si="104"/>
        <v>0</v>
      </c>
      <c r="AE377" s="176">
        <f t="shared" si="105"/>
        <v>10002</v>
      </c>
      <c r="AF377" s="164">
        <f t="shared" si="106"/>
        <v>0</v>
      </c>
      <c r="AG377" s="165">
        <f t="shared" si="107"/>
        <v>0</v>
      </c>
      <c r="AH377" s="166">
        <v>14</v>
      </c>
      <c r="AI377" s="166">
        <v>750</v>
      </c>
      <c r="AJ377" s="166"/>
      <c r="AK377" s="166">
        <v>688</v>
      </c>
      <c r="AL377" s="166">
        <f t="shared" si="108"/>
        <v>149716</v>
      </c>
      <c r="AM377" s="153">
        <v>3</v>
      </c>
      <c r="AN377" s="166"/>
      <c r="AO377" s="167"/>
      <c r="AP377" s="167"/>
      <c r="AQ377" s="151" t="s">
        <v>1854</v>
      </c>
      <c r="AR377" s="151" t="s">
        <v>124</v>
      </c>
      <c r="AW377" s="144" t="str">
        <f t="shared" si="111"/>
        <v>OK</v>
      </c>
      <c r="AX377" s="21" t="s">
        <v>3135</v>
      </c>
      <c r="AY377" s="21" t="s">
        <v>3134</v>
      </c>
      <c r="AZ377" s="21"/>
      <c r="BA377" s="21"/>
    </row>
    <row r="378" spans="1:53" ht="20" customHeight="1">
      <c r="A378" s="86" t="s">
        <v>318</v>
      </c>
      <c r="B378" s="371" t="s">
        <v>2708</v>
      </c>
      <c r="C378" s="151" t="s">
        <v>51</v>
      </c>
      <c r="D378" s="151" t="s">
        <v>52</v>
      </c>
      <c r="E378" s="151" t="s">
        <v>1753</v>
      </c>
      <c r="F378" s="151" t="s">
        <v>1884</v>
      </c>
      <c r="G378" s="151" t="s">
        <v>1748</v>
      </c>
      <c r="H378" s="152">
        <v>41920</v>
      </c>
      <c r="I378" s="151" t="s">
        <v>226</v>
      </c>
      <c r="J378" s="151" t="s">
        <v>226</v>
      </c>
      <c r="K378" s="151" t="s">
        <v>84</v>
      </c>
      <c r="L378" s="153">
        <v>2</v>
      </c>
      <c r="M378" s="153">
        <v>3</v>
      </c>
      <c r="N378" s="171">
        <v>8185</v>
      </c>
      <c r="O378" s="155">
        <v>2.5000000000000001E-2</v>
      </c>
      <c r="P378" s="172">
        <f t="shared" si="98"/>
        <v>205</v>
      </c>
      <c r="Q378" s="155">
        <v>0</v>
      </c>
      <c r="R378" s="172">
        <f t="shared" si="99"/>
        <v>0</v>
      </c>
      <c r="S378" s="155">
        <f t="shared" si="100"/>
        <v>2.504581551618815E-2</v>
      </c>
      <c r="T378" s="172">
        <f t="shared" si="101"/>
        <v>205</v>
      </c>
      <c r="U378" s="172">
        <f t="shared" si="102"/>
        <v>8390</v>
      </c>
      <c r="V378" s="173">
        <f>U378+500</f>
        <v>8890</v>
      </c>
      <c r="W378" s="174">
        <f t="shared" si="103"/>
        <v>705</v>
      </c>
      <c r="X378" s="159">
        <f t="shared" si="97"/>
        <v>8.6099999999999996E-2</v>
      </c>
      <c r="Y378" s="160" t="str">
        <f t="shared" si="113"/>
        <v>2.00%-3.01%</v>
      </c>
      <c r="Z378" s="175"/>
      <c r="AA378" s="175"/>
      <c r="AB378" s="175"/>
      <c r="AC378" s="162"/>
      <c r="AD378" s="171">
        <f t="shared" si="104"/>
        <v>0</v>
      </c>
      <c r="AE378" s="176">
        <f t="shared" si="105"/>
        <v>8890</v>
      </c>
      <c r="AF378" s="164">
        <f t="shared" si="106"/>
        <v>705</v>
      </c>
      <c r="AG378" s="165">
        <f t="shared" si="107"/>
        <v>8.6133170433720263E-2</v>
      </c>
      <c r="AH378" s="166">
        <v>14</v>
      </c>
      <c r="AI378" s="166">
        <v>450</v>
      </c>
      <c r="AJ378" s="166"/>
      <c r="AK378" s="166">
        <v>688</v>
      </c>
      <c r="AL378" s="166">
        <f t="shared" si="108"/>
        <v>130548</v>
      </c>
      <c r="AM378" s="153">
        <v>3</v>
      </c>
      <c r="AN378" s="166"/>
      <c r="AO378" s="167"/>
      <c r="AP378" s="167"/>
      <c r="AQ378" s="151" t="s">
        <v>1854</v>
      </c>
      <c r="AR378" s="151" t="s">
        <v>124</v>
      </c>
      <c r="AW378" s="144" t="str">
        <f t="shared" si="111"/>
        <v>&gt;20</v>
      </c>
      <c r="AX378" s="21" t="s">
        <v>3135</v>
      </c>
      <c r="AY378" s="21" t="s">
        <v>3130</v>
      </c>
      <c r="AZ378" s="21"/>
      <c r="BA378" s="21"/>
    </row>
    <row r="379" spans="1:53" ht="20" customHeight="1">
      <c r="A379" s="86" t="s">
        <v>318</v>
      </c>
      <c r="B379" s="371" t="s">
        <v>2709</v>
      </c>
      <c r="C379" s="151" t="s">
        <v>51</v>
      </c>
      <c r="D379" s="151" t="s">
        <v>52</v>
      </c>
      <c r="E379" s="151" t="s">
        <v>1753</v>
      </c>
      <c r="F379" s="151" t="s">
        <v>1894</v>
      </c>
      <c r="G379" s="151" t="s">
        <v>1748</v>
      </c>
      <c r="H379" s="152">
        <v>42025</v>
      </c>
      <c r="I379" s="151" t="s">
        <v>226</v>
      </c>
      <c r="J379" s="151" t="s">
        <v>226</v>
      </c>
      <c r="K379" s="151" t="s">
        <v>84</v>
      </c>
      <c r="L379" s="153">
        <v>2</v>
      </c>
      <c r="M379" s="153">
        <v>3</v>
      </c>
      <c r="N379" s="171">
        <v>7911</v>
      </c>
      <c r="O379" s="155">
        <v>2.5000000000000001E-2</v>
      </c>
      <c r="P379" s="172">
        <f t="shared" si="98"/>
        <v>198</v>
      </c>
      <c r="Q379" s="155">
        <v>0</v>
      </c>
      <c r="R379" s="172">
        <f t="shared" si="99"/>
        <v>0</v>
      </c>
      <c r="S379" s="155">
        <f t="shared" si="100"/>
        <v>2.502844141069397E-2</v>
      </c>
      <c r="T379" s="172">
        <f t="shared" si="101"/>
        <v>198</v>
      </c>
      <c r="U379" s="172">
        <f t="shared" si="102"/>
        <v>8109</v>
      </c>
      <c r="V379" s="173">
        <f t="shared" si="114"/>
        <v>8109</v>
      </c>
      <c r="W379" s="174">
        <f t="shared" si="103"/>
        <v>198</v>
      </c>
      <c r="X379" s="159">
        <f t="shared" si="97"/>
        <v>2.5000000000000001E-2</v>
      </c>
      <c r="Y379" s="160" t="str">
        <f t="shared" si="113"/>
        <v>2.00%-3.00%</v>
      </c>
      <c r="Z379" s="175"/>
      <c r="AA379" s="175"/>
      <c r="AB379" s="175"/>
      <c r="AC379" s="162"/>
      <c r="AD379" s="171">
        <f t="shared" si="104"/>
        <v>0</v>
      </c>
      <c r="AE379" s="176">
        <f t="shared" si="105"/>
        <v>8109</v>
      </c>
      <c r="AF379" s="164">
        <f t="shared" si="106"/>
        <v>198</v>
      </c>
      <c r="AG379" s="165">
        <f t="shared" si="107"/>
        <v>2.5028441410694047E-2</v>
      </c>
      <c r="AH379" s="166">
        <v>14</v>
      </c>
      <c r="AI379" s="166">
        <v>450</v>
      </c>
      <c r="AJ379" s="166"/>
      <c r="AK379" s="166">
        <v>688</v>
      </c>
      <c r="AL379" s="166">
        <f t="shared" si="108"/>
        <v>119614</v>
      </c>
      <c r="AM379" s="153">
        <v>3</v>
      </c>
      <c r="AN379" s="166"/>
      <c r="AO379" s="167"/>
      <c r="AP379" s="167"/>
      <c r="AQ379" s="151" t="s">
        <v>1854</v>
      </c>
      <c r="AR379" s="151" t="s">
        <v>124</v>
      </c>
      <c r="AW379" s="144" t="str">
        <f t="shared" si="111"/>
        <v>OK</v>
      </c>
      <c r="AX379" s="21" t="s">
        <v>3135</v>
      </c>
      <c r="AY379" s="21" t="s">
        <v>3130</v>
      </c>
      <c r="AZ379" s="21"/>
      <c r="BA379" s="21"/>
    </row>
    <row r="380" spans="1:53" ht="20" customHeight="1">
      <c r="A380" s="86" t="s">
        <v>318</v>
      </c>
      <c r="B380" s="371" t="s">
        <v>2710</v>
      </c>
      <c r="C380" s="151" t="s">
        <v>51</v>
      </c>
      <c r="D380" s="151" t="s">
        <v>52</v>
      </c>
      <c r="E380" s="151" t="s">
        <v>1753</v>
      </c>
      <c r="F380" s="151" t="s">
        <v>1863</v>
      </c>
      <c r="G380" s="151" t="s">
        <v>1864</v>
      </c>
      <c r="H380" s="152">
        <v>42017</v>
      </c>
      <c r="I380" s="151" t="s">
        <v>1865</v>
      </c>
      <c r="J380" s="151" t="s">
        <v>1865</v>
      </c>
      <c r="K380" s="151" t="s">
        <v>324</v>
      </c>
      <c r="L380" s="153">
        <v>2</v>
      </c>
      <c r="M380" s="153">
        <v>3</v>
      </c>
      <c r="N380" s="171">
        <v>9254</v>
      </c>
      <c r="O380" s="155">
        <v>0</v>
      </c>
      <c r="P380" s="172">
        <f t="shared" si="98"/>
        <v>0</v>
      </c>
      <c r="Q380" s="155">
        <v>0</v>
      </c>
      <c r="R380" s="172">
        <f t="shared" si="99"/>
        <v>0</v>
      </c>
      <c r="S380" s="155">
        <f t="shared" si="100"/>
        <v>0</v>
      </c>
      <c r="T380" s="172">
        <f t="shared" si="101"/>
        <v>0</v>
      </c>
      <c r="U380" s="172">
        <f t="shared" si="102"/>
        <v>9254</v>
      </c>
      <c r="V380" s="173">
        <f t="shared" si="114"/>
        <v>9254</v>
      </c>
      <c r="W380" s="174">
        <f t="shared" si="103"/>
        <v>0</v>
      </c>
      <c r="X380" s="159">
        <f t="shared" si="97"/>
        <v>0</v>
      </c>
      <c r="Y380" s="160" t="str">
        <f t="shared" si="113"/>
        <v>0.00%-0.00%</v>
      </c>
      <c r="Z380" s="175"/>
      <c r="AA380" s="175"/>
      <c r="AB380" s="175"/>
      <c r="AC380" s="162"/>
      <c r="AD380" s="171">
        <f t="shared" si="104"/>
        <v>0</v>
      </c>
      <c r="AE380" s="176">
        <f t="shared" si="105"/>
        <v>9254</v>
      </c>
      <c r="AF380" s="164">
        <f t="shared" si="106"/>
        <v>0</v>
      </c>
      <c r="AG380" s="165">
        <f t="shared" si="107"/>
        <v>0</v>
      </c>
      <c r="AH380" s="166">
        <v>14</v>
      </c>
      <c r="AI380" s="166">
        <v>1250</v>
      </c>
      <c r="AJ380" s="166"/>
      <c r="AK380" s="166">
        <v>688</v>
      </c>
      <c r="AL380" s="166">
        <f t="shared" si="108"/>
        <v>145244</v>
      </c>
      <c r="AM380" s="153">
        <v>4</v>
      </c>
      <c r="AN380" s="166"/>
      <c r="AO380" s="167"/>
      <c r="AP380" s="167"/>
      <c r="AQ380" s="151" t="s">
        <v>1854</v>
      </c>
      <c r="AR380" s="151" t="s">
        <v>124</v>
      </c>
      <c r="AW380" s="144" t="str">
        <f t="shared" si="111"/>
        <v>OK</v>
      </c>
      <c r="AX380" s="21" t="s">
        <v>3135</v>
      </c>
      <c r="AY380" s="21" t="s">
        <v>3134</v>
      </c>
      <c r="AZ380" s="21"/>
      <c r="BA380" s="21"/>
    </row>
    <row r="381" spans="1:53" ht="20" customHeight="1">
      <c r="A381" s="86" t="s">
        <v>318</v>
      </c>
      <c r="B381" s="371" t="s">
        <v>2711</v>
      </c>
      <c r="C381" s="151" t="s">
        <v>51</v>
      </c>
      <c r="D381" s="151" t="s">
        <v>52</v>
      </c>
      <c r="E381" s="151" t="s">
        <v>1753</v>
      </c>
      <c r="F381" s="151" t="s">
        <v>1894</v>
      </c>
      <c r="G381" s="151" t="s">
        <v>1748</v>
      </c>
      <c r="H381" s="152">
        <v>42114</v>
      </c>
      <c r="I381" s="151" t="s">
        <v>85</v>
      </c>
      <c r="J381" s="151" t="s">
        <v>85</v>
      </c>
      <c r="K381" s="151" t="s">
        <v>76</v>
      </c>
      <c r="L381" s="153">
        <v>2</v>
      </c>
      <c r="M381" s="153">
        <v>3</v>
      </c>
      <c r="N381" s="171">
        <v>9853</v>
      </c>
      <c r="O381" s="155">
        <v>2.5000000000000001E-2</v>
      </c>
      <c r="P381" s="172">
        <f t="shared" si="98"/>
        <v>246</v>
      </c>
      <c r="Q381" s="155">
        <v>0</v>
      </c>
      <c r="R381" s="172">
        <f t="shared" si="99"/>
        <v>0</v>
      </c>
      <c r="S381" s="155">
        <f t="shared" si="100"/>
        <v>2.4967015122297778E-2</v>
      </c>
      <c r="T381" s="172">
        <f t="shared" si="101"/>
        <v>246</v>
      </c>
      <c r="U381" s="172">
        <f t="shared" si="102"/>
        <v>10099</v>
      </c>
      <c r="V381" s="173">
        <f t="shared" si="114"/>
        <v>10099</v>
      </c>
      <c r="W381" s="174">
        <f t="shared" si="103"/>
        <v>246</v>
      </c>
      <c r="X381" s="159">
        <f t="shared" si="97"/>
        <v>2.5000000000000001E-2</v>
      </c>
      <c r="Y381" s="160" t="str">
        <f t="shared" si="113"/>
        <v>2.00%-3.00%</v>
      </c>
      <c r="Z381" s="175"/>
      <c r="AA381" s="175"/>
      <c r="AB381" s="175"/>
      <c r="AC381" s="162"/>
      <c r="AD381" s="171">
        <f t="shared" si="104"/>
        <v>0</v>
      </c>
      <c r="AE381" s="176">
        <f t="shared" si="105"/>
        <v>10099</v>
      </c>
      <c r="AF381" s="164">
        <f t="shared" si="106"/>
        <v>246</v>
      </c>
      <c r="AG381" s="165">
        <f t="shared" si="107"/>
        <v>2.496701512229782E-2</v>
      </c>
      <c r="AH381" s="166">
        <v>14</v>
      </c>
      <c r="AI381" s="166">
        <v>450</v>
      </c>
      <c r="AJ381" s="166"/>
      <c r="AK381" s="166">
        <v>688</v>
      </c>
      <c r="AL381" s="166">
        <f t="shared" si="108"/>
        <v>147474</v>
      </c>
      <c r="AM381" s="153">
        <v>3</v>
      </c>
      <c r="AN381" s="166"/>
      <c r="AO381" s="167"/>
      <c r="AP381" s="167"/>
      <c r="AQ381" s="151" t="s">
        <v>1854</v>
      </c>
      <c r="AR381" s="151" t="s">
        <v>124</v>
      </c>
      <c r="AW381" s="144" t="str">
        <f t="shared" si="111"/>
        <v>OK</v>
      </c>
      <c r="AX381" s="21" t="s">
        <v>3135</v>
      </c>
      <c r="AY381" s="21" t="s">
        <v>3130</v>
      </c>
      <c r="AZ381" s="21"/>
      <c r="BA381" s="21"/>
    </row>
    <row r="382" spans="1:53" ht="20" customHeight="1">
      <c r="A382" s="86" t="s">
        <v>318</v>
      </c>
      <c r="B382" s="371" t="s">
        <v>2712</v>
      </c>
      <c r="C382" s="151" t="s">
        <v>51</v>
      </c>
      <c r="D382" s="151" t="s">
        <v>52</v>
      </c>
      <c r="E382" s="151" t="s">
        <v>1753</v>
      </c>
      <c r="F382" s="151" t="s">
        <v>1747</v>
      </c>
      <c r="G382" s="151" t="s">
        <v>1748</v>
      </c>
      <c r="H382" s="152">
        <v>42156</v>
      </c>
      <c r="I382" s="151" t="s">
        <v>140</v>
      </c>
      <c r="J382" s="151" t="s">
        <v>141</v>
      </c>
      <c r="K382" s="151" t="s">
        <v>61</v>
      </c>
      <c r="L382" s="153">
        <v>2</v>
      </c>
      <c r="M382" s="153">
        <v>2</v>
      </c>
      <c r="N382" s="171">
        <v>24477</v>
      </c>
      <c r="O382" s="155">
        <v>0</v>
      </c>
      <c r="P382" s="172">
        <f t="shared" si="98"/>
        <v>0</v>
      </c>
      <c r="Q382" s="155">
        <v>0</v>
      </c>
      <c r="R382" s="172">
        <f t="shared" si="99"/>
        <v>0</v>
      </c>
      <c r="S382" s="155">
        <f t="shared" si="100"/>
        <v>0</v>
      </c>
      <c r="T382" s="172">
        <f t="shared" si="101"/>
        <v>0</v>
      </c>
      <c r="U382" s="172">
        <f t="shared" si="102"/>
        <v>24477</v>
      </c>
      <c r="V382" s="173">
        <f t="shared" si="114"/>
        <v>24477</v>
      </c>
      <c r="W382" s="174">
        <f t="shared" si="103"/>
        <v>0</v>
      </c>
      <c r="X382" s="159">
        <f t="shared" si="97"/>
        <v>0</v>
      </c>
      <c r="Y382" s="160" t="str">
        <f t="shared" si="113"/>
        <v>0.00%-0.00%</v>
      </c>
      <c r="Z382" s="175"/>
      <c r="AA382" s="175"/>
      <c r="AB382" s="175"/>
      <c r="AC382" s="162"/>
      <c r="AD382" s="171">
        <f t="shared" si="104"/>
        <v>0</v>
      </c>
      <c r="AE382" s="176">
        <f t="shared" si="105"/>
        <v>24477</v>
      </c>
      <c r="AF382" s="164">
        <f t="shared" si="106"/>
        <v>0</v>
      </c>
      <c r="AG382" s="165">
        <f t="shared" si="107"/>
        <v>0</v>
      </c>
      <c r="AH382" s="166">
        <v>14</v>
      </c>
      <c r="AI382" s="166">
        <v>450</v>
      </c>
      <c r="AJ382" s="166"/>
      <c r="AK382" s="166">
        <v>688</v>
      </c>
      <c r="AL382" s="166">
        <f t="shared" si="108"/>
        <v>348766</v>
      </c>
      <c r="AM382" s="153">
        <v>3</v>
      </c>
      <c r="AN382" s="166"/>
      <c r="AO382" s="167"/>
      <c r="AP382" s="167"/>
      <c r="AQ382" s="151" t="s">
        <v>1854</v>
      </c>
      <c r="AR382" s="151" t="s">
        <v>124</v>
      </c>
      <c r="AW382" s="144" t="str">
        <f t="shared" si="111"/>
        <v>OK</v>
      </c>
      <c r="AX382" s="21" t="s">
        <v>3135</v>
      </c>
      <c r="AY382" s="21">
        <v>0</v>
      </c>
      <c r="AZ382" s="21"/>
      <c r="BA382" s="21"/>
    </row>
    <row r="383" spans="1:53" ht="20" customHeight="1">
      <c r="A383" s="86" t="s">
        <v>318</v>
      </c>
      <c r="B383" s="371" t="s">
        <v>2713</v>
      </c>
      <c r="C383" s="151" t="s">
        <v>51</v>
      </c>
      <c r="D383" s="151" t="s">
        <v>52</v>
      </c>
      <c r="E383" s="151" t="s">
        <v>1753</v>
      </c>
      <c r="F383" s="151" t="s">
        <v>1875</v>
      </c>
      <c r="G383" s="151" t="s">
        <v>1876</v>
      </c>
      <c r="H383" s="152">
        <v>42156</v>
      </c>
      <c r="I383" s="151" t="s">
        <v>1862</v>
      </c>
      <c r="J383" s="151" t="s">
        <v>1862</v>
      </c>
      <c r="K383" s="151" t="s">
        <v>324</v>
      </c>
      <c r="L383" s="153">
        <v>2</v>
      </c>
      <c r="M383" s="153">
        <v>3</v>
      </c>
      <c r="N383" s="171">
        <v>10021</v>
      </c>
      <c r="O383" s="155">
        <v>0</v>
      </c>
      <c r="P383" s="172">
        <f t="shared" si="98"/>
        <v>0</v>
      </c>
      <c r="Q383" s="155">
        <v>0</v>
      </c>
      <c r="R383" s="172">
        <f t="shared" si="99"/>
        <v>0</v>
      </c>
      <c r="S383" s="155">
        <f t="shared" si="100"/>
        <v>0</v>
      </c>
      <c r="T383" s="172">
        <f t="shared" si="101"/>
        <v>0</v>
      </c>
      <c r="U383" s="172">
        <f t="shared" si="102"/>
        <v>10021</v>
      </c>
      <c r="V383" s="173">
        <f t="shared" si="114"/>
        <v>10021</v>
      </c>
      <c r="W383" s="174">
        <f t="shared" si="103"/>
        <v>0</v>
      </c>
      <c r="X383" s="159">
        <f t="shared" ref="X383:X423" si="115">ROUND(V383/N383-1,4)</f>
        <v>0</v>
      </c>
      <c r="Y383" s="160" t="str">
        <f t="shared" si="113"/>
        <v>0.00%-0.00%</v>
      </c>
      <c r="Z383" s="175"/>
      <c r="AA383" s="175"/>
      <c r="AB383" s="175"/>
      <c r="AC383" s="162"/>
      <c r="AD383" s="171">
        <f t="shared" si="104"/>
        <v>0</v>
      </c>
      <c r="AE383" s="176">
        <f t="shared" si="105"/>
        <v>10021</v>
      </c>
      <c r="AF383" s="164">
        <f t="shared" si="106"/>
        <v>0</v>
      </c>
      <c r="AG383" s="165">
        <f t="shared" si="107"/>
        <v>0</v>
      </c>
      <c r="AH383" s="166">
        <v>14</v>
      </c>
      <c r="AI383" s="166">
        <v>450</v>
      </c>
      <c r="AJ383" s="166"/>
      <c r="AK383" s="166">
        <v>688</v>
      </c>
      <c r="AL383" s="166">
        <f t="shared" si="108"/>
        <v>146382</v>
      </c>
      <c r="AM383" s="153">
        <v>3</v>
      </c>
      <c r="AN383" s="166"/>
      <c r="AO383" s="167"/>
      <c r="AP383" s="167"/>
      <c r="AQ383" s="151" t="s">
        <v>1854</v>
      </c>
      <c r="AR383" s="151" t="s">
        <v>124</v>
      </c>
      <c r="AW383" s="144" t="str">
        <f t="shared" si="111"/>
        <v>OK</v>
      </c>
      <c r="AX383" s="21" t="s">
        <v>3135</v>
      </c>
      <c r="AY383" s="21" t="s">
        <v>3134</v>
      </c>
      <c r="AZ383" s="21"/>
      <c r="BA383" s="21"/>
    </row>
    <row r="384" spans="1:53" ht="20" customHeight="1">
      <c r="A384" s="86" t="s">
        <v>318</v>
      </c>
      <c r="B384" s="371" t="s">
        <v>2714</v>
      </c>
      <c r="C384" s="151" t="s">
        <v>51</v>
      </c>
      <c r="D384" s="151" t="s">
        <v>52</v>
      </c>
      <c r="E384" s="151" t="s">
        <v>1753</v>
      </c>
      <c r="F384" s="151" t="s">
        <v>1885</v>
      </c>
      <c r="G384" s="151" t="s">
        <v>1886</v>
      </c>
      <c r="H384" s="152">
        <v>42165</v>
      </c>
      <c r="I384" s="151" t="s">
        <v>1866</v>
      </c>
      <c r="J384" s="151" t="s">
        <v>1866</v>
      </c>
      <c r="K384" s="151" t="s">
        <v>324</v>
      </c>
      <c r="L384" s="153">
        <v>2</v>
      </c>
      <c r="M384" s="153">
        <v>3</v>
      </c>
      <c r="N384" s="171">
        <v>10006</v>
      </c>
      <c r="O384" s="155">
        <v>0</v>
      </c>
      <c r="P384" s="172">
        <f t="shared" si="98"/>
        <v>0</v>
      </c>
      <c r="Q384" s="155">
        <v>0</v>
      </c>
      <c r="R384" s="172">
        <f t="shared" si="99"/>
        <v>0</v>
      </c>
      <c r="S384" s="155">
        <f t="shared" si="100"/>
        <v>0</v>
      </c>
      <c r="T384" s="172">
        <f t="shared" si="101"/>
        <v>0</v>
      </c>
      <c r="U384" s="172">
        <f t="shared" si="102"/>
        <v>10006</v>
      </c>
      <c r="V384" s="173">
        <f t="shared" si="114"/>
        <v>10006</v>
      </c>
      <c r="W384" s="174">
        <f t="shared" si="103"/>
        <v>0</v>
      </c>
      <c r="X384" s="159">
        <f t="shared" si="115"/>
        <v>0</v>
      </c>
      <c r="Y384" s="160" t="str">
        <f t="shared" si="113"/>
        <v>0.00%-0.00%</v>
      </c>
      <c r="Z384" s="175"/>
      <c r="AA384" s="175"/>
      <c r="AB384" s="175"/>
      <c r="AC384" s="162"/>
      <c r="AD384" s="171">
        <f t="shared" si="104"/>
        <v>0</v>
      </c>
      <c r="AE384" s="176">
        <f t="shared" si="105"/>
        <v>10006</v>
      </c>
      <c r="AF384" s="164">
        <f t="shared" si="106"/>
        <v>0</v>
      </c>
      <c r="AG384" s="165">
        <f t="shared" si="107"/>
        <v>0</v>
      </c>
      <c r="AH384" s="166">
        <v>14</v>
      </c>
      <c r="AI384" s="166">
        <v>850</v>
      </c>
      <c r="AJ384" s="166"/>
      <c r="AK384" s="166">
        <v>688</v>
      </c>
      <c r="AL384" s="166">
        <f t="shared" si="108"/>
        <v>150972</v>
      </c>
      <c r="AM384" s="153">
        <v>3</v>
      </c>
      <c r="AN384" s="166"/>
      <c r="AO384" s="167"/>
      <c r="AP384" s="167"/>
      <c r="AQ384" s="151" t="s">
        <v>1854</v>
      </c>
      <c r="AR384" s="151" t="s">
        <v>124</v>
      </c>
      <c r="AW384" s="144" t="str">
        <f t="shared" si="111"/>
        <v>OK</v>
      </c>
      <c r="AX384" s="21" t="s">
        <v>3135</v>
      </c>
      <c r="AY384" s="21" t="s">
        <v>3134</v>
      </c>
      <c r="AZ384" s="21"/>
      <c r="BA384" s="21"/>
    </row>
    <row r="385" spans="1:53" ht="20" customHeight="1">
      <c r="A385" s="86" t="s">
        <v>318</v>
      </c>
      <c r="B385" s="371" t="s">
        <v>2715</v>
      </c>
      <c r="C385" s="151" t="s">
        <v>51</v>
      </c>
      <c r="D385" s="151" t="s">
        <v>52</v>
      </c>
      <c r="E385" s="151" t="s">
        <v>1753</v>
      </c>
      <c r="F385" s="151" t="s">
        <v>1875</v>
      </c>
      <c r="G385" s="151" t="s">
        <v>1876</v>
      </c>
      <c r="H385" s="152">
        <v>42191</v>
      </c>
      <c r="I385" s="151" t="s">
        <v>1862</v>
      </c>
      <c r="J385" s="151" t="s">
        <v>1862</v>
      </c>
      <c r="K385" s="151" t="s">
        <v>324</v>
      </c>
      <c r="L385" s="153">
        <v>2</v>
      </c>
      <c r="M385" s="153">
        <v>3</v>
      </c>
      <c r="N385" s="171">
        <v>8222</v>
      </c>
      <c r="O385" s="155">
        <v>2.5000000000000001E-2</v>
      </c>
      <c r="P385" s="172">
        <f t="shared" si="98"/>
        <v>206</v>
      </c>
      <c r="Q385" s="155">
        <v>0</v>
      </c>
      <c r="R385" s="172">
        <f t="shared" si="99"/>
        <v>0</v>
      </c>
      <c r="S385" s="155">
        <f t="shared" si="100"/>
        <v>2.5054731208951592E-2</v>
      </c>
      <c r="T385" s="172">
        <f t="shared" si="101"/>
        <v>206</v>
      </c>
      <c r="U385" s="172">
        <f t="shared" si="102"/>
        <v>8428</v>
      </c>
      <c r="V385" s="173">
        <f t="shared" si="114"/>
        <v>8428</v>
      </c>
      <c r="W385" s="174">
        <f t="shared" si="103"/>
        <v>206</v>
      </c>
      <c r="X385" s="159">
        <f t="shared" si="115"/>
        <v>2.5100000000000001E-2</v>
      </c>
      <c r="Y385" s="160" t="str">
        <f t="shared" si="113"/>
        <v>2.00%-3.01%</v>
      </c>
      <c r="Z385" s="175"/>
      <c r="AA385" s="175"/>
      <c r="AB385" s="175"/>
      <c r="AC385" s="162"/>
      <c r="AD385" s="171">
        <f t="shared" si="104"/>
        <v>0</v>
      </c>
      <c r="AE385" s="176">
        <f t="shared" si="105"/>
        <v>8428</v>
      </c>
      <c r="AF385" s="164">
        <f t="shared" si="106"/>
        <v>206</v>
      </c>
      <c r="AG385" s="165">
        <f t="shared" si="107"/>
        <v>2.505473120895152E-2</v>
      </c>
      <c r="AH385" s="166">
        <v>14</v>
      </c>
      <c r="AI385" s="166">
        <v>450</v>
      </c>
      <c r="AJ385" s="166"/>
      <c r="AK385" s="166">
        <v>688</v>
      </c>
      <c r="AL385" s="166">
        <f t="shared" si="108"/>
        <v>124080</v>
      </c>
      <c r="AM385" s="153">
        <v>1</v>
      </c>
      <c r="AN385" s="166"/>
      <c r="AO385" s="167"/>
      <c r="AP385" s="167"/>
      <c r="AQ385" s="151" t="s">
        <v>1854</v>
      </c>
      <c r="AR385" s="151" t="s">
        <v>124</v>
      </c>
      <c r="AW385" s="144" t="str">
        <f t="shared" si="111"/>
        <v>OK</v>
      </c>
      <c r="AX385" s="21" t="s">
        <v>3133</v>
      </c>
      <c r="AY385" s="21" t="s">
        <v>3130</v>
      </c>
      <c r="AZ385" s="21"/>
      <c r="BA385" s="21"/>
    </row>
    <row r="386" spans="1:53" ht="20" customHeight="1">
      <c r="A386" s="86" t="s">
        <v>318</v>
      </c>
      <c r="B386" s="371" t="s">
        <v>2716</v>
      </c>
      <c r="C386" s="151" t="s">
        <v>51</v>
      </c>
      <c r="D386" s="151" t="s">
        <v>52</v>
      </c>
      <c r="E386" s="151" t="s">
        <v>1753</v>
      </c>
      <c r="F386" s="151" t="s">
        <v>1891</v>
      </c>
      <c r="G386" s="151" t="s">
        <v>1873</v>
      </c>
      <c r="H386" s="152">
        <v>42200</v>
      </c>
      <c r="I386" s="151" t="s">
        <v>1862</v>
      </c>
      <c r="J386" s="151" t="s">
        <v>1862</v>
      </c>
      <c r="K386" s="151" t="s">
        <v>324</v>
      </c>
      <c r="L386" s="153">
        <v>2</v>
      </c>
      <c r="M386" s="153">
        <v>4</v>
      </c>
      <c r="N386" s="171">
        <v>10218</v>
      </c>
      <c r="O386" s="155">
        <v>0.03</v>
      </c>
      <c r="P386" s="172">
        <f t="shared" si="98"/>
        <v>307</v>
      </c>
      <c r="Q386" s="155">
        <v>0</v>
      </c>
      <c r="R386" s="172">
        <f t="shared" si="99"/>
        <v>0</v>
      </c>
      <c r="S386" s="155">
        <f t="shared" si="100"/>
        <v>3.0045018594636916E-2</v>
      </c>
      <c r="T386" s="172">
        <f t="shared" si="101"/>
        <v>307</v>
      </c>
      <c r="U386" s="172">
        <f t="shared" si="102"/>
        <v>10525</v>
      </c>
      <c r="V386" s="173">
        <f t="shared" si="114"/>
        <v>10525</v>
      </c>
      <c r="W386" s="174">
        <f t="shared" si="103"/>
        <v>307</v>
      </c>
      <c r="X386" s="159">
        <f t="shared" si="115"/>
        <v>0.03</v>
      </c>
      <c r="Y386" s="160" t="str">
        <f t="shared" si="113"/>
        <v>2.40%-3.61%</v>
      </c>
      <c r="Z386" s="175"/>
      <c r="AA386" s="175"/>
      <c r="AB386" s="175"/>
      <c r="AC386" s="162"/>
      <c r="AD386" s="171">
        <f t="shared" si="104"/>
        <v>0</v>
      </c>
      <c r="AE386" s="176">
        <f t="shared" si="105"/>
        <v>10525</v>
      </c>
      <c r="AF386" s="164">
        <f t="shared" si="106"/>
        <v>307</v>
      </c>
      <c r="AG386" s="165">
        <f t="shared" si="107"/>
        <v>3.0045018594636819E-2</v>
      </c>
      <c r="AH386" s="166">
        <v>14</v>
      </c>
      <c r="AI386" s="166">
        <v>450</v>
      </c>
      <c r="AJ386" s="166"/>
      <c r="AK386" s="166">
        <v>688</v>
      </c>
      <c r="AL386" s="166">
        <f t="shared" si="108"/>
        <v>153438</v>
      </c>
      <c r="AM386" s="153">
        <v>3</v>
      </c>
      <c r="AN386" s="166"/>
      <c r="AO386" s="167"/>
      <c r="AP386" s="167"/>
      <c r="AQ386" s="151" t="s">
        <v>1854</v>
      </c>
      <c r="AR386" s="151" t="s">
        <v>124</v>
      </c>
      <c r="AW386" s="144" t="str">
        <f t="shared" si="111"/>
        <v>OK</v>
      </c>
      <c r="AX386" s="21" t="s">
        <v>3133</v>
      </c>
      <c r="AY386" s="21" t="s">
        <v>3136</v>
      </c>
      <c r="AZ386" s="21"/>
      <c r="BA386" s="21"/>
    </row>
    <row r="387" spans="1:53" ht="20" customHeight="1">
      <c r="A387" s="86" t="s">
        <v>318</v>
      </c>
      <c r="B387" s="371" t="s">
        <v>2717</v>
      </c>
      <c r="C387" s="151" t="s">
        <v>51</v>
      </c>
      <c r="D387" s="151" t="s">
        <v>52</v>
      </c>
      <c r="E387" s="151" t="s">
        <v>1753</v>
      </c>
      <c r="F387" s="151" t="s">
        <v>1885</v>
      </c>
      <c r="G387" s="151" t="s">
        <v>1886</v>
      </c>
      <c r="H387" s="152">
        <v>42287</v>
      </c>
      <c r="I387" s="151" t="s">
        <v>1871</v>
      </c>
      <c r="J387" s="151" t="s">
        <v>1871</v>
      </c>
      <c r="K387" s="151" t="s">
        <v>324</v>
      </c>
      <c r="L387" s="153">
        <v>2</v>
      </c>
      <c r="M387" s="153">
        <v>4</v>
      </c>
      <c r="N387" s="171">
        <v>12771</v>
      </c>
      <c r="O387" s="155">
        <v>2.2499999999999999E-2</v>
      </c>
      <c r="P387" s="172">
        <f t="shared" si="98"/>
        <v>287</v>
      </c>
      <c r="Q387" s="155">
        <v>0</v>
      </c>
      <c r="R387" s="172">
        <f t="shared" si="99"/>
        <v>0</v>
      </c>
      <c r="S387" s="155">
        <f t="shared" si="100"/>
        <v>2.247278991465038E-2</v>
      </c>
      <c r="T387" s="172">
        <f t="shared" si="101"/>
        <v>287</v>
      </c>
      <c r="U387" s="172">
        <f t="shared" si="102"/>
        <v>13058</v>
      </c>
      <c r="V387" s="173">
        <f t="shared" si="114"/>
        <v>13058</v>
      </c>
      <c r="W387" s="174">
        <f t="shared" si="103"/>
        <v>287</v>
      </c>
      <c r="X387" s="159">
        <f t="shared" si="115"/>
        <v>2.2499999999999999E-2</v>
      </c>
      <c r="Y387" s="160" t="str">
        <f t="shared" si="113"/>
        <v>1.80%-2.70%</v>
      </c>
      <c r="Z387" s="175"/>
      <c r="AA387" s="175"/>
      <c r="AB387" s="175"/>
      <c r="AC387" s="162"/>
      <c r="AD387" s="171">
        <f t="shared" si="104"/>
        <v>0</v>
      </c>
      <c r="AE387" s="176">
        <f t="shared" si="105"/>
        <v>13058</v>
      </c>
      <c r="AF387" s="164">
        <f t="shared" si="106"/>
        <v>287</v>
      </c>
      <c r="AG387" s="165">
        <f t="shared" si="107"/>
        <v>2.2472789914650404E-2</v>
      </c>
      <c r="AH387" s="166">
        <v>14</v>
      </c>
      <c r="AI387" s="166">
        <v>450</v>
      </c>
      <c r="AJ387" s="166"/>
      <c r="AK387" s="166">
        <v>688</v>
      </c>
      <c r="AL387" s="166">
        <f t="shared" si="108"/>
        <v>188900</v>
      </c>
      <c r="AM387" s="153">
        <v>3</v>
      </c>
      <c r="AN387" s="166"/>
      <c r="AO387" s="167"/>
      <c r="AP387" s="167"/>
      <c r="AQ387" s="151" t="s">
        <v>1854</v>
      </c>
      <c r="AR387" s="151" t="s">
        <v>124</v>
      </c>
      <c r="AW387" s="144" t="str">
        <f t="shared" si="111"/>
        <v>OK</v>
      </c>
      <c r="AX387" s="21" t="s">
        <v>3133</v>
      </c>
      <c r="AY387" s="21" t="s">
        <v>3138</v>
      </c>
      <c r="AZ387" s="21"/>
      <c r="BA387" s="21"/>
    </row>
    <row r="388" spans="1:53" ht="20" customHeight="1">
      <c r="A388" s="86" t="s">
        <v>318</v>
      </c>
      <c r="B388" s="371" t="s">
        <v>2718</v>
      </c>
      <c r="C388" s="151" t="s">
        <v>51</v>
      </c>
      <c r="D388" s="151" t="s">
        <v>52</v>
      </c>
      <c r="E388" s="151" t="s">
        <v>1753</v>
      </c>
      <c r="F388" s="151" t="s">
        <v>1879</v>
      </c>
      <c r="G388" s="151" t="s">
        <v>1880</v>
      </c>
      <c r="H388" s="152">
        <v>42366</v>
      </c>
      <c r="I388" s="151" t="s">
        <v>1865</v>
      </c>
      <c r="J388" s="151" t="s">
        <v>1865</v>
      </c>
      <c r="K388" s="151" t="s">
        <v>324</v>
      </c>
      <c r="L388" s="153">
        <v>2</v>
      </c>
      <c r="M388" s="153">
        <v>3</v>
      </c>
      <c r="N388" s="171">
        <v>7805</v>
      </c>
      <c r="O388" s="155">
        <v>0</v>
      </c>
      <c r="P388" s="172">
        <f t="shared" ref="P388:P423" si="116">ROUND(N388*O388,0)</f>
        <v>0</v>
      </c>
      <c r="Q388" s="155">
        <v>0</v>
      </c>
      <c r="R388" s="172">
        <f t="shared" ref="R388:R423" si="117">ROUND(N388*Q388,0)</f>
        <v>0</v>
      </c>
      <c r="S388" s="155">
        <f t="shared" ref="S388:S423" si="118">T388/N388</f>
        <v>0</v>
      </c>
      <c r="T388" s="172">
        <f t="shared" ref="T388:T423" si="119">P388+R388</f>
        <v>0</v>
      </c>
      <c r="U388" s="172">
        <f t="shared" ref="U388:U423" si="120">N388+T388</f>
        <v>7805</v>
      </c>
      <c r="V388" s="173">
        <f t="shared" si="114"/>
        <v>7805</v>
      </c>
      <c r="W388" s="174">
        <f t="shared" ref="W388:W423" si="121">V388-N388</f>
        <v>0</v>
      </c>
      <c r="X388" s="159">
        <f t="shared" si="115"/>
        <v>0</v>
      </c>
      <c r="Y388" s="160" t="str">
        <f t="shared" si="113"/>
        <v>0.00%-0.00%</v>
      </c>
      <c r="Z388" s="175"/>
      <c r="AA388" s="175"/>
      <c r="AB388" s="175"/>
      <c r="AC388" s="162"/>
      <c r="AD388" s="171">
        <f t="shared" ref="AD388:AD423" si="122">ROUND(N388*AC388,0)</f>
        <v>0</v>
      </c>
      <c r="AE388" s="176">
        <f t="shared" ref="AE388:AE423" si="123">V388+AD388</f>
        <v>7805</v>
      </c>
      <c r="AF388" s="164">
        <f t="shared" ref="AF388:AF423" si="124">AE388-N388</f>
        <v>0</v>
      </c>
      <c r="AG388" s="165">
        <f t="shared" ref="AG388:AG423" si="125">AE388/N388-1</f>
        <v>0</v>
      </c>
      <c r="AH388" s="166">
        <v>14</v>
      </c>
      <c r="AI388" s="166">
        <v>1150</v>
      </c>
      <c r="AJ388" s="166"/>
      <c r="AK388" s="166">
        <v>688</v>
      </c>
      <c r="AL388" s="166">
        <f t="shared" ref="AL388:AL423" si="126">AE388*AH388+AI388*12+AK388+IF(AB388="",AJ388,IF(AB388="D",5000,IF(AB388="C",1000,0)))*12</f>
        <v>123758</v>
      </c>
      <c r="AM388" s="153">
        <v>4</v>
      </c>
      <c r="AN388" s="166"/>
      <c r="AO388" s="167"/>
      <c r="AP388" s="167"/>
      <c r="AQ388" s="151" t="s">
        <v>1854</v>
      </c>
      <c r="AR388" s="151" t="s">
        <v>124</v>
      </c>
      <c r="AW388" s="144" t="str">
        <f t="shared" si="111"/>
        <v>OK</v>
      </c>
      <c r="AX388" s="21" t="s">
        <v>3133</v>
      </c>
      <c r="AY388" s="21" t="s">
        <v>3134</v>
      </c>
      <c r="AZ388" s="21"/>
      <c r="BA388" s="21"/>
    </row>
    <row r="389" spans="1:53" ht="20" customHeight="1">
      <c r="A389" s="86" t="s">
        <v>318</v>
      </c>
      <c r="B389" s="371" t="s">
        <v>2719</v>
      </c>
      <c r="C389" s="151" t="s">
        <v>51</v>
      </c>
      <c r="D389" s="151" t="s">
        <v>52</v>
      </c>
      <c r="E389" s="151" t="s">
        <v>1753</v>
      </c>
      <c r="F389" s="151" t="s">
        <v>1888</v>
      </c>
      <c r="G389" s="151" t="s">
        <v>1869</v>
      </c>
      <c r="H389" s="152">
        <v>42422</v>
      </c>
      <c r="I389" s="151" t="s">
        <v>71</v>
      </c>
      <c r="J389" s="151" t="s">
        <v>1895</v>
      </c>
      <c r="K389" s="151" t="s">
        <v>324</v>
      </c>
      <c r="L389" s="153">
        <v>2</v>
      </c>
      <c r="M389" s="153">
        <v>4</v>
      </c>
      <c r="N389" s="171">
        <v>15059</v>
      </c>
      <c r="O389" s="155">
        <v>0.03</v>
      </c>
      <c r="P389" s="172">
        <f t="shared" si="116"/>
        <v>452</v>
      </c>
      <c r="Q389" s="155">
        <v>0</v>
      </c>
      <c r="R389" s="172">
        <f t="shared" si="117"/>
        <v>0</v>
      </c>
      <c r="S389" s="155">
        <f t="shared" si="118"/>
        <v>3.0015273258516502E-2</v>
      </c>
      <c r="T389" s="172">
        <f t="shared" si="119"/>
        <v>452</v>
      </c>
      <c r="U389" s="172">
        <f t="shared" si="120"/>
        <v>15511</v>
      </c>
      <c r="V389" s="173">
        <f t="shared" si="114"/>
        <v>15511</v>
      </c>
      <c r="W389" s="174">
        <f t="shared" si="121"/>
        <v>452</v>
      </c>
      <c r="X389" s="159">
        <f t="shared" si="115"/>
        <v>0.03</v>
      </c>
      <c r="Y389" s="160" t="str">
        <f t="shared" si="113"/>
        <v>2.40%-3.60%</v>
      </c>
      <c r="Z389" s="175"/>
      <c r="AA389" s="175"/>
      <c r="AB389" s="175"/>
      <c r="AC389" s="162"/>
      <c r="AD389" s="171">
        <f t="shared" si="122"/>
        <v>0</v>
      </c>
      <c r="AE389" s="176">
        <f t="shared" si="123"/>
        <v>15511</v>
      </c>
      <c r="AF389" s="164">
        <f t="shared" si="124"/>
        <v>452</v>
      </c>
      <c r="AG389" s="165">
        <f t="shared" si="125"/>
        <v>3.0015273258516606E-2</v>
      </c>
      <c r="AH389" s="166">
        <v>14</v>
      </c>
      <c r="AI389" s="166">
        <v>450</v>
      </c>
      <c r="AJ389" s="166"/>
      <c r="AK389" s="166">
        <v>688</v>
      </c>
      <c r="AL389" s="166">
        <f t="shared" si="126"/>
        <v>223242</v>
      </c>
      <c r="AM389" s="153">
        <v>4</v>
      </c>
      <c r="AN389" s="166"/>
      <c r="AO389" s="167"/>
      <c r="AP389" s="167"/>
      <c r="AQ389" s="151" t="s">
        <v>1854</v>
      </c>
      <c r="AR389" s="151" t="s">
        <v>124</v>
      </c>
      <c r="AW389" s="144" t="str">
        <f t="shared" si="111"/>
        <v>OK</v>
      </c>
      <c r="AX389" s="21" t="s">
        <v>3133</v>
      </c>
      <c r="AY389" s="21" t="s">
        <v>3136</v>
      </c>
      <c r="AZ389" s="21"/>
      <c r="BA389" s="21"/>
    </row>
    <row r="390" spans="1:53" ht="20" customHeight="1">
      <c r="A390" s="86" t="s">
        <v>318</v>
      </c>
      <c r="B390" s="371" t="s">
        <v>2720</v>
      </c>
      <c r="C390" s="151" t="s">
        <v>51</v>
      </c>
      <c r="D390" s="151" t="s">
        <v>52</v>
      </c>
      <c r="E390" s="151" t="s">
        <v>1753</v>
      </c>
      <c r="F390" s="151" t="s">
        <v>1884</v>
      </c>
      <c r="G390" s="151" t="s">
        <v>1748</v>
      </c>
      <c r="H390" s="152">
        <v>42513</v>
      </c>
      <c r="I390" s="151" t="s">
        <v>85</v>
      </c>
      <c r="J390" s="151" t="s">
        <v>85</v>
      </c>
      <c r="K390" s="151" t="s">
        <v>76</v>
      </c>
      <c r="L390" s="153">
        <v>2</v>
      </c>
      <c r="M390" s="153">
        <v>4</v>
      </c>
      <c r="N390" s="171">
        <v>11437</v>
      </c>
      <c r="O390" s="155">
        <v>3.7500000000000006E-2</v>
      </c>
      <c r="P390" s="172">
        <f t="shared" si="116"/>
        <v>429</v>
      </c>
      <c r="Q390" s="155">
        <v>1.55E-2</v>
      </c>
      <c r="R390" s="172">
        <f t="shared" si="117"/>
        <v>177</v>
      </c>
      <c r="S390" s="155">
        <f t="shared" si="118"/>
        <v>5.298592288187462E-2</v>
      </c>
      <c r="T390" s="172">
        <f t="shared" si="119"/>
        <v>606</v>
      </c>
      <c r="U390" s="172">
        <f t="shared" si="120"/>
        <v>12043</v>
      </c>
      <c r="V390" s="173">
        <f t="shared" si="114"/>
        <v>12043</v>
      </c>
      <c r="W390" s="174">
        <f t="shared" si="121"/>
        <v>606</v>
      </c>
      <c r="X390" s="159">
        <f t="shared" si="115"/>
        <v>5.2999999999999999E-2</v>
      </c>
      <c r="Y390" s="160" t="str">
        <f t="shared" si="113"/>
        <v>4.24%-6.36%</v>
      </c>
      <c r="Z390" s="175"/>
      <c r="AA390" s="175"/>
      <c r="AB390" s="175"/>
      <c r="AC390" s="162"/>
      <c r="AD390" s="171">
        <f t="shared" si="122"/>
        <v>0</v>
      </c>
      <c r="AE390" s="176">
        <f t="shared" si="123"/>
        <v>12043</v>
      </c>
      <c r="AF390" s="164">
        <f t="shared" si="124"/>
        <v>606</v>
      </c>
      <c r="AG390" s="165">
        <f t="shared" si="125"/>
        <v>5.2985922881874536E-2</v>
      </c>
      <c r="AH390" s="166">
        <v>14</v>
      </c>
      <c r="AI390" s="166">
        <v>450</v>
      </c>
      <c r="AJ390" s="166"/>
      <c r="AK390" s="166">
        <v>688</v>
      </c>
      <c r="AL390" s="166">
        <f t="shared" si="126"/>
        <v>174690</v>
      </c>
      <c r="AM390" s="153">
        <v>3</v>
      </c>
      <c r="AN390" s="166"/>
      <c r="AO390" s="167"/>
      <c r="AP390" s="167"/>
      <c r="AQ390" s="151" t="s">
        <v>1854</v>
      </c>
      <c r="AR390" s="151" t="s">
        <v>124</v>
      </c>
      <c r="AW390" s="144" t="str">
        <f t="shared" si="111"/>
        <v>OK</v>
      </c>
      <c r="AX390" s="21" t="s">
        <v>3133</v>
      </c>
      <c r="AY390" s="21" t="s">
        <v>3130</v>
      </c>
      <c r="AZ390" s="21"/>
      <c r="BA390" s="21"/>
    </row>
    <row r="391" spans="1:53" ht="20" customHeight="1">
      <c r="A391" s="86" t="s">
        <v>318</v>
      </c>
      <c r="B391" s="371" t="s">
        <v>2721</v>
      </c>
      <c r="C391" s="151" t="s">
        <v>51</v>
      </c>
      <c r="D391" s="151" t="s">
        <v>52</v>
      </c>
      <c r="E391" s="151" t="s">
        <v>1753</v>
      </c>
      <c r="F391" s="151" t="s">
        <v>1868</v>
      </c>
      <c r="G391" s="151" t="s">
        <v>1869</v>
      </c>
      <c r="H391" s="152">
        <v>42562</v>
      </c>
      <c r="I391" s="151" t="s">
        <v>1865</v>
      </c>
      <c r="J391" s="151" t="s">
        <v>1865</v>
      </c>
      <c r="K391" s="151" t="s">
        <v>324</v>
      </c>
      <c r="L391" s="153">
        <v>2</v>
      </c>
      <c r="M391" s="153">
        <v>5</v>
      </c>
      <c r="N391" s="171">
        <v>9217</v>
      </c>
      <c r="O391" s="155">
        <v>1.9999999999999997E-2</v>
      </c>
      <c r="P391" s="172">
        <f t="shared" si="116"/>
        <v>184</v>
      </c>
      <c r="Q391" s="155">
        <v>0</v>
      </c>
      <c r="R391" s="172">
        <f t="shared" si="117"/>
        <v>0</v>
      </c>
      <c r="S391" s="155">
        <f t="shared" si="118"/>
        <v>1.9963111641531951E-2</v>
      </c>
      <c r="T391" s="172">
        <f t="shared" si="119"/>
        <v>184</v>
      </c>
      <c r="U391" s="172">
        <f t="shared" si="120"/>
        <v>9401</v>
      </c>
      <c r="V391" s="173">
        <f>N391</f>
        <v>9217</v>
      </c>
      <c r="W391" s="174">
        <f t="shared" si="121"/>
        <v>0</v>
      </c>
      <c r="X391" s="159">
        <f t="shared" si="115"/>
        <v>0</v>
      </c>
      <c r="Y391" s="160" t="str">
        <f t="shared" si="113"/>
        <v>1.60%-2.40%</v>
      </c>
      <c r="Z391" s="175" t="s">
        <v>87</v>
      </c>
      <c r="AA391" s="175" t="s">
        <v>85</v>
      </c>
      <c r="AB391" s="175" t="s">
        <v>139</v>
      </c>
      <c r="AC391" s="162">
        <v>0.1101</v>
      </c>
      <c r="AD391" s="171">
        <f t="shared" si="122"/>
        <v>1015</v>
      </c>
      <c r="AE391" s="176">
        <f t="shared" si="123"/>
        <v>10232</v>
      </c>
      <c r="AF391" s="164">
        <f t="shared" si="124"/>
        <v>1015</v>
      </c>
      <c r="AG391" s="165">
        <f t="shared" si="125"/>
        <v>0.11012259954432024</v>
      </c>
      <c r="AH391" s="166">
        <v>14</v>
      </c>
      <c r="AI391" s="166">
        <v>2150</v>
      </c>
      <c r="AJ391" s="166"/>
      <c r="AK391" s="166">
        <v>688</v>
      </c>
      <c r="AL391" s="166">
        <f t="shared" si="126"/>
        <v>169736</v>
      </c>
      <c r="AM391" s="153">
        <v>5</v>
      </c>
      <c r="AN391" s="166"/>
      <c r="AO391" s="167"/>
      <c r="AP391" s="167"/>
      <c r="AQ391" s="151" t="s">
        <v>1854</v>
      </c>
      <c r="AR391" s="151" t="s">
        <v>124</v>
      </c>
      <c r="AW391" s="144" t="str">
        <f t="shared" si="111"/>
        <v>0 increase</v>
      </c>
      <c r="AX391" s="21" t="s">
        <v>3133</v>
      </c>
      <c r="AY391" s="21" t="s">
        <v>3142</v>
      </c>
      <c r="AZ391" s="21"/>
      <c r="BA391" s="21"/>
    </row>
    <row r="392" spans="1:53" ht="20" customHeight="1">
      <c r="A392" s="86" t="s">
        <v>318</v>
      </c>
      <c r="B392" s="371" t="s">
        <v>2722</v>
      </c>
      <c r="C392" s="151" t="s">
        <v>51</v>
      </c>
      <c r="D392" s="151" t="s">
        <v>52</v>
      </c>
      <c r="E392" s="151" t="s">
        <v>1753</v>
      </c>
      <c r="F392" s="151" t="s">
        <v>1894</v>
      </c>
      <c r="G392" s="151" t="s">
        <v>1748</v>
      </c>
      <c r="H392" s="152">
        <v>41862</v>
      </c>
      <c r="I392" s="151" t="s">
        <v>226</v>
      </c>
      <c r="J392" s="151" t="s">
        <v>226</v>
      </c>
      <c r="K392" s="151" t="s">
        <v>84</v>
      </c>
      <c r="L392" s="153">
        <v>2</v>
      </c>
      <c r="M392" s="153">
        <v>3</v>
      </c>
      <c r="N392" s="171">
        <v>8758</v>
      </c>
      <c r="O392" s="155">
        <v>0</v>
      </c>
      <c r="P392" s="172">
        <f t="shared" si="116"/>
        <v>0</v>
      </c>
      <c r="Q392" s="155">
        <v>0</v>
      </c>
      <c r="R392" s="172">
        <f t="shared" si="117"/>
        <v>0</v>
      </c>
      <c r="S392" s="155">
        <f t="shared" si="118"/>
        <v>0</v>
      </c>
      <c r="T392" s="172">
        <f t="shared" si="119"/>
        <v>0</v>
      </c>
      <c r="U392" s="172">
        <f t="shared" si="120"/>
        <v>8758</v>
      </c>
      <c r="V392" s="173">
        <f t="shared" si="114"/>
        <v>8758</v>
      </c>
      <c r="W392" s="174">
        <f t="shared" si="121"/>
        <v>0</v>
      </c>
      <c r="X392" s="159">
        <f t="shared" si="115"/>
        <v>0</v>
      </c>
      <c r="Y392" s="160" t="str">
        <f t="shared" si="113"/>
        <v>0.00%-0.00%</v>
      </c>
      <c r="Z392" s="175"/>
      <c r="AA392" s="175"/>
      <c r="AB392" s="175"/>
      <c r="AC392" s="162"/>
      <c r="AD392" s="171">
        <f t="shared" si="122"/>
        <v>0</v>
      </c>
      <c r="AE392" s="176">
        <f t="shared" si="123"/>
        <v>8758</v>
      </c>
      <c r="AF392" s="164">
        <f t="shared" si="124"/>
        <v>0</v>
      </c>
      <c r="AG392" s="165">
        <f t="shared" si="125"/>
        <v>0</v>
      </c>
      <c r="AH392" s="166">
        <v>14</v>
      </c>
      <c r="AI392" s="166">
        <v>450</v>
      </c>
      <c r="AJ392" s="166"/>
      <c r="AK392" s="166">
        <v>688</v>
      </c>
      <c r="AL392" s="166">
        <f t="shared" si="126"/>
        <v>128700</v>
      </c>
      <c r="AM392" s="153">
        <v>3</v>
      </c>
      <c r="AN392" s="166"/>
      <c r="AO392" s="167"/>
      <c r="AP392" s="167"/>
      <c r="AQ392" s="151" t="s">
        <v>1854</v>
      </c>
      <c r="AR392" s="151" t="s">
        <v>124</v>
      </c>
      <c r="AW392" s="144" t="str">
        <f t="shared" si="111"/>
        <v>OK</v>
      </c>
      <c r="AX392" s="21" t="s">
        <v>3133</v>
      </c>
      <c r="AY392" s="21" t="s">
        <v>3134</v>
      </c>
      <c r="AZ392" s="21"/>
      <c r="BA392" s="21"/>
    </row>
    <row r="393" spans="1:53" ht="20" customHeight="1">
      <c r="A393" s="86" t="s">
        <v>318</v>
      </c>
      <c r="B393" s="371" t="s">
        <v>2723</v>
      </c>
      <c r="C393" s="151" t="s">
        <v>51</v>
      </c>
      <c r="D393" s="151" t="s">
        <v>52</v>
      </c>
      <c r="E393" s="151" t="s">
        <v>1753</v>
      </c>
      <c r="F393" s="151" t="s">
        <v>1872</v>
      </c>
      <c r="G393" s="151" t="s">
        <v>1873</v>
      </c>
      <c r="H393" s="152">
        <v>43017</v>
      </c>
      <c r="I393" s="151" t="s">
        <v>1871</v>
      </c>
      <c r="J393" s="151" t="s">
        <v>1871</v>
      </c>
      <c r="K393" s="151" t="s">
        <v>324</v>
      </c>
      <c r="L393" s="153">
        <v>2</v>
      </c>
      <c r="M393" s="153">
        <v>5</v>
      </c>
      <c r="N393" s="171">
        <v>9723</v>
      </c>
      <c r="O393" s="155">
        <v>0.04</v>
      </c>
      <c r="P393" s="172">
        <f t="shared" si="116"/>
        <v>389</v>
      </c>
      <c r="Q393" s="155">
        <v>0</v>
      </c>
      <c r="R393" s="172">
        <f t="shared" si="117"/>
        <v>0</v>
      </c>
      <c r="S393" s="155">
        <f t="shared" si="118"/>
        <v>4.0008227913195513E-2</v>
      </c>
      <c r="T393" s="172">
        <f t="shared" si="119"/>
        <v>389</v>
      </c>
      <c r="U393" s="172">
        <f t="shared" si="120"/>
        <v>10112</v>
      </c>
      <c r="V393" s="173">
        <f>U393-389</f>
        <v>9723</v>
      </c>
      <c r="W393" s="174">
        <f t="shared" si="121"/>
        <v>0</v>
      </c>
      <c r="X393" s="159">
        <f t="shared" si="115"/>
        <v>0</v>
      </c>
      <c r="Y393" s="160" t="str">
        <f t="shared" si="113"/>
        <v>3.20%-4.80%</v>
      </c>
      <c r="Z393" s="175" t="s">
        <v>87</v>
      </c>
      <c r="AA393" s="175" t="s">
        <v>85</v>
      </c>
      <c r="AB393" s="175" t="s">
        <v>139</v>
      </c>
      <c r="AC393" s="162">
        <v>0.1</v>
      </c>
      <c r="AD393" s="171">
        <f t="shared" si="122"/>
        <v>972</v>
      </c>
      <c r="AE393" s="176">
        <f t="shared" si="123"/>
        <v>10695</v>
      </c>
      <c r="AF393" s="164">
        <f t="shared" si="124"/>
        <v>972</v>
      </c>
      <c r="AG393" s="165">
        <f t="shared" si="125"/>
        <v>9.9969145325516706E-2</v>
      </c>
      <c r="AH393" s="166">
        <v>14</v>
      </c>
      <c r="AI393" s="166">
        <v>450</v>
      </c>
      <c r="AJ393" s="166"/>
      <c r="AK393" s="166">
        <v>688</v>
      </c>
      <c r="AL393" s="166">
        <f t="shared" si="126"/>
        <v>155818</v>
      </c>
      <c r="AM393" s="153">
        <v>3</v>
      </c>
      <c r="AN393" s="166"/>
      <c r="AO393" s="167"/>
      <c r="AP393" s="167"/>
      <c r="AQ393" s="151" t="s">
        <v>1854</v>
      </c>
      <c r="AR393" s="151" t="s">
        <v>124</v>
      </c>
      <c r="AW393" s="144" t="str">
        <f t="shared" si="111"/>
        <v>0 increase</v>
      </c>
      <c r="AX393" s="21" t="s">
        <v>3133</v>
      </c>
      <c r="AY393" s="21" t="s">
        <v>3136</v>
      </c>
      <c r="AZ393" s="21"/>
      <c r="BA393" s="21"/>
    </row>
    <row r="394" spans="1:53" ht="20" customHeight="1">
      <c r="A394" s="86" t="s">
        <v>318</v>
      </c>
      <c r="B394" s="371" t="s">
        <v>2724</v>
      </c>
      <c r="C394" s="151" t="s">
        <v>51</v>
      </c>
      <c r="D394" s="151" t="s">
        <v>52</v>
      </c>
      <c r="E394" s="151" t="s">
        <v>1753</v>
      </c>
      <c r="F394" s="151" t="s">
        <v>1891</v>
      </c>
      <c r="G394" s="151" t="s">
        <v>1873</v>
      </c>
      <c r="H394" s="152">
        <v>43181</v>
      </c>
      <c r="I394" s="151" t="s">
        <v>1862</v>
      </c>
      <c r="J394" s="151" t="s">
        <v>1862</v>
      </c>
      <c r="K394" s="151" t="s">
        <v>324</v>
      </c>
      <c r="L394" s="153">
        <v>2</v>
      </c>
      <c r="M394" s="153">
        <v>3</v>
      </c>
      <c r="N394" s="171">
        <v>8053</v>
      </c>
      <c r="O394" s="155">
        <v>2.5000000000000001E-2</v>
      </c>
      <c r="P394" s="172">
        <f t="shared" si="116"/>
        <v>201</v>
      </c>
      <c r="Q394" s="155">
        <v>0</v>
      </c>
      <c r="R394" s="172">
        <f t="shared" si="117"/>
        <v>0</v>
      </c>
      <c r="S394" s="155">
        <f t="shared" si="118"/>
        <v>2.4959642369303366E-2</v>
      </c>
      <c r="T394" s="172">
        <f t="shared" si="119"/>
        <v>201</v>
      </c>
      <c r="U394" s="172">
        <f t="shared" si="120"/>
        <v>8254</v>
      </c>
      <c r="V394" s="173">
        <f t="shared" si="114"/>
        <v>8254</v>
      </c>
      <c r="W394" s="174">
        <f t="shared" si="121"/>
        <v>201</v>
      </c>
      <c r="X394" s="159">
        <f t="shared" si="115"/>
        <v>2.5000000000000001E-2</v>
      </c>
      <c r="Y394" s="160" t="str">
        <f t="shared" si="113"/>
        <v>2.00%-3.00%</v>
      </c>
      <c r="Z394" s="175"/>
      <c r="AA394" s="175"/>
      <c r="AB394" s="175"/>
      <c r="AC394" s="162"/>
      <c r="AD394" s="171">
        <f t="shared" si="122"/>
        <v>0</v>
      </c>
      <c r="AE394" s="176">
        <f t="shared" si="123"/>
        <v>8254</v>
      </c>
      <c r="AF394" s="164">
        <f t="shared" si="124"/>
        <v>201</v>
      </c>
      <c r="AG394" s="165">
        <f t="shared" si="125"/>
        <v>2.4959642369303259E-2</v>
      </c>
      <c r="AH394" s="166">
        <v>14</v>
      </c>
      <c r="AI394" s="166">
        <v>450</v>
      </c>
      <c r="AJ394" s="166"/>
      <c r="AK394" s="166">
        <v>688</v>
      </c>
      <c r="AL394" s="166">
        <f t="shared" si="126"/>
        <v>121644</v>
      </c>
      <c r="AM394" s="153">
        <v>3</v>
      </c>
      <c r="AN394" s="166"/>
      <c r="AO394" s="167"/>
      <c r="AP394" s="167"/>
      <c r="AQ394" s="151" t="s">
        <v>1854</v>
      </c>
      <c r="AR394" s="151" t="s">
        <v>124</v>
      </c>
      <c r="AW394" s="144" t="str">
        <f t="shared" ref="AW394:AW464" si="127">_xlfn.LET(_xlpm.actual,X394,_xlpm.low,VALUE(_xlfn.TEXTBEFORE(Y394,"-")),_xlpm.high,VALUE(_xlfn.TEXTAFTER(Y394,"-")),IF(AND(_xlpm.actual=0,OR(_xlpm.low&lt;&gt;0,_xlpm.high&lt;&gt;0)),"0 increase",IF(_xlpm.actual&gt;_xlpm.high*1.2,"&gt;20",IF(_xlpm.actual&lt;_xlpm.low*0.8,"&lt;20","OK"))))</f>
        <v>OK</v>
      </c>
      <c r="AX394" s="21" t="s">
        <v>3133</v>
      </c>
      <c r="AY394" s="21" t="s">
        <v>3130</v>
      </c>
      <c r="AZ394" s="21"/>
      <c r="BA394" s="21"/>
    </row>
    <row r="395" spans="1:53" ht="20" customHeight="1">
      <c r="A395" s="86" t="s">
        <v>318</v>
      </c>
      <c r="B395" s="371" t="s">
        <v>2725</v>
      </c>
      <c r="C395" s="151" t="s">
        <v>51</v>
      </c>
      <c r="D395" s="151" t="s">
        <v>52</v>
      </c>
      <c r="E395" s="151" t="s">
        <v>1753</v>
      </c>
      <c r="F395" s="151" t="s">
        <v>1867</v>
      </c>
      <c r="G395" s="151" t="s">
        <v>1748</v>
      </c>
      <c r="H395" s="152">
        <v>43234</v>
      </c>
      <c r="I395" s="151" t="s">
        <v>111</v>
      </c>
      <c r="J395" s="151" t="s">
        <v>1896</v>
      </c>
      <c r="K395" s="151" t="s">
        <v>56</v>
      </c>
      <c r="L395" s="153">
        <v>2</v>
      </c>
      <c r="M395" s="153">
        <v>3</v>
      </c>
      <c r="N395" s="171">
        <v>21293</v>
      </c>
      <c r="O395" s="155">
        <v>2.5000000000000001E-2</v>
      </c>
      <c r="P395" s="172">
        <f t="shared" si="116"/>
        <v>532</v>
      </c>
      <c r="Q395" s="155">
        <v>0</v>
      </c>
      <c r="R395" s="172">
        <f t="shared" si="117"/>
        <v>0</v>
      </c>
      <c r="S395" s="155">
        <f t="shared" si="118"/>
        <v>2.4984736767951907E-2</v>
      </c>
      <c r="T395" s="172">
        <f t="shared" si="119"/>
        <v>532</v>
      </c>
      <c r="U395" s="172">
        <f t="shared" si="120"/>
        <v>21825</v>
      </c>
      <c r="V395" s="173">
        <f t="shared" si="114"/>
        <v>21825</v>
      </c>
      <c r="W395" s="174">
        <f t="shared" si="121"/>
        <v>532</v>
      </c>
      <c r="X395" s="159">
        <f t="shared" si="115"/>
        <v>2.5000000000000001E-2</v>
      </c>
      <c r="Y395" s="160" t="str">
        <f t="shared" si="113"/>
        <v>2.00%-3.00%</v>
      </c>
      <c r="Z395" s="175"/>
      <c r="AA395" s="175"/>
      <c r="AB395" s="175"/>
      <c r="AC395" s="162"/>
      <c r="AD395" s="171">
        <f t="shared" si="122"/>
        <v>0</v>
      </c>
      <c r="AE395" s="176">
        <f t="shared" si="123"/>
        <v>21825</v>
      </c>
      <c r="AF395" s="164">
        <f t="shared" si="124"/>
        <v>532</v>
      </c>
      <c r="AG395" s="165">
        <f t="shared" si="125"/>
        <v>2.4984736767951876E-2</v>
      </c>
      <c r="AH395" s="166">
        <v>14</v>
      </c>
      <c r="AI395" s="166">
        <v>450</v>
      </c>
      <c r="AJ395" s="166"/>
      <c r="AK395" s="166">
        <v>688</v>
      </c>
      <c r="AL395" s="166">
        <f t="shared" si="126"/>
        <v>311638</v>
      </c>
      <c r="AM395" s="153">
        <v>4</v>
      </c>
      <c r="AN395" s="166"/>
      <c r="AO395" s="167"/>
      <c r="AP395" s="167"/>
      <c r="AQ395" s="151" t="s">
        <v>1854</v>
      </c>
      <c r="AR395" s="151" t="s">
        <v>124</v>
      </c>
      <c r="AW395" s="144" t="str">
        <f t="shared" si="127"/>
        <v>OK</v>
      </c>
      <c r="AX395" s="21" t="s">
        <v>3133</v>
      </c>
      <c r="AY395" s="21" t="s">
        <v>3130</v>
      </c>
      <c r="AZ395" s="21"/>
      <c r="BA395" s="21"/>
    </row>
    <row r="396" spans="1:53" ht="20" customHeight="1">
      <c r="A396" s="86" t="s">
        <v>318</v>
      </c>
      <c r="B396" s="371" t="s">
        <v>2726</v>
      </c>
      <c r="C396" s="151" t="s">
        <v>51</v>
      </c>
      <c r="D396" s="151" t="s">
        <v>52</v>
      </c>
      <c r="E396" s="151" t="s">
        <v>1753</v>
      </c>
      <c r="F396" s="151" t="s">
        <v>1882</v>
      </c>
      <c r="G396" s="151" t="s">
        <v>1883</v>
      </c>
      <c r="H396" s="152">
        <v>43368</v>
      </c>
      <c r="I396" s="151" t="s">
        <v>1866</v>
      </c>
      <c r="J396" s="151" t="s">
        <v>1866</v>
      </c>
      <c r="K396" s="151" t="s">
        <v>324</v>
      </c>
      <c r="L396" s="153">
        <v>2</v>
      </c>
      <c r="M396" s="153">
        <v>3</v>
      </c>
      <c r="N396" s="171">
        <v>7610</v>
      </c>
      <c r="O396" s="155">
        <v>0</v>
      </c>
      <c r="P396" s="172">
        <f t="shared" si="116"/>
        <v>0</v>
      </c>
      <c r="Q396" s="155">
        <v>0</v>
      </c>
      <c r="R396" s="172">
        <f t="shared" si="117"/>
        <v>0</v>
      </c>
      <c r="S396" s="155">
        <f t="shared" si="118"/>
        <v>0</v>
      </c>
      <c r="T396" s="172">
        <f t="shared" si="119"/>
        <v>0</v>
      </c>
      <c r="U396" s="172">
        <f t="shared" si="120"/>
        <v>7610</v>
      </c>
      <c r="V396" s="173">
        <f t="shared" si="114"/>
        <v>7610</v>
      </c>
      <c r="W396" s="174">
        <f t="shared" si="121"/>
        <v>0</v>
      </c>
      <c r="X396" s="159">
        <f t="shared" si="115"/>
        <v>0</v>
      </c>
      <c r="Y396" s="160" t="str">
        <f t="shared" si="113"/>
        <v>0.00%-0.00%</v>
      </c>
      <c r="Z396" s="175"/>
      <c r="AA396" s="175"/>
      <c r="AB396" s="175"/>
      <c r="AC396" s="162"/>
      <c r="AD396" s="171">
        <f t="shared" si="122"/>
        <v>0</v>
      </c>
      <c r="AE396" s="176">
        <f t="shared" si="123"/>
        <v>7610</v>
      </c>
      <c r="AF396" s="164">
        <f t="shared" si="124"/>
        <v>0</v>
      </c>
      <c r="AG396" s="165">
        <f t="shared" si="125"/>
        <v>0</v>
      </c>
      <c r="AH396" s="166">
        <v>14</v>
      </c>
      <c r="AI396" s="166">
        <v>1750</v>
      </c>
      <c r="AJ396" s="166"/>
      <c r="AK396" s="166">
        <v>688</v>
      </c>
      <c r="AL396" s="166">
        <f t="shared" si="126"/>
        <v>128228</v>
      </c>
      <c r="AM396" s="153">
        <v>3</v>
      </c>
      <c r="AN396" s="166"/>
      <c r="AO396" s="167"/>
      <c r="AP396" s="167"/>
      <c r="AQ396" s="151" t="s">
        <v>1854</v>
      </c>
      <c r="AR396" s="151" t="s">
        <v>124</v>
      </c>
      <c r="AW396" s="144" t="str">
        <f t="shared" si="127"/>
        <v>OK</v>
      </c>
      <c r="AX396" s="21" t="s">
        <v>3133</v>
      </c>
      <c r="AY396" s="21" t="s">
        <v>3134</v>
      </c>
      <c r="AZ396" s="21"/>
      <c r="BA396" s="21"/>
    </row>
    <row r="397" spans="1:53" ht="20" customHeight="1">
      <c r="A397" s="86" t="s">
        <v>318</v>
      </c>
      <c r="B397" s="371" t="s">
        <v>2727</v>
      </c>
      <c r="C397" s="151" t="s">
        <v>51</v>
      </c>
      <c r="D397" s="151" t="s">
        <v>52</v>
      </c>
      <c r="E397" s="151" t="s">
        <v>1753</v>
      </c>
      <c r="F397" s="151" t="s">
        <v>1879</v>
      </c>
      <c r="G397" s="151" t="s">
        <v>1880</v>
      </c>
      <c r="H397" s="152">
        <v>43836</v>
      </c>
      <c r="I397" s="151" t="s">
        <v>1865</v>
      </c>
      <c r="J397" s="151" t="s">
        <v>1865</v>
      </c>
      <c r="K397" s="151" t="s">
        <v>324</v>
      </c>
      <c r="L397" s="153">
        <v>2</v>
      </c>
      <c r="M397" s="153">
        <v>3</v>
      </c>
      <c r="N397" s="171">
        <v>7805</v>
      </c>
      <c r="O397" s="155">
        <v>0</v>
      </c>
      <c r="P397" s="172">
        <f t="shared" si="116"/>
        <v>0</v>
      </c>
      <c r="Q397" s="155">
        <v>0</v>
      </c>
      <c r="R397" s="172">
        <f t="shared" si="117"/>
        <v>0</v>
      </c>
      <c r="S397" s="155">
        <f t="shared" si="118"/>
        <v>0</v>
      </c>
      <c r="T397" s="172">
        <f t="shared" si="119"/>
        <v>0</v>
      </c>
      <c r="U397" s="172">
        <f t="shared" si="120"/>
        <v>7805</v>
      </c>
      <c r="V397" s="173">
        <f t="shared" si="114"/>
        <v>7805</v>
      </c>
      <c r="W397" s="174">
        <f t="shared" si="121"/>
        <v>0</v>
      </c>
      <c r="X397" s="159">
        <f t="shared" si="115"/>
        <v>0</v>
      </c>
      <c r="Y397" s="160" t="str">
        <f t="shared" si="113"/>
        <v>0.00%-0.00%</v>
      </c>
      <c r="Z397" s="175"/>
      <c r="AA397" s="175"/>
      <c r="AB397" s="175"/>
      <c r="AC397" s="162"/>
      <c r="AD397" s="171">
        <f t="shared" si="122"/>
        <v>0</v>
      </c>
      <c r="AE397" s="176">
        <f t="shared" si="123"/>
        <v>7805</v>
      </c>
      <c r="AF397" s="164">
        <f t="shared" si="124"/>
        <v>0</v>
      </c>
      <c r="AG397" s="165">
        <f t="shared" si="125"/>
        <v>0</v>
      </c>
      <c r="AH397" s="166">
        <v>14</v>
      </c>
      <c r="AI397" s="166">
        <v>1150</v>
      </c>
      <c r="AJ397" s="166"/>
      <c r="AK397" s="166">
        <v>688</v>
      </c>
      <c r="AL397" s="166">
        <f t="shared" si="126"/>
        <v>123758</v>
      </c>
      <c r="AM397" s="153">
        <v>2</v>
      </c>
      <c r="AN397" s="166"/>
      <c r="AO397" s="167"/>
      <c r="AP397" s="167"/>
      <c r="AQ397" s="151" t="s">
        <v>1854</v>
      </c>
      <c r="AR397" s="151" t="s">
        <v>124</v>
      </c>
      <c r="AW397" s="144" t="str">
        <f t="shared" si="127"/>
        <v>OK</v>
      </c>
      <c r="AX397" s="21" t="s">
        <v>3133</v>
      </c>
      <c r="AY397" s="21" t="s">
        <v>3134</v>
      </c>
      <c r="AZ397" s="21"/>
      <c r="BA397" s="21"/>
    </row>
    <row r="398" spans="1:53" ht="20" customHeight="1">
      <c r="A398" s="86" t="s">
        <v>318</v>
      </c>
      <c r="B398" s="371" t="s">
        <v>2728</v>
      </c>
      <c r="C398" s="151" t="s">
        <v>51</v>
      </c>
      <c r="D398" s="151" t="s">
        <v>52</v>
      </c>
      <c r="E398" s="151" t="s">
        <v>1753</v>
      </c>
      <c r="F398" s="151" t="s">
        <v>1882</v>
      </c>
      <c r="G398" s="151" t="s">
        <v>1883</v>
      </c>
      <c r="H398" s="152">
        <v>43843</v>
      </c>
      <c r="I398" s="151" t="s">
        <v>85</v>
      </c>
      <c r="J398" s="151" t="s">
        <v>1897</v>
      </c>
      <c r="K398" s="151" t="s">
        <v>76</v>
      </c>
      <c r="L398" s="153">
        <v>2</v>
      </c>
      <c r="M398" s="153">
        <v>3</v>
      </c>
      <c r="N398" s="171">
        <v>10544</v>
      </c>
      <c r="O398" s="155">
        <v>2.5000000000000001E-2</v>
      </c>
      <c r="P398" s="172">
        <f t="shared" si="116"/>
        <v>264</v>
      </c>
      <c r="Q398" s="155">
        <v>0</v>
      </c>
      <c r="R398" s="172">
        <f t="shared" si="117"/>
        <v>0</v>
      </c>
      <c r="S398" s="155">
        <f t="shared" si="118"/>
        <v>2.503793626707132E-2</v>
      </c>
      <c r="T398" s="172">
        <f t="shared" si="119"/>
        <v>264</v>
      </c>
      <c r="U398" s="172">
        <f t="shared" si="120"/>
        <v>10808</v>
      </c>
      <c r="V398" s="173">
        <f t="shared" si="114"/>
        <v>10808</v>
      </c>
      <c r="W398" s="174">
        <f t="shared" si="121"/>
        <v>264</v>
      </c>
      <c r="X398" s="159">
        <f t="shared" si="115"/>
        <v>2.5000000000000001E-2</v>
      </c>
      <c r="Y398" s="160" t="str">
        <f t="shared" si="113"/>
        <v>2.00%-3.00%</v>
      </c>
      <c r="Z398" s="175"/>
      <c r="AA398" s="175"/>
      <c r="AB398" s="175"/>
      <c r="AC398" s="162"/>
      <c r="AD398" s="171">
        <f t="shared" si="122"/>
        <v>0</v>
      </c>
      <c r="AE398" s="176">
        <f t="shared" si="123"/>
        <v>10808</v>
      </c>
      <c r="AF398" s="164">
        <f t="shared" si="124"/>
        <v>264</v>
      </c>
      <c r="AG398" s="165">
        <f t="shared" si="125"/>
        <v>2.5037936267071403E-2</v>
      </c>
      <c r="AH398" s="166">
        <v>14</v>
      </c>
      <c r="AI398" s="166">
        <v>450</v>
      </c>
      <c r="AJ398" s="166"/>
      <c r="AK398" s="166">
        <v>688</v>
      </c>
      <c r="AL398" s="166">
        <f t="shared" si="126"/>
        <v>157400</v>
      </c>
      <c r="AM398" s="153">
        <v>3</v>
      </c>
      <c r="AN398" s="166"/>
      <c r="AO398" s="167"/>
      <c r="AP398" s="167"/>
      <c r="AQ398" s="151" t="s">
        <v>1854</v>
      </c>
      <c r="AR398" s="151" t="s">
        <v>124</v>
      </c>
      <c r="AW398" s="144" t="str">
        <f t="shared" si="127"/>
        <v>OK</v>
      </c>
      <c r="AX398" s="21" t="s">
        <v>3133</v>
      </c>
      <c r="AY398" s="21" t="s">
        <v>3130</v>
      </c>
      <c r="AZ398" s="21"/>
      <c r="BA398" s="21"/>
    </row>
    <row r="399" spans="1:53" ht="20" customHeight="1">
      <c r="A399" s="86" t="s">
        <v>318</v>
      </c>
      <c r="B399" s="371" t="s">
        <v>2729</v>
      </c>
      <c r="C399" s="151" t="s">
        <v>51</v>
      </c>
      <c r="D399" s="151" t="s">
        <v>52</v>
      </c>
      <c r="E399" s="151" t="s">
        <v>1753</v>
      </c>
      <c r="F399" s="151" t="s">
        <v>1885</v>
      </c>
      <c r="G399" s="151" t="s">
        <v>1886</v>
      </c>
      <c r="H399" s="152">
        <v>43864</v>
      </c>
      <c r="I399" s="151" t="s">
        <v>1862</v>
      </c>
      <c r="J399" s="151" t="s">
        <v>1862</v>
      </c>
      <c r="K399" s="151" t="s">
        <v>324</v>
      </c>
      <c r="L399" s="153">
        <v>2</v>
      </c>
      <c r="M399" s="153">
        <v>3</v>
      </c>
      <c r="N399" s="171">
        <v>8908</v>
      </c>
      <c r="O399" s="155">
        <v>2.5000000000000001E-2</v>
      </c>
      <c r="P399" s="172">
        <f t="shared" si="116"/>
        <v>223</v>
      </c>
      <c r="Q399" s="155">
        <v>0</v>
      </c>
      <c r="R399" s="172">
        <f t="shared" si="117"/>
        <v>0</v>
      </c>
      <c r="S399" s="155">
        <f t="shared" si="118"/>
        <v>2.5033677593174673E-2</v>
      </c>
      <c r="T399" s="172">
        <f t="shared" si="119"/>
        <v>223</v>
      </c>
      <c r="U399" s="172">
        <f t="shared" si="120"/>
        <v>9131</v>
      </c>
      <c r="V399" s="173">
        <f t="shared" si="114"/>
        <v>9131</v>
      </c>
      <c r="W399" s="174">
        <f t="shared" si="121"/>
        <v>223</v>
      </c>
      <c r="X399" s="159">
        <f t="shared" si="115"/>
        <v>2.5000000000000001E-2</v>
      </c>
      <c r="Y399" s="160" t="str">
        <f t="shared" si="113"/>
        <v>2.00%-3.00%</v>
      </c>
      <c r="Z399" s="175"/>
      <c r="AA399" s="175"/>
      <c r="AB399" s="175"/>
      <c r="AC399" s="162"/>
      <c r="AD399" s="171">
        <f t="shared" si="122"/>
        <v>0</v>
      </c>
      <c r="AE399" s="176">
        <f t="shared" si="123"/>
        <v>9131</v>
      </c>
      <c r="AF399" s="164">
        <f t="shared" si="124"/>
        <v>223</v>
      </c>
      <c r="AG399" s="165">
        <f t="shared" si="125"/>
        <v>2.5033677593174763E-2</v>
      </c>
      <c r="AH399" s="166">
        <v>14</v>
      </c>
      <c r="AI399" s="166">
        <v>450</v>
      </c>
      <c r="AJ399" s="166"/>
      <c r="AK399" s="166">
        <v>688</v>
      </c>
      <c r="AL399" s="166">
        <f t="shared" si="126"/>
        <v>133922</v>
      </c>
      <c r="AM399" s="153">
        <v>1</v>
      </c>
      <c r="AN399" s="166"/>
      <c r="AO399" s="167"/>
      <c r="AP399" s="167"/>
      <c r="AQ399" s="151" t="s">
        <v>1854</v>
      </c>
      <c r="AR399" s="151" t="s">
        <v>124</v>
      </c>
      <c r="AW399" s="144" t="str">
        <f t="shared" si="127"/>
        <v>OK</v>
      </c>
      <c r="AX399" s="21" t="s">
        <v>3133</v>
      </c>
      <c r="AY399" s="21" t="s">
        <v>3130</v>
      </c>
      <c r="AZ399" s="21"/>
      <c r="BA399" s="21"/>
    </row>
    <row r="400" spans="1:53" ht="20" customHeight="1">
      <c r="A400" s="86" t="s">
        <v>318</v>
      </c>
      <c r="B400" s="371" t="s">
        <v>2730</v>
      </c>
      <c r="C400" s="151" t="s">
        <v>51</v>
      </c>
      <c r="D400" s="151" t="s">
        <v>52</v>
      </c>
      <c r="E400" s="151" t="s">
        <v>1753</v>
      </c>
      <c r="F400" s="151" t="s">
        <v>1885</v>
      </c>
      <c r="G400" s="151" t="s">
        <v>1886</v>
      </c>
      <c r="H400" s="152">
        <v>43928</v>
      </c>
      <c r="I400" s="151" t="s">
        <v>1898</v>
      </c>
      <c r="J400" s="151" t="s">
        <v>1898</v>
      </c>
      <c r="K400" s="151" t="s">
        <v>324</v>
      </c>
      <c r="L400" s="153">
        <v>2</v>
      </c>
      <c r="M400" s="153">
        <v>4</v>
      </c>
      <c r="N400" s="171">
        <v>10434</v>
      </c>
      <c r="O400" s="155">
        <v>0.03</v>
      </c>
      <c r="P400" s="172">
        <f t="shared" si="116"/>
        <v>313</v>
      </c>
      <c r="Q400" s="155">
        <v>0</v>
      </c>
      <c r="R400" s="172">
        <f t="shared" si="117"/>
        <v>0</v>
      </c>
      <c r="S400" s="155">
        <f t="shared" si="118"/>
        <v>2.999808318957255E-2</v>
      </c>
      <c r="T400" s="172">
        <f t="shared" si="119"/>
        <v>313</v>
      </c>
      <c r="U400" s="172">
        <f t="shared" si="120"/>
        <v>10747</v>
      </c>
      <c r="V400" s="173">
        <f t="shared" si="114"/>
        <v>10747</v>
      </c>
      <c r="W400" s="174">
        <f t="shared" si="121"/>
        <v>313</v>
      </c>
      <c r="X400" s="159">
        <f t="shared" si="115"/>
        <v>0.03</v>
      </c>
      <c r="Y400" s="160" t="str">
        <f t="shared" si="113"/>
        <v>2.40%-3.60%</v>
      </c>
      <c r="Z400" s="175"/>
      <c r="AA400" s="175"/>
      <c r="AB400" s="175"/>
      <c r="AC400" s="162"/>
      <c r="AD400" s="171">
        <f t="shared" si="122"/>
        <v>0</v>
      </c>
      <c r="AE400" s="176">
        <f t="shared" si="123"/>
        <v>10747</v>
      </c>
      <c r="AF400" s="164">
        <f t="shared" si="124"/>
        <v>313</v>
      </c>
      <c r="AG400" s="165">
        <f t="shared" si="125"/>
        <v>2.9998083189572533E-2</v>
      </c>
      <c r="AH400" s="166">
        <v>14</v>
      </c>
      <c r="AI400" s="166">
        <v>450</v>
      </c>
      <c r="AJ400" s="166"/>
      <c r="AK400" s="166">
        <v>688</v>
      </c>
      <c r="AL400" s="166">
        <f t="shared" si="126"/>
        <v>156546</v>
      </c>
      <c r="AM400" s="153">
        <v>4</v>
      </c>
      <c r="AN400" s="166"/>
      <c r="AO400" s="167"/>
      <c r="AP400" s="167"/>
      <c r="AQ400" s="151" t="s">
        <v>1854</v>
      </c>
      <c r="AR400" s="151" t="s">
        <v>124</v>
      </c>
      <c r="AW400" s="144" t="str">
        <f t="shared" si="127"/>
        <v>OK</v>
      </c>
      <c r="AX400" s="21" t="s">
        <v>3133</v>
      </c>
      <c r="AY400" s="21" t="s">
        <v>3136</v>
      </c>
      <c r="AZ400" s="21"/>
      <c r="BA400" s="21"/>
    </row>
    <row r="401" spans="1:53" ht="20" customHeight="1">
      <c r="A401" s="86" t="s">
        <v>318</v>
      </c>
      <c r="B401" s="371" t="s">
        <v>2731</v>
      </c>
      <c r="C401" s="151" t="s">
        <v>51</v>
      </c>
      <c r="D401" s="151" t="s">
        <v>52</v>
      </c>
      <c r="E401" s="151" t="s">
        <v>1753</v>
      </c>
      <c r="F401" s="151" t="s">
        <v>1888</v>
      </c>
      <c r="G401" s="151" t="s">
        <v>1869</v>
      </c>
      <c r="H401" s="152">
        <v>44028</v>
      </c>
      <c r="I401" s="151" t="s">
        <v>1871</v>
      </c>
      <c r="J401" s="151" t="s">
        <v>1871</v>
      </c>
      <c r="K401" s="151" t="s">
        <v>324</v>
      </c>
      <c r="L401" s="153">
        <v>2</v>
      </c>
      <c r="M401" s="153">
        <v>3</v>
      </c>
      <c r="N401" s="171">
        <v>8288</v>
      </c>
      <c r="O401" s="155">
        <v>2.5000000000000001E-2</v>
      </c>
      <c r="P401" s="172">
        <f t="shared" si="116"/>
        <v>207</v>
      </c>
      <c r="Q401" s="155">
        <v>0</v>
      </c>
      <c r="R401" s="172">
        <f t="shared" si="117"/>
        <v>0</v>
      </c>
      <c r="S401" s="155">
        <f t="shared" si="118"/>
        <v>2.4975868725868725E-2</v>
      </c>
      <c r="T401" s="172">
        <f t="shared" si="119"/>
        <v>207</v>
      </c>
      <c r="U401" s="172">
        <f t="shared" si="120"/>
        <v>8495</v>
      </c>
      <c r="V401" s="173">
        <f t="shared" si="114"/>
        <v>8495</v>
      </c>
      <c r="W401" s="174">
        <f t="shared" si="121"/>
        <v>207</v>
      </c>
      <c r="X401" s="159">
        <f t="shared" si="115"/>
        <v>2.5000000000000001E-2</v>
      </c>
      <c r="Y401" s="160" t="str">
        <f t="shared" si="113"/>
        <v>2.00%-3.00%</v>
      </c>
      <c r="Z401" s="175"/>
      <c r="AA401" s="175"/>
      <c r="AB401" s="175"/>
      <c r="AC401" s="162"/>
      <c r="AD401" s="171">
        <f t="shared" si="122"/>
        <v>0</v>
      </c>
      <c r="AE401" s="176">
        <f t="shared" si="123"/>
        <v>8495</v>
      </c>
      <c r="AF401" s="164">
        <f t="shared" si="124"/>
        <v>207</v>
      </c>
      <c r="AG401" s="165">
        <f t="shared" si="125"/>
        <v>2.4975868725868766E-2</v>
      </c>
      <c r="AH401" s="166">
        <v>14</v>
      </c>
      <c r="AI401" s="166">
        <v>450</v>
      </c>
      <c r="AJ401" s="166"/>
      <c r="AK401" s="166">
        <v>688</v>
      </c>
      <c r="AL401" s="166">
        <f t="shared" si="126"/>
        <v>125018</v>
      </c>
      <c r="AM401" s="153">
        <v>3</v>
      </c>
      <c r="AN401" s="166"/>
      <c r="AO401" s="167"/>
      <c r="AP401" s="167"/>
      <c r="AQ401" s="151" t="s">
        <v>1854</v>
      </c>
      <c r="AR401" s="151" t="s">
        <v>124</v>
      </c>
      <c r="AW401" s="144" t="str">
        <f t="shared" si="127"/>
        <v>OK</v>
      </c>
      <c r="AX401" s="21" t="s">
        <v>3131</v>
      </c>
      <c r="AY401" s="21" t="s">
        <v>3130</v>
      </c>
      <c r="AZ401" s="21"/>
      <c r="BA401" s="21"/>
    </row>
    <row r="402" spans="1:53" ht="20" customHeight="1">
      <c r="A402" s="86" t="s">
        <v>318</v>
      </c>
      <c r="B402" s="371" t="s">
        <v>2732</v>
      </c>
      <c r="C402" s="151" t="s">
        <v>51</v>
      </c>
      <c r="D402" s="151" t="s">
        <v>52</v>
      </c>
      <c r="E402" s="151" t="s">
        <v>1753</v>
      </c>
      <c r="F402" s="151" t="s">
        <v>1868</v>
      </c>
      <c r="G402" s="151" t="s">
        <v>1869</v>
      </c>
      <c r="H402" s="152">
        <v>44039</v>
      </c>
      <c r="I402" s="151" t="s">
        <v>85</v>
      </c>
      <c r="J402" s="151" t="s">
        <v>1897</v>
      </c>
      <c r="K402" s="151" t="s">
        <v>76</v>
      </c>
      <c r="L402" s="153">
        <v>2</v>
      </c>
      <c r="M402" s="153">
        <v>4</v>
      </c>
      <c r="N402" s="171">
        <v>11010</v>
      </c>
      <c r="O402" s="155">
        <v>3.7500000000000006E-2</v>
      </c>
      <c r="P402" s="172">
        <f t="shared" si="116"/>
        <v>413</v>
      </c>
      <c r="Q402" s="155">
        <v>1.55E-2</v>
      </c>
      <c r="R402" s="172">
        <f t="shared" si="117"/>
        <v>171</v>
      </c>
      <c r="S402" s="155">
        <f t="shared" si="118"/>
        <v>5.3042688465031788E-2</v>
      </c>
      <c r="T402" s="172">
        <f t="shared" si="119"/>
        <v>584</v>
      </c>
      <c r="U402" s="172">
        <f t="shared" si="120"/>
        <v>11594</v>
      </c>
      <c r="V402" s="173">
        <f t="shared" si="114"/>
        <v>11594</v>
      </c>
      <c r="W402" s="174">
        <f t="shared" si="121"/>
        <v>584</v>
      </c>
      <c r="X402" s="159">
        <f t="shared" si="115"/>
        <v>5.2999999999999999E-2</v>
      </c>
      <c r="Y402" s="160" t="str">
        <f t="shared" si="113"/>
        <v>4.24%-6.37%</v>
      </c>
      <c r="Z402" s="175"/>
      <c r="AA402" s="175"/>
      <c r="AB402" s="175"/>
      <c r="AC402" s="162"/>
      <c r="AD402" s="171">
        <f t="shared" si="122"/>
        <v>0</v>
      </c>
      <c r="AE402" s="176">
        <f t="shared" si="123"/>
        <v>11594</v>
      </c>
      <c r="AF402" s="164">
        <f t="shared" si="124"/>
        <v>584</v>
      </c>
      <c r="AG402" s="165">
        <f t="shared" si="125"/>
        <v>5.3042688465031684E-2</v>
      </c>
      <c r="AH402" s="166">
        <v>14</v>
      </c>
      <c r="AI402" s="166">
        <v>450</v>
      </c>
      <c r="AJ402" s="166"/>
      <c r="AK402" s="166">
        <v>688</v>
      </c>
      <c r="AL402" s="166">
        <f t="shared" si="126"/>
        <v>168404</v>
      </c>
      <c r="AM402" s="153">
        <v>3</v>
      </c>
      <c r="AN402" s="166"/>
      <c r="AO402" s="167"/>
      <c r="AP402" s="167"/>
      <c r="AQ402" s="151" t="s">
        <v>1854</v>
      </c>
      <c r="AR402" s="151" t="s">
        <v>124</v>
      </c>
      <c r="AW402" s="144" t="str">
        <f t="shared" si="127"/>
        <v>OK</v>
      </c>
      <c r="AX402" s="21" t="s">
        <v>3131</v>
      </c>
      <c r="AY402" s="21" t="s">
        <v>3130</v>
      </c>
      <c r="AZ402" s="21"/>
      <c r="BA402" s="21"/>
    </row>
    <row r="403" spans="1:53" ht="20" customHeight="1">
      <c r="A403" s="86" t="s">
        <v>318</v>
      </c>
      <c r="B403" s="371" t="s">
        <v>2733</v>
      </c>
      <c r="C403" s="151" t="s">
        <v>51</v>
      </c>
      <c r="D403" s="151" t="s">
        <v>52</v>
      </c>
      <c r="E403" s="151" t="s">
        <v>1753</v>
      </c>
      <c r="F403" s="151" t="s">
        <v>1860</v>
      </c>
      <c r="G403" s="151" t="s">
        <v>1861</v>
      </c>
      <c r="H403" s="152">
        <v>44046</v>
      </c>
      <c r="I403" s="151" t="s">
        <v>1862</v>
      </c>
      <c r="J403" s="151" t="s">
        <v>1897</v>
      </c>
      <c r="K403" s="151" t="s">
        <v>76</v>
      </c>
      <c r="L403" s="153">
        <v>2</v>
      </c>
      <c r="M403" s="153">
        <v>3</v>
      </c>
      <c r="N403" s="171">
        <v>8479</v>
      </c>
      <c r="O403" s="155">
        <v>0.03</v>
      </c>
      <c r="P403" s="172">
        <f t="shared" si="116"/>
        <v>254</v>
      </c>
      <c r="Q403" s="155">
        <v>0</v>
      </c>
      <c r="R403" s="172">
        <f t="shared" si="117"/>
        <v>0</v>
      </c>
      <c r="S403" s="155">
        <f t="shared" si="118"/>
        <v>2.9956362778629557E-2</v>
      </c>
      <c r="T403" s="172">
        <f t="shared" si="119"/>
        <v>254</v>
      </c>
      <c r="U403" s="172">
        <f t="shared" si="120"/>
        <v>8733</v>
      </c>
      <c r="V403" s="173">
        <f t="shared" si="114"/>
        <v>8733</v>
      </c>
      <c r="W403" s="174">
        <f t="shared" si="121"/>
        <v>254</v>
      </c>
      <c r="X403" s="159">
        <f t="shared" si="115"/>
        <v>0.03</v>
      </c>
      <c r="Y403" s="160" t="str">
        <f t="shared" si="113"/>
        <v>2.40%-3.59%</v>
      </c>
      <c r="Z403" s="175"/>
      <c r="AA403" s="175"/>
      <c r="AB403" s="175"/>
      <c r="AC403" s="162"/>
      <c r="AD403" s="171">
        <f t="shared" si="122"/>
        <v>0</v>
      </c>
      <c r="AE403" s="176">
        <f t="shared" si="123"/>
        <v>8733</v>
      </c>
      <c r="AF403" s="164">
        <f t="shared" si="124"/>
        <v>254</v>
      </c>
      <c r="AG403" s="165">
        <f t="shared" si="125"/>
        <v>2.9956362778629453E-2</v>
      </c>
      <c r="AH403" s="166">
        <v>14</v>
      </c>
      <c r="AI403" s="166">
        <v>450</v>
      </c>
      <c r="AJ403" s="166"/>
      <c r="AK403" s="166">
        <v>688</v>
      </c>
      <c r="AL403" s="166">
        <f t="shared" si="126"/>
        <v>128350</v>
      </c>
      <c r="AM403" s="153">
        <v>3</v>
      </c>
      <c r="AN403" s="166"/>
      <c r="AO403" s="167"/>
      <c r="AP403" s="167"/>
      <c r="AQ403" s="151" t="s">
        <v>1854</v>
      </c>
      <c r="AR403" s="151" t="s">
        <v>124</v>
      </c>
      <c r="AW403" s="144" t="str">
        <f t="shared" si="127"/>
        <v>OK</v>
      </c>
      <c r="AX403" s="21" t="s">
        <v>3131</v>
      </c>
      <c r="AY403" s="21" t="s">
        <v>3132</v>
      </c>
      <c r="AZ403" s="21"/>
      <c r="BA403" s="21"/>
    </row>
    <row r="404" spans="1:53" ht="20" customHeight="1">
      <c r="A404" s="86" t="s">
        <v>318</v>
      </c>
      <c r="B404" s="371" t="s">
        <v>2734</v>
      </c>
      <c r="C404" s="151" t="s">
        <v>51</v>
      </c>
      <c r="D404" s="151" t="s">
        <v>52</v>
      </c>
      <c r="E404" s="151" t="s">
        <v>1753</v>
      </c>
      <c r="F404" s="151" t="s">
        <v>1885</v>
      </c>
      <c r="G404" s="151" t="s">
        <v>1886</v>
      </c>
      <c r="H404" s="152">
        <v>44053</v>
      </c>
      <c r="I404" s="151" t="s">
        <v>1865</v>
      </c>
      <c r="J404" s="151" t="s">
        <v>1865</v>
      </c>
      <c r="K404" s="151" t="s">
        <v>324</v>
      </c>
      <c r="L404" s="153">
        <v>2</v>
      </c>
      <c r="M404" s="153">
        <v>5</v>
      </c>
      <c r="N404" s="171">
        <v>8922</v>
      </c>
      <c r="O404" s="155">
        <v>0.03</v>
      </c>
      <c r="P404" s="172">
        <f t="shared" si="116"/>
        <v>268</v>
      </c>
      <c r="Q404" s="155">
        <v>0</v>
      </c>
      <c r="R404" s="172">
        <f t="shared" si="117"/>
        <v>0</v>
      </c>
      <c r="S404" s="155">
        <f t="shared" si="118"/>
        <v>3.0038108047522976E-2</v>
      </c>
      <c r="T404" s="172">
        <f t="shared" si="119"/>
        <v>268</v>
      </c>
      <c r="U404" s="172">
        <f t="shared" si="120"/>
        <v>9190</v>
      </c>
      <c r="V404" s="173">
        <f>N404</f>
        <v>8922</v>
      </c>
      <c r="W404" s="174">
        <f t="shared" si="121"/>
        <v>0</v>
      </c>
      <c r="X404" s="159">
        <f t="shared" si="115"/>
        <v>0</v>
      </c>
      <c r="Y404" s="160" t="str">
        <f t="shared" si="113"/>
        <v>2.40%-3.60%</v>
      </c>
      <c r="Z404" s="175" t="s">
        <v>87</v>
      </c>
      <c r="AA404" s="175" t="s">
        <v>85</v>
      </c>
      <c r="AB404" s="175" t="s">
        <v>139</v>
      </c>
      <c r="AC404" s="162">
        <v>0.129</v>
      </c>
      <c r="AD404" s="171">
        <f t="shared" si="122"/>
        <v>1151</v>
      </c>
      <c r="AE404" s="176">
        <f t="shared" si="123"/>
        <v>10073</v>
      </c>
      <c r="AF404" s="164">
        <f t="shared" si="124"/>
        <v>1151</v>
      </c>
      <c r="AG404" s="165">
        <f t="shared" si="125"/>
        <v>0.12900694911454824</v>
      </c>
      <c r="AH404" s="166">
        <v>14</v>
      </c>
      <c r="AI404" s="166">
        <v>2650</v>
      </c>
      <c r="AJ404" s="166"/>
      <c r="AK404" s="166">
        <v>688</v>
      </c>
      <c r="AL404" s="166">
        <f t="shared" si="126"/>
        <v>173510</v>
      </c>
      <c r="AM404" s="153">
        <v>4</v>
      </c>
      <c r="AN404" s="166"/>
      <c r="AO404" s="167"/>
      <c r="AP404" s="167"/>
      <c r="AQ404" s="151" t="s">
        <v>1854</v>
      </c>
      <c r="AR404" s="151" t="s">
        <v>124</v>
      </c>
      <c r="AW404" s="144" t="str">
        <f t="shared" si="127"/>
        <v>0 increase</v>
      </c>
      <c r="AX404" s="21" t="s">
        <v>3131</v>
      </c>
      <c r="AY404" s="21">
        <v>0</v>
      </c>
      <c r="AZ404" s="21"/>
      <c r="BA404" s="21"/>
    </row>
    <row r="405" spans="1:53" ht="20" customHeight="1">
      <c r="A405" s="86" t="s">
        <v>318</v>
      </c>
      <c r="B405" s="371" t="s">
        <v>2735</v>
      </c>
      <c r="C405" s="151" t="s">
        <v>51</v>
      </c>
      <c r="D405" s="151" t="s">
        <v>52</v>
      </c>
      <c r="E405" s="151" t="s">
        <v>1753</v>
      </c>
      <c r="F405" s="151" t="s">
        <v>1860</v>
      </c>
      <c r="G405" s="151" t="s">
        <v>1861</v>
      </c>
      <c r="H405" s="152">
        <v>44064</v>
      </c>
      <c r="I405" s="151" t="s">
        <v>1871</v>
      </c>
      <c r="J405" s="151" t="s">
        <v>1871</v>
      </c>
      <c r="K405" s="151" t="s">
        <v>324</v>
      </c>
      <c r="L405" s="153">
        <v>2</v>
      </c>
      <c r="M405" s="153">
        <v>3</v>
      </c>
      <c r="N405" s="171">
        <v>8332</v>
      </c>
      <c r="O405" s="155">
        <v>0</v>
      </c>
      <c r="P405" s="172">
        <f t="shared" si="116"/>
        <v>0</v>
      </c>
      <c r="Q405" s="155">
        <v>0</v>
      </c>
      <c r="R405" s="172">
        <f t="shared" si="117"/>
        <v>0</v>
      </c>
      <c r="S405" s="155">
        <f t="shared" si="118"/>
        <v>0</v>
      </c>
      <c r="T405" s="172">
        <f t="shared" si="119"/>
        <v>0</v>
      </c>
      <c r="U405" s="172">
        <f t="shared" si="120"/>
        <v>8332</v>
      </c>
      <c r="V405" s="173">
        <f t="shared" si="114"/>
        <v>8332</v>
      </c>
      <c r="W405" s="174">
        <f t="shared" si="121"/>
        <v>0</v>
      </c>
      <c r="X405" s="159">
        <f t="shared" si="115"/>
        <v>0</v>
      </c>
      <c r="Y405" s="160" t="str">
        <f t="shared" si="113"/>
        <v>0.00%-0.00%</v>
      </c>
      <c r="Z405" s="175"/>
      <c r="AA405" s="175"/>
      <c r="AB405" s="175"/>
      <c r="AC405" s="162"/>
      <c r="AD405" s="171">
        <f t="shared" si="122"/>
        <v>0</v>
      </c>
      <c r="AE405" s="176">
        <f t="shared" si="123"/>
        <v>8332</v>
      </c>
      <c r="AF405" s="164">
        <f t="shared" si="124"/>
        <v>0</v>
      </c>
      <c r="AG405" s="165">
        <f t="shared" si="125"/>
        <v>0</v>
      </c>
      <c r="AH405" s="166">
        <v>14</v>
      </c>
      <c r="AI405" s="166">
        <v>450</v>
      </c>
      <c r="AJ405" s="166"/>
      <c r="AK405" s="166">
        <v>688</v>
      </c>
      <c r="AL405" s="166">
        <f t="shared" si="126"/>
        <v>122736</v>
      </c>
      <c r="AM405" s="153">
        <v>3</v>
      </c>
      <c r="AN405" s="166"/>
      <c r="AO405" s="167"/>
      <c r="AP405" s="167"/>
      <c r="AQ405" s="151" t="s">
        <v>1854</v>
      </c>
      <c r="AR405" s="151" t="s">
        <v>124</v>
      </c>
      <c r="AW405" s="144" t="str">
        <f t="shared" si="127"/>
        <v>OK</v>
      </c>
      <c r="AX405" s="21" t="s">
        <v>3131</v>
      </c>
      <c r="AY405" s="21" t="s">
        <v>3134</v>
      </c>
      <c r="AZ405" s="21"/>
      <c r="BA405" s="21"/>
    </row>
    <row r="406" spans="1:53" ht="20" customHeight="1">
      <c r="A406" s="86" t="s">
        <v>318</v>
      </c>
      <c r="B406" s="371" t="s">
        <v>2736</v>
      </c>
      <c r="C406" s="151" t="s">
        <v>51</v>
      </c>
      <c r="D406" s="151" t="s">
        <v>52</v>
      </c>
      <c r="E406" s="151" t="s">
        <v>1753</v>
      </c>
      <c r="F406" s="151" t="s">
        <v>1888</v>
      </c>
      <c r="G406" s="151" t="s">
        <v>1869</v>
      </c>
      <c r="H406" s="152">
        <v>44064</v>
      </c>
      <c r="I406" s="151" t="s">
        <v>1871</v>
      </c>
      <c r="J406" s="151" t="s">
        <v>1871</v>
      </c>
      <c r="K406" s="151" t="s">
        <v>324</v>
      </c>
      <c r="L406" s="153">
        <v>2</v>
      </c>
      <c r="M406" s="153">
        <v>3</v>
      </c>
      <c r="N406" s="171">
        <v>11201</v>
      </c>
      <c r="O406" s="155">
        <v>0</v>
      </c>
      <c r="P406" s="172">
        <f t="shared" si="116"/>
        <v>0</v>
      </c>
      <c r="Q406" s="155">
        <v>0</v>
      </c>
      <c r="R406" s="172">
        <f t="shared" si="117"/>
        <v>0</v>
      </c>
      <c r="S406" s="155">
        <f t="shared" si="118"/>
        <v>0</v>
      </c>
      <c r="T406" s="172">
        <f t="shared" si="119"/>
        <v>0</v>
      </c>
      <c r="U406" s="172">
        <f t="shared" si="120"/>
        <v>11201</v>
      </c>
      <c r="V406" s="173">
        <f t="shared" si="114"/>
        <v>11201</v>
      </c>
      <c r="W406" s="174">
        <f t="shared" si="121"/>
        <v>0</v>
      </c>
      <c r="X406" s="159">
        <f t="shared" si="115"/>
        <v>0</v>
      </c>
      <c r="Y406" s="160" t="str">
        <f t="shared" si="113"/>
        <v>0.00%-0.00%</v>
      </c>
      <c r="Z406" s="175"/>
      <c r="AA406" s="175"/>
      <c r="AB406" s="175"/>
      <c r="AC406" s="162"/>
      <c r="AD406" s="171">
        <f t="shared" si="122"/>
        <v>0</v>
      </c>
      <c r="AE406" s="176">
        <f t="shared" si="123"/>
        <v>11201</v>
      </c>
      <c r="AF406" s="164">
        <f t="shared" si="124"/>
        <v>0</v>
      </c>
      <c r="AG406" s="165">
        <f t="shared" si="125"/>
        <v>0</v>
      </c>
      <c r="AH406" s="166">
        <v>14</v>
      </c>
      <c r="AI406" s="166">
        <v>450</v>
      </c>
      <c r="AJ406" s="166"/>
      <c r="AK406" s="166">
        <v>688</v>
      </c>
      <c r="AL406" s="166">
        <f t="shared" si="126"/>
        <v>162902</v>
      </c>
      <c r="AM406" s="153">
        <v>4</v>
      </c>
      <c r="AN406" s="166"/>
      <c r="AO406" s="167"/>
      <c r="AP406" s="167"/>
      <c r="AQ406" s="151" t="s">
        <v>1854</v>
      </c>
      <c r="AR406" s="151" t="s">
        <v>124</v>
      </c>
      <c r="AW406" s="144" t="str">
        <f t="shared" si="127"/>
        <v>OK</v>
      </c>
      <c r="AX406" s="21" t="s">
        <v>3131</v>
      </c>
      <c r="AY406" s="21" t="s">
        <v>3134</v>
      </c>
      <c r="AZ406" s="21"/>
      <c r="BA406" s="21"/>
    </row>
    <row r="407" spans="1:53" ht="20" customHeight="1">
      <c r="A407" s="86" t="s">
        <v>318</v>
      </c>
      <c r="B407" s="371" t="s">
        <v>2737</v>
      </c>
      <c r="C407" s="151" t="s">
        <v>51</v>
      </c>
      <c r="D407" s="151" t="s">
        <v>52</v>
      </c>
      <c r="E407" s="151" t="s">
        <v>1753</v>
      </c>
      <c r="F407" s="151" t="s">
        <v>1899</v>
      </c>
      <c r="G407" s="151" t="s">
        <v>1880</v>
      </c>
      <c r="H407" s="152">
        <v>44067</v>
      </c>
      <c r="I407" s="151" t="s">
        <v>1877</v>
      </c>
      <c r="J407" s="151" t="s">
        <v>1900</v>
      </c>
      <c r="K407" s="151" t="s">
        <v>56</v>
      </c>
      <c r="L407" s="153">
        <v>2</v>
      </c>
      <c r="M407" s="153">
        <v>4</v>
      </c>
      <c r="N407" s="171">
        <v>20069</v>
      </c>
      <c r="O407" s="155">
        <v>3.7500000000000006E-2</v>
      </c>
      <c r="P407" s="172">
        <f t="shared" si="116"/>
        <v>753</v>
      </c>
      <c r="Q407" s="155">
        <v>1.55E-2</v>
      </c>
      <c r="R407" s="172">
        <f t="shared" si="117"/>
        <v>311</v>
      </c>
      <c r="S407" s="155">
        <f t="shared" si="118"/>
        <v>5.3017091035926056E-2</v>
      </c>
      <c r="T407" s="172">
        <f t="shared" si="119"/>
        <v>1064</v>
      </c>
      <c r="U407" s="172">
        <f t="shared" si="120"/>
        <v>21133</v>
      </c>
      <c r="V407" s="173">
        <f t="shared" si="114"/>
        <v>21133</v>
      </c>
      <c r="W407" s="174">
        <f t="shared" si="121"/>
        <v>1064</v>
      </c>
      <c r="X407" s="159">
        <f t="shared" si="115"/>
        <v>5.2999999999999999E-2</v>
      </c>
      <c r="Y407" s="160" t="str">
        <f t="shared" si="113"/>
        <v>4.24%-6.36%</v>
      </c>
      <c r="Z407" s="175"/>
      <c r="AA407" s="175"/>
      <c r="AB407" s="175"/>
      <c r="AC407" s="162"/>
      <c r="AD407" s="171">
        <f t="shared" si="122"/>
        <v>0</v>
      </c>
      <c r="AE407" s="176">
        <f t="shared" si="123"/>
        <v>21133</v>
      </c>
      <c r="AF407" s="164">
        <f t="shared" si="124"/>
        <v>1064</v>
      </c>
      <c r="AG407" s="165">
        <f t="shared" si="125"/>
        <v>5.3017091035926001E-2</v>
      </c>
      <c r="AH407" s="166">
        <v>14</v>
      </c>
      <c r="AI407" s="166">
        <v>450</v>
      </c>
      <c r="AJ407" s="166"/>
      <c r="AK407" s="166">
        <v>688</v>
      </c>
      <c r="AL407" s="166">
        <f t="shared" si="126"/>
        <v>301950</v>
      </c>
      <c r="AM407" s="153">
        <v>5</v>
      </c>
      <c r="AN407" s="166"/>
      <c r="AO407" s="167"/>
      <c r="AP407" s="167"/>
      <c r="AQ407" s="151" t="s">
        <v>1854</v>
      </c>
      <c r="AR407" s="151" t="s">
        <v>124</v>
      </c>
      <c r="AW407" s="144" t="str">
        <f t="shared" si="127"/>
        <v>OK</v>
      </c>
      <c r="AX407" s="21" t="s">
        <v>3131</v>
      </c>
      <c r="AY407" s="21" t="s">
        <v>3130</v>
      </c>
      <c r="AZ407" s="21"/>
      <c r="BA407" s="21"/>
    </row>
    <row r="408" spans="1:53" ht="20" customHeight="1">
      <c r="A408" s="86" t="s">
        <v>318</v>
      </c>
      <c r="B408" s="371" t="s">
        <v>2738</v>
      </c>
      <c r="C408" s="151" t="s">
        <v>51</v>
      </c>
      <c r="D408" s="151" t="s">
        <v>52</v>
      </c>
      <c r="E408" s="151" t="s">
        <v>1753</v>
      </c>
      <c r="F408" s="151" t="s">
        <v>1875</v>
      </c>
      <c r="G408" s="151" t="s">
        <v>1876</v>
      </c>
      <c r="H408" s="152">
        <v>44075</v>
      </c>
      <c r="I408" s="151" t="s">
        <v>1862</v>
      </c>
      <c r="J408" s="151" t="s">
        <v>1897</v>
      </c>
      <c r="K408" s="151" t="s">
        <v>76</v>
      </c>
      <c r="L408" s="153">
        <v>2</v>
      </c>
      <c r="M408" s="153">
        <v>4</v>
      </c>
      <c r="N408" s="171">
        <v>11196</v>
      </c>
      <c r="O408" s="155">
        <v>0.03</v>
      </c>
      <c r="P408" s="172">
        <f t="shared" si="116"/>
        <v>336</v>
      </c>
      <c r="Q408" s="155">
        <v>0</v>
      </c>
      <c r="R408" s="172">
        <f t="shared" si="117"/>
        <v>0</v>
      </c>
      <c r="S408" s="155">
        <f t="shared" si="118"/>
        <v>3.0010718113612004E-2</v>
      </c>
      <c r="T408" s="172">
        <f t="shared" si="119"/>
        <v>336</v>
      </c>
      <c r="U408" s="172">
        <f t="shared" si="120"/>
        <v>11532</v>
      </c>
      <c r="V408" s="173">
        <f t="shared" si="114"/>
        <v>11532</v>
      </c>
      <c r="W408" s="174">
        <f t="shared" si="121"/>
        <v>336</v>
      </c>
      <c r="X408" s="159">
        <f t="shared" si="115"/>
        <v>0.03</v>
      </c>
      <c r="Y408" s="160" t="str">
        <f t="shared" si="113"/>
        <v>2.40%-3.60%</v>
      </c>
      <c r="Z408" s="175"/>
      <c r="AA408" s="175"/>
      <c r="AB408" s="175"/>
      <c r="AC408" s="162"/>
      <c r="AD408" s="171">
        <f t="shared" si="122"/>
        <v>0</v>
      </c>
      <c r="AE408" s="176">
        <f t="shared" si="123"/>
        <v>11532</v>
      </c>
      <c r="AF408" s="164">
        <f t="shared" si="124"/>
        <v>336</v>
      </c>
      <c r="AG408" s="165">
        <f t="shared" si="125"/>
        <v>3.0010718113612E-2</v>
      </c>
      <c r="AH408" s="166">
        <v>14</v>
      </c>
      <c r="AI408" s="166">
        <v>450</v>
      </c>
      <c r="AJ408" s="166"/>
      <c r="AK408" s="166">
        <v>688</v>
      </c>
      <c r="AL408" s="166">
        <f t="shared" si="126"/>
        <v>167536</v>
      </c>
      <c r="AM408" s="153">
        <v>4</v>
      </c>
      <c r="AN408" s="166"/>
      <c r="AO408" s="167"/>
      <c r="AP408" s="167"/>
      <c r="AQ408" s="151" t="s">
        <v>1854</v>
      </c>
      <c r="AR408" s="151" t="s">
        <v>124</v>
      </c>
      <c r="AW408" s="144" t="str">
        <f t="shared" si="127"/>
        <v>OK</v>
      </c>
      <c r="AX408" s="21" t="s">
        <v>3131</v>
      </c>
      <c r="AY408" s="21" t="s">
        <v>3136</v>
      </c>
      <c r="AZ408" s="21"/>
      <c r="BA408" s="21"/>
    </row>
    <row r="409" spans="1:53" ht="20" customHeight="1">
      <c r="A409" s="86" t="s">
        <v>318</v>
      </c>
      <c r="B409" s="371" t="s">
        <v>2739</v>
      </c>
      <c r="C409" s="151" t="s">
        <v>51</v>
      </c>
      <c r="D409" s="151" t="s">
        <v>52</v>
      </c>
      <c r="E409" s="151" t="s">
        <v>1753</v>
      </c>
      <c r="F409" s="151" t="s">
        <v>1899</v>
      </c>
      <c r="G409" s="151" t="s">
        <v>1880</v>
      </c>
      <c r="H409" s="152">
        <v>44075</v>
      </c>
      <c r="I409" s="151" t="s">
        <v>1862</v>
      </c>
      <c r="J409" s="151" t="s">
        <v>1862</v>
      </c>
      <c r="K409" s="151" t="s">
        <v>324</v>
      </c>
      <c r="L409" s="153">
        <v>2</v>
      </c>
      <c r="M409" s="153">
        <v>5</v>
      </c>
      <c r="N409" s="171">
        <v>9755</v>
      </c>
      <c r="O409" s="155">
        <v>0.04</v>
      </c>
      <c r="P409" s="172">
        <f t="shared" si="116"/>
        <v>390</v>
      </c>
      <c r="Q409" s="155">
        <v>0</v>
      </c>
      <c r="R409" s="172">
        <f t="shared" si="117"/>
        <v>0</v>
      </c>
      <c r="S409" s="155">
        <f t="shared" si="118"/>
        <v>3.9979497693490518E-2</v>
      </c>
      <c r="T409" s="172">
        <f t="shared" si="119"/>
        <v>390</v>
      </c>
      <c r="U409" s="172">
        <f t="shared" si="120"/>
        <v>10145</v>
      </c>
      <c r="V409" s="173">
        <f>U409-390</f>
        <v>9755</v>
      </c>
      <c r="W409" s="174">
        <f t="shared" si="121"/>
        <v>0</v>
      </c>
      <c r="X409" s="159">
        <f t="shared" si="115"/>
        <v>0</v>
      </c>
      <c r="Y409" s="160" t="str">
        <f t="shared" si="113"/>
        <v>3.20%-4.80%</v>
      </c>
      <c r="Z409" s="175" t="s">
        <v>87</v>
      </c>
      <c r="AA409" s="175" t="s">
        <v>85</v>
      </c>
      <c r="AB409" s="175" t="s">
        <v>139</v>
      </c>
      <c r="AC409" s="162">
        <v>0.1</v>
      </c>
      <c r="AD409" s="171">
        <f t="shared" si="122"/>
        <v>976</v>
      </c>
      <c r="AE409" s="176">
        <f t="shared" si="123"/>
        <v>10731</v>
      </c>
      <c r="AF409" s="164">
        <f t="shared" si="124"/>
        <v>976</v>
      </c>
      <c r="AG409" s="165">
        <f t="shared" si="125"/>
        <v>0.10005125576627361</v>
      </c>
      <c r="AH409" s="166">
        <v>14</v>
      </c>
      <c r="AI409" s="166">
        <v>450</v>
      </c>
      <c r="AJ409" s="166"/>
      <c r="AK409" s="166">
        <v>688</v>
      </c>
      <c r="AL409" s="166">
        <f t="shared" si="126"/>
        <v>156322</v>
      </c>
      <c r="AM409" s="153">
        <v>4</v>
      </c>
      <c r="AN409" s="166"/>
      <c r="AO409" s="167"/>
      <c r="AP409" s="167"/>
      <c r="AQ409" s="151" t="s">
        <v>1854</v>
      </c>
      <c r="AR409" s="151" t="s">
        <v>124</v>
      </c>
      <c r="AW409" s="144" t="str">
        <f t="shared" si="127"/>
        <v>0 increase</v>
      </c>
      <c r="AX409" s="21" t="s">
        <v>3131</v>
      </c>
      <c r="AY409" s="21" t="s">
        <v>3136</v>
      </c>
      <c r="AZ409" s="21"/>
      <c r="BA409" s="21"/>
    </row>
    <row r="410" spans="1:53" ht="20" customHeight="1">
      <c r="A410" s="86" t="s">
        <v>318</v>
      </c>
      <c r="B410" s="371" t="s">
        <v>2740</v>
      </c>
      <c r="C410" s="151" t="s">
        <v>51</v>
      </c>
      <c r="D410" s="151" t="s">
        <v>52</v>
      </c>
      <c r="E410" s="151" t="s">
        <v>1753</v>
      </c>
      <c r="F410" s="151" t="s">
        <v>1884</v>
      </c>
      <c r="G410" s="151" t="s">
        <v>1748</v>
      </c>
      <c r="H410" s="152">
        <v>44081</v>
      </c>
      <c r="I410" s="151" t="s">
        <v>226</v>
      </c>
      <c r="J410" s="151" t="s">
        <v>226</v>
      </c>
      <c r="K410" s="151" t="s">
        <v>84</v>
      </c>
      <c r="L410" s="153">
        <v>2</v>
      </c>
      <c r="M410" s="153">
        <v>4</v>
      </c>
      <c r="N410" s="171">
        <v>11080</v>
      </c>
      <c r="O410" s="155">
        <v>0.03</v>
      </c>
      <c r="P410" s="172">
        <f t="shared" si="116"/>
        <v>332</v>
      </c>
      <c r="Q410" s="155">
        <v>0</v>
      </c>
      <c r="R410" s="172">
        <f t="shared" si="117"/>
        <v>0</v>
      </c>
      <c r="S410" s="155">
        <f t="shared" si="118"/>
        <v>2.9963898916967508E-2</v>
      </c>
      <c r="T410" s="172">
        <f t="shared" si="119"/>
        <v>332</v>
      </c>
      <c r="U410" s="172">
        <f t="shared" si="120"/>
        <v>11412</v>
      </c>
      <c r="V410" s="173">
        <f t="shared" si="114"/>
        <v>11412</v>
      </c>
      <c r="W410" s="174">
        <f t="shared" si="121"/>
        <v>332</v>
      </c>
      <c r="X410" s="159">
        <f t="shared" si="115"/>
        <v>0.03</v>
      </c>
      <c r="Y410" s="160" t="str">
        <f t="shared" si="113"/>
        <v>2.40%-3.60%</v>
      </c>
      <c r="Z410" s="175"/>
      <c r="AA410" s="175"/>
      <c r="AB410" s="175"/>
      <c r="AC410" s="162"/>
      <c r="AD410" s="171">
        <f t="shared" si="122"/>
        <v>0</v>
      </c>
      <c r="AE410" s="176">
        <f t="shared" si="123"/>
        <v>11412</v>
      </c>
      <c r="AF410" s="164">
        <f t="shared" si="124"/>
        <v>332</v>
      </c>
      <c r="AG410" s="165">
        <f t="shared" si="125"/>
        <v>2.9963898916967491E-2</v>
      </c>
      <c r="AH410" s="166">
        <v>14</v>
      </c>
      <c r="AI410" s="166">
        <v>450</v>
      </c>
      <c r="AJ410" s="166"/>
      <c r="AK410" s="166">
        <v>688</v>
      </c>
      <c r="AL410" s="166">
        <f t="shared" si="126"/>
        <v>165856</v>
      </c>
      <c r="AM410" s="153">
        <v>3</v>
      </c>
      <c r="AN410" s="166"/>
      <c r="AO410" s="167"/>
      <c r="AP410" s="167"/>
      <c r="AQ410" s="151" t="s">
        <v>1854</v>
      </c>
      <c r="AR410" s="151" t="s">
        <v>124</v>
      </c>
      <c r="AW410" s="144" t="str">
        <f t="shared" si="127"/>
        <v>OK</v>
      </c>
      <c r="AX410" s="21" t="s">
        <v>3131</v>
      </c>
      <c r="AY410" s="21" t="s">
        <v>3136</v>
      </c>
      <c r="AZ410" s="21"/>
      <c r="BA410" s="21"/>
    </row>
    <row r="411" spans="1:53" ht="20" customHeight="1">
      <c r="A411" s="86" t="s">
        <v>318</v>
      </c>
      <c r="B411" s="371" t="s">
        <v>2741</v>
      </c>
      <c r="C411" s="151" t="s">
        <v>51</v>
      </c>
      <c r="D411" s="151" t="s">
        <v>52</v>
      </c>
      <c r="E411" s="151" t="s">
        <v>1753</v>
      </c>
      <c r="F411" s="151" t="s">
        <v>1899</v>
      </c>
      <c r="G411" s="151" t="s">
        <v>1880</v>
      </c>
      <c r="H411" s="152">
        <v>44081</v>
      </c>
      <c r="I411" s="151" t="s">
        <v>1862</v>
      </c>
      <c r="J411" s="151" t="s">
        <v>1862</v>
      </c>
      <c r="K411" s="151" t="s">
        <v>324</v>
      </c>
      <c r="L411" s="153">
        <v>2</v>
      </c>
      <c r="M411" s="153">
        <v>3</v>
      </c>
      <c r="N411" s="171">
        <v>9000</v>
      </c>
      <c r="O411" s="155">
        <v>2.5000000000000001E-2</v>
      </c>
      <c r="P411" s="172">
        <f t="shared" si="116"/>
        <v>225</v>
      </c>
      <c r="Q411" s="155">
        <v>0</v>
      </c>
      <c r="R411" s="172">
        <f t="shared" si="117"/>
        <v>0</v>
      </c>
      <c r="S411" s="155">
        <f t="shared" si="118"/>
        <v>2.5000000000000001E-2</v>
      </c>
      <c r="T411" s="172">
        <f t="shared" si="119"/>
        <v>225</v>
      </c>
      <c r="U411" s="172">
        <f t="shared" si="120"/>
        <v>9225</v>
      </c>
      <c r="V411" s="173">
        <f t="shared" si="114"/>
        <v>9225</v>
      </c>
      <c r="W411" s="174">
        <f t="shared" si="121"/>
        <v>225</v>
      </c>
      <c r="X411" s="159">
        <f t="shared" si="115"/>
        <v>2.5000000000000001E-2</v>
      </c>
      <c r="Y411" s="160" t="str">
        <f t="shared" si="113"/>
        <v>2.00%-3.00%</v>
      </c>
      <c r="Z411" s="175"/>
      <c r="AA411" s="175"/>
      <c r="AB411" s="175"/>
      <c r="AC411" s="162"/>
      <c r="AD411" s="171">
        <f t="shared" si="122"/>
        <v>0</v>
      </c>
      <c r="AE411" s="176">
        <f t="shared" si="123"/>
        <v>9225</v>
      </c>
      <c r="AF411" s="164">
        <f t="shared" si="124"/>
        <v>225</v>
      </c>
      <c r="AG411" s="165">
        <f t="shared" si="125"/>
        <v>2.4999999999999911E-2</v>
      </c>
      <c r="AH411" s="166">
        <v>14</v>
      </c>
      <c r="AI411" s="166">
        <v>450</v>
      </c>
      <c r="AJ411" s="166"/>
      <c r="AK411" s="166">
        <v>688</v>
      </c>
      <c r="AL411" s="166">
        <f t="shared" si="126"/>
        <v>135238</v>
      </c>
      <c r="AM411" s="153">
        <v>3</v>
      </c>
      <c r="AN411" s="166"/>
      <c r="AO411" s="167"/>
      <c r="AP411" s="167"/>
      <c r="AQ411" s="151" t="s">
        <v>1854</v>
      </c>
      <c r="AR411" s="151" t="s">
        <v>124</v>
      </c>
      <c r="AW411" s="144" t="str">
        <f t="shared" si="127"/>
        <v>OK</v>
      </c>
      <c r="AX411" s="21" t="s">
        <v>3131</v>
      </c>
      <c r="AY411" s="21" t="s">
        <v>3130</v>
      </c>
      <c r="AZ411" s="21"/>
      <c r="BA411" s="21"/>
    </row>
    <row r="412" spans="1:53" ht="20" customHeight="1">
      <c r="A412" s="86" t="s">
        <v>318</v>
      </c>
      <c r="B412" s="371" t="s">
        <v>2742</v>
      </c>
      <c r="C412" s="151" t="s">
        <v>51</v>
      </c>
      <c r="D412" s="151" t="s">
        <v>52</v>
      </c>
      <c r="E412" s="151" t="s">
        <v>1753</v>
      </c>
      <c r="F412" s="151" t="s">
        <v>1875</v>
      </c>
      <c r="G412" s="151" t="s">
        <v>1876</v>
      </c>
      <c r="H412" s="152">
        <v>44088</v>
      </c>
      <c r="I412" s="151" t="s">
        <v>1898</v>
      </c>
      <c r="J412" s="151" t="s">
        <v>1898</v>
      </c>
      <c r="K412" s="151" t="s">
        <v>324</v>
      </c>
      <c r="L412" s="153">
        <v>2</v>
      </c>
      <c r="M412" s="153">
        <v>3</v>
      </c>
      <c r="N412" s="171">
        <v>8500</v>
      </c>
      <c r="O412" s="155">
        <v>2.5000000000000001E-2</v>
      </c>
      <c r="P412" s="172">
        <f t="shared" si="116"/>
        <v>213</v>
      </c>
      <c r="Q412" s="155">
        <v>0</v>
      </c>
      <c r="R412" s="172">
        <f t="shared" si="117"/>
        <v>0</v>
      </c>
      <c r="S412" s="155">
        <f t="shared" si="118"/>
        <v>2.5058823529411765E-2</v>
      </c>
      <c r="T412" s="172">
        <f t="shared" si="119"/>
        <v>213</v>
      </c>
      <c r="U412" s="172">
        <f t="shared" si="120"/>
        <v>8713</v>
      </c>
      <c r="V412" s="173">
        <f t="shared" si="114"/>
        <v>8713</v>
      </c>
      <c r="W412" s="174">
        <f t="shared" si="121"/>
        <v>213</v>
      </c>
      <c r="X412" s="159">
        <f t="shared" si="115"/>
        <v>2.5100000000000001E-2</v>
      </c>
      <c r="Y412" s="160" t="str">
        <f t="shared" si="113"/>
        <v>2.00%-3.01%</v>
      </c>
      <c r="Z412" s="175"/>
      <c r="AA412" s="175"/>
      <c r="AB412" s="175"/>
      <c r="AC412" s="162"/>
      <c r="AD412" s="171">
        <f t="shared" si="122"/>
        <v>0</v>
      </c>
      <c r="AE412" s="176">
        <f t="shared" si="123"/>
        <v>8713</v>
      </c>
      <c r="AF412" s="164">
        <f t="shared" si="124"/>
        <v>213</v>
      </c>
      <c r="AG412" s="165">
        <f t="shared" si="125"/>
        <v>2.50588235294118E-2</v>
      </c>
      <c r="AH412" s="166">
        <v>14</v>
      </c>
      <c r="AI412" s="166">
        <v>450</v>
      </c>
      <c r="AJ412" s="166"/>
      <c r="AK412" s="166">
        <v>688</v>
      </c>
      <c r="AL412" s="166">
        <f t="shared" si="126"/>
        <v>128070</v>
      </c>
      <c r="AM412" s="153">
        <v>3</v>
      </c>
      <c r="AN412" s="166"/>
      <c r="AO412" s="167"/>
      <c r="AP412" s="167"/>
      <c r="AQ412" s="151" t="s">
        <v>1854</v>
      </c>
      <c r="AR412" s="151" t="s">
        <v>124</v>
      </c>
      <c r="AW412" s="144" t="str">
        <f t="shared" si="127"/>
        <v>OK</v>
      </c>
      <c r="AX412" s="21" t="s">
        <v>3131</v>
      </c>
      <c r="AY412" s="21" t="s">
        <v>3130</v>
      </c>
      <c r="AZ412" s="21"/>
      <c r="BA412" s="21"/>
    </row>
    <row r="413" spans="1:53" ht="20" customHeight="1">
      <c r="A413" s="86" t="s">
        <v>318</v>
      </c>
      <c r="B413" s="371" t="s">
        <v>2743</v>
      </c>
      <c r="C413" s="151" t="s">
        <v>51</v>
      </c>
      <c r="D413" s="151" t="s">
        <v>52</v>
      </c>
      <c r="E413" s="151" t="s">
        <v>1753</v>
      </c>
      <c r="F413" s="151" t="s">
        <v>1875</v>
      </c>
      <c r="G413" s="151" t="s">
        <v>1876</v>
      </c>
      <c r="H413" s="152">
        <v>44113</v>
      </c>
      <c r="I413" s="151" t="s">
        <v>85</v>
      </c>
      <c r="J413" s="151" t="s">
        <v>1901</v>
      </c>
      <c r="K413" s="151" t="s">
        <v>76</v>
      </c>
      <c r="L413" s="153">
        <v>2</v>
      </c>
      <c r="M413" s="153">
        <v>3</v>
      </c>
      <c r="N413" s="171">
        <v>9294</v>
      </c>
      <c r="O413" s="155">
        <v>2.5000000000000001E-2</v>
      </c>
      <c r="P413" s="172">
        <f t="shared" si="116"/>
        <v>232</v>
      </c>
      <c r="Q413" s="155">
        <v>0</v>
      </c>
      <c r="R413" s="172">
        <f t="shared" si="117"/>
        <v>0</v>
      </c>
      <c r="S413" s="155">
        <f t="shared" si="118"/>
        <v>2.4962341295459437E-2</v>
      </c>
      <c r="T413" s="172">
        <f t="shared" si="119"/>
        <v>232</v>
      </c>
      <c r="U413" s="172">
        <f t="shared" si="120"/>
        <v>9526</v>
      </c>
      <c r="V413" s="173">
        <f t="shared" si="114"/>
        <v>9526</v>
      </c>
      <c r="W413" s="174">
        <f t="shared" si="121"/>
        <v>232</v>
      </c>
      <c r="X413" s="159">
        <f t="shared" si="115"/>
        <v>2.5000000000000001E-2</v>
      </c>
      <c r="Y413" s="160" t="str">
        <f t="shared" si="113"/>
        <v>2.00%-3.00%</v>
      </c>
      <c r="Z413" s="175"/>
      <c r="AA413" s="175"/>
      <c r="AB413" s="175"/>
      <c r="AC413" s="162"/>
      <c r="AD413" s="171">
        <f t="shared" si="122"/>
        <v>0</v>
      </c>
      <c r="AE413" s="176">
        <f t="shared" si="123"/>
        <v>9526</v>
      </c>
      <c r="AF413" s="164">
        <f t="shared" si="124"/>
        <v>232</v>
      </c>
      <c r="AG413" s="165">
        <f t="shared" si="125"/>
        <v>2.4962341295459378E-2</v>
      </c>
      <c r="AH413" s="166">
        <v>14</v>
      </c>
      <c r="AI413" s="166">
        <v>450</v>
      </c>
      <c r="AJ413" s="166"/>
      <c r="AK413" s="166">
        <v>688</v>
      </c>
      <c r="AL413" s="166">
        <f t="shared" si="126"/>
        <v>139452</v>
      </c>
      <c r="AM413" s="153">
        <v>4</v>
      </c>
      <c r="AN413" s="166"/>
      <c r="AO413" s="167"/>
      <c r="AP413" s="167"/>
      <c r="AQ413" s="151" t="s">
        <v>1854</v>
      </c>
      <c r="AR413" s="151" t="s">
        <v>124</v>
      </c>
      <c r="AW413" s="144" t="str">
        <f t="shared" si="127"/>
        <v>OK</v>
      </c>
      <c r="AX413" s="21" t="s">
        <v>3131</v>
      </c>
      <c r="AY413" s="21" t="s">
        <v>3130</v>
      </c>
      <c r="AZ413" s="21"/>
      <c r="BA413" s="21"/>
    </row>
    <row r="414" spans="1:53" ht="20" customHeight="1">
      <c r="A414" s="86" t="s">
        <v>318</v>
      </c>
      <c r="B414" s="371" t="s">
        <v>2744</v>
      </c>
      <c r="C414" s="151" t="s">
        <v>51</v>
      </c>
      <c r="D414" s="151" t="s">
        <v>52</v>
      </c>
      <c r="E414" s="151" t="s">
        <v>1753</v>
      </c>
      <c r="F414" s="151" t="s">
        <v>1872</v>
      </c>
      <c r="G414" s="151" t="s">
        <v>1873</v>
      </c>
      <c r="H414" s="152">
        <v>44130</v>
      </c>
      <c r="I414" s="151" t="s">
        <v>1866</v>
      </c>
      <c r="J414" s="151" t="s">
        <v>1866</v>
      </c>
      <c r="K414" s="151" t="s">
        <v>324</v>
      </c>
      <c r="L414" s="153">
        <v>2</v>
      </c>
      <c r="M414" s="153">
        <v>3</v>
      </c>
      <c r="N414" s="171">
        <v>8013</v>
      </c>
      <c r="O414" s="155">
        <v>0</v>
      </c>
      <c r="P414" s="172">
        <f t="shared" si="116"/>
        <v>0</v>
      </c>
      <c r="Q414" s="155">
        <v>0</v>
      </c>
      <c r="R414" s="172">
        <f t="shared" si="117"/>
        <v>0</v>
      </c>
      <c r="S414" s="155">
        <f t="shared" si="118"/>
        <v>0</v>
      </c>
      <c r="T414" s="172">
        <f t="shared" si="119"/>
        <v>0</v>
      </c>
      <c r="U414" s="172">
        <f t="shared" si="120"/>
        <v>8013</v>
      </c>
      <c r="V414" s="173">
        <f>U414+100</f>
        <v>8113</v>
      </c>
      <c r="W414" s="174">
        <f t="shared" si="121"/>
        <v>100</v>
      </c>
      <c r="X414" s="159">
        <f t="shared" si="115"/>
        <v>1.2500000000000001E-2</v>
      </c>
      <c r="Y414" s="160" t="str">
        <f t="shared" si="113"/>
        <v>0.00%-0.00%</v>
      </c>
      <c r="Z414" s="175"/>
      <c r="AA414" s="175"/>
      <c r="AB414" s="175"/>
      <c r="AC414" s="162"/>
      <c r="AD414" s="171">
        <f t="shared" si="122"/>
        <v>0</v>
      </c>
      <c r="AE414" s="176">
        <f t="shared" si="123"/>
        <v>8113</v>
      </c>
      <c r="AF414" s="164">
        <f t="shared" si="124"/>
        <v>100</v>
      </c>
      <c r="AG414" s="165">
        <f t="shared" si="125"/>
        <v>1.2479720454261933E-2</v>
      </c>
      <c r="AH414" s="166">
        <v>14</v>
      </c>
      <c r="AI414" s="166">
        <v>1650</v>
      </c>
      <c r="AJ414" s="166"/>
      <c r="AK414" s="166">
        <v>688</v>
      </c>
      <c r="AL414" s="166">
        <f t="shared" si="126"/>
        <v>134070</v>
      </c>
      <c r="AM414" s="153">
        <v>2</v>
      </c>
      <c r="AN414" s="166"/>
      <c r="AO414" s="167"/>
      <c r="AP414" s="167"/>
      <c r="AQ414" s="151" t="s">
        <v>1854</v>
      </c>
      <c r="AR414" s="151" t="s">
        <v>124</v>
      </c>
      <c r="AW414" s="144" t="str">
        <f t="shared" si="127"/>
        <v>&gt;20</v>
      </c>
      <c r="AX414" s="21" t="s">
        <v>3131</v>
      </c>
      <c r="AY414" s="21" t="s">
        <v>3134</v>
      </c>
      <c r="AZ414" s="21"/>
      <c r="BA414" s="21"/>
    </row>
    <row r="415" spans="1:53" ht="20" customHeight="1">
      <c r="A415" s="86" t="s">
        <v>318</v>
      </c>
      <c r="B415" s="371" t="s">
        <v>2745</v>
      </c>
      <c r="C415" s="151" t="s">
        <v>51</v>
      </c>
      <c r="D415" s="151" t="s">
        <v>52</v>
      </c>
      <c r="E415" s="151" t="s">
        <v>1753</v>
      </c>
      <c r="F415" s="151" t="s">
        <v>1863</v>
      </c>
      <c r="G415" s="151" t="s">
        <v>1864</v>
      </c>
      <c r="H415" s="152">
        <v>44152</v>
      </c>
      <c r="I415" s="151" t="s">
        <v>1865</v>
      </c>
      <c r="J415" s="151" t="s">
        <v>1865</v>
      </c>
      <c r="K415" s="151" t="s">
        <v>324</v>
      </c>
      <c r="L415" s="153">
        <v>2</v>
      </c>
      <c r="M415" s="153">
        <v>3</v>
      </c>
      <c r="N415" s="171">
        <v>6831</v>
      </c>
      <c r="O415" s="155">
        <v>0</v>
      </c>
      <c r="P415" s="172">
        <f t="shared" si="116"/>
        <v>0</v>
      </c>
      <c r="Q415" s="155">
        <v>0</v>
      </c>
      <c r="R415" s="172">
        <f t="shared" si="117"/>
        <v>0</v>
      </c>
      <c r="S415" s="155">
        <f t="shared" si="118"/>
        <v>0</v>
      </c>
      <c r="T415" s="172">
        <f t="shared" si="119"/>
        <v>0</v>
      </c>
      <c r="U415" s="172">
        <f t="shared" si="120"/>
        <v>6831</v>
      </c>
      <c r="V415" s="173">
        <f t="shared" si="114"/>
        <v>6831</v>
      </c>
      <c r="W415" s="174">
        <f t="shared" si="121"/>
        <v>0</v>
      </c>
      <c r="X415" s="159">
        <f t="shared" si="115"/>
        <v>0</v>
      </c>
      <c r="Y415" s="160" t="str">
        <f t="shared" si="113"/>
        <v>0.00%-0.00%</v>
      </c>
      <c r="Z415" s="175"/>
      <c r="AA415" s="175"/>
      <c r="AB415" s="175"/>
      <c r="AC415" s="162"/>
      <c r="AD415" s="171">
        <f t="shared" si="122"/>
        <v>0</v>
      </c>
      <c r="AE415" s="176">
        <f t="shared" si="123"/>
        <v>6831</v>
      </c>
      <c r="AF415" s="164">
        <f t="shared" si="124"/>
        <v>0</v>
      </c>
      <c r="AG415" s="165">
        <f t="shared" si="125"/>
        <v>0</v>
      </c>
      <c r="AH415" s="166">
        <v>14</v>
      </c>
      <c r="AI415" s="166">
        <v>1450</v>
      </c>
      <c r="AJ415" s="166"/>
      <c r="AK415" s="166">
        <v>688</v>
      </c>
      <c r="AL415" s="166">
        <f t="shared" si="126"/>
        <v>113722</v>
      </c>
      <c r="AM415" s="153">
        <v>2</v>
      </c>
      <c r="AN415" s="166"/>
      <c r="AO415" s="167"/>
      <c r="AP415" s="167"/>
      <c r="AQ415" s="151" t="s">
        <v>1854</v>
      </c>
      <c r="AR415" s="151" t="s">
        <v>124</v>
      </c>
      <c r="AW415" s="144" t="str">
        <f t="shared" si="127"/>
        <v>OK</v>
      </c>
      <c r="AX415" s="21" t="s">
        <v>3131</v>
      </c>
      <c r="AY415" s="21" t="s">
        <v>3134</v>
      </c>
      <c r="AZ415" s="21"/>
      <c r="BA415" s="21"/>
    </row>
    <row r="416" spans="1:53" ht="20" customHeight="1">
      <c r="A416" s="86" t="s">
        <v>318</v>
      </c>
      <c r="B416" s="371" t="s">
        <v>2746</v>
      </c>
      <c r="C416" s="151" t="s">
        <v>51</v>
      </c>
      <c r="D416" s="151" t="s">
        <v>52</v>
      </c>
      <c r="E416" s="151" t="s">
        <v>1753</v>
      </c>
      <c r="F416" s="151" t="s">
        <v>1867</v>
      </c>
      <c r="G416" s="151" t="s">
        <v>1748</v>
      </c>
      <c r="H416" s="152">
        <v>44682</v>
      </c>
      <c r="I416" s="151" t="s">
        <v>226</v>
      </c>
      <c r="J416" s="151" t="s">
        <v>226</v>
      </c>
      <c r="K416" s="151" t="s">
        <v>84</v>
      </c>
      <c r="L416" s="153">
        <v>2</v>
      </c>
      <c r="M416" s="153">
        <v>3</v>
      </c>
      <c r="N416" s="171">
        <v>7866</v>
      </c>
      <c r="O416" s="155">
        <v>2.5000000000000001E-2</v>
      </c>
      <c r="P416" s="172">
        <f t="shared" si="116"/>
        <v>197</v>
      </c>
      <c r="Q416" s="155">
        <v>0</v>
      </c>
      <c r="R416" s="172">
        <f t="shared" si="117"/>
        <v>0</v>
      </c>
      <c r="S416" s="155">
        <f t="shared" si="118"/>
        <v>2.5044495296211545E-2</v>
      </c>
      <c r="T416" s="172">
        <f t="shared" si="119"/>
        <v>197</v>
      </c>
      <c r="U416" s="172">
        <f t="shared" si="120"/>
        <v>8063</v>
      </c>
      <c r="V416" s="173">
        <f t="shared" si="114"/>
        <v>8063</v>
      </c>
      <c r="W416" s="174">
        <f t="shared" si="121"/>
        <v>197</v>
      </c>
      <c r="X416" s="159">
        <f t="shared" si="115"/>
        <v>2.5000000000000001E-2</v>
      </c>
      <c r="Y416" s="160" t="str">
        <f t="shared" si="113"/>
        <v>2.00%-3.01%</v>
      </c>
      <c r="Z416" s="175"/>
      <c r="AA416" s="175"/>
      <c r="AB416" s="175"/>
      <c r="AC416" s="162"/>
      <c r="AD416" s="171">
        <f t="shared" si="122"/>
        <v>0</v>
      </c>
      <c r="AE416" s="176">
        <f t="shared" si="123"/>
        <v>8063</v>
      </c>
      <c r="AF416" s="164">
        <f t="shared" si="124"/>
        <v>197</v>
      </c>
      <c r="AG416" s="165">
        <f t="shared" si="125"/>
        <v>2.5044495296211444E-2</v>
      </c>
      <c r="AH416" s="166">
        <v>14</v>
      </c>
      <c r="AI416" s="166">
        <v>450</v>
      </c>
      <c r="AJ416" s="166"/>
      <c r="AK416" s="166">
        <v>688</v>
      </c>
      <c r="AL416" s="166">
        <f t="shared" si="126"/>
        <v>118970</v>
      </c>
      <c r="AM416" s="153">
        <v>3</v>
      </c>
      <c r="AN416" s="166"/>
      <c r="AO416" s="167"/>
      <c r="AP416" s="167"/>
      <c r="AQ416" s="151" t="s">
        <v>1854</v>
      </c>
      <c r="AR416" s="151" t="s">
        <v>124</v>
      </c>
      <c r="AW416" s="144" t="str">
        <f t="shared" si="127"/>
        <v>OK</v>
      </c>
      <c r="AX416" s="21" t="s">
        <v>3131</v>
      </c>
      <c r="AY416" s="21" t="s">
        <v>3130</v>
      </c>
      <c r="AZ416" s="21"/>
      <c r="BA416" s="21"/>
    </row>
    <row r="417" spans="1:53" ht="20" customHeight="1">
      <c r="A417" s="86" t="s">
        <v>318</v>
      </c>
      <c r="B417" s="371" t="s">
        <v>2747</v>
      </c>
      <c r="C417" s="151" t="s">
        <v>51</v>
      </c>
      <c r="D417" s="151" t="s">
        <v>52</v>
      </c>
      <c r="E417" s="151" t="s">
        <v>1753</v>
      </c>
      <c r="F417" s="151" t="s">
        <v>1891</v>
      </c>
      <c r="G417" s="151" t="s">
        <v>1873</v>
      </c>
      <c r="H417" s="152">
        <v>44340</v>
      </c>
      <c r="I417" s="151" t="s">
        <v>85</v>
      </c>
      <c r="J417" s="151" t="s">
        <v>1897</v>
      </c>
      <c r="K417" s="151" t="s">
        <v>76</v>
      </c>
      <c r="L417" s="153">
        <v>2</v>
      </c>
      <c r="M417" s="153">
        <v>4</v>
      </c>
      <c r="N417" s="171">
        <v>11936</v>
      </c>
      <c r="O417" s="155">
        <v>0.03</v>
      </c>
      <c r="P417" s="172">
        <f t="shared" si="116"/>
        <v>358</v>
      </c>
      <c r="Q417" s="155">
        <v>0</v>
      </c>
      <c r="R417" s="172">
        <f t="shared" si="117"/>
        <v>0</v>
      </c>
      <c r="S417" s="155">
        <f t="shared" si="118"/>
        <v>2.9993297587131366E-2</v>
      </c>
      <c r="T417" s="172">
        <f t="shared" si="119"/>
        <v>358</v>
      </c>
      <c r="U417" s="172">
        <f t="shared" si="120"/>
        <v>12294</v>
      </c>
      <c r="V417" s="173">
        <f t="shared" si="114"/>
        <v>12294</v>
      </c>
      <c r="W417" s="174">
        <f t="shared" si="121"/>
        <v>358</v>
      </c>
      <c r="X417" s="159">
        <f t="shared" si="115"/>
        <v>0.03</v>
      </c>
      <c r="Y417" s="160" t="str">
        <f t="shared" si="113"/>
        <v>2.40%-3.60%</v>
      </c>
      <c r="Z417" s="175"/>
      <c r="AA417" s="175"/>
      <c r="AB417" s="175"/>
      <c r="AC417" s="162"/>
      <c r="AD417" s="171">
        <f t="shared" si="122"/>
        <v>0</v>
      </c>
      <c r="AE417" s="176">
        <f t="shared" si="123"/>
        <v>12294</v>
      </c>
      <c r="AF417" s="164">
        <f t="shared" si="124"/>
        <v>358</v>
      </c>
      <c r="AG417" s="165">
        <f t="shared" si="125"/>
        <v>2.9993297587131318E-2</v>
      </c>
      <c r="AH417" s="166">
        <v>14</v>
      </c>
      <c r="AI417" s="166">
        <v>450</v>
      </c>
      <c r="AJ417" s="166"/>
      <c r="AK417" s="166">
        <v>688</v>
      </c>
      <c r="AL417" s="166">
        <f t="shared" si="126"/>
        <v>178204</v>
      </c>
      <c r="AM417" s="153">
        <v>3</v>
      </c>
      <c r="AN417" s="166"/>
      <c r="AO417" s="167"/>
      <c r="AP417" s="167"/>
      <c r="AQ417" s="151" t="s">
        <v>1854</v>
      </c>
      <c r="AR417" s="151" t="s">
        <v>124</v>
      </c>
      <c r="AW417" s="144" t="str">
        <f>_xlfn.LET(_xlpm.actual,X417,_xlpm.low,VALUE(_xlfn.TEXTBEFORE(Y417,"-")),_xlpm.high,VALUE(_xlfn.TEXTAFTER(Y417,"-")),IF(AND(_xlpm.actual=0,OR(_xlpm.low&lt;&gt;0,_xlpm.high&lt;&gt;0)),"0 increase",IF(_xlpm.actual&gt;_xlpm.high*1.2,"&gt;20",IF(_xlpm.actual&lt;_xlpm.low*0.8,"&lt;20","OK"))))</f>
        <v>OK</v>
      </c>
      <c r="AX417" s="21" t="s">
        <v>3131</v>
      </c>
      <c r="AY417" s="21" t="s">
        <v>3136</v>
      </c>
      <c r="AZ417" s="21"/>
      <c r="BA417" s="21"/>
    </row>
    <row r="418" spans="1:53" ht="20" customHeight="1">
      <c r="A418" s="86" t="s">
        <v>318</v>
      </c>
      <c r="B418" s="371" t="s">
        <v>2748</v>
      </c>
      <c r="C418" s="151" t="s">
        <v>51</v>
      </c>
      <c r="D418" s="151" t="s">
        <v>52</v>
      </c>
      <c r="E418" s="151" t="s">
        <v>1753</v>
      </c>
      <c r="F418" s="151" t="s">
        <v>1884</v>
      </c>
      <c r="G418" s="151" t="s">
        <v>1748</v>
      </c>
      <c r="H418" s="152">
        <v>44362</v>
      </c>
      <c r="I418" s="151" t="s">
        <v>226</v>
      </c>
      <c r="J418" s="151" t="s">
        <v>226</v>
      </c>
      <c r="K418" s="151" t="s">
        <v>84</v>
      </c>
      <c r="L418" s="153">
        <v>2</v>
      </c>
      <c r="M418" s="153">
        <v>4</v>
      </c>
      <c r="N418" s="171">
        <v>9392</v>
      </c>
      <c r="O418" s="155">
        <v>3.7500000000000006E-2</v>
      </c>
      <c r="P418" s="172">
        <f t="shared" si="116"/>
        <v>352</v>
      </c>
      <c r="Q418" s="155">
        <v>0</v>
      </c>
      <c r="R418" s="172">
        <f t="shared" si="117"/>
        <v>0</v>
      </c>
      <c r="S418" s="155">
        <f t="shared" si="118"/>
        <v>3.7478705281090291E-2</v>
      </c>
      <c r="T418" s="172">
        <f t="shared" si="119"/>
        <v>352</v>
      </c>
      <c r="U418" s="172">
        <f t="shared" si="120"/>
        <v>9744</v>
      </c>
      <c r="V418" s="173">
        <f t="shared" si="114"/>
        <v>9744</v>
      </c>
      <c r="W418" s="174">
        <f t="shared" si="121"/>
        <v>352</v>
      </c>
      <c r="X418" s="159">
        <f t="shared" si="115"/>
        <v>3.7499999999999999E-2</v>
      </c>
      <c r="Y418" s="160" t="str">
        <f t="shared" si="113"/>
        <v>3.00%-4.50%</v>
      </c>
      <c r="Z418" s="175"/>
      <c r="AA418" s="175"/>
      <c r="AB418" s="175"/>
      <c r="AC418" s="162"/>
      <c r="AD418" s="171">
        <f t="shared" si="122"/>
        <v>0</v>
      </c>
      <c r="AE418" s="176">
        <f t="shared" si="123"/>
        <v>9744</v>
      </c>
      <c r="AF418" s="164">
        <f t="shared" si="124"/>
        <v>352</v>
      </c>
      <c r="AG418" s="165">
        <f t="shared" si="125"/>
        <v>3.7478705281090319E-2</v>
      </c>
      <c r="AH418" s="166">
        <v>14</v>
      </c>
      <c r="AI418" s="166">
        <v>450</v>
      </c>
      <c r="AJ418" s="166"/>
      <c r="AK418" s="166">
        <v>688</v>
      </c>
      <c r="AL418" s="166">
        <f t="shared" si="126"/>
        <v>142504</v>
      </c>
      <c r="AM418" s="153">
        <v>3</v>
      </c>
      <c r="AN418" s="166"/>
      <c r="AO418" s="167"/>
      <c r="AP418" s="167"/>
      <c r="AQ418" s="151" t="s">
        <v>1854</v>
      </c>
      <c r="AR418" s="151" t="s">
        <v>124</v>
      </c>
      <c r="AW418" s="144" t="str">
        <f>_xlfn.LET(_xlpm.actual,X418,_xlpm.low,VALUE(_xlfn.TEXTBEFORE(Y418,"-")),_xlpm.high,VALUE(_xlfn.TEXTAFTER(Y418,"-")),IF(AND(_xlpm.actual=0,OR(_xlpm.low&lt;&gt;0,_xlpm.high&lt;&gt;0)),"0 increase",IF(_xlpm.actual&gt;_xlpm.high*1.2,"&gt;20",IF(_xlpm.actual&lt;_xlpm.low*0.8,"&lt;20","OK"))))</f>
        <v>OK</v>
      </c>
      <c r="AX418" s="21" t="s">
        <v>3131</v>
      </c>
      <c r="AY418" s="21" t="s">
        <v>3130</v>
      </c>
      <c r="AZ418" s="21"/>
      <c r="BA418" s="21"/>
    </row>
    <row r="419" spans="1:53" ht="20" customHeight="1">
      <c r="A419" s="86" t="s">
        <v>318</v>
      </c>
      <c r="B419" s="371" t="s">
        <v>2749</v>
      </c>
      <c r="C419" s="151" t="s">
        <v>51</v>
      </c>
      <c r="D419" s="151" t="s">
        <v>52</v>
      </c>
      <c r="E419" s="151" t="s">
        <v>1753</v>
      </c>
      <c r="F419" s="151" t="s">
        <v>1884</v>
      </c>
      <c r="G419" s="151" t="s">
        <v>1748</v>
      </c>
      <c r="H419" s="152">
        <v>44362</v>
      </c>
      <c r="I419" s="151" t="s">
        <v>226</v>
      </c>
      <c r="J419" s="151" t="s">
        <v>226</v>
      </c>
      <c r="K419" s="151" t="s">
        <v>84</v>
      </c>
      <c r="L419" s="153">
        <v>2</v>
      </c>
      <c r="M419" s="153">
        <v>3</v>
      </c>
      <c r="N419" s="171">
        <v>12600</v>
      </c>
      <c r="O419" s="155">
        <v>0</v>
      </c>
      <c r="P419" s="172">
        <f t="shared" si="116"/>
        <v>0</v>
      </c>
      <c r="Q419" s="155">
        <v>0</v>
      </c>
      <c r="R419" s="172">
        <f t="shared" si="117"/>
        <v>0</v>
      </c>
      <c r="S419" s="155">
        <f t="shared" si="118"/>
        <v>0</v>
      </c>
      <c r="T419" s="172">
        <f t="shared" si="119"/>
        <v>0</v>
      </c>
      <c r="U419" s="172">
        <f t="shared" si="120"/>
        <v>12600</v>
      </c>
      <c r="V419" s="173">
        <f t="shared" si="114"/>
        <v>12600</v>
      </c>
      <c r="W419" s="174">
        <f t="shared" si="121"/>
        <v>0</v>
      </c>
      <c r="X419" s="159">
        <f t="shared" si="115"/>
        <v>0</v>
      </c>
      <c r="Y419" s="160" t="str">
        <f t="shared" si="113"/>
        <v>0.00%-0.00%</v>
      </c>
      <c r="Z419" s="175"/>
      <c r="AA419" s="175"/>
      <c r="AB419" s="175"/>
      <c r="AC419" s="162"/>
      <c r="AD419" s="171">
        <f t="shared" si="122"/>
        <v>0</v>
      </c>
      <c r="AE419" s="176">
        <f t="shared" si="123"/>
        <v>12600</v>
      </c>
      <c r="AF419" s="164">
        <f t="shared" si="124"/>
        <v>0</v>
      </c>
      <c r="AG419" s="165">
        <f t="shared" si="125"/>
        <v>0</v>
      </c>
      <c r="AH419" s="166">
        <v>14</v>
      </c>
      <c r="AI419" s="166">
        <v>450</v>
      </c>
      <c r="AJ419" s="166"/>
      <c r="AK419" s="166">
        <v>688</v>
      </c>
      <c r="AL419" s="166">
        <f t="shared" si="126"/>
        <v>182488</v>
      </c>
      <c r="AM419" s="153">
        <v>3</v>
      </c>
      <c r="AN419" s="166"/>
      <c r="AO419" s="167"/>
      <c r="AP419" s="167"/>
      <c r="AQ419" s="151" t="s">
        <v>1854</v>
      </c>
      <c r="AR419" s="151" t="s">
        <v>124</v>
      </c>
      <c r="AW419" s="144" t="str">
        <f>_xlfn.LET(_xlpm.actual,X419,_xlpm.low,VALUE(_xlfn.TEXTBEFORE(Y419,"-")),_xlpm.high,VALUE(_xlfn.TEXTAFTER(Y419,"-")),IF(AND(_xlpm.actual=0,OR(_xlpm.low&lt;&gt;0,_xlpm.high&lt;&gt;0)),"0 increase",IF(_xlpm.actual&gt;_xlpm.high*1.2,"&gt;20",IF(_xlpm.actual&lt;_xlpm.low*0.8,"&lt;20","OK"))))</f>
        <v>OK</v>
      </c>
      <c r="AX419" s="21" t="s">
        <v>3131</v>
      </c>
      <c r="AY419" s="21" t="s">
        <v>3134</v>
      </c>
      <c r="AZ419" s="21"/>
      <c r="BA419" s="21"/>
    </row>
    <row r="420" spans="1:53" ht="20" customHeight="1">
      <c r="A420" s="86" t="s">
        <v>318</v>
      </c>
      <c r="B420" s="371" t="s">
        <v>2750</v>
      </c>
      <c r="C420" s="151" t="s">
        <v>51</v>
      </c>
      <c r="D420" s="151" t="s">
        <v>52</v>
      </c>
      <c r="E420" s="151" t="s">
        <v>1753</v>
      </c>
      <c r="F420" s="151" t="s">
        <v>1863</v>
      </c>
      <c r="G420" s="151" t="s">
        <v>1864</v>
      </c>
      <c r="H420" s="152">
        <v>44468</v>
      </c>
      <c r="I420" s="151" t="s">
        <v>85</v>
      </c>
      <c r="J420" s="151" t="s">
        <v>1897</v>
      </c>
      <c r="K420" s="151" t="s">
        <v>76</v>
      </c>
      <c r="L420" s="153">
        <v>2</v>
      </c>
      <c r="M420" s="153">
        <v>4</v>
      </c>
      <c r="N420" s="171">
        <v>15742</v>
      </c>
      <c r="O420" s="155">
        <v>0.03</v>
      </c>
      <c r="P420" s="172">
        <f t="shared" si="116"/>
        <v>472</v>
      </c>
      <c r="Q420" s="155">
        <v>0</v>
      </c>
      <c r="R420" s="172">
        <f t="shared" si="117"/>
        <v>0</v>
      </c>
      <c r="S420" s="155">
        <f t="shared" si="118"/>
        <v>2.9983483674247236E-2</v>
      </c>
      <c r="T420" s="172">
        <f t="shared" si="119"/>
        <v>472</v>
      </c>
      <c r="U420" s="172">
        <f t="shared" si="120"/>
        <v>16214</v>
      </c>
      <c r="V420" s="173">
        <f t="shared" si="114"/>
        <v>16214</v>
      </c>
      <c r="W420" s="174">
        <f t="shared" si="121"/>
        <v>472</v>
      </c>
      <c r="X420" s="159">
        <f t="shared" si="115"/>
        <v>0.03</v>
      </c>
      <c r="Y420" s="160" t="str">
        <f t="shared" si="113"/>
        <v>2.40%-3.60%</v>
      </c>
      <c r="Z420" s="175"/>
      <c r="AA420" s="175"/>
      <c r="AB420" s="175"/>
      <c r="AC420" s="162"/>
      <c r="AD420" s="171">
        <f t="shared" si="122"/>
        <v>0</v>
      </c>
      <c r="AE420" s="176">
        <f t="shared" si="123"/>
        <v>16214</v>
      </c>
      <c r="AF420" s="164">
        <f t="shared" si="124"/>
        <v>472</v>
      </c>
      <c r="AG420" s="165">
        <f t="shared" si="125"/>
        <v>2.9983483674247191E-2</v>
      </c>
      <c r="AH420" s="166">
        <v>14</v>
      </c>
      <c r="AI420" s="166">
        <v>450</v>
      </c>
      <c r="AJ420" s="166"/>
      <c r="AK420" s="166">
        <v>688</v>
      </c>
      <c r="AL420" s="166">
        <f t="shared" si="126"/>
        <v>233084</v>
      </c>
      <c r="AM420" s="153">
        <v>3</v>
      </c>
      <c r="AN420" s="166"/>
      <c r="AO420" s="167"/>
      <c r="AP420" s="167"/>
      <c r="AQ420" s="151" t="s">
        <v>1854</v>
      </c>
      <c r="AR420" s="151" t="s">
        <v>124</v>
      </c>
      <c r="AW420" s="144" t="str">
        <f>_xlfn.LET(_xlpm.actual,X420,_xlpm.low,VALUE(_xlfn.TEXTBEFORE(Y420,"-")),_xlpm.high,VALUE(_xlfn.TEXTAFTER(Y420,"-")),IF(AND(_xlpm.actual=0,OR(_xlpm.low&lt;&gt;0,_xlpm.high&lt;&gt;0)),"0 increase",IF(_xlpm.actual&gt;_xlpm.high*1.2,"&gt;20",IF(_xlpm.actual&lt;_xlpm.low*0.8,"&lt;20","OK"))))</f>
        <v>OK</v>
      </c>
      <c r="AX420" s="21" t="s">
        <v>3131</v>
      </c>
      <c r="AY420" s="21" t="s">
        <v>3136</v>
      </c>
      <c r="AZ420" s="21"/>
      <c r="BA420" s="21"/>
    </row>
    <row r="421" spans="1:53" ht="20" customHeight="1">
      <c r="A421" s="86" t="s">
        <v>318</v>
      </c>
      <c r="B421" s="371" t="s">
        <v>2751</v>
      </c>
      <c r="C421" s="151" t="s">
        <v>51</v>
      </c>
      <c r="D421" s="151" t="s">
        <v>52</v>
      </c>
      <c r="E421" s="151" t="s">
        <v>1753</v>
      </c>
      <c r="F421" s="151" t="s">
        <v>1867</v>
      </c>
      <c r="G421" s="151" t="s">
        <v>1748</v>
      </c>
      <c r="H421" s="152">
        <v>44487</v>
      </c>
      <c r="I421" s="151" t="s">
        <v>226</v>
      </c>
      <c r="J421" s="151" t="s">
        <v>226</v>
      </c>
      <c r="K421" s="151" t="s">
        <v>84</v>
      </c>
      <c r="L421" s="153">
        <v>2</v>
      </c>
      <c r="M421" s="153">
        <v>4</v>
      </c>
      <c r="N421" s="171">
        <v>11412</v>
      </c>
      <c r="O421" s="155">
        <v>0.03</v>
      </c>
      <c r="P421" s="172">
        <f t="shared" si="116"/>
        <v>342</v>
      </c>
      <c r="Q421" s="155">
        <v>0</v>
      </c>
      <c r="R421" s="172">
        <f t="shared" si="117"/>
        <v>0</v>
      </c>
      <c r="S421" s="155">
        <f t="shared" si="118"/>
        <v>2.996845425867508E-2</v>
      </c>
      <c r="T421" s="172">
        <f t="shared" si="119"/>
        <v>342</v>
      </c>
      <c r="U421" s="172">
        <f t="shared" si="120"/>
        <v>11754</v>
      </c>
      <c r="V421" s="173">
        <f t="shared" si="114"/>
        <v>11754</v>
      </c>
      <c r="W421" s="174">
        <f t="shared" si="121"/>
        <v>342</v>
      </c>
      <c r="X421" s="159">
        <f t="shared" si="115"/>
        <v>0.03</v>
      </c>
      <c r="Y421" s="160" t="str">
        <f t="shared" si="113"/>
        <v>2.40%-3.60%</v>
      </c>
      <c r="Z421" s="175"/>
      <c r="AA421" s="175"/>
      <c r="AB421" s="175"/>
      <c r="AC421" s="162"/>
      <c r="AD421" s="171">
        <f t="shared" si="122"/>
        <v>0</v>
      </c>
      <c r="AE421" s="176">
        <f t="shared" si="123"/>
        <v>11754</v>
      </c>
      <c r="AF421" s="164">
        <f t="shared" si="124"/>
        <v>342</v>
      </c>
      <c r="AG421" s="165">
        <f t="shared" si="125"/>
        <v>2.9968454258675115E-2</v>
      </c>
      <c r="AH421" s="166">
        <v>14</v>
      </c>
      <c r="AI421" s="166">
        <v>450</v>
      </c>
      <c r="AJ421" s="166"/>
      <c r="AK421" s="166">
        <v>688</v>
      </c>
      <c r="AL421" s="166">
        <f t="shared" si="126"/>
        <v>170644</v>
      </c>
      <c r="AM421" s="153">
        <v>4</v>
      </c>
      <c r="AN421" s="166"/>
      <c r="AO421" s="167"/>
      <c r="AP421" s="167"/>
      <c r="AQ421" s="151" t="s">
        <v>1854</v>
      </c>
      <c r="AR421" s="151" t="s">
        <v>124</v>
      </c>
      <c r="AW421" s="144" t="str">
        <f>_xlfn.LET(_xlpm.actual,X421,_xlpm.low,VALUE(_xlfn.TEXTBEFORE(Y421,"-")),_xlpm.high,VALUE(_xlfn.TEXTAFTER(Y421,"-")),IF(AND(_xlpm.actual=0,OR(_xlpm.low&lt;&gt;0,_xlpm.high&lt;&gt;0)),"0 increase",IF(_xlpm.actual&gt;_xlpm.high*1.2,"&gt;20",IF(_xlpm.actual&lt;_xlpm.low*0.8,"&lt;20","OK"))))</f>
        <v>OK</v>
      </c>
      <c r="AX421" s="21" t="s">
        <v>3131</v>
      </c>
      <c r="AY421" s="21" t="s">
        <v>3136</v>
      </c>
      <c r="AZ421" s="21"/>
      <c r="BA421" s="21"/>
    </row>
    <row r="422" spans="1:53" ht="20" customHeight="1">
      <c r="A422" s="86" t="s">
        <v>318</v>
      </c>
      <c r="B422" s="371" t="s">
        <v>2752</v>
      </c>
      <c r="C422" s="151" t="s">
        <v>51</v>
      </c>
      <c r="D422" s="151" t="s">
        <v>52</v>
      </c>
      <c r="E422" s="151" t="s">
        <v>1753</v>
      </c>
      <c r="F422" s="151" t="s">
        <v>1884</v>
      </c>
      <c r="G422" s="151" t="s">
        <v>1748</v>
      </c>
      <c r="H422" s="152">
        <v>44673</v>
      </c>
      <c r="I422" s="151" t="s">
        <v>85</v>
      </c>
      <c r="J422" s="151" t="s">
        <v>85</v>
      </c>
      <c r="K422" s="151" t="s">
        <v>76</v>
      </c>
      <c r="L422" s="153">
        <v>2</v>
      </c>
      <c r="M422" s="153">
        <v>3</v>
      </c>
      <c r="N422" s="171">
        <v>12384</v>
      </c>
      <c r="O422" s="155">
        <v>0</v>
      </c>
      <c r="P422" s="172">
        <f t="shared" si="116"/>
        <v>0</v>
      </c>
      <c r="Q422" s="155">
        <v>0</v>
      </c>
      <c r="R422" s="172">
        <f t="shared" si="117"/>
        <v>0</v>
      </c>
      <c r="S422" s="155">
        <f t="shared" si="118"/>
        <v>0</v>
      </c>
      <c r="T422" s="172">
        <f t="shared" si="119"/>
        <v>0</v>
      </c>
      <c r="U422" s="172">
        <f t="shared" si="120"/>
        <v>12384</v>
      </c>
      <c r="V422" s="173">
        <v>12584</v>
      </c>
      <c r="W422" s="174">
        <f t="shared" si="121"/>
        <v>200</v>
      </c>
      <c r="X422" s="159">
        <f t="shared" si="115"/>
        <v>1.61E-2</v>
      </c>
      <c r="Y422" s="160" t="str">
        <f t="shared" si="113"/>
        <v>0.00%-0.00%</v>
      </c>
      <c r="Z422" s="175"/>
      <c r="AA422" s="175"/>
      <c r="AB422" s="175"/>
      <c r="AC422" s="162"/>
      <c r="AD422" s="171">
        <f t="shared" si="122"/>
        <v>0</v>
      </c>
      <c r="AE422" s="176">
        <f t="shared" si="123"/>
        <v>12584</v>
      </c>
      <c r="AF422" s="164">
        <f t="shared" si="124"/>
        <v>200</v>
      </c>
      <c r="AG422" s="165">
        <f t="shared" si="125"/>
        <v>1.6149870801033694E-2</v>
      </c>
      <c r="AH422" s="166">
        <v>14</v>
      </c>
      <c r="AI422" s="166">
        <v>450</v>
      </c>
      <c r="AJ422" s="166"/>
      <c r="AK422" s="166">
        <v>688</v>
      </c>
      <c r="AL422" s="166">
        <f t="shared" si="126"/>
        <v>182264</v>
      </c>
      <c r="AM422" s="153">
        <v>4</v>
      </c>
      <c r="AN422" s="166"/>
      <c r="AO422" s="167"/>
      <c r="AP422" s="167"/>
      <c r="AQ422" s="151" t="s">
        <v>1854</v>
      </c>
      <c r="AR422" s="151" t="s">
        <v>124</v>
      </c>
      <c r="AW422" s="144" t="str">
        <f t="shared" ref="AW422:AW423" si="128">_xlfn.LET(_xlpm.actual,X422,_xlpm.low,VALUE(_xlfn.TEXTBEFORE(Y422,"-")),_xlpm.high,VALUE(_xlfn.TEXTAFTER(Y422,"-")),IF(AND(_xlpm.actual=0,OR(_xlpm.low&lt;&gt;0,_xlpm.high&lt;&gt;0)),"0 increase",IF(_xlpm.actual&gt;_xlpm.high*1.2,"&gt;20",IF(_xlpm.actual&lt;_xlpm.low*0.8,"&lt;20","OK"))))</f>
        <v>&gt;20</v>
      </c>
      <c r="AX422" s="21" t="s">
        <v>3131</v>
      </c>
      <c r="AY422" s="21" t="s">
        <v>3134</v>
      </c>
      <c r="AZ422" s="21"/>
      <c r="BA422" s="21"/>
    </row>
    <row r="423" spans="1:53" ht="20" customHeight="1">
      <c r="A423" s="86" t="s">
        <v>318</v>
      </c>
      <c r="B423" s="373" t="s">
        <v>2753</v>
      </c>
      <c r="C423" s="194" t="s">
        <v>51</v>
      </c>
      <c r="D423" s="194" t="s">
        <v>52</v>
      </c>
      <c r="E423" s="151" t="s">
        <v>1753</v>
      </c>
      <c r="F423" s="194" t="s">
        <v>1894</v>
      </c>
      <c r="G423" s="194" t="s">
        <v>1748</v>
      </c>
      <c r="H423" s="195">
        <v>44676</v>
      </c>
      <c r="I423" s="194" t="s">
        <v>226</v>
      </c>
      <c r="J423" s="194" t="s">
        <v>226</v>
      </c>
      <c r="K423" s="194" t="s">
        <v>84</v>
      </c>
      <c r="L423" s="196">
        <v>2</v>
      </c>
      <c r="M423" s="196">
        <v>4</v>
      </c>
      <c r="N423" s="201">
        <v>13358</v>
      </c>
      <c r="O423" s="202">
        <v>1.4999999999999998E-2</v>
      </c>
      <c r="P423" s="203">
        <f t="shared" si="116"/>
        <v>200</v>
      </c>
      <c r="Q423" s="202">
        <v>0</v>
      </c>
      <c r="R423" s="203">
        <f t="shared" si="117"/>
        <v>0</v>
      </c>
      <c r="S423" s="202">
        <f t="shared" si="118"/>
        <v>1.4972301242701004E-2</v>
      </c>
      <c r="T423" s="203">
        <f t="shared" si="119"/>
        <v>200</v>
      </c>
      <c r="U423" s="203">
        <f t="shared" si="120"/>
        <v>13558</v>
      </c>
      <c r="V423" s="204">
        <f t="shared" si="114"/>
        <v>13558</v>
      </c>
      <c r="W423" s="205">
        <f t="shared" si="121"/>
        <v>200</v>
      </c>
      <c r="X423" s="206">
        <f t="shared" si="115"/>
        <v>1.4999999999999999E-2</v>
      </c>
      <c r="Y423" s="207" t="str">
        <f t="shared" si="113"/>
        <v>1.20%-1.80%</v>
      </c>
      <c r="Z423" s="208"/>
      <c r="AA423" s="208"/>
      <c r="AB423" s="208"/>
      <c r="AC423" s="209"/>
      <c r="AD423" s="201">
        <f t="shared" si="122"/>
        <v>0</v>
      </c>
      <c r="AE423" s="210">
        <f t="shared" si="123"/>
        <v>13558</v>
      </c>
      <c r="AF423" s="197">
        <f t="shared" si="124"/>
        <v>200</v>
      </c>
      <c r="AG423" s="211">
        <f t="shared" si="125"/>
        <v>1.4972301242700992E-2</v>
      </c>
      <c r="AH423" s="198">
        <v>14</v>
      </c>
      <c r="AI423" s="198">
        <v>450</v>
      </c>
      <c r="AJ423" s="198"/>
      <c r="AK423" s="198">
        <v>688</v>
      </c>
      <c r="AL423" s="198">
        <f t="shared" si="126"/>
        <v>195900</v>
      </c>
      <c r="AM423" s="196" t="s">
        <v>176</v>
      </c>
      <c r="AN423" s="198"/>
      <c r="AO423" s="199"/>
      <c r="AP423" s="199"/>
      <c r="AQ423" s="194" t="s">
        <v>1854</v>
      </c>
      <c r="AR423" s="194" t="s">
        <v>124</v>
      </c>
      <c r="AW423" s="144" t="str">
        <f t="shared" si="128"/>
        <v>OK</v>
      </c>
      <c r="AX423" s="21" t="s">
        <v>3131</v>
      </c>
      <c r="AY423" s="21" t="s">
        <v>3142</v>
      </c>
      <c r="AZ423" s="21"/>
      <c r="BA423" s="21"/>
    </row>
    <row r="424" spans="1:53" ht="20" customHeight="1">
      <c r="A424" s="86" t="s">
        <v>318</v>
      </c>
      <c r="B424" s="372" t="s">
        <v>2754</v>
      </c>
      <c r="C424" s="5" t="s">
        <v>51</v>
      </c>
      <c r="D424" s="5" t="s">
        <v>52</v>
      </c>
      <c r="E424" s="5" t="s">
        <v>1902</v>
      </c>
      <c r="F424" s="5" t="s">
        <v>1902</v>
      </c>
      <c r="G424" s="5" t="s">
        <v>1903</v>
      </c>
      <c r="H424" s="6">
        <v>36479</v>
      </c>
      <c r="I424" s="5" t="s">
        <v>1728</v>
      </c>
      <c r="J424" s="5" t="s">
        <v>1729</v>
      </c>
      <c r="K424" s="5" t="s">
        <v>61</v>
      </c>
      <c r="L424" s="7">
        <v>2</v>
      </c>
      <c r="M424" s="7">
        <v>4</v>
      </c>
      <c r="N424" s="8">
        <v>21682</v>
      </c>
      <c r="O424" s="88">
        <v>3.7500000000000006E-2</v>
      </c>
      <c r="P424" s="10">
        <f t="shared" ref="P424:P458" si="129">ROUND(N424*O424,0)</f>
        <v>813</v>
      </c>
      <c r="Q424" s="88">
        <v>1.55E-2</v>
      </c>
      <c r="R424" s="10">
        <f t="shared" ref="R424:R458" si="130">ROUND(N424*Q424,0)</f>
        <v>336</v>
      </c>
      <c r="S424" s="88">
        <f t="shared" ref="S424:S458" si="131">T424/N424</f>
        <v>5.2993266303846508E-2</v>
      </c>
      <c r="T424" s="10">
        <f t="shared" ref="T424:T458" si="132">P424+R424</f>
        <v>1149</v>
      </c>
      <c r="U424" s="10">
        <f t="shared" ref="U424:U458" si="133">N424+T424</f>
        <v>22831</v>
      </c>
      <c r="V424" s="11">
        <v>23050</v>
      </c>
      <c r="W424" s="12">
        <f t="shared" ref="W424:W458" si="134">V424-N424</f>
        <v>1368</v>
      </c>
      <c r="X424" s="92">
        <f t="shared" ref="X424:X453" si="135">ROUND(V424/N424-1,4)</f>
        <v>6.3100000000000003E-2</v>
      </c>
      <c r="Y424" s="93" t="str">
        <f t="shared" ref="Y424:Y435" si="136">IF(OR(L424=1,L424=2,L424=4),TEXT(S424*0.8,"0.00%")&amp;"-"&amp;TEXT(S424*1.2,"0.00%"),IF(OR(L424=3,L424=6),TEXT(0,"0.00%")&amp;"-"&amp;TEXT(7%*1.2,"0.00%"),IF(OR(L424=5,L424=7),TEXT((R424/N424),"0.00%")&amp;"-"&amp;TEXT((R424/N424)+7%,"0.00%"),"")))</f>
        <v>4.24%-6.36%</v>
      </c>
      <c r="Z424" s="15"/>
      <c r="AA424" s="15"/>
      <c r="AB424" s="15"/>
      <c r="AC424" s="95"/>
      <c r="AD424" s="8">
        <f t="shared" ref="AD424:AD458" si="137">ROUND(N424*AC424,0)</f>
        <v>0</v>
      </c>
      <c r="AE424" s="17">
        <f t="shared" ref="AE424:AE458" si="138">V424+AD424</f>
        <v>23050</v>
      </c>
      <c r="AF424" s="18">
        <f t="shared" ref="AF424:AF458" si="139">AE424-N424</f>
        <v>1368</v>
      </c>
      <c r="AG424" s="97">
        <f t="shared" ref="AG424:AG458" si="140">AE424/N424-1</f>
        <v>6.3093810534083472E-2</v>
      </c>
      <c r="AH424" s="20">
        <v>14</v>
      </c>
      <c r="AI424" s="20">
        <v>450</v>
      </c>
      <c r="AJ424" s="20"/>
      <c r="AK424" s="20">
        <v>688</v>
      </c>
      <c r="AL424" s="20">
        <f t="shared" ref="AL424:AL458" si="141">AE424*AH424+AI424*12+AK424+IF(AB424="",AJ424,IF(AB424="D",5000,IF(AB424="C",1000,0)))*12</f>
        <v>328788</v>
      </c>
      <c r="AM424" s="7">
        <v>3</v>
      </c>
      <c r="AN424" s="20"/>
      <c r="AO424" s="21"/>
      <c r="AP424" s="21"/>
      <c r="AQ424" s="5" t="s">
        <v>1904</v>
      </c>
      <c r="AR424" s="5" t="s">
        <v>69</v>
      </c>
      <c r="AW424" s="144" t="str">
        <f t="shared" si="127"/>
        <v>OK</v>
      </c>
      <c r="AX424" s="21" t="s">
        <v>3137</v>
      </c>
      <c r="AY424" s="21" t="s">
        <v>3130</v>
      </c>
      <c r="AZ424" s="21"/>
      <c r="BA424" s="21"/>
    </row>
    <row r="425" spans="1:53" ht="20" customHeight="1">
      <c r="A425" s="86" t="s">
        <v>318</v>
      </c>
      <c r="B425" s="372" t="s">
        <v>2755</v>
      </c>
      <c r="C425" s="5" t="s">
        <v>51</v>
      </c>
      <c r="D425" s="5" t="s">
        <v>52</v>
      </c>
      <c r="E425" s="5" t="s">
        <v>1902</v>
      </c>
      <c r="F425" s="5" t="s">
        <v>1902</v>
      </c>
      <c r="G425" s="5" t="s">
        <v>1903</v>
      </c>
      <c r="H425" s="6">
        <v>39266</v>
      </c>
      <c r="I425" s="5" t="s">
        <v>1727</v>
      </c>
      <c r="J425" s="5" t="s">
        <v>1727</v>
      </c>
      <c r="K425" s="5" t="s">
        <v>56</v>
      </c>
      <c r="L425" s="7">
        <v>2</v>
      </c>
      <c r="M425" s="7">
        <v>3</v>
      </c>
      <c r="N425" s="8">
        <v>25993</v>
      </c>
      <c r="O425" s="88">
        <v>2.5000000000000001E-2</v>
      </c>
      <c r="P425" s="10">
        <f t="shared" si="129"/>
        <v>650</v>
      </c>
      <c r="Q425" s="88">
        <v>0</v>
      </c>
      <c r="R425" s="10">
        <f t="shared" si="130"/>
        <v>0</v>
      </c>
      <c r="S425" s="88">
        <f t="shared" si="131"/>
        <v>2.5006732581848958E-2</v>
      </c>
      <c r="T425" s="10">
        <f t="shared" si="132"/>
        <v>650</v>
      </c>
      <c r="U425" s="10">
        <f t="shared" si="133"/>
        <v>26643</v>
      </c>
      <c r="V425" s="11">
        <v>26773</v>
      </c>
      <c r="W425" s="12">
        <f t="shared" si="134"/>
        <v>780</v>
      </c>
      <c r="X425" s="92">
        <f t="shared" si="135"/>
        <v>0.03</v>
      </c>
      <c r="Y425" s="93" t="str">
        <f t="shared" si="136"/>
        <v>2.00%-3.00%</v>
      </c>
      <c r="Z425" s="15"/>
      <c r="AA425" s="15"/>
      <c r="AB425" s="15"/>
      <c r="AC425" s="95"/>
      <c r="AD425" s="8">
        <f t="shared" si="137"/>
        <v>0</v>
      </c>
      <c r="AE425" s="17">
        <f t="shared" si="138"/>
        <v>26773</v>
      </c>
      <c r="AF425" s="18">
        <f t="shared" si="139"/>
        <v>780</v>
      </c>
      <c r="AG425" s="97">
        <f t="shared" si="140"/>
        <v>3.0008079098218676E-2</v>
      </c>
      <c r="AH425" s="20">
        <v>14</v>
      </c>
      <c r="AI425" s="20">
        <v>500</v>
      </c>
      <c r="AJ425" s="20"/>
      <c r="AK425" s="20">
        <v>688</v>
      </c>
      <c r="AL425" s="20">
        <f t="shared" si="141"/>
        <v>381510</v>
      </c>
      <c r="AM425" s="7">
        <v>4</v>
      </c>
      <c r="AN425" s="20"/>
      <c r="AO425" s="21"/>
      <c r="AP425" s="21"/>
      <c r="AQ425" s="5" t="s">
        <v>1904</v>
      </c>
      <c r="AR425" s="5" t="s">
        <v>69</v>
      </c>
      <c r="AW425" s="144" t="str">
        <f t="shared" si="127"/>
        <v>OK</v>
      </c>
      <c r="AX425" s="21" t="s">
        <v>3129</v>
      </c>
      <c r="AY425" s="21" t="s">
        <v>3130</v>
      </c>
      <c r="AZ425" s="21"/>
      <c r="BA425" s="21"/>
    </row>
    <row r="426" spans="1:53" ht="20" customHeight="1">
      <c r="A426" s="86" t="s">
        <v>318</v>
      </c>
      <c r="B426" s="372" t="s">
        <v>2756</v>
      </c>
      <c r="C426" s="5" t="s">
        <v>51</v>
      </c>
      <c r="D426" s="5" t="s">
        <v>52</v>
      </c>
      <c r="E426" s="5" t="s">
        <v>1902</v>
      </c>
      <c r="F426" s="5" t="s">
        <v>1902</v>
      </c>
      <c r="G426" s="5" t="s">
        <v>1903</v>
      </c>
      <c r="H426" s="6">
        <v>41793</v>
      </c>
      <c r="I426" s="5" t="s">
        <v>1727</v>
      </c>
      <c r="J426" s="5" t="s">
        <v>1727</v>
      </c>
      <c r="K426" s="5" t="s">
        <v>56</v>
      </c>
      <c r="L426" s="7">
        <v>2</v>
      </c>
      <c r="M426" s="7">
        <v>3</v>
      </c>
      <c r="N426" s="8">
        <v>33125</v>
      </c>
      <c r="O426" s="88">
        <v>0</v>
      </c>
      <c r="P426" s="10">
        <f t="shared" si="129"/>
        <v>0</v>
      </c>
      <c r="Q426" s="88">
        <v>0</v>
      </c>
      <c r="R426" s="10">
        <f t="shared" si="130"/>
        <v>0</v>
      </c>
      <c r="S426" s="88">
        <f t="shared" si="131"/>
        <v>0</v>
      </c>
      <c r="T426" s="10">
        <f t="shared" si="132"/>
        <v>0</v>
      </c>
      <c r="U426" s="10">
        <f t="shared" si="133"/>
        <v>33125</v>
      </c>
      <c r="V426" s="11">
        <v>33625</v>
      </c>
      <c r="W426" s="12">
        <f t="shared" si="134"/>
        <v>500</v>
      </c>
      <c r="X426" s="92">
        <f t="shared" si="135"/>
        <v>1.5100000000000001E-2</v>
      </c>
      <c r="Y426" s="93" t="str">
        <f t="shared" si="136"/>
        <v>0.00%-0.00%</v>
      </c>
      <c r="Z426" s="15"/>
      <c r="AA426" s="15"/>
      <c r="AB426" s="15"/>
      <c r="AC426" s="95"/>
      <c r="AD426" s="8">
        <f t="shared" si="137"/>
        <v>0</v>
      </c>
      <c r="AE426" s="17">
        <f t="shared" si="138"/>
        <v>33625</v>
      </c>
      <c r="AF426" s="18">
        <f t="shared" si="139"/>
        <v>500</v>
      </c>
      <c r="AG426" s="97">
        <f t="shared" si="140"/>
        <v>1.5094339622641506E-2</v>
      </c>
      <c r="AH426" s="20">
        <v>14</v>
      </c>
      <c r="AI426" s="20">
        <v>450</v>
      </c>
      <c r="AJ426" s="20"/>
      <c r="AK426" s="20">
        <v>688</v>
      </c>
      <c r="AL426" s="20">
        <f t="shared" si="141"/>
        <v>476838</v>
      </c>
      <c r="AM426" s="7">
        <v>3</v>
      </c>
      <c r="AN426" s="20"/>
      <c r="AO426" s="21" t="s">
        <v>1905</v>
      </c>
      <c r="AP426" s="21" t="s">
        <v>90</v>
      </c>
      <c r="AQ426" s="5" t="s">
        <v>1904</v>
      </c>
      <c r="AR426" s="5" t="s">
        <v>69</v>
      </c>
      <c r="AW426" s="144" t="str">
        <f t="shared" si="127"/>
        <v>&gt;20</v>
      </c>
      <c r="AX426" s="21" t="s">
        <v>3135</v>
      </c>
      <c r="AY426" s="21" t="s">
        <v>3134</v>
      </c>
      <c r="AZ426" s="21"/>
      <c r="BA426" s="21"/>
    </row>
    <row r="427" spans="1:53" ht="20" customHeight="1">
      <c r="A427" s="86" t="s">
        <v>318</v>
      </c>
      <c r="B427" s="372" t="s">
        <v>2757</v>
      </c>
      <c r="C427" s="5" t="s">
        <v>51</v>
      </c>
      <c r="D427" s="5" t="s">
        <v>52</v>
      </c>
      <c r="E427" s="5" t="s">
        <v>1902</v>
      </c>
      <c r="F427" s="5" t="s">
        <v>1902</v>
      </c>
      <c r="G427" s="5" t="s">
        <v>1903</v>
      </c>
      <c r="H427" s="6">
        <v>43864</v>
      </c>
      <c r="I427" s="5" t="s">
        <v>85</v>
      </c>
      <c r="J427" s="5" t="s">
        <v>1906</v>
      </c>
      <c r="K427" s="5" t="s">
        <v>76</v>
      </c>
      <c r="L427" s="7">
        <v>2</v>
      </c>
      <c r="M427" s="7">
        <v>4</v>
      </c>
      <c r="N427" s="8">
        <v>15188</v>
      </c>
      <c r="O427" s="88">
        <v>3.7500000000000006E-2</v>
      </c>
      <c r="P427" s="10">
        <f t="shared" si="129"/>
        <v>570</v>
      </c>
      <c r="Q427" s="88">
        <v>1.55E-2</v>
      </c>
      <c r="R427" s="10">
        <f t="shared" si="130"/>
        <v>235</v>
      </c>
      <c r="S427" s="88">
        <f t="shared" si="131"/>
        <v>5.3002370292336058E-2</v>
      </c>
      <c r="T427" s="10">
        <f t="shared" si="132"/>
        <v>805</v>
      </c>
      <c r="U427" s="10">
        <f t="shared" si="133"/>
        <v>15993</v>
      </c>
      <c r="V427" s="11">
        <v>15990</v>
      </c>
      <c r="W427" s="12">
        <f t="shared" si="134"/>
        <v>802</v>
      </c>
      <c r="X427" s="92">
        <f t="shared" si="135"/>
        <v>5.28E-2</v>
      </c>
      <c r="Y427" s="93" t="str">
        <f t="shared" si="136"/>
        <v>4.24%-6.36%</v>
      </c>
      <c r="Z427" s="15" t="s">
        <v>87</v>
      </c>
      <c r="AA427" s="15" t="s">
        <v>1729</v>
      </c>
      <c r="AB427" s="15" t="s">
        <v>89</v>
      </c>
      <c r="AC427" s="95">
        <v>6.6500000000000004E-2</v>
      </c>
      <c r="AD427" s="8">
        <f t="shared" si="137"/>
        <v>1010</v>
      </c>
      <c r="AE427" s="17">
        <f t="shared" si="138"/>
        <v>17000</v>
      </c>
      <c r="AF427" s="18">
        <f t="shared" si="139"/>
        <v>1812</v>
      </c>
      <c r="AG427" s="97">
        <f t="shared" si="140"/>
        <v>0.11930471424809053</v>
      </c>
      <c r="AH427" s="20">
        <v>14</v>
      </c>
      <c r="AI427" s="20">
        <v>450</v>
      </c>
      <c r="AJ427" s="20"/>
      <c r="AK427" s="20">
        <v>688</v>
      </c>
      <c r="AL427" s="20">
        <f t="shared" si="141"/>
        <v>244088</v>
      </c>
      <c r="AM427" s="7">
        <v>3</v>
      </c>
      <c r="AN427" s="20"/>
      <c r="AO427" s="21" t="s">
        <v>90</v>
      </c>
      <c r="AP427" s="21" t="s">
        <v>90</v>
      </c>
      <c r="AQ427" s="5" t="s">
        <v>1904</v>
      </c>
      <c r="AR427" s="5" t="s">
        <v>69</v>
      </c>
      <c r="AW427" s="144" t="str">
        <f t="shared" si="127"/>
        <v>OK</v>
      </c>
      <c r="AX427" s="21" t="s">
        <v>3133</v>
      </c>
      <c r="AY427" s="21" t="s">
        <v>3130</v>
      </c>
      <c r="AZ427" s="21"/>
      <c r="BA427" s="21"/>
    </row>
    <row r="428" spans="1:53" ht="20" customHeight="1">
      <c r="A428" s="86" t="s">
        <v>318</v>
      </c>
      <c r="B428" s="372" t="s">
        <v>2758</v>
      </c>
      <c r="C428" s="5" t="s">
        <v>51</v>
      </c>
      <c r="D428" s="5" t="s">
        <v>52</v>
      </c>
      <c r="E428" s="5" t="s">
        <v>1902</v>
      </c>
      <c r="F428" s="5" t="s">
        <v>1902</v>
      </c>
      <c r="G428" s="5" t="s">
        <v>1903</v>
      </c>
      <c r="H428" s="6">
        <v>40303</v>
      </c>
      <c r="I428" s="5" t="s">
        <v>226</v>
      </c>
      <c r="J428" s="5" t="s">
        <v>1907</v>
      </c>
      <c r="K428" s="5" t="s">
        <v>84</v>
      </c>
      <c r="L428" s="7">
        <v>2</v>
      </c>
      <c r="M428" s="7">
        <v>3</v>
      </c>
      <c r="N428" s="8">
        <v>11723</v>
      </c>
      <c r="O428" s="88">
        <v>2.5000000000000001E-2</v>
      </c>
      <c r="P428" s="10">
        <f t="shared" si="129"/>
        <v>293</v>
      </c>
      <c r="Q428" s="88">
        <v>0</v>
      </c>
      <c r="R428" s="10">
        <f t="shared" si="130"/>
        <v>0</v>
      </c>
      <c r="S428" s="88">
        <f t="shared" si="131"/>
        <v>2.4993602320225197E-2</v>
      </c>
      <c r="T428" s="10">
        <f t="shared" si="132"/>
        <v>293</v>
      </c>
      <c r="U428" s="10">
        <f t="shared" si="133"/>
        <v>12016</v>
      </c>
      <c r="V428" s="11">
        <v>12065</v>
      </c>
      <c r="W428" s="12">
        <f t="shared" si="134"/>
        <v>342</v>
      </c>
      <c r="X428" s="92">
        <f t="shared" si="135"/>
        <v>2.92E-2</v>
      </c>
      <c r="Y428" s="93" t="str">
        <f t="shared" si="136"/>
        <v>2.00%-3.00%</v>
      </c>
      <c r="Z428" s="15"/>
      <c r="AA428" s="15"/>
      <c r="AB428" s="15"/>
      <c r="AC428" s="95"/>
      <c r="AD428" s="8">
        <f t="shared" si="137"/>
        <v>0</v>
      </c>
      <c r="AE428" s="17">
        <f t="shared" si="138"/>
        <v>12065</v>
      </c>
      <c r="AF428" s="18">
        <f t="shared" si="139"/>
        <v>342</v>
      </c>
      <c r="AG428" s="97">
        <f t="shared" si="140"/>
        <v>2.9173419773095732E-2</v>
      </c>
      <c r="AH428" s="20">
        <v>14</v>
      </c>
      <c r="AI428" s="20">
        <v>450</v>
      </c>
      <c r="AJ428" s="20"/>
      <c r="AK428" s="20">
        <v>688</v>
      </c>
      <c r="AL428" s="20">
        <f t="shared" si="141"/>
        <v>174998</v>
      </c>
      <c r="AM428" s="7">
        <v>3</v>
      </c>
      <c r="AN428" s="20"/>
      <c r="AO428" s="21"/>
      <c r="AP428" s="21"/>
      <c r="AQ428" s="5" t="s">
        <v>1904</v>
      </c>
      <c r="AR428" s="5" t="s">
        <v>69</v>
      </c>
      <c r="AW428" s="144" t="str">
        <f t="shared" si="127"/>
        <v>OK</v>
      </c>
      <c r="AX428" s="21" t="s">
        <v>3129</v>
      </c>
      <c r="AY428" s="21" t="s">
        <v>3130</v>
      </c>
      <c r="AZ428" s="21"/>
      <c r="BA428" s="21"/>
    </row>
    <row r="429" spans="1:53" ht="20" customHeight="1">
      <c r="A429" s="86" t="s">
        <v>318</v>
      </c>
      <c r="B429" s="372" t="s">
        <v>2759</v>
      </c>
      <c r="C429" s="5" t="s">
        <v>51</v>
      </c>
      <c r="D429" s="5" t="s">
        <v>52</v>
      </c>
      <c r="E429" s="5" t="s">
        <v>1902</v>
      </c>
      <c r="F429" s="5" t="s">
        <v>1902</v>
      </c>
      <c r="G429" s="5" t="s">
        <v>1903</v>
      </c>
      <c r="H429" s="6">
        <v>40360</v>
      </c>
      <c r="I429" s="5" t="s">
        <v>1908</v>
      </c>
      <c r="J429" s="5" t="s">
        <v>1909</v>
      </c>
      <c r="K429" s="5" t="s">
        <v>56</v>
      </c>
      <c r="L429" s="7">
        <v>2</v>
      </c>
      <c r="M429" s="7">
        <v>3</v>
      </c>
      <c r="N429" s="8">
        <v>21000</v>
      </c>
      <c r="O429" s="88">
        <v>2.5000000000000001E-2</v>
      </c>
      <c r="P429" s="10">
        <f t="shared" si="129"/>
        <v>525</v>
      </c>
      <c r="Q429" s="88">
        <v>0</v>
      </c>
      <c r="R429" s="10">
        <f t="shared" si="130"/>
        <v>0</v>
      </c>
      <c r="S429" s="88">
        <f t="shared" si="131"/>
        <v>2.5000000000000001E-2</v>
      </c>
      <c r="T429" s="10">
        <f t="shared" si="132"/>
        <v>525</v>
      </c>
      <c r="U429" s="10">
        <f t="shared" si="133"/>
        <v>21525</v>
      </c>
      <c r="V429" s="11">
        <v>21800</v>
      </c>
      <c r="W429" s="12">
        <f t="shared" si="134"/>
        <v>800</v>
      </c>
      <c r="X429" s="92">
        <f t="shared" si="135"/>
        <v>3.8100000000000002E-2</v>
      </c>
      <c r="Y429" s="93" t="str">
        <f t="shared" si="136"/>
        <v>2.00%-3.00%</v>
      </c>
      <c r="Z429" s="15"/>
      <c r="AA429" s="15"/>
      <c r="AB429" s="15"/>
      <c r="AC429" s="95"/>
      <c r="AD429" s="8">
        <f t="shared" si="137"/>
        <v>0</v>
      </c>
      <c r="AE429" s="17">
        <f t="shared" si="138"/>
        <v>21800</v>
      </c>
      <c r="AF429" s="18">
        <f t="shared" si="139"/>
        <v>800</v>
      </c>
      <c r="AG429" s="97">
        <f t="shared" si="140"/>
        <v>3.8095238095238182E-2</v>
      </c>
      <c r="AH429" s="20">
        <v>14</v>
      </c>
      <c r="AI429" s="20">
        <v>450</v>
      </c>
      <c r="AJ429" s="20"/>
      <c r="AK429" s="20">
        <v>688</v>
      </c>
      <c r="AL429" s="20">
        <f t="shared" si="141"/>
        <v>311288</v>
      </c>
      <c r="AM429" s="7">
        <v>3</v>
      </c>
      <c r="AN429" s="20"/>
      <c r="AO429" s="21" t="s">
        <v>1910</v>
      </c>
      <c r="AP429" s="21" t="s">
        <v>90</v>
      </c>
      <c r="AQ429" s="5" t="s">
        <v>1904</v>
      </c>
      <c r="AR429" s="5" t="s">
        <v>69</v>
      </c>
      <c r="AW429" s="144" t="str">
        <f t="shared" si="127"/>
        <v>&gt;20</v>
      </c>
      <c r="AX429" s="21" t="s">
        <v>3135</v>
      </c>
      <c r="AY429" s="21" t="s">
        <v>3130</v>
      </c>
      <c r="AZ429" s="21"/>
      <c r="BA429" s="21"/>
    </row>
    <row r="430" spans="1:53" ht="20" customHeight="1">
      <c r="A430" s="86" t="s">
        <v>318</v>
      </c>
      <c r="B430" s="372" t="s">
        <v>2760</v>
      </c>
      <c r="C430" s="5" t="s">
        <v>51</v>
      </c>
      <c r="D430" s="5" t="s">
        <v>52</v>
      </c>
      <c r="E430" s="5" t="s">
        <v>1902</v>
      </c>
      <c r="F430" s="5" t="s">
        <v>1902</v>
      </c>
      <c r="G430" s="5" t="s">
        <v>1911</v>
      </c>
      <c r="H430" s="6">
        <v>41857</v>
      </c>
      <c r="I430" s="5" t="s">
        <v>73</v>
      </c>
      <c r="J430" s="5" t="s">
        <v>73</v>
      </c>
      <c r="K430" s="5" t="s">
        <v>61</v>
      </c>
      <c r="L430" s="7">
        <v>2</v>
      </c>
      <c r="M430" s="7">
        <v>3</v>
      </c>
      <c r="N430" s="8">
        <v>23030</v>
      </c>
      <c r="O430" s="88">
        <v>0</v>
      </c>
      <c r="P430" s="10">
        <f t="shared" si="129"/>
        <v>0</v>
      </c>
      <c r="Q430" s="88">
        <v>0</v>
      </c>
      <c r="R430" s="10">
        <f t="shared" si="130"/>
        <v>0</v>
      </c>
      <c r="S430" s="88">
        <f t="shared" si="131"/>
        <v>0</v>
      </c>
      <c r="T430" s="10">
        <f t="shared" si="132"/>
        <v>0</v>
      </c>
      <c r="U430" s="10">
        <f t="shared" si="133"/>
        <v>23030</v>
      </c>
      <c r="V430" s="11">
        <v>23530</v>
      </c>
      <c r="W430" s="12">
        <f t="shared" si="134"/>
        <v>500</v>
      </c>
      <c r="X430" s="92">
        <f t="shared" si="135"/>
        <v>2.1700000000000001E-2</v>
      </c>
      <c r="Y430" s="93" t="str">
        <f t="shared" si="136"/>
        <v>0.00%-0.00%</v>
      </c>
      <c r="Z430" s="15"/>
      <c r="AA430" s="15"/>
      <c r="AB430" s="15"/>
      <c r="AC430" s="95"/>
      <c r="AD430" s="8">
        <f t="shared" si="137"/>
        <v>0</v>
      </c>
      <c r="AE430" s="17">
        <f t="shared" si="138"/>
        <v>23530</v>
      </c>
      <c r="AF430" s="18">
        <f t="shared" si="139"/>
        <v>500</v>
      </c>
      <c r="AG430" s="97">
        <f t="shared" si="140"/>
        <v>2.1710811984368306E-2</v>
      </c>
      <c r="AH430" s="20">
        <v>14</v>
      </c>
      <c r="AI430" s="20">
        <v>450</v>
      </c>
      <c r="AJ430" s="20"/>
      <c r="AK430" s="20">
        <v>688</v>
      </c>
      <c r="AL430" s="20">
        <f t="shared" si="141"/>
        <v>335508</v>
      </c>
      <c r="AM430" s="7">
        <v>5</v>
      </c>
      <c r="AN430" s="20"/>
      <c r="AO430" s="21" t="s">
        <v>1912</v>
      </c>
      <c r="AP430" s="21" t="s">
        <v>90</v>
      </c>
      <c r="AQ430" s="5" t="s">
        <v>1904</v>
      </c>
      <c r="AR430" s="5" t="s">
        <v>69</v>
      </c>
      <c r="AW430" s="144" t="str">
        <f t="shared" si="127"/>
        <v>&gt;20</v>
      </c>
      <c r="AX430" s="21" t="s">
        <v>3135</v>
      </c>
      <c r="AY430" s="21" t="s">
        <v>3134</v>
      </c>
      <c r="AZ430" s="21"/>
      <c r="BA430" s="21"/>
    </row>
    <row r="431" spans="1:53" ht="20" customHeight="1">
      <c r="A431" s="86" t="s">
        <v>318</v>
      </c>
      <c r="B431" s="372" t="s">
        <v>2761</v>
      </c>
      <c r="C431" s="5" t="s">
        <v>51</v>
      </c>
      <c r="D431" s="5" t="s">
        <v>52</v>
      </c>
      <c r="E431" s="5" t="s">
        <v>1902</v>
      </c>
      <c r="F431" s="5" t="s">
        <v>1902</v>
      </c>
      <c r="G431" s="5" t="s">
        <v>1911</v>
      </c>
      <c r="H431" s="6">
        <v>41183</v>
      </c>
      <c r="I431" s="5" t="s">
        <v>73</v>
      </c>
      <c r="J431" s="5" t="s">
        <v>73</v>
      </c>
      <c r="K431" s="5" t="s">
        <v>61</v>
      </c>
      <c r="L431" s="7">
        <v>2</v>
      </c>
      <c r="M431" s="7">
        <v>3</v>
      </c>
      <c r="N431" s="8">
        <v>13040</v>
      </c>
      <c r="O431" s="88">
        <v>0.03</v>
      </c>
      <c r="P431" s="10">
        <f t="shared" si="129"/>
        <v>391</v>
      </c>
      <c r="Q431" s="88">
        <v>0</v>
      </c>
      <c r="R431" s="10">
        <f t="shared" si="130"/>
        <v>0</v>
      </c>
      <c r="S431" s="88">
        <f t="shared" si="131"/>
        <v>2.9984662576687117E-2</v>
      </c>
      <c r="T431" s="10">
        <f t="shared" si="132"/>
        <v>391</v>
      </c>
      <c r="U431" s="10">
        <f t="shared" si="133"/>
        <v>13431</v>
      </c>
      <c r="V431" s="11">
        <v>13500</v>
      </c>
      <c r="W431" s="12">
        <f t="shared" si="134"/>
        <v>460</v>
      </c>
      <c r="X431" s="92">
        <f t="shared" si="135"/>
        <v>3.5299999999999998E-2</v>
      </c>
      <c r="Y431" s="93" t="str">
        <f t="shared" si="136"/>
        <v>2.40%-3.60%</v>
      </c>
      <c r="Z431" s="15"/>
      <c r="AA431" s="15"/>
      <c r="AB431" s="15"/>
      <c r="AC431" s="95"/>
      <c r="AD431" s="8">
        <f t="shared" si="137"/>
        <v>0</v>
      </c>
      <c r="AE431" s="17">
        <f t="shared" si="138"/>
        <v>13500</v>
      </c>
      <c r="AF431" s="18">
        <f t="shared" si="139"/>
        <v>460</v>
      </c>
      <c r="AG431" s="97">
        <f t="shared" si="140"/>
        <v>3.5276073619631809E-2</v>
      </c>
      <c r="AH431" s="20">
        <v>14</v>
      </c>
      <c r="AI431" s="20">
        <v>450</v>
      </c>
      <c r="AJ431" s="20"/>
      <c r="AK431" s="20">
        <v>688</v>
      </c>
      <c r="AL431" s="20">
        <f t="shared" si="141"/>
        <v>195088</v>
      </c>
      <c r="AM431" s="7">
        <v>3</v>
      </c>
      <c r="AN431" s="20"/>
      <c r="AO431" s="21"/>
      <c r="AP431" s="21"/>
      <c r="AQ431" s="5" t="s">
        <v>1904</v>
      </c>
      <c r="AR431" s="5" t="s">
        <v>69</v>
      </c>
      <c r="AW431" s="144" t="str">
        <f t="shared" si="127"/>
        <v>OK</v>
      </c>
      <c r="AX431" s="21" t="s">
        <v>3135</v>
      </c>
      <c r="AY431" s="21" t="s">
        <v>3132</v>
      </c>
      <c r="AZ431" s="21"/>
      <c r="BA431" s="21"/>
    </row>
    <row r="432" spans="1:53" ht="20" customHeight="1">
      <c r="A432" s="86" t="s">
        <v>318</v>
      </c>
      <c r="B432" s="372" t="s">
        <v>2762</v>
      </c>
      <c r="C432" s="5" t="s">
        <v>51</v>
      </c>
      <c r="D432" s="5" t="s">
        <v>52</v>
      </c>
      <c r="E432" s="5" t="s">
        <v>1902</v>
      </c>
      <c r="F432" s="5" t="s">
        <v>1902</v>
      </c>
      <c r="G432" s="5" t="s">
        <v>1911</v>
      </c>
      <c r="H432" s="6">
        <v>40435</v>
      </c>
      <c r="I432" s="5" t="s">
        <v>1735</v>
      </c>
      <c r="J432" s="5" t="s">
        <v>1735</v>
      </c>
      <c r="K432" s="5" t="s">
        <v>199</v>
      </c>
      <c r="L432" s="7">
        <v>2</v>
      </c>
      <c r="M432" s="7">
        <v>5</v>
      </c>
      <c r="N432" s="8">
        <v>37392</v>
      </c>
      <c r="O432" s="88">
        <v>0.06</v>
      </c>
      <c r="P432" s="10">
        <f t="shared" si="129"/>
        <v>2244</v>
      </c>
      <c r="Q432" s="88">
        <v>2.7E-2</v>
      </c>
      <c r="R432" s="10">
        <f t="shared" si="130"/>
        <v>1010</v>
      </c>
      <c r="S432" s="88">
        <f t="shared" si="131"/>
        <v>8.7023962344886602E-2</v>
      </c>
      <c r="T432" s="10">
        <f t="shared" si="132"/>
        <v>3254</v>
      </c>
      <c r="U432" s="10">
        <f t="shared" si="133"/>
        <v>40646</v>
      </c>
      <c r="V432" s="11">
        <v>38907</v>
      </c>
      <c r="W432" s="12">
        <f t="shared" si="134"/>
        <v>1515</v>
      </c>
      <c r="X432" s="92">
        <f t="shared" si="135"/>
        <v>4.0500000000000001E-2</v>
      </c>
      <c r="Y432" s="93" t="str">
        <f t="shared" si="136"/>
        <v>6.96%-10.44%</v>
      </c>
      <c r="Z432" s="15"/>
      <c r="AA432" s="15"/>
      <c r="AB432" s="15"/>
      <c r="AC432" s="95"/>
      <c r="AD432" s="8">
        <f t="shared" si="137"/>
        <v>0</v>
      </c>
      <c r="AE432" s="17">
        <f t="shared" si="138"/>
        <v>38907</v>
      </c>
      <c r="AF432" s="18">
        <f t="shared" si="139"/>
        <v>1515</v>
      </c>
      <c r="AG432" s="97">
        <f t="shared" si="140"/>
        <v>4.0516688061617456E-2</v>
      </c>
      <c r="AH432" s="20">
        <v>14</v>
      </c>
      <c r="AI432" s="20">
        <v>450</v>
      </c>
      <c r="AJ432" s="20">
        <v>1000</v>
      </c>
      <c r="AK432" s="20">
        <v>688</v>
      </c>
      <c r="AL432" s="20">
        <f t="shared" si="141"/>
        <v>562786</v>
      </c>
      <c r="AM432" s="7">
        <v>3</v>
      </c>
      <c r="AN432" s="20"/>
      <c r="AO432" s="21" t="s">
        <v>1913</v>
      </c>
      <c r="AP432" s="21" t="s">
        <v>128</v>
      </c>
      <c r="AQ432" s="5" t="s">
        <v>1904</v>
      </c>
      <c r="AR432" s="5" t="s">
        <v>69</v>
      </c>
      <c r="AW432" s="144" t="str">
        <f t="shared" si="127"/>
        <v>&lt;20</v>
      </c>
      <c r="AX432" s="21" t="s">
        <v>3135</v>
      </c>
      <c r="AY432" s="21">
        <v>0</v>
      </c>
      <c r="AZ432" s="21"/>
      <c r="BA432" s="21"/>
    </row>
    <row r="433" spans="1:53" ht="20" customHeight="1">
      <c r="A433" s="86" t="s">
        <v>318</v>
      </c>
      <c r="B433" s="372" t="s">
        <v>2763</v>
      </c>
      <c r="C433" s="5" t="s">
        <v>51</v>
      </c>
      <c r="D433" s="5" t="s">
        <v>52</v>
      </c>
      <c r="E433" s="5" t="s">
        <v>1914</v>
      </c>
      <c r="F433" s="5" t="s">
        <v>1914</v>
      </c>
      <c r="G433" s="5" t="s">
        <v>1915</v>
      </c>
      <c r="H433" s="6">
        <v>41610</v>
      </c>
      <c r="I433" s="5" t="s">
        <v>1727</v>
      </c>
      <c r="J433" s="5" t="s">
        <v>1727</v>
      </c>
      <c r="K433" s="5" t="s">
        <v>56</v>
      </c>
      <c r="L433" s="7">
        <v>2</v>
      </c>
      <c r="M433" s="7">
        <v>3</v>
      </c>
      <c r="N433" s="8">
        <v>30275</v>
      </c>
      <c r="O433" s="88">
        <v>0</v>
      </c>
      <c r="P433" s="10">
        <f t="shared" si="129"/>
        <v>0</v>
      </c>
      <c r="Q433" s="88">
        <v>0</v>
      </c>
      <c r="R433" s="10">
        <f t="shared" si="130"/>
        <v>0</v>
      </c>
      <c r="S433" s="88">
        <f t="shared" si="131"/>
        <v>0</v>
      </c>
      <c r="T433" s="10">
        <f t="shared" si="132"/>
        <v>0</v>
      </c>
      <c r="U433" s="10">
        <f t="shared" si="133"/>
        <v>30275</v>
      </c>
      <c r="V433" s="11">
        <f t="shared" ref="V433:V496" si="142">U433</f>
        <v>30275</v>
      </c>
      <c r="W433" s="12">
        <f t="shared" si="134"/>
        <v>0</v>
      </c>
      <c r="X433" s="92">
        <f t="shared" si="135"/>
        <v>0</v>
      </c>
      <c r="Y433" s="93" t="str">
        <f t="shared" si="136"/>
        <v>0.00%-0.00%</v>
      </c>
      <c r="Z433" s="15"/>
      <c r="AA433" s="15"/>
      <c r="AB433" s="15"/>
      <c r="AC433" s="95"/>
      <c r="AD433" s="8">
        <f t="shared" si="137"/>
        <v>0</v>
      </c>
      <c r="AE433" s="17">
        <f t="shared" si="138"/>
        <v>30275</v>
      </c>
      <c r="AF433" s="18">
        <f t="shared" si="139"/>
        <v>0</v>
      </c>
      <c r="AG433" s="97">
        <f t="shared" si="140"/>
        <v>0</v>
      </c>
      <c r="AH433" s="20">
        <v>14</v>
      </c>
      <c r="AI433" s="20">
        <v>450</v>
      </c>
      <c r="AJ433" s="20"/>
      <c r="AK433" s="20">
        <v>688</v>
      </c>
      <c r="AL433" s="20">
        <f t="shared" si="141"/>
        <v>429938</v>
      </c>
      <c r="AM433" s="7">
        <v>4</v>
      </c>
      <c r="AN433" s="20"/>
      <c r="AO433" s="21"/>
      <c r="AP433" s="21"/>
      <c r="AQ433" s="5" t="s">
        <v>1916</v>
      </c>
      <c r="AR433" s="5" t="s">
        <v>69</v>
      </c>
      <c r="AW433" s="144" t="str">
        <f t="shared" si="127"/>
        <v>OK</v>
      </c>
      <c r="AX433" s="21" t="s">
        <v>3135</v>
      </c>
      <c r="AY433" s="21" t="s">
        <v>3134</v>
      </c>
      <c r="AZ433" s="21"/>
      <c r="BA433" s="21"/>
    </row>
    <row r="434" spans="1:53" ht="20" customHeight="1">
      <c r="A434" s="86" t="s">
        <v>318</v>
      </c>
      <c r="B434" s="372" t="s">
        <v>2764</v>
      </c>
      <c r="C434" s="5" t="s">
        <v>51</v>
      </c>
      <c r="D434" s="5" t="s">
        <v>52</v>
      </c>
      <c r="E434" s="5" t="s">
        <v>1914</v>
      </c>
      <c r="F434" s="5" t="s">
        <v>1917</v>
      </c>
      <c r="G434" s="5" t="s">
        <v>1918</v>
      </c>
      <c r="H434" s="6">
        <v>41821</v>
      </c>
      <c r="I434" s="5" t="s">
        <v>1727</v>
      </c>
      <c r="J434" s="5" t="s">
        <v>1727</v>
      </c>
      <c r="K434" s="5" t="s">
        <v>56</v>
      </c>
      <c r="L434" s="7">
        <v>2</v>
      </c>
      <c r="M434" s="7">
        <v>5</v>
      </c>
      <c r="N434" s="8">
        <v>32591</v>
      </c>
      <c r="O434" s="88">
        <v>0.04</v>
      </c>
      <c r="P434" s="10">
        <f t="shared" si="129"/>
        <v>1304</v>
      </c>
      <c r="Q434" s="88">
        <v>0</v>
      </c>
      <c r="R434" s="10">
        <f t="shared" si="130"/>
        <v>0</v>
      </c>
      <c r="S434" s="88">
        <f t="shared" si="131"/>
        <v>4.00110459942929E-2</v>
      </c>
      <c r="T434" s="10">
        <f t="shared" si="132"/>
        <v>1304</v>
      </c>
      <c r="U434" s="10">
        <f t="shared" si="133"/>
        <v>33895</v>
      </c>
      <c r="V434" s="11">
        <v>33691</v>
      </c>
      <c r="W434" s="12">
        <f t="shared" si="134"/>
        <v>1100</v>
      </c>
      <c r="X434" s="92">
        <f t="shared" si="135"/>
        <v>3.3799999999999997E-2</v>
      </c>
      <c r="Y434" s="93" t="str">
        <f t="shared" si="136"/>
        <v>3.20%-4.80%</v>
      </c>
      <c r="Z434" s="15"/>
      <c r="AA434" s="15"/>
      <c r="AB434" s="15"/>
      <c r="AC434" s="95"/>
      <c r="AD434" s="8">
        <f t="shared" si="137"/>
        <v>0</v>
      </c>
      <c r="AE434" s="17">
        <f t="shared" si="138"/>
        <v>33691</v>
      </c>
      <c r="AF434" s="18">
        <f t="shared" si="139"/>
        <v>1100</v>
      </c>
      <c r="AG434" s="97">
        <f t="shared" si="140"/>
        <v>3.3751649228314529E-2</v>
      </c>
      <c r="AH434" s="20">
        <v>14</v>
      </c>
      <c r="AI434" s="20">
        <v>450</v>
      </c>
      <c r="AJ434" s="20"/>
      <c r="AK434" s="20">
        <v>688</v>
      </c>
      <c r="AL434" s="20">
        <f t="shared" si="141"/>
        <v>477762</v>
      </c>
      <c r="AM434" s="7">
        <v>4</v>
      </c>
      <c r="AN434" s="20"/>
      <c r="AO434" s="21"/>
      <c r="AP434" s="21"/>
      <c r="AQ434" s="5" t="s">
        <v>1916</v>
      </c>
      <c r="AR434" s="5" t="s">
        <v>69</v>
      </c>
      <c r="AW434" s="144" t="str">
        <f t="shared" si="127"/>
        <v>OK</v>
      </c>
      <c r="AX434" s="21" t="s">
        <v>3135</v>
      </c>
      <c r="AY434" s="21" t="s">
        <v>3136</v>
      </c>
      <c r="AZ434" s="21"/>
      <c r="BA434" s="21"/>
    </row>
    <row r="435" spans="1:53" ht="20" customHeight="1">
      <c r="A435" s="86" t="s">
        <v>318</v>
      </c>
      <c r="B435" s="372" t="s">
        <v>2765</v>
      </c>
      <c r="C435" s="5" t="s">
        <v>51</v>
      </c>
      <c r="D435" s="5" t="s">
        <v>52</v>
      </c>
      <c r="E435" s="5" t="s">
        <v>1914</v>
      </c>
      <c r="F435" s="5" t="s">
        <v>1919</v>
      </c>
      <c r="G435" s="5" t="s">
        <v>1915</v>
      </c>
      <c r="H435" s="6">
        <v>42178</v>
      </c>
      <c r="I435" s="5" t="s">
        <v>111</v>
      </c>
      <c r="J435" s="5" t="s">
        <v>1920</v>
      </c>
      <c r="K435" s="5" t="s">
        <v>56</v>
      </c>
      <c r="L435" s="7">
        <v>2</v>
      </c>
      <c r="M435" s="7">
        <v>5</v>
      </c>
      <c r="N435" s="8">
        <v>33705</v>
      </c>
      <c r="O435" s="88">
        <v>0.03</v>
      </c>
      <c r="P435" s="10">
        <f t="shared" si="129"/>
        <v>1011</v>
      </c>
      <c r="Q435" s="88">
        <v>0</v>
      </c>
      <c r="R435" s="10">
        <f t="shared" si="130"/>
        <v>0</v>
      </c>
      <c r="S435" s="88">
        <f t="shared" si="131"/>
        <v>2.9995549621717847E-2</v>
      </c>
      <c r="T435" s="10">
        <f t="shared" si="132"/>
        <v>1011</v>
      </c>
      <c r="U435" s="10">
        <f t="shared" si="133"/>
        <v>34716</v>
      </c>
      <c r="V435" s="11">
        <f t="shared" si="142"/>
        <v>34716</v>
      </c>
      <c r="W435" s="12">
        <f t="shared" si="134"/>
        <v>1011</v>
      </c>
      <c r="X435" s="92">
        <f t="shared" si="135"/>
        <v>0.03</v>
      </c>
      <c r="Y435" s="93" t="str">
        <f t="shared" si="136"/>
        <v>2.40%-3.60%</v>
      </c>
      <c r="Z435" s="15"/>
      <c r="AA435" s="15"/>
      <c r="AB435" s="15"/>
      <c r="AC435" s="95"/>
      <c r="AD435" s="8">
        <f t="shared" si="137"/>
        <v>0</v>
      </c>
      <c r="AE435" s="17">
        <f t="shared" si="138"/>
        <v>34716</v>
      </c>
      <c r="AF435" s="18">
        <f t="shared" si="139"/>
        <v>1011</v>
      </c>
      <c r="AG435" s="97">
        <f t="shared" si="140"/>
        <v>2.999554962171791E-2</v>
      </c>
      <c r="AH435" s="20">
        <v>14</v>
      </c>
      <c r="AI435" s="20">
        <v>450</v>
      </c>
      <c r="AJ435" s="20"/>
      <c r="AK435" s="20">
        <v>688</v>
      </c>
      <c r="AL435" s="20">
        <f t="shared" si="141"/>
        <v>492112</v>
      </c>
      <c r="AM435" s="7">
        <v>5</v>
      </c>
      <c r="AN435" s="20"/>
      <c r="AO435" s="21"/>
      <c r="AP435" s="21"/>
      <c r="AQ435" s="5" t="s">
        <v>1916</v>
      </c>
      <c r="AR435" s="5" t="s">
        <v>69</v>
      </c>
      <c r="AW435" s="144" t="str">
        <f t="shared" si="127"/>
        <v>OK</v>
      </c>
      <c r="AX435" s="21" t="s">
        <v>3133</v>
      </c>
      <c r="AY435" s="21" t="s">
        <v>3138</v>
      </c>
      <c r="AZ435" s="21"/>
      <c r="BA435" s="21"/>
    </row>
    <row r="436" spans="1:53" ht="20" customHeight="1">
      <c r="A436" s="86" t="s">
        <v>318</v>
      </c>
      <c r="B436" s="372" t="s">
        <v>2766</v>
      </c>
      <c r="C436" s="5" t="s">
        <v>51</v>
      </c>
      <c r="D436" s="5" t="s">
        <v>52</v>
      </c>
      <c r="E436" s="5" t="s">
        <v>1914</v>
      </c>
      <c r="F436" s="5" t="s">
        <v>1919</v>
      </c>
      <c r="G436" s="5" t="s">
        <v>1915</v>
      </c>
      <c r="H436" s="6">
        <v>42552</v>
      </c>
      <c r="I436" s="5" t="s">
        <v>85</v>
      </c>
      <c r="J436" s="5" t="s">
        <v>1906</v>
      </c>
      <c r="K436" s="5" t="s">
        <v>76</v>
      </c>
      <c r="L436" s="7">
        <v>2</v>
      </c>
      <c r="M436" s="7">
        <v>3</v>
      </c>
      <c r="N436" s="8">
        <v>16667</v>
      </c>
      <c r="O436" s="88">
        <v>2.5000000000000001E-2</v>
      </c>
      <c r="P436" s="10">
        <f t="shared" si="129"/>
        <v>417</v>
      </c>
      <c r="Q436" s="88">
        <v>0</v>
      </c>
      <c r="R436" s="10">
        <f t="shared" si="130"/>
        <v>0</v>
      </c>
      <c r="S436" s="88">
        <f t="shared" si="131"/>
        <v>2.5019499610007798E-2</v>
      </c>
      <c r="T436" s="10">
        <f t="shared" si="132"/>
        <v>417</v>
      </c>
      <c r="U436" s="10">
        <f t="shared" si="133"/>
        <v>17084</v>
      </c>
      <c r="V436" s="11">
        <f t="shared" si="142"/>
        <v>17084</v>
      </c>
      <c r="W436" s="12">
        <f t="shared" si="134"/>
        <v>417</v>
      </c>
      <c r="X436" s="92">
        <f t="shared" si="135"/>
        <v>2.5000000000000001E-2</v>
      </c>
      <c r="Y436" s="93" t="str">
        <f t="shared" ref="Y436:Y499" si="143">IF(OR(L436=1,L436=2,L436=4),TEXT(S436*0.8,"0.00%")&amp;"-"&amp;TEXT(S436*1.2,"0.00%"),IF(OR(L436=3,L436=6),TEXT(0,"0.00%")&amp;"-"&amp;TEXT(7%*1.2,"0.00%"),IF(OR(L436=5,L436=7),TEXT((R436/N436),"0.00%")&amp;"-"&amp;TEXT((R436/N436)+7%,"0.00%"),"")))</f>
        <v>2.00%-3.00%</v>
      </c>
      <c r="Z436" s="15"/>
      <c r="AA436" s="15"/>
      <c r="AB436" s="15"/>
      <c r="AC436" s="95"/>
      <c r="AD436" s="8">
        <f t="shared" si="137"/>
        <v>0</v>
      </c>
      <c r="AE436" s="17">
        <f t="shared" si="138"/>
        <v>17084</v>
      </c>
      <c r="AF436" s="18">
        <f t="shared" si="139"/>
        <v>417</v>
      </c>
      <c r="AG436" s="97">
        <f t="shared" si="140"/>
        <v>2.5019499610007712E-2</v>
      </c>
      <c r="AH436" s="20">
        <v>14</v>
      </c>
      <c r="AI436" s="20">
        <v>450</v>
      </c>
      <c r="AJ436" s="20"/>
      <c r="AK436" s="20">
        <v>688</v>
      </c>
      <c r="AL436" s="20">
        <f t="shared" si="141"/>
        <v>245264</v>
      </c>
      <c r="AM436" s="7">
        <v>3</v>
      </c>
      <c r="AN436" s="20"/>
      <c r="AO436" s="21"/>
      <c r="AP436" s="21"/>
      <c r="AQ436" s="5" t="s">
        <v>1916</v>
      </c>
      <c r="AR436" s="5" t="s">
        <v>69</v>
      </c>
      <c r="AW436" s="144" t="str">
        <f t="shared" si="127"/>
        <v>OK</v>
      </c>
      <c r="AX436" s="21" t="s">
        <v>3133</v>
      </c>
      <c r="AY436" s="21" t="s">
        <v>3130</v>
      </c>
      <c r="AZ436" s="21"/>
      <c r="BA436" s="21"/>
    </row>
    <row r="437" spans="1:53" ht="20" customHeight="1">
      <c r="A437" s="86" t="s">
        <v>318</v>
      </c>
      <c r="B437" s="372" t="s">
        <v>2767</v>
      </c>
      <c r="C437" s="5" t="s">
        <v>51</v>
      </c>
      <c r="D437" s="5" t="s">
        <v>52</v>
      </c>
      <c r="E437" s="5" t="s">
        <v>1914</v>
      </c>
      <c r="F437" s="5" t="s">
        <v>1917</v>
      </c>
      <c r="G437" s="5" t="s">
        <v>1918</v>
      </c>
      <c r="H437" s="6">
        <v>42303</v>
      </c>
      <c r="I437" s="5" t="s">
        <v>1728</v>
      </c>
      <c r="J437" s="5" t="s">
        <v>1729</v>
      </c>
      <c r="K437" s="5" t="s">
        <v>61</v>
      </c>
      <c r="L437" s="7">
        <v>2</v>
      </c>
      <c r="M437" s="7">
        <v>3</v>
      </c>
      <c r="N437" s="8">
        <v>24190</v>
      </c>
      <c r="O437" s="88">
        <v>0</v>
      </c>
      <c r="P437" s="10">
        <f t="shared" si="129"/>
        <v>0</v>
      </c>
      <c r="Q437" s="88">
        <v>0</v>
      </c>
      <c r="R437" s="10">
        <f t="shared" si="130"/>
        <v>0</v>
      </c>
      <c r="S437" s="88">
        <f t="shared" si="131"/>
        <v>0</v>
      </c>
      <c r="T437" s="10">
        <f t="shared" si="132"/>
        <v>0</v>
      </c>
      <c r="U437" s="10">
        <f t="shared" si="133"/>
        <v>24190</v>
      </c>
      <c r="V437" s="11">
        <f t="shared" si="142"/>
        <v>24190</v>
      </c>
      <c r="W437" s="12">
        <f t="shared" si="134"/>
        <v>0</v>
      </c>
      <c r="X437" s="92">
        <f t="shared" si="135"/>
        <v>0</v>
      </c>
      <c r="Y437" s="93" t="str">
        <f t="shared" si="143"/>
        <v>0.00%-0.00%</v>
      </c>
      <c r="Z437" s="15"/>
      <c r="AA437" s="15"/>
      <c r="AB437" s="15"/>
      <c r="AC437" s="95"/>
      <c r="AD437" s="8">
        <f t="shared" si="137"/>
        <v>0</v>
      </c>
      <c r="AE437" s="17">
        <f t="shared" si="138"/>
        <v>24190</v>
      </c>
      <c r="AF437" s="18">
        <f t="shared" si="139"/>
        <v>0</v>
      </c>
      <c r="AG437" s="97">
        <f t="shared" si="140"/>
        <v>0</v>
      </c>
      <c r="AH437" s="20">
        <v>14</v>
      </c>
      <c r="AI437" s="20">
        <v>450</v>
      </c>
      <c r="AJ437" s="20"/>
      <c r="AK437" s="20">
        <v>688</v>
      </c>
      <c r="AL437" s="20">
        <f t="shared" si="141"/>
        <v>344748</v>
      </c>
      <c r="AM437" s="7">
        <v>3</v>
      </c>
      <c r="AN437" s="20"/>
      <c r="AO437" s="21"/>
      <c r="AP437" s="21"/>
      <c r="AQ437" s="5" t="s">
        <v>1916</v>
      </c>
      <c r="AR437" s="5" t="s">
        <v>69</v>
      </c>
      <c r="AW437" s="144" t="str">
        <f t="shared" si="127"/>
        <v>OK</v>
      </c>
      <c r="AX437" s="21" t="s">
        <v>3133</v>
      </c>
      <c r="AY437" s="21" t="s">
        <v>3134</v>
      </c>
      <c r="AZ437" s="21"/>
      <c r="BA437" s="21"/>
    </row>
    <row r="438" spans="1:53" ht="20" customHeight="1">
      <c r="A438" s="86" t="s">
        <v>318</v>
      </c>
      <c r="B438" s="372" t="s">
        <v>2768</v>
      </c>
      <c r="C438" s="5" t="s">
        <v>51</v>
      </c>
      <c r="D438" s="5" t="s">
        <v>52</v>
      </c>
      <c r="E438" s="5" t="s">
        <v>1914</v>
      </c>
      <c r="F438" s="5" t="s">
        <v>1919</v>
      </c>
      <c r="G438" s="5" t="s">
        <v>1915</v>
      </c>
      <c r="H438" s="6">
        <v>43164</v>
      </c>
      <c r="I438" s="5" t="s">
        <v>1728</v>
      </c>
      <c r="J438" s="5" t="s">
        <v>1729</v>
      </c>
      <c r="K438" s="5" t="s">
        <v>61</v>
      </c>
      <c r="L438" s="7">
        <v>2</v>
      </c>
      <c r="M438" s="7">
        <v>3</v>
      </c>
      <c r="N438" s="8">
        <v>22904</v>
      </c>
      <c r="O438" s="88">
        <v>2.5000000000000001E-2</v>
      </c>
      <c r="P438" s="10">
        <f t="shared" si="129"/>
        <v>573</v>
      </c>
      <c r="Q438" s="88">
        <v>0</v>
      </c>
      <c r="R438" s="10">
        <f t="shared" si="130"/>
        <v>0</v>
      </c>
      <c r="S438" s="88">
        <f t="shared" si="131"/>
        <v>2.5017464198393295E-2</v>
      </c>
      <c r="T438" s="10">
        <f t="shared" si="132"/>
        <v>573</v>
      </c>
      <c r="U438" s="10">
        <f t="shared" si="133"/>
        <v>23477</v>
      </c>
      <c r="V438" s="11">
        <f t="shared" si="142"/>
        <v>23477</v>
      </c>
      <c r="W438" s="12">
        <f t="shared" si="134"/>
        <v>573</v>
      </c>
      <c r="X438" s="92">
        <f t="shared" si="135"/>
        <v>2.5000000000000001E-2</v>
      </c>
      <c r="Y438" s="93" t="str">
        <f t="shared" si="143"/>
        <v>2.00%-3.00%</v>
      </c>
      <c r="Z438" s="15"/>
      <c r="AA438" s="15"/>
      <c r="AB438" s="15"/>
      <c r="AC438" s="95"/>
      <c r="AD438" s="8">
        <f t="shared" si="137"/>
        <v>0</v>
      </c>
      <c r="AE438" s="17">
        <f t="shared" si="138"/>
        <v>23477</v>
      </c>
      <c r="AF438" s="18">
        <f t="shared" si="139"/>
        <v>573</v>
      </c>
      <c r="AG438" s="97">
        <f t="shared" si="140"/>
        <v>2.5017464198393347E-2</v>
      </c>
      <c r="AH438" s="20">
        <v>14</v>
      </c>
      <c r="AI438" s="20">
        <v>450</v>
      </c>
      <c r="AJ438" s="20"/>
      <c r="AK438" s="20">
        <v>688</v>
      </c>
      <c r="AL438" s="20">
        <f t="shared" si="141"/>
        <v>334766</v>
      </c>
      <c r="AM438" s="7">
        <v>3</v>
      </c>
      <c r="AN438" s="20"/>
      <c r="AO438" s="21"/>
      <c r="AP438" s="21"/>
      <c r="AQ438" s="5" t="s">
        <v>1916</v>
      </c>
      <c r="AR438" s="5" t="s">
        <v>69</v>
      </c>
      <c r="AW438" s="144" t="str">
        <f t="shared" si="127"/>
        <v>OK</v>
      </c>
      <c r="AX438" s="21" t="s">
        <v>3133</v>
      </c>
      <c r="AY438" s="21" t="s">
        <v>3130</v>
      </c>
      <c r="AZ438" s="21"/>
      <c r="BA438" s="21"/>
    </row>
    <row r="439" spans="1:53" ht="20" customHeight="1">
      <c r="A439" s="86" t="s">
        <v>318</v>
      </c>
      <c r="B439" s="372" t="s">
        <v>2769</v>
      </c>
      <c r="C439" s="5" t="s">
        <v>51</v>
      </c>
      <c r="D439" s="5" t="s">
        <v>52</v>
      </c>
      <c r="E439" s="5" t="s">
        <v>1914</v>
      </c>
      <c r="F439" s="5" t="s">
        <v>1917</v>
      </c>
      <c r="G439" s="5" t="s">
        <v>1918</v>
      </c>
      <c r="H439" s="6">
        <v>39993</v>
      </c>
      <c r="I439" s="5" t="s">
        <v>1728</v>
      </c>
      <c r="J439" s="5" t="s">
        <v>1729</v>
      </c>
      <c r="K439" s="5" t="s">
        <v>61</v>
      </c>
      <c r="L439" s="7">
        <v>2</v>
      </c>
      <c r="M439" s="7">
        <v>3</v>
      </c>
      <c r="N439" s="8">
        <v>19055</v>
      </c>
      <c r="O439" s="88">
        <v>2.5000000000000001E-2</v>
      </c>
      <c r="P439" s="10">
        <f t="shared" si="129"/>
        <v>476</v>
      </c>
      <c r="Q439" s="88">
        <v>0</v>
      </c>
      <c r="R439" s="10">
        <f t="shared" si="130"/>
        <v>0</v>
      </c>
      <c r="S439" s="88">
        <f t="shared" si="131"/>
        <v>2.4980320125951194E-2</v>
      </c>
      <c r="T439" s="10">
        <f t="shared" si="132"/>
        <v>476</v>
      </c>
      <c r="U439" s="10">
        <f t="shared" si="133"/>
        <v>19531</v>
      </c>
      <c r="V439" s="11">
        <f t="shared" si="142"/>
        <v>19531</v>
      </c>
      <c r="W439" s="12">
        <f t="shared" si="134"/>
        <v>476</v>
      </c>
      <c r="X439" s="92">
        <f t="shared" si="135"/>
        <v>2.5000000000000001E-2</v>
      </c>
      <c r="Y439" s="93" t="str">
        <f t="shared" si="143"/>
        <v>2.00%-3.00%</v>
      </c>
      <c r="Z439" s="15"/>
      <c r="AA439" s="15"/>
      <c r="AB439" s="15"/>
      <c r="AC439" s="95"/>
      <c r="AD439" s="8">
        <f t="shared" si="137"/>
        <v>0</v>
      </c>
      <c r="AE439" s="17">
        <f t="shared" si="138"/>
        <v>19531</v>
      </c>
      <c r="AF439" s="18">
        <f t="shared" si="139"/>
        <v>476</v>
      </c>
      <c r="AG439" s="97">
        <f t="shared" si="140"/>
        <v>2.4980320125951083E-2</v>
      </c>
      <c r="AH439" s="20">
        <v>14</v>
      </c>
      <c r="AI439" s="20">
        <v>450</v>
      </c>
      <c r="AJ439" s="20"/>
      <c r="AK439" s="20">
        <v>688</v>
      </c>
      <c r="AL439" s="20">
        <f t="shared" si="141"/>
        <v>279522</v>
      </c>
      <c r="AM439" s="7">
        <v>3</v>
      </c>
      <c r="AN439" s="20"/>
      <c r="AO439" s="21"/>
      <c r="AP439" s="21"/>
      <c r="AQ439" s="5" t="s">
        <v>1916</v>
      </c>
      <c r="AR439" s="5" t="s">
        <v>69</v>
      </c>
      <c r="AW439" s="144" t="str">
        <f t="shared" si="127"/>
        <v>OK</v>
      </c>
      <c r="AX439" s="21" t="s">
        <v>3129</v>
      </c>
      <c r="AY439" s="21" t="s">
        <v>3130</v>
      </c>
      <c r="AZ439" s="21"/>
      <c r="BA439" s="21"/>
    </row>
    <row r="440" spans="1:53" ht="20" customHeight="1">
      <c r="A440" s="86" t="s">
        <v>318</v>
      </c>
      <c r="B440" s="372" t="s">
        <v>2770</v>
      </c>
      <c r="C440" s="5" t="s">
        <v>51</v>
      </c>
      <c r="D440" s="5" t="s">
        <v>52</v>
      </c>
      <c r="E440" s="5" t="s">
        <v>1914</v>
      </c>
      <c r="F440" s="5" t="s">
        <v>1919</v>
      </c>
      <c r="G440" s="5" t="s">
        <v>1915</v>
      </c>
      <c r="H440" s="6">
        <v>40422</v>
      </c>
      <c r="I440" s="5" t="s">
        <v>85</v>
      </c>
      <c r="J440" s="5" t="s">
        <v>1907</v>
      </c>
      <c r="K440" s="5" t="s">
        <v>76</v>
      </c>
      <c r="L440" s="7">
        <v>2</v>
      </c>
      <c r="M440" s="7">
        <v>3</v>
      </c>
      <c r="N440" s="8">
        <v>20222</v>
      </c>
      <c r="O440" s="88">
        <v>0</v>
      </c>
      <c r="P440" s="10">
        <f t="shared" si="129"/>
        <v>0</v>
      </c>
      <c r="Q440" s="88">
        <v>0</v>
      </c>
      <c r="R440" s="10">
        <f t="shared" si="130"/>
        <v>0</v>
      </c>
      <c r="S440" s="88">
        <f t="shared" si="131"/>
        <v>0</v>
      </c>
      <c r="T440" s="10">
        <f t="shared" si="132"/>
        <v>0</v>
      </c>
      <c r="U440" s="10">
        <f t="shared" si="133"/>
        <v>20222</v>
      </c>
      <c r="V440" s="11">
        <f t="shared" si="142"/>
        <v>20222</v>
      </c>
      <c r="W440" s="12">
        <f t="shared" si="134"/>
        <v>0</v>
      </c>
      <c r="X440" s="92">
        <f t="shared" si="135"/>
        <v>0</v>
      </c>
      <c r="Y440" s="93" t="str">
        <f t="shared" si="143"/>
        <v>0.00%-0.00%</v>
      </c>
      <c r="Z440" s="15"/>
      <c r="AA440" s="15"/>
      <c r="AB440" s="15"/>
      <c r="AC440" s="95"/>
      <c r="AD440" s="8">
        <f t="shared" si="137"/>
        <v>0</v>
      </c>
      <c r="AE440" s="17">
        <f t="shared" si="138"/>
        <v>20222</v>
      </c>
      <c r="AF440" s="18">
        <f t="shared" si="139"/>
        <v>0</v>
      </c>
      <c r="AG440" s="97">
        <f t="shared" si="140"/>
        <v>0</v>
      </c>
      <c r="AH440" s="20">
        <v>14</v>
      </c>
      <c r="AI440" s="20">
        <v>450</v>
      </c>
      <c r="AJ440" s="20"/>
      <c r="AK440" s="20">
        <v>688</v>
      </c>
      <c r="AL440" s="20">
        <f t="shared" si="141"/>
        <v>289196</v>
      </c>
      <c r="AM440" s="7">
        <v>1</v>
      </c>
      <c r="AN440" s="20"/>
      <c r="AO440" s="21"/>
      <c r="AP440" s="21"/>
      <c r="AQ440" s="5" t="s">
        <v>1916</v>
      </c>
      <c r="AR440" s="5" t="s">
        <v>69</v>
      </c>
      <c r="AW440" s="144" t="str">
        <f t="shared" si="127"/>
        <v>OK</v>
      </c>
      <c r="AX440" s="21" t="s">
        <v>3135</v>
      </c>
      <c r="AY440" s="21" t="s">
        <v>3134</v>
      </c>
      <c r="AZ440" s="21"/>
      <c r="BA440" s="21"/>
    </row>
    <row r="441" spans="1:53" ht="20" customHeight="1">
      <c r="A441" s="86" t="s">
        <v>318</v>
      </c>
      <c r="B441" s="372" t="s">
        <v>2771</v>
      </c>
      <c r="C441" s="5" t="s">
        <v>51</v>
      </c>
      <c r="D441" s="5" t="s">
        <v>52</v>
      </c>
      <c r="E441" s="5" t="s">
        <v>1914</v>
      </c>
      <c r="F441" s="5" t="s">
        <v>1917</v>
      </c>
      <c r="G441" s="5" t="s">
        <v>1918</v>
      </c>
      <c r="H441" s="6">
        <v>41821</v>
      </c>
      <c r="I441" s="5" t="s">
        <v>85</v>
      </c>
      <c r="J441" s="5" t="s">
        <v>1907</v>
      </c>
      <c r="K441" s="5" t="s">
        <v>76</v>
      </c>
      <c r="L441" s="7">
        <v>2</v>
      </c>
      <c r="M441" s="7">
        <v>4</v>
      </c>
      <c r="N441" s="8">
        <v>16004</v>
      </c>
      <c r="O441" s="88">
        <v>3.7500000000000006E-2</v>
      </c>
      <c r="P441" s="10">
        <f t="shared" si="129"/>
        <v>600</v>
      </c>
      <c r="Q441" s="88">
        <v>1.55E-2</v>
      </c>
      <c r="R441" s="10">
        <f t="shared" si="130"/>
        <v>248</v>
      </c>
      <c r="S441" s="88">
        <f t="shared" si="131"/>
        <v>5.2986753311672082E-2</v>
      </c>
      <c r="T441" s="10">
        <f t="shared" si="132"/>
        <v>848</v>
      </c>
      <c r="U441" s="10">
        <f t="shared" si="133"/>
        <v>16852</v>
      </c>
      <c r="V441" s="11">
        <f t="shared" si="142"/>
        <v>16852</v>
      </c>
      <c r="W441" s="12">
        <f t="shared" si="134"/>
        <v>848</v>
      </c>
      <c r="X441" s="92">
        <f t="shared" si="135"/>
        <v>5.2999999999999999E-2</v>
      </c>
      <c r="Y441" s="93" t="str">
        <f t="shared" si="143"/>
        <v>4.24%-6.36%</v>
      </c>
      <c r="Z441" s="15" t="s">
        <v>87</v>
      </c>
      <c r="AA441" s="15" t="s">
        <v>1729</v>
      </c>
      <c r="AB441" s="15" t="s">
        <v>89</v>
      </c>
      <c r="AC441" s="95">
        <v>0.122</v>
      </c>
      <c r="AD441" s="8">
        <f t="shared" si="137"/>
        <v>1952</v>
      </c>
      <c r="AE441" s="17">
        <f t="shared" si="138"/>
        <v>18804</v>
      </c>
      <c r="AF441" s="18">
        <f t="shared" si="139"/>
        <v>2800</v>
      </c>
      <c r="AG441" s="97">
        <f t="shared" si="140"/>
        <v>0.17495626093476635</v>
      </c>
      <c r="AH441" s="20">
        <v>14</v>
      </c>
      <c r="AI441" s="20">
        <v>450</v>
      </c>
      <c r="AJ441" s="20"/>
      <c r="AK441" s="20">
        <v>688</v>
      </c>
      <c r="AL441" s="20">
        <f t="shared" si="141"/>
        <v>269344</v>
      </c>
      <c r="AM441" s="7">
        <v>3</v>
      </c>
      <c r="AN441" s="20"/>
      <c r="AO441" s="21" t="s">
        <v>1921</v>
      </c>
      <c r="AP441" s="21" t="s">
        <v>90</v>
      </c>
      <c r="AQ441" s="5" t="s">
        <v>1916</v>
      </c>
      <c r="AR441" s="5" t="s">
        <v>69</v>
      </c>
      <c r="AW441" s="144" t="str">
        <f t="shared" si="127"/>
        <v>OK</v>
      </c>
      <c r="AX441" s="21" t="s">
        <v>3135</v>
      </c>
      <c r="AY441" s="21" t="s">
        <v>3130</v>
      </c>
      <c r="AZ441" s="21"/>
      <c r="BA441" s="21"/>
    </row>
    <row r="442" spans="1:53" ht="20" customHeight="1">
      <c r="A442" s="86" t="s">
        <v>318</v>
      </c>
      <c r="B442" s="372" t="s">
        <v>2772</v>
      </c>
      <c r="C442" s="5" t="s">
        <v>51</v>
      </c>
      <c r="D442" s="5" t="s">
        <v>52</v>
      </c>
      <c r="E442" s="5" t="s">
        <v>1914</v>
      </c>
      <c r="F442" s="5" t="s">
        <v>1919</v>
      </c>
      <c r="G442" s="5" t="s">
        <v>1915</v>
      </c>
      <c r="H442" s="6">
        <v>41927</v>
      </c>
      <c r="I442" s="5" t="s">
        <v>1728</v>
      </c>
      <c r="J442" s="5" t="s">
        <v>1729</v>
      </c>
      <c r="K442" s="5" t="s">
        <v>61</v>
      </c>
      <c r="L442" s="7">
        <v>2</v>
      </c>
      <c r="M442" s="7">
        <v>4</v>
      </c>
      <c r="N442" s="8">
        <v>16370</v>
      </c>
      <c r="O442" s="88">
        <v>4.4999999999999998E-2</v>
      </c>
      <c r="P442" s="10">
        <f t="shared" si="129"/>
        <v>737</v>
      </c>
      <c r="Q442" s="88">
        <v>4.2099999999999999E-2</v>
      </c>
      <c r="R442" s="10">
        <f t="shared" si="130"/>
        <v>689</v>
      </c>
      <c r="S442" s="88">
        <f t="shared" si="131"/>
        <v>8.7110568112400727E-2</v>
      </c>
      <c r="T442" s="10">
        <f t="shared" si="132"/>
        <v>1426</v>
      </c>
      <c r="U442" s="10">
        <f t="shared" si="133"/>
        <v>17796</v>
      </c>
      <c r="V442" s="11">
        <v>18000</v>
      </c>
      <c r="W442" s="12">
        <f t="shared" si="134"/>
        <v>1630</v>
      </c>
      <c r="X442" s="92">
        <f t="shared" si="135"/>
        <v>9.9599999999999994E-2</v>
      </c>
      <c r="Y442" s="93" t="str">
        <f t="shared" si="143"/>
        <v>6.97%-10.45%</v>
      </c>
      <c r="Z442" s="15"/>
      <c r="AA442" s="15"/>
      <c r="AB442" s="15"/>
      <c r="AC442" s="95"/>
      <c r="AD442" s="8">
        <f t="shared" si="137"/>
        <v>0</v>
      </c>
      <c r="AE442" s="17">
        <f t="shared" si="138"/>
        <v>18000</v>
      </c>
      <c r="AF442" s="18">
        <f t="shared" si="139"/>
        <v>1630</v>
      </c>
      <c r="AG442" s="97">
        <f t="shared" si="140"/>
        <v>9.9572388515577259E-2</v>
      </c>
      <c r="AH442" s="20">
        <v>14</v>
      </c>
      <c r="AI442" s="20">
        <v>450</v>
      </c>
      <c r="AJ442" s="20"/>
      <c r="AK442" s="20">
        <v>688</v>
      </c>
      <c r="AL442" s="20">
        <f t="shared" si="141"/>
        <v>258088</v>
      </c>
      <c r="AM442" s="7">
        <v>3</v>
      </c>
      <c r="AN442" s="20"/>
      <c r="AO442" s="21"/>
      <c r="AP442" s="21"/>
      <c r="AQ442" s="5" t="s">
        <v>1916</v>
      </c>
      <c r="AR442" s="5" t="s">
        <v>69</v>
      </c>
      <c r="AW442" s="144" t="str">
        <f t="shared" si="127"/>
        <v>OK</v>
      </c>
      <c r="AX442" s="21" t="s">
        <v>3133</v>
      </c>
      <c r="AY442" s="21" t="s">
        <v>3132</v>
      </c>
      <c r="AZ442" s="21"/>
      <c r="BA442" s="21"/>
    </row>
    <row r="443" spans="1:53" ht="20" customHeight="1">
      <c r="A443" s="86" t="s">
        <v>318</v>
      </c>
      <c r="B443" s="372" t="s">
        <v>2773</v>
      </c>
      <c r="C443" s="5" t="s">
        <v>51</v>
      </c>
      <c r="D443" s="5" t="s">
        <v>52</v>
      </c>
      <c r="E443" s="5" t="s">
        <v>1914</v>
      </c>
      <c r="F443" s="5" t="s">
        <v>1917</v>
      </c>
      <c r="G443" s="5" t="s">
        <v>1918</v>
      </c>
      <c r="H443" s="6">
        <v>42893</v>
      </c>
      <c r="I443" s="5" t="s">
        <v>1728</v>
      </c>
      <c r="J443" s="5" t="s">
        <v>1922</v>
      </c>
      <c r="K443" s="5" t="s">
        <v>61</v>
      </c>
      <c r="L443" s="7">
        <v>2</v>
      </c>
      <c r="M443" s="7">
        <v>2</v>
      </c>
      <c r="N443" s="8">
        <v>21600</v>
      </c>
      <c r="O443" s="88">
        <v>0</v>
      </c>
      <c r="P443" s="10">
        <f t="shared" si="129"/>
        <v>0</v>
      </c>
      <c r="Q443" s="88">
        <v>0</v>
      </c>
      <c r="R443" s="10">
        <f t="shared" si="130"/>
        <v>0</v>
      </c>
      <c r="S443" s="88">
        <f t="shared" si="131"/>
        <v>0</v>
      </c>
      <c r="T443" s="10">
        <f t="shared" si="132"/>
        <v>0</v>
      </c>
      <c r="U443" s="10">
        <f t="shared" si="133"/>
        <v>21600</v>
      </c>
      <c r="V443" s="11">
        <f t="shared" si="142"/>
        <v>21600</v>
      </c>
      <c r="W443" s="12">
        <f t="shared" si="134"/>
        <v>0</v>
      </c>
      <c r="X443" s="92">
        <f t="shared" si="135"/>
        <v>0</v>
      </c>
      <c r="Y443" s="93" t="str">
        <f t="shared" si="143"/>
        <v>0.00%-0.00%</v>
      </c>
      <c r="Z443" s="15"/>
      <c r="AA443" s="15"/>
      <c r="AB443" s="15"/>
      <c r="AC443" s="95"/>
      <c r="AD443" s="8">
        <f t="shared" si="137"/>
        <v>0</v>
      </c>
      <c r="AE443" s="17">
        <f t="shared" si="138"/>
        <v>21600</v>
      </c>
      <c r="AF443" s="18">
        <f t="shared" si="139"/>
        <v>0</v>
      </c>
      <c r="AG443" s="97">
        <f t="shared" si="140"/>
        <v>0</v>
      </c>
      <c r="AH443" s="20">
        <v>14</v>
      </c>
      <c r="AI443" s="20">
        <v>450</v>
      </c>
      <c r="AJ443" s="20"/>
      <c r="AK443" s="20">
        <v>688</v>
      </c>
      <c r="AL443" s="20">
        <f t="shared" si="141"/>
        <v>308488</v>
      </c>
      <c r="AM443" s="7">
        <v>2</v>
      </c>
      <c r="AN443" s="20"/>
      <c r="AO443" s="21"/>
      <c r="AP443" s="21"/>
      <c r="AQ443" s="5" t="s">
        <v>1916</v>
      </c>
      <c r="AR443" s="5" t="s">
        <v>69</v>
      </c>
      <c r="AW443" s="144" t="str">
        <f t="shared" si="127"/>
        <v>OK</v>
      </c>
      <c r="AX443" s="21" t="s">
        <v>3133</v>
      </c>
      <c r="AY443" s="21">
        <v>0</v>
      </c>
      <c r="AZ443" s="21"/>
      <c r="BA443" s="21"/>
    </row>
    <row r="444" spans="1:53" ht="20" customHeight="1">
      <c r="A444" s="86" t="s">
        <v>318</v>
      </c>
      <c r="B444" s="372" t="s">
        <v>2774</v>
      </c>
      <c r="C444" s="5" t="s">
        <v>51</v>
      </c>
      <c r="D444" s="5" t="s">
        <v>52</v>
      </c>
      <c r="E444" s="5" t="s">
        <v>1914</v>
      </c>
      <c r="F444" s="5" t="s">
        <v>1923</v>
      </c>
      <c r="G444" s="5" t="s">
        <v>1924</v>
      </c>
      <c r="H444" s="6">
        <v>39296</v>
      </c>
      <c r="I444" s="5" t="s">
        <v>73</v>
      </c>
      <c r="J444" s="5" t="s">
        <v>73</v>
      </c>
      <c r="K444" s="5" t="s">
        <v>61</v>
      </c>
      <c r="L444" s="7">
        <v>2</v>
      </c>
      <c r="M444" s="7">
        <v>4</v>
      </c>
      <c r="N444" s="8">
        <v>25432</v>
      </c>
      <c r="O444" s="88">
        <v>0.03</v>
      </c>
      <c r="P444" s="10">
        <f t="shared" si="129"/>
        <v>763</v>
      </c>
      <c r="Q444" s="88">
        <v>0</v>
      </c>
      <c r="R444" s="10">
        <f t="shared" si="130"/>
        <v>0</v>
      </c>
      <c r="S444" s="88">
        <f t="shared" si="131"/>
        <v>3.0001572821642026E-2</v>
      </c>
      <c r="T444" s="10">
        <f t="shared" si="132"/>
        <v>763</v>
      </c>
      <c r="U444" s="10">
        <f t="shared" si="133"/>
        <v>26195</v>
      </c>
      <c r="V444" s="11">
        <f t="shared" si="142"/>
        <v>26195</v>
      </c>
      <c r="W444" s="12">
        <f t="shared" si="134"/>
        <v>763</v>
      </c>
      <c r="X444" s="92">
        <f t="shared" si="135"/>
        <v>0.03</v>
      </c>
      <c r="Y444" s="93" t="str">
        <f t="shared" si="143"/>
        <v>2.40%-3.60%</v>
      </c>
      <c r="Z444" s="15"/>
      <c r="AA444" s="15"/>
      <c r="AB444" s="15"/>
      <c r="AC444" s="95"/>
      <c r="AD444" s="8">
        <f t="shared" si="137"/>
        <v>0</v>
      </c>
      <c r="AE444" s="17">
        <f t="shared" si="138"/>
        <v>26195</v>
      </c>
      <c r="AF444" s="18">
        <f t="shared" si="139"/>
        <v>763</v>
      </c>
      <c r="AG444" s="97">
        <f t="shared" si="140"/>
        <v>3.0001572821642064E-2</v>
      </c>
      <c r="AH444" s="20">
        <v>14</v>
      </c>
      <c r="AI444" s="20">
        <v>450</v>
      </c>
      <c r="AJ444" s="20"/>
      <c r="AK444" s="20">
        <v>688</v>
      </c>
      <c r="AL444" s="20">
        <f t="shared" si="141"/>
        <v>372818</v>
      </c>
      <c r="AM444" s="7">
        <v>5</v>
      </c>
      <c r="AN444" s="20"/>
      <c r="AO444" s="21"/>
      <c r="AP444" s="21"/>
      <c r="AQ444" s="5" t="s">
        <v>1916</v>
      </c>
      <c r="AR444" s="5" t="s">
        <v>69</v>
      </c>
      <c r="AW444" s="144" t="str">
        <f t="shared" si="127"/>
        <v>OK</v>
      </c>
      <c r="AX444" s="21" t="s">
        <v>3129</v>
      </c>
      <c r="AY444" s="21" t="s">
        <v>3136</v>
      </c>
      <c r="AZ444" s="21"/>
      <c r="BA444" s="21"/>
    </row>
    <row r="445" spans="1:53" ht="20" customHeight="1">
      <c r="A445" s="86" t="s">
        <v>318</v>
      </c>
      <c r="B445" s="372" t="s">
        <v>2775</v>
      </c>
      <c r="C445" s="5" t="s">
        <v>51</v>
      </c>
      <c r="D445" s="5" t="s">
        <v>52</v>
      </c>
      <c r="E445" s="5" t="s">
        <v>1914</v>
      </c>
      <c r="F445" s="5" t="s">
        <v>1923</v>
      </c>
      <c r="G445" s="5" t="s">
        <v>1924</v>
      </c>
      <c r="H445" s="6">
        <v>39326</v>
      </c>
      <c r="I445" s="5" t="s">
        <v>266</v>
      </c>
      <c r="J445" s="5" t="s">
        <v>266</v>
      </c>
      <c r="K445" s="5" t="s">
        <v>56</v>
      </c>
      <c r="L445" s="7">
        <v>2</v>
      </c>
      <c r="M445" s="7">
        <v>3</v>
      </c>
      <c r="N445" s="8">
        <v>26264</v>
      </c>
      <c r="O445" s="88">
        <v>2.5000000000000001E-2</v>
      </c>
      <c r="P445" s="10">
        <f t="shared" si="129"/>
        <v>657</v>
      </c>
      <c r="Q445" s="88">
        <v>0</v>
      </c>
      <c r="R445" s="10">
        <f t="shared" si="130"/>
        <v>0</v>
      </c>
      <c r="S445" s="88">
        <f t="shared" si="131"/>
        <v>2.501522997258605E-2</v>
      </c>
      <c r="T445" s="10">
        <f t="shared" si="132"/>
        <v>657</v>
      </c>
      <c r="U445" s="10">
        <f t="shared" si="133"/>
        <v>26921</v>
      </c>
      <c r="V445" s="11">
        <f t="shared" si="142"/>
        <v>26921</v>
      </c>
      <c r="W445" s="12">
        <f t="shared" si="134"/>
        <v>657</v>
      </c>
      <c r="X445" s="92">
        <f t="shared" si="135"/>
        <v>2.5000000000000001E-2</v>
      </c>
      <c r="Y445" s="93" t="str">
        <f t="shared" si="143"/>
        <v>2.00%-3.00%</v>
      </c>
      <c r="Z445" s="15"/>
      <c r="AA445" s="15"/>
      <c r="AB445" s="15"/>
      <c r="AC445" s="95"/>
      <c r="AD445" s="8">
        <f t="shared" si="137"/>
        <v>0</v>
      </c>
      <c r="AE445" s="17">
        <f t="shared" si="138"/>
        <v>26921</v>
      </c>
      <c r="AF445" s="18">
        <f t="shared" si="139"/>
        <v>657</v>
      </c>
      <c r="AG445" s="97">
        <f t="shared" si="140"/>
        <v>2.5015229972586095E-2</v>
      </c>
      <c r="AH445" s="20">
        <v>14</v>
      </c>
      <c r="AI445" s="20">
        <v>450</v>
      </c>
      <c r="AJ445" s="20"/>
      <c r="AK445" s="20">
        <v>688</v>
      </c>
      <c r="AL445" s="20">
        <f t="shared" si="141"/>
        <v>382982</v>
      </c>
      <c r="AM445" s="7">
        <v>3</v>
      </c>
      <c r="AN445" s="20"/>
      <c r="AO445" s="21"/>
      <c r="AP445" s="21"/>
      <c r="AQ445" s="5" t="s">
        <v>1916</v>
      </c>
      <c r="AR445" s="5" t="s">
        <v>69</v>
      </c>
      <c r="AW445" s="144" t="str">
        <f t="shared" si="127"/>
        <v>OK</v>
      </c>
      <c r="AX445" s="21" t="s">
        <v>3129</v>
      </c>
      <c r="AY445" s="21" t="s">
        <v>3130</v>
      </c>
      <c r="AZ445" s="21"/>
      <c r="BA445" s="21"/>
    </row>
    <row r="446" spans="1:53" ht="20" customHeight="1">
      <c r="A446" s="86" t="s">
        <v>318</v>
      </c>
      <c r="B446" s="372" t="s">
        <v>2776</v>
      </c>
      <c r="C446" s="5" t="s">
        <v>51</v>
      </c>
      <c r="D446" s="5" t="s">
        <v>52</v>
      </c>
      <c r="E446" s="5" t="s">
        <v>1914</v>
      </c>
      <c r="F446" s="5" t="s">
        <v>1923</v>
      </c>
      <c r="G446" s="5" t="s">
        <v>1924</v>
      </c>
      <c r="H446" s="6">
        <v>42921</v>
      </c>
      <c r="I446" s="5" t="s">
        <v>266</v>
      </c>
      <c r="J446" s="5" t="s">
        <v>266</v>
      </c>
      <c r="K446" s="5" t="s">
        <v>56</v>
      </c>
      <c r="L446" s="7">
        <v>2</v>
      </c>
      <c r="M446" s="7">
        <v>3</v>
      </c>
      <c r="N446" s="8">
        <v>28040</v>
      </c>
      <c r="O446" s="88">
        <v>2.5000000000000001E-2</v>
      </c>
      <c r="P446" s="10">
        <f t="shared" si="129"/>
        <v>701</v>
      </c>
      <c r="Q446" s="88">
        <v>0</v>
      </c>
      <c r="R446" s="10">
        <f t="shared" si="130"/>
        <v>0</v>
      </c>
      <c r="S446" s="88">
        <f t="shared" si="131"/>
        <v>2.5000000000000001E-2</v>
      </c>
      <c r="T446" s="10">
        <f t="shared" si="132"/>
        <v>701</v>
      </c>
      <c r="U446" s="10">
        <f t="shared" si="133"/>
        <v>28741</v>
      </c>
      <c r="V446" s="11">
        <f t="shared" si="142"/>
        <v>28741</v>
      </c>
      <c r="W446" s="12">
        <f t="shared" si="134"/>
        <v>701</v>
      </c>
      <c r="X446" s="92">
        <f t="shared" si="135"/>
        <v>2.5000000000000001E-2</v>
      </c>
      <c r="Y446" s="93" t="str">
        <f t="shared" si="143"/>
        <v>2.00%-3.00%</v>
      </c>
      <c r="Z446" s="15"/>
      <c r="AA446" s="15"/>
      <c r="AB446" s="15"/>
      <c r="AC446" s="95"/>
      <c r="AD446" s="8">
        <f t="shared" si="137"/>
        <v>0</v>
      </c>
      <c r="AE446" s="17">
        <f t="shared" si="138"/>
        <v>28741</v>
      </c>
      <c r="AF446" s="18">
        <f t="shared" si="139"/>
        <v>701</v>
      </c>
      <c r="AG446" s="97">
        <f t="shared" si="140"/>
        <v>2.4999999999999911E-2</v>
      </c>
      <c r="AH446" s="20">
        <v>14</v>
      </c>
      <c r="AI446" s="20">
        <v>450</v>
      </c>
      <c r="AJ446" s="20"/>
      <c r="AK446" s="20">
        <v>688</v>
      </c>
      <c r="AL446" s="20">
        <f t="shared" si="141"/>
        <v>408462</v>
      </c>
      <c r="AM446" s="7">
        <v>3</v>
      </c>
      <c r="AN446" s="20"/>
      <c r="AO446" s="21"/>
      <c r="AP446" s="21"/>
      <c r="AQ446" s="5" t="s">
        <v>1916</v>
      </c>
      <c r="AR446" s="5" t="s">
        <v>69</v>
      </c>
      <c r="AW446" s="144" t="str">
        <f t="shared" si="127"/>
        <v>OK</v>
      </c>
      <c r="AX446" s="21" t="s">
        <v>3133</v>
      </c>
      <c r="AY446" s="21" t="s">
        <v>3130</v>
      </c>
      <c r="AZ446" s="21"/>
      <c r="BA446" s="21"/>
    </row>
    <row r="447" spans="1:53" ht="20" customHeight="1">
      <c r="A447" s="86" t="s">
        <v>318</v>
      </c>
      <c r="B447" s="372" t="s">
        <v>2777</v>
      </c>
      <c r="C447" s="5" t="s">
        <v>51</v>
      </c>
      <c r="D447" s="5" t="s">
        <v>52</v>
      </c>
      <c r="E447" s="5" t="s">
        <v>1914</v>
      </c>
      <c r="F447" s="5" t="s">
        <v>1923</v>
      </c>
      <c r="G447" s="5" t="s">
        <v>1924</v>
      </c>
      <c r="H447" s="6">
        <v>41876</v>
      </c>
      <c r="I447" s="5" t="s">
        <v>198</v>
      </c>
      <c r="J447" s="5" t="s">
        <v>1925</v>
      </c>
      <c r="K447" s="5" t="s">
        <v>199</v>
      </c>
      <c r="L447" s="7">
        <v>2</v>
      </c>
      <c r="M447" s="7">
        <v>3</v>
      </c>
      <c r="N447" s="8">
        <v>37970</v>
      </c>
      <c r="O447" s="88">
        <v>0.03</v>
      </c>
      <c r="P447" s="10">
        <f t="shared" si="129"/>
        <v>1139</v>
      </c>
      <c r="Q447" s="88">
        <v>0</v>
      </c>
      <c r="R447" s="10">
        <f t="shared" si="130"/>
        <v>0</v>
      </c>
      <c r="S447" s="88">
        <f t="shared" si="131"/>
        <v>2.9997366341848828E-2</v>
      </c>
      <c r="T447" s="10">
        <f t="shared" si="132"/>
        <v>1139</v>
      </c>
      <c r="U447" s="10">
        <f t="shared" si="133"/>
        <v>39109</v>
      </c>
      <c r="V447" s="11">
        <f t="shared" si="142"/>
        <v>39109</v>
      </c>
      <c r="W447" s="12">
        <f t="shared" si="134"/>
        <v>1139</v>
      </c>
      <c r="X447" s="92">
        <f t="shared" si="135"/>
        <v>0.03</v>
      </c>
      <c r="Y447" s="93" t="str">
        <f t="shared" si="143"/>
        <v>2.40%-3.60%</v>
      </c>
      <c r="Z447" s="15"/>
      <c r="AA447" s="15"/>
      <c r="AB447" s="15"/>
      <c r="AC447" s="95"/>
      <c r="AD447" s="8">
        <f t="shared" si="137"/>
        <v>0</v>
      </c>
      <c r="AE447" s="17">
        <f t="shared" si="138"/>
        <v>39109</v>
      </c>
      <c r="AF447" s="18">
        <f t="shared" si="139"/>
        <v>1139</v>
      </c>
      <c r="AG447" s="97">
        <f t="shared" si="140"/>
        <v>2.9997366341848908E-2</v>
      </c>
      <c r="AH447" s="20">
        <v>14</v>
      </c>
      <c r="AI447" s="20">
        <v>550</v>
      </c>
      <c r="AJ447" s="20">
        <v>1000</v>
      </c>
      <c r="AK447" s="20">
        <v>688</v>
      </c>
      <c r="AL447" s="20">
        <f t="shared" si="141"/>
        <v>566814</v>
      </c>
      <c r="AM447" s="7">
        <v>4</v>
      </c>
      <c r="AN447" s="20"/>
      <c r="AO447" s="21"/>
      <c r="AP447" s="21"/>
      <c r="AQ447" s="5" t="s">
        <v>1916</v>
      </c>
      <c r="AR447" s="5" t="s">
        <v>69</v>
      </c>
      <c r="AW447" s="144" t="str">
        <f t="shared" si="127"/>
        <v>OK</v>
      </c>
      <c r="AX447" s="21" t="s">
        <v>3135</v>
      </c>
      <c r="AY447" s="21" t="s">
        <v>3132</v>
      </c>
      <c r="AZ447" s="21"/>
      <c r="BA447" s="21"/>
    </row>
    <row r="448" spans="1:53" ht="20" customHeight="1">
      <c r="A448" s="86" t="s">
        <v>318</v>
      </c>
      <c r="B448" s="372" t="s">
        <v>2778</v>
      </c>
      <c r="C448" s="5" t="s">
        <v>51</v>
      </c>
      <c r="D448" s="5" t="s">
        <v>52</v>
      </c>
      <c r="E448" s="5" t="s">
        <v>1914</v>
      </c>
      <c r="F448" s="5" t="s">
        <v>1923</v>
      </c>
      <c r="G448" s="5" t="s">
        <v>1924</v>
      </c>
      <c r="H448" s="6">
        <v>42240</v>
      </c>
      <c r="I448" s="5" t="s">
        <v>266</v>
      </c>
      <c r="J448" s="5" t="s">
        <v>266</v>
      </c>
      <c r="K448" s="5" t="s">
        <v>56</v>
      </c>
      <c r="L448" s="7">
        <v>2</v>
      </c>
      <c r="M448" s="7">
        <v>1</v>
      </c>
      <c r="N448" s="8">
        <v>20188</v>
      </c>
      <c r="O448" s="88">
        <v>0</v>
      </c>
      <c r="P448" s="10">
        <f t="shared" si="129"/>
        <v>0</v>
      </c>
      <c r="Q448" s="88">
        <v>0</v>
      </c>
      <c r="R448" s="10">
        <f t="shared" si="130"/>
        <v>0</v>
      </c>
      <c r="S448" s="88">
        <f t="shared" si="131"/>
        <v>0</v>
      </c>
      <c r="T448" s="10">
        <f t="shared" si="132"/>
        <v>0</v>
      </c>
      <c r="U448" s="10">
        <f t="shared" si="133"/>
        <v>20188</v>
      </c>
      <c r="V448" s="11">
        <f t="shared" si="142"/>
        <v>20188</v>
      </c>
      <c r="W448" s="12">
        <f t="shared" si="134"/>
        <v>0</v>
      </c>
      <c r="X448" s="92">
        <f t="shared" si="135"/>
        <v>0</v>
      </c>
      <c r="Y448" s="93" t="str">
        <f t="shared" si="143"/>
        <v>0.00%-0.00%</v>
      </c>
      <c r="Z448" s="15"/>
      <c r="AA448" s="15"/>
      <c r="AB448" s="15"/>
      <c r="AC448" s="95"/>
      <c r="AD448" s="8">
        <f t="shared" si="137"/>
        <v>0</v>
      </c>
      <c r="AE448" s="17">
        <f t="shared" si="138"/>
        <v>20188</v>
      </c>
      <c r="AF448" s="18">
        <f t="shared" si="139"/>
        <v>0</v>
      </c>
      <c r="AG448" s="97">
        <f t="shared" si="140"/>
        <v>0</v>
      </c>
      <c r="AH448" s="20">
        <v>14</v>
      </c>
      <c r="AI448" s="20">
        <v>450</v>
      </c>
      <c r="AJ448" s="20"/>
      <c r="AK448" s="20">
        <v>688</v>
      </c>
      <c r="AL448" s="20">
        <f t="shared" si="141"/>
        <v>288720</v>
      </c>
      <c r="AM448" s="7">
        <v>3</v>
      </c>
      <c r="AN448" s="20"/>
      <c r="AO448" s="21"/>
      <c r="AP448" s="21"/>
      <c r="AQ448" s="5" t="s">
        <v>1916</v>
      </c>
      <c r="AR448" s="5" t="s">
        <v>69</v>
      </c>
      <c r="AW448" s="144" t="str">
        <f t="shared" si="127"/>
        <v>OK</v>
      </c>
      <c r="AX448" s="21" t="s">
        <v>3133</v>
      </c>
      <c r="AY448" s="21">
        <v>0</v>
      </c>
      <c r="AZ448" s="21"/>
      <c r="BA448" s="21"/>
    </row>
    <row r="449" spans="1:53" ht="20" customHeight="1">
      <c r="A449" s="86" t="s">
        <v>318</v>
      </c>
      <c r="B449" s="372" t="s">
        <v>2779</v>
      </c>
      <c r="C449" s="5" t="s">
        <v>51</v>
      </c>
      <c r="D449" s="5" t="s">
        <v>52</v>
      </c>
      <c r="E449" s="5" t="s">
        <v>1935</v>
      </c>
      <c r="F449" s="5" t="s">
        <v>1926</v>
      </c>
      <c r="G449" s="5" t="s">
        <v>1927</v>
      </c>
      <c r="H449" s="6">
        <v>41438</v>
      </c>
      <c r="I449" s="5" t="s">
        <v>1908</v>
      </c>
      <c r="J449" s="5" t="s">
        <v>1909</v>
      </c>
      <c r="K449" s="5" t="s">
        <v>56</v>
      </c>
      <c r="L449" s="7">
        <v>2</v>
      </c>
      <c r="M449" s="7">
        <v>3</v>
      </c>
      <c r="N449" s="8">
        <v>25013</v>
      </c>
      <c r="O449" s="88">
        <v>2.5000000000000001E-2</v>
      </c>
      <c r="P449" s="10">
        <f t="shared" si="129"/>
        <v>625</v>
      </c>
      <c r="Q449" s="88">
        <v>0</v>
      </c>
      <c r="R449" s="10">
        <f t="shared" si="130"/>
        <v>0</v>
      </c>
      <c r="S449" s="88">
        <f t="shared" si="131"/>
        <v>2.4987006756486626E-2</v>
      </c>
      <c r="T449" s="10">
        <f t="shared" si="132"/>
        <v>625</v>
      </c>
      <c r="U449" s="10">
        <f t="shared" si="133"/>
        <v>25638</v>
      </c>
      <c r="V449" s="11">
        <f t="shared" si="142"/>
        <v>25638</v>
      </c>
      <c r="W449" s="12">
        <f t="shared" si="134"/>
        <v>625</v>
      </c>
      <c r="X449" s="92">
        <f t="shared" si="135"/>
        <v>2.5000000000000001E-2</v>
      </c>
      <c r="Y449" s="93" t="str">
        <f t="shared" si="143"/>
        <v>2.00%-3.00%</v>
      </c>
      <c r="Z449" s="15"/>
      <c r="AA449" s="15"/>
      <c r="AB449" s="15"/>
      <c r="AC449" s="95"/>
      <c r="AD449" s="8">
        <f t="shared" si="137"/>
        <v>0</v>
      </c>
      <c r="AE449" s="17">
        <f t="shared" si="138"/>
        <v>25638</v>
      </c>
      <c r="AF449" s="18">
        <f t="shared" si="139"/>
        <v>625</v>
      </c>
      <c r="AG449" s="97">
        <f t="shared" si="140"/>
        <v>2.4987006756486574E-2</v>
      </c>
      <c r="AH449" s="20">
        <v>14</v>
      </c>
      <c r="AI449" s="20">
        <v>450</v>
      </c>
      <c r="AJ449" s="20"/>
      <c r="AK449" s="20">
        <v>688</v>
      </c>
      <c r="AL449" s="20">
        <f t="shared" si="141"/>
        <v>365020</v>
      </c>
      <c r="AM449" s="7">
        <v>4</v>
      </c>
      <c r="AN449" s="20"/>
      <c r="AO449" s="21"/>
      <c r="AP449" s="21"/>
      <c r="AQ449" s="5" t="s">
        <v>1928</v>
      </c>
      <c r="AR449" s="5" t="s">
        <v>69</v>
      </c>
      <c r="AW449" s="144" t="str">
        <f t="shared" si="127"/>
        <v>OK</v>
      </c>
      <c r="AX449" s="21" t="s">
        <v>3135</v>
      </c>
      <c r="AY449" s="21" t="s">
        <v>3130</v>
      </c>
      <c r="AZ449" s="21"/>
      <c r="BA449" s="21"/>
    </row>
    <row r="450" spans="1:53" ht="20" customHeight="1">
      <c r="A450" s="86" t="s">
        <v>318</v>
      </c>
      <c r="B450" s="372" t="s">
        <v>2780</v>
      </c>
      <c r="C450" s="5" t="s">
        <v>51</v>
      </c>
      <c r="D450" s="5" t="s">
        <v>52</v>
      </c>
      <c r="E450" s="5" t="s">
        <v>1935</v>
      </c>
      <c r="F450" s="5" t="s">
        <v>1929</v>
      </c>
      <c r="G450" s="5" t="s">
        <v>1927</v>
      </c>
      <c r="H450" s="6">
        <v>38384</v>
      </c>
      <c r="I450" s="5" t="s">
        <v>111</v>
      </c>
      <c r="J450" s="5" t="s">
        <v>111</v>
      </c>
      <c r="K450" s="5" t="s">
        <v>56</v>
      </c>
      <c r="L450" s="7">
        <v>2</v>
      </c>
      <c r="M450" s="7">
        <v>3</v>
      </c>
      <c r="N450" s="8">
        <v>33004</v>
      </c>
      <c r="O450" s="88">
        <v>0</v>
      </c>
      <c r="P450" s="10">
        <f t="shared" si="129"/>
        <v>0</v>
      </c>
      <c r="Q450" s="88">
        <v>0</v>
      </c>
      <c r="R450" s="10">
        <f t="shared" si="130"/>
        <v>0</v>
      </c>
      <c r="S450" s="88">
        <f t="shared" si="131"/>
        <v>0</v>
      </c>
      <c r="T450" s="10">
        <f t="shared" si="132"/>
        <v>0</v>
      </c>
      <c r="U450" s="10">
        <f t="shared" si="133"/>
        <v>33004</v>
      </c>
      <c r="V450" s="11">
        <f t="shared" si="142"/>
        <v>33004</v>
      </c>
      <c r="W450" s="12">
        <f t="shared" si="134"/>
        <v>0</v>
      </c>
      <c r="X450" s="92">
        <f t="shared" si="135"/>
        <v>0</v>
      </c>
      <c r="Y450" s="93" t="str">
        <f t="shared" si="143"/>
        <v>0.00%-0.00%</v>
      </c>
      <c r="Z450" s="15"/>
      <c r="AA450" s="15"/>
      <c r="AB450" s="15"/>
      <c r="AC450" s="95"/>
      <c r="AD450" s="8">
        <f t="shared" si="137"/>
        <v>0</v>
      </c>
      <c r="AE450" s="17">
        <f t="shared" si="138"/>
        <v>33004</v>
      </c>
      <c r="AF450" s="18">
        <f t="shared" si="139"/>
        <v>0</v>
      </c>
      <c r="AG450" s="97">
        <f t="shared" si="140"/>
        <v>0</v>
      </c>
      <c r="AH450" s="20">
        <v>14</v>
      </c>
      <c r="AI450" s="20">
        <v>450</v>
      </c>
      <c r="AJ450" s="20"/>
      <c r="AK450" s="20">
        <v>688</v>
      </c>
      <c r="AL450" s="20">
        <f t="shared" si="141"/>
        <v>468144</v>
      </c>
      <c r="AM450" s="7">
        <v>3</v>
      </c>
      <c r="AN450" s="20"/>
      <c r="AO450" s="21"/>
      <c r="AP450" s="21"/>
      <c r="AQ450" s="5" t="s">
        <v>1928</v>
      </c>
      <c r="AR450" s="5" t="s">
        <v>69</v>
      </c>
      <c r="AW450" s="144" t="str">
        <f t="shared" si="127"/>
        <v>OK</v>
      </c>
      <c r="AX450" s="21" t="s">
        <v>3139</v>
      </c>
      <c r="AY450" s="21" t="s">
        <v>3134</v>
      </c>
      <c r="AZ450" s="21"/>
      <c r="BA450" s="21"/>
    </row>
    <row r="451" spans="1:53" ht="20" customHeight="1">
      <c r="A451" s="86" t="s">
        <v>318</v>
      </c>
      <c r="B451" s="372" t="s">
        <v>2781</v>
      </c>
      <c r="C451" s="5" t="s">
        <v>51</v>
      </c>
      <c r="D451" s="5" t="s">
        <v>52</v>
      </c>
      <c r="E451" s="5" t="s">
        <v>1935</v>
      </c>
      <c r="F451" s="5" t="s">
        <v>1926</v>
      </c>
      <c r="G451" s="5" t="s">
        <v>1927</v>
      </c>
      <c r="H451" s="6">
        <v>41743</v>
      </c>
      <c r="I451" s="5" t="s">
        <v>1908</v>
      </c>
      <c r="J451" s="5" t="s">
        <v>1909</v>
      </c>
      <c r="K451" s="5" t="s">
        <v>56</v>
      </c>
      <c r="L451" s="7">
        <v>2</v>
      </c>
      <c r="M451" s="7">
        <v>3</v>
      </c>
      <c r="N451" s="8">
        <v>23655</v>
      </c>
      <c r="O451" s="88">
        <v>2.5000000000000001E-2</v>
      </c>
      <c r="P451" s="10">
        <f t="shared" si="129"/>
        <v>591</v>
      </c>
      <c r="Q451" s="88">
        <v>0</v>
      </c>
      <c r="R451" s="10">
        <f t="shared" si="130"/>
        <v>0</v>
      </c>
      <c r="S451" s="88">
        <f t="shared" si="131"/>
        <v>2.4984147114774889E-2</v>
      </c>
      <c r="T451" s="10">
        <f t="shared" si="132"/>
        <v>591</v>
      </c>
      <c r="U451" s="10">
        <f t="shared" si="133"/>
        <v>24246</v>
      </c>
      <c r="V451" s="11">
        <f t="shared" si="142"/>
        <v>24246</v>
      </c>
      <c r="W451" s="12">
        <f t="shared" si="134"/>
        <v>591</v>
      </c>
      <c r="X451" s="92">
        <f t="shared" si="135"/>
        <v>2.5000000000000001E-2</v>
      </c>
      <c r="Y451" s="93" t="str">
        <f t="shared" si="143"/>
        <v>2.00%-3.00%</v>
      </c>
      <c r="Z451" s="15"/>
      <c r="AA451" s="15"/>
      <c r="AB451" s="15"/>
      <c r="AC451" s="95"/>
      <c r="AD451" s="8">
        <f t="shared" si="137"/>
        <v>0</v>
      </c>
      <c r="AE451" s="17">
        <f t="shared" si="138"/>
        <v>24246</v>
      </c>
      <c r="AF451" s="18">
        <f t="shared" si="139"/>
        <v>591</v>
      </c>
      <c r="AG451" s="97">
        <f t="shared" si="140"/>
        <v>2.4984147114774924E-2</v>
      </c>
      <c r="AH451" s="20">
        <v>14</v>
      </c>
      <c r="AI451" s="20">
        <v>450</v>
      </c>
      <c r="AJ451" s="20"/>
      <c r="AK451" s="20">
        <v>688</v>
      </c>
      <c r="AL451" s="20">
        <f t="shared" si="141"/>
        <v>345532</v>
      </c>
      <c r="AM451" s="7">
        <v>4</v>
      </c>
      <c r="AN451" s="20"/>
      <c r="AO451" s="21"/>
      <c r="AP451" s="21"/>
      <c r="AQ451" s="5" t="s">
        <v>1928</v>
      </c>
      <c r="AR451" s="5" t="s">
        <v>69</v>
      </c>
      <c r="AW451" s="144" t="str">
        <f t="shared" si="127"/>
        <v>OK</v>
      </c>
      <c r="AX451" s="21" t="s">
        <v>3135</v>
      </c>
      <c r="AY451" s="21" t="s">
        <v>3130</v>
      </c>
      <c r="AZ451" s="21"/>
      <c r="BA451" s="21"/>
    </row>
    <row r="452" spans="1:53" ht="20" customHeight="1">
      <c r="A452" s="86" t="s">
        <v>318</v>
      </c>
      <c r="B452" s="372" t="s">
        <v>2782</v>
      </c>
      <c r="C452" s="5" t="s">
        <v>51</v>
      </c>
      <c r="D452" s="5" t="s">
        <v>52</v>
      </c>
      <c r="E452" s="5" t="s">
        <v>1935</v>
      </c>
      <c r="F452" s="5" t="s">
        <v>1929</v>
      </c>
      <c r="G452" s="5" t="s">
        <v>1927</v>
      </c>
      <c r="H452" s="6">
        <v>41977</v>
      </c>
      <c r="I452" s="5" t="s">
        <v>85</v>
      </c>
      <c r="J452" s="5" t="s">
        <v>85</v>
      </c>
      <c r="K452" s="5" t="s">
        <v>76</v>
      </c>
      <c r="L452" s="7">
        <v>2</v>
      </c>
      <c r="M452" s="7">
        <v>2</v>
      </c>
      <c r="N452" s="8">
        <v>13300</v>
      </c>
      <c r="O452" s="88">
        <v>0</v>
      </c>
      <c r="P452" s="10">
        <f t="shared" si="129"/>
        <v>0</v>
      </c>
      <c r="Q452" s="88">
        <v>0</v>
      </c>
      <c r="R452" s="10">
        <f t="shared" si="130"/>
        <v>0</v>
      </c>
      <c r="S452" s="88">
        <f t="shared" si="131"/>
        <v>0</v>
      </c>
      <c r="T452" s="10">
        <f t="shared" si="132"/>
        <v>0</v>
      </c>
      <c r="U452" s="10">
        <f t="shared" si="133"/>
        <v>13300</v>
      </c>
      <c r="V452" s="11">
        <f t="shared" si="142"/>
        <v>13300</v>
      </c>
      <c r="W452" s="12">
        <f t="shared" si="134"/>
        <v>0</v>
      </c>
      <c r="X452" s="92">
        <f t="shared" si="135"/>
        <v>0</v>
      </c>
      <c r="Y452" s="93" t="str">
        <f t="shared" si="143"/>
        <v>0.00%-0.00%</v>
      </c>
      <c r="Z452" s="15"/>
      <c r="AA452" s="15"/>
      <c r="AB452" s="15"/>
      <c r="AC452" s="95"/>
      <c r="AD452" s="8">
        <f t="shared" si="137"/>
        <v>0</v>
      </c>
      <c r="AE452" s="17">
        <f t="shared" si="138"/>
        <v>13300</v>
      </c>
      <c r="AF452" s="18">
        <f t="shared" si="139"/>
        <v>0</v>
      </c>
      <c r="AG452" s="97">
        <f t="shared" si="140"/>
        <v>0</v>
      </c>
      <c r="AH452" s="20">
        <v>14</v>
      </c>
      <c r="AI452" s="20">
        <v>450</v>
      </c>
      <c r="AJ452" s="20"/>
      <c r="AK452" s="20">
        <v>688</v>
      </c>
      <c r="AL452" s="20">
        <f t="shared" si="141"/>
        <v>192288</v>
      </c>
      <c r="AM452" s="7">
        <v>1</v>
      </c>
      <c r="AN452" s="20"/>
      <c r="AO452" s="21"/>
      <c r="AP452" s="21"/>
      <c r="AQ452" s="5" t="s">
        <v>1928</v>
      </c>
      <c r="AR452" s="5" t="s">
        <v>69</v>
      </c>
      <c r="AW452" s="144" t="str">
        <f t="shared" si="127"/>
        <v>OK</v>
      </c>
      <c r="AX452" s="21" t="s">
        <v>3135</v>
      </c>
      <c r="AY452" s="21">
        <v>0</v>
      </c>
      <c r="AZ452" s="21"/>
      <c r="BA452" s="21"/>
    </row>
    <row r="453" spans="1:53" ht="20" customHeight="1">
      <c r="A453" s="86" t="s">
        <v>318</v>
      </c>
      <c r="B453" s="372" t="s">
        <v>2783</v>
      </c>
      <c r="C453" s="5" t="s">
        <v>51</v>
      </c>
      <c r="D453" s="5" t="s">
        <v>52</v>
      </c>
      <c r="E453" s="5" t="s">
        <v>1935</v>
      </c>
      <c r="F453" s="5" t="s">
        <v>1926</v>
      </c>
      <c r="G453" s="5" t="s">
        <v>1927</v>
      </c>
      <c r="H453" s="6">
        <v>42744</v>
      </c>
      <c r="I453" s="5" t="s">
        <v>1728</v>
      </c>
      <c r="J453" s="5" t="s">
        <v>1729</v>
      </c>
      <c r="K453" s="5" t="s">
        <v>61</v>
      </c>
      <c r="L453" s="7">
        <v>2</v>
      </c>
      <c r="M453" s="7">
        <v>3</v>
      </c>
      <c r="N453" s="8">
        <v>21594</v>
      </c>
      <c r="O453" s="88">
        <v>2.5000000000000001E-2</v>
      </c>
      <c r="P453" s="10">
        <f t="shared" si="129"/>
        <v>540</v>
      </c>
      <c r="Q453" s="88">
        <v>0</v>
      </c>
      <c r="R453" s="10">
        <f t="shared" si="130"/>
        <v>0</v>
      </c>
      <c r="S453" s="88">
        <f t="shared" si="131"/>
        <v>2.5006946373992776E-2</v>
      </c>
      <c r="T453" s="10">
        <f t="shared" si="132"/>
        <v>540</v>
      </c>
      <c r="U453" s="10">
        <f t="shared" si="133"/>
        <v>22134</v>
      </c>
      <c r="V453" s="11">
        <f t="shared" si="142"/>
        <v>22134</v>
      </c>
      <c r="W453" s="12">
        <f t="shared" si="134"/>
        <v>540</v>
      </c>
      <c r="X453" s="92">
        <f t="shared" si="135"/>
        <v>2.5000000000000001E-2</v>
      </c>
      <c r="Y453" s="93" t="str">
        <f t="shared" si="143"/>
        <v>2.00%-3.00%</v>
      </c>
      <c r="Z453" s="15"/>
      <c r="AA453" s="15"/>
      <c r="AB453" s="15"/>
      <c r="AC453" s="95"/>
      <c r="AD453" s="8">
        <f t="shared" si="137"/>
        <v>0</v>
      </c>
      <c r="AE453" s="17">
        <f t="shared" si="138"/>
        <v>22134</v>
      </c>
      <c r="AF453" s="18">
        <f t="shared" si="139"/>
        <v>540</v>
      </c>
      <c r="AG453" s="97">
        <f t="shared" si="140"/>
        <v>2.5006946373992811E-2</v>
      </c>
      <c r="AH453" s="20">
        <v>14</v>
      </c>
      <c r="AI453" s="20">
        <v>450</v>
      </c>
      <c r="AJ453" s="20"/>
      <c r="AK453" s="20">
        <v>688</v>
      </c>
      <c r="AL453" s="20">
        <f t="shared" si="141"/>
        <v>315964</v>
      </c>
      <c r="AM453" s="7">
        <v>3</v>
      </c>
      <c r="AN453" s="20"/>
      <c r="AO453" s="21"/>
      <c r="AP453" s="21"/>
      <c r="AQ453" s="5" t="s">
        <v>1928</v>
      </c>
      <c r="AR453" s="5" t="s">
        <v>69</v>
      </c>
      <c r="AW453" s="144" t="str">
        <f t="shared" si="127"/>
        <v>OK</v>
      </c>
      <c r="AX453" s="21" t="s">
        <v>3133</v>
      </c>
      <c r="AY453" s="21" t="s">
        <v>3130</v>
      </c>
      <c r="AZ453" s="21"/>
      <c r="BA453" s="21"/>
    </row>
    <row r="454" spans="1:53" ht="20" customHeight="1">
      <c r="A454" s="86" t="s">
        <v>318</v>
      </c>
      <c r="B454" s="372" t="s">
        <v>2784</v>
      </c>
      <c r="C454" s="5" t="s">
        <v>51</v>
      </c>
      <c r="D454" s="5" t="s">
        <v>52</v>
      </c>
      <c r="E454" s="5" t="s">
        <v>1935</v>
      </c>
      <c r="F454" s="5" t="s">
        <v>1929</v>
      </c>
      <c r="G454" s="5" t="s">
        <v>1927</v>
      </c>
      <c r="H454" s="6">
        <v>43087</v>
      </c>
      <c r="I454" s="5" t="s">
        <v>198</v>
      </c>
      <c r="J454" s="5" t="s">
        <v>1930</v>
      </c>
      <c r="K454" s="5" t="s">
        <v>199</v>
      </c>
      <c r="L454" s="7">
        <v>2</v>
      </c>
      <c r="M454" s="7">
        <v>3</v>
      </c>
      <c r="N454" s="8">
        <v>30480</v>
      </c>
      <c r="O454" s="88">
        <v>0.03</v>
      </c>
      <c r="P454" s="10">
        <f t="shared" si="129"/>
        <v>914</v>
      </c>
      <c r="Q454" s="88">
        <v>0</v>
      </c>
      <c r="R454" s="10">
        <f t="shared" si="130"/>
        <v>0</v>
      </c>
      <c r="S454" s="88">
        <f t="shared" si="131"/>
        <v>2.9986876640419949E-2</v>
      </c>
      <c r="T454" s="10">
        <f t="shared" si="132"/>
        <v>914</v>
      </c>
      <c r="U454" s="10">
        <f t="shared" si="133"/>
        <v>31394</v>
      </c>
      <c r="V454" s="11">
        <f t="shared" si="142"/>
        <v>31394</v>
      </c>
      <c r="W454" s="12">
        <f t="shared" si="134"/>
        <v>914</v>
      </c>
      <c r="X454" s="92">
        <f t="shared" ref="X454:X517" si="144">ROUND(V454/N454-1,4)</f>
        <v>0.03</v>
      </c>
      <c r="Y454" s="93" t="str">
        <f t="shared" si="143"/>
        <v>2.40%-3.60%</v>
      </c>
      <c r="Z454" s="15"/>
      <c r="AA454" s="15"/>
      <c r="AB454" s="15"/>
      <c r="AC454" s="95"/>
      <c r="AD454" s="8">
        <f t="shared" si="137"/>
        <v>0</v>
      </c>
      <c r="AE454" s="17">
        <f t="shared" si="138"/>
        <v>31394</v>
      </c>
      <c r="AF454" s="18">
        <f t="shared" si="139"/>
        <v>914</v>
      </c>
      <c r="AG454" s="97">
        <f t="shared" si="140"/>
        <v>2.9986876640419879E-2</v>
      </c>
      <c r="AH454" s="20">
        <v>14</v>
      </c>
      <c r="AI454" s="20">
        <v>450</v>
      </c>
      <c r="AJ454" s="20">
        <v>1000</v>
      </c>
      <c r="AK454" s="20">
        <v>688</v>
      </c>
      <c r="AL454" s="20">
        <f t="shared" si="141"/>
        <v>457604</v>
      </c>
      <c r="AM454" s="7">
        <v>3</v>
      </c>
      <c r="AN454" s="20"/>
      <c r="AO454" s="21"/>
      <c r="AP454" s="21"/>
      <c r="AQ454" s="5" t="s">
        <v>1928</v>
      </c>
      <c r="AR454" s="5" t="s">
        <v>69</v>
      </c>
      <c r="AW454" s="144" t="str">
        <f t="shared" si="127"/>
        <v>OK</v>
      </c>
      <c r="AX454" s="21" t="s">
        <v>3133</v>
      </c>
      <c r="AY454" s="21" t="s">
        <v>3132</v>
      </c>
      <c r="AZ454" s="21"/>
      <c r="BA454" s="21"/>
    </row>
    <row r="455" spans="1:53" ht="20" customHeight="1">
      <c r="A455" s="86" t="s">
        <v>318</v>
      </c>
      <c r="B455" s="372" t="s">
        <v>2785</v>
      </c>
      <c r="C455" s="5" t="s">
        <v>51</v>
      </c>
      <c r="D455" s="5" t="s">
        <v>52</v>
      </c>
      <c r="E455" s="5" t="s">
        <v>1935</v>
      </c>
      <c r="F455" s="5" t="s">
        <v>1929</v>
      </c>
      <c r="G455" s="5" t="s">
        <v>1927</v>
      </c>
      <c r="H455" s="6">
        <v>43332</v>
      </c>
      <c r="I455" s="5" t="s">
        <v>1728</v>
      </c>
      <c r="J455" s="5" t="s">
        <v>1729</v>
      </c>
      <c r="K455" s="5" t="s">
        <v>61</v>
      </c>
      <c r="L455" s="7">
        <v>2</v>
      </c>
      <c r="M455" s="7">
        <v>4</v>
      </c>
      <c r="N455" s="8">
        <v>21710</v>
      </c>
      <c r="O455" s="88">
        <v>3.7500000000000006E-2</v>
      </c>
      <c r="P455" s="10">
        <f t="shared" si="129"/>
        <v>814</v>
      </c>
      <c r="Q455" s="88">
        <v>1.55E-2</v>
      </c>
      <c r="R455" s="10">
        <f t="shared" si="130"/>
        <v>337</v>
      </c>
      <c r="S455" s="88">
        <f t="shared" si="131"/>
        <v>5.301704283740212E-2</v>
      </c>
      <c r="T455" s="10">
        <f t="shared" si="132"/>
        <v>1151</v>
      </c>
      <c r="U455" s="10">
        <f t="shared" si="133"/>
        <v>22861</v>
      </c>
      <c r="V455" s="11">
        <v>22650</v>
      </c>
      <c r="W455" s="12">
        <f t="shared" si="134"/>
        <v>940</v>
      </c>
      <c r="X455" s="92">
        <f t="shared" si="144"/>
        <v>4.3299999999999998E-2</v>
      </c>
      <c r="Y455" s="93" t="str">
        <f t="shared" si="143"/>
        <v>4.24%-6.36%</v>
      </c>
      <c r="Z455" s="15" t="s">
        <v>87</v>
      </c>
      <c r="AA455" s="15" t="s">
        <v>1909</v>
      </c>
      <c r="AB455" s="15" t="s">
        <v>1931</v>
      </c>
      <c r="AC455" s="95">
        <v>0.08</v>
      </c>
      <c r="AD455" s="8">
        <f t="shared" si="137"/>
        <v>1737</v>
      </c>
      <c r="AE455" s="17">
        <f t="shared" si="138"/>
        <v>24387</v>
      </c>
      <c r="AF455" s="18">
        <f t="shared" si="139"/>
        <v>2677</v>
      </c>
      <c r="AG455" s="97">
        <f t="shared" si="140"/>
        <v>0.12330723169046531</v>
      </c>
      <c r="AH455" s="20">
        <v>14</v>
      </c>
      <c r="AI455" s="20">
        <v>450</v>
      </c>
      <c r="AJ455" s="20"/>
      <c r="AK455" s="20">
        <v>688</v>
      </c>
      <c r="AL455" s="20">
        <f t="shared" si="141"/>
        <v>347506</v>
      </c>
      <c r="AM455" s="7">
        <v>3</v>
      </c>
      <c r="AN455" s="20"/>
      <c r="AO455" s="21" t="s">
        <v>1932</v>
      </c>
      <c r="AP455" s="21" t="s">
        <v>90</v>
      </c>
      <c r="AQ455" s="5" t="s">
        <v>1928</v>
      </c>
      <c r="AR455" s="5" t="s">
        <v>69</v>
      </c>
      <c r="AW455" s="144" t="str">
        <f t="shared" si="127"/>
        <v>OK</v>
      </c>
      <c r="AX455" s="21" t="s">
        <v>3133</v>
      </c>
      <c r="AY455" s="21" t="s">
        <v>3130</v>
      </c>
      <c r="AZ455" s="21"/>
      <c r="BA455" s="21"/>
    </row>
    <row r="456" spans="1:53" ht="20" customHeight="1">
      <c r="A456" s="86" t="s">
        <v>318</v>
      </c>
      <c r="B456" s="372" t="s">
        <v>2786</v>
      </c>
      <c r="C456" s="5" t="s">
        <v>51</v>
      </c>
      <c r="D456" s="5" t="s">
        <v>52</v>
      </c>
      <c r="E456" s="5" t="s">
        <v>1935</v>
      </c>
      <c r="F456" s="5" t="s">
        <v>1926</v>
      </c>
      <c r="G456" s="5" t="s">
        <v>1927</v>
      </c>
      <c r="H456" s="6">
        <v>38504</v>
      </c>
      <c r="I456" s="5" t="s">
        <v>1908</v>
      </c>
      <c r="J456" s="5" t="s">
        <v>1909</v>
      </c>
      <c r="K456" s="5" t="s">
        <v>56</v>
      </c>
      <c r="L456" s="7">
        <v>2</v>
      </c>
      <c r="M456" s="7">
        <v>3</v>
      </c>
      <c r="N456" s="8">
        <v>27983</v>
      </c>
      <c r="O456" s="88">
        <v>0</v>
      </c>
      <c r="P456" s="10">
        <f t="shared" si="129"/>
        <v>0</v>
      </c>
      <c r="Q456" s="88">
        <v>0</v>
      </c>
      <c r="R456" s="10">
        <f t="shared" si="130"/>
        <v>0</v>
      </c>
      <c r="S456" s="88">
        <f t="shared" si="131"/>
        <v>0</v>
      </c>
      <c r="T456" s="10">
        <f t="shared" si="132"/>
        <v>0</v>
      </c>
      <c r="U456" s="10">
        <f t="shared" si="133"/>
        <v>27983</v>
      </c>
      <c r="V456" s="11">
        <v>28200</v>
      </c>
      <c r="W456" s="12">
        <f t="shared" si="134"/>
        <v>217</v>
      </c>
      <c r="X456" s="92">
        <f t="shared" si="144"/>
        <v>7.7999999999999996E-3</v>
      </c>
      <c r="Y456" s="93" t="str">
        <f t="shared" si="143"/>
        <v>0.00%-0.00%</v>
      </c>
      <c r="Z456" s="15"/>
      <c r="AA456" s="15"/>
      <c r="AB456" s="15"/>
      <c r="AC456" s="95"/>
      <c r="AD456" s="8">
        <f t="shared" si="137"/>
        <v>0</v>
      </c>
      <c r="AE456" s="17">
        <f t="shared" si="138"/>
        <v>28200</v>
      </c>
      <c r="AF456" s="18">
        <f t="shared" si="139"/>
        <v>217</v>
      </c>
      <c r="AG456" s="97">
        <f t="shared" si="140"/>
        <v>7.7547082157023439E-3</v>
      </c>
      <c r="AH456" s="20">
        <v>14</v>
      </c>
      <c r="AI456" s="20">
        <v>450</v>
      </c>
      <c r="AJ456" s="20"/>
      <c r="AK456" s="20">
        <v>688</v>
      </c>
      <c r="AL456" s="20">
        <f t="shared" si="141"/>
        <v>400888</v>
      </c>
      <c r="AM456" s="7">
        <v>3</v>
      </c>
      <c r="AN456" s="20"/>
      <c r="AO456" s="21" t="s">
        <v>1933</v>
      </c>
      <c r="AP456" s="21" t="s">
        <v>90</v>
      </c>
      <c r="AQ456" s="5" t="s">
        <v>1928</v>
      </c>
      <c r="AR456" s="5" t="s">
        <v>69</v>
      </c>
      <c r="AW456" s="144" t="str">
        <f t="shared" si="127"/>
        <v>&gt;20</v>
      </c>
      <c r="AX456" s="21" t="s">
        <v>3139</v>
      </c>
      <c r="AY456" s="21" t="s">
        <v>3134</v>
      </c>
      <c r="AZ456" s="21"/>
      <c r="BA456" s="21"/>
    </row>
    <row r="457" spans="1:53" ht="20" customHeight="1">
      <c r="A457" s="86" t="s">
        <v>318</v>
      </c>
      <c r="B457" s="372" t="s">
        <v>2787</v>
      </c>
      <c r="C457" s="5" t="s">
        <v>51</v>
      </c>
      <c r="D457" s="5" t="s">
        <v>52</v>
      </c>
      <c r="E457" s="5" t="s">
        <v>1935</v>
      </c>
      <c r="F457" s="5" t="s">
        <v>1929</v>
      </c>
      <c r="G457" s="5" t="s">
        <v>1927</v>
      </c>
      <c r="H457" s="6">
        <v>40394</v>
      </c>
      <c r="I457" s="5" t="s">
        <v>1728</v>
      </c>
      <c r="J457" s="5" t="s">
        <v>1729</v>
      </c>
      <c r="K457" s="5" t="s">
        <v>61</v>
      </c>
      <c r="L457" s="7">
        <v>2</v>
      </c>
      <c r="M457" s="7">
        <v>3</v>
      </c>
      <c r="N457" s="8">
        <v>18218</v>
      </c>
      <c r="O457" s="88">
        <v>2.5000000000000001E-2</v>
      </c>
      <c r="P457" s="10">
        <f t="shared" si="129"/>
        <v>455</v>
      </c>
      <c r="Q457" s="88">
        <v>0</v>
      </c>
      <c r="R457" s="10">
        <f t="shared" si="130"/>
        <v>0</v>
      </c>
      <c r="S457" s="88">
        <f t="shared" si="131"/>
        <v>2.4975299154682183E-2</v>
      </c>
      <c r="T457" s="10">
        <f t="shared" si="132"/>
        <v>455</v>
      </c>
      <c r="U457" s="10">
        <f t="shared" si="133"/>
        <v>18673</v>
      </c>
      <c r="V457" s="11">
        <f t="shared" si="142"/>
        <v>18673</v>
      </c>
      <c r="W457" s="12">
        <f t="shared" si="134"/>
        <v>455</v>
      </c>
      <c r="X457" s="92">
        <f t="shared" si="144"/>
        <v>2.5000000000000001E-2</v>
      </c>
      <c r="Y457" s="93" t="str">
        <f t="shared" si="143"/>
        <v>2.00%-3.00%</v>
      </c>
      <c r="Z457" s="15"/>
      <c r="AA457" s="15"/>
      <c r="AB457" s="15"/>
      <c r="AC457" s="95"/>
      <c r="AD457" s="8">
        <f t="shared" si="137"/>
        <v>0</v>
      </c>
      <c r="AE457" s="17">
        <f t="shared" si="138"/>
        <v>18673</v>
      </c>
      <c r="AF457" s="18">
        <f t="shared" si="139"/>
        <v>455</v>
      </c>
      <c r="AG457" s="97">
        <f t="shared" si="140"/>
        <v>2.4975299154682107E-2</v>
      </c>
      <c r="AH457" s="20">
        <v>14</v>
      </c>
      <c r="AI457" s="20">
        <v>450</v>
      </c>
      <c r="AJ457" s="20"/>
      <c r="AK457" s="20">
        <v>688</v>
      </c>
      <c r="AL457" s="20">
        <f t="shared" si="141"/>
        <v>267510</v>
      </c>
      <c r="AM457" s="7">
        <v>3</v>
      </c>
      <c r="AN457" s="20"/>
      <c r="AO457" s="21"/>
      <c r="AP457" s="21"/>
      <c r="AQ457" s="5" t="s">
        <v>1928</v>
      </c>
      <c r="AR457" s="5" t="s">
        <v>69</v>
      </c>
      <c r="AW457" s="144" t="str">
        <f t="shared" si="127"/>
        <v>OK</v>
      </c>
      <c r="AX457" s="21" t="s">
        <v>3135</v>
      </c>
      <c r="AY457" s="21" t="s">
        <v>3130</v>
      </c>
      <c r="AZ457" s="21"/>
      <c r="BA457" s="21"/>
    </row>
    <row r="458" spans="1:53" ht="20" customHeight="1">
      <c r="A458" s="86" t="s">
        <v>318</v>
      </c>
      <c r="B458" s="372" t="s">
        <v>2788</v>
      </c>
      <c r="C458" s="5" t="s">
        <v>51</v>
      </c>
      <c r="D458" s="5" t="s">
        <v>52</v>
      </c>
      <c r="E458" s="5" t="s">
        <v>1935</v>
      </c>
      <c r="F458" s="5" t="s">
        <v>1926</v>
      </c>
      <c r="G458" s="5" t="s">
        <v>1927</v>
      </c>
      <c r="H458" s="6">
        <v>40716</v>
      </c>
      <c r="I458" s="5" t="s">
        <v>198</v>
      </c>
      <c r="J458" s="5" t="s">
        <v>1934</v>
      </c>
      <c r="K458" s="5" t="s">
        <v>199</v>
      </c>
      <c r="L458" s="7">
        <v>2</v>
      </c>
      <c r="M458" s="7">
        <v>5</v>
      </c>
      <c r="N458" s="8">
        <v>44255</v>
      </c>
      <c r="O458" s="88">
        <v>0.05</v>
      </c>
      <c r="P458" s="10">
        <f t="shared" si="129"/>
        <v>2213</v>
      </c>
      <c r="Q458" s="88">
        <v>2.7E-2</v>
      </c>
      <c r="R458" s="10">
        <f t="shared" si="130"/>
        <v>1195</v>
      </c>
      <c r="S458" s="88">
        <f t="shared" si="131"/>
        <v>7.7008247655632134E-2</v>
      </c>
      <c r="T458" s="10">
        <f t="shared" si="132"/>
        <v>3408</v>
      </c>
      <c r="U458" s="10">
        <f t="shared" si="133"/>
        <v>47663</v>
      </c>
      <c r="V458" s="11">
        <f t="shared" si="142"/>
        <v>47663</v>
      </c>
      <c r="W458" s="12">
        <f t="shared" si="134"/>
        <v>3408</v>
      </c>
      <c r="X458" s="92">
        <f t="shared" si="144"/>
        <v>7.6999999999999999E-2</v>
      </c>
      <c r="Y458" s="93" t="str">
        <f t="shared" si="143"/>
        <v>6.16%-9.24%</v>
      </c>
      <c r="Z458" s="15"/>
      <c r="AA458" s="15"/>
      <c r="AB458" s="15"/>
      <c r="AC458" s="95"/>
      <c r="AD458" s="8">
        <f t="shared" si="137"/>
        <v>0</v>
      </c>
      <c r="AE458" s="17">
        <f t="shared" si="138"/>
        <v>47663</v>
      </c>
      <c r="AF458" s="18">
        <f t="shared" si="139"/>
        <v>3408</v>
      </c>
      <c r="AG458" s="97">
        <f t="shared" si="140"/>
        <v>7.7008247655632189E-2</v>
      </c>
      <c r="AH458" s="20">
        <v>14</v>
      </c>
      <c r="AI458" s="20">
        <v>450</v>
      </c>
      <c r="AJ458" s="20">
        <v>1000</v>
      </c>
      <c r="AK458" s="20">
        <v>688</v>
      </c>
      <c r="AL458" s="20">
        <f t="shared" si="141"/>
        <v>685370</v>
      </c>
      <c r="AM458" s="7">
        <v>4</v>
      </c>
      <c r="AN458" s="20"/>
      <c r="AO458" s="21"/>
      <c r="AP458" s="21"/>
      <c r="AQ458" s="5" t="s">
        <v>1928</v>
      </c>
      <c r="AR458" s="5" t="s">
        <v>69</v>
      </c>
      <c r="AW458" s="144" t="str">
        <f t="shared" si="127"/>
        <v>OK</v>
      </c>
      <c r="AX458" s="21" t="s">
        <v>3135</v>
      </c>
      <c r="AY458" s="21" t="s">
        <v>3130</v>
      </c>
      <c r="AZ458" s="21"/>
      <c r="BA458" s="21"/>
    </row>
    <row r="459" spans="1:53" ht="20" customHeight="1">
      <c r="A459" s="86" t="s">
        <v>318</v>
      </c>
      <c r="B459" s="372" t="s">
        <v>2789</v>
      </c>
      <c r="C459" s="5" t="s">
        <v>51</v>
      </c>
      <c r="D459" s="5" t="s">
        <v>52</v>
      </c>
      <c r="E459" s="5" t="s">
        <v>1935</v>
      </c>
      <c r="F459" s="5" t="s">
        <v>1935</v>
      </c>
      <c r="G459" s="5" t="s">
        <v>1927</v>
      </c>
      <c r="H459" s="6">
        <v>40618</v>
      </c>
      <c r="I459" s="5" t="s">
        <v>73</v>
      </c>
      <c r="J459" s="5" t="s">
        <v>73</v>
      </c>
      <c r="K459" s="5" t="s">
        <v>61</v>
      </c>
      <c r="L459" s="7">
        <v>2</v>
      </c>
      <c r="M459" s="7">
        <v>4</v>
      </c>
      <c r="N459" s="8">
        <v>18025</v>
      </c>
      <c r="O459" s="88">
        <v>3.7500000000000006E-2</v>
      </c>
      <c r="P459" s="10">
        <f t="shared" ref="P459:P522" si="145">ROUND(N459*O459,0)</f>
        <v>676</v>
      </c>
      <c r="Q459" s="88">
        <v>1.55E-2</v>
      </c>
      <c r="R459" s="10">
        <f t="shared" ref="R459:R522" si="146">ROUND(N459*Q459,0)</f>
        <v>279</v>
      </c>
      <c r="S459" s="88">
        <f t="shared" ref="S459:S522" si="147">T459/N459</f>
        <v>5.2981969486823856E-2</v>
      </c>
      <c r="T459" s="10">
        <f t="shared" ref="T459:T522" si="148">P459+R459</f>
        <v>955</v>
      </c>
      <c r="U459" s="10">
        <f t="shared" ref="U459:U522" si="149">N459+T459</f>
        <v>18980</v>
      </c>
      <c r="V459" s="11">
        <f t="shared" si="142"/>
        <v>18980</v>
      </c>
      <c r="W459" s="12">
        <f t="shared" ref="W459:W522" si="150">V459-N459</f>
        <v>955</v>
      </c>
      <c r="X459" s="92">
        <f t="shared" si="144"/>
        <v>5.2999999999999999E-2</v>
      </c>
      <c r="Y459" s="93" t="str">
        <f t="shared" si="143"/>
        <v>4.24%-6.36%</v>
      </c>
      <c r="Z459" s="15"/>
      <c r="AA459" s="15"/>
      <c r="AB459" s="15"/>
      <c r="AC459" s="95"/>
      <c r="AD459" s="8">
        <f t="shared" ref="AD459:AD522" si="151">ROUND(N459*AC459,0)</f>
        <v>0</v>
      </c>
      <c r="AE459" s="17">
        <f t="shared" ref="AE459:AE522" si="152">V459+AD459</f>
        <v>18980</v>
      </c>
      <c r="AF459" s="18">
        <f t="shared" ref="AF459:AF522" si="153">AE459-N459</f>
        <v>955</v>
      </c>
      <c r="AG459" s="97">
        <f t="shared" ref="AG459:AG522" si="154">AE459/N459-1</f>
        <v>5.2981969486823877E-2</v>
      </c>
      <c r="AH459" s="20">
        <v>14</v>
      </c>
      <c r="AI459" s="20">
        <v>450</v>
      </c>
      <c r="AJ459" s="20"/>
      <c r="AK459" s="20">
        <v>688</v>
      </c>
      <c r="AL459" s="20">
        <f t="shared" ref="AL459:AL522" si="155">AE459*AH459+AI459*12+AK459+IF(AB459="",AJ459,IF(AB459="D",5000,IF(AB459="C",1000,0)))*12</f>
        <v>271808</v>
      </c>
      <c r="AM459" s="7">
        <v>3</v>
      </c>
      <c r="AN459" s="20"/>
      <c r="AO459" s="21"/>
      <c r="AP459" s="21"/>
      <c r="AQ459" s="5" t="s">
        <v>1928</v>
      </c>
      <c r="AR459" s="5" t="s">
        <v>69</v>
      </c>
      <c r="AW459" s="144" t="str">
        <f t="shared" si="127"/>
        <v>OK</v>
      </c>
      <c r="AX459" s="21" t="s">
        <v>3135</v>
      </c>
      <c r="AY459" s="21" t="s">
        <v>3130</v>
      </c>
      <c r="AZ459" s="21"/>
      <c r="BA459" s="21"/>
    </row>
    <row r="460" spans="1:53" ht="20" customHeight="1">
      <c r="A460" s="86" t="s">
        <v>318</v>
      </c>
      <c r="B460" s="372" t="s">
        <v>2790</v>
      </c>
      <c r="C460" s="5" t="s">
        <v>51</v>
      </c>
      <c r="D460" s="5" t="s">
        <v>52</v>
      </c>
      <c r="E460" s="5" t="s">
        <v>1935</v>
      </c>
      <c r="F460" s="5" t="s">
        <v>1926</v>
      </c>
      <c r="G460" s="5" t="s">
        <v>1927</v>
      </c>
      <c r="H460" s="6">
        <v>44202</v>
      </c>
      <c r="I460" s="5" t="s">
        <v>85</v>
      </c>
      <c r="J460" s="5" t="s">
        <v>1936</v>
      </c>
      <c r="K460" s="5" t="s">
        <v>76</v>
      </c>
      <c r="L460" s="7">
        <v>2</v>
      </c>
      <c r="M460" s="7">
        <v>4</v>
      </c>
      <c r="N460" s="8">
        <v>18376</v>
      </c>
      <c r="O460" s="88">
        <v>3.7500000000000006E-2</v>
      </c>
      <c r="P460" s="10">
        <f t="shared" si="145"/>
        <v>689</v>
      </c>
      <c r="Q460" s="88">
        <v>1.55E-2</v>
      </c>
      <c r="R460" s="10">
        <f t="shared" si="146"/>
        <v>285</v>
      </c>
      <c r="S460" s="88">
        <f t="shared" si="147"/>
        <v>5.3003918154114059E-2</v>
      </c>
      <c r="T460" s="10">
        <f t="shared" si="148"/>
        <v>974</v>
      </c>
      <c r="U460" s="10">
        <f t="shared" si="149"/>
        <v>19350</v>
      </c>
      <c r="V460" s="11">
        <v>19160</v>
      </c>
      <c r="W460" s="12">
        <f t="shared" si="150"/>
        <v>784</v>
      </c>
      <c r="X460" s="92">
        <f t="shared" si="144"/>
        <v>4.2700000000000002E-2</v>
      </c>
      <c r="Y460" s="93" t="str">
        <f t="shared" si="143"/>
        <v>4.24%-6.36%</v>
      </c>
      <c r="Z460" s="15" t="s">
        <v>87</v>
      </c>
      <c r="AA460" s="15" t="s">
        <v>1729</v>
      </c>
      <c r="AB460" s="15" t="s">
        <v>89</v>
      </c>
      <c r="AC460" s="95">
        <v>7.0000000000000007E-2</v>
      </c>
      <c r="AD460" s="8">
        <f t="shared" si="151"/>
        <v>1286</v>
      </c>
      <c r="AE460" s="17">
        <f t="shared" si="152"/>
        <v>20446</v>
      </c>
      <c r="AF460" s="18">
        <f t="shared" si="153"/>
        <v>2070</v>
      </c>
      <c r="AG460" s="97">
        <f t="shared" si="154"/>
        <v>0.11264693077927723</v>
      </c>
      <c r="AH460" s="20">
        <v>14</v>
      </c>
      <c r="AI460" s="20">
        <v>450</v>
      </c>
      <c r="AJ460" s="20"/>
      <c r="AK460" s="20">
        <v>688</v>
      </c>
      <c r="AL460" s="20">
        <f t="shared" si="155"/>
        <v>292332</v>
      </c>
      <c r="AM460" s="7">
        <v>3</v>
      </c>
      <c r="AN460" s="20"/>
      <c r="AO460" s="21" t="s">
        <v>1937</v>
      </c>
      <c r="AP460" s="21" t="s">
        <v>90</v>
      </c>
      <c r="AQ460" s="5" t="s">
        <v>1928</v>
      </c>
      <c r="AR460" s="5" t="s">
        <v>69</v>
      </c>
      <c r="AW460" s="144" t="str">
        <f t="shared" si="127"/>
        <v>OK</v>
      </c>
      <c r="AX460" s="21" t="s">
        <v>3131</v>
      </c>
      <c r="AY460" s="21" t="s">
        <v>3130</v>
      </c>
      <c r="AZ460" s="21"/>
      <c r="BA460" s="21"/>
    </row>
    <row r="461" spans="1:53" ht="20" customHeight="1">
      <c r="A461" s="86" t="s">
        <v>318</v>
      </c>
      <c r="B461" s="372" t="s">
        <v>2791</v>
      </c>
      <c r="C461" s="5" t="s">
        <v>51</v>
      </c>
      <c r="D461" s="5" t="s">
        <v>52</v>
      </c>
      <c r="E461" s="5" t="s">
        <v>1935</v>
      </c>
      <c r="F461" s="5" t="s">
        <v>1929</v>
      </c>
      <c r="G461" s="5" t="s">
        <v>1927</v>
      </c>
      <c r="H461" s="6">
        <v>44487</v>
      </c>
      <c r="I461" s="5" t="s">
        <v>85</v>
      </c>
      <c r="J461" s="5" t="s">
        <v>85</v>
      </c>
      <c r="K461" s="5" t="s">
        <v>76</v>
      </c>
      <c r="L461" s="7">
        <v>2</v>
      </c>
      <c r="M461" s="7">
        <v>3</v>
      </c>
      <c r="N461" s="8">
        <v>18127</v>
      </c>
      <c r="O461" s="88">
        <v>0</v>
      </c>
      <c r="P461" s="10">
        <f t="shared" si="145"/>
        <v>0</v>
      </c>
      <c r="Q461" s="88">
        <v>0</v>
      </c>
      <c r="R461" s="10">
        <f t="shared" si="146"/>
        <v>0</v>
      </c>
      <c r="S461" s="88">
        <f t="shared" si="147"/>
        <v>0</v>
      </c>
      <c r="T461" s="10">
        <f t="shared" si="148"/>
        <v>0</v>
      </c>
      <c r="U461" s="10">
        <f t="shared" si="149"/>
        <v>18127</v>
      </c>
      <c r="V461" s="11">
        <v>18310</v>
      </c>
      <c r="W461" s="12">
        <f t="shared" si="150"/>
        <v>183</v>
      </c>
      <c r="X461" s="92">
        <f t="shared" si="144"/>
        <v>1.01E-2</v>
      </c>
      <c r="Y461" s="93" t="str">
        <f t="shared" si="143"/>
        <v>0.00%-0.00%</v>
      </c>
      <c r="Z461" s="15"/>
      <c r="AA461" s="15"/>
      <c r="AB461" s="15"/>
      <c r="AC461" s="95"/>
      <c r="AD461" s="8">
        <f t="shared" si="151"/>
        <v>0</v>
      </c>
      <c r="AE461" s="17">
        <f t="shared" si="152"/>
        <v>18310</v>
      </c>
      <c r="AF461" s="18">
        <f t="shared" si="153"/>
        <v>183</v>
      </c>
      <c r="AG461" s="97">
        <f t="shared" si="154"/>
        <v>1.0095437744800595E-2</v>
      </c>
      <c r="AH461" s="20">
        <v>14</v>
      </c>
      <c r="AI461" s="20">
        <v>450</v>
      </c>
      <c r="AJ461" s="20"/>
      <c r="AK461" s="20">
        <v>688</v>
      </c>
      <c r="AL461" s="20">
        <f t="shared" si="155"/>
        <v>262428</v>
      </c>
      <c r="AM461" s="7">
        <v>4</v>
      </c>
      <c r="AN461" s="20"/>
      <c r="AO461" s="21" t="s">
        <v>1938</v>
      </c>
      <c r="AP461" s="21" t="s">
        <v>90</v>
      </c>
      <c r="AQ461" s="5" t="s">
        <v>1928</v>
      </c>
      <c r="AR461" s="5" t="s">
        <v>69</v>
      </c>
      <c r="AW461" s="144" t="str">
        <f t="shared" si="127"/>
        <v>&gt;20</v>
      </c>
      <c r="AX461" s="21" t="s">
        <v>3131</v>
      </c>
      <c r="AY461" s="21" t="s">
        <v>3134</v>
      </c>
      <c r="AZ461" s="21"/>
      <c r="BA461" s="21"/>
    </row>
    <row r="462" spans="1:53" ht="20" customHeight="1">
      <c r="A462" s="86" t="s">
        <v>318</v>
      </c>
      <c r="B462" s="372" t="s">
        <v>2792</v>
      </c>
      <c r="C462" s="5" t="s">
        <v>51</v>
      </c>
      <c r="D462" s="5" t="s">
        <v>52</v>
      </c>
      <c r="E462" s="5" t="s">
        <v>1935</v>
      </c>
      <c r="F462" s="5" t="s">
        <v>1935</v>
      </c>
      <c r="G462" s="5" t="s">
        <v>1939</v>
      </c>
      <c r="H462" s="6">
        <v>38504</v>
      </c>
      <c r="I462" s="5" t="s">
        <v>198</v>
      </c>
      <c r="J462" s="5" t="s">
        <v>198</v>
      </c>
      <c r="K462" s="5" t="s">
        <v>199</v>
      </c>
      <c r="L462" s="7">
        <v>2</v>
      </c>
      <c r="M462" s="7">
        <v>3</v>
      </c>
      <c r="N462" s="8">
        <v>55066</v>
      </c>
      <c r="O462" s="88">
        <v>0</v>
      </c>
      <c r="P462" s="10">
        <f t="shared" si="145"/>
        <v>0</v>
      </c>
      <c r="Q462" s="88">
        <v>0</v>
      </c>
      <c r="R462" s="10">
        <f t="shared" si="146"/>
        <v>0</v>
      </c>
      <c r="S462" s="88">
        <f t="shared" si="147"/>
        <v>0</v>
      </c>
      <c r="T462" s="10">
        <f t="shared" si="148"/>
        <v>0</v>
      </c>
      <c r="U462" s="10">
        <f t="shared" si="149"/>
        <v>55066</v>
      </c>
      <c r="V462" s="11">
        <f t="shared" si="142"/>
        <v>55066</v>
      </c>
      <c r="W462" s="12">
        <f t="shared" si="150"/>
        <v>0</v>
      </c>
      <c r="X462" s="92">
        <f t="shared" si="144"/>
        <v>0</v>
      </c>
      <c r="Y462" s="93" t="str">
        <f t="shared" si="143"/>
        <v>0.00%-0.00%</v>
      </c>
      <c r="Z462" s="15"/>
      <c r="AA462" s="15"/>
      <c r="AB462" s="15"/>
      <c r="AC462" s="95"/>
      <c r="AD462" s="8">
        <f t="shared" si="151"/>
        <v>0</v>
      </c>
      <c r="AE462" s="17">
        <f t="shared" si="152"/>
        <v>55066</v>
      </c>
      <c r="AF462" s="18">
        <f t="shared" si="153"/>
        <v>0</v>
      </c>
      <c r="AG462" s="97">
        <f t="shared" si="154"/>
        <v>0</v>
      </c>
      <c r="AH462" s="20">
        <v>14</v>
      </c>
      <c r="AI462" s="20">
        <v>450</v>
      </c>
      <c r="AJ462" s="20">
        <v>1000</v>
      </c>
      <c r="AK462" s="20">
        <v>688</v>
      </c>
      <c r="AL462" s="20">
        <f t="shared" si="155"/>
        <v>789012</v>
      </c>
      <c r="AM462" s="7">
        <v>3</v>
      </c>
      <c r="AN462" s="20"/>
      <c r="AO462" s="21"/>
      <c r="AP462" s="21"/>
      <c r="AQ462" s="5" t="s">
        <v>1928</v>
      </c>
      <c r="AR462" s="5" t="s">
        <v>69</v>
      </c>
      <c r="AW462" s="144" t="str">
        <f t="shared" si="127"/>
        <v>OK</v>
      </c>
      <c r="AX462" s="21" t="s">
        <v>3139</v>
      </c>
      <c r="AY462" s="21" t="s">
        <v>3134</v>
      </c>
      <c r="AZ462" s="21"/>
      <c r="BA462" s="21"/>
    </row>
    <row r="463" spans="1:53" ht="20" customHeight="1">
      <c r="A463" s="86" t="s">
        <v>318</v>
      </c>
      <c r="B463" s="372" t="s">
        <v>2793</v>
      </c>
      <c r="C463" s="5" t="s">
        <v>51</v>
      </c>
      <c r="D463" s="5" t="s">
        <v>52</v>
      </c>
      <c r="E463" s="5" t="s">
        <v>1935</v>
      </c>
      <c r="F463" s="5" t="s">
        <v>1940</v>
      </c>
      <c r="G463" s="5" t="s">
        <v>1939</v>
      </c>
      <c r="H463" s="6">
        <v>41324</v>
      </c>
      <c r="I463" s="5" t="s">
        <v>266</v>
      </c>
      <c r="J463" s="5" t="s">
        <v>266</v>
      </c>
      <c r="K463" s="5" t="s">
        <v>56</v>
      </c>
      <c r="L463" s="7">
        <v>2</v>
      </c>
      <c r="M463" s="7">
        <v>3</v>
      </c>
      <c r="N463" s="8">
        <v>29069</v>
      </c>
      <c r="O463" s="88">
        <v>2.5000000000000001E-2</v>
      </c>
      <c r="P463" s="10">
        <f t="shared" si="145"/>
        <v>727</v>
      </c>
      <c r="Q463" s="88">
        <v>0</v>
      </c>
      <c r="R463" s="10">
        <f t="shared" si="146"/>
        <v>0</v>
      </c>
      <c r="S463" s="88">
        <f t="shared" si="147"/>
        <v>2.5009460249750592E-2</v>
      </c>
      <c r="T463" s="10">
        <f t="shared" si="148"/>
        <v>727</v>
      </c>
      <c r="U463" s="10">
        <f t="shared" si="149"/>
        <v>29796</v>
      </c>
      <c r="V463" s="11">
        <f t="shared" si="142"/>
        <v>29796</v>
      </c>
      <c r="W463" s="12">
        <f t="shared" si="150"/>
        <v>727</v>
      </c>
      <c r="X463" s="92">
        <f t="shared" si="144"/>
        <v>2.5000000000000001E-2</v>
      </c>
      <c r="Y463" s="93" t="str">
        <f t="shared" si="143"/>
        <v>2.00%-3.00%</v>
      </c>
      <c r="Z463" s="15"/>
      <c r="AA463" s="15"/>
      <c r="AB463" s="15"/>
      <c r="AC463" s="95"/>
      <c r="AD463" s="8">
        <f t="shared" si="151"/>
        <v>0</v>
      </c>
      <c r="AE463" s="17">
        <f t="shared" si="152"/>
        <v>29796</v>
      </c>
      <c r="AF463" s="18">
        <f t="shared" si="153"/>
        <v>727</v>
      </c>
      <c r="AG463" s="97">
        <f t="shared" si="154"/>
        <v>2.5009460249750592E-2</v>
      </c>
      <c r="AH463" s="20">
        <v>14</v>
      </c>
      <c r="AI463" s="20">
        <v>450</v>
      </c>
      <c r="AJ463" s="20"/>
      <c r="AK463" s="20">
        <v>688</v>
      </c>
      <c r="AL463" s="20">
        <f t="shared" si="155"/>
        <v>423232</v>
      </c>
      <c r="AM463" s="7">
        <v>3</v>
      </c>
      <c r="AN463" s="20"/>
      <c r="AO463" s="21"/>
      <c r="AP463" s="21"/>
      <c r="AQ463" s="5" t="s">
        <v>1928</v>
      </c>
      <c r="AR463" s="5" t="s">
        <v>69</v>
      </c>
      <c r="AW463" s="144" t="str">
        <f t="shared" si="127"/>
        <v>OK</v>
      </c>
      <c r="AX463" s="21" t="s">
        <v>3135</v>
      </c>
      <c r="AY463" s="21" t="s">
        <v>3130</v>
      </c>
      <c r="AZ463" s="21"/>
      <c r="BA463" s="21"/>
    </row>
    <row r="464" spans="1:53" ht="20" customHeight="1">
      <c r="A464" s="86" t="s">
        <v>318</v>
      </c>
      <c r="B464" s="372" t="s">
        <v>2794</v>
      </c>
      <c r="C464" s="5" t="s">
        <v>51</v>
      </c>
      <c r="D464" s="5" t="s">
        <v>52</v>
      </c>
      <c r="E464" s="5" t="s">
        <v>1935</v>
      </c>
      <c r="F464" s="5" t="s">
        <v>1941</v>
      </c>
      <c r="G464" s="5" t="s">
        <v>1939</v>
      </c>
      <c r="H464" s="6">
        <v>41281</v>
      </c>
      <c r="I464" s="5" t="s">
        <v>266</v>
      </c>
      <c r="J464" s="5" t="s">
        <v>266</v>
      </c>
      <c r="K464" s="5" t="s">
        <v>56</v>
      </c>
      <c r="L464" s="7">
        <v>2</v>
      </c>
      <c r="M464" s="7">
        <v>3</v>
      </c>
      <c r="N464" s="8">
        <v>30391</v>
      </c>
      <c r="O464" s="88">
        <v>0</v>
      </c>
      <c r="P464" s="10">
        <f t="shared" si="145"/>
        <v>0</v>
      </c>
      <c r="Q464" s="88">
        <v>0</v>
      </c>
      <c r="R464" s="10">
        <f t="shared" si="146"/>
        <v>0</v>
      </c>
      <c r="S464" s="88">
        <f t="shared" si="147"/>
        <v>0</v>
      </c>
      <c r="T464" s="10">
        <f t="shared" si="148"/>
        <v>0</v>
      </c>
      <c r="U464" s="10">
        <f t="shared" si="149"/>
        <v>30391</v>
      </c>
      <c r="V464" s="11">
        <f t="shared" si="142"/>
        <v>30391</v>
      </c>
      <c r="W464" s="12">
        <f t="shared" si="150"/>
        <v>0</v>
      </c>
      <c r="X464" s="92">
        <f t="shared" si="144"/>
        <v>0</v>
      </c>
      <c r="Y464" s="93" t="str">
        <f t="shared" si="143"/>
        <v>0.00%-0.00%</v>
      </c>
      <c r="Z464" s="15"/>
      <c r="AA464" s="15"/>
      <c r="AB464" s="15"/>
      <c r="AC464" s="95"/>
      <c r="AD464" s="8">
        <f t="shared" si="151"/>
        <v>0</v>
      </c>
      <c r="AE464" s="17">
        <f t="shared" si="152"/>
        <v>30391</v>
      </c>
      <c r="AF464" s="18">
        <f t="shared" si="153"/>
        <v>0</v>
      </c>
      <c r="AG464" s="97">
        <f t="shared" si="154"/>
        <v>0</v>
      </c>
      <c r="AH464" s="20">
        <v>14</v>
      </c>
      <c r="AI464" s="20">
        <v>450</v>
      </c>
      <c r="AJ464" s="20"/>
      <c r="AK464" s="20">
        <v>688</v>
      </c>
      <c r="AL464" s="20">
        <f t="shared" si="155"/>
        <v>431562</v>
      </c>
      <c r="AM464" s="7">
        <v>3</v>
      </c>
      <c r="AN464" s="20"/>
      <c r="AO464" s="21"/>
      <c r="AP464" s="21"/>
      <c r="AQ464" s="5" t="s">
        <v>1928</v>
      </c>
      <c r="AR464" s="5" t="s">
        <v>69</v>
      </c>
      <c r="AW464" s="144" t="str">
        <f t="shared" si="127"/>
        <v>OK</v>
      </c>
      <c r="AX464" s="21" t="s">
        <v>3135</v>
      </c>
      <c r="AY464" s="21" t="s">
        <v>3134</v>
      </c>
      <c r="AZ464" s="21"/>
      <c r="BA464" s="21"/>
    </row>
    <row r="465" spans="1:53" ht="20" customHeight="1">
      <c r="A465" s="86" t="s">
        <v>318</v>
      </c>
      <c r="B465" s="372" t="s">
        <v>2795</v>
      </c>
      <c r="C465" s="5" t="s">
        <v>51</v>
      </c>
      <c r="D465" s="5" t="s">
        <v>52</v>
      </c>
      <c r="E465" s="5" t="s">
        <v>1935</v>
      </c>
      <c r="F465" s="5" t="s">
        <v>1940</v>
      </c>
      <c r="G465" s="5" t="s">
        <v>1939</v>
      </c>
      <c r="H465" s="6">
        <v>42837</v>
      </c>
      <c r="I465" s="5" t="s">
        <v>73</v>
      </c>
      <c r="J465" s="5" t="s">
        <v>73</v>
      </c>
      <c r="K465" s="5" t="s">
        <v>61</v>
      </c>
      <c r="L465" s="7">
        <v>2</v>
      </c>
      <c r="M465" s="7">
        <v>5</v>
      </c>
      <c r="N465" s="8">
        <v>25350</v>
      </c>
      <c r="O465" s="88">
        <v>0.04</v>
      </c>
      <c r="P465" s="10">
        <f t="shared" si="145"/>
        <v>1014</v>
      </c>
      <c r="Q465" s="88">
        <v>0</v>
      </c>
      <c r="R465" s="10">
        <f t="shared" si="146"/>
        <v>0</v>
      </c>
      <c r="S465" s="88">
        <f t="shared" si="147"/>
        <v>0.04</v>
      </c>
      <c r="T465" s="10">
        <f t="shared" si="148"/>
        <v>1014</v>
      </c>
      <c r="U465" s="10">
        <f t="shared" si="149"/>
        <v>26364</v>
      </c>
      <c r="V465" s="11">
        <f t="shared" si="142"/>
        <v>26364</v>
      </c>
      <c r="W465" s="12">
        <f t="shared" si="150"/>
        <v>1014</v>
      </c>
      <c r="X465" s="92">
        <f t="shared" si="144"/>
        <v>0.04</v>
      </c>
      <c r="Y465" s="93" t="str">
        <f t="shared" si="143"/>
        <v>3.20%-4.80%</v>
      </c>
      <c r="Z465" s="15"/>
      <c r="AA465" s="15"/>
      <c r="AB465" s="15"/>
      <c r="AC465" s="95"/>
      <c r="AD465" s="8">
        <f t="shared" si="151"/>
        <v>0</v>
      </c>
      <c r="AE465" s="17">
        <f t="shared" si="152"/>
        <v>26364</v>
      </c>
      <c r="AF465" s="18">
        <f t="shared" si="153"/>
        <v>1014</v>
      </c>
      <c r="AG465" s="97">
        <f t="shared" si="154"/>
        <v>4.0000000000000036E-2</v>
      </c>
      <c r="AH465" s="20">
        <v>14</v>
      </c>
      <c r="AI465" s="20">
        <v>450</v>
      </c>
      <c r="AJ465" s="20"/>
      <c r="AK465" s="20">
        <v>688</v>
      </c>
      <c r="AL465" s="20">
        <f t="shared" si="155"/>
        <v>375184</v>
      </c>
      <c r="AM465" s="7">
        <v>3</v>
      </c>
      <c r="AN465" s="20"/>
      <c r="AO465" s="21"/>
      <c r="AP465" s="21"/>
      <c r="AQ465" s="5" t="s">
        <v>1928</v>
      </c>
      <c r="AR465" s="5" t="s">
        <v>69</v>
      </c>
      <c r="AW465" s="144" t="str">
        <f t="shared" ref="AW465:AW528" si="156">_xlfn.LET(_xlpm.actual,X465,_xlpm.low,VALUE(_xlfn.TEXTBEFORE(Y465,"-")),_xlpm.high,VALUE(_xlfn.TEXTAFTER(Y465,"-")),IF(AND(_xlpm.actual=0,OR(_xlpm.low&lt;&gt;0,_xlpm.high&lt;&gt;0)),"0 increase",IF(_xlpm.actual&gt;_xlpm.high*1.2,"&gt;20",IF(_xlpm.actual&lt;_xlpm.low*0.8,"&lt;20","OK"))))</f>
        <v>OK</v>
      </c>
      <c r="AX465" s="21" t="s">
        <v>3133</v>
      </c>
      <c r="AY465" s="21" t="s">
        <v>3136</v>
      </c>
      <c r="AZ465" s="21"/>
      <c r="BA465" s="21"/>
    </row>
    <row r="466" spans="1:53" ht="20" customHeight="1">
      <c r="A466" s="86" t="s">
        <v>318</v>
      </c>
      <c r="B466" s="372" t="s">
        <v>2796</v>
      </c>
      <c r="C466" s="5" t="s">
        <v>51</v>
      </c>
      <c r="D466" s="5" t="s">
        <v>52</v>
      </c>
      <c r="E466" s="5" t="s">
        <v>1935</v>
      </c>
      <c r="F466" s="5" t="s">
        <v>1942</v>
      </c>
      <c r="G466" s="5" t="s">
        <v>1939</v>
      </c>
      <c r="H466" s="6">
        <v>44664</v>
      </c>
      <c r="I466" s="5" t="s">
        <v>82</v>
      </c>
      <c r="J466" s="5" t="s">
        <v>1943</v>
      </c>
      <c r="K466" s="5" t="s">
        <v>84</v>
      </c>
      <c r="L466" s="7">
        <v>2</v>
      </c>
      <c r="M466" s="7">
        <v>1</v>
      </c>
      <c r="N466" s="8">
        <v>14653</v>
      </c>
      <c r="O466" s="88">
        <v>0</v>
      </c>
      <c r="P466" s="10">
        <f t="shared" si="145"/>
        <v>0</v>
      </c>
      <c r="Q466" s="88">
        <v>0</v>
      </c>
      <c r="R466" s="10">
        <f t="shared" si="146"/>
        <v>0</v>
      </c>
      <c r="S466" s="88">
        <f t="shared" si="147"/>
        <v>0</v>
      </c>
      <c r="T466" s="10">
        <f t="shared" si="148"/>
        <v>0</v>
      </c>
      <c r="U466" s="10">
        <f t="shared" si="149"/>
        <v>14653</v>
      </c>
      <c r="V466" s="11">
        <f t="shared" si="142"/>
        <v>14653</v>
      </c>
      <c r="W466" s="12">
        <f t="shared" si="150"/>
        <v>0</v>
      </c>
      <c r="X466" s="92">
        <f t="shared" si="144"/>
        <v>0</v>
      </c>
      <c r="Y466" s="93" t="str">
        <f t="shared" si="143"/>
        <v>0.00%-0.00%</v>
      </c>
      <c r="Z466" s="15"/>
      <c r="AA466" s="15"/>
      <c r="AB466" s="15"/>
      <c r="AC466" s="95"/>
      <c r="AD466" s="8">
        <f t="shared" si="151"/>
        <v>0</v>
      </c>
      <c r="AE466" s="17">
        <f t="shared" si="152"/>
        <v>14653</v>
      </c>
      <c r="AF466" s="18">
        <f t="shared" si="153"/>
        <v>0</v>
      </c>
      <c r="AG466" s="97">
        <f t="shared" si="154"/>
        <v>0</v>
      </c>
      <c r="AH466" s="20">
        <v>14</v>
      </c>
      <c r="AI466" s="20">
        <v>450</v>
      </c>
      <c r="AJ466" s="20"/>
      <c r="AK466" s="20">
        <v>688</v>
      </c>
      <c r="AL466" s="20">
        <f t="shared" si="155"/>
        <v>211230</v>
      </c>
      <c r="AM466" s="7">
        <v>2</v>
      </c>
      <c r="AN466" s="20"/>
      <c r="AO466" s="21"/>
      <c r="AP466" s="21"/>
      <c r="AQ466" s="5" t="s">
        <v>1928</v>
      </c>
      <c r="AR466" s="5" t="s">
        <v>69</v>
      </c>
      <c r="AW466" s="144" t="str">
        <f t="shared" si="156"/>
        <v>OK</v>
      </c>
      <c r="AX466" s="21" t="s">
        <v>3131</v>
      </c>
      <c r="AY466" s="21">
        <v>0</v>
      </c>
      <c r="AZ466" s="21"/>
      <c r="BA466" s="21"/>
    </row>
    <row r="467" spans="1:53" ht="20" customHeight="1">
      <c r="A467" s="86" t="s">
        <v>318</v>
      </c>
      <c r="B467" s="372" t="s">
        <v>2797</v>
      </c>
      <c r="C467" s="5" t="s">
        <v>51</v>
      </c>
      <c r="D467" s="5" t="s">
        <v>52</v>
      </c>
      <c r="E467" s="5" t="s">
        <v>1935</v>
      </c>
      <c r="F467" s="5" t="s">
        <v>1940</v>
      </c>
      <c r="G467" s="5" t="s">
        <v>1939</v>
      </c>
      <c r="H467" s="6">
        <v>44277</v>
      </c>
      <c r="I467" s="5" t="s">
        <v>73</v>
      </c>
      <c r="J467" s="5" t="s">
        <v>73</v>
      </c>
      <c r="K467" s="5" t="s">
        <v>61</v>
      </c>
      <c r="L467" s="7">
        <v>2</v>
      </c>
      <c r="M467" s="7">
        <v>3</v>
      </c>
      <c r="N467" s="8">
        <v>16320</v>
      </c>
      <c r="O467" s="88">
        <v>0.03</v>
      </c>
      <c r="P467" s="10">
        <f t="shared" si="145"/>
        <v>490</v>
      </c>
      <c r="Q467" s="88">
        <v>0</v>
      </c>
      <c r="R467" s="10">
        <f t="shared" si="146"/>
        <v>0</v>
      </c>
      <c r="S467" s="88">
        <f t="shared" si="147"/>
        <v>3.002450980392157E-2</v>
      </c>
      <c r="T467" s="10">
        <f t="shared" si="148"/>
        <v>490</v>
      </c>
      <c r="U467" s="10">
        <f t="shared" si="149"/>
        <v>16810</v>
      </c>
      <c r="V467" s="11">
        <f t="shared" si="142"/>
        <v>16810</v>
      </c>
      <c r="W467" s="12">
        <f t="shared" si="150"/>
        <v>490</v>
      </c>
      <c r="X467" s="92">
        <f t="shared" si="144"/>
        <v>0.03</v>
      </c>
      <c r="Y467" s="93" t="str">
        <f t="shared" si="143"/>
        <v>2.40%-3.60%</v>
      </c>
      <c r="Z467" s="15"/>
      <c r="AA467" s="15"/>
      <c r="AB467" s="15"/>
      <c r="AC467" s="95"/>
      <c r="AD467" s="8">
        <f t="shared" si="151"/>
        <v>0</v>
      </c>
      <c r="AE467" s="17">
        <f t="shared" si="152"/>
        <v>16810</v>
      </c>
      <c r="AF467" s="18">
        <f t="shared" si="153"/>
        <v>490</v>
      </c>
      <c r="AG467" s="97">
        <f t="shared" si="154"/>
        <v>3.0024509803921573E-2</v>
      </c>
      <c r="AH467" s="20">
        <v>14</v>
      </c>
      <c r="AI467" s="20">
        <v>850</v>
      </c>
      <c r="AJ467" s="20"/>
      <c r="AK467" s="20">
        <v>688</v>
      </c>
      <c r="AL467" s="20">
        <f t="shared" si="155"/>
        <v>246228</v>
      </c>
      <c r="AM467" s="7">
        <v>3</v>
      </c>
      <c r="AN467" s="20"/>
      <c r="AO467" s="21"/>
      <c r="AP467" s="21"/>
      <c r="AQ467" s="5" t="s">
        <v>1928</v>
      </c>
      <c r="AR467" s="5" t="s">
        <v>69</v>
      </c>
      <c r="AW467" s="144" t="str">
        <f t="shared" si="156"/>
        <v>OK</v>
      </c>
      <c r="AX467" s="21" t="s">
        <v>3131</v>
      </c>
      <c r="AY467" s="21" t="s">
        <v>3132</v>
      </c>
      <c r="AZ467" s="21"/>
      <c r="BA467" s="21"/>
    </row>
    <row r="468" spans="1:53" ht="20" customHeight="1">
      <c r="A468" s="86" t="s">
        <v>318</v>
      </c>
      <c r="B468" s="372" t="s">
        <v>2798</v>
      </c>
      <c r="C468" s="5" t="s">
        <v>51</v>
      </c>
      <c r="D468" s="5" t="s">
        <v>52</v>
      </c>
      <c r="E468" s="5" t="s">
        <v>1935</v>
      </c>
      <c r="F468" s="5" t="s">
        <v>1940</v>
      </c>
      <c r="G468" s="5" t="s">
        <v>1939</v>
      </c>
      <c r="H468" s="6">
        <v>44288</v>
      </c>
      <c r="I468" s="5" t="s">
        <v>73</v>
      </c>
      <c r="J468" s="5" t="s">
        <v>1944</v>
      </c>
      <c r="K468" s="5" t="s">
        <v>61</v>
      </c>
      <c r="L468" s="7">
        <v>2</v>
      </c>
      <c r="M468" s="7">
        <v>3</v>
      </c>
      <c r="N468" s="8">
        <v>21423</v>
      </c>
      <c r="O468" s="88">
        <v>2.5000000000000001E-2</v>
      </c>
      <c r="P468" s="10">
        <f t="shared" si="145"/>
        <v>536</v>
      </c>
      <c r="Q468" s="88">
        <v>0</v>
      </c>
      <c r="R468" s="10">
        <f t="shared" si="146"/>
        <v>0</v>
      </c>
      <c r="S468" s="88">
        <f t="shared" si="147"/>
        <v>2.5019838491341082E-2</v>
      </c>
      <c r="T468" s="10">
        <f t="shared" si="148"/>
        <v>536</v>
      </c>
      <c r="U468" s="10">
        <f t="shared" si="149"/>
        <v>21959</v>
      </c>
      <c r="V468" s="11">
        <f t="shared" si="142"/>
        <v>21959</v>
      </c>
      <c r="W468" s="12">
        <f t="shared" si="150"/>
        <v>536</v>
      </c>
      <c r="X468" s="92">
        <f t="shared" si="144"/>
        <v>2.5000000000000001E-2</v>
      </c>
      <c r="Y468" s="93" t="str">
        <f t="shared" si="143"/>
        <v>2.00%-3.00%</v>
      </c>
      <c r="Z468" s="15"/>
      <c r="AA468" s="15"/>
      <c r="AB468" s="15"/>
      <c r="AC468" s="95"/>
      <c r="AD468" s="8">
        <f t="shared" si="151"/>
        <v>0</v>
      </c>
      <c r="AE468" s="17">
        <f t="shared" si="152"/>
        <v>21959</v>
      </c>
      <c r="AF468" s="18">
        <f t="shared" si="153"/>
        <v>536</v>
      </c>
      <c r="AG468" s="97">
        <f t="shared" si="154"/>
        <v>2.5019838491341151E-2</v>
      </c>
      <c r="AH468" s="20">
        <v>14</v>
      </c>
      <c r="AI468" s="20">
        <v>450</v>
      </c>
      <c r="AJ468" s="20"/>
      <c r="AK468" s="20">
        <v>688</v>
      </c>
      <c r="AL468" s="20">
        <f t="shared" si="155"/>
        <v>313514</v>
      </c>
      <c r="AM468" s="7">
        <v>3</v>
      </c>
      <c r="AN468" s="20"/>
      <c r="AO468" s="21"/>
      <c r="AP468" s="21"/>
      <c r="AQ468" s="5" t="s">
        <v>1928</v>
      </c>
      <c r="AR468" s="5" t="s">
        <v>69</v>
      </c>
      <c r="AW468" s="144" t="str">
        <f t="shared" si="156"/>
        <v>OK</v>
      </c>
      <c r="AX468" s="21" t="s">
        <v>3131</v>
      </c>
      <c r="AY468" s="21" t="s">
        <v>3130</v>
      </c>
      <c r="AZ468" s="21"/>
      <c r="BA468" s="21"/>
    </row>
    <row r="469" spans="1:53" ht="20" customHeight="1">
      <c r="A469" s="86" t="s">
        <v>318</v>
      </c>
      <c r="B469" s="372" t="s">
        <v>2799</v>
      </c>
      <c r="C469" s="5" t="s">
        <v>51</v>
      </c>
      <c r="D469" s="5" t="s">
        <v>52</v>
      </c>
      <c r="E469" s="5" t="s">
        <v>1935</v>
      </c>
      <c r="F469" s="5" t="s">
        <v>1942</v>
      </c>
      <c r="G469" s="5" t="s">
        <v>1939</v>
      </c>
      <c r="H469" s="6">
        <v>40459</v>
      </c>
      <c r="I469" s="5" t="s">
        <v>111</v>
      </c>
      <c r="J469" s="5" t="s">
        <v>1945</v>
      </c>
      <c r="K469" s="5" t="s">
        <v>56</v>
      </c>
      <c r="L469" s="7">
        <v>2</v>
      </c>
      <c r="M469" s="7">
        <v>3</v>
      </c>
      <c r="N469" s="8">
        <v>27763</v>
      </c>
      <c r="O469" s="88">
        <v>2.5000000000000001E-2</v>
      </c>
      <c r="P469" s="10">
        <f t="shared" si="145"/>
        <v>694</v>
      </c>
      <c r="Q469" s="88">
        <v>0</v>
      </c>
      <c r="R469" s="10">
        <f t="shared" si="146"/>
        <v>0</v>
      </c>
      <c r="S469" s="88">
        <f t="shared" si="147"/>
        <v>2.4997298562835429E-2</v>
      </c>
      <c r="T469" s="10">
        <f t="shared" si="148"/>
        <v>694</v>
      </c>
      <c r="U469" s="10">
        <f t="shared" si="149"/>
        <v>28457</v>
      </c>
      <c r="V469" s="11">
        <f t="shared" si="142"/>
        <v>28457</v>
      </c>
      <c r="W469" s="12">
        <f t="shared" si="150"/>
        <v>694</v>
      </c>
      <c r="X469" s="92">
        <f t="shared" si="144"/>
        <v>2.5000000000000001E-2</v>
      </c>
      <c r="Y469" s="93" t="str">
        <f t="shared" si="143"/>
        <v>2.00%-3.00%</v>
      </c>
      <c r="Z469" s="15"/>
      <c r="AA469" s="15"/>
      <c r="AB469" s="15"/>
      <c r="AC469" s="95"/>
      <c r="AD469" s="8">
        <f t="shared" si="151"/>
        <v>0</v>
      </c>
      <c r="AE469" s="17">
        <f t="shared" si="152"/>
        <v>28457</v>
      </c>
      <c r="AF469" s="18">
        <f t="shared" si="153"/>
        <v>694</v>
      </c>
      <c r="AG469" s="97">
        <f t="shared" si="154"/>
        <v>2.4997298562835502E-2</v>
      </c>
      <c r="AH469" s="20">
        <v>14</v>
      </c>
      <c r="AI469" s="20">
        <v>450</v>
      </c>
      <c r="AJ469" s="20"/>
      <c r="AK469" s="20">
        <v>688</v>
      </c>
      <c r="AL469" s="20">
        <f t="shared" si="155"/>
        <v>404486</v>
      </c>
      <c r="AM469" s="7">
        <v>3</v>
      </c>
      <c r="AN469" s="20"/>
      <c r="AO469" s="21"/>
      <c r="AP469" s="21"/>
      <c r="AQ469" s="5" t="s">
        <v>1928</v>
      </c>
      <c r="AR469" s="5" t="s">
        <v>69</v>
      </c>
      <c r="AW469" s="144" t="str">
        <f t="shared" si="156"/>
        <v>OK</v>
      </c>
      <c r="AX469" s="21" t="s">
        <v>3135</v>
      </c>
      <c r="AY469" s="21" t="s">
        <v>3130</v>
      </c>
      <c r="AZ469" s="21"/>
      <c r="BA469" s="21"/>
    </row>
    <row r="470" spans="1:53" ht="20" customHeight="1">
      <c r="A470" s="86" t="s">
        <v>318</v>
      </c>
      <c r="B470" s="372" t="s">
        <v>2800</v>
      </c>
      <c r="C470" s="5" t="s">
        <v>51</v>
      </c>
      <c r="D470" s="5" t="s">
        <v>52</v>
      </c>
      <c r="E470" s="5" t="s">
        <v>1935</v>
      </c>
      <c r="F470" s="5" t="s">
        <v>1941</v>
      </c>
      <c r="G470" s="5" t="s">
        <v>1939</v>
      </c>
      <c r="H470" s="6">
        <v>42541</v>
      </c>
      <c r="I470" s="5" t="s">
        <v>198</v>
      </c>
      <c r="J470" s="5" t="s">
        <v>1736</v>
      </c>
      <c r="K470" s="5" t="s">
        <v>199</v>
      </c>
      <c r="L470" s="7">
        <v>2</v>
      </c>
      <c r="M470" s="7">
        <v>4</v>
      </c>
      <c r="N470" s="8">
        <v>40200</v>
      </c>
      <c r="O470" s="88">
        <v>3.7500000000000006E-2</v>
      </c>
      <c r="P470" s="10">
        <f t="shared" si="145"/>
        <v>1508</v>
      </c>
      <c r="Q470" s="88">
        <v>1.55E-2</v>
      </c>
      <c r="R470" s="10">
        <f t="shared" si="146"/>
        <v>623</v>
      </c>
      <c r="S470" s="88">
        <f t="shared" si="147"/>
        <v>5.3009950248756217E-2</v>
      </c>
      <c r="T470" s="10">
        <f t="shared" si="148"/>
        <v>2131</v>
      </c>
      <c r="U470" s="10">
        <f t="shared" si="149"/>
        <v>42331</v>
      </c>
      <c r="V470" s="11">
        <f t="shared" si="142"/>
        <v>42331</v>
      </c>
      <c r="W470" s="12">
        <f t="shared" si="150"/>
        <v>2131</v>
      </c>
      <c r="X470" s="92">
        <f t="shared" si="144"/>
        <v>5.2999999999999999E-2</v>
      </c>
      <c r="Y470" s="93" t="str">
        <f t="shared" si="143"/>
        <v>4.24%-6.36%</v>
      </c>
      <c r="Z470" s="15"/>
      <c r="AA470" s="15"/>
      <c r="AB470" s="15"/>
      <c r="AC470" s="95"/>
      <c r="AD470" s="8">
        <f t="shared" si="151"/>
        <v>0</v>
      </c>
      <c r="AE470" s="17">
        <f t="shared" si="152"/>
        <v>42331</v>
      </c>
      <c r="AF470" s="18">
        <f t="shared" si="153"/>
        <v>2131</v>
      </c>
      <c r="AG470" s="97">
        <f t="shared" si="154"/>
        <v>5.300995024875621E-2</v>
      </c>
      <c r="AH470" s="20">
        <v>14</v>
      </c>
      <c r="AI470" s="20">
        <v>450</v>
      </c>
      <c r="AJ470" s="20">
        <v>1000</v>
      </c>
      <c r="AK470" s="20">
        <v>688</v>
      </c>
      <c r="AL470" s="20">
        <f t="shared" si="155"/>
        <v>610722</v>
      </c>
      <c r="AM470" s="7">
        <v>5</v>
      </c>
      <c r="AN470" s="20"/>
      <c r="AO470" s="21"/>
      <c r="AP470" s="21"/>
      <c r="AQ470" s="5" t="s">
        <v>1928</v>
      </c>
      <c r="AR470" s="5" t="s">
        <v>69</v>
      </c>
      <c r="AW470" s="144" t="str">
        <f t="shared" si="156"/>
        <v>OK</v>
      </c>
      <c r="AX470" s="21" t="s">
        <v>3133</v>
      </c>
      <c r="AY470" s="21" t="s">
        <v>3130</v>
      </c>
      <c r="AZ470" s="21"/>
      <c r="BA470" s="21"/>
    </row>
    <row r="471" spans="1:53" ht="20" customHeight="1">
      <c r="A471" s="86" t="s">
        <v>318</v>
      </c>
      <c r="B471" s="372" t="s">
        <v>2801</v>
      </c>
      <c r="C471" s="5" t="s">
        <v>51</v>
      </c>
      <c r="D471" s="5" t="s">
        <v>52</v>
      </c>
      <c r="E471" s="5" t="s">
        <v>1935</v>
      </c>
      <c r="F471" s="5" t="s">
        <v>1940</v>
      </c>
      <c r="G471" s="5" t="s">
        <v>1939</v>
      </c>
      <c r="H471" s="6">
        <v>39986</v>
      </c>
      <c r="I471" s="5" t="s">
        <v>266</v>
      </c>
      <c r="J471" s="5" t="s">
        <v>266</v>
      </c>
      <c r="K471" s="5" t="s">
        <v>56</v>
      </c>
      <c r="L471" s="7">
        <v>2</v>
      </c>
      <c r="M471" s="7">
        <v>4</v>
      </c>
      <c r="N471" s="8">
        <v>32018</v>
      </c>
      <c r="O471" s="88">
        <v>0.03</v>
      </c>
      <c r="P471" s="10">
        <f t="shared" si="145"/>
        <v>961</v>
      </c>
      <c r="Q471" s="88">
        <v>0</v>
      </c>
      <c r="R471" s="10">
        <f t="shared" si="146"/>
        <v>0</v>
      </c>
      <c r="S471" s="88">
        <f t="shared" si="147"/>
        <v>3.0014366918608284E-2</v>
      </c>
      <c r="T471" s="10">
        <f t="shared" si="148"/>
        <v>961</v>
      </c>
      <c r="U471" s="10">
        <f t="shared" si="149"/>
        <v>32979</v>
      </c>
      <c r="V471" s="11">
        <f t="shared" si="142"/>
        <v>32979</v>
      </c>
      <c r="W471" s="12">
        <f t="shared" si="150"/>
        <v>961</v>
      </c>
      <c r="X471" s="92">
        <f t="shared" si="144"/>
        <v>0.03</v>
      </c>
      <c r="Y471" s="93" t="str">
        <f t="shared" si="143"/>
        <v>2.40%-3.60%</v>
      </c>
      <c r="Z471" s="15"/>
      <c r="AA471" s="15"/>
      <c r="AB471" s="15"/>
      <c r="AC471" s="95"/>
      <c r="AD471" s="8">
        <f t="shared" si="151"/>
        <v>0</v>
      </c>
      <c r="AE471" s="17">
        <f t="shared" si="152"/>
        <v>32979</v>
      </c>
      <c r="AF471" s="18">
        <f t="shared" si="153"/>
        <v>961</v>
      </c>
      <c r="AG471" s="97">
        <f t="shared" si="154"/>
        <v>3.0014366918608371E-2</v>
      </c>
      <c r="AH471" s="20">
        <v>14</v>
      </c>
      <c r="AI471" s="20">
        <v>450</v>
      </c>
      <c r="AJ471" s="20"/>
      <c r="AK471" s="20">
        <v>688</v>
      </c>
      <c r="AL471" s="20">
        <f t="shared" si="155"/>
        <v>467794</v>
      </c>
      <c r="AM471" s="7">
        <v>5</v>
      </c>
      <c r="AN471" s="20"/>
      <c r="AO471" s="21"/>
      <c r="AP471" s="21"/>
      <c r="AQ471" s="5" t="s">
        <v>1928</v>
      </c>
      <c r="AR471" s="5" t="s">
        <v>69</v>
      </c>
      <c r="AW471" s="144" t="str">
        <f t="shared" si="156"/>
        <v>OK</v>
      </c>
      <c r="AX471" s="21" t="s">
        <v>3129</v>
      </c>
      <c r="AY471" s="21" t="s">
        <v>3136</v>
      </c>
      <c r="AZ471" s="21"/>
      <c r="BA471" s="21"/>
    </row>
    <row r="472" spans="1:53" ht="20" customHeight="1">
      <c r="A472" s="86" t="s">
        <v>318</v>
      </c>
      <c r="B472" s="372" t="s">
        <v>2802</v>
      </c>
      <c r="C472" s="5" t="s">
        <v>51</v>
      </c>
      <c r="D472" s="5" t="s">
        <v>52</v>
      </c>
      <c r="E472" s="5" t="s">
        <v>2001</v>
      </c>
      <c r="F472" s="5" t="s">
        <v>1946</v>
      </c>
      <c r="G472" s="5" t="s">
        <v>1947</v>
      </c>
      <c r="H472" s="6">
        <v>40513</v>
      </c>
      <c r="I472" s="5" t="s">
        <v>60</v>
      </c>
      <c r="J472" s="5" t="s">
        <v>60</v>
      </c>
      <c r="K472" s="5" t="s">
        <v>61</v>
      </c>
      <c r="L472" s="7">
        <v>2</v>
      </c>
      <c r="M472" s="7">
        <v>4</v>
      </c>
      <c r="N472" s="8">
        <v>18991</v>
      </c>
      <c r="O472" s="88">
        <v>3.7500000000000006E-2</v>
      </c>
      <c r="P472" s="10">
        <f t="shared" si="145"/>
        <v>712</v>
      </c>
      <c r="Q472" s="88">
        <v>0</v>
      </c>
      <c r="R472" s="10">
        <f t="shared" si="146"/>
        <v>0</v>
      </c>
      <c r="S472" s="88">
        <f t="shared" si="147"/>
        <v>3.7491443315254593E-2</v>
      </c>
      <c r="T472" s="10">
        <f t="shared" si="148"/>
        <v>712</v>
      </c>
      <c r="U472" s="10">
        <f t="shared" si="149"/>
        <v>19703</v>
      </c>
      <c r="V472" s="11">
        <f t="shared" si="142"/>
        <v>19703</v>
      </c>
      <c r="W472" s="12">
        <f t="shared" si="150"/>
        <v>712</v>
      </c>
      <c r="X472" s="92">
        <f t="shared" si="144"/>
        <v>3.7499999999999999E-2</v>
      </c>
      <c r="Y472" s="93" t="str">
        <f t="shared" si="143"/>
        <v>3.00%-4.50%</v>
      </c>
      <c r="Z472" s="15"/>
      <c r="AA472" s="15"/>
      <c r="AB472" s="15"/>
      <c r="AC472" s="95"/>
      <c r="AD472" s="8">
        <f t="shared" si="151"/>
        <v>0</v>
      </c>
      <c r="AE472" s="17">
        <f t="shared" si="152"/>
        <v>19703</v>
      </c>
      <c r="AF472" s="18">
        <f t="shared" si="153"/>
        <v>712</v>
      </c>
      <c r="AG472" s="97">
        <f t="shared" si="154"/>
        <v>3.7491443315254669E-2</v>
      </c>
      <c r="AH472" s="20">
        <v>14</v>
      </c>
      <c r="AI472" s="20">
        <v>900</v>
      </c>
      <c r="AJ472" s="20"/>
      <c r="AK472" s="20">
        <v>688</v>
      </c>
      <c r="AL472" s="20">
        <f t="shared" si="155"/>
        <v>287330</v>
      </c>
      <c r="AM472" s="7">
        <v>4</v>
      </c>
      <c r="AN472" s="20"/>
      <c r="AO472" s="21"/>
      <c r="AP472" s="21"/>
      <c r="AQ472" s="5" t="s">
        <v>1948</v>
      </c>
      <c r="AR472" s="5" t="s">
        <v>69</v>
      </c>
      <c r="AW472" s="144" t="str">
        <f t="shared" si="156"/>
        <v>OK</v>
      </c>
      <c r="AX472" s="21" t="s">
        <v>3135</v>
      </c>
      <c r="AY472" s="21" t="s">
        <v>3130</v>
      </c>
      <c r="AZ472" s="21"/>
      <c r="BA472" s="21"/>
    </row>
    <row r="473" spans="1:53" ht="20" customHeight="1">
      <c r="A473" s="86" t="s">
        <v>318</v>
      </c>
      <c r="B473" s="372" t="s">
        <v>2803</v>
      </c>
      <c r="C473" s="5" t="s">
        <v>51</v>
      </c>
      <c r="D473" s="5" t="s">
        <v>52</v>
      </c>
      <c r="E473" s="5" t="s">
        <v>2001</v>
      </c>
      <c r="F473" s="5" t="s">
        <v>1949</v>
      </c>
      <c r="G473" s="5" t="s">
        <v>1947</v>
      </c>
      <c r="H473" s="6">
        <v>35855</v>
      </c>
      <c r="I473" s="5" t="s">
        <v>198</v>
      </c>
      <c r="J473" s="5" t="s">
        <v>1950</v>
      </c>
      <c r="K473" s="5" t="s">
        <v>199</v>
      </c>
      <c r="L473" s="7">
        <v>2</v>
      </c>
      <c r="M473" s="7">
        <v>4</v>
      </c>
      <c r="N473" s="8">
        <v>39751</v>
      </c>
      <c r="O473" s="88">
        <v>3.7500000000000006E-2</v>
      </c>
      <c r="P473" s="10">
        <f t="shared" si="145"/>
        <v>1491</v>
      </c>
      <c r="Q473" s="88">
        <v>1.55E-2</v>
      </c>
      <c r="R473" s="10">
        <f t="shared" si="146"/>
        <v>616</v>
      </c>
      <c r="S473" s="88">
        <f t="shared" si="147"/>
        <v>5.300495585016729E-2</v>
      </c>
      <c r="T473" s="10">
        <f t="shared" si="148"/>
        <v>2107</v>
      </c>
      <c r="U473" s="10">
        <f t="shared" si="149"/>
        <v>41858</v>
      </c>
      <c r="V473" s="11">
        <v>41450</v>
      </c>
      <c r="W473" s="12">
        <f t="shared" si="150"/>
        <v>1699</v>
      </c>
      <c r="X473" s="92">
        <f t="shared" si="144"/>
        <v>4.2700000000000002E-2</v>
      </c>
      <c r="Y473" s="93" t="str">
        <f t="shared" si="143"/>
        <v>4.24%-6.36%</v>
      </c>
      <c r="Z473" s="15"/>
      <c r="AA473" s="15"/>
      <c r="AB473" s="15"/>
      <c r="AC473" s="95"/>
      <c r="AD473" s="8">
        <f t="shared" si="151"/>
        <v>0</v>
      </c>
      <c r="AE473" s="17">
        <f t="shared" si="152"/>
        <v>41450</v>
      </c>
      <c r="AF473" s="18">
        <f t="shared" si="153"/>
        <v>1699</v>
      </c>
      <c r="AG473" s="97">
        <f t="shared" si="154"/>
        <v>4.2741063117909039E-2</v>
      </c>
      <c r="AH473" s="20">
        <v>14</v>
      </c>
      <c r="AI473" s="20">
        <v>450</v>
      </c>
      <c r="AJ473" s="20">
        <v>1000</v>
      </c>
      <c r="AK473" s="20">
        <v>688</v>
      </c>
      <c r="AL473" s="20">
        <f t="shared" si="155"/>
        <v>598388</v>
      </c>
      <c r="AM473" s="7">
        <v>4</v>
      </c>
      <c r="AN473" s="20"/>
      <c r="AO473" s="21"/>
      <c r="AP473" s="21"/>
      <c r="AQ473" s="5" t="s">
        <v>1948</v>
      </c>
      <c r="AR473" s="5" t="s">
        <v>69</v>
      </c>
      <c r="AW473" s="144" t="str">
        <f t="shared" si="156"/>
        <v>OK</v>
      </c>
      <c r="AX473" s="21" t="s">
        <v>3137</v>
      </c>
      <c r="AY473" s="21" t="s">
        <v>3130</v>
      </c>
      <c r="AZ473" s="21"/>
      <c r="BA473" s="21"/>
    </row>
    <row r="474" spans="1:53" ht="20" customHeight="1">
      <c r="A474" s="86" t="s">
        <v>318</v>
      </c>
      <c r="B474" s="372" t="s">
        <v>2804</v>
      </c>
      <c r="C474" s="5" t="s">
        <v>51</v>
      </c>
      <c r="D474" s="5" t="s">
        <v>52</v>
      </c>
      <c r="E474" s="5" t="s">
        <v>2001</v>
      </c>
      <c r="F474" s="5" t="s">
        <v>1951</v>
      </c>
      <c r="G474" s="5" t="s">
        <v>1952</v>
      </c>
      <c r="H474" s="6">
        <v>42968</v>
      </c>
      <c r="I474" s="5" t="s">
        <v>73</v>
      </c>
      <c r="J474" s="5" t="s">
        <v>73</v>
      </c>
      <c r="K474" s="5" t="s">
        <v>61</v>
      </c>
      <c r="L474" s="7">
        <v>2</v>
      </c>
      <c r="M474" s="7">
        <v>3</v>
      </c>
      <c r="N474" s="8">
        <v>20280</v>
      </c>
      <c r="O474" s="88">
        <v>2.5000000000000001E-2</v>
      </c>
      <c r="P474" s="10">
        <f t="shared" si="145"/>
        <v>507</v>
      </c>
      <c r="Q474" s="88">
        <v>0</v>
      </c>
      <c r="R474" s="10">
        <f t="shared" si="146"/>
        <v>0</v>
      </c>
      <c r="S474" s="88">
        <f t="shared" si="147"/>
        <v>2.5000000000000001E-2</v>
      </c>
      <c r="T474" s="10">
        <f t="shared" si="148"/>
        <v>507</v>
      </c>
      <c r="U474" s="10">
        <f t="shared" si="149"/>
        <v>20787</v>
      </c>
      <c r="V474" s="11">
        <v>20687</v>
      </c>
      <c r="W474" s="12">
        <f t="shared" si="150"/>
        <v>407</v>
      </c>
      <c r="X474" s="92">
        <f t="shared" si="144"/>
        <v>2.01E-2</v>
      </c>
      <c r="Y474" s="93" t="str">
        <f t="shared" si="143"/>
        <v>2.00%-3.00%</v>
      </c>
      <c r="Z474" s="15"/>
      <c r="AA474" s="15"/>
      <c r="AB474" s="15"/>
      <c r="AC474" s="95"/>
      <c r="AD474" s="8">
        <f t="shared" si="151"/>
        <v>0</v>
      </c>
      <c r="AE474" s="17">
        <f t="shared" si="152"/>
        <v>20687</v>
      </c>
      <c r="AF474" s="18">
        <f t="shared" si="153"/>
        <v>407</v>
      </c>
      <c r="AG474" s="97">
        <f t="shared" si="154"/>
        <v>2.0069033530571989E-2</v>
      </c>
      <c r="AH474" s="20">
        <v>14</v>
      </c>
      <c r="AI474" s="20">
        <v>450</v>
      </c>
      <c r="AJ474" s="20"/>
      <c r="AK474" s="20">
        <v>688</v>
      </c>
      <c r="AL474" s="20">
        <f t="shared" si="155"/>
        <v>295706</v>
      </c>
      <c r="AM474" s="7">
        <v>3</v>
      </c>
      <c r="AN474" s="20"/>
      <c r="AO474" s="21"/>
      <c r="AP474" s="21" t="s">
        <v>1953</v>
      </c>
      <c r="AQ474" s="5" t="s">
        <v>1948</v>
      </c>
      <c r="AR474" s="5" t="s">
        <v>69</v>
      </c>
      <c r="AW474" s="144" t="str">
        <f t="shared" si="156"/>
        <v>OK</v>
      </c>
      <c r="AX474" s="21" t="s">
        <v>3133</v>
      </c>
      <c r="AY474" s="21" t="s">
        <v>3130</v>
      </c>
      <c r="AZ474" s="21"/>
      <c r="BA474" s="21"/>
    </row>
    <row r="475" spans="1:53" ht="20" customHeight="1">
      <c r="A475" s="86" t="s">
        <v>318</v>
      </c>
      <c r="B475" s="372" t="s">
        <v>2805</v>
      </c>
      <c r="C475" s="5" t="s">
        <v>51</v>
      </c>
      <c r="D475" s="5" t="s">
        <v>52</v>
      </c>
      <c r="E475" s="5" t="s">
        <v>2001</v>
      </c>
      <c r="F475" s="5" t="s">
        <v>1946</v>
      </c>
      <c r="G475" s="5" t="s">
        <v>1947</v>
      </c>
      <c r="H475" s="6">
        <v>38718</v>
      </c>
      <c r="I475" s="5" t="s">
        <v>111</v>
      </c>
      <c r="J475" s="5" t="s">
        <v>111</v>
      </c>
      <c r="K475" s="5" t="s">
        <v>56</v>
      </c>
      <c r="L475" s="7">
        <v>2</v>
      </c>
      <c r="M475" s="7">
        <v>3</v>
      </c>
      <c r="N475" s="8">
        <v>22591</v>
      </c>
      <c r="O475" s="88">
        <v>2.5000000000000001E-2</v>
      </c>
      <c r="P475" s="10">
        <f t="shared" si="145"/>
        <v>565</v>
      </c>
      <c r="Q475" s="88">
        <v>0</v>
      </c>
      <c r="R475" s="10">
        <f t="shared" si="146"/>
        <v>0</v>
      </c>
      <c r="S475" s="88">
        <f t="shared" si="147"/>
        <v>2.5009959718471957E-2</v>
      </c>
      <c r="T475" s="10">
        <f t="shared" si="148"/>
        <v>565</v>
      </c>
      <c r="U475" s="10">
        <f t="shared" si="149"/>
        <v>23156</v>
      </c>
      <c r="V475" s="11">
        <f t="shared" si="142"/>
        <v>23156</v>
      </c>
      <c r="W475" s="12">
        <f t="shared" si="150"/>
        <v>565</v>
      </c>
      <c r="X475" s="92">
        <f t="shared" si="144"/>
        <v>2.5000000000000001E-2</v>
      </c>
      <c r="Y475" s="93" t="str">
        <f t="shared" si="143"/>
        <v>2.00%-3.00%</v>
      </c>
      <c r="Z475" s="15"/>
      <c r="AA475" s="15"/>
      <c r="AB475" s="15"/>
      <c r="AC475" s="95"/>
      <c r="AD475" s="8">
        <f t="shared" si="151"/>
        <v>0</v>
      </c>
      <c r="AE475" s="17">
        <f t="shared" si="152"/>
        <v>23156</v>
      </c>
      <c r="AF475" s="18">
        <f t="shared" si="153"/>
        <v>565</v>
      </c>
      <c r="AG475" s="97">
        <f t="shared" si="154"/>
        <v>2.5009959718471864E-2</v>
      </c>
      <c r="AH475" s="20">
        <v>14</v>
      </c>
      <c r="AI475" s="20">
        <v>450</v>
      </c>
      <c r="AJ475" s="20"/>
      <c r="AK475" s="20">
        <v>688</v>
      </c>
      <c r="AL475" s="20">
        <f t="shared" si="155"/>
        <v>330272</v>
      </c>
      <c r="AM475" s="7">
        <v>3</v>
      </c>
      <c r="AN475" s="20"/>
      <c r="AO475" s="21"/>
      <c r="AP475" s="21"/>
      <c r="AQ475" s="5" t="s">
        <v>1948</v>
      </c>
      <c r="AR475" s="5" t="s">
        <v>69</v>
      </c>
      <c r="AW475" s="144" t="str">
        <f t="shared" si="156"/>
        <v>OK</v>
      </c>
      <c r="AX475" s="21" t="s">
        <v>3129</v>
      </c>
      <c r="AY475" s="21" t="s">
        <v>3130</v>
      </c>
      <c r="AZ475" s="21"/>
      <c r="BA475" s="21"/>
    </row>
    <row r="476" spans="1:53" ht="20" customHeight="1">
      <c r="A476" s="86" t="s">
        <v>318</v>
      </c>
      <c r="B476" s="372" t="s">
        <v>2806</v>
      </c>
      <c r="C476" s="5" t="s">
        <v>51</v>
      </c>
      <c r="D476" s="5" t="s">
        <v>52</v>
      </c>
      <c r="E476" s="5" t="s">
        <v>2001</v>
      </c>
      <c r="F476" s="5" t="s">
        <v>1949</v>
      </c>
      <c r="G476" s="5" t="s">
        <v>1954</v>
      </c>
      <c r="H476" s="6">
        <v>40795</v>
      </c>
      <c r="I476" s="5" t="s">
        <v>85</v>
      </c>
      <c r="J476" s="5" t="s">
        <v>85</v>
      </c>
      <c r="K476" s="5" t="s">
        <v>76</v>
      </c>
      <c r="L476" s="7">
        <v>2</v>
      </c>
      <c r="M476" s="7">
        <v>3</v>
      </c>
      <c r="N476" s="8">
        <v>13367</v>
      </c>
      <c r="O476" s="88">
        <v>0.03</v>
      </c>
      <c r="P476" s="10">
        <f t="shared" si="145"/>
        <v>401</v>
      </c>
      <c r="Q476" s="88">
        <v>0</v>
      </c>
      <c r="R476" s="10">
        <f t="shared" si="146"/>
        <v>0</v>
      </c>
      <c r="S476" s="88">
        <f t="shared" si="147"/>
        <v>2.9999251888980324E-2</v>
      </c>
      <c r="T476" s="10">
        <f t="shared" si="148"/>
        <v>401</v>
      </c>
      <c r="U476" s="10">
        <f t="shared" si="149"/>
        <v>13768</v>
      </c>
      <c r="V476" s="11">
        <f t="shared" si="142"/>
        <v>13768</v>
      </c>
      <c r="W476" s="12">
        <f t="shared" si="150"/>
        <v>401</v>
      </c>
      <c r="X476" s="92">
        <f t="shared" si="144"/>
        <v>0.03</v>
      </c>
      <c r="Y476" s="93" t="str">
        <f t="shared" si="143"/>
        <v>2.40%-3.60%</v>
      </c>
      <c r="Z476" s="15"/>
      <c r="AA476" s="15"/>
      <c r="AB476" s="15"/>
      <c r="AC476" s="95"/>
      <c r="AD476" s="8">
        <f t="shared" si="151"/>
        <v>0</v>
      </c>
      <c r="AE476" s="17">
        <f t="shared" si="152"/>
        <v>13768</v>
      </c>
      <c r="AF476" s="18">
        <f t="shared" si="153"/>
        <v>401</v>
      </c>
      <c r="AG476" s="97">
        <f t="shared" si="154"/>
        <v>2.9999251888980227E-2</v>
      </c>
      <c r="AH476" s="20">
        <v>14</v>
      </c>
      <c r="AI476" s="20">
        <v>450</v>
      </c>
      <c r="AJ476" s="20"/>
      <c r="AK476" s="20">
        <v>688</v>
      </c>
      <c r="AL476" s="20">
        <f t="shared" si="155"/>
        <v>198840</v>
      </c>
      <c r="AM476" s="7">
        <v>3</v>
      </c>
      <c r="AN476" s="20"/>
      <c r="AO476" s="21"/>
      <c r="AP476" s="21"/>
      <c r="AQ476" s="5" t="s">
        <v>1948</v>
      </c>
      <c r="AR476" s="5" t="s">
        <v>69</v>
      </c>
      <c r="AW476" s="144" t="str">
        <f t="shared" si="156"/>
        <v>OK</v>
      </c>
      <c r="AX476" s="21" t="s">
        <v>3135</v>
      </c>
      <c r="AY476" s="21" t="s">
        <v>3132</v>
      </c>
      <c r="AZ476" s="21"/>
      <c r="BA476" s="21"/>
    </row>
    <row r="477" spans="1:53" ht="20" customHeight="1">
      <c r="A477" s="86" t="s">
        <v>318</v>
      </c>
      <c r="B477" s="372" t="s">
        <v>2807</v>
      </c>
      <c r="C477" s="5" t="s">
        <v>51</v>
      </c>
      <c r="D477" s="5" t="s">
        <v>52</v>
      </c>
      <c r="E477" s="5" t="s">
        <v>2001</v>
      </c>
      <c r="F477" s="5" t="s">
        <v>1949</v>
      </c>
      <c r="G477" s="5" t="s">
        <v>1947</v>
      </c>
      <c r="H477" s="6">
        <v>40917</v>
      </c>
      <c r="I477" s="5" t="s">
        <v>74</v>
      </c>
      <c r="J477" s="5" t="s">
        <v>74</v>
      </c>
      <c r="K477" s="5" t="s">
        <v>76</v>
      </c>
      <c r="L477" s="7">
        <v>2</v>
      </c>
      <c r="M477" s="7">
        <v>3</v>
      </c>
      <c r="N477" s="8">
        <v>17871</v>
      </c>
      <c r="O477" s="88">
        <v>0</v>
      </c>
      <c r="P477" s="10">
        <f t="shared" si="145"/>
        <v>0</v>
      </c>
      <c r="Q477" s="88">
        <v>0</v>
      </c>
      <c r="R477" s="10">
        <f t="shared" si="146"/>
        <v>0</v>
      </c>
      <c r="S477" s="88">
        <f t="shared" si="147"/>
        <v>0</v>
      </c>
      <c r="T477" s="10">
        <f t="shared" si="148"/>
        <v>0</v>
      </c>
      <c r="U477" s="10">
        <f t="shared" si="149"/>
        <v>17871</v>
      </c>
      <c r="V477" s="11">
        <f t="shared" si="142"/>
        <v>17871</v>
      </c>
      <c r="W477" s="12">
        <f t="shared" si="150"/>
        <v>0</v>
      </c>
      <c r="X477" s="92">
        <f t="shared" si="144"/>
        <v>0</v>
      </c>
      <c r="Y477" s="93" t="str">
        <f t="shared" si="143"/>
        <v>0.00%-0.00%</v>
      </c>
      <c r="Z477" s="15"/>
      <c r="AA477" s="15"/>
      <c r="AB477" s="15"/>
      <c r="AC477" s="95"/>
      <c r="AD477" s="8">
        <f t="shared" si="151"/>
        <v>0</v>
      </c>
      <c r="AE477" s="17">
        <f t="shared" si="152"/>
        <v>17871</v>
      </c>
      <c r="AF477" s="18">
        <f t="shared" si="153"/>
        <v>0</v>
      </c>
      <c r="AG477" s="97">
        <f t="shared" si="154"/>
        <v>0</v>
      </c>
      <c r="AH477" s="20">
        <v>14</v>
      </c>
      <c r="AI477" s="20">
        <v>450</v>
      </c>
      <c r="AJ477" s="20"/>
      <c r="AK477" s="20">
        <v>688</v>
      </c>
      <c r="AL477" s="20">
        <f t="shared" si="155"/>
        <v>256282</v>
      </c>
      <c r="AM477" s="7">
        <v>3</v>
      </c>
      <c r="AN477" s="20"/>
      <c r="AO477" s="21"/>
      <c r="AP477" s="21"/>
      <c r="AQ477" s="5" t="s">
        <v>1948</v>
      </c>
      <c r="AR477" s="5" t="s">
        <v>69</v>
      </c>
      <c r="AW477" s="144" t="str">
        <f t="shared" si="156"/>
        <v>OK</v>
      </c>
      <c r="AX477" s="21" t="s">
        <v>3135</v>
      </c>
      <c r="AY477" s="21" t="s">
        <v>3134</v>
      </c>
      <c r="AZ477" s="21"/>
      <c r="BA477" s="21"/>
    </row>
    <row r="478" spans="1:53" ht="20" customHeight="1">
      <c r="A478" s="86" t="s">
        <v>318</v>
      </c>
      <c r="B478" s="372" t="s">
        <v>2808</v>
      </c>
      <c r="C478" s="5" t="s">
        <v>51</v>
      </c>
      <c r="D478" s="5" t="s">
        <v>52</v>
      </c>
      <c r="E478" s="5" t="s">
        <v>2001</v>
      </c>
      <c r="F478" s="5" t="s">
        <v>1955</v>
      </c>
      <c r="G478" s="5" t="s">
        <v>1947</v>
      </c>
      <c r="H478" s="6">
        <v>39062</v>
      </c>
      <c r="I478" s="5" t="s">
        <v>60</v>
      </c>
      <c r="J478" s="5" t="s">
        <v>60</v>
      </c>
      <c r="K478" s="5" t="s">
        <v>61</v>
      </c>
      <c r="L478" s="7">
        <v>2</v>
      </c>
      <c r="M478" s="7">
        <v>3</v>
      </c>
      <c r="N478" s="8">
        <v>15400</v>
      </c>
      <c r="O478" s="88">
        <v>0.03</v>
      </c>
      <c r="P478" s="10">
        <f t="shared" si="145"/>
        <v>462</v>
      </c>
      <c r="Q478" s="88">
        <v>0</v>
      </c>
      <c r="R478" s="10">
        <f t="shared" si="146"/>
        <v>0</v>
      </c>
      <c r="S478" s="88">
        <f t="shared" si="147"/>
        <v>0.03</v>
      </c>
      <c r="T478" s="10">
        <f t="shared" si="148"/>
        <v>462</v>
      </c>
      <c r="U478" s="10">
        <f t="shared" si="149"/>
        <v>15862</v>
      </c>
      <c r="V478" s="11">
        <f t="shared" si="142"/>
        <v>15862</v>
      </c>
      <c r="W478" s="12">
        <f t="shared" si="150"/>
        <v>462</v>
      </c>
      <c r="X478" s="92">
        <f t="shared" si="144"/>
        <v>0.03</v>
      </c>
      <c r="Y478" s="93" t="str">
        <f t="shared" si="143"/>
        <v>2.40%-3.60%</v>
      </c>
      <c r="Z478" s="15"/>
      <c r="AA478" s="15"/>
      <c r="AB478" s="15"/>
      <c r="AC478" s="95"/>
      <c r="AD478" s="8">
        <f t="shared" si="151"/>
        <v>0</v>
      </c>
      <c r="AE478" s="17">
        <f t="shared" si="152"/>
        <v>15862</v>
      </c>
      <c r="AF478" s="18">
        <f t="shared" si="153"/>
        <v>462</v>
      </c>
      <c r="AG478" s="97">
        <f t="shared" si="154"/>
        <v>3.0000000000000027E-2</v>
      </c>
      <c r="AH478" s="20">
        <v>14</v>
      </c>
      <c r="AI478" s="20">
        <v>450</v>
      </c>
      <c r="AJ478" s="20"/>
      <c r="AK478" s="20">
        <v>688</v>
      </c>
      <c r="AL478" s="20">
        <f t="shared" si="155"/>
        <v>228156</v>
      </c>
      <c r="AM478" s="7">
        <v>3</v>
      </c>
      <c r="AN478" s="20"/>
      <c r="AO478" s="21"/>
      <c r="AP478" s="21"/>
      <c r="AQ478" s="5" t="s">
        <v>1948</v>
      </c>
      <c r="AR478" s="5" t="s">
        <v>69</v>
      </c>
      <c r="AW478" s="144" t="str">
        <f t="shared" si="156"/>
        <v>OK</v>
      </c>
      <c r="AX478" s="21" t="s">
        <v>3129</v>
      </c>
      <c r="AY478" s="21" t="s">
        <v>3132</v>
      </c>
      <c r="AZ478" s="21"/>
      <c r="BA478" s="21"/>
    </row>
    <row r="479" spans="1:53" ht="20" customHeight="1">
      <c r="A479" s="86" t="s">
        <v>318</v>
      </c>
      <c r="B479" s="372" t="s">
        <v>2809</v>
      </c>
      <c r="C479" s="5" t="s">
        <v>51</v>
      </c>
      <c r="D479" s="5" t="s">
        <v>52</v>
      </c>
      <c r="E479" s="5" t="s">
        <v>2001</v>
      </c>
      <c r="F479" s="5" t="s">
        <v>1956</v>
      </c>
      <c r="G479" s="5" t="s">
        <v>1957</v>
      </c>
      <c r="H479" s="6">
        <v>41995</v>
      </c>
      <c r="I479" s="5" t="s">
        <v>74</v>
      </c>
      <c r="J479" s="5" t="s">
        <v>74</v>
      </c>
      <c r="K479" s="5" t="s">
        <v>76</v>
      </c>
      <c r="L479" s="7">
        <v>2</v>
      </c>
      <c r="M479" s="7">
        <v>3</v>
      </c>
      <c r="N479" s="8">
        <v>12685</v>
      </c>
      <c r="O479" s="88">
        <v>2.5000000000000001E-2</v>
      </c>
      <c r="P479" s="10">
        <f t="shared" si="145"/>
        <v>317</v>
      </c>
      <c r="Q479" s="88">
        <v>0</v>
      </c>
      <c r="R479" s="10">
        <f t="shared" si="146"/>
        <v>0</v>
      </c>
      <c r="S479" s="88">
        <f t="shared" si="147"/>
        <v>2.4990145841545131E-2</v>
      </c>
      <c r="T479" s="10">
        <f t="shared" si="148"/>
        <v>317</v>
      </c>
      <c r="U479" s="10">
        <f t="shared" si="149"/>
        <v>13002</v>
      </c>
      <c r="V479" s="11">
        <f t="shared" si="142"/>
        <v>13002</v>
      </c>
      <c r="W479" s="12">
        <f t="shared" si="150"/>
        <v>317</v>
      </c>
      <c r="X479" s="92">
        <f t="shared" si="144"/>
        <v>2.5000000000000001E-2</v>
      </c>
      <c r="Y479" s="93" t="str">
        <f t="shared" si="143"/>
        <v>2.00%-3.00%</v>
      </c>
      <c r="Z479" s="15"/>
      <c r="AA479" s="15"/>
      <c r="AB479" s="15"/>
      <c r="AC479" s="95"/>
      <c r="AD479" s="8">
        <f t="shared" si="151"/>
        <v>0</v>
      </c>
      <c r="AE479" s="17">
        <f t="shared" si="152"/>
        <v>13002</v>
      </c>
      <c r="AF479" s="18">
        <f t="shared" si="153"/>
        <v>317</v>
      </c>
      <c r="AG479" s="97">
        <f t="shared" si="154"/>
        <v>2.4990145841545131E-2</v>
      </c>
      <c r="AH479" s="20">
        <v>14</v>
      </c>
      <c r="AI479" s="20">
        <v>450</v>
      </c>
      <c r="AJ479" s="20"/>
      <c r="AK479" s="20">
        <v>688</v>
      </c>
      <c r="AL479" s="20">
        <f t="shared" si="155"/>
        <v>188116</v>
      </c>
      <c r="AM479" s="7">
        <v>3</v>
      </c>
      <c r="AN479" s="20"/>
      <c r="AO479" s="21"/>
      <c r="AP479" s="21"/>
      <c r="AQ479" s="5" t="s">
        <v>1948</v>
      </c>
      <c r="AR479" s="5" t="s">
        <v>69</v>
      </c>
      <c r="AW479" s="144" t="str">
        <f t="shared" si="156"/>
        <v>OK</v>
      </c>
      <c r="AX479" s="21" t="s">
        <v>3135</v>
      </c>
      <c r="AY479" s="21" t="s">
        <v>3130</v>
      </c>
      <c r="AZ479" s="21"/>
      <c r="BA479" s="21"/>
    </row>
    <row r="480" spans="1:53" ht="20" customHeight="1">
      <c r="A480" s="86" t="s">
        <v>318</v>
      </c>
      <c r="B480" s="372" t="s">
        <v>2810</v>
      </c>
      <c r="C480" s="5" t="s">
        <v>51</v>
      </c>
      <c r="D480" s="5" t="s">
        <v>52</v>
      </c>
      <c r="E480" s="5" t="s">
        <v>2001</v>
      </c>
      <c r="F480" s="5" t="s">
        <v>1949</v>
      </c>
      <c r="G480" s="5" t="s">
        <v>1954</v>
      </c>
      <c r="H480" s="6">
        <v>40459</v>
      </c>
      <c r="I480" s="5" t="s">
        <v>71</v>
      </c>
      <c r="J480" s="5" t="s">
        <v>71</v>
      </c>
      <c r="K480" s="5" t="s">
        <v>61</v>
      </c>
      <c r="L480" s="7">
        <v>2</v>
      </c>
      <c r="M480" s="7">
        <v>4</v>
      </c>
      <c r="N480" s="8">
        <v>19073</v>
      </c>
      <c r="O480" s="88">
        <v>3.7500000000000006E-2</v>
      </c>
      <c r="P480" s="10">
        <f t="shared" si="145"/>
        <v>715</v>
      </c>
      <c r="Q480" s="88">
        <v>1.55E-2</v>
      </c>
      <c r="R480" s="10">
        <f t="shared" si="146"/>
        <v>296</v>
      </c>
      <c r="S480" s="88">
        <f t="shared" si="147"/>
        <v>5.3006868347926388E-2</v>
      </c>
      <c r="T480" s="10">
        <f t="shared" si="148"/>
        <v>1011</v>
      </c>
      <c r="U480" s="10">
        <f t="shared" si="149"/>
        <v>20084</v>
      </c>
      <c r="V480" s="11">
        <v>20237</v>
      </c>
      <c r="W480" s="12">
        <f t="shared" si="150"/>
        <v>1164</v>
      </c>
      <c r="X480" s="92">
        <f t="shared" si="144"/>
        <v>6.0999999999999999E-2</v>
      </c>
      <c r="Y480" s="93" t="str">
        <f t="shared" si="143"/>
        <v>4.24%-6.36%</v>
      </c>
      <c r="Z480" s="15"/>
      <c r="AA480" s="15"/>
      <c r="AB480" s="15"/>
      <c r="AC480" s="95"/>
      <c r="AD480" s="8">
        <f t="shared" si="151"/>
        <v>0</v>
      </c>
      <c r="AE480" s="17">
        <f t="shared" si="152"/>
        <v>20237</v>
      </c>
      <c r="AF480" s="18">
        <f t="shared" si="153"/>
        <v>1164</v>
      </c>
      <c r="AG480" s="97">
        <f t="shared" si="154"/>
        <v>6.1028679284852894E-2</v>
      </c>
      <c r="AH480" s="20">
        <v>14</v>
      </c>
      <c r="AI480" s="20">
        <v>450</v>
      </c>
      <c r="AJ480" s="20"/>
      <c r="AK480" s="20">
        <v>688</v>
      </c>
      <c r="AL480" s="20">
        <f t="shared" si="155"/>
        <v>289406</v>
      </c>
      <c r="AM480" s="7">
        <v>3</v>
      </c>
      <c r="AN480" s="20"/>
      <c r="AO480" s="21"/>
      <c r="AP480" s="21" t="s">
        <v>1958</v>
      </c>
      <c r="AQ480" s="5" t="s">
        <v>1948</v>
      </c>
      <c r="AR480" s="5" t="s">
        <v>69</v>
      </c>
      <c r="AW480" s="144" t="str">
        <f t="shared" si="156"/>
        <v>OK</v>
      </c>
      <c r="AX480" s="21" t="s">
        <v>3135</v>
      </c>
      <c r="AY480" s="21" t="s">
        <v>3130</v>
      </c>
      <c r="AZ480" s="21"/>
      <c r="BA480" s="21"/>
    </row>
    <row r="481" spans="1:53" ht="20" customHeight="1">
      <c r="A481" s="86" t="s">
        <v>318</v>
      </c>
      <c r="B481" s="372" t="s">
        <v>2811</v>
      </c>
      <c r="C481" s="5" t="s">
        <v>51</v>
      </c>
      <c r="D481" s="5" t="s">
        <v>52</v>
      </c>
      <c r="E481" s="5" t="s">
        <v>2001</v>
      </c>
      <c r="F481" s="5" t="s">
        <v>1959</v>
      </c>
      <c r="G481" s="5" t="s">
        <v>1960</v>
      </c>
      <c r="H481" s="6">
        <v>40534</v>
      </c>
      <c r="I481" s="5" t="s">
        <v>111</v>
      </c>
      <c r="J481" s="5" t="s">
        <v>1961</v>
      </c>
      <c r="K481" s="5" t="s">
        <v>56</v>
      </c>
      <c r="L481" s="7">
        <v>2</v>
      </c>
      <c r="M481" s="7">
        <v>3</v>
      </c>
      <c r="N481" s="8">
        <v>24513</v>
      </c>
      <c r="O481" s="88">
        <v>2.5000000000000001E-2</v>
      </c>
      <c r="P481" s="10">
        <f t="shared" si="145"/>
        <v>613</v>
      </c>
      <c r="Q481" s="88">
        <v>0</v>
      </c>
      <c r="R481" s="10">
        <f t="shared" si="146"/>
        <v>0</v>
      </c>
      <c r="S481" s="88">
        <f t="shared" si="147"/>
        <v>2.5007139069065393E-2</v>
      </c>
      <c r="T481" s="10">
        <f t="shared" si="148"/>
        <v>613</v>
      </c>
      <c r="U481" s="10">
        <f t="shared" si="149"/>
        <v>25126</v>
      </c>
      <c r="V481" s="11">
        <f t="shared" si="142"/>
        <v>25126</v>
      </c>
      <c r="W481" s="12">
        <f t="shared" si="150"/>
        <v>613</v>
      </c>
      <c r="X481" s="92">
        <f t="shared" si="144"/>
        <v>2.5000000000000001E-2</v>
      </c>
      <c r="Y481" s="93" t="str">
        <f t="shared" si="143"/>
        <v>2.00%-3.00%</v>
      </c>
      <c r="Z481" s="15"/>
      <c r="AA481" s="15"/>
      <c r="AB481" s="15"/>
      <c r="AC481" s="95"/>
      <c r="AD481" s="8">
        <f t="shared" si="151"/>
        <v>0</v>
      </c>
      <c r="AE481" s="17">
        <f t="shared" si="152"/>
        <v>25126</v>
      </c>
      <c r="AF481" s="18">
        <f t="shared" si="153"/>
        <v>613</v>
      </c>
      <c r="AG481" s="97">
        <f t="shared" si="154"/>
        <v>2.5007139069065376E-2</v>
      </c>
      <c r="AH481" s="20">
        <v>14</v>
      </c>
      <c r="AI481" s="20">
        <v>450</v>
      </c>
      <c r="AJ481" s="20"/>
      <c r="AK481" s="20">
        <v>688</v>
      </c>
      <c r="AL481" s="20">
        <f t="shared" si="155"/>
        <v>357852</v>
      </c>
      <c r="AM481" s="7">
        <v>4</v>
      </c>
      <c r="AN481" s="20"/>
      <c r="AO481" s="21"/>
      <c r="AP481" s="21"/>
      <c r="AQ481" s="5" t="s">
        <v>1948</v>
      </c>
      <c r="AR481" s="5" t="s">
        <v>69</v>
      </c>
      <c r="AW481" s="144" t="str">
        <f t="shared" si="156"/>
        <v>OK</v>
      </c>
      <c r="AX481" s="21" t="s">
        <v>3135</v>
      </c>
      <c r="AY481" s="21" t="s">
        <v>3130</v>
      </c>
      <c r="AZ481" s="21"/>
      <c r="BA481" s="21"/>
    </row>
    <row r="482" spans="1:53" ht="20" customHeight="1">
      <c r="A482" s="86" t="s">
        <v>318</v>
      </c>
      <c r="B482" s="372" t="s">
        <v>2812</v>
      </c>
      <c r="C482" s="5" t="s">
        <v>51</v>
      </c>
      <c r="D482" s="5" t="s">
        <v>52</v>
      </c>
      <c r="E482" s="5" t="s">
        <v>2001</v>
      </c>
      <c r="F482" s="5" t="s">
        <v>1949</v>
      </c>
      <c r="G482" s="5" t="s">
        <v>1954</v>
      </c>
      <c r="H482" s="6">
        <v>38901</v>
      </c>
      <c r="I482" s="5" t="s">
        <v>71</v>
      </c>
      <c r="J482" s="5" t="s">
        <v>71</v>
      </c>
      <c r="K482" s="5" t="s">
        <v>61</v>
      </c>
      <c r="L482" s="7">
        <v>2</v>
      </c>
      <c r="M482" s="7">
        <v>3</v>
      </c>
      <c r="N482" s="8">
        <v>18617</v>
      </c>
      <c r="O482" s="88">
        <v>2.5000000000000001E-2</v>
      </c>
      <c r="P482" s="10">
        <f t="shared" si="145"/>
        <v>465</v>
      </c>
      <c r="Q482" s="88">
        <v>0</v>
      </c>
      <c r="R482" s="10">
        <f t="shared" si="146"/>
        <v>0</v>
      </c>
      <c r="S482" s="88">
        <f t="shared" si="147"/>
        <v>2.4977171402481603E-2</v>
      </c>
      <c r="T482" s="10">
        <f t="shared" si="148"/>
        <v>465</v>
      </c>
      <c r="U482" s="10">
        <f t="shared" si="149"/>
        <v>19082</v>
      </c>
      <c r="V482" s="11">
        <v>19000</v>
      </c>
      <c r="W482" s="12">
        <f t="shared" si="150"/>
        <v>383</v>
      </c>
      <c r="X482" s="92">
        <f t="shared" si="144"/>
        <v>2.06E-2</v>
      </c>
      <c r="Y482" s="93" t="str">
        <f t="shared" si="143"/>
        <v>2.00%-3.00%</v>
      </c>
      <c r="Z482" s="15"/>
      <c r="AA482" s="15"/>
      <c r="AB482" s="15"/>
      <c r="AC482" s="95"/>
      <c r="AD482" s="8">
        <f t="shared" si="151"/>
        <v>0</v>
      </c>
      <c r="AE482" s="17">
        <f t="shared" si="152"/>
        <v>19000</v>
      </c>
      <c r="AF482" s="18">
        <f t="shared" si="153"/>
        <v>383</v>
      </c>
      <c r="AG482" s="97">
        <f t="shared" si="154"/>
        <v>2.0572594940108546E-2</v>
      </c>
      <c r="AH482" s="20">
        <v>14</v>
      </c>
      <c r="AI482" s="20">
        <v>450</v>
      </c>
      <c r="AJ482" s="20"/>
      <c r="AK482" s="20">
        <v>688</v>
      </c>
      <c r="AL482" s="20">
        <f t="shared" si="155"/>
        <v>272088</v>
      </c>
      <c r="AM482" s="7">
        <v>3</v>
      </c>
      <c r="AN482" s="20"/>
      <c r="AO482" s="21"/>
      <c r="AP482" s="21" t="s">
        <v>1953</v>
      </c>
      <c r="AQ482" s="5" t="s">
        <v>1948</v>
      </c>
      <c r="AR482" s="5" t="s">
        <v>69</v>
      </c>
      <c r="AW482" s="144" t="str">
        <f t="shared" si="156"/>
        <v>OK</v>
      </c>
      <c r="AX482" s="21" t="s">
        <v>3129</v>
      </c>
      <c r="AY482" s="21" t="s">
        <v>3130</v>
      </c>
      <c r="AZ482" s="21"/>
      <c r="BA482" s="21"/>
    </row>
    <row r="483" spans="1:53" ht="20" customHeight="1">
      <c r="A483" s="86" t="s">
        <v>318</v>
      </c>
      <c r="B483" s="372" t="s">
        <v>2813</v>
      </c>
      <c r="C483" s="5" t="s">
        <v>51</v>
      </c>
      <c r="D483" s="5" t="s">
        <v>52</v>
      </c>
      <c r="E483" s="5" t="s">
        <v>2001</v>
      </c>
      <c r="F483" s="5" t="s">
        <v>1959</v>
      </c>
      <c r="G483" s="5" t="s">
        <v>1960</v>
      </c>
      <c r="H483" s="6">
        <v>43488</v>
      </c>
      <c r="I483" s="5" t="s">
        <v>111</v>
      </c>
      <c r="J483" s="5" t="s">
        <v>111</v>
      </c>
      <c r="K483" s="5" t="s">
        <v>56</v>
      </c>
      <c r="L483" s="7">
        <v>2</v>
      </c>
      <c r="M483" s="7">
        <v>3</v>
      </c>
      <c r="N483" s="8">
        <v>22000</v>
      </c>
      <c r="O483" s="88">
        <v>2.5000000000000001E-2</v>
      </c>
      <c r="P483" s="10">
        <f t="shared" si="145"/>
        <v>550</v>
      </c>
      <c r="Q483" s="88">
        <v>0</v>
      </c>
      <c r="R483" s="10">
        <f t="shared" si="146"/>
        <v>0</v>
      </c>
      <c r="S483" s="88">
        <f t="shared" si="147"/>
        <v>2.5000000000000001E-2</v>
      </c>
      <c r="T483" s="10">
        <f t="shared" si="148"/>
        <v>550</v>
      </c>
      <c r="U483" s="10">
        <f t="shared" si="149"/>
        <v>22550</v>
      </c>
      <c r="V483" s="11">
        <f t="shared" si="142"/>
        <v>22550</v>
      </c>
      <c r="W483" s="12">
        <f t="shared" si="150"/>
        <v>550</v>
      </c>
      <c r="X483" s="92">
        <f t="shared" si="144"/>
        <v>2.5000000000000001E-2</v>
      </c>
      <c r="Y483" s="93" t="str">
        <f t="shared" si="143"/>
        <v>2.00%-3.00%</v>
      </c>
      <c r="Z483" s="15"/>
      <c r="AA483" s="15"/>
      <c r="AB483" s="15"/>
      <c r="AC483" s="95"/>
      <c r="AD483" s="8">
        <f t="shared" si="151"/>
        <v>0</v>
      </c>
      <c r="AE483" s="17">
        <f t="shared" si="152"/>
        <v>22550</v>
      </c>
      <c r="AF483" s="18">
        <f t="shared" si="153"/>
        <v>550</v>
      </c>
      <c r="AG483" s="97">
        <f t="shared" si="154"/>
        <v>2.4999999999999911E-2</v>
      </c>
      <c r="AH483" s="20">
        <v>14</v>
      </c>
      <c r="AI483" s="20">
        <v>450</v>
      </c>
      <c r="AJ483" s="20"/>
      <c r="AK483" s="20">
        <v>688</v>
      </c>
      <c r="AL483" s="20">
        <f t="shared" si="155"/>
        <v>321788</v>
      </c>
      <c r="AM483" s="7">
        <v>3</v>
      </c>
      <c r="AN483" s="20"/>
      <c r="AO483" s="21"/>
      <c r="AP483" s="21"/>
      <c r="AQ483" s="5" t="s">
        <v>1948</v>
      </c>
      <c r="AR483" s="5" t="s">
        <v>69</v>
      </c>
      <c r="AW483" s="144" t="str">
        <f t="shared" si="156"/>
        <v>OK</v>
      </c>
      <c r="AX483" s="21" t="s">
        <v>3133</v>
      </c>
      <c r="AY483" s="21" t="s">
        <v>3130</v>
      </c>
      <c r="AZ483" s="21"/>
      <c r="BA483" s="21"/>
    </row>
    <row r="484" spans="1:53" ht="20" customHeight="1">
      <c r="A484" s="86" t="s">
        <v>318</v>
      </c>
      <c r="B484" s="372" t="s">
        <v>2814</v>
      </c>
      <c r="C484" s="5" t="s">
        <v>51</v>
      </c>
      <c r="D484" s="5" t="s">
        <v>52</v>
      </c>
      <c r="E484" s="5" t="s">
        <v>2001</v>
      </c>
      <c r="F484" s="5" t="s">
        <v>1959</v>
      </c>
      <c r="G484" s="5" t="s">
        <v>1960</v>
      </c>
      <c r="H484" s="6">
        <v>44419</v>
      </c>
      <c r="I484" s="5" t="s">
        <v>226</v>
      </c>
      <c r="J484" s="5" t="s">
        <v>226</v>
      </c>
      <c r="K484" s="5" t="s">
        <v>84</v>
      </c>
      <c r="L484" s="7">
        <v>2</v>
      </c>
      <c r="M484" s="7">
        <v>3</v>
      </c>
      <c r="N484" s="8">
        <v>12091</v>
      </c>
      <c r="O484" s="88">
        <v>0</v>
      </c>
      <c r="P484" s="10">
        <f t="shared" si="145"/>
        <v>0</v>
      </c>
      <c r="Q484" s="88">
        <v>0</v>
      </c>
      <c r="R484" s="10">
        <f t="shared" si="146"/>
        <v>0</v>
      </c>
      <c r="S484" s="88">
        <f t="shared" si="147"/>
        <v>0</v>
      </c>
      <c r="T484" s="10">
        <f t="shared" si="148"/>
        <v>0</v>
      </c>
      <c r="U484" s="10">
        <f t="shared" si="149"/>
        <v>12091</v>
      </c>
      <c r="V484" s="11">
        <f t="shared" si="142"/>
        <v>12091</v>
      </c>
      <c r="W484" s="12">
        <f t="shared" si="150"/>
        <v>0</v>
      </c>
      <c r="X484" s="92">
        <f t="shared" si="144"/>
        <v>0</v>
      </c>
      <c r="Y484" s="93" t="str">
        <f t="shared" si="143"/>
        <v>0.00%-0.00%</v>
      </c>
      <c r="Z484" s="15"/>
      <c r="AA484" s="15"/>
      <c r="AB484" s="15"/>
      <c r="AC484" s="95"/>
      <c r="AD484" s="8">
        <f t="shared" si="151"/>
        <v>0</v>
      </c>
      <c r="AE484" s="17">
        <f t="shared" si="152"/>
        <v>12091</v>
      </c>
      <c r="AF484" s="18">
        <f t="shared" si="153"/>
        <v>0</v>
      </c>
      <c r="AG484" s="97">
        <f t="shared" si="154"/>
        <v>0</v>
      </c>
      <c r="AH484" s="20">
        <v>14</v>
      </c>
      <c r="AI484" s="20">
        <v>550</v>
      </c>
      <c r="AJ484" s="20"/>
      <c r="AK484" s="20">
        <v>688</v>
      </c>
      <c r="AL484" s="20">
        <f t="shared" si="155"/>
        <v>176562</v>
      </c>
      <c r="AM484" s="7">
        <v>5</v>
      </c>
      <c r="AN484" s="20"/>
      <c r="AO484" s="21"/>
      <c r="AP484" s="21"/>
      <c r="AQ484" s="5" t="s">
        <v>1948</v>
      </c>
      <c r="AR484" s="5" t="s">
        <v>69</v>
      </c>
      <c r="AW484" s="144" t="str">
        <f t="shared" si="156"/>
        <v>OK</v>
      </c>
      <c r="AX484" s="21" t="s">
        <v>3131</v>
      </c>
      <c r="AY484" s="21" t="s">
        <v>3134</v>
      </c>
      <c r="AZ484" s="21"/>
      <c r="BA484" s="21"/>
    </row>
    <row r="485" spans="1:53" ht="20" customHeight="1">
      <c r="A485" s="86" t="s">
        <v>318</v>
      </c>
      <c r="B485" s="372" t="s">
        <v>2815</v>
      </c>
      <c r="C485" s="5" t="s">
        <v>51</v>
      </c>
      <c r="D485" s="5" t="s">
        <v>52</v>
      </c>
      <c r="E485" s="5" t="s">
        <v>2001</v>
      </c>
      <c r="F485" s="5" t="s">
        <v>1962</v>
      </c>
      <c r="G485" s="5" t="s">
        <v>1963</v>
      </c>
      <c r="H485" s="6">
        <v>45644</v>
      </c>
      <c r="I485" s="5" t="s">
        <v>85</v>
      </c>
      <c r="J485" s="5" t="s">
        <v>1964</v>
      </c>
      <c r="K485" s="5" t="s">
        <v>76</v>
      </c>
      <c r="L485" s="7">
        <v>2</v>
      </c>
      <c r="M485" s="7">
        <v>5</v>
      </c>
      <c r="N485" s="8">
        <v>20000</v>
      </c>
      <c r="O485" s="88">
        <v>0.03</v>
      </c>
      <c r="P485" s="10">
        <f t="shared" si="145"/>
        <v>600</v>
      </c>
      <c r="Q485" s="88">
        <v>0</v>
      </c>
      <c r="R485" s="10">
        <f t="shared" si="146"/>
        <v>0</v>
      </c>
      <c r="S485" s="88">
        <f t="shared" si="147"/>
        <v>0.03</v>
      </c>
      <c r="T485" s="10">
        <f t="shared" si="148"/>
        <v>600</v>
      </c>
      <c r="U485" s="10">
        <f t="shared" si="149"/>
        <v>20600</v>
      </c>
      <c r="V485" s="11">
        <v>20480</v>
      </c>
      <c r="W485" s="12">
        <f t="shared" si="150"/>
        <v>480</v>
      </c>
      <c r="X485" s="92">
        <f t="shared" si="144"/>
        <v>2.4E-2</v>
      </c>
      <c r="Y485" s="93" t="str">
        <f t="shared" si="143"/>
        <v>2.40%-3.60%</v>
      </c>
      <c r="Z485" s="15"/>
      <c r="AA485" s="15"/>
      <c r="AB485" s="15"/>
      <c r="AC485" s="95"/>
      <c r="AD485" s="8">
        <f t="shared" si="151"/>
        <v>0</v>
      </c>
      <c r="AE485" s="17">
        <f t="shared" si="152"/>
        <v>20480</v>
      </c>
      <c r="AF485" s="18">
        <f t="shared" si="153"/>
        <v>480</v>
      </c>
      <c r="AG485" s="97">
        <f t="shared" si="154"/>
        <v>2.4000000000000021E-2</v>
      </c>
      <c r="AH485" s="20">
        <v>14</v>
      </c>
      <c r="AI485" s="20">
        <v>450</v>
      </c>
      <c r="AJ485" s="20"/>
      <c r="AK485" s="20">
        <v>688</v>
      </c>
      <c r="AL485" s="20">
        <f t="shared" si="155"/>
        <v>292808</v>
      </c>
      <c r="AM485" s="7" t="s">
        <v>176</v>
      </c>
      <c r="AN485" s="20"/>
      <c r="AO485" s="21"/>
      <c r="AP485" s="21" t="s">
        <v>1953</v>
      </c>
      <c r="AQ485" s="5" t="s">
        <v>1948</v>
      </c>
      <c r="AR485" s="5" t="s">
        <v>69</v>
      </c>
      <c r="AW485" s="144" t="str">
        <f t="shared" si="156"/>
        <v>OK</v>
      </c>
      <c r="AX485" s="21" t="s">
        <v>3131</v>
      </c>
      <c r="AY485" s="21" t="s">
        <v>3138</v>
      </c>
      <c r="AZ485" s="21"/>
      <c r="BA485" s="21"/>
    </row>
    <row r="486" spans="1:53" ht="20" customHeight="1">
      <c r="A486" s="86" t="s">
        <v>318</v>
      </c>
      <c r="B486" s="372" t="s">
        <v>2816</v>
      </c>
      <c r="C486" s="5" t="s">
        <v>51</v>
      </c>
      <c r="D486" s="5" t="s">
        <v>52</v>
      </c>
      <c r="E486" s="5" t="s">
        <v>2001</v>
      </c>
      <c r="F486" s="5" t="s">
        <v>1965</v>
      </c>
      <c r="G486" s="5" t="s">
        <v>1947</v>
      </c>
      <c r="H486" s="6">
        <v>45707</v>
      </c>
      <c r="I486" s="5" t="s">
        <v>60</v>
      </c>
      <c r="J486" s="5" t="s">
        <v>60</v>
      </c>
      <c r="K486" s="5" t="s">
        <v>61</v>
      </c>
      <c r="L486" s="7">
        <v>2</v>
      </c>
      <c r="M486" s="7">
        <v>3</v>
      </c>
      <c r="N486" s="8">
        <v>23550</v>
      </c>
      <c r="O486" s="88">
        <v>0</v>
      </c>
      <c r="P486" s="10">
        <f t="shared" si="145"/>
        <v>0</v>
      </c>
      <c r="Q486" s="88">
        <v>0</v>
      </c>
      <c r="R486" s="10">
        <f t="shared" si="146"/>
        <v>0</v>
      </c>
      <c r="S486" s="88">
        <f t="shared" si="147"/>
        <v>0</v>
      </c>
      <c r="T486" s="10">
        <f t="shared" si="148"/>
        <v>0</v>
      </c>
      <c r="U486" s="10">
        <f t="shared" si="149"/>
        <v>23550</v>
      </c>
      <c r="V486" s="11">
        <f t="shared" si="142"/>
        <v>23550</v>
      </c>
      <c r="W486" s="12">
        <f t="shared" si="150"/>
        <v>0</v>
      </c>
      <c r="X486" s="92">
        <f t="shared" si="144"/>
        <v>0</v>
      </c>
      <c r="Y486" s="93" t="str">
        <f t="shared" si="143"/>
        <v>0.00%-0.00%</v>
      </c>
      <c r="Z486" s="15"/>
      <c r="AA486" s="15"/>
      <c r="AB486" s="15"/>
      <c r="AC486" s="95"/>
      <c r="AD486" s="8">
        <f t="shared" si="151"/>
        <v>0</v>
      </c>
      <c r="AE486" s="17">
        <f t="shared" si="152"/>
        <v>23550</v>
      </c>
      <c r="AF486" s="18">
        <f t="shared" si="153"/>
        <v>0</v>
      </c>
      <c r="AG486" s="97">
        <f t="shared" si="154"/>
        <v>0</v>
      </c>
      <c r="AH486" s="20">
        <v>14</v>
      </c>
      <c r="AI486" s="20">
        <v>450</v>
      </c>
      <c r="AJ486" s="20"/>
      <c r="AK486" s="20">
        <v>688</v>
      </c>
      <c r="AL486" s="20">
        <f t="shared" si="155"/>
        <v>335788</v>
      </c>
      <c r="AM486" s="7" t="e">
        <v>#N/A</v>
      </c>
      <c r="AN486" s="20"/>
      <c r="AO486" s="21"/>
      <c r="AP486" s="21"/>
      <c r="AQ486" s="5" t="s">
        <v>1948</v>
      </c>
      <c r="AR486" s="5" t="s">
        <v>69</v>
      </c>
      <c r="AW486" s="144" t="str">
        <f t="shared" si="156"/>
        <v>OK</v>
      </c>
      <c r="AX486" s="21" t="s">
        <v>3131</v>
      </c>
      <c r="AY486" s="21" t="s">
        <v>3134</v>
      </c>
      <c r="AZ486" s="21"/>
      <c r="BA486" s="21"/>
    </row>
    <row r="487" spans="1:53" ht="20" customHeight="1">
      <c r="A487" s="86" t="s">
        <v>318</v>
      </c>
      <c r="B487" s="372" t="s">
        <v>2817</v>
      </c>
      <c r="C487" s="5" t="s">
        <v>51</v>
      </c>
      <c r="D487" s="5" t="s">
        <v>52</v>
      </c>
      <c r="E487" s="5" t="s">
        <v>2001</v>
      </c>
      <c r="F487" s="5" t="s">
        <v>1966</v>
      </c>
      <c r="G487" s="5" t="s">
        <v>1963</v>
      </c>
      <c r="H487" s="6">
        <v>38541</v>
      </c>
      <c r="I487" s="5" t="s">
        <v>111</v>
      </c>
      <c r="J487" s="5" t="s">
        <v>1967</v>
      </c>
      <c r="K487" s="5" t="s">
        <v>56</v>
      </c>
      <c r="L487" s="7">
        <v>2</v>
      </c>
      <c r="M487" s="7">
        <v>3</v>
      </c>
      <c r="N487" s="8">
        <v>23997</v>
      </c>
      <c r="O487" s="88">
        <v>0</v>
      </c>
      <c r="P487" s="10">
        <f t="shared" si="145"/>
        <v>0</v>
      </c>
      <c r="Q487" s="88">
        <v>0</v>
      </c>
      <c r="R487" s="10">
        <f t="shared" si="146"/>
        <v>0</v>
      </c>
      <c r="S487" s="88">
        <f t="shared" si="147"/>
        <v>0</v>
      </c>
      <c r="T487" s="10">
        <f t="shared" si="148"/>
        <v>0</v>
      </c>
      <c r="U487" s="10">
        <f t="shared" si="149"/>
        <v>23997</v>
      </c>
      <c r="V487" s="11">
        <f t="shared" si="142"/>
        <v>23997</v>
      </c>
      <c r="W487" s="12">
        <f t="shared" si="150"/>
        <v>0</v>
      </c>
      <c r="X487" s="92">
        <f t="shared" si="144"/>
        <v>0</v>
      </c>
      <c r="Y487" s="93" t="str">
        <f t="shared" si="143"/>
        <v>0.00%-0.00%</v>
      </c>
      <c r="Z487" s="15"/>
      <c r="AA487" s="15"/>
      <c r="AB487" s="15"/>
      <c r="AC487" s="95"/>
      <c r="AD487" s="8">
        <f t="shared" si="151"/>
        <v>0</v>
      </c>
      <c r="AE487" s="17">
        <f t="shared" si="152"/>
        <v>23997</v>
      </c>
      <c r="AF487" s="18">
        <f t="shared" si="153"/>
        <v>0</v>
      </c>
      <c r="AG487" s="97">
        <f t="shared" si="154"/>
        <v>0</v>
      </c>
      <c r="AH487" s="20">
        <v>14</v>
      </c>
      <c r="AI487" s="20">
        <v>450</v>
      </c>
      <c r="AJ487" s="20"/>
      <c r="AK487" s="20">
        <v>688</v>
      </c>
      <c r="AL487" s="20">
        <f t="shared" si="155"/>
        <v>342046</v>
      </c>
      <c r="AM487" s="7">
        <v>4</v>
      </c>
      <c r="AN487" s="20"/>
      <c r="AO487" s="21"/>
      <c r="AP487" s="21"/>
      <c r="AQ487" s="5" t="s">
        <v>1948</v>
      </c>
      <c r="AR487" s="5" t="s">
        <v>69</v>
      </c>
      <c r="AW487" s="144" t="str">
        <f t="shared" si="156"/>
        <v>OK</v>
      </c>
      <c r="AX487" s="21" t="s">
        <v>3129</v>
      </c>
      <c r="AY487" s="21" t="s">
        <v>3134</v>
      </c>
      <c r="AZ487" s="21"/>
      <c r="BA487" s="21"/>
    </row>
    <row r="488" spans="1:53" ht="20" customHeight="1">
      <c r="A488" s="86" t="s">
        <v>318</v>
      </c>
      <c r="B488" s="372" t="s">
        <v>2818</v>
      </c>
      <c r="C488" s="5" t="s">
        <v>51</v>
      </c>
      <c r="D488" s="5" t="s">
        <v>52</v>
      </c>
      <c r="E488" s="5" t="s">
        <v>2001</v>
      </c>
      <c r="F488" s="5" t="s">
        <v>1968</v>
      </c>
      <c r="G488" s="5" t="s">
        <v>1969</v>
      </c>
      <c r="H488" s="6">
        <v>38808</v>
      </c>
      <c r="I488" s="5" t="s">
        <v>74</v>
      </c>
      <c r="J488" s="5" t="s">
        <v>74</v>
      </c>
      <c r="K488" s="5" t="s">
        <v>76</v>
      </c>
      <c r="L488" s="7">
        <v>2</v>
      </c>
      <c r="M488" s="7">
        <v>5</v>
      </c>
      <c r="N488" s="8">
        <v>11871</v>
      </c>
      <c r="O488" s="88">
        <v>0.05</v>
      </c>
      <c r="P488" s="10">
        <f t="shared" si="145"/>
        <v>594</v>
      </c>
      <c r="Q488" s="88">
        <v>2.7E-2</v>
      </c>
      <c r="R488" s="10">
        <f t="shared" si="146"/>
        <v>321</v>
      </c>
      <c r="S488" s="88">
        <f t="shared" si="147"/>
        <v>7.7078594895122574E-2</v>
      </c>
      <c r="T488" s="10">
        <f t="shared" si="148"/>
        <v>915</v>
      </c>
      <c r="U488" s="10">
        <f t="shared" si="149"/>
        <v>12786</v>
      </c>
      <c r="V488" s="11">
        <v>12912</v>
      </c>
      <c r="W488" s="12">
        <f t="shared" si="150"/>
        <v>1041</v>
      </c>
      <c r="X488" s="92">
        <f t="shared" si="144"/>
        <v>8.77E-2</v>
      </c>
      <c r="Y488" s="93" t="str">
        <f t="shared" si="143"/>
        <v>6.17%-9.25%</v>
      </c>
      <c r="Z488" s="15"/>
      <c r="AA488" s="15"/>
      <c r="AB488" s="15"/>
      <c r="AC488" s="95"/>
      <c r="AD488" s="8">
        <f t="shared" si="151"/>
        <v>0</v>
      </c>
      <c r="AE488" s="17">
        <f t="shared" si="152"/>
        <v>12912</v>
      </c>
      <c r="AF488" s="18">
        <f t="shared" si="153"/>
        <v>1041</v>
      </c>
      <c r="AG488" s="97">
        <f t="shared" si="154"/>
        <v>8.7692696487237765E-2</v>
      </c>
      <c r="AH488" s="20">
        <v>14</v>
      </c>
      <c r="AI488" s="20">
        <v>550</v>
      </c>
      <c r="AJ488" s="20"/>
      <c r="AK488" s="20">
        <v>688</v>
      </c>
      <c r="AL488" s="20">
        <f t="shared" si="155"/>
        <v>188056</v>
      </c>
      <c r="AM488" s="7">
        <v>2</v>
      </c>
      <c r="AN488" s="20"/>
      <c r="AO488" s="21"/>
      <c r="AP488" s="21" t="s">
        <v>1958</v>
      </c>
      <c r="AQ488" s="5" t="s">
        <v>1948</v>
      </c>
      <c r="AR488" s="5" t="s">
        <v>69</v>
      </c>
      <c r="AW488" s="144" t="str">
        <f t="shared" si="156"/>
        <v>OK</v>
      </c>
      <c r="AX488" s="21" t="s">
        <v>3129</v>
      </c>
      <c r="AY488" s="21" t="s">
        <v>3130</v>
      </c>
      <c r="AZ488" s="21"/>
      <c r="BA488" s="21"/>
    </row>
    <row r="489" spans="1:53" ht="20" customHeight="1">
      <c r="A489" s="86" t="s">
        <v>318</v>
      </c>
      <c r="B489" s="372" t="s">
        <v>2819</v>
      </c>
      <c r="C489" s="5" t="s">
        <v>51</v>
      </c>
      <c r="D489" s="5" t="s">
        <v>52</v>
      </c>
      <c r="E489" s="5" t="s">
        <v>2001</v>
      </c>
      <c r="F489" s="5" t="s">
        <v>1966</v>
      </c>
      <c r="G489" s="5" t="s">
        <v>1963</v>
      </c>
      <c r="H489" s="6">
        <v>38887</v>
      </c>
      <c r="I489" s="5" t="s">
        <v>60</v>
      </c>
      <c r="J489" s="5" t="s">
        <v>60</v>
      </c>
      <c r="K489" s="5" t="s">
        <v>61</v>
      </c>
      <c r="L489" s="7">
        <v>2</v>
      </c>
      <c r="M489" s="7">
        <v>3</v>
      </c>
      <c r="N489" s="8">
        <v>15040</v>
      </c>
      <c r="O489" s="88">
        <v>2.5000000000000001E-2</v>
      </c>
      <c r="P489" s="10">
        <f t="shared" si="145"/>
        <v>376</v>
      </c>
      <c r="Q489" s="88">
        <v>0</v>
      </c>
      <c r="R489" s="10">
        <f t="shared" si="146"/>
        <v>0</v>
      </c>
      <c r="S489" s="88">
        <f t="shared" si="147"/>
        <v>2.5000000000000001E-2</v>
      </c>
      <c r="T489" s="10">
        <f t="shared" si="148"/>
        <v>376</v>
      </c>
      <c r="U489" s="10">
        <f t="shared" si="149"/>
        <v>15416</v>
      </c>
      <c r="V489" s="11">
        <v>15350</v>
      </c>
      <c r="W489" s="12">
        <f t="shared" si="150"/>
        <v>310</v>
      </c>
      <c r="X489" s="92">
        <f t="shared" si="144"/>
        <v>2.06E-2</v>
      </c>
      <c r="Y489" s="93" t="str">
        <f t="shared" si="143"/>
        <v>2.00%-3.00%</v>
      </c>
      <c r="Z489" s="15"/>
      <c r="AA489" s="15"/>
      <c r="AB489" s="15"/>
      <c r="AC489" s="95"/>
      <c r="AD489" s="8">
        <f t="shared" si="151"/>
        <v>0</v>
      </c>
      <c r="AE489" s="17">
        <f t="shared" si="152"/>
        <v>15350</v>
      </c>
      <c r="AF489" s="18">
        <f t="shared" si="153"/>
        <v>310</v>
      </c>
      <c r="AG489" s="97">
        <f t="shared" si="154"/>
        <v>2.0611702127659504E-2</v>
      </c>
      <c r="AH489" s="20">
        <v>14</v>
      </c>
      <c r="AI489" s="20">
        <v>450</v>
      </c>
      <c r="AJ489" s="20"/>
      <c r="AK489" s="20">
        <v>688</v>
      </c>
      <c r="AL489" s="20">
        <f t="shared" si="155"/>
        <v>220988</v>
      </c>
      <c r="AM489" s="7">
        <v>3</v>
      </c>
      <c r="AN489" s="20"/>
      <c r="AO489" s="21"/>
      <c r="AP489" s="21" t="s">
        <v>1953</v>
      </c>
      <c r="AQ489" s="5" t="s">
        <v>1948</v>
      </c>
      <c r="AR489" s="5" t="s">
        <v>69</v>
      </c>
      <c r="AW489" s="144" t="str">
        <f t="shared" si="156"/>
        <v>OK</v>
      </c>
      <c r="AX489" s="21" t="s">
        <v>3129</v>
      </c>
      <c r="AY489" s="21" t="s">
        <v>3130</v>
      </c>
      <c r="AZ489" s="21"/>
      <c r="BA489" s="21"/>
    </row>
    <row r="490" spans="1:53" ht="20" customHeight="1">
      <c r="A490" s="86" t="s">
        <v>318</v>
      </c>
      <c r="B490" s="372" t="s">
        <v>2820</v>
      </c>
      <c r="C490" s="5" t="s">
        <v>51</v>
      </c>
      <c r="D490" s="5" t="s">
        <v>52</v>
      </c>
      <c r="E490" s="5" t="s">
        <v>2001</v>
      </c>
      <c r="F490" s="5" t="s">
        <v>1966</v>
      </c>
      <c r="G490" s="5" t="s">
        <v>1963</v>
      </c>
      <c r="H490" s="6">
        <v>38961</v>
      </c>
      <c r="I490" s="5" t="s">
        <v>377</v>
      </c>
      <c r="J490" s="5" t="s">
        <v>1970</v>
      </c>
      <c r="K490" s="5" t="s">
        <v>324</v>
      </c>
      <c r="L490" s="7">
        <v>2</v>
      </c>
      <c r="M490" s="7">
        <v>4</v>
      </c>
      <c r="N490" s="8">
        <v>5243</v>
      </c>
      <c r="O490" s="88">
        <v>0.03</v>
      </c>
      <c r="P490" s="10">
        <f t="shared" si="145"/>
        <v>157</v>
      </c>
      <c r="Q490" s="88">
        <v>0</v>
      </c>
      <c r="R490" s="10">
        <f t="shared" si="146"/>
        <v>0</v>
      </c>
      <c r="S490" s="88">
        <f t="shared" si="147"/>
        <v>2.9944688155636088E-2</v>
      </c>
      <c r="T490" s="10">
        <f t="shared" si="148"/>
        <v>157</v>
      </c>
      <c r="U490" s="10">
        <f t="shared" si="149"/>
        <v>5400</v>
      </c>
      <c r="V490" s="11">
        <v>5421</v>
      </c>
      <c r="W490" s="12">
        <f t="shared" si="150"/>
        <v>178</v>
      </c>
      <c r="X490" s="92">
        <f t="shared" si="144"/>
        <v>3.4000000000000002E-2</v>
      </c>
      <c r="Y490" s="93" t="str">
        <f t="shared" si="143"/>
        <v>2.40%-3.59%</v>
      </c>
      <c r="Z490" s="15"/>
      <c r="AA490" s="15"/>
      <c r="AB490" s="15"/>
      <c r="AC490" s="95"/>
      <c r="AD490" s="8">
        <f t="shared" si="151"/>
        <v>0</v>
      </c>
      <c r="AE490" s="17">
        <f t="shared" si="152"/>
        <v>5421</v>
      </c>
      <c r="AF490" s="18">
        <f t="shared" si="153"/>
        <v>178</v>
      </c>
      <c r="AG490" s="97">
        <f t="shared" si="154"/>
        <v>3.3950028609574634E-2</v>
      </c>
      <c r="AH490" s="20">
        <v>14</v>
      </c>
      <c r="AI490" s="20">
        <v>450</v>
      </c>
      <c r="AJ490" s="20"/>
      <c r="AK490" s="20">
        <v>688</v>
      </c>
      <c r="AL490" s="20">
        <f t="shared" si="155"/>
        <v>81982</v>
      </c>
      <c r="AM490" s="7">
        <v>3</v>
      </c>
      <c r="AN490" s="20"/>
      <c r="AO490" s="21"/>
      <c r="AP490" s="21" t="s">
        <v>1958</v>
      </c>
      <c r="AQ490" s="5" t="s">
        <v>1948</v>
      </c>
      <c r="AR490" s="5" t="s">
        <v>69</v>
      </c>
      <c r="AW490" s="144" t="str">
        <f t="shared" si="156"/>
        <v>OK</v>
      </c>
      <c r="AX490" s="21" t="s">
        <v>3129</v>
      </c>
      <c r="AY490" s="21" t="s">
        <v>3136</v>
      </c>
      <c r="AZ490" s="21"/>
      <c r="BA490" s="21"/>
    </row>
    <row r="491" spans="1:53" ht="20" customHeight="1">
      <c r="A491" s="86" t="s">
        <v>318</v>
      </c>
      <c r="B491" s="372" t="s">
        <v>2821</v>
      </c>
      <c r="C491" s="5" t="s">
        <v>51</v>
      </c>
      <c r="D491" s="5" t="s">
        <v>52</v>
      </c>
      <c r="E491" s="5" t="s">
        <v>2001</v>
      </c>
      <c r="F491" s="5" t="s">
        <v>1971</v>
      </c>
      <c r="G491" s="5" t="s">
        <v>1957</v>
      </c>
      <c r="H491" s="6">
        <v>38961</v>
      </c>
      <c r="I491" s="5" t="s">
        <v>373</v>
      </c>
      <c r="J491" s="5" t="s">
        <v>373</v>
      </c>
      <c r="K491" s="5" t="s">
        <v>175</v>
      </c>
      <c r="L491" s="7">
        <v>2</v>
      </c>
      <c r="M491" s="7">
        <v>3</v>
      </c>
      <c r="N491" s="8">
        <v>9381</v>
      </c>
      <c r="O491" s="88">
        <v>2.5000000000000001E-2</v>
      </c>
      <c r="P491" s="10">
        <f t="shared" si="145"/>
        <v>235</v>
      </c>
      <c r="Q491" s="88">
        <v>0</v>
      </c>
      <c r="R491" s="10">
        <f t="shared" si="146"/>
        <v>0</v>
      </c>
      <c r="S491" s="88">
        <f t="shared" si="147"/>
        <v>2.5050634260739793E-2</v>
      </c>
      <c r="T491" s="10">
        <f t="shared" si="148"/>
        <v>235</v>
      </c>
      <c r="U491" s="10">
        <f t="shared" si="149"/>
        <v>9616</v>
      </c>
      <c r="V491" s="11">
        <v>9660</v>
      </c>
      <c r="W491" s="12">
        <f t="shared" si="150"/>
        <v>279</v>
      </c>
      <c r="X491" s="92">
        <f t="shared" si="144"/>
        <v>2.9700000000000001E-2</v>
      </c>
      <c r="Y491" s="93" t="str">
        <f t="shared" si="143"/>
        <v>2.00%-3.01%</v>
      </c>
      <c r="Z491" s="15"/>
      <c r="AA491" s="15"/>
      <c r="AB491" s="15"/>
      <c r="AC491" s="95"/>
      <c r="AD491" s="8">
        <f t="shared" si="151"/>
        <v>0</v>
      </c>
      <c r="AE491" s="17">
        <f t="shared" si="152"/>
        <v>9660</v>
      </c>
      <c r="AF491" s="18">
        <f t="shared" si="153"/>
        <v>279</v>
      </c>
      <c r="AG491" s="97">
        <f t="shared" si="154"/>
        <v>2.9740965781899664E-2</v>
      </c>
      <c r="AH491" s="20">
        <v>14</v>
      </c>
      <c r="AI491" s="20">
        <v>550</v>
      </c>
      <c r="AJ491" s="20"/>
      <c r="AK491" s="20">
        <v>688</v>
      </c>
      <c r="AL491" s="20">
        <f t="shared" si="155"/>
        <v>142528</v>
      </c>
      <c r="AM491" s="7">
        <v>3</v>
      </c>
      <c r="AN491" s="20"/>
      <c r="AO491" s="21"/>
      <c r="AP491" s="21" t="s">
        <v>1958</v>
      </c>
      <c r="AQ491" s="5" t="s">
        <v>1948</v>
      </c>
      <c r="AR491" s="5" t="s">
        <v>69</v>
      </c>
      <c r="AW491" s="144" t="str">
        <f t="shared" si="156"/>
        <v>OK</v>
      </c>
      <c r="AX491" s="21" t="s">
        <v>3129</v>
      </c>
      <c r="AY491" s="21" t="s">
        <v>3130</v>
      </c>
      <c r="AZ491" s="21"/>
      <c r="BA491" s="21"/>
    </row>
    <row r="492" spans="1:53" ht="20" customHeight="1">
      <c r="A492" s="86" t="s">
        <v>318</v>
      </c>
      <c r="B492" s="372" t="s">
        <v>2822</v>
      </c>
      <c r="C492" s="5" t="s">
        <v>51</v>
      </c>
      <c r="D492" s="5" t="s">
        <v>52</v>
      </c>
      <c r="E492" s="5" t="s">
        <v>2001</v>
      </c>
      <c r="F492" s="5" t="s">
        <v>1966</v>
      </c>
      <c r="G492" s="5" t="s">
        <v>1963</v>
      </c>
      <c r="H492" s="6">
        <v>39448</v>
      </c>
      <c r="I492" s="5" t="s">
        <v>377</v>
      </c>
      <c r="J492" s="5" t="s">
        <v>1970</v>
      </c>
      <c r="K492" s="5" t="s">
        <v>324</v>
      </c>
      <c r="L492" s="7">
        <v>2</v>
      </c>
      <c r="M492" s="7">
        <v>3</v>
      </c>
      <c r="N492" s="8">
        <v>5358</v>
      </c>
      <c r="O492" s="88">
        <v>0</v>
      </c>
      <c r="P492" s="10">
        <f t="shared" si="145"/>
        <v>0</v>
      </c>
      <c r="Q492" s="88">
        <v>0</v>
      </c>
      <c r="R492" s="10">
        <f t="shared" si="146"/>
        <v>0</v>
      </c>
      <c r="S492" s="88">
        <f t="shared" si="147"/>
        <v>0</v>
      </c>
      <c r="T492" s="10">
        <f t="shared" si="148"/>
        <v>0</v>
      </c>
      <c r="U492" s="10">
        <f t="shared" si="149"/>
        <v>5358</v>
      </c>
      <c r="V492" s="11">
        <v>5458</v>
      </c>
      <c r="W492" s="12">
        <f t="shared" si="150"/>
        <v>100</v>
      </c>
      <c r="X492" s="92">
        <f t="shared" si="144"/>
        <v>1.8700000000000001E-2</v>
      </c>
      <c r="Y492" s="93" t="str">
        <f t="shared" si="143"/>
        <v>0.00%-0.00%</v>
      </c>
      <c r="Z492" s="15"/>
      <c r="AA492" s="15"/>
      <c r="AB492" s="15"/>
      <c r="AC492" s="95"/>
      <c r="AD492" s="8">
        <f t="shared" si="151"/>
        <v>0</v>
      </c>
      <c r="AE492" s="17">
        <f t="shared" si="152"/>
        <v>5458</v>
      </c>
      <c r="AF492" s="18">
        <f t="shared" si="153"/>
        <v>100</v>
      </c>
      <c r="AG492" s="97">
        <f t="shared" si="154"/>
        <v>1.8663680477790212E-2</v>
      </c>
      <c r="AH492" s="20">
        <v>14</v>
      </c>
      <c r="AI492" s="20">
        <v>550</v>
      </c>
      <c r="AJ492" s="20"/>
      <c r="AK492" s="20">
        <v>688</v>
      </c>
      <c r="AL492" s="20">
        <f t="shared" si="155"/>
        <v>83700</v>
      </c>
      <c r="AM492" s="7">
        <v>3</v>
      </c>
      <c r="AN492" s="20"/>
      <c r="AO492" s="21" t="s">
        <v>1972</v>
      </c>
      <c r="AP492" s="21" t="s">
        <v>90</v>
      </c>
      <c r="AQ492" s="5" t="s">
        <v>1948</v>
      </c>
      <c r="AR492" s="5" t="s">
        <v>69</v>
      </c>
      <c r="AW492" s="144" t="str">
        <f t="shared" si="156"/>
        <v>&gt;20</v>
      </c>
      <c r="AX492" s="21" t="s">
        <v>3129</v>
      </c>
      <c r="AY492" s="21" t="s">
        <v>3134</v>
      </c>
      <c r="AZ492" s="21"/>
      <c r="BA492" s="21"/>
    </row>
    <row r="493" spans="1:53" ht="20" customHeight="1">
      <c r="A493" s="86" t="s">
        <v>318</v>
      </c>
      <c r="B493" s="372" t="s">
        <v>2823</v>
      </c>
      <c r="C493" s="5" t="s">
        <v>51</v>
      </c>
      <c r="D493" s="5" t="s">
        <v>52</v>
      </c>
      <c r="E493" s="5" t="s">
        <v>2001</v>
      </c>
      <c r="F493" s="5" t="s">
        <v>1973</v>
      </c>
      <c r="G493" s="5" t="s">
        <v>1952</v>
      </c>
      <c r="H493" s="6">
        <v>39450</v>
      </c>
      <c r="I493" s="5" t="s">
        <v>85</v>
      </c>
      <c r="J493" s="5" t="s">
        <v>85</v>
      </c>
      <c r="K493" s="5" t="s">
        <v>76</v>
      </c>
      <c r="L493" s="7">
        <v>2</v>
      </c>
      <c r="M493" s="7">
        <v>3</v>
      </c>
      <c r="N493" s="8">
        <v>19090</v>
      </c>
      <c r="O493" s="88">
        <v>2.5000000000000001E-2</v>
      </c>
      <c r="P493" s="10">
        <f t="shared" si="145"/>
        <v>477</v>
      </c>
      <c r="Q493" s="88">
        <v>0</v>
      </c>
      <c r="R493" s="10">
        <f t="shared" si="146"/>
        <v>0</v>
      </c>
      <c r="S493" s="88">
        <f t="shared" si="147"/>
        <v>2.4986904138292299E-2</v>
      </c>
      <c r="T493" s="10">
        <f t="shared" si="148"/>
        <v>477</v>
      </c>
      <c r="U493" s="10">
        <f t="shared" si="149"/>
        <v>19567</v>
      </c>
      <c r="V493" s="11">
        <f t="shared" si="142"/>
        <v>19567</v>
      </c>
      <c r="W493" s="12">
        <f t="shared" si="150"/>
        <v>477</v>
      </c>
      <c r="X493" s="92">
        <f t="shared" si="144"/>
        <v>2.5000000000000001E-2</v>
      </c>
      <c r="Y493" s="93" t="str">
        <f t="shared" si="143"/>
        <v>2.00%-3.00%</v>
      </c>
      <c r="Z493" s="15"/>
      <c r="AA493" s="15"/>
      <c r="AB493" s="15"/>
      <c r="AC493" s="95"/>
      <c r="AD493" s="8">
        <f t="shared" si="151"/>
        <v>0</v>
      </c>
      <c r="AE493" s="17">
        <f t="shared" si="152"/>
        <v>19567</v>
      </c>
      <c r="AF493" s="18">
        <f t="shared" si="153"/>
        <v>477</v>
      </c>
      <c r="AG493" s="97">
        <f t="shared" si="154"/>
        <v>2.498690413829241E-2</v>
      </c>
      <c r="AH493" s="20">
        <v>14</v>
      </c>
      <c r="AI493" s="20">
        <v>450</v>
      </c>
      <c r="AJ493" s="20"/>
      <c r="AK493" s="20">
        <v>688</v>
      </c>
      <c r="AL493" s="20">
        <f t="shared" si="155"/>
        <v>280026</v>
      </c>
      <c r="AM493" s="7">
        <v>3</v>
      </c>
      <c r="AN493" s="20"/>
      <c r="AO493" s="21"/>
      <c r="AP493" s="21"/>
      <c r="AQ493" s="5" t="s">
        <v>1948</v>
      </c>
      <c r="AR493" s="5" t="s">
        <v>69</v>
      </c>
      <c r="AW493" s="144" t="str">
        <f t="shared" si="156"/>
        <v>OK</v>
      </c>
      <c r="AX493" s="21" t="s">
        <v>3129</v>
      </c>
      <c r="AY493" s="21" t="s">
        <v>3130</v>
      </c>
      <c r="AZ493" s="21"/>
      <c r="BA493" s="21"/>
    </row>
    <row r="494" spans="1:53" ht="20" customHeight="1">
      <c r="A494" s="86" t="s">
        <v>318</v>
      </c>
      <c r="B494" s="372" t="s">
        <v>2824</v>
      </c>
      <c r="C494" s="5" t="s">
        <v>51</v>
      </c>
      <c r="D494" s="5" t="s">
        <v>52</v>
      </c>
      <c r="E494" s="5" t="s">
        <v>2001</v>
      </c>
      <c r="F494" s="5" t="s">
        <v>1959</v>
      </c>
      <c r="G494" s="5" t="s">
        <v>1960</v>
      </c>
      <c r="H494" s="6">
        <v>39511</v>
      </c>
      <c r="I494" s="5" t="s">
        <v>85</v>
      </c>
      <c r="J494" s="5" t="s">
        <v>85</v>
      </c>
      <c r="K494" s="5" t="s">
        <v>76</v>
      </c>
      <c r="L494" s="7">
        <v>2</v>
      </c>
      <c r="M494" s="7">
        <v>5</v>
      </c>
      <c r="N494" s="8">
        <v>17806</v>
      </c>
      <c r="O494" s="88">
        <v>0.05</v>
      </c>
      <c r="P494" s="10">
        <f t="shared" si="145"/>
        <v>890</v>
      </c>
      <c r="Q494" s="88">
        <v>0</v>
      </c>
      <c r="R494" s="10">
        <f t="shared" si="146"/>
        <v>0</v>
      </c>
      <c r="S494" s="88">
        <f t="shared" si="147"/>
        <v>4.998315174660227E-2</v>
      </c>
      <c r="T494" s="10">
        <f t="shared" si="148"/>
        <v>890</v>
      </c>
      <c r="U494" s="10">
        <f t="shared" si="149"/>
        <v>18696</v>
      </c>
      <c r="V494" s="11">
        <f t="shared" si="142"/>
        <v>18696</v>
      </c>
      <c r="W494" s="12">
        <f t="shared" si="150"/>
        <v>890</v>
      </c>
      <c r="X494" s="92">
        <f t="shared" si="144"/>
        <v>0.05</v>
      </c>
      <c r="Y494" s="93" t="str">
        <f t="shared" si="143"/>
        <v>4.00%-6.00%</v>
      </c>
      <c r="Z494" s="15"/>
      <c r="AA494" s="15"/>
      <c r="AB494" s="15"/>
      <c r="AC494" s="95"/>
      <c r="AD494" s="8">
        <f t="shared" si="151"/>
        <v>0</v>
      </c>
      <c r="AE494" s="17">
        <f t="shared" si="152"/>
        <v>18696</v>
      </c>
      <c r="AF494" s="18">
        <f t="shared" si="153"/>
        <v>890</v>
      </c>
      <c r="AG494" s="97">
        <f t="shared" si="154"/>
        <v>4.9983151746602283E-2</v>
      </c>
      <c r="AH494" s="20">
        <v>14</v>
      </c>
      <c r="AI494" s="20">
        <v>450</v>
      </c>
      <c r="AJ494" s="20"/>
      <c r="AK494" s="20">
        <v>688</v>
      </c>
      <c r="AL494" s="20">
        <f t="shared" si="155"/>
        <v>267832</v>
      </c>
      <c r="AM494" s="7">
        <v>3</v>
      </c>
      <c r="AN494" s="20"/>
      <c r="AO494" s="21"/>
      <c r="AP494" s="21"/>
      <c r="AQ494" s="5" t="s">
        <v>1948</v>
      </c>
      <c r="AR494" s="5" t="s">
        <v>69</v>
      </c>
      <c r="AW494" s="144" t="str">
        <f t="shared" si="156"/>
        <v>OK</v>
      </c>
      <c r="AX494" s="21" t="s">
        <v>3129</v>
      </c>
      <c r="AY494" s="21" t="s">
        <v>3130</v>
      </c>
      <c r="AZ494" s="21"/>
      <c r="BA494" s="21"/>
    </row>
    <row r="495" spans="1:53" ht="20" customHeight="1">
      <c r="A495" s="86" t="s">
        <v>318</v>
      </c>
      <c r="B495" s="372" t="s">
        <v>2825</v>
      </c>
      <c r="C495" s="5" t="s">
        <v>51</v>
      </c>
      <c r="D495" s="5" t="s">
        <v>52</v>
      </c>
      <c r="E495" s="5" t="s">
        <v>2001</v>
      </c>
      <c r="F495" s="5" t="s">
        <v>1971</v>
      </c>
      <c r="G495" s="5" t="s">
        <v>1957</v>
      </c>
      <c r="H495" s="6">
        <v>39525</v>
      </c>
      <c r="I495" s="5" t="s">
        <v>377</v>
      </c>
      <c r="J495" s="5" t="s">
        <v>377</v>
      </c>
      <c r="K495" s="5" t="s">
        <v>324</v>
      </c>
      <c r="L495" s="7">
        <v>2</v>
      </c>
      <c r="M495" s="7">
        <v>3</v>
      </c>
      <c r="N495" s="8">
        <v>6639</v>
      </c>
      <c r="O495" s="88">
        <v>0</v>
      </c>
      <c r="P495" s="10">
        <f t="shared" si="145"/>
        <v>0</v>
      </c>
      <c r="Q495" s="88">
        <v>0</v>
      </c>
      <c r="R495" s="10">
        <f t="shared" si="146"/>
        <v>0</v>
      </c>
      <c r="S495" s="88">
        <f t="shared" si="147"/>
        <v>0</v>
      </c>
      <c r="T495" s="10">
        <f t="shared" si="148"/>
        <v>0</v>
      </c>
      <c r="U495" s="10">
        <f t="shared" si="149"/>
        <v>6639</v>
      </c>
      <c r="V495" s="11">
        <f t="shared" si="142"/>
        <v>6639</v>
      </c>
      <c r="W495" s="12">
        <f t="shared" si="150"/>
        <v>0</v>
      </c>
      <c r="X495" s="92">
        <f t="shared" si="144"/>
        <v>0</v>
      </c>
      <c r="Y495" s="93" t="str">
        <f t="shared" si="143"/>
        <v>0.00%-0.00%</v>
      </c>
      <c r="Z495" s="15"/>
      <c r="AA495" s="15"/>
      <c r="AB495" s="15"/>
      <c r="AC495" s="95"/>
      <c r="AD495" s="8">
        <f t="shared" si="151"/>
        <v>0</v>
      </c>
      <c r="AE495" s="17">
        <f t="shared" si="152"/>
        <v>6639</v>
      </c>
      <c r="AF495" s="18">
        <f t="shared" si="153"/>
        <v>0</v>
      </c>
      <c r="AG495" s="97">
        <f t="shared" si="154"/>
        <v>0</v>
      </c>
      <c r="AH495" s="20">
        <v>14</v>
      </c>
      <c r="AI495" s="20">
        <v>450</v>
      </c>
      <c r="AJ495" s="20"/>
      <c r="AK495" s="20">
        <v>688</v>
      </c>
      <c r="AL495" s="20">
        <f t="shared" si="155"/>
        <v>99034</v>
      </c>
      <c r="AM495" s="7">
        <v>3</v>
      </c>
      <c r="AN495" s="20"/>
      <c r="AO495" s="21"/>
      <c r="AP495" s="21"/>
      <c r="AQ495" s="5" t="s">
        <v>1948</v>
      </c>
      <c r="AR495" s="5" t="s">
        <v>69</v>
      </c>
      <c r="AW495" s="144" t="str">
        <f t="shared" si="156"/>
        <v>OK</v>
      </c>
      <c r="AX495" s="21" t="s">
        <v>3129</v>
      </c>
      <c r="AY495" s="21" t="s">
        <v>3134</v>
      </c>
      <c r="AZ495" s="21"/>
      <c r="BA495" s="21"/>
    </row>
    <row r="496" spans="1:53" ht="20" customHeight="1">
      <c r="A496" s="86" t="s">
        <v>318</v>
      </c>
      <c r="B496" s="372" t="s">
        <v>2826</v>
      </c>
      <c r="C496" s="5" t="s">
        <v>51</v>
      </c>
      <c r="D496" s="5" t="s">
        <v>52</v>
      </c>
      <c r="E496" s="5" t="s">
        <v>2001</v>
      </c>
      <c r="F496" s="5" t="s">
        <v>1974</v>
      </c>
      <c r="G496" s="5" t="s">
        <v>1963</v>
      </c>
      <c r="H496" s="6">
        <v>39560</v>
      </c>
      <c r="I496" s="5" t="s">
        <v>198</v>
      </c>
      <c r="J496" s="5" t="s">
        <v>1975</v>
      </c>
      <c r="K496" s="5" t="s">
        <v>199</v>
      </c>
      <c r="L496" s="7">
        <v>2</v>
      </c>
      <c r="M496" s="7">
        <v>3</v>
      </c>
      <c r="N496" s="8">
        <v>26500</v>
      </c>
      <c r="O496" s="88">
        <v>0.03</v>
      </c>
      <c r="P496" s="10">
        <f t="shared" si="145"/>
        <v>795</v>
      </c>
      <c r="Q496" s="88">
        <v>0</v>
      </c>
      <c r="R496" s="10">
        <f t="shared" si="146"/>
        <v>0</v>
      </c>
      <c r="S496" s="88">
        <f t="shared" si="147"/>
        <v>0.03</v>
      </c>
      <c r="T496" s="10">
        <f t="shared" si="148"/>
        <v>795</v>
      </c>
      <c r="U496" s="10">
        <f t="shared" si="149"/>
        <v>27295</v>
      </c>
      <c r="V496" s="11">
        <f t="shared" si="142"/>
        <v>27295</v>
      </c>
      <c r="W496" s="12">
        <f t="shared" si="150"/>
        <v>795</v>
      </c>
      <c r="X496" s="92">
        <f t="shared" si="144"/>
        <v>0.03</v>
      </c>
      <c r="Y496" s="93" t="str">
        <f t="shared" si="143"/>
        <v>2.40%-3.60%</v>
      </c>
      <c r="Z496" s="15"/>
      <c r="AA496" s="15"/>
      <c r="AB496" s="15"/>
      <c r="AC496" s="95"/>
      <c r="AD496" s="8">
        <f t="shared" si="151"/>
        <v>0</v>
      </c>
      <c r="AE496" s="17">
        <f t="shared" si="152"/>
        <v>27295</v>
      </c>
      <c r="AF496" s="18">
        <f t="shared" si="153"/>
        <v>795</v>
      </c>
      <c r="AG496" s="97">
        <f t="shared" si="154"/>
        <v>3.0000000000000027E-2</v>
      </c>
      <c r="AH496" s="20">
        <v>14</v>
      </c>
      <c r="AI496" s="20">
        <v>450</v>
      </c>
      <c r="AJ496" s="20">
        <v>1000</v>
      </c>
      <c r="AK496" s="20">
        <v>688</v>
      </c>
      <c r="AL496" s="20">
        <f t="shared" si="155"/>
        <v>400218</v>
      </c>
      <c r="AM496" s="7">
        <v>5</v>
      </c>
      <c r="AN496" s="20"/>
      <c r="AO496" s="21"/>
      <c r="AP496" s="21"/>
      <c r="AQ496" s="5" t="s">
        <v>1948</v>
      </c>
      <c r="AR496" s="5" t="s">
        <v>69</v>
      </c>
      <c r="AW496" s="144" t="str">
        <f t="shared" si="156"/>
        <v>OK</v>
      </c>
      <c r="AX496" s="21" t="s">
        <v>3129</v>
      </c>
      <c r="AY496" s="21" t="s">
        <v>3132</v>
      </c>
      <c r="AZ496" s="21"/>
      <c r="BA496" s="21"/>
    </row>
    <row r="497" spans="1:53" ht="20" customHeight="1">
      <c r="A497" s="86" t="s">
        <v>318</v>
      </c>
      <c r="B497" s="372" t="s">
        <v>2827</v>
      </c>
      <c r="C497" s="5" t="s">
        <v>51</v>
      </c>
      <c r="D497" s="5" t="s">
        <v>52</v>
      </c>
      <c r="E497" s="5" t="s">
        <v>2001</v>
      </c>
      <c r="F497" s="5" t="s">
        <v>1976</v>
      </c>
      <c r="G497" s="5" t="s">
        <v>1963</v>
      </c>
      <c r="H497" s="6">
        <v>39560</v>
      </c>
      <c r="I497" s="5" t="s">
        <v>74</v>
      </c>
      <c r="J497" s="5" t="s">
        <v>1446</v>
      </c>
      <c r="K497" s="5" t="s">
        <v>76</v>
      </c>
      <c r="L497" s="7">
        <v>2</v>
      </c>
      <c r="M497" s="7">
        <v>3</v>
      </c>
      <c r="N497" s="8">
        <v>19043</v>
      </c>
      <c r="O497" s="88">
        <v>0</v>
      </c>
      <c r="P497" s="10">
        <f t="shared" si="145"/>
        <v>0</v>
      </c>
      <c r="Q497" s="88">
        <v>0</v>
      </c>
      <c r="R497" s="10">
        <f t="shared" si="146"/>
        <v>0</v>
      </c>
      <c r="S497" s="88">
        <f t="shared" si="147"/>
        <v>0</v>
      </c>
      <c r="T497" s="10">
        <f t="shared" si="148"/>
        <v>0</v>
      </c>
      <c r="U497" s="10">
        <f t="shared" si="149"/>
        <v>19043</v>
      </c>
      <c r="V497" s="11">
        <f t="shared" ref="V497:V500" si="157">U497</f>
        <v>19043</v>
      </c>
      <c r="W497" s="12">
        <f t="shared" si="150"/>
        <v>0</v>
      </c>
      <c r="X497" s="92">
        <f t="shared" si="144"/>
        <v>0</v>
      </c>
      <c r="Y497" s="93" t="str">
        <f t="shared" si="143"/>
        <v>0.00%-0.00%</v>
      </c>
      <c r="Z497" s="15"/>
      <c r="AA497" s="15"/>
      <c r="AB497" s="15"/>
      <c r="AC497" s="95"/>
      <c r="AD497" s="8">
        <f t="shared" si="151"/>
        <v>0</v>
      </c>
      <c r="AE497" s="17">
        <f t="shared" si="152"/>
        <v>19043</v>
      </c>
      <c r="AF497" s="18">
        <f t="shared" si="153"/>
        <v>0</v>
      </c>
      <c r="AG497" s="97">
        <f t="shared" si="154"/>
        <v>0</v>
      </c>
      <c r="AH497" s="20">
        <v>14</v>
      </c>
      <c r="AI497" s="20">
        <v>450</v>
      </c>
      <c r="AJ497" s="20"/>
      <c r="AK497" s="20">
        <v>688</v>
      </c>
      <c r="AL497" s="20">
        <f t="shared" si="155"/>
        <v>272690</v>
      </c>
      <c r="AM497" s="7">
        <v>5</v>
      </c>
      <c r="AN497" s="20"/>
      <c r="AO497" s="21"/>
      <c r="AP497" s="21"/>
      <c r="AQ497" s="5" t="s">
        <v>1948</v>
      </c>
      <c r="AR497" s="5" t="s">
        <v>69</v>
      </c>
      <c r="AW497" s="144" t="str">
        <f t="shared" si="156"/>
        <v>OK</v>
      </c>
      <c r="AX497" s="21" t="s">
        <v>3129</v>
      </c>
      <c r="AY497" s="21" t="s">
        <v>3134</v>
      </c>
      <c r="AZ497" s="21"/>
      <c r="BA497" s="21"/>
    </row>
    <row r="498" spans="1:53" ht="20" customHeight="1">
      <c r="A498" s="86" t="s">
        <v>318</v>
      </c>
      <c r="B498" s="372" t="s">
        <v>2828</v>
      </c>
      <c r="C498" s="5" t="s">
        <v>51</v>
      </c>
      <c r="D498" s="5" t="s">
        <v>52</v>
      </c>
      <c r="E498" s="5" t="s">
        <v>2001</v>
      </c>
      <c r="F498" s="5" t="s">
        <v>1977</v>
      </c>
      <c r="G498" s="5" t="s">
        <v>1952</v>
      </c>
      <c r="H498" s="6">
        <v>39574</v>
      </c>
      <c r="I498" s="5" t="s">
        <v>73</v>
      </c>
      <c r="J498" s="5" t="s">
        <v>73</v>
      </c>
      <c r="K498" s="5" t="s">
        <v>61</v>
      </c>
      <c r="L498" s="7">
        <v>2</v>
      </c>
      <c r="M498" s="7">
        <v>2</v>
      </c>
      <c r="N498" s="8">
        <v>25535</v>
      </c>
      <c r="O498" s="88">
        <v>0</v>
      </c>
      <c r="P498" s="10">
        <f t="shared" si="145"/>
        <v>0</v>
      </c>
      <c r="Q498" s="88">
        <v>0</v>
      </c>
      <c r="R498" s="10">
        <f t="shared" si="146"/>
        <v>0</v>
      </c>
      <c r="S498" s="88">
        <f t="shared" si="147"/>
        <v>0</v>
      </c>
      <c r="T498" s="10">
        <f t="shared" si="148"/>
        <v>0</v>
      </c>
      <c r="U498" s="10">
        <f t="shared" si="149"/>
        <v>25535</v>
      </c>
      <c r="V498" s="11">
        <f t="shared" si="157"/>
        <v>25535</v>
      </c>
      <c r="W498" s="12">
        <f t="shared" si="150"/>
        <v>0</v>
      </c>
      <c r="X498" s="92">
        <f t="shared" si="144"/>
        <v>0</v>
      </c>
      <c r="Y498" s="93" t="str">
        <f t="shared" si="143"/>
        <v>0.00%-0.00%</v>
      </c>
      <c r="Z498" s="15"/>
      <c r="AA498" s="15"/>
      <c r="AB498" s="15"/>
      <c r="AC498" s="95"/>
      <c r="AD498" s="8">
        <f t="shared" si="151"/>
        <v>0</v>
      </c>
      <c r="AE498" s="17">
        <f t="shared" si="152"/>
        <v>25535</v>
      </c>
      <c r="AF498" s="18">
        <f t="shared" si="153"/>
        <v>0</v>
      </c>
      <c r="AG498" s="97">
        <f t="shared" si="154"/>
        <v>0</v>
      </c>
      <c r="AH498" s="20">
        <v>14</v>
      </c>
      <c r="AI498" s="20">
        <v>450</v>
      </c>
      <c r="AJ498" s="20"/>
      <c r="AK498" s="20">
        <v>688</v>
      </c>
      <c r="AL498" s="20">
        <f t="shared" si="155"/>
        <v>363578</v>
      </c>
      <c r="AM498" s="7">
        <v>3</v>
      </c>
      <c r="AN498" s="20"/>
      <c r="AO498" s="21"/>
      <c r="AP498" s="21"/>
      <c r="AQ498" s="5" t="s">
        <v>1948</v>
      </c>
      <c r="AR498" s="5" t="s">
        <v>69</v>
      </c>
      <c r="AW498" s="144" t="str">
        <f t="shared" si="156"/>
        <v>OK</v>
      </c>
      <c r="AX498" s="21" t="s">
        <v>3129</v>
      </c>
      <c r="AY498" s="21">
        <v>0</v>
      </c>
      <c r="AZ498" s="21"/>
      <c r="BA498" s="21"/>
    </row>
    <row r="499" spans="1:53" ht="20" customHeight="1">
      <c r="A499" s="86" t="s">
        <v>318</v>
      </c>
      <c r="B499" s="372" t="s">
        <v>2829</v>
      </c>
      <c r="C499" s="5" t="s">
        <v>51</v>
      </c>
      <c r="D499" s="5" t="s">
        <v>52</v>
      </c>
      <c r="E499" s="5" t="s">
        <v>2001</v>
      </c>
      <c r="F499" s="5" t="s">
        <v>1971</v>
      </c>
      <c r="G499" s="5" t="s">
        <v>1957</v>
      </c>
      <c r="H499" s="6">
        <v>39616</v>
      </c>
      <c r="I499" s="5" t="s">
        <v>373</v>
      </c>
      <c r="J499" s="5" t="s">
        <v>373</v>
      </c>
      <c r="K499" s="5" t="s">
        <v>175</v>
      </c>
      <c r="L499" s="7">
        <v>2</v>
      </c>
      <c r="M499" s="7">
        <v>3</v>
      </c>
      <c r="N499" s="8">
        <v>7498</v>
      </c>
      <c r="O499" s="88">
        <v>0.03</v>
      </c>
      <c r="P499" s="10">
        <f t="shared" si="145"/>
        <v>225</v>
      </c>
      <c r="Q499" s="88">
        <v>0</v>
      </c>
      <c r="R499" s="10">
        <f t="shared" si="146"/>
        <v>0</v>
      </c>
      <c r="S499" s="88">
        <f t="shared" si="147"/>
        <v>3.0008002133902374E-2</v>
      </c>
      <c r="T499" s="10">
        <f t="shared" si="148"/>
        <v>225</v>
      </c>
      <c r="U499" s="10">
        <f t="shared" si="149"/>
        <v>7723</v>
      </c>
      <c r="V499" s="11">
        <v>7760</v>
      </c>
      <c r="W499" s="12">
        <f t="shared" si="150"/>
        <v>262</v>
      </c>
      <c r="X499" s="92">
        <f t="shared" si="144"/>
        <v>3.49E-2</v>
      </c>
      <c r="Y499" s="93" t="str">
        <f t="shared" si="143"/>
        <v>2.40%-3.60%</v>
      </c>
      <c r="Z499" s="15"/>
      <c r="AA499" s="15"/>
      <c r="AB499" s="15"/>
      <c r="AC499" s="95"/>
      <c r="AD499" s="8">
        <f t="shared" si="151"/>
        <v>0</v>
      </c>
      <c r="AE499" s="17">
        <f t="shared" si="152"/>
        <v>7760</v>
      </c>
      <c r="AF499" s="18">
        <f t="shared" si="153"/>
        <v>262</v>
      </c>
      <c r="AG499" s="97">
        <f t="shared" si="154"/>
        <v>3.4942651373699674E-2</v>
      </c>
      <c r="AH499" s="20">
        <v>14</v>
      </c>
      <c r="AI499" s="20">
        <v>450</v>
      </c>
      <c r="AJ499" s="20"/>
      <c r="AK499" s="20">
        <v>688</v>
      </c>
      <c r="AL499" s="20">
        <f t="shared" si="155"/>
        <v>114728</v>
      </c>
      <c r="AM499" s="7">
        <v>4</v>
      </c>
      <c r="AN499" s="20"/>
      <c r="AO499" s="21"/>
      <c r="AP499" s="21" t="s">
        <v>1958</v>
      </c>
      <c r="AQ499" s="5" t="s">
        <v>1948</v>
      </c>
      <c r="AR499" s="5" t="s">
        <v>69</v>
      </c>
      <c r="AW499" s="144" t="str">
        <f t="shared" si="156"/>
        <v>OK</v>
      </c>
      <c r="AX499" s="21" t="s">
        <v>3129</v>
      </c>
      <c r="AY499" s="21" t="s">
        <v>3132</v>
      </c>
      <c r="AZ499" s="21"/>
      <c r="BA499" s="21"/>
    </row>
    <row r="500" spans="1:53" ht="20" customHeight="1">
      <c r="A500" s="86" t="s">
        <v>318</v>
      </c>
      <c r="B500" s="372" t="s">
        <v>2830</v>
      </c>
      <c r="C500" s="5" t="s">
        <v>51</v>
      </c>
      <c r="D500" s="5" t="s">
        <v>52</v>
      </c>
      <c r="E500" s="5" t="s">
        <v>2001</v>
      </c>
      <c r="F500" s="5" t="s">
        <v>1973</v>
      </c>
      <c r="G500" s="5" t="s">
        <v>1952</v>
      </c>
      <c r="H500" s="6">
        <v>39665</v>
      </c>
      <c r="I500" s="5" t="s">
        <v>73</v>
      </c>
      <c r="J500" s="5" t="s">
        <v>73</v>
      </c>
      <c r="K500" s="5" t="s">
        <v>61</v>
      </c>
      <c r="L500" s="7">
        <v>2</v>
      </c>
      <c r="M500" s="7">
        <v>4</v>
      </c>
      <c r="N500" s="8">
        <v>19706</v>
      </c>
      <c r="O500" s="88">
        <v>3.7500000000000006E-2</v>
      </c>
      <c r="P500" s="10">
        <f t="shared" si="145"/>
        <v>739</v>
      </c>
      <c r="Q500" s="88">
        <v>0</v>
      </c>
      <c r="R500" s="10">
        <f t="shared" si="146"/>
        <v>0</v>
      </c>
      <c r="S500" s="88">
        <f t="shared" si="147"/>
        <v>3.750126864914239E-2</v>
      </c>
      <c r="T500" s="10">
        <f t="shared" si="148"/>
        <v>739</v>
      </c>
      <c r="U500" s="10">
        <f t="shared" si="149"/>
        <v>20445</v>
      </c>
      <c r="V500" s="11">
        <f t="shared" si="157"/>
        <v>20445</v>
      </c>
      <c r="W500" s="12">
        <f t="shared" si="150"/>
        <v>739</v>
      </c>
      <c r="X500" s="92">
        <f t="shared" si="144"/>
        <v>3.7499999999999999E-2</v>
      </c>
      <c r="Y500" s="93" t="str">
        <f t="shared" ref="Y500:Y557" si="158">IF(OR(L500=1,L500=2,L500=4),TEXT(S500*0.8,"0.00%")&amp;"-"&amp;TEXT(S500*1.2,"0.00%"),IF(OR(L500=3,L500=6),TEXT(0,"0.00%")&amp;"-"&amp;TEXT(7%*1.2,"0.00%"),IF(OR(L500=5,L500=7),TEXT((R500/N500),"0.00%")&amp;"-"&amp;TEXT((R500/N500)+7%,"0.00%"),"")))</f>
        <v>3.00%-4.50%</v>
      </c>
      <c r="Z500" s="15"/>
      <c r="AA500" s="15"/>
      <c r="AB500" s="15"/>
      <c r="AC500" s="95"/>
      <c r="AD500" s="8">
        <f t="shared" si="151"/>
        <v>0</v>
      </c>
      <c r="AE500" s="17">
        <f t="shared" si="152"/>
        <v>20445</v>
      </c>
      <c r="AF500" s="18">
        <f t="shared" si="153"/>
        <v>739</v>
      </c>
      <c r="AG500" s="97">
        <f t="shared" si="154"/>
        <v>3.7501268649142494E-2</v>
      </c>
      <c r="AH500" s="20">
        <v>14</v>
      </c>
      <c r="AI500" s="20">
        <v>450</v>
      </c>
      <c r="AJ500" s="20"/>
      <c r="AK500" s="20">
        <v>688</v>
      </c>
      <c r="AL500" s="20">
        <f t="shared" si="155"/>
        <v>292318</v>
      </c>
      <c r="AM500" s="7">
        <v>4</v>
      </c>
      <c r="AN500" s="20"/>
      <c r="AO500" s="21"/>
      <c r="AP500" s="21"/>
      <c r="AQ500" s="5" t="s">
        <v>1948</v>
      </c>
      <c r="AR500" s="5" t="s">
        <v>69</v>
      </c>
      <c r="AW500" s="144" t="str">
        <f t="shared" si="156"/>
        <v>OK</v>
      </c>
      <c r="AX500" s="21" t="s">
        <v>3129</v>
      </c>
      <c r="AY500" s="21" t="s">
        <v>3130</v>
      </c>
      <c r="AZ500" s="21"/>
      <c r="BA500" s="21"/>
    </row>
    <row r="501" spans="1:53" ht="20" customHeight="1">
      <c r="A501" s="86" t="s">
        <v>318</v>
      </c>
      <c r="B501" s="372" t="s">
        <v>2831</v>
      </c>
      <c r="C501" s="5" t="s">
        <v>51</v>
      </c>
      <c r="D501" s="5" t="s">
        <v>52</v>
      </c>
      <c r="E501" s="5" t="s">
        <v>2001</v>
      </c>
      <c r="F501" s="5" t="s">
        <v>1968</v>
      </c>
      <c r="G501" s="5" t="s">
        <v>1969</v>
      </c>
      <c r="H501" s="6">
        <v>40001</v>
      </c>
      <c r="I501" s="5" t="s">
        <v>60</v>
      </c>
      <c r="J501" s="5" t="s">
        <v>60</v>
      </c>
      <c r="K501" s="5" t="s">
        <v>61</v>
      </c>
      <c r="L501" s="7">
        <v>2</v>
      </c>
      <c r="M501" s="7">
        <v>3</v>
      </c>
      <c r="N501" s="8">
        <v>13738</v>
      </c>
      <c r="O501" s="88">
        <v>0.03</v>
      </c>
      <c r="P501" s="10">
        <f t="shared" si="145"/>
        <v>412</v>
      </c>
      <c r="Q501" s="88">
        <v>0</v>
      </c>
      <c r="R501" s="10">
        <f t="shared" si="146"/>
        <v>0</v>
      </c>
      <c r="S501" s="88">
        <f t="shared" si="147"/>
        <v>2.9989809288105983E-2</v>
      </c>
      <c r="T501" s="10">
        <f t="shared" si="148"/>
        <v>412</v>
      </c>
      <c r="U501" s="10">
        <f t="shared" si="149"/>
        <v>14150</v>
      </c>
      <c r="V501" s="11">
        <v>14080</v>
      </c>
      <c r="W501" s="12">
        <f t="shared" si="150"/>
        <v>342</v>
      </c>
      <c r="X501" s="92">
        <f t="shared" si="144"/>
        <v>2.4899999999999999E-2</v>
      </c>
      <c r="Y501" s="93" t="str">
        <f t="shared" si="158"/>
        <v>2.40%-3.60%</v>
      </c>
      <c r="Z501" s="15"/>
      <c r="AA501" s="15"/>
      <c r="AB501" s="15"/>
      <c r="AC501" s="95"/>
      <c r="AD501" s="8">
        <f t="shared" si="151"/>
        <v>0</v>
      </c>
      <c r="AE501" s="17">
        <f t="shared" si="152"/>
        <v>14080</v>
      </c>
      <c r="AF501" s="18">
        <f t="shared" si="153"/>
        <v>342</v>
      </c>
      <c r="AG501" s="97">
        <f t="shared" si="154"/>
        <v>2.4894453341097744E-2</v>
      </c>
      <c r="AH501" s="20">
        <v>14</v>
      </c>
      <c r="AI501" s="20">
        <v>450</v>
      </c>
      <c r="AJ501" s="20"/>
      <c r="AK501" s="20">
        <v>688</v>
      </c>
      <c r="AL501" s="20">
        <f t="shared" si="155"/>
        <v>203208</v>
      </c>
      <c r="AM501" s="7">
        <v>2</v>
      </c>
      <c r="AN501" s="20"/>
      <c r="AO501" s="21"/>
      <c r="AP501" s="21" t="s">
        <v>1953</v>
      </c>
      <c r="AQ501" s="5" t="s">
        <v>1948</v>
      </c>
      <c r="AR501" s="5" t="s">
        <v>69</v>
      </c>
      <c r="AW501" s="144" t="str">
        <f t="shared" si="156"/>
        <v>OK</v>
      </c>
      <c r="AX501" s="21" t="s">
        <v>3129</v>
      </c>
      <c r="AY501" s="21" t="s">
        <v>3132</v>
      </c>
      <c r="AZ501" s="21"/>
      <c r="BA501" s="21"/>
    </row>
    <row r="502" spans="1:53" ht="20" customHeight="1">
      <c r="A502" s="86" t="s">
        <v>318</v>
      </c>
      <c r="B502" s="372" t="s">
        <v>2832</v>
      </c>
      <c r="C502" s="5" t="s">
        <v>51</v>
      </c>
      <c r="D502" s="5" t="s">
        <v>52</v>
      </c>
      <c r="E502" s="5" t="s">
        <v>2001</v>
      </c>
      <c r="F502" s="5" t="s">
        <v>1962</v>
      </c>
      <c r="G502" s="5" t="s">
        <v>1963</v>
      </c>
      <c r="H502" s="6">
        <v>40269</v>
      </c>
      <c r="I502" s="5" t="s">
        <v>377</v>
      </c>
      <c r="J502" s="5" t="s">
        <v>377</v>
      </c>
      <c r="K502" s="5" t="s">
        <v>324</v>
      </c>
      <c r="L502" s="7">
        <v>2</v>
      </c>
      <c r="M502" s="7">
        <v>4</v>
      </c>
      <c r="N502" s="8">
        <v>5342</v>
      </c>
      <c r="O502" s="88">
        <v>0.03</v>
      </c>
      <c r="P502" s="10">
        <f t="shared" si="145"/>
        <v>160</v>
      </c>
      <c r="Q502" s="88">
        <v>0</v>
      </c>
      <c r="R502" s="10">
        <f t="shared" si="146"/>
        <v>0</v>
      </c>
      <c r="S502" s="88">
        <f t="shared" si="147"/>
        <v>2.9951329090228379E-2</v>
      </c>
      <c r="T502" s="10">
        <f t="shared" si="148"/>
        <v>160</v>
      </c>
      <c r="U502" s="10">
        <f t="shared" si="149"/>
        <v>5502</v>
      </c>
      <c r="V502" s="11">
        <v>6103</v>
      </c>
      <c r="W502" s="12">
        <f t="shared" si="150"/>
        <v>761</v>
      </c>
      <c r="X502" s="92">
        <f t="shared" si="144"/>
        <v>0.14249999999999999</v>
      </c>
      <c r="Y502" s="93" t="str">
        <f t="shared" si="158"/>
        <v>2.40%-3.59%</v>
      </c>
      <c r="Z502" s="15" t="s">
        <v>87</v>
      </c>
      <c r="AA502" s="15" t="s">
        <v>174</v>
      </c>
      <c r="AB502" s="15" t="s">
        <v>439</v>
      </c>
      <c r="AC502" s="95">
        <v>0.14099999999999999</v>
      </c>
      <c r="AD502" s="8">
        <f t="shared" si="151"/>
        <v>753</v>
      </c>
      <c r="AE502" s="17">
        <f t="shared" si="152"/>
        <v>6856</v>
      </c>
      <c r="AF502" s="18">
        <f t="shared" si="153"/>
        <v>1514</v>
      </c>
      <c r="AG502" s="97">
        <f t="shared" si="154"/>
        <v>0.28341445151628597</v>
      </c>
      <c r="AH502" s="20">
        <v>14</v>
      </c>
      <c r="AI502" s="20">
        <v>550</v>
      </c>
      <c r="AJ502" s="20"/>
      <c r="AK502" s="20">
        <v>688</v>
      </c>
      <c r="AL502" s="20">
        <f t="shared" si="155"/>
        <v>103272</v>
      </c>
      <c r="AM502" s="7">
        <v>3</v>
      </c>
      <c r="AN502" s="20"/>
      <c r="AO502" s="21" t="s">
        <v>1978</v>
      </c>
      <c r="AP502" s="21" t="s">
        <v>90</v>
      </c>
      <c r="AQ502" s="5" t="s">
        <v>1948</v>
      </c>
      <c r="AR502" s="5" t="s">
        <v>69</v>
      </c>
      <c r="AW502" s="144" t="str">
        <f t="shared" si="156"/>
        <v>&gt;20</v>
      </c>
      <c r="AX502" s="21" t="s">
        <v>3129</v>
      </c>
      <c r="AY502" s="21" t="s">
        <v>3136</v>
      </c>
      <c r="AZ502" s="21"/>
      <c r="BA502" s="21"/>
    </row>
    <row r="503" spans="1:53" ht="20" customHeight="1">
      <c r="A503" s="86" t="s">
        <v>318</v>
      </c>
      <c r="B503" s="372" t="s">
        <v>2833</v>
      </c>
      <c r="C503" s="5" t="s">
        <v>51</v>
      </c>
      <c r="D503" s="5" t="s">
        <v>52</v>
      </c>
      <c r="E503" s="5" t="s">
        <v>2001</v>
      </c>
      <c r="F503" s="5" t="s">
        <v>1949</v>
      </c>
      <c r="G503" s="5" t="s">
        <v>1947</v>
      </c>
      <c r="H503" s="6">
        <v>41456</v>
      </c>
      <c r="I503" s="5" t="s">
        <v>377</v>
      </c>
      <c r="J503" s="5" t="s">
        <v>377</v>
      </c>
      <c r="K503" s="5" t="s">
        <v>324</v>
      </c>
      <c r="L503" s="7">
        <v>2</v>
      </c>
      <c r="M503" s="7">
        <v>3</v>
      </c>
      <c r="N503" s="8">
        <v>5140</v>
      </c>
      <c r="O503" s="88">
        <v>2.5000000000000001E-2</v>
      </c>
      <c r="P503" s="10">
        <f t="shared" si="145"/>
        <v>129</v>
      </c>
      <c r="Q503" s="88">
        <v>0</v>
      </c>
      <c r="R503" s="10">
        <f t="shared" si="146"/>
        <v>0</v>
      </c>
      <c r="S503" s="88">
        <f t="shared" si="147"/>
        <v>2.5097276264591441E-2</v>
      </c>
      <c r="T503" s="10">
        <f t="shared" si="148"/>
        <v>129</v>
      </c>
      <c r="U503" s="10">
        <f t="shared" si="149"/>
        <v>5269</v>
      </c>
      <c r="V503" s="11">
        <v>5285</v>
      </c>
      <c r="W503" s="12">
        <f t="shared" si="150"/>
        <v>145</v>
      </c>
      <c r="X503" s="92">
        <f t="shared" si="144"/>
        <v>2.8199999999999999E-2</v>
      </c>
      <c r="Y503" s="93" t="str">
        <f t="shared" si="158"/>
        <v>2.01%-3.01%</v>
      </c>
      <c r="Z503" s="15"/>
      <c r="AA503" s="15"/>
      <c r="AB503" s="15"/>
      <c r="AC503" s="95"/>
      <c r="AD503" s="8">
        <f t="shared" si="151"/>
        <v>0</v>
      </c>
      <c r="AE503" s="17">
        <f t="shared" si="152"/>
        <v>5285</v>
      </c>
      <c r="AF503" s="18">
        <f t="shared" si="153"/>
        <v>145</v>
      </c>
      <c r="AG503" s="97">
        <f t="shared" si="154"/>
        <v>2.821011673151741E-2</v>
      </c>
      <c r="AH503" s="20">
        <v>14</v>
      </c>
      <c r="AI503" s="20">
        <v>550</v>
      </c>
      <c r="AJ503" s="20"/>
      <c r="AK503" s="20">
        <v>688</v>
      </c>
      <c r="AL503" s="20">
        <f t="shared" si="155"/>
        <v>81278</v>
      </c>
      <c r="AM503" s="7">
        <v>3</v>
      </c>
      <c r="AN503" s="20"/>
      <c r="AO503" s="21"/>
      <c r="AP503" s="21" t="s">
        <v>1958</v>
      </c>
      <c r="AQ503" s="5" t="s">
        <v>1948</v>
      </c>
      <c r="AR503" s="5" t="s">
        <v>69</v>
      </c>
      <c r="AW503" s="144" t="str">
        <f t="shared" si="156"/>
        <v>OK</v>
      </c>
      <c r="AX503" s="21" t="s">
        <v>3135</v>
      </c>
      <c r="AY503" s="21" t="s">
        <v>3130</v>
      </c>
      <c r="AZ503" s="21"/>
      <c r="BA503" s="21"/>
    </row>
    <row r="504" spans="1:53" ht="20" customHeight="1">
      <c r="A504" s="86" t="s">
        <v>318</v>
      </c>
      <c r="B504" s="372" t="s">
        <v>2834</v>
      </c>
      <c r="C504" s="5" t="s">
        <v>51</v>
      </c>
      <c r="D504" s="5" t="s">
        <v>52</v>
      </c>
      <c r="E504" s="5" t="s">
        <v>2001</v>
      </c>
      <c r="F504" s="5" t="s">
        <v>1949</v>
      </c>
      <c r="G504" s="5" t="s">
        <v>1979</v>
      </c>
      <c r="H504" s="6">
        <v>40499</v>
      </c>
      <c r="I504" s="5" t="s">
        <v>60</v>
      </c>
      <c r="J504" s="5" t="s">
        <v>60</v>
      </c>
      <c r="K504" s="5" t="s">
        <v>61</v>
      </c>
      <c r="L504" s="7">
        <v>2</v>
      </c>
      <c r="M504" s="7">
        <v>3</v>
      </c>
      <c r="N504" s="8">
        <v>14763</v>
      </c>
      <c r="O504" s="88">
        <v>2.5000000000000001E-2</v>
      </c>
      <c r="P504" s="10">
        <f t="shared" si="145"/>
        <v>369</v>
      </c>
      <c r="Q504" s="88">
        <v>0</v>
      </c>
      <c r="R504" s="10">
        <f t="shared" si="146"/>
        <v>0</v>
      </c>
      <c r="S504" s="88">
        <f t="shared" si="147"/>
        <v>2.4994919731761836E-2</v>
      </c>
      <c r="T504" s="10">
        <f t="shared" si="148"/>
        <v>369</v>
      </c>
      <c r="U504" s="10">
        <f t="shared" si="149"/>
        <v>15132</v>
      </c>
      <c r="V504" s="11">
        <v>15060</v>
      </c>
      <c r="W504" s="12">
        <f t="shared" si="150"/>
        <v>297</v>
      </c>
      <c r="X504" s="92">
        <f t="shared" si="144"/>
        <v>2.01E-2</v>
      </c>
      <c r="Y504" s="93" t="str">
        <f t="shared" si="158"/>
        <v>2.00%-3.00%</v>
      </c>
      <c r="Z504" s="15"/>
      <c r="AA504" s="15"/>
      <c r="AB504" s="15"/>
      <c r="AC504" s="95"/>
      <c r="AD504" s="8">
        <f t="shared" si="151"/>
        <v>0</v>
      </c>
      <c r="AE504" s="17">
        <f t="shared" si="152"/>
        <v>15060</v>
      </c>
      <c r="AF504" s="18">
        <f t="shared" si="153"/>
        <v>297</v>
      </c>
      <c r="AG504" s="97">
        <f t="shared" si="154"/>
        <v>2.0117862223125282E-2</v>
      </c>
      <c r="AH504" s="20">
        <v>14</v>
      </c>
      <c r="AI504" s="20">
        <v>510</v>
      </c>
      <c r="AJ504" s="20"/>
      <c r="AK504" s="20">
        <v>688</v>
      </c>
      <c r="AL504" s="20">
        <f t="shared" si="155"/>
        <v>217648</v>
      </c>
      <c r="AM504" s="7">
        <v>3</v>
      </c>
      <c r="AN504" s="20"/>
      <c r="AO504" s="21"/>
      <c r="AP504" s="21" t="s">
        <v>1953</v>
      </c>
      <c r="AQ504" s="5" t="s">
        <v>1948</v>
      </c>
      <c r="AR504" s="5" t="s">
        <v>69</v>
      </c>
      <c r="AW504" s="144" t="str">
        <f t="shared" si="156"/>
        <v>OK</v>
      </c>
      <c r="AX504" s="21" t="s">
        <v>3135</v>
      </c>
      <c r="AY504" s="21" t="s">
        <v>3130</v>
      </c>
      <c r="AZ504" s="21"/>
      <c r="BA504" s="21"/>
    </row>
    <row r="505" spans="1:53" ht="20" customHeight="1">
      <c r="A505" s="86" t="s">
        <v>318</v>
      </c>
      <c r="B505" s="372" t="s">
        <v>2835</v>
      </c>
      <c r="C505" s="5" t="s">
        <v>51</v>
      </c>
      <c r="D505" s="5" t="s">
        <v>52</v>
      </c>
      <c r="E505" s="5" t="s">
        <v>2001</v>
      </c>
      <c r="F505" s="5" t="s">
        <v>1956</v>
      </c>
      <c r="G505" s="5" t="s">
        <v>1957</v>
      </c>
      <c r="H505" s="6">
        <v>40758</v>
      </c>
      <c r="I505" s="5" t="s">
        <v>74</v>
      </c>
      <c r="J505" s="5" t="s">
        <v>74</v>
      </c>
      <c r="K505" s="5" t="s">
        <v>76</v>
      </c>
      <c r="L505" s="7">
        <v>2</v>
      </c>
      <c r="M505" s="7">
        <v>3</v>
      </c>
      <c r="N505" s="8">
        <v>15529</v>
      </c>
      <c r="O505" s="88">
        <v>0</v>
      </c>
      <c r="P505" s="10">
        <f t="shared" si="145"/>
        <v>0</v>
      </c>
      <c r="Q505" s="88">
        <v>0</v>
      </c>
      <c r="R505" s="10">
        <f t="shared" si="146"/>
        <v>0</v>
      </c>
      <c r="S505" s="88">
        <f t="shared" si="147"/>
        <v>0</v>
      </c>
      <c r="T505" s="10">
        <f t="shared" si="148"/>
        <v>0</v>
      </c>
      <c r="U505" s="10">
        <f t="shared" si="149"/>
        <v>15529</v>
      </c>
      <c r="V505" s="11">
        <f t="shared" ref="V505:V534" si="159">U505</f>
        <v>15529</v>
      </c>
      <c r="W505" s="12">
        <f t="shared" si="150"/>
        <v>0</v>
      </c>
      <c r="X505" s="92">
        <f t="shared" si="144"/>
        <v>0</v>
      </c>
      <c r="Y505" s="93" t="str">
        <f t="shared" si="158"/>
        <v>0.00%-0.00%</v>
      </c>
      <c r="Z505" s="15"/>
      <c r="AA505" s="15"/>
      <c r="AB505" s="15"/>
      <c r="AC505" s="95"/>
      <c r="AD505" s="8">
        <f t="shared" si="151"/>
        <v>0</v>
      </c>
      <c r="AE505" s="17">
        <f t="shared" si="152"/>
        <v>15529</v>
      </c>
      <c r="AF505" s="18">
        <f t="shared" si="153"/>
        <v>0</v>
      </c>
      <c r="AG505" s="97">
        <f t="shared" si="154"/>
        <v>0</v>
      </c>
      <c r="AH505" s="20">
        <v>14</v>
      </c>
      <c r="AI505" s="20">
        <v>450</v>
      </c>
      <c r="AJ505" s="20"/>
      <c r="AK505" s="20">
        <v>688</v>
      </c>
      <c r="AL505" s="20">
        <f t="shared" si="155"/>
        <v>223494</v>
      </c>
      <c r="AM505" s="7">
        <v>3</v>
      </c>
      <c r="AN505" s="20"/>
      <c r="AO505" s="21"/>
      <c r="AP505" s="21"/>
      <c r="AQ505" s="5" t="s">
        <v>1948</v>
      </c>
      <c r="AR505" s="5" t="s">
        <v>69</v>
      </c>
      <c r="AW505" s="144" t="str">
        <f t="shared" si="156"/>
        <v>OK</v>
      </c>
      <c r="AX505" s="21" t="s">
        <v>3135</v>
      </c>
      <c r="AY505" s="21" t="s">
        <v>3134</v>
      </c>
      <c r="AZ505" s="21"/>
      <c r="BA505" s="21"/>
    </row>
    <row r="506" spans="1:53" ht="20" customHeight="1">
      <c r="A506" s="86" t="s">
        <v>318</v>
      </c>
      <c r="B506" s="372" t="s">
        <v>2836</v>
      </c>
      <c r="C506" s="5" t="s">
        <v>51</v>
      </c>
      <c r="D506" s="5" t="s">
        <v>52</v>
      </c>
      <c r="E506" s="5" t="s">
        <v>2001</v>
      </c>
      <c r="F506" s="5" t="s">
        <v>1959</v>
      </c>
      <c r="G506" s="5" t="s">
        <v>1960</v>
      </c>
      <c r="H506" s="6">
        <v>41122</v>
      </c>
      <c r="I506" s="5" t="s">
        <v>226</v>
      </c>
      <c r="J506" s="5" t="s">
        <v>226</v>
      </c>
      <c r="K506" s="5" t="s">
        <v>84</v>
      </c>
      <c r="L506" s="7">
        <v>2</v>
      </c>
      <c r="M506" s="7">
        <v>3</v>
      </c>
      <c r="N506" s="8">
        <v>11326</v>
      </c>
      <c r="O506" s="88">
        <v>2.5000000000000001E-2</v>
      </c>
      <c r="P506" s="10">
        <f t="shared" si="145"/>
        <v>283</v>
      </c>
      <c r="Q506" s="88">
        <v>0</v>
      </c>
      <c r="R506" s="10">
        <f t="shared" si="146"/>
        <v>0</v>
      </c>
      <c r="S506" s="88">
        <f t="shared" si="147"/>
        <v>2.4986756136323503E-2</v>
      </c>
      <c r="T506" s="10">
        <f t="shared" si="148"/>
        <v>283</v>
      </c>
      <c r="U506" s="10">
        <f t="shared" si="149"/>
        <v>11609</v>
      </c>
      <c r="V506" s="11">
        <f t="shared" si="159"/>
        <v>11609</v>
      </c>
      <c r="W506" s="12">
        <f t="shared" si="150"/>
        <v>283</v>
      </c>
      <c r="X506" s="92">
        <f t="shared" si="144"/>
        <v>2.5000000000000001E-2</v>
      </c>
      <c r="Y506" s="93" t="str">
        <f t="shared" si="158"/>
        <v>2.00%-3.00%</v>
      </c>
      <c r="Z506" s="15"/>
      <c r="AA506" s="15"/>
      <c r="AB506" s="15"/>
      <c r="AC506" s="95"/>
      <c r="AD506" s="8">
        <f t="shared" si="151"/>
        <v>0</v>
      </c>
      <c r="AE506" s="17">
        <f t="shared" si="152"/>
        <v>11609</v>
      </c>
      <c r="AF506" s="18">
        <f t="shared" si="153"/>
        <v>283</v>
      </c>
      <c r="AG506" s="97">
        <f t="shared" si="154"/>
        <v>2.4986756136323507E-2</v>
      </c>
      <c r="AH506" s="20">
        <v>14</v>
      </c>
      <c r="AI506" s="20">
        <v>450</v>
      </c>
      <c r="AJ506" s="20"/>
      <c r="AK506" s="20">
        <v>688</v>
      </c>
      <c r="AL506" s="20">
        <f t="shared" si="155"/>
        <v>168614</v>
      </c>
      <c r="AM506" s="7">
        <v>3</v>
      </c>
      <c r="AN506" s="20"/>
      <c r="AO506" s="21"/>
      <c r="AP506" s="21"/>
      <c r="AQ506" s="5" t="s">
        <v>1948</v>
      </c>
      <c r="AR506" s="5" t="s">
        <v>69</v>
      </c>
      <c r="AW506" s="144" t="str">
        <f t="shared" si="156"/>
        <v>OK</v>
      </c>
      <c r="AX506" s="21" t="s">
        <v>3135</v>
      </c>
      <c r="AY506" s="21" t="s">
        <v>3130</v>
      </c>
      <c r="AZ506" s="21"/>
      <c r="BA506" s="21"/>
    </row>
    <row r="507" spans="1:53" ht="20" customHeight="1">
      <c r="A507" s="86" t="s">
        <v>318</v>
      </c>
      <c r="B507" s="372" t="s">
        <v>2837</v>
      </c>
      <c r="C507" s="5" t="s">
        <v>51</v>
      </c>
      <c r="D507" s="5" t="s">
        <v>52</v>
      </c>
      <c r="E507" s="5" t="s">
        <v>2001</v>
      </c>
      <c r="F507" s="5" t="s">
        <v>1959</v>
      </c>
      <c r="G507" s="5" t="s">
        <v>1960</v>
      </c>
      <c r="H507" s="6">
        <v>41279</v>
      </c>
      <c r="I507" s="5" t="s">
        <v>85</v>
      </c>
      <c r="J507" s="5" t="s">
        <v>85</v>
      </c>
      <c r="K507" s="5" t="s">
        <v>76</v>
      </c>
      <c r="L507" s="7">
        <v>2</v>
      </c>
      <c r="M507" s="7">
        <v>3</v>
      </c>
      <c r="N507" s="8">
        <v>10152</v>
      </c>
      <c r="O507" s="88">
        <v>3.5000000000000003E-2</v>
      </c>
      <c r="P507" s="10">
        <f t="shared" si="145"/>
        <v>355</v>
      </c>
      <c r="Q507" s="88">
        <v>0</v>
      </c>
      <c r="R507" s="10">
        <f t="shared" si="146"/>
        <v>0</v>
      </c>
      <c r="S507" s="88">
        <f t="shared" si="147"/>
        <v>3.496847911741529E-2</v>
      </c>
      <c r="T507" s="10">
        <f t="shared" si="148"/>
        <v>355</v>
      </c>
      <c r="U507" s="10">
        <f t="shared" si="149"/>
        <v>10507</v>
      </c>
      <c r="V507" s="11">
        <f t="shared" si="159"/>
        <v>10507</v>
      </c>
      <c r="W507" s="12">
        <f t="shared" si="150"/>
        <v>355</v>
      </c>
      <c r="X507" s="92">
        <f t="shared" si="144"/>
        <v>3.5000000000000003E-2</v>
      </c>
      <c r="Y507" s="93" t="str">
        <f t="shared" si="158"/>
        <v>2.80%-4.20%</v>
      </c>
      <c r="Z507" s="15"/>
      <c r="AA507" s="15"/>
      <c r="AB507" s="15"/>
      <c r="AC507" s="95"/>
      <c r="AD507" s="8">
        <f t="shared" si="151"/>
        <v>0</v>
      </c>
      <c r="AE507" s="17">
        <f t="shared" si="152"/>
        <v>10507</v>
      </c>
      <c r="AF507" s="18">
        <f t="shared" si="153"/>
        <v>355</v>
      </c>
      <c r="AG507" s="97">
        <f t="shared" si="154"/>
        <v>3.4968479117415185E-2</v>
      </c>
      <c r="AH507" s="20">
        <v>14</v>
      </c>
      <c r="AI507" s="20">
        <v>450</v>
      </c>
      <c r="AJ507" s="20"/>
      <c r="AK507" s="20">
        <v>688</v>
      </c>
      <c r="AL507" s="20">
        <f t="shared" si="155"/>
        <v>153186</v>
      </c>
      <c r="AM507" s="7">
        <v>3</v>
      </c>
      <c r="AN507" s="20"/>
      <c r="AO507" s="21"/>
      <c r="AP507" s="21"/>
      <c r="AQ507" s="5" t="s">
        <v>1948</v>
      </c>
      <c r="AR507" s="5" t="s">
        <v>69</v>
      </c>
      <c r="AW507" s="144" t="str">
        <f t="shared" si="156"/>
        <v>OK</v>
      </c>
      <c r="AX507" s="21" t="s">
        <v>3135</v>
      </c>
      <c r="AY507" s="21" t="s">
        <v>3141</v>
      </c>
      <c r="AZ507" s="21"/>
      <c r="BA507" s="21"/>
    </row>
    <row r="508" spans="1:53" ht="20" customHeight="1">
      <c r="A508" s="86" t="s">
        <v>318</v>
      </c>
      <c r="B508" s="372" t="s">
        <v>2838</v>
      </c>
      <c r="C508" s="5" t="s">
        <v>51</v>
      </c>
      <c r="D508" s="5" t="s">
        <v>52</v>
      </c>
      <c r="E508" s="5" t="s">
        <v>2001</v>
      </c>
      <c r="F508" s="5" t="s">
        <v>1971</v>
      </c>
      <c r="G508" s="5" t="s">
        <v>1957</v>
      </c>
      <c r="H508" s="6">
        <v>41347</v>
      </c>
      <c r="I508" s="5" t="s">
        <v>377</v>
      </c>
      <c r="J508" s="5" t="s">
        <v>377</v>
      </c>
      <c r="K508" s="5" t="s">
        <v>175</v>
      </c>
      <c r="L508" s="7">
        <v>2</v>
      </c>
      <c r="M508" s="7">
        <v>4</v>
      </c>
      <c r="N508" s="8">
        <v>8111</v>
      </c>
      <c r="O508" s="88">
        <v>4.4999999999999998E-2</v>
      </c>
      <c r="P508" s="10">
        <f t="shared" si="145"/>
        <v>365</v>
      </c>
      <c r="Q508" s="88">
        <v>1.55E-2</v>
      </c>
      <c r="R508" s="10">
        <f t="shared" si="146"/>
        <v>126</v>
      </c>
      <c r="S508" s="88">
        <f t="shared" si="147"/>
        <v>6.0535075822956481E-2</v>
      </c>
      <c r="T508" s="10">
        <f t="shared" si="148"/>
        <v>491</v>
      </c>
      <c r="U508" s="10">
        <f t="shared" si="149"/>
        <v>8602</v>
      </c>
      <c r="V508" s="11">
        <v>8510</v>
      </c>
      <c r="W508" s="12">
        <f t="shared" si="150"/>
        <v>399</v>
      </c>
      <c r="X508" s="92">
        <f t="shared" si="144"/>
        <v>4.9200000000000001E-2</v>
      </c>
      <c r="Y508" s="93" t="str">
        <f t="shared" si="158"/>
        <v>4.84%-7.26%</v>
      </c>
      <c r="Z508" s="15" t="s">
        <v>87</v>
      </c>
      <c r="AA508" s="15" t="s">
        <v>373</v>
      </c>
      <c r="AB508" s="15" t="s">
        <v>439</v>
      </c>
      <c r="AC508" s="95">
        <v>0.10100000000000001</v>
      </c>
      <c r="AD508" s="8">
        <f t="shared" si="151"/>
        <v>819</v>
      </c>
      <c r="AE508" s="17">
        <f t="shared" si="152"/>
        <v>9329</v>
      </c>
      <c r="AF508" s="18">
        <f t="shared" si="153"/>
        <v>1218</v>
      </c>
      <c r="AG508" s="97">
        <f t="shared" si="154"/>
        <v>0.15016644063617313</v>
      </c>
      <c r="AH508" s="20">
        <v>14</v>
      </c>
      <c r="AI508" s="20">
        <v>450</v>
      </c>
      <c r="AJ508" s="20"/>
      <c r="AK508" s="20">
        <v>688</v>
      </c>
      <c r="AL508" s="20">
        <f t="shared" si="155"/>
        <v>136694</v>
      </c>
      <c r="AM508" s="7">
        <v>4</v>
      </c>
      <c r="AN508" s="20"/>
      <c r="AO508" s="21" t="s">
        <v>90</v>
      </c>
      <c r="AP508" s="21" t="s">
        <v>90</v>
      </c>
      <c r="AQ508" s="5" t="s">
        <v>1948</v>
      </c>
      <c r="AR508" s="5" t="s">
        <v>69</v>
      </c>
      <c r="AW508" s="144" t="str">
        <f t="shared" si="156"/>
        <v>OK</v>
      </c>
      <c r="AX508" s="21" t="s">
        <v>3135</v>
      </c>
      <c r="AY508" s="21" t="s">
        <v>3132</v>
      </c>
      <c r="AZ508" s="21"/>
      <c r="BA508" s="21"/>
    </row>
    <row r="509" spans="1:53" ht="20" customHeight="1">
      <c r="A509" s="86" t="s">
        <v>318</v>
      </c>
      <c r="B509" s="372" t="s">
        <v>2839</v>
      </c>
      <c r="C509" s="5" t="s">
        <v>51</v>
      </c>
      <c r="D509" s="5" t="s">
        <v>52</v>
      </c>
      <c r="E509" s="5" t="s">
        <v>2001</v>
      </c>
      <c r="F509" s="5" t="s">
        <v>1959</v>
      </c>
      <c r="G509" s="5" t="s">
        <v>1960</v>
      </c>
      <c r="H509" s="6">
        <v>41386</v>
      </c>
      <c r="I509" s="5" t="s">
        <v>85</v>
      </c>
      <c r="J509" s="5" t="s">
        <v>85</v>
      </c>
      <c r="K509" s="5" t="s">
        <v>76</v>
      </c>
      <c r="L509" s="7">
        <v>2</v>
      </c>
      <c r="M509" s="7">
        <v>3</v>
      </c>
      <c r="N509" s="8">
        <v>10547</v>
      </c>
      <c r="O509" s="88">
        <v>0.03</v>
      </c>
      <c r="P509" s="10">
        <f t="shared" si="145"/>
        <v>316</v>
      </c>
      <c r="Q509" s="88">
        <v>0</v>
      </c>
      <c r="R509" s="10">
        <f t="shared" si="146"/>
        <v>0</v>
      </c>
      <c r="S509" s="88">
        <f t="shared" si="147"/>
        <v>2.9961126386650234E-2</v>
      </c>
      <c r="T509" s="10">
        <f t="shared" si="148"/>
        <v>316</v>
      </c>
      <c r="U509" s="10">
        <f t="shared" si="149"/>
        <v>10863</v>
      </c>
      <c r="V509" s="11">
        <f t="shared" si="159"/>
        <v>10863</v>
      </c>
      <c r="W509" s="12">
        <f t="shared" si="150"/>
        <v>316</v>
      </c>
      <c r="X509" s="92">
        <f t="shared" si="144"/>
        <v>0.03</v>
      </c>
      <c r="Y509" s="93" t="str">
        <f t="shared" si="158"/>
        <v>2.40%-3.60%</v>
      </c>
      <c r="Z509" s="15"/>
      <c r="AA509" s="15"/>
      <c r="AB509" s="15"/>
      <c r="AC509" s="95"/>
      <c r="AD509" s="8">
        <f t="shared" si="151"/>
        <v>0</v>
      </c>
      <c r="AE509" s="17">
        <f t="shared" si="152"/>
        <v>10863</v>
      </c>
      <c r="AF509" s="18">
        <f t="shared" si="153"/>
        <v>316</v>
      </c>
      <c r="AG509" s="97">
        <f t="shared" si="154"/>
        <v>2.9961126386650161E-2</v>
      </c>
      <c r="AH509" s="20">
        <v>14</v>
      </c>
      <c r="AI509" s="20">
        <v>450</v>
      </c>
      <c r="AJ509" s="20"/>
      <c r="AK509" s="20">
        <v>688</v>
      </c>
      <c r="AL509" s="20">
        <f t="shared" si="155"/>
        <v>158170</v>
      </c>
      <c r="AM509" s="7">
        <v>3</v>
      </c>
      <c r="AN509" s="20"/>
      <c r="AO509" s="21"/>
      <c r="AP509" s="21"/>
      <c r="AQ509" s="5" t="s">
        <v>1948</v>
      </c>
      <c r="AR509" s="5" t="s">
        <v>69</v>
      </c>
      <c r="AW509" s="144" t="str">
        <f t="shared" si="156"/>
        <v>OK</v>
      </c>
      <c r="AX509" s="21" t="s">
        <v>3135</v>
      </c>
      <c r="AY509" s="21" t="s">
        <v>3132</v>
      </c>
      <c r="AZ509" s="21"/>
      <c r="BA509" s="21"/>
    </row>
    <row r="510" spans="1:53" ht="20" customHeight="1">
      <c r="A510" s="86" t="s">
        <v>318</v>
      </c>
      <c r="B510" s="372" t="s">
        <v>2840</v>
      </c>
      <c r="C510" s="5" t="s">
        <v>51</v>
      </c>
      <c r="D510" s="5" t="s">
        <v>52</v>
      </c>
      <c r="E510" s="5" t="s">
        <v>2001</v>
      </c>
      <c r="F510" s="5" t="s">
        <v>1971</v>
      </c>
      <c r="G510" s="5" t="s">
        <v>1957</v>
      </c>
      <c r="H510" s="6">
        <v>41821</v>
      </c>
      <c r="I510" s="5" t="s">
        <v>1607</v>
      </c>
      <c r="J510" s="5" t="s">
        <v>1607</v>
      </c>
      <c r="K510" s="5" t="s">
        <v>324</v>
      </c>
      <c r="L510" s="7">
        <v>2</v>
      </c>
      <c r="M510" s="7">
        <v>3</v>
      </c>
      <c r="N510" s="8">
        <v>4785</v>
      </c>
      <c r="O510" s="88">
        <v>0</v>
      </c>
      <c r="P510" s="10">
        <f t="shared" si="145"/>
        <v>0</v>
      </c>
      <c r="Q510" s="88">
        <v>0</v>
      </c>
      <c r="R510" s="10">
        <f t="shared" si="146"/>
        <v>0</v>
      </c>
      <c r="S510" s="88">
        <f t="shared" si="147"/>
        <v>0</v>
      </c>
      <c r="T510" s="10">
        <f t="shared" si="148"/>
        <v>0</v>
      </c>
      <c r="U510" s="10">
        <f t="shared" si="149"/>
        <v>4785</v>
      </c>
      <c r="V510" s="11">
        <f t="shared" si="159"/>
        <v>4785</v>
      </c>
      <c r="W510" s="12">
        <f t="shared" si="150"/>
        <v>0</v>
      </c>
      <c r="X510" s="92">
        <f t="shared" si="144"/>
        <v>0</v>
      </c>
      <c r="Y510" s="93" t="str">
        <f t="shared" si="158"/>
        <v>0.00%-0.00%</v>
      </c>
      <c r="Z510" s="15"/>
      <c r="AA510" s="15"/>
      <c r="AB510" s="15"/>
      <c r="AC510" s="95"/>
      <c r="AD510" s="8">
        <f t="shared" si="151"/>
        <v>0</v>
      </c>
      <c r="AE510" s="17">
        <f t="shared" si="152"/>
        <v>4785</v>
      </c>
      <c r="AF510" s="18">
        <f t="shared" si="153"/>
        <v>0</v>
      </c>
      <c r="AG510" s="97">
        <f t="shared" si="154"/>
        <v>0</v>
      </c>
      <c r="AH510" s="20">
        <v>14</v>
      </c>
      <c r="AI510" s="20">
        <v>450</v>
      </c>
      <c r="AJ510" s="20"/>
      <c r="AK510" s="20">
        <v>688</v>
      </c>
      <c r="AL510" s="20">
        <f t="shared" si="155"/>
        <v>73078</v>
      </c>
      <c r="AM510" s="7">
        <v>3</v>
      </c>
      <c r="AN510" s="20"/>
      <c r="AO510" s="21"/>
      <c r="AP510" s="21"/>
      <c r="AQ510" s="5" t="s">
        <v>1948</v>
      </c>
      <c r="AR510" s="5" t="s">
        <v>69</v>
      </c>
      <c r="AW510" s="144" t="str">
        <f t="shared" si="156"/>
        <v>OK</v>
      </c>
      <c r="AX510" s="21" t="s">
        <v>3135</v>
      </c>
      <c r="AY510" s="21" t="s">
        <v>3134</v>
      </c>
      <c r="AZ510" s="21"/>
      <c r="BA510" s="21"/>
    </row>
    <row r="511" spans="1:53" ht="20" customHeight="1">
      <c r="A511" s="86" t="s">
        <v>318</v>
      </c>
      <c r="B511" s="372" t="s">
        <v>2841</v>
      </c>
      <c r="C511" s="5" t="s">
        <v>51</v>
      </c>
      <c r="D511" s="5" t="s">
        <v>52</v>
      </c>
      <c r="E511" s="5" t="s">
        <v>2001</v>
      </c>
      <c r="F511" s="5" t="s">
        <v>1956</v>
      </c>
      <c r="G511" s="5" t="s">
        <v>1957</v>
      </c>
      <c r="H511" s="6">
        <v>41731</v>
      </c>
      <c r="I511" s="5" t="s">
        <v>111</v>
      </c>
      <c r="J511" s="5" t="s">
        <v>111</v>
      </c>
      <c r="K511" s="5" t="s">
        <v>56</v>
      </c>
      <c r="L511" s="7">
        <v>2</v>
      </c>
      <c r="M511" s="7">
        <v>4</v>
      </c>
      <c r="N511" s="8">
        <v>21534</v>
      </c>
      <c r="O511" s="88">
        <v>4.4999999999999998E-2</v>
      </c>
      <c r="P511" s="10">
        <f t="shared" si="145"/>
        <v>969</v>
      </c>
      <c r="Q511" s="88">
        <v>4.2099999999999999E-2</v>
      </c>
      <c r="R511" s="10">
        <f t="shared" si="146"/>
        <v>907</v>
      </c>
      <c r="S511" s="88">
        <f t="shared" si="147"/>
        <v>8.7118045880932485E-2</v>
      </c>
      <c r="T511" s="10">
        <f t="shared" si="148"/>
        <v>1876</v>
      </c>
      <c r="U511" s="10">
        <f t="shared" si="149"/>
        <v>23410</v>
      </c>
      <c r="V511" s="11">
        <f t="shared" si="159"/>
        <v>23410</v>
      </c>
      <c r="W511" s="12">
        <f t="shared" si="150"/>
        <v>1876</v>
      </c>
      <c r="X511" s="92">
        <f t="shared" si="144"/>
        <v>8.7099999999999997E-2</v>
      </c>
      <c r="Y511" s="93" t="str">
        <f t="shared" si="158"/>
        <v>6.97%-10.45%</v>
      </c>
      <c r="Z511" s="15"/>
      <c r="AA511" s="15"/>
      <c r="AB511" s="15"/>
      <c r="AC511" s="95"/>
      <c r="AD511" s="8">
        <f t="shared" si="151"/>
        <v>0</v>
      </c>
      <c r="AE511" s="17">
        <f t="shared" si="152"/>
        <v>23410</v>
      </c>
      <c r="AF511" s="18">
        <f t="shared" si="153"/>
        <v>1876</v>
      </c>
      <c r="AG511" s="97">
        <f t="shared" si="154"/>
        <v>8.7118045880932415E-2</v>
      </c>
      <c r="AH511" s="20">
        <v>14</v>
      </c>
      <c r="AI511" s="20">
        <v>450</v>
      </c>
      <c r="AJ511" s="20"/>
      <c r="AK511" s="20">
        <v>688</v>
      </c>
      <c r="AL511" s="20">
        <f t="shared" si="155"/>
        <v>333828</v>
      </c>
      <c r="AM511" s="7">
        <v>4</v>
      </c>
      <c r="AN511" s="20"/>
      <c r="AO511" s="21"/>
      <c r="AP511" s="21"/>
      <c r="AQ511" s="5" t="s">
        <v>1948</v>
      </c>
      <c r="AR511" s="5" t="s">
        <v>69</v>
      </c>
      <c r="AW511" s="144" t="str">
        <f t="shared" si="156"/>
        <v>OK</v>
      </c>
      <c r="AX511" s="21" t="s">
        <v>3135</v>
      </c>
      <c r="AY511" s="21" t="s">
        <v>3132</v>
      </c>
      <c r="AZ511" s="21"/>
      <c r="BA511" s="21"/>
    </row>
    <row r="512" spans="1:53" ht="20" customHeight="1">
      <c r="A512" s="86" t="s">
        <v>318</v>
      </c>
      <c r="B512" s="372" t="s">
        <v>2842</v>
      </c>
      <c r="C512" s="5" t="s">
        <v>51</v>
      </c>
      <c r="D512" s="5" t="s">
        <v>52</v>
      </c>
      <c r="E512" s="5" t="s">
        <v>2001</v>
      </c>
      <c r="F512" s="5" t="s">
        <v>1951</v>
      </c>
      <c r="G512" s="5" t="s">
        <v>1952</v>
      </c>
      <c r="H512" s="6">
        <v>42727</v>
      </c>
      <c r="I512" s="5" t="s">
        <v>73</v>
      </c>
      <c r="J512" s="5" t="s">
        <v>73</v>
      </c>
      <c r="K512" s="5" t="s">
        <v>61</v>
      </c>
      <c r="L512" s="7">
        <v>2</v>
      </c>
      <c r="M512" s="7">
        <v>5</v>
      </c>
      <c r="N512" s="8">
        <v>18050</v>
      </c>
      <c r="O512" s="88">
        <v>0.05</v>
      </c>
      <c r="P512" s="10">
        <f t="shared" si="145"/>
        <v>903</v>
      </c>
      <c r="Q512" s="88">
        <v>2.7E-2</v>
      </c>
      <c r="R512" s="10">
        <f t="shared" si="146"/>
        <v>487</v>
      </c>
      <c r="S512" s="88">
        <f t="shared" si="147"/>
        <v>7.7008310249307474E-2</v>
      </c>
      <c r="T512" s="10">
        <f t="shared" si="148"/>
        <v>1390</v>
      </c>
      <c r="U512" s="10">
        <f t="shared" si="149"/>
        <v>19440</v>
      </c>
      <c r="V512" s="11">
        <v>19340</v>
      </c>
      <c r="W512" s="12">
        <f t="shared" si="150"/>
        <v>1290</v>
      </c>
      <c r="X512" s="92">
        <f t="shared" si="144"/>
        <v>7.1499999999999994E-2</v>
      </c>
      <c r="Y512" s="93" t="str">
        <f t="shared" si="158"/>
        <v>6.16%-9.24%</v>
      </c>
      <c r="Z512" s="15"/>
      <c r="AA512" s="15"/>
      <c r="AB512" s="15"/>
      <c r="AC512" s="95"/>
      <c r="AD512" s="8">
        <f t="shared" si="151"/>
        <v>0</v>
      </c>
      <c r="AE512" s="17">
        <f t="shared" si="152"/>
        <v>19340</v>
      </c>
      <c r="AF512" s="18">
        <f t="shared" si="153"/>
        <v>1290</v>
      </c>
      <c r="AG512" s="97">
        <f t="shared" si="154"/>
        <v>7.1468144044321225E-2</v>
      </c>
      <c r="AH512" s="20">
        <v>14</v>
      </c>
      <c r="AI512" s="20">
        <v>450</v>
      </c>
      <c r="AJ512" s="20"/>
      <c r="AK512" s="20">
        <v>688</v>
      </c>
      <c r="AL512" s="20">
        <f t="shared" si="155"/>
        <v>276848</v>
      </c>
      <c r="AM512" s="7">
        <v>4</v>
      </c>
      <c r="AN512" s="20"/>
      <c r="AO512" s="21"/>
      <c r="AP512" s="21" t="s">
        <v>1953</v>
      </c>
      <c r="AQ512" s="5" t="s">
        <v>1948</v>
      </c>
      <c r="AR512" s="5" t="s">
        <v>69</v>
      </c>
      <c r="AW512" s="144" t="str">
        <f t="shared" si="156"/>
        <v>OK</v>
      </c>
      <c r="AX512" s="21" t="s">
        <v>3133</v>
      </c>
      <c r="AY512" s="21" t="s">
        <v>3130</v>
      </c>
      <c r="AZ512" s="21"/>
      <c r="BA512" s="21"/>
    </row>
    <row r="513" spans="1:53" ht="20" customHeight="1">
      <c r="A513" s="86" t="s">
        <v>318</v>
      </c>
      <c r="B513" s="372" t="s">
        <v>2843</v>
      </c>
      <c r="C513" s="5" t="s">
        <v>51</v>
      </c>
      <c r="D513" s="5" t="s">
        <v>52</v>
      </c>
      <c r="E513" s="5" t="s">
        <v>2001</v>
      </c>
      <c r="F513" s="5" t="s">
        <v>1956</v>
      </c>
      <c r="G513" s="5" t="s">
        <v>1957</v>
      </c>
      <c r="H513" s="6">
        <v>42781</v>
      </c>
      <c r="I513" s="5" t="s">
        <v>60</v>
      </c>
      <c r="J513" s="5" t="s">
        <v>60</v>
      </c>
      <c r="K513" s="5" t="s">
        <v>61</v>
      </c>
      <c r="L513" s="7">
        <v>2</v>
      </c>
      <c r="M513" s="7">
        <v>3</v>
      </c>
      <c r="N513" s="8">
        <v>13277</v>
      </c>
      <c r="O513" s="88">
        <v>0.03</v>
      </c>
      <c r="P513" s="10">
        <f t="shared" si="145"/>
        <v>398</v>
      </c>
      <c r="Q513" s="88">
        <v>0</v>
      </c>
      <c r="R513" s="10">
        <f t="shared" si="146"/>
        <v>0</v>
      </c>
      <c r="S513" s="88">
        <f t="shared" si="147"/>
        <v>2.9976651351962039E-2</v>
      </c>
      <c r="T513" s="10">
        <f t="shared" si="148"/>
        <v>398</v>
      </c>
      <c r="U513" s="10">
        <f t="shared" si="149"/>
        <v>13675</v>
      </c>
      <c r="V513" s="11">
        <f t="shared" si="159"/>
        <v>13675</v>
      </c>
      <c r="W513" s="12">
        <f t="shared" si="150"/>
        <v>398</v>
      </c>
      <c r="X513" s="92">
        <f t="shared" si="144"/>
        <v>0.03</v>
      </c>
      <c r="Y513" s="93" t="str">
        <f t="shared" si="158"/>
        <v>2.40%-3.60%</v>
      </c>
      <c r="Z513" s="15"/>
      <c r="AA513" s="15"/>
      <c r="AB513" s="15"/>
      <c r="AC513" s="95"/>
      <c r="AD513" s="8">
        <f t="shared" si="151"/>
        <v>0</v>
      </c>
      <c r="AE513" s="17">
        <f t="shared" si="152"/>
        <v>13675</v>
      </c>
      <c r="AF513" s="18">
        <f t="shared" si="153"/>
        <v>398</v>
      </c>
      <c r="AG513" s="97">
        <f t="shared" si="154"/>
        <v>2.9976651351962147E-2</v>
      </c>
      <c r="AH513" s="20">
        <v>14</v>
      </c>
      <c r="AI513" s="20">
        <v>450</v>
      </c>
      <c r="AJ513" s="20"/>
      <c r="AK513" s="20">
        <v>688</v>
      </c>
      <c r="AL513" s="20">
        <f t="shared" si="155"/>
        <v>197538</v>
      </c>
      <c r="AM513" s="7">
        <v>3</v>
      </c>
      <c r="AN513" s="20"/>
      <c r="AO513" s="21"/>
      <c r="AP513" s="21"/>
      <c r="AQ513" s="5" t="s">
        <v>1948</v>
      </c>
      <c r="AR513" s="5" t="s">
        <v>69</v>
      </c>
      <c r="AW513" s="144" t="str">
        <f t="shared" si="156"/>
        <v>OK</v>
      </c>
      <c r="AX513" s="21" t="s">
        <v>3133</v>
      </c>
      <c r="AY513" s="21" t="s">
        <v>3132</v>
      </c>
      <c r="AZ513" s="21"/>
      <c r="BA513" s="21"/>
    </row>
    <row r="514" spans="1:53" ht="20" customHeight="1">
      <c r="A514" s="86" t="s">
        <v>318</v>
      </c>
      <c r="B514" s="372" t="s">
        <v>2844</v>
      </c>
      <c r="C514" s="5" t="s">
        <v>51</v>
      </c>
      <c r="D514" s="5" t="s">
        <v>52</v>
      </c>
      <c r="E514" s="5" t="s">
        <v>2001</v>
      </c>
      <c r="F514" s="5" t="s">
        <v>1956</v>
      </c>
      <c r="G514" s="5" t="s">
        <v>1957</v>
      </c>
      <c r="H514" s="6">
        <v>44307</v>
      </c>
      <c r="I514" s="5" t="s">
        <v>74</v>
      </c>
      <c r="J514" s="5" t="s">
        <v>74</v>
      </c>
      <c r="K514" s="5" t="s">
        <v>76</v>
      </c>
      <c r="L514" s="7">
        <v>2</v>
      </c>
      <c r="M514" s="7">
        <v>3</v>
      </c>
      <c r="N514" s="8">
        <v>12195</v>
      </c>
      <c r="O514" s="88">
        <v>2.5000000000000001E-2</v>
      </c>
      <c r="P514" s="10">
        <f t="shared" si="145"/>
        <v>305</v>
      </c>
      <c r="Q514" s="88">
        <v>0</v>
      </c>
      <c r="R514" s="10">
        <f t="shared" si="146"/>
        <v>0</v>
      </c>
      <c r="S514" s="88">
        <f t="shared" si="147"/>
        <v>2.5010250102501026E-2</v>
      </c>
      <c r="T514" s="10">
        <f t="shared" si="148"/>
        <v>305</v>
      </c>
      <c r="U514" s="10">
        <f t="shared" si="149"/>
        <v>12500</v>
      </c>
      <c r="V514" s="11">
        <v>12440</v>
      </c>
      <c r="W514" s="12">
        <f t="shared" si="150"/>
        <v>245</v>
      </c>
      <c r="X514" s="92">
        <f t="shared" si="144"/>
        <v>2.01E-2</v>
      </c>
      <c r="Y514" s="93" t="str">
        <f t="shared" si="158"/>
        <v>2.00%-3.00%</v>
      </c>
      <c r="Z514" s="15"/>
      <c r="AA514" s="15"/>
      <c r="AB514" s="15"/>
      <c r="AC514" s="95"/>
      <c r="AD514" s="8">
        <f t="shared" si="151"/>
        <v>0</v>
      </c>
      <c r="AE514" s="17">
        <f t="shared" si="152"/>
        <v>12440</v>
      </c>
      <c r="AF514" s="18">
        <f t="shared" si="153"/>
        <v>245</v>
      </c>
      <c r="AG514" s="97">
        <f t="shared" si="154"/>
        <v>2.009020090200897E-2</v>
      </c>
      <c r="AH514" s="20">
        <v>14</v>
      </c>
      <c r="AI514" s="20">
        <v>550</v>
      </c>
      <c r="AJ514" s="20"/>
      <c r="AK514" s="20">
        <v>688</v>
      </c>
      <c r="AL514" s="20">
        <f t="shared" si="155"/>
        <v>181448</v>
      </c>
      <c r="AM514" s="7">
        <v>2</v>
      </c>
      <c r="AN514" s="20"/>
      <c r="AO514" s="21"/>
      <c r="AP514" s="21" t="s">
        <v>1953</v>
      </c>
      <c r="AQ514" s="5" t="s">
        <v>1948</v>
      </c>
      <c r="AR514" s="5" t="s">
        <v>69</v>
      </c>
      <c r="AW514" s="144" t="str">
        <f t="shared" si="156"/>
        <v>OK</v>
      </c>
      <c r="AX514" s="21" t="s">
        <v>3131</v>
      </c>
      <c r="AY514" s="21" t="s">
        <v>3130</v>
      </c>
      <c r="AZ514" s="21"/>
      <c r="BA514" s="21"/>
    </row>
    <row r="515" spans="1:53" ht="20" customHeight="1">
      <c r="A515" s="86" t="s">
        <v>318</v>
      </c>
      <c r="B515" s="372" t="s">
        <v>2845</v>
      </c>
      <c r="C515" s="5" t="s">
        <v>51</v>
      </c>
      <c r="D515" s="5" t="s">
        <v>52</v>
      </c>
      <c r="E515" s="5" t="s">
        <v>2001</v>
      </c>
      <c r="F515" s="5" t="s">
        <v>1968</v>
      </c>
      <c r="G515" s="5" t="s">
        <v>1969</v>
      </c>
      <c r="H515" s="6">
        <v>44412</v>
      </c>
      <c r="I515" s="5" t="s">
        <v>74</v>
      </c>
      <c r="J515" s="5" t="s">
        <v>74</v>
      </c>
      <c r="K515" s="5" t="s">
        <v>76</v>
      </c>
      <c r="L515" s="7">
        <v>2</v>
      </c>
      <c r="M515" s="7">
        <v>4</v>
      </c>
      <c r="N515" s="8">
        <v>15379</v>
      </c>
      <c r="O515" s="88">
        <v>0.03</v>
      </c>
      <c r="P515" s="10">
        <f t="shared" si="145"/>
        <v>461</v>
      </c>
      <c r="Q515" s="88">
        <v>0</v>
      </c>
      <c r="R515" s="10">
        <f t="shared" si="146"/>
        <v>0</v>
      </c>
      <c r="S515" s="88">
        <f t="shared" si="147"/>
        <v>2.9975941218544768E-2</v>
      </c>
      <c r="T515" s="10">
        <f t="shared" si="148"/>
        <v>461</v>
      </c>
      <c r="U515" s="10">
        <f t="shared" si="149"/>
        <v>15840</v>
      </c>
      <c r="V515" s="11">
        <f t="shared" si="159"/>
        <v>15840</v>
      </c>
      <c r="W515" s="12">
        <f t="shared" si="150"/>
        <v>461</v>
      </c>
      <c r="X515" s="92">
        <f t="shared" si="144"/>
        <v>0.03</v>
      </c>
      <c r="Y515" s="93" t="str">
        <f t="shared" si="158"/>
        <v>2.40%-3.60%</v>
      </c>
      <c r="Z515" s="15"/>
      <c r="AA515" s="15"/>
      <c r="AB515" s="15"/>
      <c r="AC515" s="95"/>
      <c r="AD515" s="8">
        <f t="shared" si="151"/>
        <v>0</v>
      </c>
      <c r="AE515" s="17">
        <f t="shared" si="152"/>
        <v>15840</v>
      </c>
      <c r="AF515" s="18">
        <f t="shared" si="153"/>
        <v>461</v>
      </c>
      <c r="AG515" s="97">
        <f t="shared" si="154"/>
        <v>2.9975941218544744E-2</v>
      </c>
      <c r="AH515" s="20">
        <v>14</v>
      </c>
      <c r="AI515" s="20">
        <v>450</v>
      </c>
      <c r="AJ515" s="20"/>
      <c r="AK515" s="20">
        <v>688</v>
      </c>
      <c r="AL515" s="20">
        <f t="shared" si="155"/>
        <v>227848</v>
      </c>
      <c r="AM515" s="7">
        <v>3</v>
      </c>
      <c r="AN515" s="20"/>
      <c r="AO515" s="21"/>
      <c r="AP515" s="21"/>
      <c r="AQ515" s="5" t="s">
        <v>1948</v>
      </c>
      <c r="AR515" s="5" t="s">
        <v>69</v>
      </c>
      <c r="AW515" s="144" t="str">
        <f t="shared" si="156"/>
        <v>OK</v>
      </c>
      <c r="AX515" s="21" t="s">
        <v>3131</v>
      </c>
      <c r="AY515" s="21" t="s">
        <v>3136</v>
      </c>
      <c r="AZ515" s="21"/>
      <c r="BA515" s="21"/>
    </row>
    <row r="516" spans="1:53" ht="20" customHeight="1">
      <c r="A516" s="86" t="s">
        <v>318</v>
      </c>
      <c r="B516" s="372" t="s">
        <v>2846</v>
      </c>
      <c r="C516" s="5" t="s">
        <v>51</v>
      </c>
      <c r="D516" s="5" t="s">
        <v>52</v>
      </c>
      <c r="E516" s="5" t="s">
        <v>2001</v>
      </c>
      <c r="F516" s="5" t="s">
        <v>1956</v>
      </c>
      <c r="G516" s="5" t="s">
        <v>1957</v>
      </c>
      <c r="H516" s="6">
        <v>45022</v>
      </c>
      <c r="I516" s="5" t="s">
        <v>74</v>
      </c>
      <c r="J516" s="5" t="s">
        <v>74</v>
      </c>
      <c r="K516" s="5" t="s">
        <v>76</v>
      </c>
      <c r="L516" s="7">
        <v>2</v>
      </c>
      <c r="M516" s="7">
        <v>5</v>
      </c>
      <c r="N516" s="8">
        <v>12550</v>
      </c>
      <c r="O516" s="88">
        <v>0.05</v>
      </c>
      <c r="P516" s="10">
        <f t="shared" si="145"/>
        <v>628</v>
      </c>
      <c r="Q516" s="88">
        <v>2.7E-2</v>
      </c>
      <c r="R516" s="10">
        <f t="shared" si="146"/>
        <v>339</v>
      </c>
      <c r="S516" s="88">
        <f t="shared" si="147"/>
        <v>7.7051792828685253E-2</v>
      </c>
      <c r="T516" s="10">
        <f t="shared" si="148"/>
        <v>967</v>
      </c>
      <c r="U516" s="10">
        <f t="shared" si="149"/>
        <v>13517</v>
      </c>
      <c r="V516" s="11">
        <f t="shared" si="159"/>
        <v>13517</v>
      </c>
      <c r="W516" s="12">
        <f t="shared" si="150"/>
        <v>967</v>
      </c>
      <c r="X516" s="92">
        <f t="shared" si="144"/>
        <v>7.7100000000000002E-2</v>
      </c>
      <c r="Y516" s="93" t="str">
        <f t="shared" si="158"/>
        <v>6.16%-9.25%</v>
      </c>
      <c r="Z516" s="15"/>
      <c r="AA516" s="15"/>
      <c r="AB516" s="15"/>
      <c r="AC516" s="95"/>
      <c r="AD516" s="8">
        <f t="shared" si="151"/>
        <v>0</v>
      </c>
      <c r="AE516" s="17">
        <f t="shared" si="152"/>
        <v>13517</v>
      </c>
      <c r="AF516" s="18">
        <f t="shared" si="153"/>
        <v>967</v>
      </c>
      <c r="AG516" s="97">
        <f t="shared" si="154"/>
        <v>7.705179282868535E-2</v>
      </c>
      <c r="AH516" s="20">
        <v>14</v>
      </c>
      <c r="AI516" s="20">
        <v>450</v>
      </c>
      <c r="AJ516" s="20"/>
      <c r="AK516" s="20">
        <v>688</v>
      </c>
      <c r="AL516" s="20">
        <f t="shared" si="155"/>
        <v>195326</v>
      </c>
      <c r="AM516" s="7">
        <v>3</v>
      </c>
      <c r="AN516" s="20"/>
      <c r="AO516" s="21"/>
      <c r="AP516" s="21"/>
      <c r="AQ516" s="5" t="s">
        <v>1948</v>
      </c>
      <c r="AR516" s="5" t="s">
        <v>69</v>
      </c>
      <c r="AW516" s="144" t="str">
        <f t="shared" si="156"/>
        <v>OK</v>
      </c>
      <c r="AX516" s="21" t="s">
        <v>3131</v>
      </c>
      <c r="AY516" s="21" t="s">
        <v>3130</v>
      </c>
      <c r="AZ516" s="21"/>
      <c r="BA516" s="21"/>
    </row>
    <row r="517" spans="1:53" ht="20" customHeight="1">
      <c r="A517" s="86" t="s">
        <v>318</v>
      </c>
      <c r="B517" s="372" t="s">
        <v>2847</v>
      </c>
      <c r="C517" s="5" t="s">
        <v>51</v>
      </c>
      <c r="D517" s="5" t="s">
        <v>52</v>
      </c>
      <c r="E517" s="5" t="s">
        <v>2001</v>
      </c>
      <c r="F517" s="5" t="s">
        <v>1976</v>
      </c>
      <c r="G517" s="5" t="s">
        <v>1980</v>
      </c>
      <c r="H517" s="6">
        <v>38331</v>
      </c>
      <c r="I517" s="5" t="s">
        <v>60</v>
      </c>
      <c r="J517" s="5" t="s">
        <v>60</v>
      </c>
      <c r="K517" s="5" t="s">
        <v>61</v>
      </c>
      <c r="L517" s="7">
        <v>2</v>
      </c>
      <c r="M517" s="7">
        <v>3</v>
      </c>
      <c r="N517" s="8">
        <v>20485</v>
      </c>
      <c r="O517" s="88">
        <v>2.5000000000000001E-2</v>
      </c>
      <c r="P517" s="10">
        <f t="shared" si="145"/>
        <v>512</v>
      </c>
      <c r="Q517" s="88">
        <v>0</v>
      </c>
      <c r="R517" s="10">
        <f t="shared" si="146"/>
        <v>0</v>
      </c>
      <c r="S517" s="88">
        <f t="shared" si="147"/>
        <v>2.4993897974127412E-2</v>
      </c>
      <c r="T517" s="10">
        <f t="shared" si="148"/>
        <v>512</v>
      </c>
      <c r="U517" s="10">
        <f t="shared" si="149"/>
        <v>20997</v>
      </c>
      <c r="V517" s="11">
        <v>20895</v>
      </c>
      <c r="W517" s="12">
        <f t="shared" si="150"/>
        <v>410</v>
      </c>
      <c r="X517" s="92">
        <f t="shared" si="144"/>
        <v>0.02</v>
      </c>
      <c r="Y517" s="93" t="str">
        <f t="shared" si="158"/>
        <v>2.00%-3.00%</v>
      </c>
      <c r="Z517" s="15"/>
      <c r="AA517" s="15"/>
      <c r="AB517" s="15"/>
      <c r="AC517" s="95"/>
      <c r="AD517" s="8">
        <f t="shared" si="151"/>
        <v>0</v>
      </c>
      <c r="AE517" s="17">
        <f t="shared" si="152"/>
        <v>20895</v>
      </c>
      <c r="AF517" s="18">
        <f t="shared" si="153"/>
        <v>410</v>
      </c>
      <c r="AG517" s="97">
        <f t="shared" si="154"/>
        <v>2.0014644862094144E-2</v>
      </c>
      <c r="AH517" s="20">
        <v>14</v>
      </c>
      <c r="AI517" s="20">
        <v>2810</v>
      </c>
      <c r="AJ517" s="20"/>
      <c r="AK517" s="20">
        <v>688</v>
      </c>
      <c r="AL517" s="20">
        <f t="shared" si="155"/>
        <v>326938</v>
      </c>
      <c r="AM517" s="7">
        <v>3</v>
      </c>
      <c r="AN517" s="20"/>
      <c r="AO517" s="21"/>
      <c r="AP517" s="21" t="s">
        <v>1953</v>
      </c>
      <c r="AQ517" s="5" t="s">
        <v>1948</v>
      </c>
      <c r="AR517" s="5" t="s">
        <v>69</v>
      </c>
      <c r="AW517" s="144" t="str">
        <f t="shared" si="156"/>
        <v>OK</v>
      </c>
      <c r="AX517" s="21" t="s">
        <v>3139</v>
      </c>
      <c r="AY517" s="21" t="s">
        <v>3130</v>
      </c>
      <c r="AZ517" s="21"/>
      <c r="BA517" s="21"/>
    </row>
    <row r="518" spans="1:53" ht="20" customHeight="1">
      <c r="A518" s="86" t="s">
        <v>318</v>
      </c>
      <c r="B518" s="372" t="s">
        <v>2848</v>
      </c>
      <c r="C518" s="5" t="s">
        <v>51</v>
      </c>
      <c r="D518" s="5" t="s">
        <v>52</v>
      </c>
      <c r="E518" s="5" t="s">
        <v>2001</v>
      </c>
      <c r="F518" s="5" t="s">
        <v>1973</v>
      </c>
      <c r="G518" s="5" t="s">
        <v>1981</v>
      </c>
      <c r="H518" s="6">
        <v>40758</v>
      </c>
      <c r="I518" s="5" t="s">
        <v>266</v>
      </c>
      <c r="J518" s="5" t="s">
        <v>266</v>
      </c>
      <c r="K518" s="5" t="s">
        <v>56</v>
      </c>
      <c r="L518" s="7">
        <v>2</v>
      </c>
      <c r="M518" s="7">
        <v>3</v>
      </c>
      <c r="N518" s="8">
        <v>28530</v>
      </c>
      <c r="O518" s="88">
        <v>2.5000000000000001E-2</v>
      </c>
      <c r="P518" s="10">
        <f t="shared" si="145"/>
        <v>713</v>
      </c>
      <c r="Q518" s="88">
        <v>0</v>
      </c>
      <c r="R518" s="10">
        <f t="shared" si="146"/>
        <v>0</v>
      </c>
      <c r="S518" s="88">
        <f t="shared" si="147"/>
        <v>2.4991237294076412E-2</v>
      </c>
      <c r="T518" s="10">
        <f t="shared" si="148"/>
        <v>713</v>
      </c>
      <c r="U518" s="10">
        <f t="shared" si="149"/>
        <v>29243</v>
      </c>
      <c r="V518" s="11">
        <v>29111</v>
      </c>
      <c r="W518" s="12">
        <f t="shared" si="150"/>
        <v>581</v>
      </c>
      <c r="X518" s="92">
        <f t="shared" ref="X518:X581" si="160">ROUND(V518/N518-1,4)</f>
        <v>2.0400000000000001E-2</v>
      </c>
      <c r="Y518" s="93" t="str">
        <f t="shared" si="158"/>
        <v>2.00%-3.00%</v>
      </c>
      <c r="Z518" s="15"/>
      <c r="AA518" s="15"/>
      <c r="AB518" s="15"/>
      <c r="AC518" s="95"/>
      <c r="AD518" s="8">
        <f t="shared" si="151"/>
        <v>0</v>
      </c>
      <c r="AE518" s="17">
        <f t="shared" si="152"/>
        <v>29111</v>
      </c>
      <c r="AF518" s="18">
        <f t="shared" si="153"/>
        <v>581</v>
      </c>
      <c r="AG518" s="97">
        <f t="shared" si="154"/>
        <v>2.0364528566421347E-2</v>
      </c>
      <c r="AH518" s="20">
        <v>14</v>
      </c>
      <c r="AI518" s="20">
        <v>450</v>
      </c>
      <c r="AJ518" s="20"/>
      <c r="AK518" s="20">
        <v>688</v>
      </c>
      <c r="AL518" s="20">
        <f t="shared" si="155"/>
        <v>413642</v>
      </c>
      <c r="AM518" s="7">
        <v>3</v>
      </c>
      <c r="AN518" s="20"/>
      <c r="AO518" s="21"/>
      <c r="AP518" s="21" t="s">
        <v>1953</v>
      </c>
      <c r="AQ518" s="5" t="s">
        <v>1948</v>
      </c>
      <c r="AR518" s="5" t="s">
        <v>69</v>
      </c>
      <c r="AW518" s="144" t="str">
        <f t="shared" si="156"/>
        <v>OK</v>
      </c>
      <c r="AX518" s="21" t="s">
        <v>3135</v>
      </c>
      <c r="AY518" s="21" t="s">
        <v>3130</v>
      </c>
      <c r="AZ518" s="21"/>
      <c r="BA518" s="21"/>
    </row>
    <row r="519" spans="1:53" ht="20" customHeight="1">
      <c r="A519" s="86" t="s">
        <v>318</v>
      </c>
      <c r="B519" s="372" t="s">
        <v>2849</v>
      </c>
      <c r="C519" s="5" t="s">
        <v>51</v>
      </c>
      <c r="D519" s="5" t="s">
        <v>52</v>
      </c>
      <c r="E519" s="5" t="s">
        <v>2001</v>
      </c>
      <c r="F519" s="5" t="s">
        <v>1966</v>
      </c>
      <c r="G519" s="5" t="s">
        <v>1980</v>
      </c>
      <c r="H519" s="6">
        <v>41981</v>
      </c>
      <c r="I519" s="5" t="s">
        <v>82</v>
      </c>
      <c r="J519" s="5" t="s">
        <v>1982</v>
      </c>
      <c r="K519" s="5" t="s">
        <v>84</v>
      </c>
      <c r="L519" s="7">
        <v>2</v>
      </c>
      <c r="M519" s="7">
        <v>3</v>
      </c>
      <c r="N519" s="8">
        <v>11824</v>
      </c>
      <c r="O519" s="88">
        <v>0</v>
      </c>
      <c r="P519" s="10">
        <f t="shared" si="145"/>
        <v>0</v>
      </c>
      <c r="Q519" s="88">
        <v>0</v>
      </c>
      <c r="R519" s="10">
        <f t="shared" si="146"/>
        <v>0</v>
      </c>
      <c r="S519" s="88">
        <f t="shared" si="147"/>
        <v>0</v>
      </c>
      <c r="T519" s="10">
        <f t="shared" si="148"/>
        <v>0</v>
      </c>
      <c r="U519" s="10">
        <f t="shared" si="149"/>
        <v>11824</v>
      </c>
      <c r="V519" s="11">
        <f t="shared" si="159"/>
        <v>11824</v>
      </c>
      <c r="W519" s="12">
        <f t="shared" si="150"/>
        <v>0</v>
      </c>
      <c r="X519" s="92">
        <f t="shared" si="160"/>
        <v>0</v>
      </c>
      <c r="Y519" s="93" t="str">
        <f t="shared" si="158"/>
        <v>0.00%-0.00%</v>
      </c>
      <c r="Z519" s="15"/>
      <c r="AA519" s="15"/>
      <c r="AB519" s="15"/>
      <c r="AC519" s="95"/>
      <c r="AD519" s="8">
        <f t="shared" si="151"/>
        <v>0</v>
      </c>
      <c r="AE519" s="17">
        <f t="shared" si="152"/>
        <v>11824</v>
      </c>
      <c r="AF519" s="18">
        <f t="shared" si="153"/>
        <v>0</v>
      </c>
      <c r="AG519" s="97">
        <f t="shared" si="154"/>
        <v>0</v>
      </c>
      <c r="AH519" s="20">
        <v>14</v>
      </c>
      <c r="AI519" s="20">
        <v>550</v>
      </c>
      <c r="AJ519" s="20"/>
      <c r="AK519" s="20">
        <v>688</v>
      </c>
      <c r="AL519" s="20">
        <f t="shared" si="155"/>
        <v>172824</v>
      </c>
      <c r="AM519" s="7">
        <v>3</v>
      </c>
      <c r="AN519" s="20"/>
      <c r="AO519" s="21"/>
      <c r="AP519" s="21"/>
      <c r="AQ519" s="5" t="s">
        <v>1948</v>
      </c>
      <c r="AR519" s="5" t="s">
        <v>69</v>
      </c>
      <c r="AW519" s="144" t="str">
        <f t="shared" si="156"/>
        <v>OK</v>
      </c>
      <c r="AX519" s="21" t="s">
        <v>3135</v>
      </c>
      <c r="AY519" s="21" t="s">
        <v>3134</v>
      </c>
      <c r="AZ519" s="21"/>
      <c r="BA519" s="21"/>
    </row>
    <row r="520" spans="1:53" ht="20" customHeight="1">
      <c r="A520" s="86" t="s">
        <v>318</v>
      </c>
      <c r="B520" s="372" t="s">
        <v>2850</v>
      </c>
      <c r="C520" s="5" t="s">
        <v>51</v>
      </c>
      <c r="D520" s="5" t="s">
        <v>52</v>
      </c>
      <c r="E520" s="5" t="s">
        <v>2001</v>
      </c>
      <c r="F520" s="5" t="s">
        <v>1966</v>
      </c>
      <c r="G520" s="5" t="s">
        <v>1980</v>
      </c>
      <c r="H520" s="6">
        <v>38808</v>
      </c>
      <c r="I520" s="5" t="s">
        <v>174</v>
      </c>
      <c r="J520" s="5" t="s">
        <v>1983</v>
      </c>
      <c r="K520" s="5" t="s">
        <v>175</v>
      </c>
      <c r="L520" s="7">
        <v>2</v>
      </c>
      <c r="M520" s="7">
        <v>3</v>
      </c>
      <c r="N520" s="8">
        <v>9487</v>
      </c>
      <c r="O520" s="88">
        <v>2.5000000000000001E-2</v>
      </c>
      <c r="P520" s="10">
        <f t="shared" si="145"/>
        <v>237</v>
      </c>
      <c r="Q520" s="88">
        <v>0</v>
      </c>
      <c r="R520" s="10">
        <f t="shared" si="146"/>
        <v>0</v>
      </c>
      <c r="S520" s="88">
        <f t="shared" si="147"/>
        <v>2.4981553705070096E-2</v>
      </c>
      <c r="T520" s="10">
        <f t="shared" si="148"/>
        <v>237</v>
      </c>
      <c r="U520" s="10">
        <f t="shared" si="149"/>
        <v>9724</v>
      </c>
      <c r="V520" s="11">
        <f t="shared" si="159"/>
        <v>9724</v>
      </c>
      <c r="W520" s="12">
        <f t="shared" si="150"/>
        <v>237</v>
      </c>
      <c r="X520" s="92">
        <f t="shared" si="160"/>
        <v>2.5000000000000001E-2</v>
      </c>
      <c r="Y520" s="93" t="str">
        <f t="shared" si="158"/>
        <v>2.00%-3.00%</v>
      </c>
      <c r="Z520" s="15"/>
      <c r="AA520" s="15"/>
      <c r="AB520" s="15"/>
      <c r="AC520" s="95"/>
      <c r="AD520" s="8">
        <f t="shared" si="151"/>
        <v>0</v>
      </c>
      <c r="AE520" s="17">
        <f t="shared" si="152"/>
        <v>9724</v>
      </c>
      <c r="AF520" s="18">
        <f t="shared" si="153"/>
        <v>237</v>
      </c>
      <c r="AG520" s="97">
        <f t="shared" si="154"/>
        <v>2.4981553705070159E-2</v>
      </c>
      <c r="AH520" s="20">
        <v>14</v>
      </c>
      <c r="AI520" s="20">
        <v>550</v>
      </c>
      <c r="AJ520" s="20"/>
      <c r="AK520" s="20">
        <v>688</v>
      </c>
      <c r="AL520" s="20">
        <f t="shared" si="155"/>
        <v>143424</v>
      </c>
      <c r="AM520" s="7">
        <v>3</v>
      </c>
      <c r="AN520" s="20"/>
      <c r="AO520" s="21"/>
      <c r="AP520" s="21"/>
      <c r="AQ520" s="5" t="s">
        <v>1948</v>
      </c>
      <c r="AR520" s="5" t="s">
        <v>69</v>
      </c>
      <c r="AW520" s="144" t="str">
        <f t="shared" si="156"/>
        <v>OK</v>
      </c>
      <c r="AX520" s="21" t="s">
        <v>3129</v>
      </c>
      <c r="AY520" s="21" t="s">
        <v>3130</v>
      </c>
      <c r="AZ520" s="21"/>
      <c r="BA520" s="21"/>
    </row>
    <row r="521" spans="1:53" ht="20" customHeight="1">
      <c r="A521" s="86" t="s">
        <v>318</v>
      </c>
      <c r="B521" s="372" t="s">
        <v>2851</v>
      </c>
      <c r="C521" s="5" t="s">
        <v>51</v>
      </c>
      <c r="D521" s="5" t="s">
        <v>52</v>
      </c>
      <c r="E521" s="5" t="s">
        <v>2001</v>
      </c>
      <c r="F521" s="5" t="s">
        <v>1962</v>
      </c>
      <c r="G521" s="5" t="s">
        <v>1980</v>
      </c>
      <c r="H521" s="6">
        <v>42256</v>
      </c>
      <c r="I521" s="5" t="s">
        <v>82</v>
      </c>
      <c r="J521" s="5" t="s">
        <v>1984</v>
      </c>
      <c r="K521" s="5" t="s">
        <v>84</v>
      </c>
      <c r="L521" s="7">
        <v>2</v>
      </c>
      <c r="M521" s="7">
        <v>4</v>
      </c>
      <c r="N521" s="8">
        <v>12030</v>
      </c>
      <c r="O521" s="88">
        <v>0.03</v>
      </c>
      <c r="P521" s="10">
        <f t="shared" si="145"/>
        <v>361</v>
      </c>
      <c r="Q521" s="88">
        <v>0</v>
      </c>
      <c r="R521" s="10">
        <f t="shared" si="146"/>
        <v>0</v>
      </c>
      <c r="S521" s="88">
        <f t="shared" si="147"/>
        <v>3.000831255195345E-2</v>
      </c>
      <c r="T521" s="10">
        <f t="shared" si="148"/>
        <v>361</v>
      </c>
      <c r="U521" s="10">
        <f t="shared" si="149"/>
        <v>12391</v>
      </c>
      <c r="V521" s="11">
        <v>12320</v>
      </c>
      <c r="W521" s="12">
        <f t="shared" si="150"/>
        <v>290</v>
      </c>
      <c r="X521" s="92">
        <f t="shared" si="160"/>
        <v>2.41E-2</v>
      </c>
      <c r="Y521" s="93" t="str">
        <f t="shared" si="158"/>
        <v>2.40%-3.60%</v>
      </c>
      <c r="Z521" s="15" t="s">
        <v>87</v>
      </c>
      <c r="AA521" s="15" t="s">
        <v>74</v>
      </c>
      <c r="AB521" s="15" t="s">
        <v>139</v>
      </c>
      <c r="AC521" s="95">
        <v>5.5E-2</v>
      </c>
      <c r="AD521" s="8">
        <f t="shared" si="151"/>
        <v>662</v>
      </c>
      <c r="AE521" s="17">
        <f t="shared" si="152"/>
        <v>12982</v>
      </c>
      <c r="AF521" s="18">
        <f t="shared" si="153"/>
        <v>952</v>
      </c>
      <c r="AG521" s="97">
        <f t="shared" si="154"/>
        <v>7.9135494596841216E-2</v>
      </c>
      <c r="AH521" s="20">
        <v>14</v>
      </c>
      <c r="AI521" s="20">
        <v>450</v>
      </c>
      <c r="AJ521" s="20"/>
      <c r="AK521" s="20">
        <v>688</v>
      </c>
      <c r="AL521" s="20">
        <f t="shared" si="155"/>
        <v>187836</v>
      </c>
      <c r="AM521" s="7">
        <v>4</v>
      </c>
      <c r="AN521" s="20"/>
      <c r="AO521" s="21" t="s">
        <v>90</v>
      </c>
      <c r="AP521" s="21" t="s">
        <v>90</v>
      </c>
      <c r="AQ521" s="5" t="s">
        <v>1948</v>
      </c>
      <c r="AR521" s="5" t="s">
        <v>69</v>
      </c>
      <c r="AW521" s="144" t="str">
        <f t="shared" si="156"/>
        <v>OK</v>
      </c>
      <c r="AX521" s="21" t="s">
        <v>3133</v>
      </c>
      <c r="AY521" s="21" t="s">
        <v>3136</v>
      </c>
      <c r="AZ521" s="21"/>
      <c r="BA521" s="21"/>
    </row>
    <row r="522" spans="1:53" ht="20" customHeight="1">
      <c r="A522" s="86" t="s">
        <v>318</v>
      </c>
      <c r="B522" s="372" t="s">
        <v>2852</v>
      </c>
      <c r="C522" s="5" t="s">
        <v>51</v>
      </c>
      <c r="D522" s="5" t="s">
        <v>52</v>
      </c>
      <c r="E522" s="5" t="s">
        <v>2001</v>
      </c>
      <c r="F522" s="5" t="s">
        <v>1977</v>
      </c>
      <c r="G522" s="5" t="s">
        <v>1981</v>
      </c>
      <c r="H522" s="6">
        <v>44454</v>
      </c>
      <c r="I522" s="5" t="s">
        <v>74</v>
      </c>
      <c r="J522" s="5" t="s">
        <v>74</v>
      </c>
      <c r="K522" s="5" t="s">
        <v>76</v>
      </c>
      <c r="L522" s="7">
        <v>2</v>
      </c>
      <c r="M522" s="7">
        <v>5</v>
      </c>
      <c r="N522" s="8">
        <v>11507</v>
      </c>
      <c r="O522" s="88">
        <v>0.05</v>
      </c>
      <c r="P522" s="10">
        <f t="shared" si="145"/>
        <v>575</v>
      </c>
      <c r="Q522" s="88">
        <v>2.7E-2</v>
      </c>
      <c r="R522" s="10">
        <f t="shared" si="146"/>
        <v>311</v>
      </c>
      <c r="S522" s="88">
        <f t="shared" si="147"/>
        <v>7.6996610758668635E-2</v>
      </c>
      <c r="T522" s="10">
        <f t="shared" si="148"/>
        <v>886</v>
      </c>
      <c r="U522" s="10">
        <f t="shared" si="149"/>
        <v>12393</v>
      </c>
      <c r="V522" s="11">
        <v>12807</v>
      </c>
      <c r="W522" s="12">
        <f t="shared" si="150"/>
        <v>1300</v>
      </c>
      <c r="X522" s="92">
        <f t="shared" si="160"/>
        <v>0.113</v>
      </c>
      <c r="Y522" s="93" t="str">
        <f t="shared" si="158"/>
        <v>6.16%-9.24%</v>
      </c>
      <c r="Z522" s="15"/>
      <c r="AA522" s="15"/>
      <c r="AB522" s="15"/>
      <c r="AC522" s="95"/>
      <c r="AD522" s="8">
        <f t="shared" si="151"/>
        <v>0</v>
      </c>
      <c r="AE522" s="17">
        <f t="shared" si="152"/>
        <v>12807</v>
      </c>
      <c r="AF522" s="18">
        <f t="shared" si="153"/>
        <v>1300</v>
      </c>
      <c r="AG522" s="97">
        <f t="shared" si="154"/>
        <v>0.11297471104545065</v>
      </c>
      <c r="AH522" s="20">
        <v>14</v>
      </c>
      <c r="AI522" s="20">
        <v>550</v>
      </c>
      <c r="AJ522" s="20"/>
      <c r="AK522" s="20">
        <v>688</v>
      </c>
      <c r="AL522" s="20">
        <f t="shared" si="155"/>
        <v>186586</v>
      </c>
      <c r="AM522" s="7">
        <v>2</v>
      </c>
      <c r="AN522" s="20"/>
      <c r="AO522" s="21" t="s">
        <v>1985</v>
      </c>
      <c r="AP522" s="21" t="s">
        <v>90</v>
      </c>
      <c r="AQ522" s="5" t="s">
        <v>1948</v>
      </c>
      <c r="AR522" s="5" t="s">
        <v>69</v>
      </c>
      <c r="AW522" s="144" t="str">
        <f t="shared" si="156"/>
        <v>&gt;20</v>
      </c>
      <c r="AX522" s="21" t="s">
        <v>3131</v>
      </c>
      <c r="AY522" s="21" t="s">
        <v>3130</v>
      </c>
      <c r="AZ522" s="21"/>
      <c r="BA522" s="21"/>
    </row>
    <row r="523" spans="1:53" ht="20" customHeight="1">
      <c r="A523" s="86" t="s">
        <v>318</v>
      </c>
      <c r="B523" s="372" t="s">
        <v>2853</v>
      </c>
      <c r="C523" s="5" t="s">
        <v>51</v>
      </c>
      <c r="D523" s="5" t="s">
        <v>52</v>
      </c>
      <c r="E523" s="5" t="s">
        <v>2001</v>
      </c>
      <c r="F523" s="5" t="s">
        <v>1973</v>
      </c>
      <c r="G523" s="5" t="s">
        <v>1981</v>
      </c>
      <c r="H523" s="6">
        <v>44671</v>
      </c>
      <c r="I523" s="5" t="s">
        <v>82</v>
      </c>
      <c r="J523" s="5" t="s">
        <v>1986</v>
      </c>
      <c r="K523" s="5" t="s">
        <v>84</v>
      </c>
      <c r="L523" s="7">
        <v>2</v>
      </c>
      <c r="M523" s="7">
        <v>3</v>
      </c>
      <c r="N523" s="8">
        <v>13237</v>
      </c>
      <c r="O523" s="88">
        <v>2.5000000000000001E-2</v>
      </c>
      <c r="P523" s="10">
        <f t="shared" ref="P523:P586" si="161">ROUND(N523*O523,0)</f>
        <v>331</v>
      </c>
      <c r="Q523" s="88">
        <v>0</v>
      </c>
      <c r="R523" s="10">
        <f t="shared" ref="R523:R586" si="162">ROUND(N523*Q523,0)</f>
        <v>0</v>
      </c>
      <c r="S523" s="88">
        <f t="shared" ref="S523:S586" si="163">T523/N523</f>
        <v>2.500566593639042E-2</v>
      </c>
      <c r="T523" s="10">
        <f t="shared" ref="T523:T586" si="164">P523+R523</f>
        <v>331</v>
      </c>
      <c r="U523" s="10">
        <f t="shared" ref="U523:U586" si="165">N523+T523</f>
        <v>13568</v>
      </c>
      <c r="V523" s="11">
        <v>13634</v>
      </c>
      <c r="W523" s="12">
        <f t="shared" ref="W523:W586" si="166">V523-N523</f>
        <v>397</v>
      </c>
      <c r="X523" s="92">
        <f t="shared" si="160"/>
        <v>0.03</v>
      </c>
      <c r="Y523" s="93" t="str">
        <f t="shared" si="158"/>
        <v>2.00%-3.00%</v>
      </c>
      <c r="Z523" s="15"/>
      <c r="AA523" s="15"/>
      <c r="AB523" s="15"/>
      <c r="AC523" s="95"/>
      <c r="AD523" s="8">
        <f t="shared" ref="AD523:AD586" si="167">ROUND(N523*AC523,0)</f>
        <v>0</v>
      </c>
      <c r="AE523" s="17">
        <f t="shared" ref="AE523:AE586" si="168">V523+AD523</f>
        <v>13634</v>
      </c>
      <c r="AF523" s="18">
        <f t="shared" ref="AF523:AF586" si="169">AE523-N523</f>
        <v>397</v>
      </c>
      <c r="AG523" s="97">
        <f t="shared" ref="AG523:AG586" si="170">AE523/N523-1</f>
        <v>2.9991689959960821E-2</v>
      </c>
      <c r="AH523" s="20">
        <v>14</v>
      </c>
      <c r="AI523" s="20">
        <v>450</v>
      </c>
      <c r="AJ523" s="20"/>
      <c r="AK523" s="20">
        <v>688</v>
      </c>
      <c r="AL523" s="20">
        <f t="shared" ref="AL523:AL586" si="171">AE523*AH523+AI523*12+AK523+IF(AB523="",AJ523,IF(AB523="D",5000,IF(AB523="C",1000,0)))*12</f>
        <v>196964</v>
      </c>
      <c r="AM523" s="7">
        <v>4</v>
      </c>
      <c r="AN523" s="20"/>
      <c r="AO523" s="21"/>
      <c r="AP523" s="21" t="s">
        <v>1958</v>
      </c>
      <c r="AQ523" s="5" t="s">
        <v>1948</v>
      </c>
      <c r="AR523" s="5" t="s">
        <v>69</v>
      </c>
      <c r="AW523" s="144" t="str">
        <f t="shared" si="156"/>
        <v>OK</v>
      </c>
      <c r="AX523" s="21" t="s">
        <v>3131</v>
      </c>
      <c r="AY523" s="21" t="s">
        <v>3130</v>
      </c>
      <c r="AZ523" s="21"/>
      <c r="BA523" s="21"/>
    </row>
    <row r="524" spans="1:53" ht="20" customHeight="1">
      <c r="A524" s="86" t="s">
        <v>318</v>
      </c>
      <c r="B524" s="372" t="s">
        <v>2854</v>
      </c>
      <c r="C524" s="5" t="s">
        <v>51</v>
      </c>
      <c r="D524" s="5" t="s">
        <v>52</v>
      </c>
      <c r="E524" s="5" t="s">
        <v>2001</v>
      </c>
      <c r="F524" s="5" t="s">
        <v>1977</v>
      </c>
      <c r="G524" s="5" t="s">
        <v>1981</v>
      </c>
      <c r="H524" s="6">
        <v>39665</v>
      </c>
      <c r="I524" s="5" t="s">
        <v>74</v>
      </c>
      <c r="J524" s="5" t="s">
        <v>1987</v>
      </c>
      <c r="K524" s="5" t="s">
        <v>76</v>
      </c>
      <c r="L524" s="7">
        <v>2</v>
      </c>
      <c r="M524" s="7">
        <v>3</v>
      </c>
      <c r="N524" s="8">
        <v>17702</v>
      </c>
      <c r="O524" s="88">
        <v>0</v>
      </c>
      <c r="P524" s="10">
        <f t="shared" si="161"/>
        <v>0</v>
      </c>
      <c r="Q524" s="88">
        <v>0</v>
      </c>
      <c r="R524" s="10">
        <f t="shared" si="162"/>
        <v>0</v>
      </c>
      <c r="S524" s="88">
        <f t="shared" si="163"/>
        <v>0</v>
      </c>
      <c r="T524" s="10">
        <f t="shared" si="164"/>
        <v>0</v>
      </c>
      <c r="U524" s="10">
        <f t="shared" si="165"/>
        <v>17702</v>
      </c>
      <c r="V524" s="11">
        <f t="shared" si="159"/>
        <v>17702</v>
      </c>
      <c r="W524" s="12">
        <f t="shared" si="166"/>
        <v>0</v>
      </c>
      <c r="X524" s="92">
        <f t="shared" si="160"/>
        <v>0</v>
      </c>
      <c r="Y524" s="93" t="str">
        <f t="shared" si="158"/>
        <v>0.00%-0.00%</v>
      </c>
      <c r="Z524" s="15"/>
      <c r="AA524" s="15"/>
      <c r="AB524" s="15"/>
      <c r="AC524" s="95"/>
      <c r="AD524" s="8">
        <f t="shared" si="167"/>
        <v>0</v>
      </c>
      <c r="AE524" s="17">
        <f t="shared" si="168"/>
        <v>17702</v>
      </c>
      <c r="AF524" s="18">
        <f t="shared" si="169"/>
        <v>0</v>
      </c>
      <c r="AG524" s="97">
        <f t="shared" si="170"/>
        <v>0</v>
      </c>
      <c r="AH524" s="20">
        <v>14</v>
      </c>
      <c r="AI524" s="20">
        <v>450</v>
      </c>
      <c r="AJ524" s="20"/>
      <c r="AK524" s="20">
        <v>688</v>
      </c>
      <c r="AL524" s="20">
        <f t="shared" si="171"/>
        <v>253916</v>
      </c>
      <c r="AM524" s="7">
        <v>4</v>
      </c>
      <c r="AN524" s="20"/>
      <c r="AO524" s="21"/>
      <c r="AP524" s="21"/>
      <c r="AQ524" s="5" t="s">
        <v>1948</v>
      </c>
      <c r="AR524" s="5" t="s">
        <v>69</v>
      </c>
      <c r="AW524" s="144" t="str">
        <f t="shared" si="156"/>
        <v>OK</v>
      </c>
      <c r="AX524" s="21" t="s">
        <v>3129</v>
      </c>
      <c r="AY524" s="21" t="s">
        <v>3134</v>
      </c>
      <c r="AZ524" s="21"/>
      <c r="BA524" s="21"/>
    </row>
    <row r="525" spans="1:53" ht="20" customHeight="1">
      <c r="A525" s="86" t="s">
        <v>318</v>
      </c>
      <c r="B525" s="372" t="s">
        <v>2855</v>
      </c>
      <c r="C525" s="5" t="s">
        <v>51</v>
      </c>
      <c r="D525" s="5" t="s">
        <v>52</v>
      </c>
      <c r="E525" s="5" t="s">
        <v>2001</v>
      </c>
      <c r="F525" s="5" t="s">
        <v>1962</v>
      </c>
      <c r="G525" s="5" t="s">
        <v>1963</v>
      </c>
      <c r="H525" s="6">
        <v>42326</v>
      </c>
      <c r="I525" s="5" t="s">
        <v>111</v>
      </c>
      <c r="J525" s="5" t="s">
        <v>1988</v>
      </c>
      <c r="K525" s="5" t="s">
        <v>56</v>
      </c>
      <c r="L525" s="7">
        <v>2</v>
      </c>
      <c r="M525" s="7">
        <v>3</v>
      </c>
      <c r="N525" s="8">
        <v>23713</v>
      </c>
      <c r="O525" s="88">
        <v>2.5000000000000001E-2</v>
      </c>
      <c r="P525" s="10">
        <f t="shared" si="161"/>
        <v>593</v>
      </c>
      <c r="Q525" s="88">
        <v>0</v>
      </c>
      <c r="R525" s="10">
        <f t="shared" si="162"/>
        <v>0</v>
      </c>
      <c r="S525" s="88">
        <f t="shared" si="163"/>
        <v>2.5007379918188334E-2</v>
      </c>
      <c r="T525" s="10">
        <f t="shared" si="164"/>
        <v>593</v>
      </c>
      <c r="U525" s="10">
        <f t="shared" si="165"/>
        <v>24306</v>
      </c>
      <c r="V525" s="11">
        <v>24200</v>
      </c>
      <c r="W525" s="12">
        <f t="shared" si="166"/>
        <v>487</v>
      </c>
      <c r="X525" s="92">
        <f t="shared" si="160"/>
        <v>2.0500000000000001E-2</v>
      </c>
      <c r="Y525" s="93" t="str">
        <f t="shared" si="158"/>
        <v>2.00%-3.00%</v>
      </c>
      <c r="Z525" s="15"/>
      <c r="AA525" s="15"/>
      <c r="AB525" s="15"/>
      <c r="AC525" s="95"/>
      <c r="AD525" s="8">
        <f t="shared" si="167"/>
        <v>0</v>
      </c>
      <c r="AE525" s="17">
        <f t="shared" si="168"/>
        <v>24200</v>
      </c>
      <c r="AF525" s="18">
        <f t="shared" si="169"/>
        <v>487</v>
      </c>
      <c r="AG525" s="97">
        <f t="shared" si="170"/>
        <v>2.0537258044110773E-2</v>
      </c>
      <c r="AH525" s="20">
        <v>14</v>
      </c>
      <c r="AI525" s="20">
        <v>450</v>
      </c>
      <c r="AJ525" s="20"/>
      <c r="AK525" s="20">
        <v>688</v>
      </c>
      <c r="AL525" s="20">
        <f t="shared" si="171"/>
        <v>344888</v>
      </c>
      <c r="AM525" s="7">
        <v>3</v>
      </c>
      <c r="AN525" s="20"/>
      <c r="AO525" s="21"/>
      <c r="AP525" s="21" t="s">
        <v>1953</v>
      </c>
      <c r="AQ525" s="5" t="s">
        <v>1948</v>
      </c>
      <c r="AR525" s="5" t="s">
        <v>69</v>
      </c>
      <c r="AW525" s="144" t="str">
        <f t="shared" si="156"/>
        <v>OK</v>
      </c>
      <c r="AX525" s="21" t="s">
        <v>3133</v>
      </c>
      <c r="AY525" s="21" t="s">
        <v>3130</v>
      </c>
      <c r="AZ525" s="21"/>
      <c r="BA525" s="21"/>
    </row>
    <row r="526" spans="1:53" ht="20" customHeight="1">
      <c r="A526" s="86" t="s">
        <v>318</v>
      </c>
      <c r="B526" s="372" t="s">
        <v>2856</v>
      </c>
      <c r="C526" s="5" t="s">
        <v>51</v>
      </c>
      <c r="D526" s="5" t="s">
        <v>52</v>
      </c>
      <c r="E526" s="5" t="s">
        <v>2001</v>
      </c>
      <c r="F526" s="5" t="s">
        <v>1977</v>
      </c>
      <c r="G526" s="5" t="s">
        <v>1981</v>
      </c>
      <c r="H526" s="6">
        <v>39589</v>
      </c>
      <c r="I526" s="5" t="s">
        <v>266</v>
      </c>
      <c r="J526" s="5" t="s">
        <v>266</v>
      </c>
      <c r="K526" s="5" t="s">
        <v>56</v>
      </c>
      <c r="L526" s="7">
        <v>2</v>
      </c>
      <c r="M526" s="7">
        <v>4</v>
      </c>
      <c r="N526" s="8">
        <v>30300</v>
      </c>
      <c r="O526" s="88">
        <v>0.03</v>
      </c>
      <c r="P526" s="10">
        <f t="shared" si="161"/>
        <v>909</v>
      </c>
      <c r="Q526" s="88">
        <v>0</v>
      </c>
      <c r="R526" s="10">
        <f t="shared" si="162"/>
        <v>0</v>
      </c>
      <c r="S526" s="88">
        <f t="shared" si="163"/>
        <v>0.03</v>
      </c>
      <c r="T526" s="10">
        <f t="shared" si="164"/>
        <v>909</v>
      </c>
      <c r="U526" s="10">
        <f t="shared" si="165"/>
        <v>31209</v>
      </c>
      <c r="V526" s="11">
        <v>31058</v>
      </c>
      <c r="W526" s="12">
        <f t="shared" si="166"/>
        <v>758</v>
      </c>
      <c r="X526" s="92">
        <f t="shared" si="160"/>
        <v>2.5000000000000001E-2</v>
      </c>
      <c r="Y526" s="93" t="str">
        <f t="shared" si="158"/>
        <v>2.40%-3.60%</v>
      </c>
      <c r="Z526" s="15"/>
      <c r="AA526" s="15"/>
      <c r="AB526" s="15"/>
      <c r="AC526" s="95"/>
      <c r="AD526" s="8">
        <f t="shared" si="167"/>
        <v>0</v>
      </c>
      <c r="AE526" s="17">
        <f t="shared" si="168"/>
        <v>31058</v>
      </c>
      <c r="AF526" s="18">
        <f t="shared" si="169"/>
        <v>758</v>
      </c>
      <c r="AG526" s="97">
        <f t="shared" si="170"/>
        <v>2.5016501650165113E-2</v>
      </c>
      <c r="AH526" s="20">
        <v>14</v>
      </c>
      <c r="AI526" s="20">
        <v>950</v>
      </c>
      <c r="AJ526" s="20"/>
      <c r="AK526" s="20">
        <v>688</v>
      </c>
      <c r="AL526" s="20">
        <f t="shared" si="171"/>
        <v>446900</v>
      </c>
      <c r="AM526" s="7">
        <v>3</v>
      </c>
      <c r="AN526" s="20"/>
      <c r="AO526" s="21"/>
      <c r="AP526" s="21" t="s">
        <v>1953</v>
      </c>
      <c r="AQ526" s="5" t="s">
        <v>1948</v>
      </c>
      <c r="AR526" s="5" t="s">
        <v>69</v>
      </c>
      <c r="AW526" s="144" t="str">
        <f t="shared" si="156"/>
        <v>OK</v>
      </c>
      <c r="AX526" s="21" t="s">
        <v>3129</v>
      </c>
      <c r="AY526" s="21" t="s">
        <v>3136</v>
      </c>
      <c r="AZ526" s="21"/>
      <c r="BA526" s="21"/>
    </row>
    <row r="527" spans="1:53" ht="20" customHeight="1">
      <c r="A527" s="86" t="s">
        <v>318</v>
      </c>
      <c r="B527" s="372" t="s">
        <v>2857</v>
      </c>
      <c r="C527" s="5" t="s">
        <v>51</v>
      </c>
      <c r="D527" s="5" t="s">
        <v>52</v>
      </c>
      <c r="E527" s="5" t="s">
        <v>2001</v>
      </c>
      <c r="F527" s="5" t="s">
        <v>1973</v>
      </c>
      <c r="G527" s="5" t="s">
        <v>1981</v>
      </c>
      <c r="H527" s="6">
        <v>38873</v>
      </c>
      <c r="I527" s="5" t="s">
        <v>111</v>
      </c>
      <c r="J527" s="5" t="s">
        <v>1989</v>
      </c>
      <c r="K527" s="5" t="s">
        <v>56</v>
      </c>
      <c r="L527" s="7">
        <v>2</v>
      </c>
      <c r="M527" s="7">
        <v>5</v>
      </c>
      <c r="N527" s="8">
        <v>35062</v>
      </c>
      <c r="O527" s="88">
        <v>0.03</v>
      </c>
      <c r="P527" s="10">
        <f t="shared" si="161"/>
        <v>1052</v>
      </c>
      <c r="Q527" s="88">
        <v>0</v>
      </c>
      <c r="R527" s="10">
        <f t="shared" si="162"/>
        <v>0</v>
      </c>
      <c r="S527" s="88">
        <f t="shared" si="163"/>
        <v>3.0003992926815357E-2</v>
      </c>
      <c r="T527" s="10">
        <f t="shared" si="164"/>
        <v>1052</v>
      </c>
      <c r="U527" s="10">
        <f t="shared" si="165"/>
        <v>36114</v>
      </c>
      <c r="V527" s="11">
        <v>36522</v>
      </c>
      <c r="W527" s="12">
        <f t="shared" si="166"/>
        <v>1460</v>
      </c>
      <c r="X527" s="92">
        <f t="shared" si="160"/>
        <v>4.1599999999999998E-2</v>
      </c>
      <c r="Y527" s="93" t="str">
        <f t="shared" si="158"/>
        <v>2.40%-3.60%</v>
      </c>
      <c r="Z527" s="15"/>
      <c r="AA527" s="15"/>
      <c r="AB527" s="15"/>
      <c r="AC527" s="95"/>
      <c r="AD527" s="8">
        <f t="shared" si="167"/>
        <v>0</v>
      </c>
      <c r="AE527" s="17">
        <f t="shared" si="168"/>
        <v>36522</v>
      </c>
      <c r="AF527" s="18">
        <f t="shared" si="169"/>
        <v>1460</v>
      </c>
      <c r="AG527" s="97">
        <f t="shared" si="170"/>
        <v>4.164052250299477E-2</v>
      </c>
      <c r="AH527" s="20">
        <v>14</v>
      </c>
      <c r="AI527" s="20">
        <v>450</v>
      </c>
      <c r="AJ527" s="20"/>
      <c r="AK527" s="20">
        <v>688</v>
      </c>
      <c r="AL527" s="20">
        <f t="shared" si="171"/>
        <v>517396</v>
      </c>
      <c r="AM527" s="7">
        <v>5</v>
      </c>
      <c r="AN527" s="20"/>
      <c r="AO527" s="21" t="s">
        <v>1990</v>
      </c>
      <c r="AP527" s="21" t="s">
        <v>90</v>
      </c>
      <c r="AQ527" s="5" t="s">
        <v>1948</v>
      </c>
      <c r="AR527" s="5" t="s">
        <v>69</v>
      </c>
      <c r="AW527" s="144" t="str">
        <f t="shared" si="156"/>
        <v>OK</v>
      </c>
      <c r="AX527" s="21" t="s">
        <v>3129</v>
      </c>
      <c r="AY527" s="21" t="s">
        <v>3138</v>
      </c>
      <c r="AZ527" s="21"/>
      <c r="BA527" s="21"/>
    </row>
    <row r="528" spans="1:53" ht="20" customHeight="1">
      <c r="A528" s="86" t="s">
        <v>318</v>
      </c>
      <c r="B528" s="372" t="s">
        <v>2858</v>
      </c>
      <c r="C528" s="5" t="s">
        <v>51</v>
      </c>
      <c r="D528" s="5" t="s">
        <v>52</v>
      </c>
      <c r="E528" s="5" t="s">
        <v>2001</v>
      </c>
      <c r="F528" s="5" t="s">
        <v>1966</v>
      </c>
      <c r="G528" s="5" t="s">
        <v>1980</v>
      </c>
      <c r="H528" s="6">
        <v>40674</v>
      </c>
      <c r="I528" s="5" t="s">
        <v>74</v>
      </c>
      <c r="J528" s="5" t="s">
        <v>1991</v>
      </c>
      <c r="K528" s="5" t="s">
        <v>76</v>
      </c>
      <c r="L528" s="7">
        <v>2</v>
      </c>
      <c r="M528" s="7">
        <v>2</v>
      </c>
      <c r="N528" s="8">
        <v>11715</v>
      </c>
      <c r="O528" s="88">
        <v>0</v>
      </c>
      <c r="P528" s="10">
        <f t="shared" si="161"/>
        <v>0</v>
      </c>
      <c r="Q528" s="88">
        <v>0</v>
      </c>
      <c r="R528" s="10">
        <f t="shared" si="162"/>
        <v>0</v>
      </c>
      <c r="S528" s="88">
        <f t="shared" si="163"/>
        <v>0</v>
      </c>
      <c r="T528" s="10">
        <f t="shared" si="164"/>
        <v>0</v>
      </c>
      <c r="U528" s="10">
        <f t="shared" si="165"/>
        <v>11715</v>
      </c>
      <c r="V528" s="11">
        <f t="shared" si="159"/>
        <v>11715</v>
      </c>
      <c r="W528" s="12">
        <f t="shared" si="166"/>
        <v>0</v>
      </c>
      <c r="X528" s="92">
        <f t="shared" si="160"/>
        <v>0</v>
      </c>
      <c r="Y528" s="93" t="str">
        <f t="shared" si="158"/>
        <v>0.00%-0.00%</v>
      </c>
      <c r="Z528" s="15"/>
      <c r="AA528" s="15"/>
      <c r="AB528" s="15"/>
      <c r="AC528" s="95"/>
      <c r="AD528" s="8">
        <f t="shared" si="167"/>
        <v>0</v>
      </c>
      <c r="AE528" s="17">
        <f t="shared" si="168"/>
        <v>11715</v>
      </c>
      <c r="AF528" s="18">
        <f t="shared" si="169"/>
        <v>0</v>
      </c>
      <c r="AG528" s="97">
        <f t="shared" si="170"/>
        <v>0</v>
      </c>
      <c r="AH528" s="20">
        <v>14</v>
      </c>
      <c r="AI528" s="20">
        <v>450</v>
      </c>
      <c r="AJ528" s="20"/>
      <c r="AK528" s="20">
        <v>688</v>
      </c>
      <c r="AL528" s="20">
        <f t="shared" si="171"/>
        <v>170098</v>
      </c>
      <c r="AM528" s="7">
        <v>3</v>
      </c>
      <c r="AN528" s="20"/>
      <c r="AO528" s="21"/>
      <c r="AP528" s="21"/>
      <c r="AQ528" s="5" t="s">
        <v>1948</v>
      </c>
      <c r="AR528" s="5" t="s">
        <v>69</v>
      </c>
      <c r="AW528" s="144" t="str">
        <f t="shared" si="156"/>
        <v>OK</v>
      </c>
      <c r="AX528" s="21" t="s">
        <v>3135</v>
      </c>
      <c r="AY528" s="21">
        <v>0</v>
      </c>
      <c r="AZ528" s="21"/>
      <c r="BA528" s="21"/>
    </row>
    <row r="529" spans="1:53" ht="20" customHeight="1">
      <c r="A529" s="86" t="s">
        <v>318</v>
      </c>
      <c r="B529" s="372" t="s">
        <v>2859</v>
      </c>
      <c r="C529" s="5" t="s">
        <v>51</v>
      </c>
      <c r="D529" s="5" t="s">
        <v>52</v>
      </c>
      <c r="E529" s="5" t="s">
        <v>2001</v>
      </c>
      <c r="F529" s="5" t="s">
        <v>1966</v>
      </c>
      <c r="G529" s="5" t="s">
        <v>1980</v>
      </c>
      <c r="H529" s="6">
        <v>39212</v>
      </c>
      <c r="I529" s="5" t="s">
        <v>74</v>
      </c>
      <c r="J529" s="5" t="s">
        <v>1575</v>
      </c>
      <c r="K529" s="5" t="s">
        <v>76</v>
      </c>
      <c r="L529" s="7">
        <v>2</v>
      </c>
      <c r="M529" s="7">
        <v>3</v>
      </c>
      <c r="N529" s="8">
        <v>11176</v>
      </c>
      <c r="O529" s="88">
        <v>2.5000000000000001E-2</v>
      </c>
      <c r="P529" s="10">
        <f t="shared" si="161"/>
        <v>279</v>
      </c>
      <c r="Q529" s="88">
        <v>0</v>
      </c>
      <c r="R529" s="10">
        <f t="shared" si="162"/>
        <v>0</v>
      </c>
      <c r="S529" s="88">
        <f t="shared" si="163"/>
        <v>2.4964209019327131E-2</v>
      </c>
      <c r="T529" s="10">
        <f t="shared" si="164"/>
        <v>279</v>
      </c>
      <c r="U529" s="10">
        <f t="shared" si="165"/>
        <v>11455</v>
      </c>
      <c r="V529" s="11">
        <v>11400</v>
      </c>
      <c r="W529" s="12">
        <f t="shared" si="166"/>
        <v>224</v>
      </c>
      <c r="X529" s="92">
        <f t="shared" si="160"/>
        <v>0.02</v>
      </c>
      <c r="Y529" s="93" t="str">
        <f t="shared" si="158"/>
        <v>2.00%-3.00%</v>
      </c>
      <c r="Z529" s="15"/>
      <c r="AA529" s="15"/>
      <c r="AB529" s="15"/>
      <c r="AC529" s="95"/>
      <c r="AD529" s="8">
        <f t="shared" si="167"/>
        <v>0</v>
      </c>
      <c r="AE529" s="17">
        <f t="shared" si="168"/>
        <v>11400</v>
      </c>
      <c r="AF529" s="18">
        <f t="shared" si="169"/>
        <v>224</v>
      </c>
      <c r="AG529" s="97">
        <f t="shared" si="170"/>
        <v>2.004294917680749E-2</v>
      </c>
      <c r="AH529" s="20">
        <v>14</v>
      </c>
      <c r="AI529" s="20">
        <v>450</v>
      </c>
      <c r="AJ529" s="20"/>
      <c r="AK529" s="20">
        <v>688</v>
      </c>
      <c r="AL529" s="20">
        <f t="shared" si="171"/>
        <v>165688</v>
      </c>
      <c r="AM529" s="7">
        <v>3</v>
      </c>
      <c r="AN529" s="20"/>
      <c r="AO529" s="21"/>
      <c r="AP529" s="21" t="s">
        <v>1953</v>
      </c>
      <c r="AQ529" s="5" t="s">
        <v>1948</v>
      </c>
      <c r="AR529" s="5" t="s">
        <v>69</v>
      </c>
      <c r="AW529" s="144" t="str">
        <f t="shared" ref="AW529:AW592" si="172">_xlfn.LET(_xlpm.actual,X529,_xlpm.low,VALUE(_xlfn.TEXTBEFORE(Y529,"-")),_xlpm.high,VALUE(_xlfn.TEXTAFTER(Y529,"-")),IF(AND(_xlpm.actual=0,OR(_xlpm.low&lt;&gt;0,_xlpm.high&lt;&gt;0)),"0 increase",IF(_xlpm.actual&gt;_xlpm.high*1.2,"&gt;20",IF(_xlpm.actual&lt;_xlpm.low*0.8,"&lt;20","OK"))))</f>
        <v>OK</v>
      </c>
      <c r="AX529" s="21" t="s">
        <v>3129</v>
      </c>
      <c r="AY529" s="21" t="s">
        <v>3130</v>
      </c>
      <c r="AZ529" s="21"/>
      <c r="BA529" s="21"/>
    </row>
    <row r="530" spans="1:53" ht="20" customHeight="1">
      <c r="A530" s="86" t="s">
        <v>318</v>
      </c>
      <c r="B530" s="372" t="s">
        <v>2860</v>
      </c>
      <c r="C530" s="5" t="s">
        <v>51</v>
      </c>
      <c r="D530" s="5" t="s">
        <v>52</v>
      </c>
      <c r="E530" s="5" t="s">
        <v>2001</v>
      </c>
      <c r="F530" s="5" t="s">
        <v>1977</v>
      </c>
      <c r="G530" s="5" t="s">
        <v>1981</v>
      </c>
      <c r="H530" s="6">
        <v>42347</v>
      </c>
      <c r="I530" s="5" t="s">
        <v>266</v>
      </c>
      <c r="J530" s="5" t="s">
        <v>266</v>
      </c>
      <c r="K530" s="5" t="s">
        <v>56</v>
      </c>
      <c r="L530" s="7">
        <v>2</v>
      </c>
      <c r="M530" s="7">
        <v>4</v>
      </c>
      <c r="N530" s="8">
        <v>31520</v>
      </c>
      <c r="O530" s="88">
        <v>0.03</v>
      </c>
      <c r="P530" s="10">
        <f t="shared" si="161"/>
        <v>946</v>
      </c>
      <c r="Q530" s="88">
        <v>0</v>
      </c>
      <c r="R530" s="10">
        <f t="shared" si="162"/>
        <v>0</v>
      </c>
      <c r="S530" s="88">
        <f t="shared" si="163"/>
        <v>3.0012690355329948E-2</v>
      </c>
      <c r="T530" s="10">
        <f t="shared" si="164"/>
        <v>946</v>
      </c>
      <c r="U530" s="10">
        <f t="shared" si="165"/>
        <v>32466</v>
      </c>
      <c r="V530" s="11">
        <v>32300</v>
      </c>
      <c r="W530" s="12">
        <f t="shared" si="166"/>
        <v>780</v>
      </c>
      <c r="X530" s="92">
        <f t="shared" si="160"/>
        <v>2.47E-2</v>
      </c>
      <c r="Y530" s="93" t="str">
        <f t="shared" si="158"/>
        <v>2.40%-3.60%</v>
      </c>
      <c r="Z530" s="15"/>
      <c r="AA530" s="15"/>
      <c r="AB530" s="15"/>
      <c r="AC530" s="95"/>
      <c r="AD530" s="8">
        <f t="shared" si="167"/>
        <v>0</v>
      </c>
      <c r="AE530" s="17">
        <f t="shared" si="168"/>
        <v>32300</v>
      </c>
      <c r="AF530" s="18">
        <f t="shared" si="169"/>
        <v>780</v>
      </c>
      <c r="AG530" s="97">
        <f t="shared" si="170"/>
        <v>2.4746192893400965E-2</v>
      </c>
      <c r="AH530" s="20">
        <v>14</v>
      </c>
      <c r="AI530" s="20">
        <v>450</v>
      </c>
      <c r="AJ530" s="20"/>
      <c r="AK530" s="20">
        <v>688</v>
      </c>
      <c r="AL530" s="20">
        <f t="shared" si="171"/>
        <v>458288</v>
      </c>
      <c r="AM530" s="7">
        <v>4</v>
      </c>
      <c r="AN530" s="20"/>
      <c r="AO530" s="21"/>
      <c r="AP530" s="21" t="s">
        <v>1953</v>
      </c>
      <c r="AQ530" s="5" t="s">
        <v>1948</v>
      </c>
      <c r="AR530" s="5" t="s">
        <v>69</v>
      </c>
      <c r="AW530" s="144" t="str">
        <f t="shared" si="172"/>
        <v>OK</v>
      </c>
      <c r="AX530" s="21" t="s">
        <v>3133</v>
      </c>
      <c r="AY530" s="21" t="s">
        <v>3136</v>
      </c>
      <c r="AZ530" s="21"/>
      <c r="BA530" s="21"/>
    </row>
    <row r="531" spans="1:53" ht="20" customHeight="1">
      <c r="A531" s="86" t="s">
        <v>318</v>
      </c>
      <c r="B531" s="372" t="s">
        <v>2861</v>
      </c>
      <c r="C531" s="5" t="s">
        <v>51</v>
      </c>
      <c r="D531" s="5" t="s">
        <v>52</v>
      </c>
      <c r="E531" s="5" t="s">
        <v>2001</v>
      </c>
      <c r="F531" s="5" t="s">
        <v>1951</v>
      </c>
      <c r="G531" s="5" t="s">
        <v>1981</v>
      </c>
      <c r="H531" s="6">
        <v>39651</v>
      </c>
      <c r="I531" s="5" t="s">
        <v>60</v>
      </c>
      <c r="J531" s="5" t="s">
        <v>60</v>
      </c>
      <c r="K531" s="5" t="s">
        <v>61</v>
      </c>
      <c r="L531" s="7">
        <v>2</v>
      </c>
      <c r="M531" s="7">
        <v>3</v>
      </c>
      <c r="N531" s="8">
        <v>25483</v>
      </c>
      <c r="O531" s="88">
        <v>0</v>
      </c>
      <c r="P531" s="10">
        <f t="shared" si="161"/>
        <v>0</v>
      </c>
      <c r="Q531" s="88">
        <v>0</v>
      </c>
      <c r="R531" s="10">
        <f t="shared" si="162"/>
        <v>0</v>
      </c>
      <c r="S531" s="88">
        <f t="shared" si="163"/>
        <v>0</v>
      </c>
      <c r="T531" s="10">
        <f t="shared" si="164"/>
        <v>0</v>
      </c>
      <c r="U531" s="10">
        <f t="shared" si="165"/>
        <v>25483</v>
      </c>
      <c r="V531" s="11">
        <f t="shared" si="159"/>
        <v>25483</v>
      </c>
      <c r="W531" s="12">
        <f t="shared" si="166"/>
        <v>0</v>
      </c>
      <c r="X531" s="92">
        <f t="shared" si="160"/>
        <v>0</v>
      </c>
      <c r="Y531" s="93" t="str">
        <f t="shared" si="158"/>
        <v>0.00%-0.00%</v>
      </c>
      <c r="Z531" s="15"/>
      <c r="AA531" s="15"/>
      <c r="AB531" s="15"/>
      <c r="AC531" s="95"/>
      <c r="AD531" s="8">
        <f t="shared" si="167"/>
        <v>0</v>
      </c>
      <c r="AE531" s="17">
        <f t="shared" si="168"/>
        <v>25483</v>
      </c>
      <c r="AF531" s="18">
        <f t="shared" si="169"/>
        <v>0</v>
      </c>
      <c r="AG531" s="97">
        <f t="shared" si="170"/>
        <v>0</v>
      </c>
      <c r="AH531" s="20">
        <v>14</v>
      </c>
      <c r="AI531" s="20">
        <v>450</v>
      </c>
      <c r="AJ531" s="20"/>
      <c r="AK531" s="20">
        <v>688</v>
      </c>
      <c r="AL531" s="20">
        <f t="shared" si="171"/>
        <v>362850</v>
      </c>
      <c r="AM531" s="7">
        <v>4</v>
      </c>
      <c r="AN531" s="20"/>
      <c r="AO531" s="21"/>
      <c r="AP531" s="21"/>
      <c r="AQ531" s="5" t="s">
        <v>1948</v>
      </c>
      <c r="AR531" s="5" t="s">
        <v>69</v>
      </c>
      <c r="AW531" s="144" t="str">
        <f t="shared" si="172"/>
        <v>OK</v>
      </c>
      <c r="AX531" s="21" t="s">
        <v>3129</v>
      </c>
      <c r="AY531" s="21" t="s">
        <v>3134</v>
      </c>
      <c r="AZ531" s="21"/>
      <c r="BA531" s="21"/>
    </row>
    <row r="532" spans="1:53" ht="20" customHeight="1">
      <c r="A532" s="86" t="s">
        <v>318</v>
      </c>
      <c r="B532" s="372" t="s">
        <v>2862</v>
      </c>
      <c r="C532" s="5" t="s">
        <v>51</v>
      </c>
      <c r="D532" s="5" t="s">
        <v>52</v>
      </c>
      <c r="E532" s="5" t="s">
        <v>2001</v>
      </c>
      <c r="F532" s="5" t="s">
        <v>1951</v>
      </c>
      <c r="G532" s="5" t="s">
        <v>1981</v>
      </c>
      <c r="H532" s="6">
        <v>40238</v>
      </c>
      <c r="I532" s="5" t="s">
        <v>111</v>
      </c>
      <c r="J532" s="5" t="s">
        <v>1992</v>
      </c>
      <c r="K532" s="5" t="s">
        <v>56</v>
      </c>
      <c r="L532" s="7">
        <v>2</v>
      </c>
      <c r="M532" s="7">
        <v>4</v>
      </c>
      <c r="N532" s="8">
        <v>29626</v>
      </c>
      <c r="O532" s="88">
        <v>0.03</v>
      </c>
      <c r="P532" s="10">
        <f t="shared" si="161"/>
        <v>889</v>
      </c>
      <c r="Q532" s="88">
        <v>0</v>
      </c>
      <c r="R532" s="10">
        <f t="shared" si="162"/>
        <v>0</v>
      </c>
      <c r="S532" s="88">
        <f t="shared" si="163"/>
        <v>3.0007425909673934E-2</v>
      </c>
      <c r="T532" s="10">
        <f t="shared" si="164"/>
        <v>889</v>
      </c>
      <c r="U532" s="10">
        <f t="shared" si="165"/>
        <v>30515</v>
      </c>
      <c r="V532" s="11">
        <f t="shared" si="159"/>
        <v>30515</v>
      </c>
      <c r="W532" s="12">
        <f t="shared" si="166"/>
        <v>889</v>
      </c>
      <c r="X532" s="92">
        <f t="shared" si="160"/>
        <v>0.03</v>
      </c>
      <c r="Y532" s="93" t="str">
        <f t="shared" si="158"/>
        <v>2.40%-3.60%</v>
      </c>
      <c r="Z532" s="15"/>
      <c r="AA532" s="15"/>
      <c r="AB532" s="15"/>
      <c r="AC532" s="95"/>
      <c r="AD532" s="8">
        <f t="shared" si="167"/>
        <v>0</v>
      </c>
      <c r="AE532" s="17">
        <f t="shared" si="168"/>
        <v>30515</v>
      </c>
      <c r="AF532" s="18">
        <f t="shared" si="169"/>
        <v>889</v>
      </c>
      <c r="AG532" s="97">
        <f t="shared" si="170"/>
        <v>3.0007425909673868E-2</v>
      </c>
      <c r="AH532" s="20">
        <v>14</v>
      </c>
      <c r="AI532" s="20">
        <v>450</v>
      </c>
      <c r="AJ532" s="20"/>
      <c r="AK532" s="20">
        <v>688</v>
      </c>
      <c r="AL532" s="20">
        <f t="shared" si="171"/>
        <v>433298</v>
      </c>
      <c r="AM532" s="7">
        <v>3</v>
      </c>
      <c r="AN532" s="20"/>
      <c r="AO532" s="21"/>
      <c r="AP532" s="21"/>
      <c r="AQ532" s="5" t="s">
        <v>1948</v>
      </c>
      <c r="AR532" s="5" t="s">
        <v>69</v>
      </c>
      <c r="AW532" s="144" t="str">
        <f t="shared" si="172"/>
        <v>OK</v>
      </c>
      <c r="AX532" s="21" t="s">
        <v>3129</v>
      </c>
      <c r="AY532" s="21" t="s">
        <v>3136</v>
      </c>
      <c r="AZ532" s="21"/>
      <c r="BA532" s="21"/>
    </row>
    <row r="533" spans="1:53" ht="20" customHeight="1">
      <c r="A533" s="86" t="s">
        <v>318</v>
      </c>
      <c r="B533" s="372" t="s">
        <v>2863</v>
      </c>
      <c r="C533" s="5" t="s">
        <v>51</v>
      </c>
      <c r="D533" s="5" t="s">
        <v>52</v>
      </c>
      <c r="E533" s="5" t="s">
        <v>2001</v>
      </c>
      <c r="F533" s="5" t="s">
        <v>1966</v>
      </c>
      <c r="G533" s="5" t="s">
        <v>1980</v>
      </c>
      <c r="H533" s="6">
        <v>40322</v>
      </c>
      <c r="I533" s="5" t="s">
        <v>174</v>
      </c>
      <c r="J533" s="5" t="s">
        <v>174</v>
      </c>
      <c r="K533" s="5" t="s">
        <v>175</v>
      </c>
      <c r="L533" s="7">
        <v>2</v>
      </c>
      <c r="M533" s="7">
        <v>5</v>
      </c>
      <c r="N533" s="8">
        <v>7746</v>
      </c>
      <c r="O533" s="88">
        <v>0.05</v>
      </c>
      <c r="P533" s="10">
        <f t="shared" si="161"/>
        <v>387</v>
      </c>
      <c r="Q533" s="88">
        <v>2.7E-2</v>
      </c>
      <c r="R533" s="10">
        <f t="shared" si="162"/>
        <v>209</v>
      </c>
      <c r="S533" s="88">
        <f t="shared" si="163"/>
        <v>7.6942938290730706E-2</v>
      </c>
      <c r="T533" s="10">
        <f t="shared" si="164"/>
        <v>596</v>
      </c>
      <c r="U533" s="10">
        <f t="shared" si="165"/>
        <v>8342</v>
      </c>
      <c r="V533" s="11">
        <v>8230</v>
      </c>
      <c r="W533" s="12">
        <f t="shared" si="166"/>
        <v>484</v>
      </c>
      <c r="X533" s="92">
        <f t="shared" si="160"/>
        <v>6.25E-2</v>
      </c>
      <c r="Y533" s="93" t="str">
        <f t="shared" si="158"/>
        <v>6.16%-9.23%</v>
      </c>
      <c r="Z533" s="15" t="s">
        <v>87</v>
      </c>
      <c r="AA533" s="15" t="s">
        <v>1584</v>
      </c>
      <c r="AB533" s="15" t="s">
        <v>1993</v>
      </c>
      <c r="AC533" s="95">
        <v>6.5000000000000002E-2</v>
      </c>
      <c r="AD533" s="8">
        <f t="shared" si="167"/>
        <v>503</v>
      </c>
      <c r="AE533" s="17">
        <f t="shared" si="168"/>
        <v>8733</v>
      </c>
      <c r="AF533" s="18">
        <f t="shared" si="169"/>
        <v>987</v>
      </c>
      <c r="AG533" s="97">
        <f t="shared" si="170"/>
        <v>0.1274206041828041</v>
      </c>
      <c r="AH533" s="20">
        <v>14</v>
      </c>
      <c r="AI533" s="20">
        <v>450</v>
      </c>
      <c r="AJ533" s="20"/>
      <c r="AK533" s="20">
        <v>688</v>
      </c>
      <c r="AL533" s="20">
        <f t="shared" si="171"/>
        <v>128350</v>
      </c>
      <c r="AM533" s="7">
        <v>3</v>
      </c>
      <c r="AN533" s="20"/>
      <c r="AO533" s="21" t="s">
        <v>90</v>
      </c>
      <c r="AP533" s="21" t="s">
        <v>90</v>
      </c>
      <c r="AQ533" s="5" t="s">
        <v>1948</v>
      </c>
      <c r="AR533" s="5" t="s">
        <v>69</v>
      </c>
      <c r="AW533" s="144" t="str">
        <f t="shared" si="172"/>
        <v>OK</v>
      </c>
      <c r="AX533" s="21" t="s">
        <v>3129</v>
      </c>
      <c r="AY533" s="21" t="s">
        <v>3130</v>
      </c>
      <c r="AZ533" s="21"/>
      <c r="BA533" s="21"/>
    </row>
    <row r="534" spans="1:53" ht="20" customHeight="1">
      <c r="A534" s="86" t="s">
        <v>318</v>
      </c>
      <c r="B534" s="372" t="s">
        <v>2864</v>
      </c>
      <c r="C534" s="5" t="s">
        <v>51</v>
      </c>
      <c r="D534" s="5" t="s">
        <v>52</v>
      </c>
      <c r="E534" s="5" t="s">
        <v>2001</v>
      </c>
      <c r="F534" s="5" t="s">
        <v>1966</v>
      </c>
      <c r="G534" s="5" t="s">
        <v>1980</v>
      </c>
      <c r="H534" s="6">
        <v>41423</v>
      </c>
      <c r="I534" s="5" t="s">
        <v>82</v>
      </c>
      <c r="J534" s="5" t="s">
        <v>82</v>
      </c>
      <c r="K534" s="5" t="s">
        <v>84</v>
      </c>
      <c r="L534" s="7">
        <v>2</v>
      </c>
      <c r="M534" s="7">
        <v>3</v>
      </c>
      <c r="N534" s="8">
        <v>11684</v>
      </c>
      <c r="O534" s="88">
        <v>2.5000000000000001E-2</v>
      </c>
      <c r="P534" s="10">
        <f t="shared" si="161"/>
        <v>292</v>
      </c>
      <c r="Q534" s="88">
        <v>0</v>
      </c>
      <c r="R534" s="10">
        <f t="shared" si="162"/>
        <v>0</v>
      </c>
      <c r="S534" s="88">
        <f t="shared" si="163"/>
        <v>2.4991441287230399E-2</v>
      </c>
      <c r="T534" s="10">
        <f t="shared" si="164"/>
        <v>292</v>
      </c>
      <c r="U534" s="10">
        <f t="shared" si="165"/>
        <v>11976</v>
      </c>
      <c r="V534" s="11">
        <f t="shared" si="159"/>
        <v>11976</v>
      </c>
      <c r="W534" s="12">
        <f t="shared" si="166"/>
        <v>292</v>
      </c>
      <c r="X534" s="92">
        <f t="shared" si="160"/>
        <v>2.5000000000000001E-2</v>
      </c>
      <c r="Y534" s="93" t="str">
        <f t="shared" si="158"/>
        <v>2.00%-3.00%</v>
      </c>
      <c r="Z534" s="15"/>
      <c r="AA534" s="15"/>
      <c r="AB534" s="15"/>
      <c r="AC534" s="95"/>
      <c r="AD534" s="8">
        <f t="shared" si="167"/>
        <v>0</v>
      </c>
      <c r="AE534" s="17">
        <f t="shared" si="168"/>
        <v>11976</v>
      </c>
      <c r="AF534" s="18">
        <f t="shared" si="169"/>
        <v>292</v>
      </c>
      <c r="AG534" s="97">
        <f t="shared" si="170"/>
        <v>2.4991441287230298E-2</v>
      </c>
      <c r="AH534" s="20">
        <v>14</v>
      </c>
      <c r="AI534" s="20">
        <v>450</v>
      </c>
      <c r="AJ534" s="20"/>
      <c r="AK534" s="20">
        <v>688</v>
      </c>
      <c r="AL534" s="20">
        <f t="shared" si="171"/>
        <v>173752</v>
      </c>
      <c r="AM534" s="7">
        <v>2</v>
      </c>
      <c r="AN534" s="20"/>
      <c r="AO534" s="21"/>
      <c r="AP534" s="21"/>
      <c r="AQ534" s="5" t="s">
        <v>1948</v>
      </c>
      <c r="AR534" s="5" t="s">
        <v>69</v>
      </c>
      <c r="AW534" s="144" t="str">
        <f t="shared" si="172"/>
        <v>OK</v>
      </c>
      <c r="AX534" s="21" t="s">
        <v>3135</v>
      </c>
      <c r="AY534" s="21" t="s">
        <v>3130</v>
      </c>
      <c r="AZ534" s="21"/>
      <c r="BA534" s="21"/>
    </row>
    <row r="535" spans="1:53" ht="20" customHeight="1">
      <c r="A535" s="86" t="s">
        <v>318</v>
      </c>
      <c r="B535" s="372" t="s">
        <v>2865</v>
      </c>
      <c r="C535" s="5" t="s">
        <v>51</v>
      </c>
      <c r="D535" s="5" t="s">
        <v>52</v>
      </c>
      <c r="E535" s="5" t="s">
        <v>2001</v>
      </c>
      <c r="F535" s="5" t="s">
        <v>1977</v>
      </c>
      <c r="G535" s="5" t="s">
        <v>1981</v>
      </c>
      <c r="H535" s="6">
        <v>44454</v>
      </c>
      <c r="I535" s="5" t="s">
        <v>60</v>
      </c>
      <c r="J535" s="5" t="s">
        <v>60</v>
      </c>
      <c r="K535" s="5" t="s">
        <v>61</v>
      </c>
      <c r="L535" s="7">
        <v>2</v>
      </c>
      <c r="M535" s="7">
        <v>3</v>
      </c>
      <c r="N535" s="8">
        <v>19314</v>
      </c>
      <c r="O535" s="88">
        <v>2.5000000000000001E-2</v>
      </c>
      <c r="P535" s="10">
        <f t="shared" si="161"/>
        <v>483</v>
      </c>
      <c r="Q535" s="88">
        <v>0</v>
      </c>
      <c r="R535" s="10">
        <f t="shared" si="162"/>
        <v>0</v>
      </c>
      <c r="S535" s="88">
        <f t="shared" si="163"/>
        <v>2.5007766387076732E-2</v>
      </c>
      <c r="T535" s="10">
        <f t="shared" si="164"/>
        <v>483</v>
      </c>
      <c r="U535" s="10">
        <f t="shared" si="165"/>
        <v>19797</v>
      </c>
      <c r="V535" s="11">
        <v>19700</v>
      </c>
      <c r="W535" s="12">
        <f t="shared" si="166"/>
        <v>386</v>
      </c>
      <c r="X535" s="92">
        <f t="shared" si="160"/>
        <v>0.02</v>
      </c>
      <c r="Y535" s="93" t="str">
        <f t="shared" si="158"/>
        <v>2.00%-3.00%</v>
      </c>
      <c r="Z535" s="15"/>
      <c r="AA535" s="15"/>
      <c r="AB535" s="15"/>
      <c r="AC535" s="95"/>
      <c r="AD535" s="8">
        <f t="shared" si="167"/>
        <v>0</v>
      </c>
      <c r="AE535" s="17">
        <f t="shared" si="168"/>
        <v>19700</v>
      </c>
      <c r="AF535" s="18">
        <f t="shared" si="169"/>
        <v>386</v>
      </c>
      <c r="AG535" s="97">
        <f t="shared" si="170"/>
        <v>1.9985502744123362E-2</v>
      </c>
      <c r="AH535" s="20">
        <v>14</v>
      </c>
      <c r="AI535" s="20">
        <v>550</v>
      </c>
      <c r="AJ535" s="20"/>
      <c r="AK535" s="20">
        <v>688</v>
      </c>
      <c r="AL535" s="20">
        <f t="shared" si="171"/>
        <v>283088</v>
      </c>
      <c r="AM535" s="7">
        <v>5</v>
      </c>
      <c r="AN535" s="20"/>
      <c r="AO535" s="21"/>
      <c r="AP535" s="21" t="s">
        <v>1953</v>
      </c>
      <c r="AQ535" s="5" t="s">
        <v>1948</v>
      </c>
      <c r="AR535" s="5" t="s">
        <v>69</v>
      </c>
      <c r="AW535" s="144" t="str">
        <f t="shared" si="172"/>
        <v>OK</v>
      </c>
      <c r="AX535" s="21" t="s">
        <v>3131</v>
      </c>
      <c r="AY535" s="21" t="s">
        <v>3130</v>
      </c>
      <c r="AZ535" s="21"/>
      <c r="BA535" s="21"/>
    </row>
    <row r="536" spans="1:53" ht="20" customHeight="1">
      <c r="A536" s="86" t="s">
        <v>318</v>
      </c>
      <c r="B536" s="372" t="s">
        <v>2866</v>
      </c>
      <c r="C536" s="5" t="s">
        <v>51</v>
      </c>
      <c r="D536" s="5" t="s">
        <v>52</v>
      </c>
      <c r="E536" s="5" t="s">
        <v>2001</v>
      </c>
      <c r="F536" s="5" t="s">
        <v>1976</v>
      </c>
      <c r="G536" s="5" t="s">
        <v>1980</v>
      </c>
      <c r="H536" s="6">
        <v>42032</v>
      </c>
      <c r="I536" s="5" t="s">
        <v>82</v>
      </c>
      <c r="J536" s="5" t="s">
        <v>1994</v>
      </c>
      <c r="K536" s="5" t="s">
        <v>84</v>
      </c>
      <c r="L536" s="7">
        <v>2</v>
      </c>
      <c r="M536" s="7">
        <v>4</v>
      </c>
      <c r="N536" s="8">
        <v>16369</v>
      </c>
      <c r="O536" s="88">
        <v>0.03</v>
      </c>
      <c r="P536" s="10">
        <f t="shared" si="161"/>
        <v>491</v>
      </c>
      <c r="Q536" s="88">
        <v>0</v>
      </c>
      <c r="R536" s="10">
        <f t="shared" si="162"/>
        <v>0</v>
      </c>
      <c r="S536" s="88">
        <f t="shared" si="163"/>
        <v>2.9995723623923269E-2</v>
      </c>
      <c r="T536" s="10">
        <f t="shared" si="164"/>
        <v>491</v>
      </c>
      <c r="U536" s="10">
        <f t="shared" si="165"/>
        <v>16860</v>
      </c>
      <c r="V536" s="11">
        <v>16770</v>
      </c>
      <c r="W536" s="12">
        <f t="shared" si="166"/>
        <v>401</v>
      </c>
      <c r="X536" s="92">
        <f t="shared" si="160"/>
        <v>2.4500000000000001E-2</v>
      </c>
      <c r="Y536" s="93" t="str">
        <f t="shared" si="158"/>
        <v>2.40%-3.60%</v>
      </c>
      <c r="Z536" s="15" t="s">
        <v>87</v>
      </c>
      <c r="AA536" s="15" t="s">
        <v>74</v>
      </c>
      <c r="AB536" s="15" t="s">
        <v>139</v>
      </c>
      <c r="AC536" s="95">
        <v>0.05</v>
      </c>
      <c r="AD536" s="8">
        <f t="shared" si="167"/>
        <v>818</v>
      </c>
      <c r="AE536" s="17">
        <f t="shared" si="168"/>
        <v>17588</v>
      </c>
      <c r="AF536" s="18">
        <f t="shared" si="169"/>
        <v>1219</v>
      </c>
      <c r="AG536" s="97">
        <f t="shared" si="170"/>
        <v>7.4470034821919384E-2</v>
      </c>
      <c r="AH536" s="20">
        <v>14</v>
      </c>
      <c r="AI536" s="20">
        <v>450</v>
      </c>
      <c r="AJ536" s="20"/>
      <c r="AK536" s="20">
        <v>688</v>
      </c>
      <c r="AL536" s="20">
        <f t="shared" si="171"/>
        <v>252320</v>
      </c>
      <c r="AM536" s="7">
        <v>3</v>
      </c>
      <c r="AN536" s="20"/>
      <c r="AO536" s="21" t="s">
        <v>90</v>
      </c>
      <c r="AP536" s="21" t="s">
        <v>90</v>
      </c>
      <c r="AQ536" s="5" t="s">
        <v>1948</v>
      </c>
      <c r="AR536" s="5" t="s">
        <v>69</v>
      </c>
      <c r="AW536" s="144" t="str">
        <f t="shared" si="172"/>
        <v>OK</v>
      </c>
      <c r="AX536" s="21" t="s">
        <v>3135</v>
      </c>
      <c r="AY536" s="21" t="s">
        <v>3136</v>
      </c>
      <c r="AZ536" s="21"/>
      <c r="BA536" s="21"/>
    </row>
    <row r="537" spans="1:53" ht="20" customHeight="1">
      <c r="A537" s="86" t="s">
        <v>318</v>
      </c>
      <c r="B537" s="372" t="s">
        <v>2867</v>
      </c>
      <c r="C537" s="5" t="s">
        <v>51</v>
      </c>
      <c r="D537" s="5" t="s">
        <v>52</v>
      </c>
      <c r="E537" s="5" t="s">
        <v>2001</v>
      </c>
      <c r="F537" s="5" t="s">
        <v>1962</v>
      </c>
      <c r="G537" s="5" t="s">
        <v>1980</v>
      </c>
      <c r="H537" s="6">
        <v>44125</v>
      </c>
      <c r="I537" s="5" t="s">
        <v>140</v>
      </c>
      <c r="J537" s="5" t="s">
        <v>141</v>
      </c>
      <c r="K537" s="5" t="s">
        <v>61</v>
      </c>
      <c r="L537" s="7">
        <v>2</v>
      </c>
      <c r="M537" s="7">
        <v>3</v>
      </c>
      <c r="N537" s="8">
        <v>26012</v>
      </c>
      <c r="O537" s="88">
        <v>0</v>
      </c>
      <c r="P537" s="10">
        <f t="shared" si="161"/>
        <v>0</v>
      </c>
      <c r="Q537" s="88">
        <v>0</v>
      </c>
      <c r="R537" s="10">
        <f t="shared" si="162"/>
        <v>0</v>
      </c>
      <c r="S537" s="88">
        <f t="shared" si="163"/>
        <v>0</v>
      </c>
      <c r="T537" s="10">
        <f t="shared" si="164"/>
        <v>0</v>
      </c>
      <c r="U537" s="10">
        <f t="shared" si="165"/>
        <v>26012</v>
      </c>
      <c r="V537" s="11">
        <f t="shared" ref="V537:V557" si="173">U537</f>
        <v>26012</v>
      </c>
      <c r="W537" s="12">
        <f t="shared" si="166"/>
        <v>0</v>
      </c>
      <c r="X537" s="92">
        <f t="shared" si="160"/>
        <v>0</v>
      </c>
      <c r="Y537" s="93" t="str">
        <f t="shared" si="158"/>
        <v>0.00%-0.00%</v>
      </c>
      <c r="Z537" s="15"/>
      <c r="AA537" s="15"/>
      <c r="AB537" s="15"/>
      <c r="AC537" s="95"/>
      <c r="AD537" s="8">
        <f t="shared" si="167"/>
        <v>0</v>
      </c>
      <c r="AE537" s="17">
        <f t="shared" si="168"/>
        <v>26012</v>
      </c>
      <c r="AF537" s="18">
        <f t="shared" si="169"/>
        <v>0</v>
      </c>
      <c r="AG537" s="97">
        <f t="shared" si="170"/>
        <v>0</v>
      </c>
      <c r="AH537" s="20">
        <v>14</v>
      </c>
      <c r="AI537" s="20">
        <v>450</v>
      </c>
      <c r="AJ537" s="20"/>
      <c r="AK537" s="20">
        <v>688</v>
      </c>
      <c r="AL537" s="20">
        <f t="shared" si="171"/>
        <v>370256</v>
      </c>
      <c r="AM537" s="7">
        <v>4</v>
      </c>
      <c r="AN537" s="20"/>
      <c r="AO537" s="21"/>
      <c r="AP537" s="21"/>
      <c r="AQ537" s="5" t="s">
        <v>1948</v>
      </c>
      <c r="AR537" s="5" t="s">
        <v>69</v>
      </c>
      <c r="AW537" s="144" t="str">
        <f t="shared" si="172"/>
        <v>OK</v>
      </c>
      <c r="AX537" s="21" t="s">
        <v>3131</v>
      </c>
      <c r="AY537" s="21" t="s">
        <v>3134</v>
      </c>
      <c r="AZ537" s="21"/>
      <c r="BA537" s="21"/>
    </row>
    <row r="538" spans="1:53" ht="20" customHeight="1">
      <c r="A538" s="86" t="s">
        <v>318</v>
      </c>
      <c r="B538" s="372" t="s">
        <v>2868</v>
      </c>
      <c r="C538" s="5" t="s">
        <v>51</v>
      </c>
      <c r="D538" s="5" t="s">
        <v>52</v>
      </c>
      <c r="E538" s="5" t="s">
        <v>2001</v>
      </c>
      <c r="F538" s="5" t="s">
        <v>1962</v>
      </c>
      <c r="G538" s="5" t="s">
        <v>1980</v>
      </c>
      <c r="H538" s="6">
        <v>40891</v>
      </c>
      <c r="I538" s="5" t="s">
        <v>74</v>
      </c>
      <c r="J538" s="5" t="s">
        <v>1995</v>
      </c>
      <c r="K538" s="5" t="s">
        <v>76</v>
      </c>
      <c r="L538" s="7">
        <v>2</v>
      </c>
      <c r="M538" s="7">
        <v>3</v>
      </c>
      <c r="N538" s="8">
        <v>18386</v>
      </c>
      <c r="O538" s="88">
        <v>0</v>
      </c>
      <c r="P538" s="10">
        <f t="shared" si="161"/>
        <v>0</v>
      </c>
      <c r="Q538" s="88">
        <v>0</v>
      </c>
      <c r="R538" s="10">
        <f t="shared" si="162"/>
        <v>0</v>
      </c>
      <c r="S538" s="88">
        <f t="shared" si="163"/>
        <v>0</v>
      </c>
      <c r="T538" s="10">
        <f t="shared" si="164"/>
        <v>0</v>
      </c>
      <c r="U538" s="10">
        <f t="shared" si="165"/>
        <v>18386</v>
      </c>
      <c r="V538" s="11">
        <f t="shared" si="173"/>
        <v>18386</v>
      </c>
      <c r="W538" s="12">
        <f t="shared" si="166"/>
        <v>0</v>
      </c>
      <c r="X538" s="92">
        <f t="shared" si="160"/>
        <v>0</v>
      </c>
      <c r="Y538" s="93" t="str">
        <f t="shared" si="158"/>
        <v>0.00%-0.00%</v>
      </c>
      <c r="Z538" s="15"/>
      <c r="AA538" s="15"/>
      <c r="AB538" s="15"/>
      <c r="AC538" s="95"/>
      <c r="AD538" s="8">
        <f t="shared" si="167"/>
        <v>0</v>
      </c>
      <c r="AE538" s="17">
        <f t="shared" si="168"/>
        <v>18386</v>
      </c>
      <c r="AF538" s="18">
        <f t="shared" si="169"/>
        <v>0</v>
      </c>
      <c r="AG538" s="97">
        <f t="shared" si="170"/>
        <v>0</v>
      </c>
      <c r="AH538" s="20">
        <v>14</v>
      </c>
      <c r="AI538" s="20">
        <v>450</v>
      </c>
      <c r="AJ538" s="20"/>
      <c r="AK538" s="20">
        <v>688</v>
      </c>
      <c r="AL538" s="20">
        <f t="shared" si="171"/>
        <v>263492</v>
      </c>
      <c r="AM538" s="7">
        <v>3</v>
      </c>
      <c r="AN538" s="20"/>
      <c r="AO538" s="21"/>
      <c r="AP538" s="21"/>
      <c r="AQ538" s="5" t="s">
        <v>1948</v>
      </c>
      <c r="AR538" s="5" t="s">
        <v>69</v>
      </c>
      <c r="AW538" s="144" t="str">
        <f t="shared" si="172"/>
        <v>OK</v>
      </c>
      <c r="AX538" s="21" t="s">
        <v>3135</v>
      </c>
      <c r="AY538" s="21" t="s">
        <v>3134</v>
      </c>
      <c r="AZ538" s="21"/>
      <c r="BA538" s="21"/>
    </row>
    <row r="539" spans="1:53" ht="20" customHeight="1">
      <c r="A539" s="86" t="s">
        <v>318</v>
      </c>
      <c r="B539" s="372" t="s">
        <v>2869</v>
      </c>
      <c r="C539" s="5" t="s">
        <v>51</v>
      </c>
      <c r="D539" s="5" t="s">
        <v>52</v>
      </c>
      <c r="E539" s="5" t="s">
        <v>2001</v>
      </c>
      <c r="F539" s="5" t="s">
        <v>1962</v>
      </c>
      <c r="G539" s="5" t="s">
        <v>1980</v>
      </c>
      <c r="H539" s="6">
        <v>39371</v>
      </c>
      <c r="I539" s="5" t="s">
        <v>60</v>
      </c>
      <c r="J539" s="5" t="s">
        <v>60</v>
      </c>
      <c r="K539" s="5" t="s">
        <v>61</v>
      </c>
      <c r="L539" s="7">
        <v>2</v>
      </c>
      <c r="M539" s="7">
        <v>3</v>
      </c>
      <c r="N539" s="8">
        <v>22116</v>
      </c>
      <c r="O539" s="88">
        <v>0</v>
      </c>
      <c r="P539" s="10">
        <f t="shared" si="161"/>
        <v>0</v>
      </c>
      <c r="Q539" s="88">
        <v>0</v>
      </c>
      <c r="R539" s="10">
        <f t="shared" si="162"/>
        <v>0</v>
      </c>
      <c r="S539" s="88">
        <f t="shared" si="163"/>
        <v>0</v>
      </c>
      <c r="T539" s="10">
        <f t="shared" si="164"/>
        <v>0</v>
      </c>
      <c r="U539" s="10">
        <f t="shared" si="165"/>
        <v>22116</v>
      </c>
      <c r="V539" s="11">
        <f t="shared" si="173"/>
        <v>22116</v>
      </c>
      <c r="W539" s="12">
        <f t="shared" si="166"/>
        <v>0</v>
      </c>
      <c r="X539" s="92">
        <f t="shared" si="160"/>
        <v>0</v>
      </c>
      <c r="Y539" s="93" t="str">
        <f t="shared" si="158"/>
        <v>0.00%-0.00%</v>
      </c>
      <c r="Z539" s="15"/>
      <c r="AA539" s="15"/>
      <c r="AB539" s="15"/>
      <c r="AC539" s="95"/>
      <c r="AD539" s="8">
        <f t="shared" si="167"/>
        <v>0</v>
      </c>
      <c r="AE539" s="17">
        <f t="shared" si="168"/>
        <v>22116</v>
      </c>
      <c r="AF539" s="18">
        <f t="shared" si="169"/>
        <v>0</v>
      </c>
      <c r="AG539" s="97">
        <f t="shared" si="170"/>
        <v>0</v>
      </c>
      <c r="AH539" s="20">
        <v>14</v>
      </c>
      <c r="AI539" s="20">
        <v>450</v>
      </c>
      <c r="AJ539" s="20"/>
      <c r="AK539" s="20">
        <v>688</v>
      </c>
      <c r="AL539" s="20">
        <f t="shared" si="171"/>
        <v>315712</v>
      </c>
      <c r="AM539" s="7">
        <v>5</v>
      </c>
      <c r="AN539" s="20"/>
      <c r="AO539" s="21"/>
      <c r="AP539" s="21"/>
      <c r="AQ539" s="5" t="s">
        <v>1948</v>
      </c>
      <c r="AR539" s="5" t="s">
        <v>69</v>
      </c>
      <c r="AW539" s="144" t="str">
        <f t="shared" si="172"/>
        <v>OK</v>
      </c>
      <c r="AX539" s="21" t="s">
        <v>3129</v>
      </c>
      <c r="AY539" s="21" t="s">
        <v>3134</v>
      </c>
      <c r="AZ539" s="21"/>
      <c r="BA539" s="21"/>
    </row>
    <row r="540" spans="1:53" ht="20" customHeight="1">
      <c r="A540" s="86" t="s">
        <v>318</v>
      </c>
      <c r="B540" s="372" t="s">
        <v>2870</v>
      </c>
      <c r="C540" s="5" t="s">
        <v>51</v>
      </c>
      <c r="D540" s="5" t="s">
        <v>52</v>
      </c>
      <c r="E540" s="5" t="s">
        <v>2001</v>
      </c>
      <c r="F540" s="5" t="s">
        <v>1962</v>
      </c>
      <c r="G540" s="5" t="s">
        <v>1980</v>
      </c>
      <c r="H540" s="6">
        <v>44686</v>
      </c>
      <c r="I540" s="5" t="s">
        <v>82</v>
      </c>
      <c r="J540" s="5" t="s">
        <v>1996</v>
      </c>
      <c r="K540" s="5" t="s">
        <v>84</v>
      </c>
      <c r="L540" s="7">
        <v>2</v>
      </c>
      <c r="M540" s="7">
        <v>3</v>
      </c>
      <c r="N540" s="8">
        <v>13343</v>
      </c>
      <c r="O540" s="88">
        <v>2.5000000000000001E-2</v>
      </c>
      <c r="P540" s="10">
        <f t="shared" si="161"/>
        <v>334</v>
      </c>
      <c r="Q540" s="88">
        <v>0</v>
      </c>
      <c r="R540" s="10">
        <f t="shared" si="162"/>
        <v>0</v>
      </c>
      <c r="S540" s="88">
        <f t="shared" si="163"/>
        <v>2.5031851907367158E-2</v>
      </c>
      <c r="T540" s="10">
        <f t="shared" si="164"/>
        <v>334</v>
      </c>
      <c r="U540" s="10">
        <f t="shared" si="165"/>
        <v>13677</v>
      </c>
      <c r="V540" s="11">
        <f t="shared" si="173"/>
        <v>13677</v>
      </c>
      <c r="W540" s="12">
        <f t="shared" si="166"/>
        <v>334</v>
      </c>
      <c r="X540" s="92">
        <f t="shared" si="160"/>
        <v>2.5000000000000001E-2</v>
      </c>
      <c r="Y540" s="93" t="str">
        <f t="shared" si="158"/>
        <v>2.00%-3.00%</v>
      </c>
      <c r="Z540" s="15"/>
      <c r="AA540" s="15"/>
      <c r="AB540" s="15"/>
      <c r="AC540" s="95"/>
      <c r="AD540" s="8">
        <f t="shared" si="167"/>
        <v>0</v>
      </c>
      <c r="AE540" s="17">
        <f t="shared" si="168"/>
        <v>13677</v>
      </c>
      <c r="AF540" s="18">
        <f t="shared" si="169"/>
        <v>334</v>
      </c>
      <c r="AG540" s="97">
        <f t="shared" si="170"/>
        <v>2.503185190736712E-2</v>
      </c>
      <c r="AH540" s="20">
        <v>14</v>
      </c>
      <c r="AI540" s="20">
        <v>450</v>
      </c>
      <c r="AJ540" s="20"/>
      <c r="AK540" s="20">
        <v>688</v>
      </c>
      <c r="AL540" s="20">
        <f t="shared" si="171"/>
        <v>197566</v>
      </c>
      <c r="AM540" s="7">
        <v>3</v>
      </c>
      <c r="AN540" s="20"/>
      <c r="AO540" s="21"/>
      <c r="AP540" s="21"/>
      <c r="AQ540" s="5" t="s">
        <v>1948</v>
      </c>
      <c r="AR540" s="5" t="s">
        <v>69</v>
      </c>
      <c r="AW540" s="144" t="str">
        <f t="shared" si="172"/>
        <v>OK</v>
      </c>
      <c r="AX540" s="21" t="s">
        <v>3131</v>
      </c>
      <c r="AY540" s="21" t="s">
        <v>3130</v>
      </c>
      <c r="AZ540" s="21"/>
      <c r="BA540" s="21"/>
    </row>
    <row r="541" spans="1:53" ht="20" customHeight="1">
      <c r="A541" s="86" t="s">
        <v>318</v>
      </c>
      <c r="B541" s="372" t="s">
        <v>2871</v>
      </c>
      <c r="C541" s="5" t="s">
        <v>51</v>
      </c>
      <c r="D541" s="5" t="s">
        <v>52</v>
      </c>
      <c r="E541" s="5" t="s">
        <v>2001</v>
      </c>
      <c r="F541" s="5" t="s">
        <v>1973</v>
      </c>
      <c r="G541" s="5" t="s">
        <v>1981</v>
      </c>
      <c r="H541" s="6">
        <v>44202</v>
      </c>
      <c r="I541" s="5" t="s">
        <v>82</v>
      </c>
      <c r="J541" s="5" t="s">
        <v>1994</v>
      </c>
      <c r="K541" s="5" t="s">
        <v>84</v>
      </c>
      <c r="L541" s="7">
        <v>2</v>
      </c>
      <c r="M541" s="7">
        <v>3</v>
      </c>
      <c r="N541" s="8">
        <v>13358</v>
      </c>
      <c r="O541" s="88">
        <v>2.5000000000000001E-2</v>
      </c>
      <c r="P541" s="10">
        <f t="shared" si="161"/>
        <v>334</v>
      </c>
      <c r="Q541" s="88">
        <v>0</v>
      </c>
      <c r="R541" s="10">
        <f t="shared" si="162"/>
        <v>0</v>
      </c>
      <c r="S541" s="88">
        <f t="shared" si="163"/>
        <v>2.5003743075310676E-2</v>
      </c>
      <c r="T541" s="10">
        <f t="shared" si="164"/>
        <v>334</v>
      </c>
      <c r="U541" s="10">
        <f t="shared" si="165"/>
        <v>13692</v>
      </c>
      <c r="V541" s="11">
        <f t="shared" si="173"/>
        <v>13692</v>
      </c>
      <c r="W541" s="12">
        <f t="shared" si="166"/>
        <v>334</v>
      </c>
      <c r="X541" s="92">
        <f t="shared" si="160"/>
        <v>2.5000000000000001E-2</v>
      </c>
      <c r="Y541" s="93" t="str">
        <f t="shared" si="158"/>
        <v>2.00%-3.00%</v>
      </c>
      <c r="Z541" s="15"/>
      <c r="AA541" s="15"/>
      <c r="AB541" s="15"/>
      <c r="AC541" s="95"/>
      <c r="AD541" s="8">
        <f t="shared" si="167"/>
        <v>0</v>
      </c>
      <c r="AE541" s="17">
        <f t="shared" si="168"/>
        <v>13692</v>
      </c>
      <c r="AF541" s="18">
        <f t="shared" si="169"/>
        <v>334</v>
      </c>
      <c r="AG541" s="97">
        <f t="shared" si="170"/>
        <v>2.5003743075310725E-2</v>
      </c>
      <c r="AH541" s="20">
        <v>14</v>
      </c>
      <c r="AI541" s="20">
        <v>450</v>
      </c>
      <c r="AJ541" s="20"/>
      <c r="AK541" s="20">
        <v>688</v>
      </c>
      <c r="AL541" s="20">
        <f t="shared" si="171"/>
        <v>197776</v>
      </c>
      <c r="AM541" s="7">
        <v>3</v>
      </c>
      <c r="AN541" s="20"/>
      <c r="AO541" s="21"/>
      <c r="AP541" s="21"/>
      <c r="AQ541" s="5" t="s">
        <v>1948</v>
      </c>
      <c r="AR541" s="5" t="s">
        <v>69</v>
      </c>
      <c r="AW541" s="144" t="str">
        <f t="shared" si="172"/>
        <v>OK</v>
      </c>
      <c r="AX541" s="21" t="s">
        <v>3131</v>
      </c>
      <c r="AY541" s="21" t="s">
        <v>3130</v>
      </c>
      <c r="AZ541" s="21"/>
      <c r="BA541" s="21"/>
    </row>
    <row r="542" spans="1:53" ht="20" customHeight="1">
      <c r="A542" s="86" t="s">
        <v>318</v>
      </c>
      <c r="B542" s="372" t="s">
        <v>2872</v>
      </c>
      <c r="C542" s="5" t="s">
        <v>51</v>
      </c>
      <c r="D542" s="5" t="s">
        <v>52</v>
      </c>
      <c r="E542" s="5" t="s">
        <v>2001</v>
      </c>
      <c r="F542" s="5" t="s">
        <v>1977</v>
      </c>
      <c r="G542" s="5" t="s">
        <v>1981</v>
      </c>
      <c r="H542" s="6">
        <v>39326</v>
      </c>
      <c r="I542" s="5" t="s">
        <v>111</v>
      </c>
      <c r="J542" s="5" t="s">
        <v>1997</v>
      </c>
      <c r="K542" s="5" t="s">
        <v>56</v>
      </c>
      <c r="L542" s="7">
        <v>2</v>
      </c>
      <c r="M542" s="7">
        <v>3</v>
      </c>
      <c r="N542" s="8">
        <v>32995</v>
      </c>
      <c r="O542" s="88">
        <v>0</v>
      </c>
      <c r="P542" s="10">
        <f t="shared" si="161"/>
        <v>0</v>
      </c>
      <c r="Q542" s="88">
        <v>0</v>
      </c>
      <c r="R542" s="10">
        <f t="shared" si="162"/>
        <v>0</v>
      </c>
      <c r="S542" s="88">
        <f t="shared" si="163"/>
        <v>0</v>
      </c>
      <c r="T542" s="10">
        <f t="shared" si="164"/>
        <v>0</v>
      </c>
      <c r="U542" s="10">
        <f t="shared" si="165"/>
        <v>32995</v>
      </c>
      <c r="V542" s="11">
        <f t="shared" si="173"/>
        <v>32995</v>
      </c>
      <c r="W542" s="12">
        <f t="shared" si="166"/>
        <v>0</v>
      </c>
      <c r="X542" s="92">
        <f t="shared" si="160"/>
        <v>0</v>
      </c>
      <c r="Y542" s="93" t="str">
        <f t="shared" si="158"/>
        <v>0.00%-0.00%</v>
      </c>
      <c r="Z542" s="15"/>
      <c r="AA542" s="15"/>
      <c r="AB542" s="15"/>
      <c r="AC542" s="95"/>
      <c r="AD542" s="8">
        <f t="shared" si="167"/>
        <v>0</v>
      </c>
      <c r="AE542" s="17">
        <f t="shared" si="168"/>
        <v>32995</v>
      </c>
      <c r="AF542" s="18">
        <f t="shared" si="169"/>
        <v>0</v>
      </c>
      <c r="AG542" s="97">
        <f t="shared" si="170"/>
        <v>0</v>
      </c>
      <c r="AH542" s="20">
        <v>14</v>
      </c>
      <c r="AI542" s="20">
        <v>450</v>
      </c>
      <c r="AJ542" s="20"/>
      <c r="AK542" s="20">
        <v>688</v>
      </c>
      <c r="AL542" s="20">
        <f t="shared" si="171"/>
        <v>468018</v>
      </c>
      <c r="AM542" s="7">
        <v>3</v>
      </c>
      <c r="AN542" s="20"/>
      <c r="AO542" s="21"/>
      <c r="AP542" s="21"/>
      <c r="AQ542" s="5" t="s">
        <v>1948</v>
      </c>
      <c r="AR542" s="5" t="s">
        <v>69</v>
      </c>
      <c r="AW542" s="144" t="str">
        <f t="shared" si="172"/>
        <v>OK</v>
      </c>
      <c r="AX542" s="21" t="s">
        <v>3129</v>
      </c>
      <c r="AY542" s="21" t="s">
        <v>3134</v>
      </c>
      <c r="AZ542" s="21"/>
      <c r="BA542" s="21"/>
    </row>
    <row r="543" spans="1:53" ht="20" customHeight="1">
      <c r="A543" s="86" t="s">
        <v>318</v>
      </c>
      <c r="B543" s="372" t="s">
        <v>2873</v>
      </c>
      <c r="C543" s="5" t="s">
        <v>51</v>
      </c>
      <c r="D543" s="5" t="s">
        <v>52</v>
      </c>
      <c r="E543" s="5" t="s">
        <v>2001</v>
      </c>
      <c r="F543" s="5" t="s">
        <v>1951</v>
      </c>
      <c r="G543" s="5" t="s">
        <v>1981</v>
      </c>
      <c r="H543" s="6">
        <v>44480</v>
      </c>
      <c r="I543" s="5" t="s">
        <v>74</v>
      </c>
      <c r="J543" s="5" t="s">
        <v>74</v>
      </c>
      <c r="K543" s="5" t="s">
        <v>76</v>
      </c>
      <c r="L543" s="7">
        <v>2</v>
      </c>
      <c r="M543" s="7">
        <v>3</v>
      </c>
      <c r="N543" s="8">
        <v>16997</v>
      </c>
      <c r="O543" s="88">
        <v>0</v>
      </c>
      <c r="P543" s="10">
        <f t="shared" si="161"/>
        <v>0</v>
      </c>
      <c r="Q543" s="88">
        <v>0</v>
      </c>
      <c r="R543" s="10">
        <f t="shared" si="162"/>
        <v>0</v>
      </c>
      <c r="S543" s="88">
        <f t="shared" si="163"/>
        <v>0</v>
      </c>
      <c r="T543" s="10">
        <f t="shared" si="164"/>
        <v>0</v>
      </c>
      <c r="U543" s="10">
        <f t="shared" si="165"/>
        <v>16997</v>
      </c>
      <c r="V543" s="11">
        <v>17197</v>
      </c>
      <c r="W543" s="12">
        <f t="shared" si="166"/>
        <v>200</v>
      </c>
      <c r="X543" s="92">
        <f t="shared" si="160"/>
        <v>1.18E-2</v>
      </c>
      <c r="Y543" s="93" t="str">
        <f t="shared" si="158"/>
        <v>0.00%-0.00%</v>
      </c>
      <c r="Z543" s="15"/>
      <c r="AA543" s="15"/>
      <c r="AB543" s="15"/>
      <c r="AC543" s="95"/>
      <c r="AD543" s="8">
        <f t="shared" si="167"/>
        <v>0</v>
      </c>
      <c r="AE543" s="17">
        <f t="shared" si="168"/>
        <v>17197</v>
      </c>
      <c r="AF543" s="18">
        <f t="shared" si="169"/>
        <v>200</v>
      </c>
      <c r="AG543" s="97">
        <f t="shared" si="170"/>
        <v>1.1766782373360041E-2</v>
      </c>
      <c r="AH543" s="20">
        <v>14</v>
      </c>
      <c r="AI543" s="20">
        <v>450</v>
      </c>
      <c r="AJ543" s="20"/>
      <c r="AK543" s="20">
        <v>688</v>
      </c>
      <c r="AL543" s="20">
        <f t="shared" si="171"/>
        <v>246846</v>
      </c>
      <c r="AM543" s="7">
        <v>5</v>
      </c>
      <c r="AN543" s="20"/>
      <c r="AO543" s="21" t="s">
        <v>1998</v>
      </c>
      <c r="AP543" s="21" t="s">
        <v>90</v>
      </c>
      <c r="AQ543" s="5" t="s">
        <v>1948</v>
      </c>
      <c r="AR543" s="5" t="s">
        <v>69</v>
      </c>
      <c r="AW543" s="144" t="str">
        <f t="shared" si="172"/>
        <v>&gt;20</v>
      </c>
      <c r="AX543" s="21" t="s">
        <v>3131</v>
      </c>
      <c r="AY543" s="21" t="s">
        <v>3134</v>
      </c>
      <c r="AZ543" s="21"/>
      <c r="BA543" s="21"/>
    </row>
    <row r="544" spans="1:53" ht="20" customHeight="1">
      <c r="A544" s="86" t="s">
        <v>318</v>
      </c>
      <c r="B544" s="372" t="s">
        <v>2874</v>
      </c>
      <c r="C544" s="5" t="s">
        <v>51</v>
      </c>
      <c r="D544" s="5" t="s">
        <v>52</v>
      </c>
      <c r="E544" s="5" t="s">
        <v>2001</v>
      </c>
      <c r="F544" s="5" t="s">
        <v>1974</v>
      </c>
      <c r="G544" s="5" t="s">
        <v>1980</v>
      </c>
      <c r="H544" s="6">
        <v>39371</v>
      </c>
      <c r="I544" s="5" t="s">
        <v>82</v>
      </c>
      <c r="J544" s="5" t="s">
        <v>82</v>
      </c>
      <c r="K544" s="5" t="s">
        <v>84</v>
      </c>
      <c r="L544" s="7">
        <v>2</v>
      </c>
      <c r="M544" s="7">
        <v>3</v>
      </c>
      <c r="N544" s="8">
        <v>10450</v>
      </c>
      <c r="O544" s="88">
        <v>0</v>
      </c>
      <c r="P544" s="10">
        <f t="shared" si="161"/>
        <v>0</v>
      </c>
      <c r="Q544" s="88">
        <v>0</v>
      </c>
      <c r="R544" s="10">
        <f t="shared" si="162"/>
        <v>0</v>
      </c>
      <c r="S544" s="88">
        <f t="shared" si="163"/>
        <v>0</v>
      </c>
      <c r="T544" s="10">
        <f t="shared" si="164"/>
        <v>0</v>
      </c>
      <c r="U544" s="10">
        <f t="shared" si="165"/>
        <v>10450</v>
      </c>
      <c r="V544" s="11">
        <f t="shared" si="173"/>
        <v>10450</v>
      </c>
      <c r="W544" s="12">
        <f t="shared" si="166"/>
        <v>0</v>
      </c>
      <c r="X544" s="92">
        <f t="shared" si="160"/>
        <v>0</v>
      </c>
      <c r="Y544" s="93" t="str">
        <f t="shared" si="158"/>
        <v>0.00%-0.00%</v>
      </c>
      <c r="Z544" s="15"/>
      <c r="AA544" s="15"/>
      <c r="AB544" s="15"/>
      <c r="AC544" s="95"/>
      <c r="AD544" s="8">
        <f t="shared" si="167"/>
        <v>0</v>
      </c>
      <c r="AE544" s="17">
        <f t="shared" si="168"/>
        <v>10450</v>
      </c>
      <c r="AF544" s="18">
        <f t="shared" si="169"/>
        <v>0</v>
      </c>
      <c r="AG544" s="97">
        <f t="shared" si="170"/>
        <v>0</v>
      </c>
      <c r="AH544" s="20">
        <v>14</v>
      </c>
      <c r="AI544" s="20">
        <v>550</v>
      </c>
      <c r="AJ544" s="20"/>
      <c r="AK544" s="20">
        <v>688</v>
      </c>
      <c r="AL544" s="20">
        <f t="shared" si="171"/>
        <v>153588</v>
      </c>
      <c r="AM544" s="7">
        <v>3</v>
      </c>
      <c r="AN544" s="20"/>
      <c r="AO544" s="21"/>
      <c r="AP544" s="21"/>
      <c r="AQ544" s="5" t="s">
        <v>1948</v>
      </c>
      <c r="AR544" s="5" t="s">
        <v>69</v>
      </c>
      <c r="AW544" s="144" t="str">
        <f t="shared" si="172"/>
        <v>OK</v>
      </c>
      <c r="AX544" s="21" t="s">
        <v>3129</v>
      </c>
      <c r="AY544" s="21" t="s">
        <v>3134</v>
      </c>
      <c r="AZ544" s="21"/>
      <c r="BA544" s="21"/>
    </row>
    <row r="545" spans="1:53" ht="20" customHeight="1">
      <c r="A545" s="86" t="s">
        <v>318</v>
      </c>
      <c r="B545" s="372" t="s">
        <v>2875</v>
      </c>
      <c r="C545" s="5" t="s">
        <v>51</v>
      </c>
      <c r="D545" s="5" t="s">
        <v>52</v>
      </c>
      <c r="E545" s="5" t="s">
        <v>2001</v>
      </c>
      <c r="F545" s="5" t="s">
        <v>1973</v>
      </c>
      <c r="G545" s="5" t="s">
        <v>1981</v>
      </c>
      <c r="H545" s="6">
        <v>44337</v>
      </c>
      <c r="I545" s="5" t="s">
        <v>74</v>
      </c>
      <c r="J545" s="5" t="s">
        <v>74</v>
      </c>
      <c r="K545" s="5" t="s">
        <v>76</v>
      </c>
      <c r="L545" s="7">
        <v>2</v>
      </c>
      <c r="M545" s="7">
        <v>3</v>
      </c>
      <c r="N545" s="8">
        <v>14394</v>
      </c>
      <c r="O545" s="88">
        <v>0.03</v>
      </c>
      <c r="P545" s="10">
        <f t="shared" si="161"/>
        <v>432</v>
      </c>
      <c r="Q545" s="88">
        <v>0</v>
      </c>
      <c r="R545" s="10">
        <f t="shared" si="162"/>
        <v>0</v>
      </c>
      <c r="S545" s="88">
        <f t="shared" si="163"/>
        <v>3.0012505210504376E-2</v>
      </c>
      <c r="T545" s="10">
        <f t="shared" si="164"/>
        <v>432</v>
      </c>
      <c r="U545" s="10">
        <f t="shared" si="165"/>
        <v>14826</v>
      </c>
      <c r="V545" s="11">
        <f t="shared" si="173"/>
        <v>14826</v>
      </c>
      <c r="W545" s="12">
        <f t="shared" si="166"/>
        <v>432</v>
      </c>
      <c r="X545" s="92">
        <f t="shared" si="160"/>
        <v>0.03</v>
      </c>
      <c r="Y545" s="93" t="str">
        <f t="shared" si="158"/>
        <v>2.40%-3.60%</v>
      </c>
      <c r="Z545" s="15"/>
      <c r="AA545" s="15"/>
      <c r="AB545" s="15"/>
      <c r="AC545" s="95"/>
      <c r="AD545" s="8">
        <f t="shared" si="167"/>
        <v>0</v>
      </c>
      <c r="AE545" s="17">
        <f t="shared" si="168"/>
        <v>14826</v>
      </c>
      <c r="AF545" s="18">
        <f t="shared" si="169"/>
        <v>432</v>
      </c>
      <c r="AG545" s="97">
        <f t="shared" si="170"/>
        <v>3.001250521050447E-2</v>
      </c>
      <c r="AH545" s="20">
        <v>14</v>
      </c>
      <c r="AI545" s="20">
        <v>550</v>
      </c>
      <c r="AJ545" s="20"/>
      <c r="AK545" s="20">
        <v>688</v>
      </c>
      <c r="AL545" s="20">
        <f t="shared" si="171"/>
        <v>214852</v>
      </c>
      <c r="AM545" s="7">
        <v>3</v>
      </c>
      <c r="AN545" s="20"/>
      <c r="AO545" s="21"/>
      <c r="AP545" s="21"/>
      <c r="AQ545" s="5" t="s">
        <v>1948</v>
      </c>
      <c r="AR545" s="5" t="s">
        <v>69</v>
      </c>
      <c r="AW545" s="144" t="str">
        <f t="shared" si="172"/>
        <v>OK</v>
      </c>
      <c r="AX545" s="21" t="s">
        <v>3131</v>
      </c>
      <c r="AY545" s="21" t="s">
        <v>3132</v>
      </c>
      <c r="AZ545" s="21"/>
      <c r="BA545" s="21"/>
    </row>
    <row r="546" spans="1:53" ht="20" customHeight="1">
      <c r="A546" s="86" t="s">
        <v>318</v>
      </c>
      <c r="B546" s="372" t="s">
        <v>2876</v>
      </c>
      <c r="C546" s="5" t="s">
        <v>51</v>
      </c>
      <c r="D546" s="5" t="s">
        <v>52</v>
      </c>
      <c r="E546" s="5" t="s">
        <v>2001</v>
      </c>
      <c r="F546" s="5" t="s">
        <v>1977</v>
      </c>
      <c r="G546" s="5" t="s">
        <v>1981</v>
      </c>
      <c r="H546" s="6">
        <v>40520</v>
      </c>
      <c r="I546" s="5" t="s">
        <v>71</v>
      </c>
      <c r="J546" s="5" t="s">
        <v>71</v>
      </c>
      <c r="K546" s="5" t="s">
        <v>61</v>
      </c>
      <c r="L546" s="7">
        <v>2</v>
      </c>
      <c r="M546" s="7">
        <v>3</v>
      </c>
      <c r="N546" s="8">
        <v>24965</v>
      </c>
      <c r="O546" s="88">
        <v>0</v>
      </c>
      <c r="P546" s="10">
        <f t="shared" si="161"/>
        <v>0</v>
      </c>
      <c r="Q546" s="88">
        <v>0</v>
      </c>
      <c r="R546" s="10">
        <f t="shared" si="162"/>
        <v>0</v>
      </c>
      <c r="S546" s="88">
        <f t="shared" si="163"/>
        <v>0</v>
      </c>
      <c r="T546" s="10">
        <f t="shared" si="164"/>
        <v>0</v>
      </c>
      <c r="U546" s="10">
        <f t="shared" si="165"/>
        <v>24965</v>
      </c>
      <c r="V546" s="11">
        <f t="shared" si="173"/>
        <v>24965</v>
      </c>
      <c r="W546" s="12">
        <f t="shared" si="166"/>
        <v>0</v>
      </c>
      <c r="X546" s="92">
        <f t="shared" si="160"/>
        <v>0</v>
      </c>
      <c r="Y546" s="93" t="str">
        <f t="shared" si="158"/>
        <v>0.00%-0.00%</v>
      </c>
      <c r="Z546" s="15"/>
      <c r="AA546" s="15"/>
      <c r="AB546" s="15"/>
      <c r="AC546" s="95"/>
      <c r="AD546" s="8">
        <f t="shared" si="167"/>
        <v>0</v>
      </c>
      <c r="AE546" s="17">
        <f t="shared" si="168"/>
        <v>24965</v>
      </c>
      <c r="AF546" s="18">
        <f t="shared" si="169"/>
        <v>0</v>
      </c>
      <c r="AG546" s="97">
        <f t="shared" si="170"/>
        <v>0</v>
      </c>
      <c r="AH546" s="20">
        <v>14</v>
      </c>
      <c r="AI546" s="20">
        <v>450</v>
      </c>
      <c r="AJ546" s="20"/>
      <c r="AK546" s="20">
        <v>688</v>
      </c>
      <c r="AL546" s="20">
        <f t="shared" si="171"/>
        <v>355598</v>
      </c>
      <c r="AM546" s="7">
        <v>3</v>
      </c>
      <c r="AN546" s="20"/>
      <c r="AO546" s="21"/>
      <c r="AP546" s="21"/>
      <c r="AQ546" s="5" t="s">
        <v>1948</v>
      </c>
      <c r="AR546" s="5" t="s">
        <v>69</v>
      </c>
      <c r="AW546" s="144" t="str">
        <f t="shared" si="172"/>
        <v>OK</v>
      </c>
      <c r="AX546" s="21" t="s">
        <v>3135</v>
      </c>
      <c r="AY546" s="21" t="s">
        <v>3134</v>
      </c>
      <c r="AZ546" s="21"/>
      <c r="BA546" s="21"/>
    </row>
    <row r="547" spans="1:53" ht="20" customHeight="1">
      <c r="A547" s="86" t="s">
        <v>318</v>
      </c>
      <c r="B547" s="372" t="s">
        <v>2877</v>
      </c>
      <c r="C547" s="5" t="s">
        <v>51</v>
      </c>
      <c r="D547" s="5" t="s">
        <v>52</v>
      </c>
      <c r="E547" s="5" t="s">
        <v>2001</v>
      </c>
      <c r="F547" s="5" t="s">
        <v>1973</v>
      </c>
      <c r="G547" s="5" t="s">
        <v>1981</v>
      </c>
      <c r="H547" s="6">
        <v>40057</v>
      </c>
      <c r="I547" s="5" t="s">
        <v>73</v>
      </c>
      <c r="J547" s="5" t="s">
        <v>73</v>
      </c>
      <c r="K547" s="5" t="s">
        <v>61</v>
      </c>
      <c r="L547" s="7">
        <v>2</v>
      </c>
      <c r="M547" s="7">
        <v>4</v>
      </c>
      <c r="N547" s="8">
        <v>20045</v>
      </c>
      <c r="O547" s="88">
        <v>3.7500000000000006E-2</v>
      </c>
      <c r="P547" s="10">
        <f t="shared" si="161"/>
        <v>752</v>
      </c>
      <c r="Q547" s="88">
        <v>1.55E-2</v>
      </c>
      <c r="R547" s="10">
        <f t="shared" si="162"/>
        <v>311</v>
      </c>
      <c r="S547" s="88">
        <f t="shared" si="163"/>
        <v>5.3030680967822402E-2</v>
      </c>
      <c r="T547" s="10">
        <f t="shared" si="164"/>
        <v>1063</v>
      </c>
      <c r="U547" s="10">
        <f t="shared" si="165"/>
        <v>21108</v>
      </c>
      <c r="V547" s="11">
        <f t="shared" si="173"/>
        <v>21108</v>
      </c>
      <c r="W547" s="12">
        <f t="shared" si="166"/>
        <v>1063</v>
      </c>
      <c r="X547" s="92">
        <f t="shared" si="160"/>
        <v>5.2999999999999999E-2</v>
      </c>
      <c r="Y547" s="93" t="str">
        <f t="shared" si="158"/>
        <v>4.24%-6.36%</v>
      </c>
      <c r="Z547" s="15"/>
      <c r="AA547" s="15"/>
      <c r="AB547" s="15"/>
      <c r="AC547" s="95"/>
      <c r="AD547" s="8">
        <f t="shared" si="167"/>
        <v>0</v>
      </c>
      <c r="AE547" s="17">
        <f t="shared" si="168"/>
        <v>21108</v>
      </c>
      <c r="AF547" s="18">
        <f t="shared" si="169"/>
        <v>1063</v>
      </c>
      <c r="AG547" s="97">
        <f t="shared" si="170"/>
        <v>5.3030680967822486E-2</v>
      </c>
      <c r="AH547" s="20">
        <v>14</v>
      </c>
      <c r="AI547" s="20">
        <v>450</v>
      </c>
      <c r="AJ547" s="20"/>
      <c r="AK547" s="20">
        <v>688</v>
      </c>
      <c r="AL547" s="20">
        <f t="shared" si="171"/>
        <v>301600</v>
      </c>
      <c r="AM547" s="7">
        <v>2</v>
      </c>
      <c r="AN547" s="20"/>
      <c r="AO547" s="21"/>
      <c r="AP547" s="21"/>
      <c r="AQ547" s="5" t="s">
        <v>1948</v>
      </c>
      <c r="AR547" s="5" t="s">
        <v>69</v>
      </c>
      <c r="AW547" s="144" t="str">
        <f t="shared" si="172"/>
        <v>OK</v>
      </c>
      <c r="AX547" s="21" t="s">
        <v>3129</v>
      </c>
      <c r="AY547" s="21" t="s">
        <v>3130</v>
      </c>
      <c r="AZ547" s="21"/>
      <c r="BA547" s="21"/>
    </row>
    <row r="548" spans="1:53" ht="20" customHeight="1">
      <c r="A548" s="86" t="s">
        <v>318</v>
      </c>
      <c r="B548" s="372" t="s">
        <v>2878</v>
      </c>
      <c r="C548" s="5" t="s">
        <v>51</v>
      </c>
      <c r="D548" s="5" t="s">
        <v>52</v>
      </c>
      <c r="E548" s="5" t="s">
        <v>2001</v>
      </c>
      <c r="F548" s="5" t="s">
        <v>1973</v>
      </c>
      <c r="G548" s="5" t="s">
        <v>1981</v>
      </c>
      <c r="H548" s="6">
        <v>44230</v>
      </c>
      <c r="I548" s="5" t="s">
        <v>82</v>
      </c>
      <c r="J548" s="5" t="s">
        <v>1999</v>
      </c>
      <c r="K548" s="5" t="s">
        <v>84</v>
      </c>
      <c r="L548" s="7">
        <v>2</v>
      </c>
      <c r="M548" s="7">
        <v>4</v>
      </c>
      <c r="N548" s="8">
        <v>13215</v>
      </c>
      <c r="O548" s="88">
        <v>3.7500000000000006E-2</v>
      </c>
      <c r="P548" s="10">
        <f t="shared" si="161"/>
        <v>496</v>
      </c>
      <c r="Q548" s="88">
        <v>0</v>
      </c>
      <c r="R548" s="10">
        <f t="shared" si="162"/>
        <v>0</v>
      </c>
      <c r="S548" s="88">
        <f t="shared" si="163"/>
        <v>3.7533106318577376E-2</v>
      </c>
      <c r="T548" s="10">
        <f t="shared" si="164"/>
        <v>496</v>
      </c>
      <c r="U548" s="10">
        <f t="shared" si="165"/>
        <v>13711</v>
      </c>
      <c r="V548" s="11">
        <v>13777</v>
      </c>
      <c r="W548" s="12">
        <f t="shared" si="166"/>
        <v>562</v>
      </c>
      <c r="X548" s="92">
        <f t="shared" si="160"/>
        <v>4.2500000000000003E-2</v>
      </c>
      <c r="Y548" s="93" t="str">
        <f t="shared" si="158"/>
        <v>3.00%-4.50%</v>
      </c>
      <c r="Z548" s="15" t="s">
        <v>87</v>
      </c>
      <c r="AA548" s="15" t="s">
        <v>138</v>
      </c>
      <c r="AB548" s="15" t="s">
        <v>139</v>
      </c>
      <c r="AC548" s="95">
        <v>0.1</v>
      </c>
      <c r="AD548" s="8">
        <f t="shared" si="167"/>
        <v>1322</v>
      </c>
      <c r="AE548" s="17">
        <f t="shared" si="168"/>
        <v>15099</v>
      </c>
      <c r="AF548" s="18">
        <f t="shared" si="169"/>
        <v>1884</v>
      </c>
      <c r="AG548" s="97">
        <f t="shared" si="170"/>
        <v>0.14256526674233827</v>
      </c>
      <c r="AH548" s="20">
        <v>14</v>
      </c>
      <c r="AI548" s="20">
        <v>550</v>
      </c>
      <c r="AJ548" s="20"/>
      <c r="AK548" s="20">
        <v>688</v>
      </c>
      <c r="AL548" s="20">
        <f t="shared" si="171"/>
        <v>218674</v>
      </c>
      <c r="AM548" s="7">
        <v>4</v>
      </c>
      <c r="AN548" s="20"/>
      <c r="AO548" s="21" t="s">
        <v>90</v>
      </c>
      <c r="AP548" s="21" t="s">
        <v>90</v>
      </c>
      <c r="AQ548" s="5" t="s">
        <v>1948</v>
      </c>
      <c r="AR548" s="5" t="s">
        <v>69</v>
      </c>
      <c r="AW548" s="144" t="str">
        <f t="shared" si="172"/>
        <v>OK</v>
      </c>
      <c r="AX548" s="21" t="s">
        <v>3131</v>
      </c>
      <c r="AY548" s="21" t="s">
        <v>3130</v>
      </c>
      <c r="AZ548" s="21"/>
      <c r="BA548" s="21"/>
    </row>
    <row r="549" spans="1:53" ht="20" customHeight="1">
      <c r="A549" s="86" t="s">
        <v>318</v>
      </c>
      <c r="B549" s="372" t="s">
        <v>2879</v>
      </c>
      <c r="C549" s="5" t="s">
        <v>51</v>
      </c>
      <c r="D549" s="5" t="s">
        <v>52</v>
      </c>
      <c r="E549" s="5" t="s">
        <v>2001</v>
      </c>
      <c r="F549" s="5" t="s">
        <v>1971</v>
      </c>
      <c r="G549" s="5" t="s">
        <v>2000</v>
      </c>
      <c r="H549" s="6">
        <v>45299</v>
      </c>
      <c r="I549" s="5" t="s">
        <v>1608</v>
      </c>
      <c r="J549" s="5" t="s">
        <v>1607</v>
      </c>
      <c r="K549" s="5" t="s">
        <v>324</v>
      </c>
      <c r="L549" s="7">
        <v>2</v>
      </c>
      <c r="M549" s="7">
        <v>3</v>
      </c>
      <c r="N549" s="8">
        <v>7500</v>
      </c>
      <c r="O549" s="88">
        <v>0</v>
      </c>
      <c r="P549" s="10">
        <f t="shared" si="161"/>
        <v>0</v>
      </c>
      <c r="Q549" s="88">
        <v>0</v>
      </c>
      <c r="R549" s="10">
        <f t="shared" si="162"/>
        <v>0</v>
      </c>
      <c r="S549" s="88">
        <f t="shared" si="163"/>
        <v>0</v>
      </c>
      <c r="T549" s="10">
        <f t="shared" si="164"/>
        <v>0</v>
      </c>
      <c r="U549" s="10">
        <f t="shared" si="165"/>
        <v>7500</v>
      </c>
      <c r="V549" s="11">
        <f t="shared" si="173"/>
        <v>7500</v>
      </c>
      <c r="W549" s="12">
        <f t="shared" si="166"/>
        <v>0</v>
      </c>
      <c r="X549" s="92">
        <f t="shared" si="160"/>
        <v>0</v>
      </c>
      <c r="Y549" s="93" t="str">
        <f t="shared" si="158"/>
        <v>0.00%-0.00%</v>
      </c>
      <c r="Z549" s="15"/>
      <c r="AA549" s="15"/>
      <c r="AB549" s="15"/>
      <c r="AC549" s="95"/>
      <c r="AD549" s="8">
        <f t="shared" si="167"/>
        <v>0</v>
      </c>
      <c r="AE549" s="17">
        <f t="shared" si="168"/>
        <v>7500</v>
      </c>
      <c r="AF549" s="18">
        <f t="shared" si="169"/>
        <v>0</v>
      </c>
      <c r="AG549" s="97">
        <f t="shared" si="170"/>
        <v>0</v>
      </c>
      <c r="AH549" s="20">
        <v>14</v>
      </c>
      <c r="AI549" s="20">
        <v>450</v>
      </c>
      <c r="AJ549" s="20"/>
      <c r="AK549" s="20">
        <v>688</v>
      </c>
      <c r="AL549" s="20">
        <f t="shared" si="171"/>
        <v>111088</v>
      </c>
      <c r="AM549" s="7">
        <v>3</v>
      </c>
      <c r="AN549" s="20"/>
      <c r="AO549" s="21"/>
      <c r="AP549" s="21"/>
      <c r="AQ549" s="5" t="s">
        <v>1948</v>
      </c>
      <c r="AR549" s="5" t="s">
        <v>69</v>
      </c>
      <c r="AW549" s="144" t="str">
        <f t="shared" si="172"/>
        <v>OK</v>
      </c>
      <c r="AX549" s="21" t="s">
        <v>3131</v>
      </c>
      <c r="AY549" s="21" t="s">
        <v>3134</v>
      </c>
      <c r="AZ549" s="21"/>
      <c r="BA549" s="21"/>
    </row>
    <row r="550" spans="1:53" ht="20" customHeight="1">
      <c r="A550" s="86" t="s">
        <v>318</v>
      </c>
      <c r="B550" s="372" t="s">
        <v>2880</v>
      </c>
      <c r="C550" s="5" t="s">
        <v>51</v>
      </c>
      <c r="D550" s="5" t="s">
        <v>52</v>
      </c>
      <c r="E550" s="5" t="s">
        <v>2001</v>
      </c>
      <c r="F550" s="5" t="s">
        <v>1971</v>
      </c>
      <c r="G550" s="5" t="s">
        <v>2000</v>
      </c>
      <c r="H550" s="6">
        <v>45299</v>
      </c>
      <c r="I550" s="5" t="s">
        <v>1608</v>
      </c>
      <c r="J550" s="5" t="s">
        <v>1607</v>
      </c>
      <c r="K550" s="5" t="s">
        <v>324</v>
      </c>
      <c r="L550" s="7">
        <v>2</v>
      </c>
      <c r="M550" s="7">
        <v>2</v>
      </c>
      <c r="N550" s="8">
        <v>6000</v>
      </c>
      <c r="O550" s="88">
        <v>0</v>
      </c>
      <c r="P550" s="10">
        <f t="shared" si="161"/>
        <v>0</v>
      </c>
      <c r="Q550" s="88">
        <v>0</v>
      </c>
      <c r="R550" s="10">
        <f t="shared" si="162"/>
        <v>0</v>
      </c>
      <c r="S550" s="88">
        <f t="shared" si="163"/>
        <v>0</v>
      </c>
      <c r="T550" s="10">
        <f t="shared" si="164"/>
        <v>0</v>
      </c>
      <c r="U550" s="10">
        <f t="shared" si="165"/>
        <v>6000</v>
      </c>
      <c r="V550" s="11">
        <f t="shared" si="173"/>
        <v>6000</v>
      </c>
      <c r="W550" s="12">
        <f t="shared" si="166"/>
        <v>0</v>
      </c>
      <c r="X550" s="92">
        <f t="shared" si="160"/>
        <v>0</v>
      </c>
      <c r="Y550" s="93" t="str">
        <f t="shared" si="158"/>
        <v>0.00%-0.00%</v>
      </c>
      <c r="Z550" s="15"/>
      <c r="AA550" s="15"/>
      <c r="AB550" s="15"/>
      <c r="AC550" s="95"/>
      <c r="AD550" s="8">
        <f t="shared" si="167"/>
        <v>0</v>
      </c>
      <c r="AE550" s="17">
        <f t="shared" si="168"/>
        <v>6000</v>
      </c>
      <c r="AF550" s="18">
        <f t="shared" si="169"/>
        <v>0</v>
      </c>
      <c r="AG550" s="97">
        <f t="shared" si="170"/>
        <v>0</v>
      </c>
      <c r="AH550" s="20">
        <v>14</v>
      </c>
      <c r="AI550" s="20">
        <v>450</v>
      </c>
      <c r="AJ550" s="20"/>
      <c r="AK550" s="20">
        <v>688</v>
      </c>
      <c r="AL550" s="20">
        <f t="shared" si="171"/>
        <v>90088</v>
      </c>
      <c r="AM550" s="7">
        <v>3</v>
      </c>
      <c r="AN550" s="20"/>
      <c r="AO550" s="21"/>
      <c r="AP550" s="21"/>
      <c r="AQ550" s="5" t="s">
        <v>1948</v>
      </c>
      <c r="AR550" s="5" t="s">
        <v>69</v>
      </c>
      <c r="AW550" s="144" t="str">
        <f t="shared" si="172"/>
        <v>OK</v>
      </c>
      <c r="AX550" s="21" t="s">
        <v>3131</v>
      </c>
      <c r="AY550" s="21">
        <v>0</v>
      </c>
      <c r="AZ550" s="21"/>
      <c r="BA550" s="21"/>
    </row>
    <row r="551" spans="1:53" ht="20" customHeight="1">
      <c r="A551" s="86" t="s">
        <v>318</v>
      </c>
      <c r="B551" s="372" t="s">
        <v>2881</v>
      </c>
      <c r="C551" s="5" t="s">
        <v>51</v>
      </c>
      <c r="D551" s="5" t="s">
        <v>52</v>
      </c>
      <c r="E551" s="5" t="s">
        <v>2001</v>
      </c>
      <c r="F551" s="5" t="s">
        <v>1971</v>
      </c>
      <c r="G551" s="5" t="s">
        <v>2000</v>
      </c>
      <c r="H551" s="6">
        <v>45342</v>
      </c>
      <c r="I551" s="5" t="s">
        <v>1608</v>
      </c>
      <c r="J551" s="5" t="s">
        <v>1607</v>
      </c>
      <c r="K551" s="5" t="s">
        <v>324</v>
      </c>
      <c r="L551" s="7">
        <v>2</v>
      </c>
      <c r="M551" s="7">
        <v>3</v>
      </c>
      <c r="N551" s="8">
        <v>8120</v>
      </c>
      <c r="O551" s="88">
        <v>0</v>
      </c>
      <c r="P551" s="10">
        <f t="shared" si="161"/>
        <v>0</v>
      </c>
      <c r="Q551" s="88">
        <v>0</v>
      </c>
      <c r="R551" s="10">
        <f t="shared" si="162"/>
        <v>0</v>
      </c>
      <c r="S551" s="88">
        <f t="shared" si="163"/>
        <v>0</v>
      </c>
      <c r="T551" s="10">
        <f t="shared" si="164"/>
        <v>0</v>
      </c>
      <c r="U551" s="10">
        <f t="shared" si="165"/>
        <v>8120</v>
      </c>
      <c r="V551" s="11">
        <f t="shared" si="173"/>
        <v>8120</v>
      </c>
      <c r="W551" s="12">
        <f t="shared" si="166"/>
        <v>0</v>
      </c>
      <c r="X551" s="92">
        <f t="shared" si="160"/>
        <v>0</v>
      </c>
      <c r="Y551" s="93" t="str">
        <f t="shared" si="158"/>
        <v>0.00%-0.00%</v>
      </c>
      <c r="Z551" s="15"/>
      <c r="AA551" s="15"/>
      <c r="AB551" s="15"/>
      <c r="AC551" s="95"/>
      <c r="AD551" s="8">
        <f t="shared" si="167"/>
        <v>0</v>
      </c>
      <c r="AE551" s="17">
        <f t="shared" si="168"/>
        <v>8120</v>
      </c>
      <c r="AF551" s="18">
        <f t="shared" si="169"/>
        <v>0</v>
      </c>
      <c r="AG551" s="97">
        <f t="shared" si="170"/>
        <v>0</v>
      </c>
      <c r="AH551" s="20">
        <v>14</v>
      </c>
      <c r="AI551" s="20">
        <v>450</v>
      </c>
      <c r="AJ551" s="20"/>
      <c r="AK551" s="20">
        <v>688</v>
      </c>
      <c r="AL551" s="20">
        <f t="shared" si="171"/>
        <v>119768</v>
      </c>
      <c r="AM551" s="7">
        <v>4</v>
      </c>
      <c r="AN551" s="20"/>
      <c r="AO551" s="21"/>
      <c r="AP551" s="21"/>
      <c r="AQ551" s="5" t="s">
        <v>1948</v>
      </c>
      <c r="AR551" s="5" t="s">
        <v>69</v>
      </c>
      <c r="AW551" s="144" t="str">
        <f t="shared" si="172"/>
        <v>OK</v>
      </c>
      <c r="AX551" s="21" t="s">
        <v>3131</v>
      </c>
      <c r="AY551" s="21" t="s">
        <v>3134</v>
      </c>
      <c r="AZ551" s="21"/>
      <c r="BA551" s="21"/>
    </row>
    <row r="552" spans="1:53" ht="20" customHeight="1">
      <c r="A552" s="86" t="s">
        <v>318</v>
      </c>
      <c r="B552" s="372" t="s">
        <v>2882</v>
      </c>
      <c r="C552" s="5" t="s">
        <v>51</v>
      </c>
      <c r="D552" s="5" t="s">
        <v>52</v>
      </c>
      <c r="E552" s="5" t="s">
        <v>2001</v>
      </c>
      <c r="F552" s="5" t="s">
        <v>1971</v>
      </c>
      <c r="G552" s="5" t="s">
        <v>2000</v>
      </c>
      <c r="H552" s="6">
        <v>45342</v>
      </c>
      <c r="I552" s="5" t="s">
        <v>1608</v>
      </c>
      <c r="J552" s="5" t="s">
        <v>1607</v>
      </c>
      <c r="K552" s="5" t="s">
        <v>324</v>
      </c>
      <c r="L552" s="7">
        <v>2</v>
      </c>
      <c r="M552" s="7">
        <v>3</v>
      </c>
      <c r="N552" s="8">
        <v>7550</v>
      </c>
      <c r="O552" s="88">
        <v>0</v>
      </c>
      <c r="P552" s="10">
        <f t="shared" si="161"/>
        <v>0</v>
      </c>
      <c r="Q552" s="88">
        <v>0</v>
      </c>
      <c r="R552" s="10">
        <f t="shared" si="162"/>
        <v>0</v>
      </c>
      <c r="S552" s="88">
        <f t="shared" si="163"/>
        <v>0</v>
      </c>
      <c r="T552" s="10">
        <f t="shared" si="164"/>
        <v>0</v>
      </c>
      <c r="U552" s="10">
        <f t="shared" si="165"/>
        <v>7550</v>
      </c>
      <c r="V552" s="11">
        <f t="shared" si="173"/>
        <v>7550</v>
      </c>
      <c r="W552" s="12">
        <f t="shared" si="166"/>
        <v>0</v>
      </c>
      <c r="X552" s="92">
        <f t="shared" si="160"/>
        <v>0</v>
      </c>
      <c r="Y552" s="93" t="str">
        <f t="shared" si="158"/>
        <v>0.00%-0.00%</v>
      </c>
      <c r="Z552" s="15"/>
      <c r="AA552" s="15"/>
      <c r="AB552" s="15"/>
      <c r="AC552" s="95"/>
      <c r="AD552" s="8">
        <f t="shared" si="167"/>
        <v>0</v>
      </c>
      <c r="AE552" s="17">
        <f t="shared" si="168"/>
        <v>7550</v>
      </c>
      <c r="AF552" s="18">
        <f t="shared" si="169"/>
        <v>0</v>
      </c>
      <c r="AG552" s="97">
        <f t="shared" si="170"/>
        <v>0</v>
      </c>
      <c r="AH552" s="20">
        <v>14</v>
      </c>
      <c r="AI552" s="20">
        <v>450</v>
      </c>
      <c r="AJ552" s="20"/>
      <c r="AK552" s="20">
        <v>688</v>
      </c>
      <c r="AL552" s="20">
        <f t="shared" si="171"/>
        <v>111788</v>
      </c>
      <c r="AM552" s="7">
        <v>3</v>
      </c>
      <c r="AN552" s="20"/>
      <c r="AO552" s="21"/>
      <c r="AP552" s="21"/>
      <c r="AQ552" s="5" t="s">
        <v>1948</v>
      </c>
      <c r="AR552" s="5" t="s">
        <v>69</v>
      </c>
      <c r="AW552" s="144" t="str">
        <f t="shared" si="172"/>
        <v>OK</v>
      </c>
      <c r="AX552" s="21" t="s">
        <v>3131</v>
      </c>
      <c r="AY552" s="21" t="s">
        <v>3134</v>
      </c>
      <c r="AZ552" s="21"/>
      <c r="BA552" s="21"/>
    </row>
    <row r="553" spans="1:53" ht="20" customHeight="1">
      <c r="A553" s="86" t="s">
        <v>318</v>
      </c>
      <c r="B553" s="372" t="s">
        <v>2883</v>
      </c>
      <c r="C553" s="5" t="s">
        <v>51</v>
      </c>
      <c r="D553" s="5" t="s">
        <v>52</v>
      </c>
      <c r="E553" s="5" t="s">
        <v>2001</v>
      </c>
      <c r="F553" s="5" t="s">
        <v>1956</v>
      </c>
      <c r="G553" s="5" t="s">
        <v>2000</v>
      </c>
      <c r="H553" s="6">
        <v>43928</v>
      </c>
      <c r="I553" s="5" t="s">
        <v>74</v>
      </c>
      <c r="J553" s="5" t="s">
        <v>74</v>
      </c>
      <c r="K553" s="5" t="s">
        <v>76</v>
      </c>
      <c r="L553" s="7">
        <v>2</v>
      </c>
      <c r="M553" s="7">
        <v>4</v>
      </c>
      <c r="N553" s="8">
        <v>17016</v>
      </c>
      <c r="O553" s="88">
        <v>2.2499999999999999E-2</v>
      </c>
      <c r="P553" s="10">
        <f t="shared" si="161"/>
        <v>383</v>
      </c>
      <c r="Q553" s="88">
        <v>0</v>
      </c>
      <c r="R553" s="10">
        <f t="shared" si="162"/>
        <v>0</v>
      </c>
      <c r="S553" s="88">
        <f t="shared" si="163"/>
        <v>2.2508227550540667E-2</v>
      </c>
      <c r="T553" s="10">
        <f t="shared" si="164"/>
        <v>383</v>
      </c>
      <c r="U553" s="10">
        <f t="shared" si="165"/>
        <v>17399</v>
      </c>
      <c r="V553" s="11">
        <f t="shared" si="173"/>
        <v>17399</v>
      </c>
      <c r="W553" s="12">
        <f t="shared" si="166"/>
        <v>383</v>
      </c>
      <c r="X553" s="92">
        <f t="shared" si="160"/>
        <v>2.2499999999999999E-2</v>
      </c>
      <c r="Y553" s="93" t="str">
        <f t="shared" si="158"/>
        <v>1.80%-2.70%</v>
      </c>
      <c r="Z553" s="15" t="s">
        <v>87</v>
      </c>
      <c r="AA553" s="15" t="s">
        <v>60</v>
      </c>
      <c r="AB553" s="15" t="s">
        <v>89</v>
      </c>
      <c r="AC553" s="95">
        <v>0.13</v>
      </c>
      <c r="AD553" s="8">
        <f t="shared" si="167"/>
        <v>2212</v>
      </c>
      <c r="AE553" s="17">
        <f t="shared" si="168"/>
        <v>19611</v>
      </c>
      <c r="AF553" s="18">
        <f t="shared" si="169"/>
        <v>2595</v>
      </c>
      <c r="AG553" s="97">
        <f t="shared" si="170"/>
        <v>0.15250352609308893</v>
      </c>
      <c r="AH553" s="20">
        <v>14</v>
      </c>
      <c r="AI553" s="20">
        <v>450</v>
      </c>
      <c r="AJ553" s="20"/>
      <c r="AK553" s="20">
        <v>688</v>
      </c>
      <c r="AL553" s="20">
        <f t="shared" si="171"/>
        <v>280642</v>
      </c>
      <c r="AM553" s="7">
        <v>5</v>
      </c>
      <c r="AN553" s="20"/>
      <c r="AO553" s="21" t="s">
        <v>90</v>
      </c>
      <c r="AP553" s="21" t="s">
        <v>90</v>
      </c>
      <c r="AQ553" s="5" t="s">
        <v>1948</v>
      </c>
      <c r="AR553" s="5" t="s">
        <v>69</v>
      </c>
      <c r="AW553" s="144" t="str">
        <f t="shared" si="172"/>
        <v>OK</v>
      </c>
      <c r="AX553" s="21" t="s">
        <v>3133</v>
      </c>
      <c r="AY553" s="21" t="s">
        <v>3138</v>
      </c>
      <c r="AZ553" s="21"/>
      <c r="BA553" s="21"/>
    </row>
    <row r="554" spans="1:53" ht="20" customHeight="1">
      <c r="A554" s="86" t="s">
        <v>318</v>
      </c>
      <c r="B554" s="372" t="s">
        <v>2884</v>
      </c>
      <c r="C554" s="5" t="s">
        <v>51</v>
      </c>
      <c r="D554" s="5" t="s">
        <v>52</v>
      </c>
      <c r="E554" s="5" t="s">
        <v>2001</v>
      </c>
      <c r="F554" s="5" t="s">
        <v>1956</v>
      </c>
      <c r="G554" s="5" t="s">
        <v>2000</v>
      </c>
      <c r="H554" s="6">
        <v>44440</v>
      </c>
      <c r="I554" s="5" t="s">
        <v>74</v>
      </c>
      <c r="J554" s="5" t="s">
        <v>74</v>
      </c>
      <c r="K554" s="5" t="s">
        <v>76</v>
      </c>
      <c r="L554" s="7">
        <v>2</v>
      </c>
      <c r="M554" s="7">
        <v>3</v>
      </c>
      <c r="N554" s="8">
        <v>16843</v>
      </c>
      <c r="O554" s="88">
        <v>0</v>
      </c>
      <c r="P554" s="10">
        <f t="shared" si="161"/>
        <v>0</v>
      </c>
      <c r="Q554" s="88">
        <v>0</v>
      </c>
      <c r="R554" s="10">
        <f t="shared" si="162"/>
        <v>0</v>
      </c>
      <c r="S554" s="88">
        <f t="shared" si="163"/>
        <v>0</v>
      </c>
      <c r="T554" s="10">
        <f t="shared" si="164"/>
        <v>0</v>
      </c>
      <c r="U554" s="10">
        <f t="shared" si="165"/>
        <v>16843</v>
      </c>
      <c r="V554" s="11">
        <f t="shared" si="173"/>
        <v>16843</v>
      </c>
      <c r="W554" s="12">
        <f t="shared" si="166"/>
        <v>0</v>
      </c>
      <c r="X554" s="92">
        <f t="shared" si="160"/>
        <v>0</v>
      </c>
      <c r="Y554" s="93" t="str">
        <f t="shared" si="158"/>
        <v>0.00%-0.00%</v>
      </c>
      <c r="Z554" s="15"/>
      <c r="AA554" s="15"/>
      <c r="AB554" s="15"/>
      <c r="AC554" s="95"/>
      <c r="AD554" s="8">
        <f t="shared" si="167"/>
        <v>0</v>
      </c>
      <c r="AE554" s="17">
        <f t="shared" si="168"/>
        <v>16843</v>
      </c>
      <c r="AF554" s="18">
        <f t="shared" si="169"/>
        <v>0</v>
      </c>
      <c r="AG554" s="97">
        <f t="shared" si="170"/>
        <v>0</v>
      </c>
      <c r="AH554" s="20">
        <v>14</v>
      </c>
      <c r="AI554" s="20">
        <v>450</v>
      </c>
      <c r="AJ554" s="20"/>
      <c r="AK554" s="20">
        <v>688</v>
      </c>
      <c r="AL554" s="20">
        <f t="shared" si="171"/>
        <v>241890</v>
      </c>
      <c r="AM554" s="7">
        <v>3</v>
      </c>
      <c r="AN554" s="20"/>
      <c r="AO554" s="21"/>
      <c r="AP554" s="21"/>
      <c r="AQ554" s="5" t="s">
        <v>1948</v>
      </c>
      <c r="AR554" s="5" t="s">
        <v>69</v>
      </c>
      <c r="AW554" s="144" t="str">
        <f t="shared" si="172"/>
        <v>OK</v>
      </c>
      <c r="AX554" s="21" t="s">
        <v>3131</v>
      </c>
      <c r="AY554" s="21" t="s">
        <v>3134</v>
      </c>
      <c r="AZ554" s="21"/>
      <c r="BA554" s="21"/>
    </row>
    <row r="555" spans="1:53" ht="20" customHeight="1">
      <c r="A555" s="86" t="s">
        <v>318</v>
      </c>
      <c r="B555" s="372" t="s">
        <v>2885</v>
      </c>
      <c r="C555" s="5" t="s">
        <v>51</v>
      </c>
      <c r="D555" s="5" t="s">
        <v>52</v>
      </c>
      <c r="E555" s="5" t="s">
        <v>2001</v>
      </c>
      <c r="F555" s="5" t="s">
        <v>1956</v>
      </c>
      <c r="G555" s="5" t="s">
        <v>2000</v>
      </c>
      <c r="H555" s="6">
        <v>43199</v>
      </c>
      <c r="I555" s="5" t="s">
        <v>71</v>
      </c>
      <c r="J555" s="5" t="s">
        <v>60</v>
      </c>
      <c r="K555" s="5" t="s">
        <v>61</v>
      </c>
      <c r="L555" s="7">
        <v>2</v>
      </c>
      <c r="M555" s="7">
        <v>3</v>
      </c>
      <c r="N555" s="8">
        <v>20072</v>
      </c>
      <c r="O555" s="88">
        <v>0</v>
      </c>
      <c r="P555" s="10">
        <f t="shared" si="161"/>
        <v>0</v>
      </c>
      <c r="Q555" s="88">
        <v>0</v>
      </c>
      <c r="R555" s="10">
        <f t="shared" si="162"/>
        <v>0</v>
      </c>
      <c r="S555" s="88">
        <f t="shared" si="163"/>
        <v>0</v>
      </c>
      <c r="T555" s="10">
        <f t="shared" si="164"/>
        <v>0</v>
      </c>
      <c r="U555" s="10">
        <f t="shared" si="165"/>
        <v>20072</v>
      </c>
      <c r="V555" s="11">
        <f t="shared" si="173"/>
        <v>20072</v>
      </c>
      <c r="W555" s="12">
        <f t="shared" si="166"/>
        <v>0</v>
      </c>
      <c r="X555" s="92">
        <f t="shared" si="160"/>
        <v>0</v>
      </c>
      <c r="Y555" s="93" t="str">
        <f t="shared" si="158"/>
        <v>0.00%-0.00%</v>
      </c>
      <c r="Z555" s="15"/>
      <c r="AA555" s="15"/>
      <c r="AB555" s="15"/>
      <c r="AC555" s="95"/>
      <c r="AD555" s="8">
        <f t="shared" si="167"/>
        <v>0</v>
      </c>
      <c r="AE555" s="17">
        <f t="shared" si="168"/>
        <v>20072</v>
      </c>
      <c r="AF555" s="18">
        <f t="shared" si="169"/>
        <v>0</v>
      </c>
      <c r="AG555" s="97">
        <f t="shared" si="170"/>
        <v>0</v>
      </c>
      <c r="AH555" s="20">
        <v>14</v>
      </c>
      <c r="AI555" s="20">
        <v>450</v>
      </c>
      <c r="AJ555" s="20"/>
      <c r="AK555" s="20">
        <v>688</v>
      </c>
      <c r="AL555" s="20">
        <f t="shared" si="171"/>
        <v>287096</v>
      </c>
      <c r="AM555" s="7">
        <v>4</v>
      </c>
      <c r="AN555" s="20"/>
      <c r="AO555" s="21"/>
      <c r="AP555" s="21"/>
      <c r="AQ555" s="5" t="s">
        <v>1948</v>
      </c>
      <c r="AR555" s="5" t="s">
        <v>69</v>
      </c>
      <c r="AW555" s="144" t="str">
        <f t="shared" si="172"/>
        <v>OK</v>
      </c>
      <c r="AX555" s="21" t="s">
        <v>3133</v>
      </c>
      <c r="AY555" s="21" t="s">
        <v>3134</v>
      </c>
      <c r="AZ555" s="21"/>
      <c r="BA555" s="21"/>
    </row>
    <row r="556" spans="1:53" ht="20" customHeight="1">
      <c r="A556" s="86" t="s">
        <v>318</v>
      </c>
      <c r="B556" s="372" t="s">
        <v>2886</v>
      </c>
      <c r="C556" s="5" t="s">
        <v>1732</v>
      </c>
      <c r="D556" s="5" t="s">
        <v>52</v>
      </c>
      <c r="E556" s="5" t="s">
        <v>2001</v>
      </c>
      <c r="F556" s="5" t="s">
        <v>1973</v>
      </c>
      <c r="G556" s="5" t="s">
        <v>1981</v>
      </c>
      <c r="H556" s="6">
        <v>44844</v>
      </c>
      <c r="I556" s="5" t="s">
        <v>226</v>
      </c>
      <c r="J556" s="5" t="s">
        <v>226</v>
      </c>
      <c r="K556" s="5" t="s">
        <v>84</v>
      </c>
      <c r="L556" s="7">
        <v>2</v>
      </c>
      <c r="M556" s="7">
        <v>3</v>
      </c>
      <c r="N556" s="8">
        <v>14175</v>
      </c>
      <c r="O556" s="88">
        <v>0</v>
      </c>
      <c r="P556" s="10">
        <f t="shared" si="161"/>
        <v>0</v>
      </c>
      <c r="Q556" s="88">
        <v>0</v>
      </c>
      <c r="R556" s="10">
        <f t="shared" si="162"/>
        <v>0</v>
      </c>
      <c r="S556" s="88">
        <f t="shared" si="163"/>
        <v>0</v>
      </c>
      <c r="T556" s="10">
        <f t="shared" si="164"/>
        <v>0</v>
      </c>
      <c r="U556" s="10">
        <f t="shared" si="165"/>
        <v>14175</v>
      </c>
      <c r="V556" s="11">
        <f t="shared" si="173"/>
        <v>14175</v>
      </c>
      <c r="W556" s="12">
        <f t="shared" si="166"/>
        <v>0</v>
      </c>
      <c r="X556" s="92">
        <f t="shared" si="160"/>
        <v>0</v>
      </c>
      <c r="Y556" s="93" t="str">
        <f t="shared" si="158"/>
        <v>0.00%-0.00%</v>
      </c>
      <c r="Z556" s="15"/>
      <c r="AA556" s="15"/>
      <c r="AB556" s="15"/>
      <c r="AC556" s="95"/>
      <c r="AD556" s="8">
        <f t="shared" si="167"/>
        <v>0</v>
      </c>
      <c r="AE556" s="17">
        <f t="shared" si="168"/>
        <v>14175</v>
      </c>
      <c r="AF556" s="18">
        <f t="shared" si="169"/>
        <v>0</v>
      </c>
      <c r="AG556" s="97">
        <f t="shared" si="170"/>
        <v>0</v>
      </c>
      <c r="AH556" s="20">
        <v>14</v>
      </c>
      <c r="AI556" s="20">
        <v>450</v>
      </c>
      <c r="AJ556" s="20"/>
      <c r="AK556" s="20">
        <v>1210</v>
      </c>
      <c r="AL556" s="20">
        <f t="shared" si="171"/>
        <v>205060</v>
      </c>
      <c r="AM556" s="7">
        <v>3</v>
      </c>
      <c r="AN556" s="20"/>
      <c r="AO556" s="21"/>
      <c r="AP556" s="21"/>
      <c r="AQ556" s="5" t="s">
        <v>1948</v>
      </c>
      <c r="AR556" s="5" t="s">
        <v>69</v>
      </c>
      <c r="AW556" s="144" t="str">
        <f t="shared" si="172"/>
        <v>OK</v>
      </c>
      <c r="AX556" s="21" t="s">
        <v>3131</v>
      </c>
      <c r="AY556" s="21" t="s">
        <v>3134</v>
      </c>
      <c r="AZ556" s="21"/>
      <c r="BA556" s="21"/>
    </row>
    <row r="557" spans="1:53" ht="20" customHeight="1">
      <c r="A557" s="86" t="s">
        <v>318</v>
      </c>
      <c r="B557" s="372" t="s">
        <v>2887</v>
      </c>
      <c r="C557" s="5" t="s">
        <v>51</v>
      </c>
      <c r="D557" s="5" t="s">
        <v>52</v>
      </c>
      <c r="E557" s="5" t="s">
        <v>2001</v>
      </c>
      <c r="F557" s="5" t="s">
        <v>1955</v>
      </c>
      <c r="G557" s="5" t="s">
        <v>1947</v>
      </c>
      <c r="H557" s="6">
        <v>45749</v>
      </c>
      <c r="I557" s="5" t="s">
        <v>226</v>
      </c>
      <c r="J557" s="5" t="s">
        <v>226</v>
      </c>
      <c r="K557" s="5" t="s">
        <v>84</v>
      </c>
      <c r="L557" s="7">
        <v>2</v>
      </c>
      <c r="M557" s="7" t="s">
        <v>176</v>
      </c>
      <c r="N557" s="8">
        <v>10529</v>
      </c>
      <c r="O557" s="88">
        <v>0</v>
      </c>
      <c r="P557" s="10">
        <f t="shared" si="161"/>
        <v>0</v>
      </c>
      <c r="Q557" s="88">
        <v>0</v>
      </c>
      <c r="R557" s="10">
        <f t="shared" si="162"/>
        <v>0</v>
      </c>
      <c r="S557" s="88">
        <f t="shared" si="163"/>
        <v>0</v>
      </c>
      <c r="T557" s="10">
        <f t="shared" si="164"/>
        <v>0</v>
      </c>
      <c r="U557" s="10">
        <f t="shared" si="165"/>
        <v>10529</v>
      </c>
      <c r="V557" s="11">
        <f t="shared" si="173"/>
        <v>10529</v>
      </c>
      <c r="W557" s="12">
        <f t="shared" si="166"/>
        <v>0</v>
      </c>
      <c r="X557" s="92">
        <f t="shared" si="160"/>
        <v>0</v>
      </c>
      <c r="Y557" s="93" t="str">
        <f t="shared" si="158"/>
        <v>0.00%-0.00%</v>
      </c>
      <c r="Z557" s="15"/>
      <c r="AA557" s="15"/>
      <c r="AB557" s="15"/>
      <c r="AC557" s="95"/>
      <c r="AD557" s="8">
        <f t="shared" si="167"/>
        <v>0</v>
      </c>
      <c r="AE557" s="17">
        <f t="shared" si="168"/>
        <v>10529</v>
      </c>
      <c r="AF557" s="18">
        <f t="shared" si="169"/>
        <v>0</v>
      </c>
      <c r="AG557" s="97">
        <f t="shared" si="170"/>
        <v>0</v>
      </c>
      <c r="AH557" s="20">
        <v>14</v>
      </c>
      <c r="AI557" s="20">
        <v>450</v>
      </c>
      <c r="AJ557" s="20"/>
      <c r="AK557" s="20">
        <v>688</v>
      </c>
      <c r="AL557" s="20">
        <f t="shared" si="171"/>
        <v>153494</v>
      </c>
      <c r="AM557" s="7" t="e">
        <v>#N/A</v>
      </c>
      <c r="AN557" s="20"/>
      <c r="AO557" s="21"/>
      <c r="AP557" s="21"/>
      <c r="AQ557" s="5" t="s">
        <v>1948</v>
      </c>
      <c r="AR557" s="5" t="s">
        <v>69</v>
      </c>
      <c r="AW557" s="144" t="str">
        <f>_xlfn.LET(_xlpm.actual,X557,_xlpm.low,VALUE(_xlfn.TEXTBEFORE(Y557,"-")),_xlpm.high,VALUE(_xlfn.TEXTAFTER(Y557,"-")),IF(AND(_xlpm.actual=0,OR(_xlpm.low&lt;&gt;0,_xlpm.high&lt;&gt;0)),"0 increase",IF(_xlpm.actual&gt;_xlpm.high*1.2,"&gt;20",IF(_xlpm.actual&lt;_xlpm.low*0.8,"&lt;20","OK"))))</f>
        <v>OK</v>
      </c>
      <c r="AX557" s="21" t="s">
        <v>3131</v>
      </c>
      <c r="AY557" s="21">
        <v>0</v>
      </c>
      <c r="AZ557" s="21"/>
      <c r="BA557" s="21"/>
    </row>
    <row r="558" spans="1:53" ht="20" customHeight="1">
      <c r="A558" s="86" t="s">
        <v>318</v>
      </c>
      <c r="B558" s="372" t="s">
        <v>2888</v>
      </c>
      <c r="C558" s="5" t="s">
        <v>51</v>
      </c>
      <c r="D558" s="5" t="s">
        <v>52</v>
      </c>
      <c r="E558" s="5" t="s">
        <v>2032</v>
      </c>
      <c r="F558" s="5" t="s">
        <v>2020</v>
      </c>
      <c r="G558" s="5" t="s">
        <v>2021</v>
      </c>
      <c r="H558" s="6">
        <v>40513</v>
      </c>
      <c r="I558" s="5" t="s">
        <v>292</v>
      </c>
      <c r="J558" s="5" t="s">
        <v>2022</v>
      </c>
      <c r="K558" s="5" t="s">
        <v>294</v>
      </c>
      <c r="L558" s="7">
        <v>1</v>
      </c>
      <c r="M558" s="7">
        <v>3</v>
      </c>
      <c r="N558" s="8">
        <v>95000</v>
      </c>
      <c r="O558" s="88">
        <v>0</v>
      </c>
      <c r="P558" s="10">
        <f t="shared" si="161"/>
        <v>0</v>
      </c>
      <c r="Q558" s="88">
        <v>0</v>
      </c>
      <c r="R558" s="10">
        <f t="shared" si="162"/>
        <v>0</v>
      </c>
      <c r="S558" s="88">
        <f t="shared" si="163"/>
        <v>0</v>
      </c>
      <c r="T558" s="10">
        <f t="shared" si="164"/>
        <v>0</v>
      </c>
      <c r="U558" s="10">
        <f t="shared" si="165"/>
        <v>95000</v>
      </c>
      <c r="V558" s="11">
        <f t="shared" ref="V558:V571" si="174">U558</f>
        <v>95000</v>
      </c>
      <c r="W558" s="12">
        <f t="shared" si="166"/>
        <v>0</v>
      </c>
      <c r="X558" s="92">
        <f t="shared" si="160"/>
        <v>0</v>
      </c>
      <c r="Y558" s="93" t="str">
        <f t="shared" ref="Y558:Y571" si="175">IF(OR(L558=1,L558=2,L558=4),TEXT(S558*0.8,"0.00%")&amp;"-"&amp;TEXT(S558*1.2,"0.00%"),IF(OR(L558=3,L558=6),TEXT(0,"0.00%")&amp;"-"&amp;TEXT(7%*1.2,"0.00%"),IF(OR(L558=5,L558=7),TEXT((R558/N558),"0.00%")&amp;"-"&amp;TEXT((R558/N558)+7%,"0.00%"),"")))</f>
        <v>0.00%-0.00%</v>
      </c>
      <c r="Z558" s="15"/>
      <c r="AA558" s="15"/>
      <c r="AB558" s="15"/>
      <c r="AC558" s="95"/>
      <c r="AD558" s="8">
        <f t="shared" si="167"/>
        <v>0</v>
      </c>
      <c r="AE558" s="17">
        <f t="shared" si="168"/>
        <v>95000</v>
      </c>
      <c r="AF558" s="18">
        <f t="shared" si="169"/>
        <v>0</v>
      </c>
      <c r="AG558" s="97">
        <f t="shared" si="170"/>
        <v>0</v>
      </c>
      <c r="AH558" s="20">
        <v>13</v>
      </c>
      <c r="AI558" s="20">
        <v>450</v>
      </c>
      <c r="AJ558" s="20"/>
      <c r="AK558" s="20">
        <v>0</v>
      </c>
      <c r="AL558" s="20">
        <f t="shared" si="171"/>
        <v>1240400</v>
      </c>
      <c r="AM558" s="7">
        <v>3</v>
      </c>
      <c r="AN558" s="20"/>
      <c r="AO558" s="21"/>
      <c r="AP558" s="21"/>
      <c r="AQ558" s="5" t="s">
        <v>2023</v>
      </c>
      <c r="AR558" s="5" t="s">
        <v>124</v>
      </c>
      <c r="AS558" s="5" t="s">
        <v>218</v>
      </c>
      <c r="AT558" s="20"/>
      <c r="AU558" s="21"/>
      <c r="AV558" s="21"/>
      <c r="AW558" s="144" t="str">
        <f t="shared" si="172"/>
        <v>OK</v>
      </c>
      <c r="AX558" s="21" t="s">
        <v>3135</v>
      </c>
      <c r="AY558" s="21" t="s">
        <v>3140</v>
      </c>
      <c r="AZ558" s="21"/>
      <c r="BA558" s="21"/>
    </row>
    <row r="559" spans="1:53" ht="20" customHeight="1">
      <c r="A559" s="86" t="s">
        <v>318</v>
      </c>
      <c r="B559" s="372" t="s">
        <v>2889</v>
      </c>
      <c r="C559" s="5" t="s">
        <v>51</v>
      </c>
      <c r="D559" s="5" t="s">
        <v>52</v>
      </c>
      <c r="E559" s="5" t="s">
        <v>2032</v>
      </c>
      <c r="F559" s="5" t="s">
        <v>2024</v>
      </c>
      <c r="G559" s="5" t="s">
        <v>2025</v>
      </c>
      <c r="H559" s="6">
        <v>33420</v>
      </c>
      <c r="I559" s="5" t="s">
        <v>1727</v>
      </c>
      <c r="J559" s="5" t="s">
        <v>1727</v>
      </c>
      <c r="K559" s="5" t="s">
        <v>56</v>
      </c>
      <c r="L559" s="7">
        <v>2</v>
      </c>
      <c r="M559" s="7">
        <v>3</v>
      </c>
      <c r="N559" s="8">
        <v>25994</v>
      </c>
      <c r="O559" s="88">
        <v>2.5000000000000001E-2</v>
      </c>
      <c r="P559" s="10">
        <f t="shared" si="161"/>
        <v>650</v>
      </c>
      <c r="Q559" s="88">
        <v>0</v>
      </c>
      <c r="R559" s="10">
        <f t="shared" si="162"/>
        <v>0</v>
      </c>
      <c r="S559" s="88">
        <f t="shared" si="163"/>
        <v>2.5005770562437486E-2</v>
      </c>
      <c r="T559" s="10">
        <f t="shared" si="164"/>
        <v>650</v>
      </c>
      <c r="U559" s="10">
        <f t="shared" si="165"/>
        <v>26644</v>
      </c>
      <c r="V559" s="11">
        <f t="shared" si="174"/>
        <v>26644</v>
      </c>
      <c r="W559" s="12">
        <f t="shared" si="166"/>
        <v>650</v>
      </c>
      <c r="X559" s="92">
        <f t="shared" si="160"/>
        <v>2.5000000000000001E-2</v>
      </c>
      <c r="Y559" s="93" t="str">
        <f t="shared" si="175"/>
        <v>2.00%-3.00%</v>
      </c>
      <c r="Z559" s="15"/>
      <c r="AA559" s="15"/>
      <c r="AB559" s="15"/>
      <c r="AC559" s="95"/>
      <c r="AD559" s="8">
        <f t="shared" si="167"/>
        <v>0</v>
      </c>
      <c r="AE559" s="17">
        <f t="shared" si="168"/>
        <v>26644</v>
      </c>
      <c r="AF559" s="18">
        <f t="shared" si="169"/>
        <v>650</v>
      </c>
      <c r="AG559" s="97">
        <f t="shared" si="170"/>
        <v>2.5005770562437579E-2</v>
      </c>
      <c r="AH559" s="20">
        <v>14</v>
      </c>
      <c r="AI559" s="20">
        <v>450</v>
      </c>
      <c r="AJ559" s="20"/>
      <c r="AK559" s="20">
        <v>688</v>
      </c>
      <c r="AL559" s="20">
        <f t="shared" si="171"/>
        <v>379104</v>
      </c>
      <c r="AM559" s="7">
        <v>3</v>
      </c>
      <c r="AN559" s="20"/>
      <c r="AO559" s="21"/>
      <c r="AP559" s="21"/>
      <c r="AQ559" s="5" t="s">
        <v>2023</v>
      </c>
      <c r="AR559" s="5" t="s">
        <v>124</v>
      </c>
      <c r="AS559" s="5" t="s">
        <v>218</v>
      </c>
      <c r="AT559" s="20"/>
      <c r="AU559" s="21"/>
      <c r="AV559" s="21"/>
      <c r="AW559" s="144" t="str">
        <f t="shared" si="172"/>
        <v>OK</v>
      </c>
      <c r="AX559" s="21" t="s">
        <v>3137</v>
      </c>
      <c r="AY559" s="21" t="s">
        <v>3130</v>
      </c>
      <c r="AZ559" s="21"/>
      <c r="BA559" s="21"/>
    </row>
    <row r="560" spans="1:53" ht="20" customHeight="1">
      <c r="A560" s="86" t="s">
        <v>318</v>
      </c>
      <c r="B560" s="372" t="s">
        <v>2890</v>
      </c>
      <c r="C560" s="5" t="s">
        <v>51</v>
      </c>
      <c r="D560" s="5" t="s">
        <v>52</v>
      </c>
      <c r="E560" s="5" t="s">
        <v>2032</v>
      </c>
      <c r="F560" s="5" t="s">
        <v>2020</v>
      </c>
      <c r="G560" s="5" t="s">
        <v>2021</v>
      </c>
      <c r="H560" s="6">
        <v>40520</v>
      </c>
      <c r="I560" s="5" t="s">
        <v>111</v>
      </c>
      <c r="J560" s="5" t="s">
        <v>111</v>
      </c>
      <c r="K560" s="5" t="s">
        <v>56</v>
      </c>
      <c r="L560" s="7">
        <v>2</v>
      </c>
      <c r="M560" s="7">
        <v>3</v>
      </c>
      <c r="N560" s="8">
        <v>20205</v>
      </c>
      <c r="O560" s="88">
        <v>2.5000000000000001E-2</v>
      </c>
      <c r="P560" s="10">
        <f t="shared" si="161"/>
        <v>505</v>
      </c>
      <c r="Q560" s="88">
        <v>0</v>
      </c>
      <c r="R560" s="10">
        <f t="shared" si="162"/>
        <v>0</v>
      </c>
      <c r="S560" s="88">
        <f t="shared" si="163"/>
        <v>2.4993813412521652E-2</v>
      </c>
      <c r="T560" s="10">
        <f t="shared" si="164"/>
        <v>505</v>
      </c>
      <c r="U560" s="10">
        <f t="shared" si="165"/>
        <v>20710</v>
      </c>
      <c r="V560" s="11">
        <f t="shared" si="174"/>
        <v>20710</v>
      </c>
      <c r="W560" s="12">
        <f t="shared" si="166"/>
        <v>505</v>
      </c>
      <c r="X560" s="92">
        <f t="shared" si="160"/>
        <v>2.5000000000000001E-2</v>
      </c>
      <c r="Y560" s="93" t="str">
        <f t="shared" si="175"/>
        <v>2.00%-3.00%</v>
      </c>
      <c r="Z560" s="15"/>
      <c r="AA560" s="15"/>
      <c r="AB560" s="15"/>
      <c r="AC560" s="95"/>
      <c r="AD560" s="8">
        <f t="shared" si="167"/>
        <v>0</v>
      </c>
      <c r="AE560" s="17">
        <f t="shared" si="168"/>
        <v>20710</v>
      </c>
      <c r="AF560" s="18">
        <f t="shared" si="169"/>
        <v>505</v>
      </c>
      <c r="AG560" s="97">
        <f t="shared" si="170"/>
        <v>2.4993813412521604E-2</v>
      </c>
      <c r="AH560" s="20">
        <v>14</v>
      </c>
      <c r="AI560" s="20">
        <v>450</v>
      </c>
      <c r="AJ560" s="20"/>
      <c r="AK560" s="20">
        <v>688</v>
      </c>
      <c r="AL560" s="20">
        <f t="shared" si="171"/>
        <v>296028</v>
      </c>
      <c r="AM560" s="7">
        <v>4</v>
      </c>
      <c r="AN560" s="20"/>
      <c r="AO560" s="21"/>
      <c r="AP560" s="21"/>
      <c r="AQ560" s="5" t="s">
        <v>2023</v>
      </c>
      <c r="AR560" s="5" t="s">
        <v>124</v>
      </c>
      <c r="AS560" s="5" t="s">
        <v>218</v>
      </c>
      <c r="AT560" s="20"/>
      <c r="AU560" s="21"/>
      <c r="AV560" s="21"/>
      <c r="AW560" s="144" t="str">
        <f t="shared" si="172"/>
        <v>OK</v>
      </c>
      <c r="AX560" s="21" t="s">
        <v>3135</v>
      </c>
      <c r="AY560" s="21" t="s">
        <v>3130</v>
      </c>
      <c r="AZ560" s="21"/>
      <c r="BA560" s="21"/>
    </row>
    <row r="561" spans="1:53" ht="20" customHeight="1">
      <c r="A561" s="86" t="s">
        <v>318</v>
      </c>
      <c r="B561" s="372" t="s">
        <v>2891</v>
      </c>
      <c r="C561" s="5" t="s">
        <v>51</v>
      </c>
      <c r="D561" s="5" t="s">
        <v>52</v>
      </c>
      <c r="E561" s="5" t="s">
        <v>2032</v>
      </c>
      <c r="F561" s="5" t="s">
        <v>2026</v>
      </c>
      <c r="G561" s="5" t="s">
        <v>2027</v>
      </c>
      <c r="H561" s="6">
        <v>40678</v>
      </c>
      <c r="I561" s="5" t="s">
        <v>55</v>
      </c>
      <c r="J561" s="5" t="s">
        <v>55</v>
      </c>
      <c r="K561" s="5" t="s">
        <v>56</v>
      </c>
      <c r="L561" s="7">
        <v>2</v>
      </c>
      <c r="M561" s="7">
        <v>4</v>
      </c>
      <c r="N561" s="8">
        <v>22264</v>
      </c>
      <c r="O561" s="88">
        <v>3.7500000000000006E-2</v>
      </c>
      <c r="P561" s="10">
        <f t="shared" si="161"/>
        <v>835</v>
      </c>
      <c r="Q561" s="88">
        <v>1.55E-2</v>
      </c>
      <c r="R561" s="10">
        <f t="shared" si="162"/>
        <v>345</v>
      </c>
      <c r="S561" s="88">
        <f t="shared" si="163"/>
        <v>5.3000359324469996E-2</v>
      </c>
      <c r="T561" s="10">
        <f t="shared" si="164"/>
        <v>1180</v>
      </c>
      <c r="U561" s="10">
        <f t="shared" si="165"/>
        <v>23444</v>
      </c>
      <c r="V561" s="11">
        <f t="shared" si="174"/>
        <v>23444</v>
      </c>
      <c r="W561" s="12">
        <f t="shared" si="166"/>
        <v>1180</v>
      </c>
      <c r="X561" s="92">
        <f t="shared" si="160"/>
        <v>5.2999999999999999E-2</v>
      </c>
      <c r="Y561" s="93" t="str">
        <f t="shared" si="175"/>
        <v>4.24%-6.36%</v>
      </c>
      <c r="Z561" s="15"/>
      <c r="AA561" s="15"/>
      <c r="AB561" s="15"/>
      <c r="AC561" s="95"/>
      <c r="AD561" s="8">
        <f t="shared" si="167"/>
        <v>0</v>
      </c>
      <c r="AE561" s="17">
        <f t="shared" si="168"/>
        <v>23444</v>
      </c>
      <c r="AF561" s="18">
        <f t="shared" si="169"/>
        <v>1180</v>
      </c>
      <c r="AG561" s="97">
        <f t="shared" si="170"/>
        <v>5.3000359324469892E-2</v>
      </c>
      <c r="AH561" s="20">
        <v>14</v>
      </c>
      <c r="AI561" s="20">
        <v>550</v>
      </c>
      <c r="AJ561" s="20"/>
      <c r="AK561" s="20">
        <v>688</v>
      </c>
      <c r="AL561" s="20">
        <f t="shared" si="171"/>
        <v>335504</v>
      </c>
      <c r="AM561" s="7">
        <v>3</v>
      </c>
      <c r="AN561" s="20"/>
      <c r="AO561" s="21"/>
      <c r="AP561" s="21"/>
      <c r="AQ561" s="5" t="s">
        <v>2023</v>
      </c>
      <c r="AR561" s="5" t="s">
        <v>124</v>
      </c>
      <c r="AS561" s="5" t="s">
        <v>218</v>
      </c>
      <c r="AT561" s="20"/>
      <c r="AU561" s="21"/>
      <c r="AV561" s="21"/>
      <c r="AW561" s="144" t="str">
        <f t="shared" si="172"/>
        <v>OK</v>
      </c>
      <c r="AX561" s="21" t="s">
        <v>3135</v>
      </c>
      <c r="AY561" s="21" t="s">
        <v>3130</v>
      </c>
      <c r="AZ561" s="21"/>
      <c r="BA561" s="21"/>
    </row>
    <row r="562" spans="1:53" ht="20" customHeight="1">
      <c r="A562" s="86" t="s">
        <v>318</v>
      </c>
      <c r="B562" s="372" t="s">
        <v>2892</v>
      </c>
      <c r="C562" s="5" t="s">
        <v>51</v>
      </c>
      <c r="D562" s="5" t="s">
        <v>52</v>
      </c>
      <c r="E562" s="5" t="s">
        <v>2032</v>
      </c>
      <c r="F562" s="5" t="s">
        <v>2028</v>
      </c>
      <c r="G562" s="5" t="s">
        <v>2027</v>
      </c>
      <c r="H562" s="6">
        <v>40057</v>
      </c>
      <c r="I562" s="5" t="s">
        <v>1735</v>
      </c>
      <c r="J562" s="5" t="s">
        <v>1735</v>
      </c>
      <c r="K562" s="5" t="s">
        <v>199</v>
      </c>
      <c r="L562" s="7">
        <v>2</v>
      </c>
      <c r="M562" s="7">
        <v>5</v>
      </c>
      <c r="N562" s="8">
        <v>39155</v>
      </c>
      <c r="O562" s="88">
        <v>0.05</v>
      </c>
      <c r="P562" s="10">
        <f t="shared" si="161"/>
        <v>1958</v>
      </c>
      <c r="Q562" s="88">
        <v>2.7E-2</v>
      </c>
      <c r="R562" s="10">
        <f t="shared" si="162"/>
        <v>1057</v>
      </c>
      <c r="S562" s="88">
        <f t="shared" si="163"/>
        <v>7.7001660068956715E-2</v>
      </c>
      <c r="T562" s="10">
        <f t="shared" si="164"/>
        <v>3015</v>
      </c>
      <c r="U562" s="10">
        <f t="shared" si="165"/>
        <v>42170</v>
      </c>
      <c r="V562" s="11">
        <f t="shared" si="174"/>
        <v>42170</v>
      </c>
      <c r="W562" s="12">
        <f t="shared" si="166"/>
        <v>3015</v>
      </c>
      <c r="X562" s="92">
        <f t="shared" si="160"/>
        <v>7.6999999999999999E-2</v>
      </c>
      <c r="Y562" s="93" t="str">
        <f t="shared" si="175"/>
        <v>6.16%-9.24%</v>
      </c>
      <c r="Z562" s="15"/>
      <c r="AA562" s="15"/>
      <c r="AB562" s="15"/>
      <c r="AC562" s="95"/>
      <c r="AD562" s="8">
        <f t="shared" si="167"/>
        <v>0</v>
      </c>
      <c r="AE562" s="17">
        <f t="shared" si="168"/>
        <v>42170</v>
      </c>
      <c r="AF562" s="18">
        <f t="shared" si="169"/>
        <v>3015</v>
      </c>
      <c r="AG562" s="97">
        <f t="shared" si="170"/>
        <v>7.7001660068956701E-2</v>
      </c>
      <c r="AH562" s="20">
        <v>14</v>
      </c>
      <c r="AI562" s="20">
        <v>450</v>
      </c>
      <c r="AJ562" s="20">
        <v>1000</v>
      </c>
      <c r="AK562" s="20">
        <v>688</v>
      </c>
      <c r="AL562" s="20">
        <f t="shared" si="171"/>
        <v>608468</v>
      </c>
      <c r="AM562" s="7">
        <v>3</v>
      </c>
      <c r="AN562" s="20"/>
      <c r="AO562" s="21"/>
      <c r="AP562" s="21"/>
      <c r="AQ562" s="5" t="s">
        <v>2023</v>
      </c>
      <c r="AR562" s="5" t="s">
        <v>124</v>
      </c>
      <c r="AS562" s="5" t="s">
        <v>218</v>
      </c>
      <c r="AT562" s="20"/>
      <c r="AU562" s="21"/>
      <c r="AV562" s="21"/>
      <c r="AW562" s="144" t="str">
        <f t="shared" si="172"/>
        <v>OK</v>
      </c>
      <c r="AX562" s="21" t="s">
        <v>3129</v>
      </c>
      <c r="AY562" s="21" t="s">
        <v>3130</v>
      </c>
      <c r="AZ562" s="21"/>
      <c r="BA562" s="21"/>
    </row>
    <row r="563" spans="1:53" ht="20" customHeight="1">
      <c r="A563" s="86" t="s">
        <v>318</v>
      </c>
      <c r="B563" s="372" t="s">
        <v>2893</v>
      </c>
      <c r="C563" s="5" t="s">
        <v>51</v>
      </c>
      <c r="D563" s="5" t="s">
        <v>52</v>
      </c>
      <c r="E563" s="5" t="s">
        <v>2032</v>
      </c>
      <c r="F563" s="5" t="s">
        <v>2029</v>
      </c>
      <c r="G563" s="5" t="s">
        <v>2030</v>
      </c>
      <c r="H563" s="6">
        <v>42891</v>
      </c>
      <c r="I563" s="5" t="s">
        <v>74</v>
      </c>
      <c r="J563" s="5" t="s">
        <v>74</v>
      </c>
      <c r="K563" s="5" t="s">
        <v>76</v>
      </c>
      <c r="L563" s="7">
        <v>2</v>
      </c>
      <c r="M563" s="7">
        <v>4</v>
      </c>
      <c r="N563" s="8">
        <v>20519</v>
      </c>
      <c r="O563" s="88">
        <v>0.03</v>
      </c>
      <c r="P563" s="10">
        <f t="shared" si="161"/>
        <v>616</v>
      </c>
      <c r="Q563" s="88">
        <v>0</v>
      </c>
      <c r="R563" s="10">
        <f t="shared" si="162"/>
        <v>0</v>
      </c>
      <c r="S563" s="88">
        <f t="shared" si="163"/>
        <v>3.002095618694868E-2</v>
      </c>
      <c r="T563" s="10">
        <f t="shared" si="164"/>
        <v>616</v>
      </c>
      <c r="U563" s="10">
        <f t="shared" si="165"/>
        <v>21135</v>
      </c>
      <c r="V563" s="11">
        <f t="shared" si="174"/>
        <v>21135</v>
      </c>
      <c r="W563" s="12">
        <f t="shared" si="166"/>
        <v>616</v>
      </c>
      <c r="X563" s="92">
        <f t="shared" si="160"/>
        <v>0.03</v>
      </c>
      <c r="Y563" s="93" t="str">
        <f t="shared" si="175"/>
        <v>2.40%-3.60%</v>
      </c>
      <c r="Z563" s="15" t="s">
        <v>87</v>
      </c>
      <c r="AA563" s="15"/>
      <c r="AB563" s="15" t="s">
        <v>89</v>
      </c>
      <c r="AC563" s="95">
        <v>7.0000000000000007E-2</v>
      </c>
      <c r="AD563" s="8">
        <f t="shared" si="167"/>
        <v>1436</v>
      </c>
      <c r="AE563" s="17">
        <f t="shared" si="168"/>
        <v>22571</v>
      </c>
      <c r="AF563" s="18">
        <f t="shared" si="169"/>
        <v>2052</v>
      </c>
      <c r="AG563" s="97">
        <f t="shared" si="170"/>
        <v>0.10000487353184861</v>
      </c>
      <c r="AH563" s="20">
        <v>14</v>
      </c>
      <c r="AI563" s="20">
        <v>450</v>
      </c>
      <c r="AJ563" s="20"/>
      <c r="AK563" s="20">
        <v>688</v>
      </c>
      <c r="AL563" s="20">
        <f t="shared" si="171"/>
        <v>322082</v>
      </c>
      <c r="AM563" s="7">
        <v>4</v>
      </c>
      <c r="AN563" s="20"/>
      <c r="AO563" s="21"/>
      <c r="AP563" s="21"/>
      <c r="AQ563" s="5" t="s">
        <v>2023</v>
      </c>
      <c r="AR563" s="5" t="s">
        <v>124</v>
      </c>
      <c r="AS563" s="5" t="s">
        <v>218</v>
      </c>
      <c r="AT563" s="20"/>
      <c r="AU563" s="21"/>
      <c r="AV563" s="21"/>
      <c r="AW563" s="144" t="str">
        <f t="shared" si="172"/>
        <v>OK</v>
      </c>
      <c r="AX563" s="21" t="s">
        <v>3133</v>
      </c>
      <c r="AY563" s="21" t="s">
        <v>3136</v>
      </c>
      <c r="AZ563" s="21"/>
      <c r="BA563" s="21"/>
    </row>
    <row r="564" spans="1:53" ht="20" customHeight="1">
      <c r="A564" s="86" t="s">
        <v>318</v>
      </c>
      <c r="B564" s="372" t="s">
        <v>2894</v>
      </c>
      <c r="C564" s="5" t="s">
        <v>51</v>
      </c>
      <c r="D564" s="5" t="s">
        <v>52</v>
      </c>
      <c r="E564" s="5" t="s">
        <v>2032</v>
      </c>
      <c r="F564" s="5" t="s">
        <v>2020</v>
      </c>
      <c r="G564" s="5" t="s">
        <v>2021</v>
      </c>
      <c r="H564" s="6">
        <v>43031</v>
      </c>
      <c r="I564" s="5" t="s">
        <v>85</v>
      </c>
      <c r="J564" s="5" t="s">
        <v>85</v>
      </c>
      <c r="K564" s="5" t="s">
        <v>76</v>
      </c>
      <c r="L564" s="7">
        <v>2</v>
      </c>
      <c r="M564" s="7">
        <v>4</v>
      </c>
      <c r="N564" s="8">
        <v>13548</v>
      </c>
      <c r="O564" s="88">
        <v>4.4999999999999998E-2</v>
      </c>
      <c r="P564" s="10">
        <f t="shared" si="161"/>
        <v>610</v>
      </c>
      <c r="Q564" s="88">
        <v>4.2099999999999999E-2</v>
      </c>
      <c r="R564" s="10">
        <f t="shared" si="162"/>
        <v>570</v>
      </c>
      <c r="S564" s="88">
        <f t="shared" si="163"/>
        <v>8.709772660171243E-2</v>
      </c>
      <c r="T564" s="10">
        <f t="shared" si="164"/>
        <v>1180</v>
      </c>
      <c r="U564" s="10">
        <f t="shared" si="165"/>
        <v>14728</v>
      </c>
      <c r="V564" s="11">
        <f t="shared" si="174"/>
        <v>14728</v>
      </c>
      <c r="W564" s="12">
        <f t="shared" si="166"/>
        <v>1180</v>
      </c>
      <c r="X564" s="92">
        <f t="shared" si="160"/>
        <v>8.7099999999999997E-2</v>
      </c>
      <c r="Y564" s="93" t="str">
        <f t="shared" si="175"/>
        <v>6.97%-10.45%</v>
      </c>
      <c r="Z564" s="15"/>
      <c r="AA564" s="15"/>
      <c r="AB564" s="15"/>
      <c r="AC564" s="95"/>
      <c r="AD564" s="8">
        <f t="shared" si="167"/>
        <v>0</v>
      </c>
      <c r="AE564" s="17">
        <f t="shared" si="168"/>
        <v>14728</v>
      </c>
      <c r="AF564" s="18">
        <f t="shared" si="169"/>
        <v>1180</v>
      </c>
      <c r="AG564" s="97">
        <f t="shared" si="170"/>
        <v>8.7097726601712333E-2</v>
      </c>
      <c r="AH564" s="20">
        <v>14</v>
      </c>
      <c r="AI564" s="20">
        <v>510</v>
      </c>
      <c r="AJ564" s="20"/>
      <c r="AK564" s="20">
        <v>688</v>
      </c>
      <c r="AL564" s="20">
        <f t="shared" si="171"/>
        <v>213000</v>
      </c>
      <c r="AM564" s="7">
        <v>3</v>
      </c>
      <c r="AN564" s="20"/>
      <c r="AO564" s="21"/>
      <c r="AP564" s="21"/>
      <c r="AQ564" s="5" t="s">
        <v>2023</v>
      </c>
      <c r="AR564" s="5" t="s">
        <v>124</v>
      </c>
      <c r="AS564" s="5" t="s">
        <v>218</v>
      </c>
      <c r="AT564" s="20"/>
      <c r="AU564" s="21"/>
      <c r="AV564" s="21"/>
      <c r="AW564" s="144" t="str">
        <f t="shared" si="172"/>
        <v>OK</v>
      </c>
      <c r="AX564" s="21" t="s">
        <v>3133</v>
      </c>
      <c r="AY564" s="21" t="s">
        <v>3132</v>
      </c>
      <c r="AZ564" s="21"/>
      <c r="BA564" s="21"/>
    </row>
    <row r="565" spans="1:53" ht="20" customHeight="1">
      <c r="A565" s="86" t="s">
        <v>318</v>
      </c>
      <c r="B565" s="372" t="s">
        <v>2895</v>
      </c>
      <c r="C565" s="5" t="s">
        <v>51</v>
      </c>
      <c r="D565" s="5" t="s">
        <v>52</v>
      </c>
      <c r="E565" s="5" t="s">
        <v>2032</v>
      </c>
      <c r="F565" s="5" t="s">
        <v>2024</v>
      </c>
      <c r="G565" s="5" t="s">
        <v>2025</v>
      </c>
      <c r="H565" s="6">
        <v>43087</v>
      </c>
      <c r="I565" s="5" t="s">
        <v>82</v>
      </c>
      <c r="J565" s="5" t="s">
        <v>82</v>
      </c>
      <c r="K565" s="5" t="s">
        <v>84</v>
      </c>
      <c r="L565" s="7">
        <v>2</v>
      </c>
      <c r="M565" s="7">
        <v>3</v>
      </c>
      <c r="N565" s="8">
        <v>10225</v>
      </c>
      <c r="O565" s="88">
        <v>0</v>
      </c>
      <c r="P565" s="10">
        <f t="shared" si="161"/>
        <v>0</v>
      </c>
      <c r="Q565" s="88">
        <v>0</v>
      </c>
      <c r="R565" s="10">
        <f t="shared" si="162"/>
        <v>0</v>
      </c>
      <c r="S565" s="88">
        <f t="shared" si="163"/>
        <v>0</v>
      </c>
      <c r="T565" s="10">
        <f t="shared" si="164"/>
        <v>0</v>
      </c>
      <c r="U565" s="10">
        <f t="shared" si="165"/>
        <v>10225</v>
      </c>
      <c r="V565" s="11">
        <f t="shared" si="174"/>
        <v>10225</v>
      </c>
      <c r="W565" s="12">
        <f t="shared" si="166"/>
        <v>0</v>
      </c>
      <c r="X565" s="92">
        <f t="shared" si="160"/>
        <v>0</v>
      </c>
      <c r="Y565" s="93" t="str">
        <f t="shared" si="175"/>
        <v>0.00%-0.00%</v>
      </c>
      <c r="Z565" s="15"/>
      <c r="AA565" s="15"/>
      <c r="AB565" s="15"/>
      <c r="AC565" s="95"/>
      <c r="AD565" s="8">
        <f t="shared" si="167"/>
        <v>0</v>
      </c>
      <c r="AE565" s="17">
        <f t="shared" si="168"/>
        <v>10225</v>
      </c>
      <c r="AF565" s="18">
        <f t="shared" si="169"/>
        <v>0</v>
      </c>
      <c r="AG565" s="97">
        <f t="shared" si="170"/>
        <v>0</v>
      </c>
      <c r="AH565" s="20">
        <v>14</v>
      </c>
      <c r="AI565" s="20">
        <v>450</v>
      </c>
      <c r="AJ565" s="20"/>
      <c r="AK565" s="20">
        <v>688</v>
      </c>
      <c r="AL565" s="20">
        <f t="shared" si="171"/>
        <v>149238</v>
      </c>
      <c r="AM565" s="7">
        <v>3</v>
      </c>
      <c r="AN565" s="20"/>
      <c r="AO565" s="21"/>
      <c r="AP565" s="21"/>
      <c r="AQ565" s="5" t="s">
        <v>2023</v>
      </c>
      <c r="AR565" s="5" t="s">
        <v>124</v>
      </c>
      <c r="AS565" s="5" t="s">
        <v>218</v>
      </c>
      <c r="AT565" s="20"/>
      <c r="AU565" s="21"/>
      <c r="AV565" s="21"/>
      <c r="AW565" s="144" t="str">
        <f t="shared" si="172"/>
        <v>OK</v>
      </c>
      <c r="AX565" s="21" t="s">
        <v>3133</v>
      </c>
      <c r="AY565" s="21" t="s">
        <v>3134</v>
      </c>
      <c r="AZ565" s="21"/>
      <c r="BA565" s="21"/>
    </row>
    <row r="566" spans="1:53" ht="20" customHeight="1">
      <c r="A566" s="86" t="s">
        <v>318</v>
      </c>
      <c r="B566" s="372" t="s">
        <v>2896</v>
      </c>
      <c r="C566" s="5" t="s">
        <v>51</v>
      </c>
      <c r="D566" s="5" t="s">
        <v>52</v>
      </c>
      <c r="E566" s="5" t="s">
        <v>2032</v>
      </c>
      <c r="F566" s="5" t="s">
        <v>2029</v>
      </c>
      <c r="G566" s="5" t="s">
        <v>2030</v>
      </c>
      <c r="H566" s="6">
        <v>44249</v>
      </c>
      <c r="I566" s="5" t="s">
        <v>74</v>
      </c>
      <c r="J566" s="5" t="s">
        <v>74</v>
      </c>
      <c r="K566" s="5" t="s">
        <v>76</v>
      </c>
      <c r="L566" s="7">
        <v>2</v>
      </c>
      <c r="M566" s="7">
        <v>3</v>
      </c>
      <c r="N566" s="8">
        <v>12870</v>
      </c>
      <c r="O566" s="88">
        <v>0.03</v>
      </c>
      <c r="P566" s="10">
        <f t="shared" si="161"/>
        <v>386</v>
      </c>
      <c r="Q566" s="88">
        <v>0</v>
      </c>
      <c r="R566" s="10">
        <f t="shared" si="162"/>
        <v>0</v>
      </c>
      <c r="S566" s="88">
        <f t="shared" si="163"/>
        <v>2.9992229992229991E-2</v>
      </c>
      <c r="T566" s="10">
        <f t="shared" si="164"/>
        <v>386</v>
      </c>
      <c r="U566" s="10">
        <f t="shared" si="165"/>
        <v>13256</v>
      </c>
      <c r="V566" s="11">
        <f t="shared" si="174"/>
        <v>13256</v>
      </c>
      <c r="W566" s="12">
        <f t="shared" si="166"/>
        <v>386</v>
      </c>
      <c r="X566" s="92">
        <f t="shared" si="160"/>
        <v>0.03</v>
      </c>
      <c r="Y566" s="93" t="str">
        <f t="shared" si="175"/>
        <v>2.40%-3.60%</v>
      </c>
      <c r="Z566" s="15"/>
      <c r="AA566" s="15"/>
      <c r="AB566" s="15"/>
      <c r="AC566" s="95"/>
      <c r="AD566" s="8">
        <f t="shared" si="167"/>
        <v>0</v>
      </c>
      <c r="AE566" s="17">
        <f t="shared" si="168"/>
        <v>13256</v>
      </c>
      <c r="AF566" s="18">
        <f t="shared" si="169"/>
        <v>386</v>
      </c>
      <c r="AG566" s="97">
        <f t="shared" si="170"/>
        <v>2.9992229992229946E-2</v>
      </c>
      <c r="AH566" s="20">
        <v>14</v>
      </c>
      <c r="AI566" s="20">
        <v>550</v>
      </c>
      <c r="AJ566" s="20"/>
      <c r="AK566" s="20">
        <v>688</v>
      </c>
      <c r="AL566" s="20">
        <f t="shared" si="171"/>
        <v>192872</v>
      </c>
      <c r="AM566" s="7">
        <v>4</v>
      </c>
      <c r="AN566" s="20"/>
      <c r="AO566" s="21"/>
      <c r="AP566" s="21"/>
      <c r="AQ566" s="5" t="s">
        <v>2023</v>
      </c>
      <c r="AR566" s="5" t="s">
        <v>124</v>
      </c>
      <c r="AS566" s="5" t="s">
        <v>218</v>
      </c>
      <c r="AT566" s="20"/>
      <c r="AU566" s="21"/>
      <c r="AV566" s="21"/>
      <c r="AW566" s="144" t="str">
        <f t="shared" si="172"/>
        <v>OK</v>
      </c>
      <c r="AX566" s="21" t="s">
        <v>3131</v>
      </c>
      <c r="AY566" s="21" t="s">
        <v>3132</v>
      </c>
      <c r="AZ566" s="21"/>
      <c r="BA566" s="21"/>
    </row>
    <row r="567" spans="1:53" ht="20" customHeight="1">
      <c r="A567" s="86" t="s">
        <v>318</v>
      </c>
      <c r="B567" s="372" t="s">
        <v>2897</v>
      </c>
      <c r="C567" s="5" t="s">
        <v>51</v>
      </c>
      <c r="D567" s="5" t="s">
        <v>52</v>
      </c>
      <c r="E567" s="5" t="s">
        <v>2032</v>
      </c>
      <c r="F567" s="5" t="s">
        <v>2024</v>
      </c>
      <c r="G567" s="5" t="s">
        <v>2025</v>
      </c>
      <c r="H567" s="6">
        <v>45854</v>
      </c>
      <c r="I567" s="5" t="s">
        <v>55</v>
      </c>
      <c r="J567" s="5" t="s">
        <v>2031</v>
      </c>
      <c r="K567" s="5" t="s">
        <v>56</v>
      </c>
      <c r="L567" s="7">
        <v>2</v>
      </c>
      <c r="M567" s="7">
        <v>3</v>
      </c>
      <c r="N567" s="8">
        <v>34400</v>
      </c>
      <c r="O567" s="88">
        <v>0</v>
      </c>
      <c r="P567" s="10">
        <f t="shared" si="161"/>
        <v>0</v>
      </c>
      <c r="Q567" s="88">
        <v>0</v>
      </c>
      <c r="R567" s="10">
        <f t="shared" si="162"/>
        <v>0</v>
      </c>
      <c r="S567" s="88">
        <f t="shared" si="163"/>
        <v>0</v>
      </c>
      <c r="T567" s="10">
        <f t="shared" si="164"/>
        <v>0</v>
      </c>
      <c r="U567" s="10">
        <f t="shared" si="165"/>
        <v>34400</v>
      </c>
      <c r="V567" s="11">
        <f t="shared" si="174"/>
        <v>34400</v>
      </c>
      <c r="W567" s="12">
        <f t="shared" si="166"/>
        <v>0</v>
      </c>
      <c r="X567" s="92">
        <f t="shared" si="160"/>
        <v>0</v>
      </c>
      <c r="Y567" s="93" t="str">
        <f t="shared" si="175"/>
        <v>0.00%-0.00%</v>
      </c>
      <c r="Z567" s="15"/>
      <c r="AA567" s="15"/>
      <c r="AB567" s="15"/>
      <c r="AC567" s="95"/>
      <c r="AD567" s="8">
        <f t="shared" si="167"/>
        <v>0</v>
      </c>
      <c r="AE567" s="17">
        <f t="shared" si="168"/>
        <v>34400</v>
      </c>
      <c r="AF567" s="18">
        <f t="shared" si="169"/>
        <v>0</v>
      </c>
      <c r="AG567" s="97">
        <f t="shared" si="170"/>
        <v>0</v>
      </c>
      <c r="AH567" s="20">
        <v>14</v>
      </c>
      <c r="AI567" s="20">
        <v>450</v>
      </c>
      <c r="AJ567" s="20"/>
      <c r="AK567" s="20">
        <v>688</v>
      </c>
      <c r="AL567" s="20">
        <f t="shared" si="171"/>
        <v>487688</v>
      </c>
      <c r="AM567" s="7" t="e">
        <v>#N/A</v>
      </c>
      <c r="AN567" s="20"/>
      <c r="AO567" s="21"/>
      <c r="AP567" s="21"/>
      <c r="AQ567" s="5" t="s">
        <v>2023</v>
      </c>
      <c r="AR567" s="5" t="s">
        <v>124</v>
      </c>
      <c r="AS567" s="5" t="s">
        <v>218</v>
      </c>
      <c r="AT567" s="20"/>
      <c r="AU567" s="21"/>
      <c r="AV567" s="21"/>
      <c r="AW567" s="144" t="str">
        <f t="shared" si="172"/>
        <v>OK</v>
      </c>
      <c r="AX567" s="21" t="s">
        <v>3131</v>
      </c>
      <c r="AY567" s="21" t="s">
        <v>3134</v>
      </c>
      <c r="AZ567" s="21"/>
      <c r="BA567" s="21"/>
    </row>
    <row r="568" spans="1:53" ht="20" customHeight="1">
      <c r="A568" s="86" t="s">
        <v>318</v>
      </c>
      <c r="B568" s="372" t="s">
        <v>2898</v>
      </c>
      <c r="C568" s="5" t="s">
        <v>51</v>
      </c>
      <c r="D568" s="5" t="s">
        <v>52</v>
      </c>
      <c r="E568" s="5" t="s">
        <v>2032</v>
      </c>
      <c r="F568" s="5" t="s">
        <v>2020</v>
      </c>
      <c r="G568" s="5" t="s">
        <v>2021</v>
      </c>
      <c r="H568" s="6">
        <v>39238</v>
      </c>
      <c r="I568" s="5" t="s">
        <v>111</v>
      </c>
      <c r="J568" s="5" t="s">
        <v>111</v>
      </c>
      <c r="K568" s="5" t="s">
        <v>56</v>
      </c>
      <c r="L568" s="7">
        <v>2</v>
      </c>
      <c r="M568" s="7">
        <v>3</v>
      </c>
      <c r="N568" s="8">
        <v>27500</v>
      </c>
      <c r="O568" s="88">
        <v>0</v>
      </c>
      <c r="P568" s="10">
        <f t="shared" si="161"/>
        <v>0</v>
      </c>
      <c r="Q568" s="88">
        <v>0</v>
      </c>
      <c r="R568" s="10">
        <f t="shared" si="162"/>
        <v>0</v>
      </c>
      <c r="S568" s="88">
        <f t="shared" si="163"/>
        <v>0</v>
      </c>
      <c r="T568" s="10">
        <f t="shared" si="164"/>
        <v>0</v>
      </c>
      <c r="U568" s="10">
        <f t="shared" si="165"/>
        <v>27500</v>
      </c>
      <c r="V568" s="11">
        <f t="shared" si="174"/>
        <v>27500</v>
      </c>
      <c r="W568" s="12">
        <f t="shared" si="166"/>
        <v>0</v>
      </c>
      <c r="X568" s="92">
        <f t="shared" si="160"/>
        <v>0</v>
      </c>
      <c r="Y568" s="93" t="str">
        <f t="shared" si="175"/>
        <v>0.00%-0.00%</v>
      </c>
      <c r="Z568" s="15"/>
      <c r="AA568" s="15"/>
      <c r="AB568" s="15"/>
      <c r="AC568" s="95"/>
      <c r="AD568" s="8">
        <f t="shared" si="167"/>
        <v>0</v>
      </c>
      <c r="AE568" s="17">
        <f t="shared" si="168"/>
        <v>27500</v>
      </c>
      <c r="AF568" s="18">
        <f t="shared" si="169"/>
        <v>0</v>
      </c>
      <c r="AG568" s="97">
        <f t="shared" si="170"/>
        <v>0</v>
      </c>
      <c r="AH568" s="20">
        <v>14</v>
      </c>
      <c r="AI568" s="20">
        <v>450</v>
      </c>
      <c r="AJ568" s="20"/>
      <c r="AK568" s="20">
        <v>688</v>
      </c>
      <c r="AL568" s="20">
        <f t="shared" si="171"/>
        <v>391088</v>
      </c>
      <c r="AM568" s="7">
        <v>3</v>
      </c>
      <c r="AN568" s="20"/>
      <c r="AO568" s="21"/>
      <c r="AP568" s="21"/>
      <c r="AQ568" s="5" t="s">
        <v>2023</v>
      </c>
      <c r="AR568" s="5" t="s">
        <v>124</v>
      </c>
      <c r="AS568" s="5" t="s">
        <v>218</v>
      </c>
      <c r="AT568" s="20"/>
      <c r="AU568" s="21"/>
      <c r="AV568" s="21"/>
      <c r="AW568" s="144" t="str">
        <f t="shared" si="172"/>
        <v>OK</v>
      </c>
      <c r="AX568" s="21" t="s">
        <v>3129</v>
      </c>
      <c r="AY568" s="21" t="s">
        <v>3134</v>
      </c>
      <c r="AZ568" s="21"/>
      <c r="BA568" s="21"/>
    </row>
    <row r="569" spans="1:53" ht="20" customHeight="1">
      <c r="A569" s="86" t="s">
        <v>318</v>
      </c>
      <c r="B569" s="372" t="s">
        <v>2899</v>
      </c>
      <c r="C569" s="5" t="s">
        <v>51</v>
      </c>
      <c r="D569" s="5" t="s">
        <v>52</v>
      </c>
      <c r="E569" s="5" t="s">
        <v>2032</v>
      </c>
      <c r="F569" s="5" t="s">
        <v>2024</v>
      </c>
      <c r="G569" s="5" t="s">
        <v>2025</v>
      </c>
      <c r="H569" s="6">
        <v>40528</v>
      </c>
      <c r="I569" s="5" t="s">
        <v>140</v>
      </c>
      <c r="J569" s="5" t="s">
        <v>141</v>
      </c>
      <c r="K569" s="5" t="s">
        <v>61</v>
      </c>
      <c r="L569" s="7">
        <v>2</v>
      </c>
      <c r="M569" s="7">
        <v>4</v>
      </c>
      <c r="N569" s="8">
        <v>22818</v>
      </c>
      <c r="O569" s="88">
        <v>2.2499999999999999E-2</v>
      </c>
      <c r="P569" s="10">
        <f t="shared" si="161"/>
        <v>513</v>
      </c>
      <c r="Q569" s="88">
        <v>0</v>
      </c>
      <c r="R569" s="10">
        <f t="shared" si="162"/>
        <v>0</v>
      </c>
      <c r="S569" s="88">
        <f t="shared" si="163"/>
        <v>2.2482250854588482E-2</v>
      </c>
      <c r="T569" s="10">
        <f t="shared" si="164"/>
        <v>513</v>
      </c>
      <c r="U569" s="10">
        <f t="shared" si="165"/>
        <v>23331</v>
      </c>
      <c r="V569" s="11">
        <f t="shared" si="174"/>
        <v>23331</v>
      </c>
      <c r="W569" s="12">
        <f t="shared" si="166"/>
        <v>513</v>
      </c>
      <c r="X569" s="92">
        <f t="shared" si="160"/>
        <v>2.2499999999999999E-2</v>
      </c>
      <c r="Y569" s="93" t="str">
        <f t="shared" si="175"/>
        <v>1.80%-2.70%</v>
      </c>
      <c r="Z569" s="15"/>
      <c r="AA569" s="15"/>
      <c r="AB569" s="15"/>
      <c r="AC569" s="95"/>
      <c r="AD569" s="8">
        <f t="shared" si="167"/>
        <v>0</v>
      </c>
      <c r="AE569" s="17">
        <f t="shared" si="168"/>
        <v>23331</v>
      </c>
      <c r="AF569" s="18">
        <f t="shared" si="169"/>
        <v>513</v>
      </c>
      <c r="AG569" s="97">
        <f t="shared" si="170"/>
        <v>2.2482250854588548E-2</v>
      </c>
      <c r="AH569" s="20">
        <v>14</v>
      </c>
      <c r="AI569" s="20">
        <v>450</v>
      </c>
      <c r="AJ569" s="20"/>
      <c r="AK569" s="20">
        <v>688</v>
      </c>
      <c r="AL569" s="20">
        <f t="shared" si="171"/>
        <v>332722</v>
      </c>
      <c r="AM569" s="7">
        <v>3</v>
      </c>
      <c r="AN569" s="20"/>
      <c r="AO569" s="21"/>
      <c r="AP569" s="21"/>
      <c r="AQ569" s="5" t="s">
        <v>2023</v>
      </c>
      <c r="AR569" s="5" t="s">
        <v>124</v>
      </c>
      <c r="AS569" s="5" t="s">
        <v>218</v>
      </c>
      <c r="AT569" s="20"/>
      <c r="AU569" s="21"/>
      <c r="AV569" s="21"/>
      <c r="AW569" s="144" t="str">
        <f t="shared" si="172"/>
        <v>OK</v>
      </c>
      <c r="AX569" s="21" t="s">
        <v>3135</v>
      </c>
      <c r="AY569" s="21" t="s">
        <v>3138</v>
      </c>
      <c r="AZ569" s="21"/>
      <c r="BA569" s="21"/>
    </row>
    <row r="570" spans="1:53" ht="20" customHeight="1">
      <c r="A570" s="86" t="s">
        <v>318</v>
      </c>
      <c r="B570" s="372" t="s">
        <v>2900</v>
      </c>
      <c r="C570" s="5" t="s">
        <v>51</v>
      </c>
      <c r="D570" s="5" t="s">
        <v>52</v>
      </c>
      <c r="E570" s="5" t="s">
        <v>2032</v>
      </c>
      <c r="F570" s="5" t="s">
        <v>2024</v>
      </c>
      <c r="G570" s="5" t="s">
        <v>2025</v>
      </c>
      <c r="H570" s="6">
        <v>41821</v>
      </c>
      <c r="I570" s="5" t="s">
        <v>73</v>
      </c>
      <c r="J570" s="5" t="s">
        <v>73</v>
      </c>
      <c r="K570" s="5" t="s">
        <v>61</v>
      </c>
      <c r="L570" s="7">
        <v>2</v>
      </c>
      <c r="M570" s="7">
        <v>5</v>
      </c>
      <c r="N570" s="8">
        <v>20000</v>
      </c>
      <c r="O570" s="88">
        <v>0.05</v>
      </c>
      <c r="P570" s="10">
        <f t="shared" si="161"/>
        <v>1000</v>
      </c>
      <c r="Q570" s="88">
        <v>2.7E-2</v>
      </c>
      <c r="R570" s="10">
        <f t="shared" si="162"/>
        <v>540</v>
      </c>
      <c r="S570" s="88">
        <f t="shared" si="163"/>
        <v>7.6999999999999999E-2</v>
      </c>
      <c r="T570" s="10">
        <f t="shared" si="164"/>
        <v>1540</v>
      </c>
      <c r="U570" s="10">
        <f t="shared" si="165"/>
        <v>21540</v>
      </c>
      <c r="V570" s="11">
        <f t="shared" si="174"/>
        <v>21540</v>
      </c>
      <c r="W570" s="12">
        <f t="shared" si="166"/>
        <v>1540</v>
      </c>
      <c r="X570" s="92">
        <f t="shared" si="160"/>
        <v>7.6999999999999999E-2</v>
      </c>
      <c r="Y570" s="93" t="str">
        <f t="shared" si="175"/>
        <v>6.16%-9.24%</v>
      </c>
      <c r="Z570" s="15"/>
      <c r="AA570" s="15"/>
      <c r="AB570" s="15"/>
      <c r="AC570" s="95"/>
      <c r="AD570" s="8">
        <f t="shared" si="167"/>
        <v>0</v>
      </c>
      <c r="AE570" s="17">
        <f t="shared" si="168"/>
        <v>21540</v>
      </c>
      <c r="AF570" s="18">
        <f t="shared" si="169"/>
        <v>1540</v>
      </c>
      <c r="AG570" s="97">
        <f t="shared" si="170"/>
        <v>7.6999999999999957E-2</v>
      </c>
      <c r="AH570" s="20">
        <v>14</v>
      </c>
      <c r="AI570" s="20">
        <v>450</v>
      </c>
      <c r="AJ570" s="20"/>
      <c r="AK570" s="20">
        <v>688</v>
      </c>
      <c r="AL570" s="20">
        <f t="shared" si="171"/>
        <v>307648</v>
      </c>
      <c r="AM570" s="7">
        <v>5</v>
      </c>
      <c r="AN570" s="20"/>
      <c r="AO570" s="21"/>
      <c r="AP570" s="21"/>
      <c r="AQ570" s="5" t="s">
        <v>2023</v>
      </c>
      <c r="AR570" s="5" t="s">
        <v>124</v>
      </c>
      <c r="AS570" s="5" t="s">
        <v>218</v>
      </c>
      <c r="AT570" s="20"/>
      <c r="AU570" s="21"/>
      <c r="AV570" s="21"/>
      <c r="AW570" s="144" t="str">
        <f t="shared" si="172"/>
        <v>OK</v>
      </c>
      <c r="AX570" s="21" t="s">
        <v>3135</v>
      </c>
      <c r="AY570" s="21" t="s">
        <v>3130</v>
      </c>
      <c r="AZ570" s="21"/>
      <c r="BA570" s="21"/>
    </row>
    <row r="571" spans="1:53" ht="20" customHeight="1">
      <c r="A571" s="105" t="s">
        <v>318</v>
      </c>
      <c r="B571" s="374" t="s">
        <v>2901</v>
      </c>
      <c r="C571" s="106" t="s">
        <v>51</v>
      </c>
      <c r="D571" s="106" t="s">
        <v>52</v>
      </c>
      <c r="E571" s="106" t="s">
        <v>2032</v>
      </c>
      <c r="F571" s="106" t="s">
        <v>2028</v>
      </c>
      <c r="G571" s="106" t="s">
        <v>2027</v>
      </c>
      <c r="H571" s="107">
        <v>43282</v>
      </c>
      <c r="I571" s="106" t="s">
        <v>85</v>
      </c>
      <c r="J571" s="106" t="s">
        <v>85</v>
      </c>
      <c r="K571" s="106" t="s">
        <v>76</v>
      </c>
      <c r="L571" s="108">
        <v>2</v>
      </c>
      <c r="M571" s="108">
        <v>3</v>
      </c>
      <c r="N571" s="229">
        <v>12271</v>
      </c>
      <c r="O571" s="230">
        <v>0.03</v>
      </c>
      <c r="P571" s="231">
        <f t="shared" si="161"/>
        <v>368</v>
      </c>
      <c r="Q571" s="230">
        <v>0</v>
      </c>
      <c r="R571" s="231">
        <f t="shared" si="162"/>
        <v>0</v>
      </c>
      <c r="S571" s="230">
        <f t="shared" si="163"/>
        <v>2.9989405916388233E-2</v>
      </c>
      <c r="T571" s="231">
        <f t="shared" si="164"/>
        <v>368</v>
      </c>
      <c r="U571" s="231">
        <f t="shared" si="165"/>
        <v>12639</v>
      </c>
      <c r="V571" s="232">
        <f t="shared" si="174"/>
        <v>12639</v>
      </c>
      <c r="W571" s="233">
        <f t="shared" si="166"/>
        <v>368</v>
      </c>
      <c r="X571" s="234">
        <f t="shared" si="160"/>
        <v>0.03</v>
      </c>
      <c r="Y571" s="235" t="str">
        <f t="shared" si="175"/>
        <v>2.40%-3.60%</v>
      </c>
      <c r="Z571" s="236"/>
      <c r="AA571" s="236"/>
      <c r="AB571" s="236"/>
      <c r="AC571" s="237"/>
      <c r="AD571" s="229">
        <f t="shared" si="167"/>
        <v>0</v>
      </c>
      <c r="AE571" s="238">
        <f t="shared" si="168"/>
        <v>12639</v>
      </c>
      <c r="AF571" s="109">
        <f t="shared" si="169"/>
        <v>368</v>
      </c>
      <c r="AG571" s="239">
        <f t="shared" si="170"/>
        <v>2.9989405916388323E-2</v>
      </c>
      <c r="AH571" s="110">
        <v>14</v>
      </c>
      <c r="AI571" s="110">
        <v>550</v>
      </c>
      <c r="AJ571" s="110"/>
      <c r="AK571" s="110">
        <v>688</v>
      </c>
      <c r="AL571" s="110">
        <f t="shared" si="171"/>
        <v>184234</v>
      </c>
      <c r="AM571" s="108">
        <v>3</v>
      </c>
      <c r="AN571" s="110"/>
      <c r="AO571" s="111"/>
      <c r="AP571" s="111"/>
      <c r="AQ571" s="106" t="s">
        <v>2023</v>
      </c>
      <c r="AR571" s="106" t="s">
        <v>124</v>
      </c>
      <c r="AS571" s="106" t="s">
        <v>218</v>
      </c>
      <c r="AT571" s="110"/>
      <c r="AU571" s="111"/>
      <c r="AV571" s="111"/>
      <c r="AW571" s="144" t="str">
        <f t="shared" si="172"/>
        <v>OK</v>
      </c>
      <c r="AX571" s="21" t="s">
        <v>3133</v>
      </c>
      <c r="AY571" s="21" t="s">
        <v>3132</v>
      </c>
      <c r="AZ571" s="21"/>
      <c r="BA571" s="21"/>
    </row>
    <row r="572" spans="1:53" ht="20" customHeight="1">
      <c r="A572" s="86" t="s">
        <v>318</v>
      </c>
      <c r="B572" s="372" t="s">
        <v>2902</v>
      </c>
      <c r="C572" s="5" t="s">
        <v>51</v>
      </c>
      <c r="D572" s="5" t="s">
        <v>52</v>
      </c>
      <c r="E572" s="5" t="s">
        <v>1414</v>
      </c>
      <c r="F572" s="5" t="s">
        <v>1404</v>
      </c>
      <c r="G572" s="5" t="s">
        <v>1405</v>
      </c>
      <c r="H572" s="6">
        <v>41806</v>
      </c>
      <c r="I572" s="5" t="s">
        <v>85</v>
      </c>
      <c r="J572" s="5" t="s">
        <v>85</v>
      </c>
      <c r="K572" s="5" t="s">
        <v>76</v>
      </c>
      <c r="L572" s="7">
        <v>2</v>
      </c>
      <c r="M572" s="7">
        <v>3</v>
      </c>
      <c r="N572" s="8">
        <v>10700</v>
      </c>
      <c r="O572" s="88">
        <v>2.5000000000000001E-2</v>
      </c>
      <c r="P572" s="10">
        <f t="shared" si="161"/>
        <v>268</v>
      </c>
      <c r="Q572" s="88">
        <v>0</v>
      </c>
      <c r="R572" s="10">
        <f t="shared" si="162"/>
        <v>0</v>
      </c>
      <c r="S572" s="88">
        <f t="shared" si="163"/>
        <v>2.5046728971962615E-2</v>
      </c>
      <c r="T572" s="10">
        <f t="shared" si="164"/>
        <v>268</v>
      </c>
      <c r="U572" s="10">
        <f t="shared" si="165"/>
        <v>10968</v>
      </c>
      <c r="V572" s="11">
        <v>11000</v>
      </c>
      <c r="W572" s="12">
        <f t="shared" si="166"/>
        <v>300</v>
      </c>
      <c r="X572" s="92">
        <f t="shared" si="160"/>
        <v>2.8000000000000001E-2</v>
      </c>
      <c r="Y572" s="93" t="str">
        <f t="shared" ref="Y572:Y609" si="176">IF(OR(L572=1,L572=2,L572=4),
    TEXT(S572*0.8,"0.00%") &amp; "-" &amp; TEXT(S572*1.2,"0.00%"),
    IF(OR(L572=3,L572=6),
        TEXT(0,"0.00%") &amp; "-" &amp; TEXT(7%*1.2,"0.00%"),
        IF(OR(L572=5,L572=7),
            TEXT((R572/N572),"0.00%") &amp; "-" &amp; TEXT((R572/N572)+7%,"0.00%"),
            ""
        )
    )
)</f>
        <v>2.00%-3.01%</v>
      </c>
      <c r="Z572" s="15"/>
      <c r="AA572" s="15"/>
      <c r="AB572" s="15"/>
      <c r="AC572" s="95"/>
      <c r="AD572" s="8">
        <f t="shared" si="167"/>
        <v>0</v>
      </c>
      <c r="AE572" s="17">
        <f t="shared" si="168"/>
        <v>11000</v>
      </c>
      <c r="AF572" s="18">
        <f t="shared" si="169"/>
        <v>300</v>
      </c>
      <c r="AG572" s="97">
        <f t="shared" si="170"/>
        <v>2.8037383177569986E-2</v>
      </c>
      <c r="AH572" s="20">
        <v>14</v>
      </c>
      <c r="AI572" s="20">
        <v>550</v>
      </c>
      <c r="AJ572" s="20"/>
      <c r="AK572" s="20">
        <v>688</v>
      </c>
      <c r="AL572" s="20">
        <f t="shared" si="171"/>
        <v>161288</v>
      </c>
      <c r="AM572" s="7">
        <v>5</v>
      </c>
      <c r="AN572" s="20"/>
      <c r="AO572" s="21"/>
      <c r="AP572" s="21"/>
      <c r="AQ572" s="5" t="s">
        <v>1406</v>
      </c>
      <c r="AR572" s="5" t="s">
        <v>164</v>
      </c>
      <c r="AS572" s="5" t="s">
        <v>218</v>
      </c>
      <c r="AT572" s="20"/>
      <c r="AU572" s="21"/>
      <c r="AV572" s="21"/>
      <c r="AW572" s="144" t="str">
        <f t="shared" si="172"/>
        <v>OK</v>
      </c>
      <c r="AX572" s="21" t="s">
        <v>3135</v>
      </c>
      <c r="AY572" s="21" t="s">
        <v>3130</v>
      </c>
      <c r="AZ572" s="21"/>
      <c r="BA572" s="21"/>
    </row>
    <row r="573" spans="1:53" ht="20" customHeight="1">
      <c r="A573" s="86" t="s">
        <v>318</v>
      </c>
      <c r="B573" s="372" t="s">
        <v>2903</v>
      </c>
      <c r="C573" s="5" t="s">
        <v>51</v>
      </c>
      <c r="D573" s="5" t="s">
        <v>52</v>
      </c>
      <c r="E573" s="5" t="s">
        <v>1414</v>
      </c>
      <c r="F573" s="5" t="s">
        <v>1404</v>
      </c>
      <c r="G573" s="5" t="s">
        <v>1405</v>
      </c>
      <c r="H573" s="6">
        <v>44013</v>
      </c>
      <c r="I573" s="5" t="s">
        <v>226</v>
      </c>
      <c r="J573" s="5" t="s">
        <v>226</v>
      </c>
      <c r="K573" s="5" t="s">
        <v>84</v>
      </c>
      <c r="L573" s="7">
        <v>2</v>
      </c>
      <c r="M573" s="7">
        <v>5</v>
      </c>
      <c r="N573" s="8">
        <v>7962</v>
      </c>
      <c r="O573" s="88">
        <v>0.04</v>
      </c>
      <c r="P573" s="10">
        <f t="shared" si="161"/>
        <v>318</v>
      </c>
      <c r="Q573" s="88">
        <v>0</v>
      </c>
      <c r="R573" s="10">
        <f t="shared" si="162"/>
        <v>0</v>
      </c>
      <c r="S573" s="88">
        <f t="shared" si="163"/>
        <v>3.9939713639788994E-2</v>
      </c>
      <c r="T573" s="10">
        <f t="shared" si="164"/>
        <v>318</v>
      </c>
      <c r="U573" s="10">
        <f t="shared" si="165"/>
        <v>8280</v>
      </c>
      <c r="V573" s="11">
        <v>8300</v>
      </c>
      <c r="W573" s="12">
        <f t="shared" si="166"/>
        <v>338</v>
      </c>
      <c r="X573" s="92">
        <f t="shared" si="160"/>
        <v>4.2500000000000003E-2</v>
      </c>
      <c r="Y573" s="93" t="str">
        <f t="shared" si="176"/>
        <v>3.20%-4.79%</v>
      </c>
      <c r="Z573" s="15" t="s">
        <v>87</v>
      </c>
      <c r="AA573" s="15" t="s">
        <v>1407</v>
      </c>
      <c r="AB573" s="15" t="s">
        <v>139</v>
      </c>
      <c r="AC573" s="95">
        <v>0.11</v>
      </c>
      <c r="AD573" s="8">
        <f t="shared" si="167"/>
        <v>876</v>
      </c>
      <c r="AE573" s="17">
        <f t="shared" si="168"/>
        <v>9176</v>
      </c>
      <c r="AF573" s="18">
        <f t="shared" si="169"/>
        <v>1214</v>
      </c>
      <c r="AG573" s="97">
        <f t="shared" si="170"/>
        <v>0.15247425270032644</v>
      </c>
      <c r="AH573" s="20">
        <v>14</v>
      </c>
      <c r="AI573" s="20">
        <v>450</v>
      </c>
      <c r="AJ573" s="20"/>
      <c r="AK573" s="20">
        <v>688</v>
      </c>
      <c r="AL573" s="20">
        <f t="shared" si="171"/>
        <v>134552</v>
      </c>
      <c r="AM573" s="7">
        <v>5</v>
      </c>
      <c r="AN573" s="20"/>
      <c r="AO573" s="21" t="s">
        <v>1408</v>
      </c>
      <c r="AP573" s="21" t="s">
        <v>239</v>
      </c>
      <c r="AQ573" s="5" t="s">
        <v>1406</v>
      </c>
      <c r="AR573" s="5" t="s">
        <v>164</v>
      </c>
      <c r="AS573" s="5" t="s">
        <v>218</v>
      </c>
      <c r="AT573" s="20"/>
      <c r="AU573" s="21"/>
      <c r="AV573" s="21"/>
      <c r="AW573" s="144" t="str">
        <f t="shared" si="172"/>
        <v>OK</v>
      </c>
      <c r="AX573" s="21" t="s">
        <v>3131</v>
      </c>
      <c r="AY573" s="21" t="s">
        <v>3136</v>
      </c>
      <c r="AZ573" s="21"/>
      <c r="BA573" s="21"/>
    </row>
    <row r="574" spans="1:53" ht="20" customHeight="1">
      <c r="A574" s="105" t="s">
        <v>318</v>
      </c>
      <c r="B574" s="372" t="s">
        <v>2904</v>
      </c>
      <c r="C574" s="5" t="s">
        <v>1409</v>
      </c>
      <c r="D574" s="5" t="s">
        <v>52</v>
      </c>
      <c r="E574" s="5" t="s">
        <v>1414</v>
      </c>
      <c r="F574" s="5" t="s">
        <v>1404</v>
      </c>
      <c r="G574" s="5" t="s">
        <v>1405</v>
      </c>
      <c r="H574" s="6">
        <v>45553</v>
      </c>
      <c r="I574" s="5" t="s">
        <v>226</v>
      </c>
      <c r="J574" s="5" t="s">
        <v>226</v>
      </c>
      <c r="K574" s="5" t="s">
        <v>84</v>
      </c>
      <c r="L574" s="7">
        <v>2</v>
      </c>
      <c r="M574" s="7">
        <v>3</v>
      </c>
      <c r="N574" s="8">
        <v>7050</v>
      </c>
      <c r="O574" s="88">
        <v>0</v>
      </c>
      <c r="P574" s="10">
        <f t="shared" si="161"/>
        <v>0</v>
      </c>
      <c r="Q574" s="88">
        <v>0</v>
      </c>
      <c r="R574" s="10">
        <f t="shared" si="162"/>
        <v>0</v>
      </c>
      <c r="S574" s="88">
        <f t="shared" si="163"/>
        <v>0</v>
      </c>
      <c r="T574" s="10">
        <f t="shared" si="164"/>
        <v>0</v>
      </c>
      <c r="U574" s="10">
        <f t="shared" si="165"/>
        <v>7050</v>
      </c>
      <c r="V574" s="11">
        <v>7350</v>
      </c>
      <c r="W574" s="12">
        <f t="shared" si="166"/>
        <v>300</v>
      </c>
      <c r="X574" s="92">
        <f t="shared" si="160"/>
        <v>4.2599999999999999E-2</v>
      </c>
      <c r="Y574" s="93" t="str">
        <f t="shared" si="176"/>
        <v>0.00%-0.00%</v>
      </c>
      <c r="Z574" s="15"/>
      <c r="AA574" s="15"/>
      <c r="AB574" s="15"/>
      <c r="AC574" s="95"/>
      <c r="AD574" s="8">
        <f t="shared" si="167"/>
        <v>0</v>
      </c>
      <c r="AE574" s="17">
        <f t="shared" si="168"/>
        <v>7350</v>
      </c>
      <c r="AF574" s="18">
        <f t="shared" si="169"/>
        <v>300</v>
      </c>
      <c r="AG574" s="97">
        <f t="shared" si="170"/>
        <v>4.2553191489361764E-2</v>
      </c>
      <c r="AH574" s="20">
        <v>14</v>
      </c>
      <c r="AI574" s="20">
        <v>450</v>
      </c>
      <c r="AJ574" s="20"/>
      <c r="AK574" s="20">
        <v>0</v>
      </c>
      <c r="AL574" s="20">
        <f t="shared" si="171"/>
        <v>108300</v>
      </c>
      <c r="AM574" s="7">
        <v>3</v>
      </c>
      <c r="AN574" s="20"/>
      <c r="AO574" s="21" t="s">
        <v>1410</v>
      </c>
      <c r="AP574" s="21" t="s">
        <v>205</v>
      </c>
      <c r="AQ574" s="5" t="s">
        <v>1406</v>
      </c>
      <c r="AR574" s="5" t="s">
        <v>164</v>
      </c>
      <c r="AS574" s="5" t="s">
        <v>218</v>
      </c>
      <c r="AT574" s="20"/>
      <c r="AU574" s="21"/>
      <c r="AV574" s="21"/>
      <c r="AW574" s="144" t="str">
        <f t="shared" si="172"/>
        <v>&gt;20</v>
      </c>
      <c r="AX574" s="21" t="s">
        <v>3131</v>
      </c>
      <c r="AY574" s="21" t="s">
        <v>3134</v>
      </c>
      <c r="AZ574" s="21"/>
      <c r="BA574" s="21"/>
    </row>
    <row r="575" spans="1:53" ht="20" customHeight="1">
      <c r="A575" s="86" t="s">
        <v>318</v>
      </c>
      <c r="B575" s="372" t="s">
        <v>2905</v>
      </c>
      <c r="C575" s="5" t="s">
        <v>51</v>
      </c>
      <c r="D575" s="5" t="s">
        <v>52</v>
      </c>
      <c r="E575" s="5" t="s">
        <v>1414</v>
      </c>
      <c r="F575" s="5" t="s">
        <v>1404</v>
      </c>
      <c r="G575" s="5" t="s">
        <v>1405</v>
      </c>
      <c r="H575" s="6">
        <v>44419</v>
      </c>
      <c r="I575" s="5" t="s">
        <v>74</v>
      </c>
      <c r="J575" s="5" t="s">
        <v>74</v>
      </c>
      <c r="K575" s="5" t="s">
        <v>76</v>
      </c>
      <c r="L575" s="7">
        <v>2</v>
      </c>
      <c r="M575" s="7">
        <v>4</v>
      </c>
      <c r="N575" s="8">
        <v>13900</v>
      </c>
      <c r="O575" s="88">
        <v>3.7500000000000006E-2</v>
      </c>
      <c r="P575" s="10">
        <f t="shared" si="161"/>
        <v>521</v>
      </c>
      <c r="Q575" s="88">
        <v>1.55E-2</v>
      </c>
      <c r="R575" s="10">
        <f t="shared" si="162"/>
        <v>215</v>
      </c>
      <c r="S575" s="88">
        <f t="shared" si="163"/>
        <v>5.2949640287769786E-2</v>
      </c>
      <c r="T575" s="10">
        <f t="shared" si="164"/>
        <v>736</v>
      </c>
      <c r="U575" s="10">
        <f t="shared" si="165"/>
        <v>14636</v>
      </c>
      <c r="V575" s="11">
        <v>14490</v>
      </c>
      <c r="W575" s="12">
        <f t="shared" si="166"/>
        <v>590</v>
      </c>
      <c r="X575" s="92">
        <f t="shared" si="160"/>
        <v>4.24E-2</v>
      </c>
      <c r="Y575" s="93" t="str">
        <f t="shared" si="176"/>
        <v>4.24%-6.35%</v>
      </c>
      <c r="Z575" s="15"/>
      <c r="AA575" s="15"/>
      <c r="AB575" s="15"/>
      <c r="AC575" s="95"/>
      <c r="AD575" s="8">
        <f t="shared" si="167"/>
        <v>0</v>
      </c>
      <c r="AE575" s="17">
        <f t="shared" si="168"/>
        <v>14490</v>
      </c>
      <c r="AF575" s="18">
        <f t="shared" si="169"/>
        <v>590</v>
      </c>
      <c r="AG575" s="97">
        <f t="shared" si="170"/>
        <v>4.2446043165467628E-2</v>
      </c>
      <c r="AH575" s="20">
        <v>14</v>
      </c>
      <c r="AI575" s="20">
        <v>450</v>
      </c>
      <c r="AJ575" s="20"/>
      <c r="AK575" s="20">
        <v>688</v>
      </c>
      <c r="AL575" s="20">
        <f t="shared" si="171"/>
        <v>208948</v>
      </c>
      <c r="AM575" s="7">
        <v>3</v>
      </c>
      <c r="AN575" s="20"/>
      <c r="AO575" s="21"/>
      <c r="AP575" s="21"/>
      <c r="AQ575" s="5" t="s">
        <v>1406</v>
      </c>
      <c r="AR575" s="5" t="s">
        <v>164</v>
      </c>
      <c r="AS575" s="5" t="s">
        <v>218</v>
      </c>
      <c r="AT575" s="20"/>
      <c r="AU575" s="21"/>
      <c r="AV575" s="21"/>
      <c r="AW575" s="144" t="str">
        <f t="shared" si="172"/>
        <v>OK</v>
      </c>
      <c r="AX575" s="21" t="s">
        <v>3131</v>
      </c>
      <c r="AY575" s="21" t="s">
        <v>3130</v>
      </c>
      <c r="AZ575" s="21"/>
      <c r="BA575" s="21"/>
    </row>
    <row r="576" spans="1:53" ht="20" customHeight="1">
      <c r="A576" s="86" t="s">
        <v>318</v>
      </c>
      <c r="B576" s="372" t="s">
        <v>2906</v>
      </c>
      <c r="C576" s="5" t="s">
        <v>51</v>
      </c>
      <c r="D576" s="5" t="s">
        <v>52</v>
      </c>
      <c r="E576" s="5" t="s">
        <v>1414</v>
      </c>
      <c r="F576" s="5" t="s">
        <v>1411</v>
      </c>
      <c r="G576" s="5" t="s">
        <v>1412</v>
      </c>
      <c r="H576" s="6">
        <v>36616</v>
      </c>
      <c r="I576" s="5" t="s">
        <v>85</v>
      </c>
      <c r="J576" s="5" t="s">
        <v>85</v>
      </c>
      <c r="K576" s="5" t="s">
        <v>76</v>
      </c>
      <c r="L576" s="7">
        <v>2</v>
      </c>
      <c r="M576" s="7">
        <v>4</v>
      </c>
      <c r="N576" s="8">
        <v>10660</v>
      </c>
      <c r="O576" s="88">
        <v>3.7500000000000006E-2</v>
      </c>
      <c r="P576" s="10">
        <f t="shared" si="161"/>
        <v>400</v>
      </c>
      <c r="Q576" s="88">
        <v>1.55E-2</v>
      </c>
      <c r="R576" s="10">
        <f t="shared" si="162"/>
        <v>165</v>
      </c>
      <c r="S576" s="88">
        <f t="shared" si="163"/>
        <v>5.3001876172607883E-2</v>
      </c>
      <c r="T576" s="10">
        <f t="shared" si="164"/>
        <v>565</v>
      </c>
      <c r="U576" s="10">
        <f t="shared" si="165"/>
        <v>11225</v>
      </c>
      <c r="V576" s="11">
        <f>U576</f>
        <v>11225</v>
      </c>
      <c r="W576" s="12">
        <f t="shared" si="166"/>
        <v>565</v>
      </c>
      <c r="X576" s="92">
        <f t="shared" si="160"/>
        <v>5.2999999999999999E-2</v>
      </c>
      <c r="Y576" s="93" t="str">
        <f t="shared" si="176"/>
        <v>4.24%-6.36%</v>
      </c>
      <c r="Z576" s="15"/>
      <c r="AA576" s="15"/>
      <c r="AB576" s="15"/>
      <c r="AC576" s="95"/>
      <c r="AD576" s="8">
        <f t="shared" si="167"/>
        <v>0</v>
      </c>
      <c r="AE576" s="17">
        <f t="shared" si="168"/>
        <v>11225</v>
      </c>
      <c r="AF576" s="18">
        <f t="shared" si="169"/>
        <v>565</v>
      </c>
      <c r="AG576" s="97">
        <f t="shared" si="170"/>
        <v>5.3001876172607876E-2</v>
      </c>
      <c r="AH576" s="20">
        <v>14</v>
      </c>
      <c r="AI576" s="20">
        <v>450</v>
      </c>
      <c r="AJ576" s="20"/>
      <c r="AK576" s="20">
        <v>688</v>
      </c>
      <c r="AL576" s="20">
        <f t="shared" si="171"/>
        <v>163238</v>
      </c>
      <c r="AM576" s="7">
        <v>3</v>
      </c>
      <c r="AN576" s="20"/>
      <c r="AO576" s="21"/>
      <c r="AP576" s="21"/>
      <c r="AQ576" s="5" t="s">
        <v>1413</v>
      </c>
      <c r="AR576" s="5" t="s">
        <v>164</v>
      </c>
      <c r="AS576" s="5" t="s">
        <v>218</v>
      </c>
      <c r="AT576" s="20"/>
      <c r="AU576" s="21"/>
      <c r="AV576" s="21"/>
      <c r="AW576" s="144" t="str">
        <f t="shared" si="172"/>
        <v>OK</v>
      </c>
      <c r="AX576" s="21" t="s">
        <v>3137</v>
      </c>
      <c r="AY576" s="21" t="s">
        <v>3130</v>
      </c>
      <c r="AZ576" s="21"/>
      <c r="BA576" s="21"/>
    </row>
    <row r="577" spans="1:53" ht="20" customHeight="1">
      <c r="A577" s="105" t="s">
        <v>318</v>
      </c>
      <c r="B577" s="372" t="s">
        <v>2907</v>
      </c>
      <c r="C577" s="5" t="s">
        <v>51</v>
      </c>
      <c r="D577" s="5" t="s">
        <v>52</v>
      </c>
      <c r="E577" s="5" t="s">
        <v>1414</v>
      </c>
      <c r="F577" s="5" t="s">
        <v>1415</v>
      </c>
      <c r="G577" s="5" t="s">
        <v>220</v>
      </c>
      <c r="H577" s="6">
        <v>44418</v>
      </c>
      <c r="I577" s="5" t="s">
        <v>226</v>
      </c>
      <c r="J577" s="5" t="s">
        <v>1416</v>
      </c>
      <c r="K577" s="5" t="s">
        <v>84</v>
      </c>
      <c r="L577" s="7">
        <v>2</v>
      </c>
      <c r="M577" s="7">
        <v>3</v>
      </c>
      <c r="N577" s="8">
        <v>7700</v>
      </c>
      <c r="O577" s="88">
        <v>2.5000000000000001E-2</v>
      </c>
      <c r="P577" s="10">
        <f t="shared" si="161"/>
        <v>193</v>
      </c>
      <c r="Q577" s="88">
        <v>0</v>
      </c>
      <c r="R577" s="10">
        <f t="shared" si="162"/>
        <v>0</v>
      </c>
      <c r="S577" s="88">
        <f t="shared" si="163"/>
        <v>2.5064935064935064E-2</v>
      </c>
      <c r="T577" s="10">
        <f t="shared" si="164"/>
        <v>193</v>
      </c>
      <c r="U577" s="10">
        <f t="shared" si="165"/>
        <v>7893</v>
      </c>
      <c r="V577" s="11">
        <v>7900</v>
      </c>
      <c r="W577" s="12">
        <f t="shared" si="166"/>
        <v>200</v>
      </c>
      <c r="X577" s="92">
        <f t="shared" si="160"/>
        <v>2.5999999999999999E-2</v>
      </c>
      <c r="Y577" s="93" t="str">
        <f t="shared" si="176"/>
        <v>2.01%-3.01%</v>
      </c>
      <c r="Z577" s="15"/>
      <c r="AA577" s="15"/>
      <c r="AB577" s="15"/>
      <c r="AC577" s="95"/>
      <c r="AD577" s="8">
        <f t="shared" si="167"/>
        <v>0</v>
      </c>
      <c r="AE577" s="17">
        <f t="shared" si="168"/>
        <v>7900</v>
      </c>
      <c r="AF577" s="18">
        <f t="shared" si="169"/>
        <v>200</v>
      </c>
      <c r="AG577" s="97">
        <f t="shared" si="170"/>
        <v>2.5974025974025983E-2</v>
      </c>
      <c r="AH577" s="20">
        <v>14</v>
      </c>
      <c r="AI577" s="20">
        <v>550</v>
      </c>
      <c r="AJ577" s="20"/>
      <c r="AK577" s="20">
        <v>688</v>
      </c>
      <c r="AL577" s="20">
        <f t="shared" si="171"/>
        <v>117888</v>
      </c>
      <c r="AM577" s="7">
        <v>3</v>
      </c>
      <c r="AN577" s="20"/>
      <c r="AO577" s="21"/>
      <c r="AP577" s="21"/>
      <c r="AQ577" s="5" t="s">
        <v>1413</v>
      </c>
      <c r="AR577" s="5" t="s">
        <v>164</v>
      </c>
      <c r="AS577" s="5" t="s">
        <v>218</v>
      </c>
      <c r="AT577" s="20"/>
      <c r="AU577" s="21"/>
      <c r="AV577" s="21"/>
      <c r="AW577" s="144" t="str">
        <f t="shared" si="172"/>
        <v>OK</v>
      </c>
      <c r="AX577" s="21" t="s">
        <v>3131</v>
      </c>
      <c r="AY577" s="21" t="s">
        <v>3130</v>
      </c>
      <c r="AZ577" s="21"/>
      <c r="BA577" s="21"/>
    </row>
    <row r="578" spans="1:53" ht="20" customHeight="1">
      <c r="A578" s="86" t="s">
        <v>318</v>
      </c>
      <c r="B578" s="372" t="s">
        <v>2908</v>
      </c>
      <c r="C578" s="5" t="s">
        <v>51</v>
      </c>
      <c r="D578" s="5" t="s">
        <v>52</v>
      </c>
      <c r="E578" s="5" t="s">
        <v>1414</v>
      </c>
      <c r="F578" s="5" t="s">
        <v>1415</v>
      </c>
      <c r="G578" s="5" t="s">
        <v>220</v>
      </c>
      <c r="H578" s="6">
        <v>44440</v>
      </c>
      <c r="I578" s="5" t="s">
        <v>82</v>
      </c>
      <c r="J578" s="5" t="s">
        <v>1417</v>
      </c>
      <c r="K578" s="5" t="s">
        <v>84</v>
      </c>
      <c r="L578" s="7">
        <v>2</v>
      </c>
      <c r="M578" s="7">
        <v>4</v>
      </c>
      <c r="N578" s="8">
        <v>9580</v>
      </c>
      <c r="O578" s="88">
        <v>3.7500000000000006E-2</v>
      </c>
      <c r="P578" s="10">
        <f t="shared" si="161"/>
        <v>359</v>
      </c>
      <c r="Q578" s="88">
        <v>1.55E-2</v>
      </c>
      <c r="R578" s="10">
        <f t="shared" si="162"/>
        <v>148</v>
      </c>
      <c r="S578" s="88">
        <f t="shared" si="163"/>
        <v>5.2922755741127349E-2</v>
      </c>
      <c r="T578" s="10">
        <f t="shared" si="164"/>
        <v>507</v>
      </c>
      <c r="U578" s="10">
        <f t="shared" si="165"/>
        <v>10087</v>
      </c>
      <c r="V578" s="11">
        <v>10000</v>
      </c>
      <c r="W578" s="12">
        <f t="shared" si="166"/>
        <v>420</v>
      </c>
      <c r="X578" s="92">
        <f t="shared" si="160"/>
        <v>4.3799999999999999E-2</v>
      </c>
      <c r="Y578" s="93" t="str">
        <f t="shared" si="176"/>
        <v>4.23%-6.35%</v>
      </c>
      <c r="Z578" s="15" t="s">
        <v>87</v>
      </c>
      <c r="AA578" s="15" t="s">
        <v>74</v>
      </c>
      <c r="AB578" s="15" t="s">
        <v>139</v>
      </c>
      <c r="AC578" s="95">
        <v>9.2999999999999999E-2</v>
      </c>
      <c r="AD578" s="8">
        <f t="shared" si="167"/>
        <v>891</v>
      </c>
      <c r="AE578" s="17">
        <f t="shared" si="168"/>
        <v>10891</v>
      </c>
      <c r="AF578" s="18">
        <f t="shared" si="169"/>
        <v>1311</v>
      </c>
      <c r="AG578" s="97">
        <f t="shared" si="170"/>
        <v>0.13684759916492695</v>
      </c>
      <c r="AH578" s="20">
        <v>14</v>
      </c>
      <c r="AI578" s="20">
        <v>450</v>
      </c>
      <c r="AJ578" s="20"/>
      <c r="AK578" s="20">
        <v>688</v>
      </c>
      <c r="AL578" s="20">
        <f t="shared" si="171"/>
        <v>158562</v>
      </c>
      <c r="AM578" s="7">
        <v>3</v>
      </c>
      <c r="AN578" s="20"/>
      <c r="AO578" s="21" t="s">
        <v>2016</v>
      </c>
      <c r="AP578" s="21" t="s">
        <v>239</v>
      </c>
      <c r="AQ578" s="5" t="s">
        <v>1413</v>
      </c>
      <c r="AR578" s="5" t="s">
        <v>164</v>
      </c>
      <c r="AS578" s="5" t="s">
        <v>218</v>
      </c>
      <c r="AT578" s="20"/>
      <c r="AU578" s="21"/>
      <c r="AV578" s="21"/>
      <c r="AW578" s="144" t="str">
        <f t="shared" si="172"/>
        <v>OK</v>
      </c>
      <c r="AX578" s="21" t="s">
        <v>3131</v>
      </c>
      <c r="AY578" s="21" t="s">
        <v>3130</v>
      </c>
      <c r="AZ578" s="21"/>
      <c r="BA578" s="21"/>
    </row>
    <row r="579" spans="1:53" ht="20" customHeight="1">
      <c r="A579" s="86" t="s">
        <v>318</v>
      </c>
      <c r="B579" s="372" t="s">
        <v>2909</v>
      </c>
      <c r="C579" s="5" t="s">
        <v>51</v>
      </c>
      <c r="D579" s="5" t="s">
        <v>52</v>
      </c>
      <c r="E579" s="5" t="s">
        <v>1414</v>
      </c>
      <c r="F579" s="5" t="s">
        <v>1415</v>
      </c>
      <c r="G579" s="5" t="s">
        <v>220</v>
      </c>
      <c r="H579" s="6">
        <v>44627</v>
      </c>
      <c r="I579" s="5" t="s">
        <v>82</v>
      </c>
      <c r="J579" s="5" t="s">
        <v>1418</v>
      </c>
      <c r="K579" s="5" t="s">
        <v>84</v>
      </c>
      <c r="L579" s="7">
        <v>2</v>
      </c>
      <c r="M579" s="7">
        <v>4</v>
      </c>
      <c r="N579" s="8">
        <v>9800</v>
      </c>
      <c r="O579" s="88">
        <v>3.7500000000000006E-2</v>
      </c>
      <c r="P579" s="10">
        <f t="shared" si="161"/>
        <v>368</v>
      </c>
      <c r="Q579" s="88">
        <v>1.55E-2</v>
      </c>
      <c r="R579" s="10">
        <f t="shared" si="162"/>
        <v>152</v>
      </c>
      <c r="S579" s="88">
        <f t="shared" si="163"/>
        <v>5.3061224489795916E-2</v>
      </c>
      <c r="T579" s="10">
        <f t="shared" si="164"/>
        <v>520</v>
      </c>
      <c r="U579" s="10">
        <f t="shared" si="165"/>
        <v>10320</v>
      </c>
      <c r="V579" s="11">
        <v>10400</v>
      </c>
      <c r="W579" s="12">
        <f t="shared" si="166"/>
        <v>600</v>
      </c>
      <c r="X579" s="92">
        <f t="shared" si="160"/>
        <v>6.1199999999999997E-2</v>
      </c>
      <c r="Y579" s="93" t="str">
        <f t="shared" si="176"/>
        <v>4.24%-6.37%</v>
      </c>
      <c r="Z579" s="15"/>
      <c r="AA579" s="15"/>
      <c r="AB579" s="15"/>
      <c r="AC579" s="95"/>
      <c r="AD579" s="8">
        <f t="shared" si="167"/>
        <v>0</v>
      </c>
      <c r="AE579" s="17">
        <f t="shared" si="168"/>
        <v>10400</v>
      </c>
      <c r="AF579" s="18">
        <f t="shared" si="169"/>
        <v>600</v>
      </c>
      <c r="AG579" s="97">
        <f t="shared" si="170"/>
        <v>6.1224489795918435E-2</v>
      </c>
      <c r="AH579" s="20">
        <v>14</v>
      </c>
      <c r="AI579" s="20">
        <v>450</v>
      </c>
      <c r="AJ579" s="20"/>
      <c r="AK579" s="20">
        <v>688</v>
      </c>
      <c r="AL579" s="20">
        <f t="shared" si="171"/>
        <v>151688</v>
      </c>
      <c r="AM579" s="7">
        <v>4</v>
      </c>
      <c r="AN579" s="20"/>
      <c r="AO579" s="21"/>
      <c r="AP579" s="21"/>
      <c r="AQ579" s="5" t="s">
        <v>1413</v>
      </c>
      <c r="AR579" s="5" t="s">
        <v>164</v>
      </c>
      <c r="AS579" s="5" t="s">
        <v>218</v>
      </c>
      <c r="AT579" s="20"/>
      <c r="AU579" s="21"/>
      <c r="AV579" s="21"/>
      <c r="AW579" s="144" t="str">
        <f t="shared" si="172"/>
        <v>OK</v>
      </c>
      <c r="AX579" s="21" t="s">
        <v>3131</v>
      </c>
      <c r="AY579" s="21" t="s">
        <v>3130</v>
      </c>
      <c r="AZ579" s="21"/>
      <c r="BA579" s="21"/>
    </row>
    <row r="580" spans="1:53" ht="20" customHeight="1">
      <c r="A580" s="105" t="s">
        <v>318</v>
      </c>
      <c r="B580" s="372" t="s">
        <v>2910</v>
      </c>
      <c r="C580" s="5" t="s">
        <v>51</v>
      </c>
      <c r="D580" s="5" t="s">
        <v>52</v>
      </c>
      <c r="E580" s="5" t="s">
        <v>1414</v>
      </c>
      <c r="F580" s="5" t="s">
        <v>1415</v>
      </c>
      <c r="G580" s="5" t="s">
        <v>220</v>
      </c>
      <c r="H580" s="6">
        <v>40520</v>
      </c>
      <c r="I580" s="5" t="s">
        <v>60</v>
      </c>
      <c r="J580" s="5" t="s">
        <v>60</v>
      </c>
      <c r="K580" s="5" t="s">
        <v>61</v>
      </c>
      <c r="L580" s="7">
        <v>2</v>
      </c>
      <c r="M580" s="7">
        <v>3</v>
      </c>
      <c r="N580" s="8">
        <v>13740</v>
      </c>
      <c r="O580" s="88">
        <v>0.03</v>
      </c>
      <c r="P580" s="10">
        <f t="shared" si="161"/>
        <v>412</v>
      </c>
      <c r="Q580" s="88">
        <v>0</v>
      </c>
      <c r="R580" s="10">
        <f t="shared" si="162"/>
        <v>0</v>
      </c>
      <c r="S580" s="88">
        <f t="shared" si="163"/>
        <v>2.9985443959243085E-2</v>
      </c>
      <c r="T580" s="10">
        <f t="shared" si="164"/>
        <v>412</v>
      </c>
      <c r="U580" s="10">
        <f t="shared" si="165"/>
        <v>14152</v>
      </c>
      <c r="V580" s="11">
        <v>14100</v>
      </c>
      <c r="W580" s="12">
        <f t="shared" si="166"/>
        <v>360</v>
      </c>
      <c r="X580" s="92">
        <f t="shared" si="160"/>
        <v>2.6200000000000001E-2</v>
      </c>
      <c r="Y580" s="93" t="str">
        <f t="shared" si="176"/>
        <v>2.40%-3.60%</v>
      </c>
      <c r="Z580" s="15"/>
      <c r="AA580" s="15"/>
      <c r="AB580" s="15"/>
      <c r="AC580" s="95"/>
      <c r="AD580" s="8">
        <f t="shared" si="167"/>
        <v>0</v>
      </c>
      <c r="AE580" s="17">
        <f t="shared" si="168"/>
        <v>14100</v>
      </c>
      <c r="AF580" s="18">
        <f t="shared" si="169"/>
        <v>360</v>
      </c>
      <c r="AG580" s="97">
        <f t="shared" si="170"/>
        <v>2.6200873362445476E-2</v>
      </c>
      <c r="AH580" s="20">
        <v>14</v>
      </c>
      <c r="AI580" s="20">
        <v>450</v>
      </c>
      <c r="AJ580" s="20"/>
      <c r="AK580" s="20">
        <v>688</v>
      </c>
      <c r="AL580" s="20">
        <f t="shared" si="171"/>
        <v>203488</v>
      </c>
      <c r="AM580" s="7">
        <v>2</v>
      </c>
      <c r="AN580" s="20"/>
      <c r="AO580" s="21"/>
      <c r="AP580" s="21"/>
      <c r="AQ580" s="5" t="s">
        <v>1413</v>
      </c>
      <c r="AR580" s="5" t="s">
        <v>164</v>
      </c>
      <c r="AS580" s="5" t="s">
        <v>218</v>
      </c>
      <c r="AT580" s="20"/>
      <c r="AU580" s="21"/>
      <c r="AV580" s="21"/>
      <c r="AW580" s="144" t="str">
        <f t="shared" si="172"/>
        <v>OK</v>
      </c>
      <c r="AX580" s="21" t="s">
        <v>3135</v>
      </c>
      <c r="AY580" s="21" t="s">
        <v>3132</v>
      </c>
      <c r="AZ580" s="21"/>
      <c r="BA580" s="21"/>
    </row>
    <row r="581" spans="1:53" ht="20" customHeight="1">
      <c r="A581" s="86" t="s">
        <v>318</v>
      </c>
      <c r="B581" s="372" t="s">
        <v>2911</v>
      </c>
      <c r="C581" s="5" t="s">
        <v>51</v>
      </c>
      <c r="D581" s="5" t="s">
        <v>52</v>
      </c>
      <c r="E581" s="5" t="s">
        <v>1414</v>
      </c>
      <c r="F581" s="5" t="s">
        <v>1415</v>
      </c>
      <c r="G581" s="5" t="s">
        <v>220</v>
      </c>
      <c r="H581" s="6">
        <v>40735</v>
      </c>
      <c r="I581" s="5" t="s">
        <v>74</v>
      </c>
      <c r="J581" s="5" t="s">
        <v>1419</v>
      </c>
      <c r="K581" s="5" t="s">
        <v>76</v>
      </c>
      <c r="L581" s="7">
        <v>2</v>
      </c>
      <c r="M581" s="7">
        <v>4</v>
      </c>
      <c r="N581" s="8">
        <v>8140</v>
      </c>
      <c r="O581" s="88">
        <v>5.2500000000000005E-2</v>
      </c>
      <c r="P581" s="10">
        <f t="shared" si="161"/>
        <v>427</v>
      </c>
      <c r="Q581" s="88">
        <v>4.2099999999999999E-2</v>
      </c>
      <c r="R581" s="10">
        <f t="shared" si="162"/>
        <v>343</v>
      </c>
      <c r="S581" s="88">
        <f t="shared" si="163"/>
        <v>9.45945945945946E-2</v>
      </c>
      <c r="T581" s="10">
        <f t="shared" si="164"/>
        <v>770</v>
      </c>
      <c r="U581" s="10">
        <f t="shared" si="165"/>
        <v>8910</v>
      </c>
      <c r="V581" s="11">
        <v>9500</v>
      </c>
      <c r="W581" s="12">
        <f t="shared" si="166"/>
        <v>1360</v>
      </c>
      <c r="X581" s="92">
        <f t="shared" si="160"/>
        <v>0.1671</v>
      </c>
      <c r="Y581" s="93" t="str">
        <f t="shared" si="176"/>
        <v>7.57%-11.35%</v>
      </c>
      <c r="Z581" s="15"/>
      <c r="AA581" s="15"/>
      <c r="AB581" s="15"/>
      <c r="AC581" s="95"/>
      <c r="AD581" s="8">
        <f t="shared" si="167"/>
        <v>0</v>
      </c>
      <c r="AE581" s="17">
        <f t="shared" si="168"/>
        <v>9500</v>
      </c>
      <c r="AF581" s="18">
        <f t="shared" si="169"/>
        <v>1360</v>
      </c>
      <c r="AG581" s="97">
        <f t="shared" si="170"/>
        <v>0.16707616707616713</v>
      </c>
      <c r="AH581" s="20">
        <v>14</v>
      </c>
      <c r="AI581" s="20">
        <v>450</v>
      </c>
      <c r="AJ581" s="20"/>
      <c r="AK581" s="20">
        <v>688</v>
      </c>
      <c r="AL581" s="20">
        <f t="shared" si="171"/>
        <v>139088</v>
      </c>
      <c r="AM581" s="7">
        <v>3</v>
      </c>
      <c r="AN581" s="20"/>
      <c r="AO581" s="21" t="s">
        <v>2017</v>
      </c>
      <c r="AP581" s="21"/>
      <c r="AQ581" s="5" t="s">
        <v>1413</v>
      </c>
      <c r="AR581" s="5" t="s">
        <v>164</v>
      </c>
      <c r="AS581" s="5" t="s">
        <v>218</v>
      </c>
      <c r="AT581" s="20"/>
      <c r="AU581" s="21"/>
      <c r="AV581" s="21"/>
      <c r="AW581" s="144" t="str">
        <f t="shared" si="172"/>
        <v>&gt;20</v>
      </c>
      <c r="AX581" s="21" t="s">
        <v>3135</v>
      </c>
      <c r="AY581" s="21" t="s">
        <v>3141</v>
      </c>
      <c r="AZ581" s="21"/>
      <c r="BA581" s="21"/>
    </row>
    <row r="582" spans="1:53" ht="20" customHeight="1">
      <c r="A582" s="86" t="s">
        <v>318</v>
      </c>
      <c r="B582" s="372" t="s">
        <v>2912</v>
      </c>
      <c r="C582" s="5" t="s">
        <v>51</v>
      </c>
      <c r="D582" s="5" t="s">
        <v>52</v>
      </c>
      <c r="E582" s="5" t="s">
        <v>1414</v>
      </c>
      <c r="F582" s="5" t="s">
        <v>1420</v>
      </c>
      <c r="G582" s="5" t="s">
        <v>1421</v>
      </c>
      <c r="H582" s="6">
        <v>40183</v>
      </c>
      <c r="I582" s="5" t="s">
        <v>71</v>
      </c>
      <c r="J582" s="5" t="s">
        <v>1422</v>
      </c>
      <c r="K582" s="5" t="s">
        <v>61</v>
      </c>
      <c r="L582" s="7">
        <v>2</v>
      </c>
      <c r="M582" s="7">
        <v>3</v>
      </c>
      <c r="N582" s="8">
        <v>10545</v>
      </c>
      <c r="O582" s="88">
        <v>0.03</v>
      </c>
      <c r="P582" s="10">
        <f t="shared" si="161"/>
        <v>316</v>
      </c>
      <c r="Q582" s="88">
        <v>0</v>
      </c>
      <c r="R582" s="10">
        <f t="shared" si="162"/>
        <v>0</v>
      </c>
      <c r="S582" s="88">
        <f t="shared" si="163"/>
        <v>2.9966808914177336E-2</v>
      </c>
      <c r="T582" s="10">
        <f t="shared" si="164"/>
        <v>316</v>
      </c>
      <c r="U582" s="10">
        <f t="shared" si="165"/>
        <v>10861</v>
      </c>
      <c r="V582" s="11">
        <v>10545</v>
      </c>
      <c r="W582" s="12">
        <f t="shared" si="166"/>
        <v>0</v>
      </c>
      <c r="X582" s="92">
        <f t="shared" ref="X582:X627" si="177">ROUND(V582/N582-1,4)</f>
        <v>0</v>
      </c>
      <c r="Y582" s="93" t="str">
        <f t="shared" si="176"/>
        <v>2.40%-3.60%</v>
      </c>
      <c r="Z582" s="15"/>
      <c r="AA582" s="15"/>
      <c r="AB582" s="15"/>
      <c r="AC582" s="95"/>
      <c r="AD582" s="8">
        <f t="shared" si="167"/>
        <v>0</v>
      </c>
      <c r="AE582" s="17">
        <f t="shared" si="168"/>
        <v>10545</v>
      </c>
      <c r="AF582" s="18">
        <f t="shared" si="169"/>
        <v>0</v>
      </c>
      <c r="AG582" s="97">
        <f t="shared" si="170"/>
        <v>0</v>
      </c>
      <c r="AH582" s="20">
        <v>14</v>
      </c>
      <c r="AI582" s="20">
        <v>450</v>
      </c>
      <c r="AJ582" s="20"/>
      <c r="AK582" s="20">
        <v>688</v>
      </c>
      <c r="AL582" s="20">
        <f t="shared" si="171"/>
        <v>153718</v>
      </c>
      <c r="AM582" s="7">
        <v>3</v>
      </c>
      <c r="AN582" s="20"/>
      <c r="AO582" s="21" t="s">
        <v>2018</v>
      </c>
      <c r="AP582" s="21" t="s">
        <v>2018</v>
      </c>
      <c r="AQ582" s="5" t="s">
        <v>1413</v>
      </c>
      <c r="AR582" s="5" t="s">
        <v>164</v>
      </c>
      <c r="AS582" s="5" t="s">
        <v>218</v>
      </c>
      <c r="AT582" s="20"/>
      <c r="AU582" s="21"/>
      <c r="AV582" s="21"/>
      <c r="AW582" s="144" t="str">
        <f t="shared" si="172"/>
        <v>0 increase</v>
      </c>
      <c r="AX582" s="21" t="s">
        <v>3135</v>
      </c>
      <c r="AY582" s="21" t="s">
        <v>3132</v>
      </c>
      <c r="AZ582" s="21"/>
      <c r="BA582" s="21"/>
    </row>
    <row r="583" spans="1:53" ht="20" customHeight="1">
      <c r="A583" s="105" t="s">
        <v>318</v>
      </c>
      <c r="B583" s="372" t="s">
        <v>2913</v>
      </c>
      <c r="C583" s="5" t="s">
        <v>51</v>
      </c>
      <c r="D583" s="5" t="s">
        <v>52</v>
      </c>
      <c r="E583" s="5" t="s">
        <v>1414</v>
      </c>
      <c r="F583" s="5" t="s">
        <v>1415</v>
      </c>
      <c r="G583" s="5" t="s">
        <v>220</v>
      </c>
      <c r="H583" s="6">
        <v>38200</v>
      </c>
      <c r="I583" s="5" t="s">
        <v>74</v>
      </c>
      <c r="J583" s="5" t="s">
        <v>1423</v>
      </c>
      <c r="K583" s="5" t="s">
        <v>76</v>
      </c>
      <c r="L583" s="7">
        <v>2</v>
      </c>
      <c r="M583" s="7">
        <v>3</v>
      </c>
      <c r="N583" s="8">
        <v>9887</v>
      </c>
      <c r="O583" s="88">
        <v>0.03</v>
      </c>
      <c r="P583" s="10">
        <f t="shared" si="161"/>
        <v>297</v>
      </c>
      <c r="Q583" s="88">
        <v>0</v>
      </c>
      <c r="R583" s="10">
        <f t="shared" si="162"/>
        <v>0</v>
      </c>
      <c r="S583" s="88">
        <f t="shared" si="163"/>
        <v>3.0039445736826136E-2</v>
      </c>
      <c r="T583" s="10">
        <f t="shared" si="164"/>
        <v>297</v>
      </c>
      <c r="U583" s="10">
        <f t="shared" si="165"/>
        <v>10184</v>
      </c>
      <c r="V583" s="11">
        <v>10193</v>
      </c>
      <c r="W583" s="12">
        <f t="shared" si="166"/>
        <v>306</v>
      </c>
      <c r="X583" s="92">
        <f t="shared" si="177"/>
        <v>3.09E-2</v>
      </c>
      <c r="Y583" s="93" t="str">
        <f t="shared" si="176"/>
        <v>2.40%-3.60%</v>
      </c>
      <c r="Z583" s="15"/>
      <c r="AA583" s="15"/>
      <c r="AB583" s="15"/>
      <c r="AC583" s="95"/>
      <c r="AD583" s="8">
        <f t="shared" si="167"/>
        <v>0</v>
      </c>
      <c r="AE583" s="17">
        <f t="shared" si="168"/>
        <v>10193</v>
      </c>
      <c r="AF583" s="18">
        <f t="shared" si="169"/>
        <v>306</v>
      </c>
      <c r="AG583" s="97">
        <f t="shared" si="170"/>
        <v>3.0949731971275485E-2</v>
      </c>
      <c r="AH583" s="20">
        <v>14</v>
      </c>
      <c r="AI583" s="20">
        <v>450</v>
      </c>
      <c r="AJ583" s="20"/>
      <c r="AK583" s="20">
        <v>688</v>
      </c>
      <c r="AL583" s="20">
        <f t="shared" si="171"/>
        <v>148790</v>
      </c>
      <c r="AM583" s="7">
        <v>3</v>
      </c>
      <c r="AN583" s="20"/>
      <c r="AO583" s="21"/>
      <c r="AP583" s="21"/>
      <c r="AQ583" s="5" t="s">
        <v>1413</v>
      </c>
      <c r="AR583" s="5" t="s">
        <v>164</v>
      </c>
      <c r="AS583" s="5" t="s">
        <v>218</v>
      </c>
      <c r="AT583" s="20"/>
      <c r="AU583" s="21"/>
      <c r="AV583" s="21"/>
      <c r="AW583" s="144" t="str">
        <f t="shared" si="172"/>
        <v>OK</v>
      </c>
      <c r="AX583" s="21" t="s">
        <v>3139</v>
      </c>
      <c r="AY583" s="21" t="s">
        <v>3132</v>
      </c>
      <c r="AZ583" s="21"/>
      <c r="BA583" s="21"/>
    </row>
    <row r="584" spans="1:53" ht="20" customHeight="1">
      <c r="A584" s="86" t="s">
        <v>318</v>
      </c>
      <c r="B584" s="372" t="s">
        <v>2914</v>
      </c>
      <c r="C584" s="5" t="s">
        <v>51</v>
      </c>
      <c r="D584" s="5" t="s">
        <v>52</v>
      </c>
      <c r="E584" s="5" t="s">
        <v>1414</v>
      </c>
      <c r="F584" s="5" t="s">
        <v>1420</v>
      </c>
      <c r="G584" s="5" t="s">
        <v>1421</v>
      </c>
      <c r="H584" s="6">
        <v>37186</v>
      </c>
      <c r="I584" s="5" t="s">
        <v>71</v>
      </c>
      <c r="J584" s="5" t="s">
        <v>1424</v>
      </c>
      <c r="K584" s="5" t="s">
        <v>61</v>
      </c>
      <c r="L584" s="7">
        <v>2</v>
      </c>
      <c r="M584" s="7">
        <v>3</v>
      </c>
      <c r="N584" s="8">
        <v>9000</v>
      </c>
      <c r="O584" s="88">
        <v>3.5000000000000003E-2</v>
      </c>
      <c r="P584" s="10">
        <f t="shared" si="161"/>
        <v>315</v>
      </c>
      <c r="Q584" s="88">
        <v>0</v>
      </c>
      <c r="R584" s="10">
        <f t="shared" si="162"/>
        <v>0</v>
      </c>
      <c r="S584" s="88">
        <f t="shared" si="163"/>
        <v>3.5000000000000003E-2</v>
      </c>
      <c r="T584" s="10">
        <f t="shared" si="164"/>
        <v>315</v>
      </c>
      <c r="U584" s="10">
        <f t="shared" si="165"/>
        <v>9315</v>
      </c>
      <c r="V584" s="11">
        <v>9000</v>
      </c>
      <c r="W584" s="12">
        <f t="shared" si="166"/>
        <v>0</v>
      </c>
      <c r="X584" s="92">
        <f t="shared" si="177"/>
        <v>0</v>
      </c>
      <c r="Y584" s="93" t="str">
        <f t="shared" si="176"/>
        <v>2.80%-4.20%</v>
      </c>
      <c r="Z584" s="15"/>
      <c r="AA584" s="15"/>
      <c r="AB584" s="15"/>
      <c r="AC584" s="95"/>
      <c r="AD584" s="8">
        <f t="shared" si="167"/>
        <v>0</v>
      </c>
      <c r="AE584" s="17">
        <f t="shared" si="168"/>
        <v>9000</v>
      </c>
      <c r="AF584" s="18">
        <f t="shared" si="169"/>
        <v>0</v>
      </c>
      <c r="AG584" s="97">
        <f t="shared" si="170"/>
        <v>0</v>
      </c>
      <c r="AH584" s="20">
        <v>14</v>
      </c>
      <c r="AI584" s="20">
        <v>1580</v>
      </c>
      <c r="AJ584" s="20"/>
      <c r="AK584" s="20">
        <v>688</v>
      </c>
      <c r="AL584" s="20">
        <f t="shared" si="171"/>
        <v>145648</v>
      </c>
      <c r="AM584" s="7">
        <v>3</v>
      </c>
      <c r="AN584" s="20"/>
      <c r="AO584" s="21" t="s">
        <v>2018</v>
      </c>
      <c r="AP584" s="21" t="s">
        <v>2018</v>
      </c>
      <c r="AQ584" s="5" t="s">
        <v>1413</v>
      </c>
      <c r="AR584" s="5" t="s">
        <v>164</v>
      </c>
      <c r="AS584" s="5" t="s">
        <v>218</v>
      </c>
      <c r="AT584" s="20"/>
      <c r="AU584" s="21"/>
      <c r="AV584" s="21"/>
      <c r="AW584" s="144" t="str">
        <f t="shared" si="172"/>
        <v>0 increase</v>
      </c>
      <c r="AX584" s="21" t="s">
        <v>3139</v>
      </c>
      <c r="AY584" s="21" t="s">
        <v>3141</v>
      </c>
      <c r="AZ584" s="21"/>
      <c r="BA584" s="21"/>
    </row>
    <row r="585" spans="1:53" ht="20" customHeight="1">
      <c r="A585" s="86" t="s">
        <v>318</v>
      </c>
      <c r="B585" s="372" t="s">
        <v>2915</v>
      </c>
      <c r="C585" s="5" t="s">
        <v>51</v>
      </c>
      <c r="D585" s="5" t="s">
        <v>52</v>
      </c>
      <c r="E585" s="5" t="s">
        <v>1414</v>
      </c>
      <c r="F585" s="5" t="s">
        <v>1420</v>
      </c>
      <c r="G585" s="5" t="s">
        <v>1421</v>
      </c>
      <c r="H585" s="6">
        <v>34213</v>
      </c>
      <c r="I585" s="5" t="s">
        <v>226</v>
      </c>
      <c r="J585" s="5" t="s">
        <v>1425</v>
      </c>
      <c r="K585" s="5" t="s">
        <v>84</v>
      </c>
      <c r="L585" s="7">
        <v>2</v>
      </c>
      <c r="M585" s="7">
        <v>3</v>
      </c>
      <c r="N585" s="8">
        <v>9932</v>
      </c>
      <c r="O585" s="88">
        <v>0</v>
      </c>
      <c r="P585" s="10">
        <f t="shared" si="161"/>
        <v>0</v>
      </c>
      <c r="Q585" s="88">
        <v>0</v>
      </c>
      <c r="R585" s="10">
        <f t="shared" si="162"/>
        <v>0</v>
      </c>
      <c r="S585" s="88">
        <f t="shared" si="163"/>
        <v>0</v>
      </c>
      <c r="T585" s="10">
        <f t="shared" si="164"/>
        <v>0</v>
      </c>
      <c r="U585" s="10">
        <f t="shared" si="165"/>
        <v>9932</v>
      </c>
      <c r="V585" s="11">
        <f t="shared" ref="V585:V603" si="178">U585</f>
        <v>9932</v>
      </c>
      <c r="W585" s="12">
        <f t="shared" si="166"/>
        <v>0</v>
      </c>
      <c r="X585" s="92">
        <f t="shared" si="177"/>
        <v>0</v>
      </c>
      <c r="Y585" s="93" t="str">
        <f t="shared" si="176"/>
        <v>0.00%-0.00%</v>
      </c>
      <c r="Z585" s="15"/>
      <c r="AA585" s="15"/>
      <c r="AB585" s="15"/>
      <c r="AC585" s="95"/>
      <c r="AD585" s="8">
        <f t="shared" si="167"/>
        <v>0</v>
      </c>
      <c r="AE585" s="17">
        <f t="shared" si="168"/>
        <v>9932</v>
      </c>
      <c r="AF585" s="18">
        <f t="shared" si="169"/>
        <v>0</v>
      </c>
      <c r="AG585" s="97">
        <f t="shared" si="170"/>
        <v>0</v>
      </c>
      <c r="AH585" s="20">
        <v>14</v>
      </c>
      <c r="AI585" s="20">
        <v>1216</v>
      </c>
      <c r="AJ585" s="20"/>
      <c r="AK585" s="20">
        <v>688</v>
      </c>
      <c r="AL585" s="20">
        <f t="shared" si="171"/>
        <v>154328</v>
      </c>
      <c r="AM585" s="7">
        <v>3</v>
      </c>
      <c r="AN585" s="20"/>
      <c r="AO585" s="21"/>
      <c r="AP585" s="21"/>
      <c r="AQ585" s="5" t="s">
        <v>1413</v>
      </c>
      <c r="AR585" s="5" t="s">
        <v>164</v>
      </c>
      <c r="AS585" s="5" t="s">
        <v>218</v>
      </c>
      <c r="AT585" s="20"/>
      <c r="AU585" s="21"/>
      <c r="AV585" s="21"/>
      <c r="AW585" s="144" t="str">
        <f t="shared" si="172"/>
        <v>OK</v>
      </c>
      <c r="AX585" s="21" t="s">
        <v>3137</v>
      </c>
      <c r="AY585" s="21" t="s">
        <v>3134</v>
      </c>
      <c r="AZ585" s="21"/>
      <c r="BA585" s="21"/>
    </row>
    <row r="586" spans="1:53" ht="20" customHeight="1">
      <c r="A586" s="105" t="s">
        <v>318</v>
      </c>
      <c r="B586" s="372" t="s">
        <v>2916</v>
      </c>
      <c r="C586" s="5" t="s">
        <v>51</v>
      </c>
      <c r="D586" s="5" t="s">
        <v>52</v>
      </c>
      <c r="E586" s="5" t="s">
        <v>1414</v>
      </c>
      <c r="F586" s="5" t="s">
        <v>1420</v>
      </c>
      <c r="G586" s="5" t="s">
        <v>1421</v>
      </c>
      <c r="H586" s="6">
        <v>39630</v>
      </c>
      <c r="I586" s="5" t="s">
        <v>226</v>
      </c>
      <c r="J586" s="5" t="s">
        <v>1426</v>
      </c>
      <c r="K586" s="5" t="s">
        <v>84</v>
      </c>
      <c r="L586" s="7">
        <v>2</v>
      </c>
      <c r="M586" s="7">
        <v>3</v>
      </c>
      <c r="N586" s="8">
        <v>12500</v>
      </c>
      <c r="O586" s="88">
        <v>0</v>
      </c>
      <c r="P586" s="10">
        <f t="shared" si="161"/>
        <v>0</v>
      </c>
      <c r="Q586" s="88">
        <v>0</v>
      </c>
      <c r="R586" s="10">
        <f t="shared" si="162"/>
        <v>0</v>
      </c>
      <c r="S586" s="88">
        <f t="shared" si="163"/>
        <v>0</v>
      </c>
      <c r="T586" s="10">
        <f t="shared" si="164"/>
        <v>0</v>
      </c>
      <c r="U586" s="10">
        <f t="shared" si="165"/>
        <v>12500</v>
      </c>
      <c r="V586" s="11">
        <f t="shared" si="178"/>
        <v>12500</v>
      </c>
      <c r="W586" s="12">
        <f t="shared" si="166"/>
        <v>0</v>
      </c>
      <c r="X586" s="92">
        <f t="shared" si="177"/>
        <v>0</v>
      </c>
      <c r="Y586" s="93" t="str">
        <f t="shared" si="176"/>
        <v>0.00%-0.00%</v>
      </c>
      <c r="Z586" s="15"/>
      <c r="AA586" s="15"/>
      <c r="AB586" s="15"/>
      <c r="AC586" s="95"/>
      <c r="AD586" s="8">
        <f t="shared" si="167"/>
        <v>0</v>
      </c>
      <c r="AE586" s="17">
        <f t="shared" si="168"/>
        <v>12500</v>
      </c>
      <c r="AF586" s="18">
        <f t="shared" si="169"/>
        <v>0</v>
      </c>
      <c r="AG586" s="97">
        <f t="shared" si="170"/>
        <v>0</v>
      </c>
      <c r="AH586" s="20">
        <v>14</v>
      </c>
      <c r="AI586" s="20">
        <v>550</v>
      </c>
      <c r="AJ586" s="20"/>
      <c r="AK586" s="20">
        <v>688</v>
      </c>
      <c r="AL586" s="20">
        <f t="shared" si="171"/>
        <v>182288</v>
      </c>
      <c r="AM586" s="7">
        <v>4</v>
      </c>
      <c r="AN586" s="20"/>
      <c r="AO586" s="21"/>
      <c r="AP586" s="21"/>
      <c r="AQ586" s="5" t="s">
        <v>1413</v>
      </c>
      <c r="AR586" s="5" t="s">
        <v>164</v>
      </c>
      <c r="AS586" s="5" t="s">
        <v>218</v>
      </c>
      <c r="AT586" s="20"/>
      <c r="AU586" s="21"/>
      <c r="AV586" s="21"/>
      <c r="AW586" s="144" t="str">
        <f t="shared" si="172"/>
        <v>OK</v>
      </c>
      <c r="AX586" s="21" t="s">
        <v>3129</v>
      </c>
      <c r="AY586" s="21" t="s">
        <v>3134</v>
      </c>
      <c r="AZ586" s="21"/>
      <c r="BA586" s="21"/>
    </row>
    <row r="587" spans="1:53" ht="20" customHeight="1">
      <c r="A587" s="86" t="s">
        <v>318</v>
      </c>
      <c r="B587" s="372" t="s">
        <v>2917</v>
      </c>
      <c r="C587" s="5" t="s">
        <v>51</v>
      </c>
      <c r="D587" s="5" t="s">
        <v>52</v>
      </c>
      <c r="E587" s="5" t="s">
        <v>1414</v>
      </c>
      <c r="F587" s="5" t="s">
        <v>1420</v>
      </c>
      <c r="G587" s="5" t="s">
        <v>1421</v>
      </c>
      <c r="H587" s="6">
        <v>40544</v>
      </c>
      <c r="I587" s="5" t="s">
        <v>85</v>
      </c>
      <c r="J587" s="5" t="s">
        <v>85</v>
      </c>
      <c r="K587" s="5" t="s">
        <v>76</v>
      </c>
      <c r="L587" s="7">
        <v>2</v>
      </c>
      <c r="M587" s="7">
        <v>2</v>
      </c>
      <c r="N587" s="8">
        <v>8628</v>
      </c>
      <c r="O587" s="88">
        <v>0</v>
      </c>
      <c r="P587" s="10">
        <f t="shared" ref="P587:P650" si="179">ROUND(N587*O587,0)</f>
        <v>0</v>
      </c>
      <c r="Q587" s="88">
        <v>0</v>
      </c>
      <c r="R587" s="10">
        <f t="shared" ref="R587:R650" si="180">ROUND(N587*Q587,0)</f>
        <v>0</v>
      </c>
      <c r="S587" s="88">
        <f t="shared" ref="S587:S650" si="181">T587/N587</f>
        <v>0</v>
      </c>
      <c r="T587" s="10">
        <f t="shared" ref="T587:T650" si="182">P587+R587</f>
        <v>0</v>
      </c>
      <c r="U587" s="10">
        <f t="shared" ref="U587:U650" si="183">N587+T587</f>
        <v>8628</v>
      </c>
      <c r="V587" s="11">
        <f t="shared" si="178"/>
        <v>8628</v>
      </c>
      <c r="W587" s="12">
        <f t="shared" ref="W587:W650" si="184">V587-N587</f>
        <v>0</v>
      </c>
      <c r="X587" s="92">
        <f t="shared" si="177"/>
        <v>0</v>
      </c>
      <c r="Y587" s="93" t="str">
        <f t="shared" si="176"/>
        <v>0.00%-0.00%</v>
      </c>
      <c r="Z587" s="15"/>
      <c r="AA587" s="15"/>
      <c r="AB587" s="15"/>
      <c r="AC587" s="95"/>
      <c r="AD587" s="8">
        <f t="shared" ref="AD587:AD650" si="185">ROUND(N587*AC587,0)</f>
        <v>0</v>
      </c>
      <c r="AE587" s="17">
        <f t="shared" ref="AE587:AE650" si="186">V587+AD587</f>
        <v>8628</v>
      </c>
      <c r="AF587" s="18">
        <f t="shared" ref="AF587:AF650" si="187">AE587-N587</f>
        <v>0</v>
      </c>
      <c r="AG587" s="97">
        <f t="shared" ref="AG587:AG650" si="188">AE587/N587-1</f>
        <v>0</v>
      </c>
      <c r="AH587" s="20">
        <v>14</v>
      </c>
      <c r="AI587" s="20">
        <v>850</v>
      </c>
      <c r="AJ587" s="20"/>
      <c r="AK587" s="20">
        <v>688</v>
      </c>
      <c r="AL587" s="20">
        <f t="shared" ref="AL587:AL650" si="189">AE587*AH587+AI587*12+AK587+IF(AB587="",AJ587,IF(AB587="D",5000,IF(AB587="C",1000,0)))*12</f>
        <v>131680</v>
      </c>
      <c r="AM587" s="7">
        <v>5</v>
      </c>
      <c r="AN587" s="20"/>
      <c r="AO587" s="21"/>
      <c r="AP587" s="21"/>
      <c r="AQ587" s="5" t="s">
        <v>1413</v>
      </c>
      <c r="AR587" s="5" t="s">
        <v>164</v>
      </c>
      <c r="AS587" s="5" t="s">
        <v>218</v>
      </c>
      <c r="AT587" s="20"/>
      <c r="AU587" s="21"/>
      <c r="AV587" s="21"/>
      <c r="AW587" s="144" t="str">
        <f t="shared" si="172"/>
        <v>OK</v>
      </c>
      <c r="AX587" s="21" t="s">
        <v>3135</v>
      </c>
      <c r="AY587" s="21">
        <v>0</v>
      </c>
      <c r="AZ587" s="21"/>
      <c r="BA587" s="21"/>
    </row>
    <row r="588" spans="1:53" ht="20" customHeight="1">
      <c r="A588" s="86" t="s">
        <v>318</v>
      </c>
      <c r="B588" s="372" t="s">
        <v>2918</v>
      </c>
      <c r="C588" s="5" t="s">
        <v>51</v>
      </c>
      <c r="D588" s="5" t="s">
        <v>52</v>
      </c>
      <c r="E588" s="5" t="s">
        <v>1414</v>
      </c>
      <c r="F588" s="5" t="s">
        <v>1415</v>
      </c>
      <c r="G588" s="5" t="s">
        <v>220</v>
      </c>
      <c r="H588" s="6">
        <v>43240</v>
      </c>
      <c r="I588" s="5" t="s">
        <v>111</v>
      </c>
      <c r="J588" s="5" t="s">
        <v>1427</v>
      </c>
      <c r="K588" s="5" t="s">
        <v>56</v>
      </c>
      <c r="L588" s="7">
        <v>2</v>
      </c>
      <c r="M588" s="7">
        <v>3</v>
      </c>
      <c r="N588" s="8">
        <v>18400</v>
      </c>
      <c r="O588" s="88">
        <v>2.5000000000000001E-2</v>
      </c>
      <c r="P588" s="10">
        <f t="shared" si="179"/>
        <v>460</v>
      </c>
      <c r="Q588" s="88">
        <v>0</v>
      </c>
      <c r="R588" s="10">
        <f t="shared" si="180"/>
        <v>0</v>
      </c>
      <c r="S588" s="88">
        <f t="shared" si="181"/>
        <v>2.5000000000000001E-2</v>
      </c>
      <c r="T588" s="10">
        <f t="shared" si="182"/>
        <v>460</v>
      </c>
      <c r="U588" s="10">
        <f t="shared" si="183"/>
        <v>18860</v>
      </c>
      <c r="V588" s="11">
        <v>18950</v>
      </c>
      <c r="W588" s="12">
        <f t="shared" si="184"/>
        <v>550</v>
      </c>
      <c r="X588" s="92">
        <f t="shared" si="177"/>
        <v>2.9899999999999999E-2</v>
      </c>
      <c r="Y588" s="93" t="str">
        <f t="shared" si="176"/>
        <v>2.00%-3.00%</v>
      </c>
      <c r="Z588" s="15"/>
      <c r="AA588" s="15"/>
      <c r="AB588" s="15"/>
      <c r="AC588" s="95"/>
      <c r="AD588" s="8">
        <f t="shared" si="185"/>
        <v>0</v>
      </c>
      <c r="AE588" s="17">
        <f t="shared" si="186"/>
        <v>18950</v>
      </c>
      <c r="AF588" s="18">
        <f t="shared" si="187"/>
        <v>550</v>
      </c>
      <c r="AG588" s="97">
        <f t="shared" si="188"/>
        <v>2.9891304347826164E-2</v>
      </c>
      <c r="AH588" s="20">
        <v>14</v>
      </c>
      <c r="AI588" s="20">
        <v>5990</v>
      </c>
      <c r="AJ588" s="20"/>
      <c r="AK588" s="20">
        <v>688</v>
      </c>
      <c r="AL588" s="20">
        <f t="shared" si="189"/>
        <v>337868</v>
      </c>
      <c r="AM588" s="7">
        <v>4</v>
      </c>
      <c r="AN588" s="20"/>
      <c r="AO588" s="21"/>
      <c r="AP588" s="21"/>
      <c r="AQ588" s="5" t="s">
        <v>1413</v>
      </c>
      <c r="AR588" s="5" t="s">
        <v>164</v>
      </c>
      <c r="AS588" s="5" t="s">
        <v>218</v>
      </c>
      <c r="AT588" s="20"/>
      <c r="AU588" s="21"/>
      <c r="AV588" s="21"/>
      <c r="AW588" s="144" t="str">
        <f t="shared" si="172"/>
        <v>OK</v>
      </c>
      <c r="AX588" s="21" t="s">
        <v>3133</v>
      </c>
      <c r="AY588" s="21" t="s">
        <v>3130</v>
      </c>
      <c r="AZ588" s="21"/>
      <c r="BA588" s="21"/>
    </row>
    <row r="589" spans="1:53" ht="20" customHeight="1">
      <c r="A589" s="105" t="s">
        <v>318</v>
      </c>
      <c r="B589" s="372" t="s">
        <v>2919</v>
      </c>
      <c r="C589" s="5" t="s">
        <v>51</v>
      </c>
      <c r="D589" s="5" t="s">
        <v>52</v>
      </c>
      <c r="E589" s="5" t="s">
        <v>1414</v>
      </c>
      <c r="F589" s="5" t="s">
        <v>1420</v>
      </c>
      <c r="G589" s="5" t="s">
        <v>1421</v>
      </c>
      <c r="H589" s="6">
        <v>38535</v>
      </c>
      <c r="I589" s="5" t="s">
        <v>111</v>
      </c>
      <c r="J589" s="5" t="s">
        <v>1428</v>
      </c>
      <c r="K589" s="5" t="s">
        <v>56</v>
      </c>
      <c r="L589" s="7">
        <v>2</v>
      </c>
      <c r="M589" s="7">
        <v>3</v>
      </c>
      <c r="N589" s="8">
        <v>25792</v>
      </c>
      <c r="O589" s="88">
        <v>0</v>
      </c>
      <c r="P589" s="10">
        <f t="shared" si="179"/>
        <v>0</v>
      </c>
      <c r="Q589" s="88">
        <v>0</v>
      </c>
      <c r="R589" s="10">
        <f t="shared" si="180"/>
        <v>0</v>
      </c>
      <c r="S589" s="88">
        <f t="shared" si="181"/>
        <v>0</v>
      </c>
      <c r="T589" s="10">
        <f t="shared" si="182"/>
        <v>0</v>
      </c>
      <c r="U589" s="10">
        <f t="shared" si="183"/>
        <v>25792</v>
      </c>
      <c r="V589" s="11">
        <v>25920</v>
      </c>
      <c r="W589" s="12">
        <f t="shared" si="184"/>
        <v>128</v>
      </c>
      <c r="X589" s="92">
        <f t="shared" si="177"/>
        <v>5.0000000000000001E-3</v>
      </c>
      <c r="Y589" s="93" t="str">
        <f t="shared" si="176"/>
        <v>0.00%-0.00%</v>
      </c>
      <c r="Z589" s="15"/>
      <c r="AA589" s="15"/>
      <c r="AB589" s="15"/>
      <c r="AC589" s="95"/>
      <c r="AD589" s="8">
        <f t="shared" si="185"/>
        <v>0</v>
      </c>
      <c r="AE589" s="17">
        <f t="shared" si="186"/>
        <v>25920</v>
      </c>
      <c r="AF589" s="18">
        <f t="shared" si="187"/>
        <v>128</v>
      </c>
      <c r="AG589" s="97">
        <f t="shared" si="188"/>
        <v>4.9627791563275903E-3</v>
      </c>
      <c r="AH589" s="20">
        <v>14</v>
      </c>
      <c r="AI589" s="20">
        <v>4250</v>
      </c>
      <c r="AJ589" s="20"/>
      <c r="AK589" s="20">
        <v>688</v>
      </c>
      <c r="AL589" s="20">
        <f t="shared" si="189"/>
        <v>414568</v>
      </c>
      <c r="AM589" s="7">
        <v>3</v>
      </c>
      <c r="AN589" s="20"/>
      <c r="AO589" s="21" t="s">
        <v>1429</v>
      </c>
      <c r="AP589" s="21"/>
      <c r="AQ589" s="5" t="s">
        <v>1413</v>
      </c>
      <c r="AR589" s="5" t="s">
        <v>164</v>
      </c>
      <c r="AS589" s="5" t="s">
        <v>218</v>
      </c>
      <c r="AT589" s="20"/>
      <c r="AU589" s="21"/>
      <c r="AV589" s="21"/>
      <c r="AW589" s="144" t="str">
        <f t="shared" si="172"/>
        <v>&gt;20</v>
      </c>
      <c r="AX589" s="21" t="s">
        <v>3129</v>
      </c>
      <c r="AY589" s="21" t="s">
        <v>3134</v>
      </c>
      <c r="AZ589" s="21"/>
      <c r="BA589" s="21"/>
    </row>
    <row r="590" spans="1:53" ht="20" customHeight="1">
      <c r="A590" s="86" t="s">
        <v>318</v>
      </c>
      <c r="B590" s="372" t="s">
        <v>2920</v>
      </c>
      <c r="C590" s="5" t="s">
        <v>51</v>
      </c>
      <c r="D590" s="5" t="s">
        <v>52</v>
      </c>
      <c r="E590" s="5" t="s">
        <v>1414</v>
      </c>
      <c r="F590" s="5" t="s">
        <v>1430</v>
      </c>
      <c r="G590" s="5" t="s">
        <v>1412</v>
      </c>
      <c r="H590" s="6">
        <v>39539</v>
      </c>
      <c r="I590" s="5" t="s">
        <v>111</v>
      </c>
      <c r="J590" s="5" t="s">
        <v>1431</v>
      </c>
      <c r="K590" s="5" t="s">
        <v>56</v>
      </c>
      <c r="L590" s="7">
        <v>2</v>
      </c>
      <c r="M590" s="7">
        <v>3</v>
      </c>
      <c r="N590" s="8">
        <v>25563</v>
      </c>
      <c r="O590" s="88">
        <v>2.5000000000000001E-2</v>
      </c>
      <c r="P590" s="10">
        <f t="shared" si="179"/>
        <v>639</v>
      </c>
      <c r="Q590" s="88">
        <v>0</v>
      </c>
      <c r="R590" s="10">
        <f t="shared" si="180"/>
        <v>0</v>
      </c>
      <c r="S590" s="88">
        <f t="shared" si="181"/>
        <v>2.4997066072057272E-2</v>
      </c>
      <c r="T590" s="10">
        <f t="shared" si="182"/>
        <v>639</v>
      </c>
      <c r="U590" s="10">
        <f t="shared" si="183"/>
        <v>26202</v>
      </c>
      <c r="V590" s="11">
        <v>26200</v>
      </c>
      <c r="W590" s="12">
        <f t="shared" si="184"/>
        <v>637</v>
      </c>
      <c r="X590" s="92">
        <f t="shared" si="177"/>
        <v>2.4899999999999999E-2</v>
      </c>
      <c r="Y590" s="93" t="str">
        <f t="shared" si="176"/>
        <v>2.00%-3.00%</v>
      </c>
      <c r="Z590" s="15"/>
      <c r="AA590" s="15"/>
      <c r="AB590" s="15"/>
      <c r="AC590" s="95"/>
      <c r="AD590" s="8">
        <f t="shared" si="185"/>
        <v>0</v>
      </c>
      <c r="AE590" s="17">
        <f t="shared" si="186"/>
        <v>26200</v>
      </c>
      <c r="AF590" s="18">
        <f t="shared" si="187"/>
        <v>637</v>
      </c>
      <c r="AG590" s="97">
        <f t="shared" si="188"/>
        <v>2.491882799358458E-2</v>
      </c>
      <c r="AH590" s="20">
        <v>14</v>
      </c>
      <c r="AI590" s="20">
        <v>450</v>
      </c>
      <c r="AJ590" s="20"/>
      <c r="AK590" s="20">
        <v>688</v>
      </c>
      <c r="AL590" s="20">
        <f t="shared" si="189"/>
        <v>372888</v>
      </c>
      <c r="AM590" s="7">
        <v>4</v>
      </c>
      <c r="AN590" s="20"/>
      <c r="AO590" s="21"/>
      <c r="AP590" s="21"/>
      <c r="AQ590" s="5" t="s">
        <v>217</v>
      </c>
      <c r="AR590" s="5" t="s">
        <v>164</v>
      </c>
      <c r="AS590" s="5" t="s">
        <v>218</v>
      </c>
      <c r="AT590" s="20"/>
      <c r="AU590" s="21"/>
      <c r="AV590" s="21"/>
      <c r="AW590" s="144" t="str">
        <f t="shared" si="172"/>
        <v>OK</v>
      </c>
      <c r="AX590" s="21" t="s">
        <v>3129</v>
      </c>
      <c r="AY590" s="21" t="s">
        <v>3130</v>
      </c>
      <c r="AZ590" s="21"/>
      <c r="BA590" s="21"/>
    </row>
    <row r="591" spans="1:53" ht="20" customHeight="1">
      <c r="A591" s="86" t="s">
        <v>318</v>
      </c>
      <c r="B591" s="372" t="s">
        <v>2921</v>
      </c>
      <c r="C591" s="5" t="s">
        <v>51</v>
      </c>
      <c r="D591" s="5" t="s">
        <v>52</v>
      </c>
      <c r="E591" s="5" t="s">
        <v>1414</v>
      </c>
      <c r="F591" s="5" t="s">
        <v>1433</v>
      </c>
      <c r="G591" s="5" t="s">
        <v>1412</v>
      </c>
      <c r="H591" s="6">
        <v>41570</v>
      </c>
      <c r="I591" s="5" t="s">
        <v>82</v>
      </c>
      <c r="J591" s="5" t="s">
        <v>82</v>
      </c>
      <c r="K591" s="5" t="s">
        <v>84</v>
      </c>
      <c r="L591" s="7">
        <v>2</v>
      </c>
      <c r="M591" s="7">
        <v>3</v>
      </c>
      <c r="N591" s="8">
        <v>11480</v>
      </c>
      <c r="O591" s="88">
        <v>0</v>
      </c>
      <c r="P591" s="10">
        <f t="shared" si="179"/>
        <v>0</v>
      </c>
      <c r="Q591" s="88">
        <v>0</v>
      </c>
      <c r="R591" s="10">
        <f t="shared" si="180"/>
        <v>0</v>
      </c>
      <c r="S591" s="88">
        <f t="shared" si="181"/>
        <v>0</v>
      </c>
      <c r="T591" s="10">
        <f t="shared" si="182"/>
        <v>0</v>
      </c>
      <c r="U591" s="10">
        <f t="shared" si="183"/>
        <v>11480</v>
      </c>
      <c r="V591" s="11">
        <f t="shared" si="178"/>
        <v>11480</v>
      </c>
      <c r="W591" s="12">
        <f t="shared" si="184"/>
        <v>0</v>
      </c>
      <c r="X591" s="92">
        <f t="shared" si="177"/>
        <v>0</v>
      </c>
      <c r="Y591" s="93" t="str">
        <f t="shared" si="176"/>
        <v>0.00%-0.00%</v>
      </c>
      <c r="Z591" s="15"/>
      <c r="AA591" s="15"/>
      <c r="AB591" s="15"/>
      <c r="AC591" s="95"/>
      <c r="AD591" s="8">
        <f t="shared" si="185"/>
        <v>0</v>
      </c>
      <c r="AE591" s="17">
        <f t="shared" si="186"/>
        <v>11480</v>
      </c>
      <c r="AF591" s="18">
        <f t="shared" si="187"/>
        <v>0</v>
      </c>
      <c r="AG591" s="97">
        <f t="shared" si="188"/>
        <v>0</v>
      </c>
      <c r="AH591" s="20">
        <v>14</v>
      </c>
      <c r="AI591" s="20">
        <v>450</v>
      </c>
      <c r="AJ591" s="20"/>
      <c r="AK591" s="20">
        <v>688</v>
      </c>
      <c r="AL591" s="20">
        <f t="shared" si="189"/>
        <v>166808</v>
      </c>
      <c r="AM591" s="7">
        <v>2</v>
      </c>
      <c r="AN591" s="20"/>
      <c r="AO591" s="21"/>
      <c r="AP591" s="21"/>
      <c r="AQ591" s="5" t="s">
        <v>1434</v>
      </c>
      <c r="AR591" s="5" t="s">
        <v>164</v>
      </c>
      <c r="AS591" s="5" t="s">
        <v>218</v>
      </c>
      <c r="AT591" s="20"/>
      <c r="AU591" s="21"/>
      <c r="AV591" s="21"/>
      <c r="AW591" s="144" t="str">
        <f t="shared" si="172"/>
        <v>OK</v>
      </c>
      <c r="AX591" s="21" t="s">
        <v>3135</v>
      </c>
      <c r="AY591" s="21" t="s">
        <v>3134</v>
      </c>
      <c r="AZ591" s="21"/>
      <c r="BA591" s="21"/>
    </row>
    <row r="592" spans="1:53" ht="20" customHeight="1">
      <c r="A592" s="105" t="s">
        <v>318</v>
      </c>
      <c r="B592" s="372" t="s">
        <v>2922</v>
      </c>
      <c r="C592" s="5" t="s">
        <v>51</v>
      </c>
      <c r="D592" s="5" t="s">
        <v>52</v>
      </c>
      <c r="E592" s="5" t="s">
        <v>1414</v>
      </c>
      <c r="F592" s="5" t="s">
        <v>1433</v>
      </c>
      <c r="G592" s="5" t="s">
        <v>1412</v>
      </c>
      <c r="H592" s="6">
        <v>42064</v>
      </c>
      <c r="I592" s="5" t="s">
        <v>82</v>
      </c>
      <c r="J592" s="5" t="s">
        <v>82</v>
      </c>
      <c r="K592" s="5" t="s">
        <v>84</v>
      </c>
      <c r="L592" s="7">
        <v>2</v>
      </c>
      <c r="M592" s="7">
        <v>3</v>
      </c>
      <c r="N592" s="8">
        <v>11536</v>
      </c>
      <c r="O592" s="88">
        <v>0</v>
      </c>
      <c r="P592" s="10">
        <f t="shared" si="179"/>
        <v>0</v>
      </c>
      <c r="Q592" s="88">
        <v>0</v>
      </c>
      <c r="R592" s="10">
        <f t="shared" si="180"/>
        <v>0</v>
      </c>
      <c r="S592" s="88">
        <f t="shared" si="181"/>
        <v>0</v>
      </c>
      <c r="T592" s="10">
        <f t="shared" si="182"/>
        <v>0</v>
      </c>
      <c r="U592" s="10">
        <f t="shared" si="183"/>
        <v>11536</v>
      </c>
      <c r="V592" s="11">
        <f t="shared" si="178"/>
        <v>11536</v>
      </c>
      <c r="W592" s="12">
        <f t="shared" si="184"/>
        <v>0</v>
      </c>
      <c r="X592" s="92">
        <f t="shared" si="177"/>
        <v>0</v>
      </c>
      <c r="Y592" s="93" t="str">
        <f t="shared" si="176"/>
        <v>0.00%-0.00%</v>
      </c>
      <c r="Z592" s="15"/>
      <c r="AA592" s="15"/>
      <c r="AB592" s="15"/>
      <c r="AC592" s="95"/>
      <c r="AD592" s="8">
        <f t="shared" si="185"/>
        <v>0</v>
      </c>
      <c r="AE592" s="17">
        <f t="shared" si="186"/>
        <v>11536</v>
      </c>
      <c r="AF592" s="18">
        <f t="shared" si="187"/>
        <v>0</v>
      </c>
      <c r="AG592" s="97">
        <f t="shared" si="188"/>
        <v>0</v>
      </c>
      <c r="AH592" s="20">
        <v>14</v>
      </c>
      <c r="AI592" s="20">
        <v>450</v>
      </c>
      <c r="AJ592" s="20"/>
      <c r="AK592" s="20">
        <v>688</v>
      </c>
      <c r="AL592" s="20">
        <f t="shared" si="189"/>
        <v>167592</v>
      </c>
      <c r="AM592" s="7">
        <v>3</v>
      </c>
      <c r="AN592" s="20"/>
      <c r="AO592" s="21"/>
      <c r="AP592" s="21"/>
      <c r="AQ592" s="5" t="s">
        <v>1434</v>
      </c>
      <c r="AR592" s="5" t="s">
        <v>164</v>
      </c>
      <c r="AS592" s="5" t="s">
        <v>218</v>
      </c>
      <c r="AT592" s="20"/>
      <c r="AU592" s="21"/>
      <c r="AV592" s="21"/>
      <c r="AW592" s="144" t="str">
        <f t="shared" si="172"/>
        <v>OK</v>
      </c>
      <c r="AX592" s="21" t="s">
        <v>3135</v>
      </c>
      <c r="AY592" s="21" t="s">
        <v>3134</v>
      </c>
      <c r="AZ592" s="21"/>
      <c r="BA592" s="21"/>
    </row>
    <row r="593" spans="1:53" ht="20" customHeight="1">
      <c r="A593" s="86" t="s">
        <v>318</v>
      </c>
      <c r="B593" s="372" t="s">
        <v>2923</v>
      </c>
      <c r="C593" s="5" t="s">
        <v>51</v>
      </c>
      <c r="D593" s="5" t="s">
        <v>52</v>
      </c>
      <c r="E593" s="5" t="s">
        <v>1414</v>
      </c>
      <c r="F593" s="5" t="s">
        <v>1433</v>
      </c>
      <c r="G593" s="5" t="s">
        <v>1412</v>
      </c>
      <c r="H593" s="6">
        <v>41122</v>
      </c>
      <c r="I593" s="5" t="s">
        <v>111</v>
      </c>
      <c r="J593" s="5" t="s">
        <v>1435</v>
      </c>
      <c r="K593" s="5" t="s">
        <v>56</v>
      </c>
      <c r="L593" s="7">
        <v>2</v>
      </c>
      <c r="M593" s="7">
        <v>3</v>
      </c>
      <c r="N593" s="8">
        <v>31350</v>
      </c>
      <c r="O593" s="88">
        <v>0</v>
      </c>
      <c r="P593" s="10">
        <f t="shared" si="179"/>
        <v>0</v>
      </c>
      <c r="Q593" s="88">
        <v>0</v>
      </c>
      <c r="R593" s="10">
        <f t="shared" si="180"/>
        <v>0</v>
      </c>
      <c r="S593" s="88">
        <f t="shared" si="181"/>
        <v>0</v>
      </c>
      <c r="T593" s="10">
        <f t="shared" si="182"/>
        <v>0</v>
      </c>
      <c r="U593" s="10">
        <f t="shared" si="183"/>
        <v>31350</v>
      </c>
      <c r="V593" s="11">
        <v>31478</v>
      </c>
      <c r="W593" s="12">
        <f t="shared" si="184"/>
        <v>128</v>
      </c>
      <c r="X593" s="92">
        <f t="shared" si="177"/>
        <v>4.1000000000000003E-3</v>
      </c>
      <c r="Y593" s="93" t="str">
        <f t="shared" si="176"/>
        <v>0.00%-0.00%</v>
      </c>
      <c r="Z593" s="15"/>
      <c r="AA593" s="15"/>
      <c r="AB593" s="15"/>
      <c r="AC593" s="95"/>
      <c r="AD593" s="8">
        <f t="shared" si="185"/>
        <v>0</v>
      </c>
      <c r="AE593" s="17">
        <f t="shared" si="186"/>
        <v>31478</v>
      </c>
      <c r="AF593" s="18">
        <f t="shared" si="187"/>
        <v>128</v>
      </c>
      <c r="AG593" s="97">
        <f t="shared" si="188"/>
        <v>4.0829346092503549E-3</v>
      </c>
      <c r="AH593" s="20">
        <v>14</v>
      </c>
      <c r="AI593" s="20">
        <v>450</v>
      </c>
      <c r="AJ593" s="20"/>
      <c r="AK593" s="20">
        <v>688</v>
      </c>
      <c r="AL593" s="20">
        <f t="shared" si="189"/>
        <v>446780</v>
      </c>
      <c r="AM593" s="7">
        <v>3</v>
      </c>
      <c r="AN593" s="20"/>
      <c r="AO593" s="21" t="s">
        <v>1429</v>
      </c>
      <c r="AP593" s="21"/>
      <c r="AQ593" s="5" t="s">
        <v>217</v>
      </c>
      <c r="AR593" s="5" t="s">
        <v>164</v>
      </c>
      <c r="AS593" s="5" t="s">
        <v>218</v>
      </c>
      <c r="AT593" s="20"/>
      <c r="AU593" s="21"/>
      <c r="AV593" s="21"/>
      <c r="AW593" s="144" t="str">
        <f t="shared" ref="AW593:AW656" si="190">_xlfn.LET(_xlpm.actual,X593,_xlpm.low,VALUE(_xlfn.TEXTBEFORE(Y593,"-")),_xlpm.high,VALUE(_xlfn.TEXTAFTER(Y593,"-")),IF(AND(_xlpm.actual=0,OR(_xlpm.low&lt;&gt;0,_xlpm.high&lt;&gt;0)),"0 increase",IF(_xlpm.actual&gt;_xlpm.high*1.2,"&gt;20",IF(_xlpm.actual&lt;_xlpm.low*0.8,"&lt;20","OK"))))</f>
        <v>&gt;20</v>
      </c>
      <c r="AX593" s="21" t="s">
        <v>3135</v>
      </c>
      <c r="AY593" s="21" t="s">
        <v>3134</v>
      </c>
      <c r="AZ593" s="21"/>
      <c r="BA593" s="21"/>
    </row>
    <row r="594" spans="1:53" ht="20" customHeight="1">
      <c r="A594" s="86" t="s">
        <v>318</v>
      </c>
      <c r="B594" s="372" t="s">
        <v>2924</v>
      </c>
      <c r="C594" s="5" t="s">
        <v>51</v>
      </c>
      <c r="D594" s="5" t="s">
        <v>52</v>
      </c>
      <c r="E594" s="5" t="s">
        <v>1414</v>
      </c>
      <c r="F594" s="5" t="s">
        <v>1433</v>
      </c>
      <c r="G594" s="5" t="s">
        <v>1412</v>
      </c>
      <c r="H594" s="6">
        <v>44480</v>
      </c>
      <c r="I594" s="5" t="s">
        <v>73</v>
      </c>
      <c r="J594" s="5" t="s">
        <v>73</v>
      </c>
      <c r="K594" s="5" t="s">
        <v>61</v>
      </c>
      <c r="L594" s="7">
        <v>2</v>
      </c>
      <c r="M594" s="7">
        <v>3</v>
      </c>
      <c r="N594" s="8">
        <v>22000</v>
      </c>
      <c r="O594" s="88">
        <v>0</v>
      </c>
      <c r="P594" s="10">
        <f t="shared" si="179"/>
        <v>0</v>
      </c>
      <c r="Q594" s="88">
        <v>0</v>
      </c>
      <c r="R594" s="10">
        <f t="shared" si="180"/>
        <v>0</v>
      </c>
      <c r="S594" s="88">
        <f t="shared" si="181"/>
        <v>0</v>
      </c>
      <c r="T594" s="10">
        <f t="shared" si="182"/>
        <v>0</v>
      </c>
      <c r="U594" s="10">
        <f t="shared" si="183"/>
        <v>22000</v>
      </c>
      <c r="V594" s="11">
        <f t="shared" si="178"/>
        <v>22000</v>
      </c>
      <c r="W594" s="12">
        <f t="shared" si="184"/>
        <v>0</v>
      </c>
      <c r="X594" s="92">
        <f t="shared" si="177"/>
        <v>0</v>
      </c>
      <c r="Y594" s="93" t="str">
        <f t="shared" si="176"/>
        <v>0.00%-0.00%</v>
      </c>
      <c r="Z594" s="15"/>
      <c r="AA594" s="15"/>
      <c r="AB594" s="15"/>
      <c r="AC594" s="95"/>
      <c r="AD594" s="8">
        <f t="shared" si="185"/>
        <v>0</v>
      </c>
      <c r="AE594" s="17">
        <f t="shared" si="186"/>
        <v>22000</v>
      </c>
      <c r="AF594" s="18">
        <f t="shared" si="187"/>
        <v>0</v>
      </c>
      <c r="AG594" s="97">
        <f t="shared" si="188"/>
        <v>0</v>
      </c>
      <c r="AH594" s="20">
        <v>14</v>
      </c>
      <c r="AI594" s="20">
        <v>450</v>
      </c>
      <c r="AJ594" s="20"/>
      <c r="AK594" s="20">
        <v>688</v>
      </c>
      <c r="AL594" s="20">
        <f t="shared" si="189"/>
        <v>314088</v>
      </c>
      <c r="AM594" s="7">
        <v>3</v>
      </c>
      <c r="AN594" s="20"/>
      <c r="AO594" s="21"/>
      <c r="AP594" s="21"/>
      <c r="AQ594" s="5" t="s">
        <v>1434</v>
      </c>
      <c r="AR594" s="5" t="s">
        <v>164</v>
      </c>
      <c r="AS594" s="5" t="s">
        <v>218</v>
      </c>
      <c r="AT594" s="20"/>
      <c r="AU594" s="21"/>
      <c r="AV594" s="21"/>
      <c r="AW594" s="144" t="str">
        <f t="shared" si="190"/>
        <v>OK</v>
      </c>
      <c r="AX594" s="21" t="s">
        <v>3131</v>
      </c>
      <c r="AY594" s="21" t="s">
        <v>3134</v>
      </c>
      <c r="AZ594" s="21"/>
      <c r="BA594" s="21"/>
    </row>
    <row r="595" spans="1:53" ht="20" customHeight="1">
      <c r="A595" s="105" t="s">
        <v>318</v>
      </c>
      <c r="B595" s="372" t="s">
        <v>2925</v>
      </c>
      <c r="C595" s="5" t="s">
        <v>51</v>
      </c>
      <c r="D595" s="5" t="s">
        <v>52</v>
      </c>
      <c r="E595" s="5" t="s">
        <v>1414</v>
      </c>
      <c r="F595" s="5" t="s">
        <v>1404</v>
      </c>
      <c r="G595" s="5" t="s">
        <v>1405</v>
      </c>
      <c r="H595" s="6">
        <v>41456</v>
      </c>
      <c r="I595" s="5" t="s">
        <v>111</v>
      </c>
      <c r="J595" s="5" t="s">
        <v>1436</v>
      </c>
      <c r="K595" s="5" t="s">
        <v>56</v>
      </c>
      <c r="L595" s="7">
        <v>2</v>
      </c>
      <c r="M595" s="7">
        <v>5</v>
      </c>
      <c r="N595" s="8">
        <v>23237</v>
      </c>
      <c r="O595" s="88">
        <v>0.05</v>
      </c>
      <c r="P595" s="10">
        <f t="shared" si="179"/>
        <v>1162</v>
      </c>
      <c r="Q595" s="88">
        <v>2.7E-2</v>
      </c>
      <c r="R595" s="10">
        <f t="shared" si="180"/>
        <v>627</v>
      </c>
      <c r="S595" s="88">
        <f t="shared" si="181"/>
        <v>7.6989284331023797E-2</v>
      </c>
      <c r="T595" s="10">
        <f t="shared" si="182"/>
        <v>1789</v>
      </c>
      <c r="U595" s="10">
        <f t="shared" si="183"/>
        <v>25026</v>
      </c>
      <c r="V595" s="11">
        <v>25000</v>
      </c>
      <c r="W595" s="12">
        <f t="shared" si="184"/>
        <v>1763</v>
      </c>
      <c r="X595" s="92">
        <f t="shared" si="177"/>
        <v>7.5899999999999995E-2</v>
      </c>
      <c r="Y595" s="93" t="str">
        <f t="shared" si="176"/>
        <v>6.16%-9.24%</v>
      </c>
      <c r="Z595" s="15"/>
      <c r="AA595" s="15"/>
      <c r="AB595" s="15"/>
      <c r="AC595" s="95"/>
      <c r="AD595" s="8">
        <f t="shared" si="185"/>
        <v>0</v>
      </c>
      <c r="AE595" s="17">
        <f t="shared" si="186"/>
        <v>25000</v>
      </c>
      <c r="AF595" s="18">
        <f t="shared" si="187"/>
        <v>1763</v>
      </c>
      <c r="AG595" s="97">
        <f t="shared" si="188"/>
        <v>7.5870379136721677E-2</v>
      </c>
      <c r="AH595" s="20">
        <v>14</v>
      </c>
      <c r="AI595" s="20">
        <v>3012</v>
      </c>
      <c r="AJ595" s="20"/>
      <c r="AK595" s="20">
        <v>688</v>
      </c>
      <c r="AL595" s="20">
        <f t="shared" si="189"/>
        <v>386832</v>
      </c>
      <c r="AM595" s="7">
        <v>5</v>
      </c>
      <c r="AN595" s="20"/>
      <c r="AO595" s="21"/>
      <c r="AP595" s="21"/>
      <c r="AQ595" s="5" t="s">
        <v>217</v>
      </c>
      <c r="AR595" s="5" t="s">
        <v>164</v>
      </c>
      <c r="AS595" s="5" t="s">
        <v>218</v>
      </c>
      <c r="AT595" s="20"/>
      <c r="AU595" s="21"/>
      <c r="AV595" s="21"/>
      <c r="AW595" s="144" t="str">
        <f t="shared" si="190"/>
        <v>OK</v>
      </c>
      <c r="AX595" s="21" t="s">
        <v>3135</v>
      </c>
      <c r="AY595" s="21" t="s">
        <v>3130</v>
      </c>
      <c r="AZ595" s="21"/>
      <c r="BA595" s="21"/>
    </row>
    <row r="596" spans="1:53" ht="20" customHeight="1">
      <c r="A596" s="86" t="s">
        <v>318</v>
      </c>
      <c r="B596" s="372" t="s">
        <v>2926</v>
      </c>
      <c r="C596" s="5" t="s">
        <v>51</v>
      </c>
      <c r="D596" s="5" t="s">
        <v>52</v>
      </c>
      <c r="E596" s="5" t="s">
        <v>1414</v>
      </c>
      <c r="F596" s="5" t="s">
        <v>1433</v>
      </c>
      <c r="G596" s="5" t="s">
        <v>1412</v>
      </c>
      <c r="H596" s="6">
        <v>41579</v>
      </c>
      <c r="I596" s="5" t="s">
        <v>60</v>
      </c>
      <c r="J596" s="5" t="s">
        <v>60</v>
      </c>
      <c r="K596" s="5" t="s">
        <v>61</v>
      </c>
      <c r="L596" s="7">
        <v>2</v>
      </c>
      <c r="M596" s="7">
        <v>2</v>
      </c>
      <c r="N596" s="8">
        <v>24700</v>
      </c>
      <c r="O596" s="88">
        <v>0</v>
      </c>
      <c r="P596" s="10">
        <f t="shared" si="179"/>
        <v>0</v>
      </c>
      <c r="Q596" s="88">
        <v>0</v>
      </c>
      <c r="R596" s="10">
        <f t="shared" si="180"/>
        <v>0</v>
      </c>
      <c r="S596" s="88">
        <f t="shared" si="181"/>
        <v>0</v>
      </c>
      <c r="T596" s="10">
        <f t="shared" si="182"/>
        <v>0</v>
      </c>
      <c r="U596" s="10">
        <f t="shared" si="183"/>
        <v>24700</v>
      </c>
      <c r="V596" s="11">
        <f t="shared" si="178"/>
        <v>24700</v>
      </c>
      <c r="W596" s="12">
        <f t="shared" si="184"/>
        <v>0</v>
      </c>
      <c r="X596" s="92">
        <f t="shared" si="177"/>
        <v>0</v>
      </c>
      <c r="Y596" s="93" t="str">
        <f t="shared" si="176"/>
        <v>0.00%-0.00%</v>
      </c>
      <c r="Z596" s="15"/>
      <c r="AA596" s="15"/>
      <c r="AB596" s="15"/>
      <c r="AC596" s="95"/>
      <c r="AD596" s="8">
        <f t="shared" si="185"/>
        <v>0</v>
      </c>
      <c r="AE596" s="17">
        <f t="shared" si="186"/>
        <v>24700</v>
      </c>
      <c r="AF596" s="18">
        <f t="shared" si="187"/>
        <v>0</v>
      </c>
      <c r="AG596" s="97">
        <f t="shared" si="188"/>
        <v>0</v>
      </c>
      <c r="AH596" s="20">
        <v>14</v>
      </c>
      <c r="AI596" s="20">
        <v>450</v>
      </c>
      <c r="AJ596" s="20"/>
      <c r="AK596" s="20">
        <v>688</v>
      </c>
      <c r="AL596" s="20">
        <f t="shared" si="189"/>
        <v>351888</v>
      </c>
      <c r="AM596" s="7">
        <v>3</v>
      </c>
      <c r="AN596" s="20"/>
      <c r="AO596" s="21"/>
      <c r="AP596" s="21"/>
      <c r="AQ596" s="5" t="s">
        <v>1434</v>
      </c>
      <c r="AR596" s="5" t="s">
        <v>164</v>
      </c>
      <c r="AS596" s="5" t="s">
        <v>218</v>
      </c>
      <c r="AT596" s="20"/>
      <c r="AU596" s="21"/>
      <c r="AV596" s="21"/>
      <c r="AW596" s="144" t="str">
        <f t="shared" si="190"/>
        <v>OK</v>
      </c>
      <c r="AX596" s="21" t="s">
        <v>3135</v>
      </c>
      <c r="AY596" s="21">
        <v>0</v>
      </c>
      <c r="AZ596" s="21"/>
      <c r="BA596" s="21"/>
    </row>
    <row r="597" spans="1:53" ht="20" customHeight="1">
      <c r="A597" s="86" t="s">
        <v>318</v>
      </c>
      <c r="B597" s="372" t="s">
        <v>2927</v>
      </c>
      <c r="C597" s="5" t="s">
        <v>51</v>
      </c>
      <c r="D597" s="5" t="s">
        <v>52</v>
      </c>
      <c r="E597" s="5" t="s">
        <v>1414</v>
      </c>
      <c r="F597" s="5" t="s">
        <v>214</v>
      </c>
      <c r="G597" s="5" t="s">
        <v>215</v>
      </c>
      <c r="H597" s="6">
        <v>42081</v>
      </c>
      <c r="I597" s="5" t="s">
        <v>111</v>
      </c>
      <c r="J597" s="5" t="s">
        <v>111</v>
      </c>
      <c r="K597" s="5" t="s">
        <v>56</v>
      </c>
      <c r="L597" s="7">
        <v>2</v>
      </c>
      <c r="M597" s="7">
        <v>5</v>
      </c>
      <c r="N597" s="8">
        <v>22000</v>
      </c>
      <c r="O597" s="88">
        <v>0.06</v>
      </c>
      <c r="P597" s="10">
        <f t="shared" si="179"/>
        <v>1320</v>
      </c>
      <c r="Q597" s="88">
        <v>2.7E-2</v>
      </c>
      <c r="R597" s="10">
        <f t="shared" si="180"/>
        <v>594</v>
      </c>
      <c r="S597" s="88">
        <f t="shared" si="181"/>
        <v>8.6999999999999994E-2</v>
      </c>
      <c r="T597" s="10">
        <f t="shared" si="182"/>
        <v>1914</v>
      </c>
      <c r="U597" s="10">
        <f t="shared" si="183"/>
        <v>23914</v>
      </c>
      <c r="V597" s="11">
        <v>23540</v>
      </c>
      <c r="W597" s="12">
        <f t="shared" si="184"/>
        <v>1540</v>
      </c>
      <c r="X597" s="92">
        <f t="shared" si="177"/>
        <v>7.0000000000000007E-2</v>
      </c>
      <c r="Y597" s="93" t="str">
        <f t="shared" si="176"/>
        <v>6.96%-10.44%</v>
      </c>
      <c r="Z597" s="15"/>
      <c r="AA597" s="15"/>
      <c r="AB597" s="15"/>
      <c r="AC597" s="95"/>
      <c r="AD597" s="8">
        <f t="shared" si="185"/>
        <v>0</v>
      </c>
      <c r="AE597" s="17">
        <f t="shared" si="186"/>
        <v>23540</v>
      </c>
      <c r="AF597" s="18">
        <f t="shared" si="187"/>
        <v>1540</v>
      </c>
      <c r="AG597" s="97">
        <f t="shared" si="188"/>
        <v>7.0000000000000062E-2</v>
      </c>
      <c r="AH597" s="20">
        <v>14</v>
      </c>
      <c r="AI597" s="20">
        <v>450</v>
      </c>
      <c r="AJ597" s="20"/>
      <c r="AK597" s="20">
        <v>688</v>
      </c>
      <c r="AL597" s="20">
        <f t="shared" si="189"/>
        <v>335648</v>
      </c>
      <c r="AM597" s="7">
        <v>4</v>
      </c>
      <c r="AN597" s="20"/>
      <c r="AO597" s="21"/>
      <c r="AP597" s="21"/>
      <c r="AQ597" s="5" t="s">
        <v>217</v>
      </c>
      <c r="AR597" s="5" t="s">
        <v>164</v>
      </c>
      <c r="AS597" s="5" t="s">
        <v>218</v>
      </c>
      <c r="AT597" s="20"/>
      <c r="AU597" s="21"/>
      <c r="AV597" s="21"/>
      <c r="AW597" s="144" t="str">
        <f t="shared" si="190"/>
        <v>OK</v>
      </c>
      <c r="AX597" s="21" t="s">
        <v>3135</v>
      </c>
      <c r="AY597" s="21">
        <v>0</v>
      </c>
      <c r="AZ597" s="21"/>
      <c r="BA597" s="21"/>
    </row>
    <row r="598" spans="1:53" ht="20" customHeight="1">
      <c r="A598" s="105" t="s">
        <v>318</v>
      </c>
      <c r="B598" s="372" t="s">
        <v>2928</v>
      </c>
      <c r="C598" s="5" t="s">
        <v>51</v>
      </c>
      <c r="D598" s="5" t="s">
        <v>52</v>
      </c>
      <c r="E598" s="5" t="s">
        <v>1414</v>
      </c>
      <c r="F598" s="5" t="s">
        <v>1414</v>
      </c>
      <c r="G598" s="5" t="s">
        <v>1412</v>
      </c>
      <c r="H598" s="6">
        <v>42536</v>
      </c>
      <c r="I598" s="5" t="s">
        <v>111</v>
      </c>
      <c r="J598" s="5" t="s">
        <v>1437</v>
      </c>
      <c r="K598" s="5" t="s">
        <v>56</v>
      </c>
      <c r="L598" s="7">
        <v>2</v>
      </c>
      <c r="M598" s="7">
        <v>2</v>
      </c>
      <c r="N598" s="8">
        <v>35580</v>
      </c>
      <c r="O598" s="88">
        <v>0</v>
      </c>
      <c r="P598" s="10">
        <f t="shared" si="179"/>
        <v>0</v>
      </c>
      <c r="Q598" s="88">
        <v>0</v>
      </c>
      <c r="R598" s="10">
        <f t="shared" si="180"/>
        <v>0</v>
      </c>
      <c r="S598" s="88">
        <f t="shared" si="181"/>
        <v>0</v>
      </c>
      <c r="T598" s="10">
        <f t="shared" si="182"/>
        <v>0</v>
      </c>
      <c r="U598" s="10">
        <f t="shared" si="183"/>
        <v>35580</v>
      </c>
      <c r="V598" s="11">
        <f t="shared" si="178"/>
        <v>35580</v>
      </c>
      <c r="W598" s="12">
        <f t="shared" si="184"/>
        <v>0</v>
      </c>
      <c r="X598" s="92">
        <f t="shared" si="177"/>
        <v>0</v>
      </c>
      <c r="Y598" s="93" t="str">
        <f t="shared" si="176"/>
        <v>0.00%-0.00%</v>
      </c>
      <c r="Z598" s="15"/>
      <c r="AA598" s="15"/>
      <c r="AB598" s="15"/>
      <c r="AC598" s="95"/>
      <c r="AD598" s="8">
        <f t="shared" si="185"/>
        <v>0</v>
      </c>
      <c r="AE598" s="17">
        <f t="shared" si="186"/>
        <v>35580</v>
      </c>
      <c r="AF598" s="18">
        <f t="shared" si="187"/>
        <v>0</v>
      </c>
      <c r="AG598" s="97">
        <f t="shared" si="188"/>
        <v>0</v>
      </c>
      <c r="AH598" s="20">
        <v>14</v>
      </c>
      <c r="AI598" s="20">
        <v>450</v>
      </c>
      <c r="AJ598" s="20"/>
      <c r="AK598" s="20">
        <v>688</v>
      </c>
      <c r="AL598" s="20">
        <f t="shared" si="189"/>
        <v>504208</v>
      </c>
      <c r="AM598" s="7">
        <v>3</v>
      </c>
      <c r="AN598" s="20"/>
      <c r="AO598" s="21"/>
      <c r="AP598" s="21"/>
      <c r="AQ598" s="5" t="s">
        <v>217</v>
      </c>
      <c r="AR598" s="5" t="s">
        <v>164</v>
      </c>
      <c r="AS598" s="5" t="s">
        <v>218</v>
      </c>
      <c r="AT598" s="20"/>
      <c r="AU598" s="21"/>
      <c r="AV598" s="21"/>
      <c r="AW598" s="144" t="str">
        <f t="shared" si="190"/>
        <v>OK</v>
      </c>
      <c r="AX598" s="21" t="s">
        <v>3133</v>
      </c>
      <c r="AY598" s="21">
        <v>0</v>
      </c>
      <c r="AZ598" s="21"/>
      <c r="BA598" s="21"/>
    </row>
    <row r="599" spans="1:53" ht="20" customHeight="1">
      <c r="A599" s="86" t="s">
        <v>318</v>
      </c>
      <c r="B599" s="372" t="s">
        <v>2929</v>
      </c>
      <c r="C599" s="5" t="s">
        <v>51</v>
      </c>
      <c r="D599" s="5" t="s">
        <v>52</v>
      </c>
      <c r="E599" s="5" t="s">
        <v>1414</v>
      </c>
      <c r="F599" s="5" t="s">
        <v>219</v>
      </c>
      <c r="G599" s="5" t="s">
        <v>220</v>
      </c>
      <c r="H599" s="6">
        <v>44545</v>
      </c>
      <c r="I599" s="5" t="s">
        <v>74</v>
      </c>
      <c r="J599" s="5" t="s">
        <v>221</v>
      </c>
      <c r="K599" s="5" t="s">
        <v>76</v>
      </c>
      <c r="L599" s="7">
        <v>2</v>
      </c>
      <c r="M599" s="7">
        <v>4</v>
      </c>
      <c r="N599" s="8">
        <v>12700</v>
      </c>
      <c r="O599" s="88">
        <v>3.7500000000000006E-2</v>
      </c>
      <c r="P599" s="10">
        <f t="shared" si="179"/>
        <v>476</v>
      </c>
      <c r="Q599" s="88">
        <v>1.55E-2</v>
      </c>
      <c r="R599" s="10">
        <f t="shared" si="180"/>
        <v>197</v>
      </c>
      <c r="S599" s="88">
        <f t="shared" si="181"/>
        <v>5.2992125984251966E-2</v>
      </c>
      <c r="T599" s="10">
        <f t="shared" si="182"/>
        <v>673</v>
      </c>
      <c r="U599" s="10">
        <f t="shared" si="183"/>
        <v>13373</v>
      </c>
      <c r="V599" s="11">
        <v>12900</v>
      </c>
      <c r="W599" s="12">
        <f t="shared" si="184"/>
        <v>200</v>
      </c>
      <c r="X599" s="92">
        <f t="shared" si="177"/>
        <v>1.5699999999999999E-2</v>
      </c>
      <c r="Y599" s="93" t="str">
        <f t="shared" si="176"/>
        <v>4.24%-6.36%</v>
      </c>
      <c r="Z599" s="15"/>
      <c r="AA599" s="15"/>
      <c r="AB599" s="15"/>
      <c r="AC599" s="95"/>
      <c r="AD599" s="8">
        <f t="shared" si="185"/>
        <v>0</v>
      </c>
      <c r="AE599" s="17">
        <f t="shared" si="186"/>
        <v>12900</v>
      </c>
      <c r="AF599" s="18">
        <f t="shared" si="187"/>
        <v>200</v>
      </c>
      <c r="AG599" s="97">
        <f t="shared" si="188"/>
        <v>1.5748031496062964E-2</v>
      </c>
      <c r="AH599" s="20">
        <v>14</v>
      </c>
      <c r="AI599" s="20">
        <v>450</v>
      </c>
      <c r="AJ599" s="20"/>
      <c r="AK599" s="20">
        <v>688</v>
      </c>
      <c r="AL599" s="20">
        <f t="shared" si="189"/>
        <v>186688</v>
      </c>
      <c r="AM599" s="7">
        <v>3</v>
      </c>
      <c r="AN599" s="20"/>
      <c r="AO599" s="21"/>
      <c r="AP599" s="21"/>
      <c r="AQ599" s="5" t="s">
        <v>217</v>
      </c>
      <c r="AR599" s="5" t="s">
        <v>164</v>
      </c>
      <c r="AS599" s="5" t="s">
        <v>218</v>
      </c>
      <c r="AT599" s="20"/>
      <c r="AU599" s="21"/>
      <c r="AV599" s="21"/>
      <c r="AW599" s="144" t="str">
        <f t="shared" si="190"/>
        <v>&lt;20</v>
      </c>
      <c r="AX599" s="21" t="s">
        <v>3131</v>
      </c>
      <c r="AY599" s="21" t="s">
        <v>3130</v>
      </c>
      <c r="AZ599" s="21"/>
      <c r="BA599" s="21"/>
    </row>
    <row r="600" spans="1:53" ht="20" customHeight="1">
      <c r="A600" s="86" t="s">
        <v>318</v>
      </c>
      <c r="B600" s="372" t="s">
        <v>2930</v>
      </c>
      <c r="C600" s="5" t="s">
        <v>51</v>
      </c>
      <c r="D600" s="5" t="s">
        <v>52</v>
      </c>
      <c r="E600" s="5" t="s">
        <v>1414</v>
      </c>
      <c r="F600" s="5" t="s">
        <v>214</v>
      </c>
      <c r="G600" s="5" t="s">
        <v>215</v>
      </c>
      <c r="H600" s="6">
        <v>39682</v>
      </c>
      <c r="I600" s="5" t="s">
        <v>223</v>
      </c>
      <c r="J600" s="5" t="s">
        <v>224</v>
      </c>
      <c r="K600" s="5" t="s">
        <v>175</v>
      </c>
      <c r="L600" s="7">
        <v>2</v>
      </c>
      <c r="M600" s="7">
        <v>3</v>
      </c>
      <c r="N600" s="8">
        <v>9870</v>
      </c>
      <c r="O600" s="88">
        <v>0</v>
      </c>
      <c r="P600" s="10">
        <f t="shared" si="179"/>
        <v>0</v>
      </c>
      <c r="Q600" s="88">
        <v>0</v>
      </c>
      <c r="R600" s="10">
        <f t="shared" si="180"/>
        <v>0</v>
      </c>
      <c r="S600" s="88">
        <f t="shared" si="181"/>
        <v>0</v>
      </c>
      <c r="T600" s="10">
        <f t="shared" si="182"/>
        <v>0</v>
      </c>
      <c r="U600" s="10">
        <f t="shared" si="183"/>
        <v>9870</v>
      </c>
      <c r="V600" s="11">
        <f t="shared" si="178"/>
        <v>9870</v>
      </c>
      <c r="W600" s="12">
        <f t="shared" si="184"/>
        <v>0</v>
      </c>
      <c r="X600" s="92">
        <f t="shared" si="177"/>
        <v>0</v>
      </c>
      <c r="Y600" s="93" t="str">
        <f t="shared" si="176"/>
        <v>0.00%-0.00%</v>
      </c>
      <c r="Z600" s="15"/>
      <c r="AA600" s="15"/>
      <c r="AB600" s="15"/>
      <c r="AC600" s="95"/>
      <c r="AD600" s="8">
        <f t="shared" si="185"/>
        <v>0</v>
      </c>
      <c r="AE600" s="17">
        <f t="shared" si="186"/>
        <v>9870</v>
      </c>
      <c r="AF600" s="18">
        <f t="shared" si="187"/>
        <v>0</v>
      </c>
      <c r="AG600" s="97">
        <f t="shared" si="188"/>
        <v>0</v>
      </c>
      <c r="AH600" s="20">
        <v>14</v>
      </c>
      <c r="AI600" s="20">
        <v>450</v>
      </c>
      <c r="AJ600" s="20"/>
      <c r="AK600" s="20">
        <v>688</v>
      </c>
      <c r="AL600" s="20">
        <f t="shared" si="189"/>
        <v>144268</v>
      </c>
      <c r="AM600" s="7">
        <v>3</v>
      </c>
      <c r="AN600" s="20"/>
      <c r="AO600" s="21"/>
      <c r="AP600" s="21"/>
      <c r="AQ600" s="5" t="s">
        <v>217</v>
      </c>
      <c r="AR600" s="5" t="s">
        <v>164</v>
      </c>
      <c r="AS600" s="5" t="s">
        <v>218</v>
      </c>
      <c r="AT600" s="20"/>
      <c r="AU600" s="21"/>
      <c r="AV600" s="21"/>
      <c r="AW600" s="144" t="str">
        <f t="shared" si="190"/>
        <v>OK</v>
      </c>
      <c r="AX600" s="21" t="s">
        <v>3129</v>
      </c>
      <c r="AY600" s="21" t="s">
        <v>3134</v>
      </c>
      <c r="AZ600" s="21"/>
      <c r="BA600" s="21"/>
    </row>
    <row r="601" spans="1:53" ht="20" customHeight="1">
      <c r="A601" s="105" t="s">
        <v>318</v>
      </c>
      <c r="B601" s="372" t="s">
        <v>2931</v>
      </c>
      <c r="C601" s="5" t="s">
        <v>51</v>
      </c>
      <c r="D601" s="5" t="s">
        <v>52</v>
      </c>
      <c r="E601" s="5" t="s">
        <v>1414</v>
      </c>
      <c r="F601" s="5" t="s">
        <v>214</v>
      </c>
      <c r="G601" s="5" t="s">
        <v>215</v>
      </c>
      <c r="H601" s="6">
        <v>43042</v>
      </c>
      <c r="I601" s="5" t="s">
        <v>226</v>
      </c>
      <c r="J601" s="5" t="s">
        <v>226</v>
      </c>
      <c r="K601" s="5" t="s">
        <v>84</v>
      </c>
      <c r="L601" s="7">
        <v>2</v>
      </c>
      <c r="M601" s="7">
        <v>4</v>
      </c>
      <c r="N601" s="8">
        <v>6679</v>
      </c>
      <c r="O601" s="88">
        <v>3.7500000000000006E-2</v>
      </c>
      <c r="P601" s="10">
        <f t="shared" si="179"/>
        <v>250</v>
      </c>
      <c r="Q601" s="88">
        <v>0</v>
      </c>
      <c r="R601" s="10">
        <f t="shared" si="180"/>
        <v>0</v>
      </c>
      <c r="S601" s="88">
        <f t="shared" si="181"/>
        <v>3.7430753106752507E-2</v>
      </c>
      <c r="T601" s="10">
        <f t="shared" si="182"/>
        <v>250</v>
      </c>
      <c r="U601" s="10">
        <f t="shared" si="183"/>
        <v>6929</v>
      </c>
      <c r="V601" s="11">
        <v>7185</v>
      </c>
      <c r="W601" s="12">
        <f t="shared" si="184"/>
        <v>506</v>
      </c>
      <c r="X601" s="92">
        <f t="shared" si="177"/>
        <v>7.5800000000000006E-2</v>
      </c>
      <c r="Y601" s="93" t="str">
        <f t="shared" si="176"/>
        <v>2.99%-4.49%</v>
      </c>
      <c r="Z601" s="15"/>
      <c r="AA601" s="15"/>
      <c r="AB601" s="15"/>
      <c r="AC601" s="95"/>
      <c r="AD601" s="8">
        <f t="shared" si="185"/>
        <v>0</v>
      </c>
      <c r="AE601" s="17">
        <f t="shared" si="186"/>
        <v>7185</v>
      </c>
      <c r="AF601" s="18">
        <f t="shared" si="187"/>
        <v>506</v>
      </c>
      <c r="AG601" s="97">
        <f t="shared" si="188"/>
        <v>7.5759844288067146E-2</v>
      </c>
      <c r="AH601" s="20">
        <v>14</v>
      </c>
      <c r="AI601" s="20">
        <v>450</v>
      </c>
      <c r="AJ601" s="20"/>
      <c r="AK601" s="20">
        <v>688</v>
      </c>
      <c r="AL601" s="20">
        <f t="shared" si="189"/>
        <v>106678</v>
      </c>
      <c r="AM601" s="7">
        <v>3</v>
      </c>
      <c r="AN601" s="20"/>
      <c r="AO601" s="21" t="s">
        <v>228</v>
      </c>
      <c r="AP601" s="21" t="s">
        <v>205</v>
      </c>
      <c r="AQ601" s="5" t="s">
        <v>217</v>
      </c>
      <c r="AR601" s="5" t="s">
        <v>164</v>
      </c>
      <c r="AS601" s="5" t="s">
        <v>218</v>
      </c>
      <c r="AT601" s="20"/>
      <c r="AU601" s="21"/>
      <c r="AV601" s="21"/>
      <c r="AW601" s="144" t="str">
        <f t="shared" si="190"/>
        <v>&gt;20</v>
      </c>
      <c r="AX601" s="21" t="s">
        <v>3133</v>
      </c>
      <c r="AY601" s="21" t="s">
        <v>3130</v>
      </c>
      <c r="AZ601" s="21"/>
      <c r="BA601" s="21"/>
    </row>
    <row r="602" spans="1:53" ht="20" customHeight="1">
      <c r="A602" s="86" t="s">
        <v>318</v>
      </c>
      <c r="B602" s="372" t="s">
        <v>2932</v>
      </c>
      <c r="C602" s="5" t="s">
        <v>51</v>
      </c>
      <c r="D602" s="5" t="s">
        <v>52</v>
      </c>
      <c r="E602" s="5" t="s">
        <v>1414</v>
      </c>
      <c r="F602" s="5" t="s">
        <v>219</v>
      </c>
      <c r="G602" s="5" t="s">
        <v>220</v>
      </c>
      <c r="H602" s="6">
        <v>44573</v>
      </c>
      <c r="I602" s="5" t="s">
        <v>74</v>
      </c>
      <c r="J602" s="5" t="s">
        <v>230</v>
      </c>
      <c r="K602" s="5" t="s">
        <v>76</v>
      </c>
      <c r="L602" s="7">
        <v>2</v>
      </c>
      <c r="M602" s="7">
        <v>2</v>
      </c>
      <c r="N602" s="8">
        <v>13520</v>
      </c>
      <c r="O602" s="88">
        <v>0</v>
      </c>
      <c r="P602" s="10">
        <f t="shared" si="179"/>
        <v>0</v>
      </c>
      <c r="Q602" s="88">
        <v>0</v>
      </c>
      <c r="R602" s="10">
        <f t="shared" si="180"/>
        <v>0</v>
      </c>
      <c r="S602" s="88">
        <f t="shared" si="181"/>
        <v>0</v>
      </c>
      <c r="T602" s="10">
        <f t="shared" si="182"/>
        <v>0</v>
      </c>
      <c r="U602" s="10">
        <f t="shared" si="183"/>
        <v>13520</v>
      </c>
      <c r="V602" s="11">
        <f t="shared" si="178"/>
        <v>13520</v>
      </c>
      <c r="W602" s="12">
        <f t="shared" si="184"/>
        <v>0</v>
      </c>
      <c r="X602" s="92">
        <f t="shared" si="177"/>
        <v>0</v>
      </c>
      <c r="Y602" s="93" t="str">
        <f t="shared" si="176"/>
        <v>0.00%-0.00%</v>
      </c>
      <c r="Z602" s="15"/>
      <c r="AA602" s="15"/>
      <c r="AB602" s="15"/>
      <c r="AC602" s="95"/>
      <c r="AD602" s="8">
        <f t="shared" si="185"/>
        <v>0</v>
      </c>
      <c r="AE602" s="17">
        <f t="shared" si="186"/>
        <v>13520</v>
      </c>
      <c r="AF602" s="18">
        <f t="shared" si="187"/>
        <v>0</v>
      </c>
      <c r="AG602" s="97">
        <f t="shared" si="188"/>
        <v>0</v>
      </c>
      <c r="AH602" s="20">
        <v>14</v>
      </c>
      <c r="AI602" s="20">
        <v>550</v>
      </c>
      <c r="AJ602" s="20"/>
      <c r="AK602" s="20">
        <v>688</v>
      </c>
      <c r="AL602" s="20">
        <f t="shared" si="189"/>
        <v>196568</v>
      </c>
      <c r="AM602" s="7">
        <v>5</v>
      </c>
      <c r="AN602" s="20"/>
      <c r="AO602" s="21"/>
      <c r="AP602" s="21"/>
      <c r="AQ602" s="5" t="s">
        <v>217</v>
      </c>
      <c r="AR602" s="5" t="s">
        <v>164</v>
      </c>
      <c r="AS602" s="5" t="s">
        <v>218</v>
      </c>
      <c r="AT602" s="20"/>
      <c r="AU602" s="21"/>
      <c r="AV602" s="21"/>
      <c r="AW602" s="144" t="str">
        <f t="shared" si="190"/>
        <v>OK</v>
      </c>
      <c r="AX602" s="21" t="s">
        <v>3131</v>
      </c>
      <c r="AY602" s="21">
        <v>0</v>
      </c>
      <c r="AZ602" s="21"/>
      <c r="BA602" s="21"/>
    </row>
    <row r="603" spans="1:53" ht="20" customHeight="1">
      <c r="A603" s="86" t="s">
        <v>318</v>
      </c>
      <c r="B603" s="372" t="s">
        <v>2933</v>
      </c>
      <c r="C603" s="5" t="s">
        <v>51</v>
      </c>
      <c r="D603" s="5" t="s">
        <v>52</v>
      </c>
      <c r="E603" s="5" t="s">
        <v>1414</v>
      </c>
      <c r="F603" s="5" t="s">
        <v>219</v>
      </c>
      <c r="G603" s="5" t="s">
        <v>220</v>
      </c>
      <c r="H603" s="6">
        <v>38645</v>
      </c>
      <c r="I603" s="5" t="s">
        <v>82</v>
      </c>
      <c r="J603" s="5" t="s">
        <v>82</v>
      </c>
      <c r="K603" s="5" t="s">
        <v>84</v>
      </c>
      <c r="L603" s="7">
        <v>2</v>
      </c>
      <c r="M603" s="7">
        <v>1</v>
      </c>
      <c r="N603" s="8">
        <v>12735</v>
      </c>
      <c r="O603" s="88">
        <v>0</v>
      </c>
      <c r="P603" s="10">
        <f t="shared" si="179"/>
        <v>0</v>
      </c>
      <c r="Q603" s="88">
        <v>0</v>
      </c>
      <c r="R603" s="10">
        <f t="shared" si="180"/>
        <v>0</v>
      </c>
      <c r="S603" s="88">
        <f t="shared" si="181"/>
        <v>0</v>
      </c>
      <c r="T603" s="10">
        <f t="shared" si="182"/>
        <v>0</v>
      </c>
      <c r="U603" s="10">
        <f t="shared" si="183"/>
        <v>12735</v>
      </c>
      <c r="V603" s="11">
        <f t="shared" si="178"/>
        <v>12735</v>
      </c>
      <c r="W603" s="12">
        <f t="shared" si="184"/>
        <v>0</v>
      </c>
      <c r="X603" s="92">
        <f t="shared" si="177"/>
        <v>0</v>
      </c>
      <c r="Y603" s="93" t="str">
        <f t="shared" si="176"/>
        <v>0.00%-0.00%</v>
      </c>
      <c r="Z603" s="15"/>
      <c r="AA603" s="15"/>
      <c r="AB603" s="15"/>
      <c r="AC603" s="95"/>
      <c r="AD603" s="8">
        <f t="shared" si="185"/>
        <v>0</v>
      </c>
      <c r="AE603" s="17">
        <f t="shared" si="186"/>
        <v>12735</v>
      </c>
      <c r="AF603" s="18">
        <f t="shared" si="187"/>
        <v>0</v>
      </c>
      <c r="AG603" s="97">
        <f t="shared" si="188"/>
        <v>0</v>
      </c>
      <c r="AH603" s="20">
        <v>14</v>
      </c>
      <c r="AI603" s="20">
        <v>450</v>
      </c>
      <c r="AJ603" s="20"/>
      <c r="AK603" s="20">
        <v>688</v>
      </c>
      <c r="AL603" s="20">
        <f t="shared" si="189"/>
        <v>184378</v>
      </c>
      <c r="AM603" s="7">
        <v>4</v>
      </c>
      <c r="AN603" s="20"/>
      <c r="AO603" s="21"/>
      <c r="AP603" s="21"/>
      <c r="AQ603" s="5" t="s">
        <v>217</v>
      </c>
      <c r="AR603" s="5" t="s">
        <v>164</v>
      </c>
      <c r="AS603" s="5" t="s">
        <v>218</v>
      </c>
      <c r="AT603" s="20"/>
      <c r="AU603" s="21"/>
      <c r="AV603" s="21"/>
      <c r="AW603" s="144" t="str">
        <f t="shared" si="190"/>
        <v>OK</v>
      </c>
      <c r="AX603" s="21" t="s">
        <v>3129</v>
      </c>
      <c r="AY603" s="21">
        <v>0</v>
      </c>
      <c r="AZ603" s="21"/>
      <c r="BA603" s="21"/>
    </row>
    <row r="604" spans="1:53" ht="20" customHeight="1">
      <c r="A604" s="105" t="s">
        <v>318</v>
      </c>
      <c r="B604" s="372" t="s">
        <v>2934</v>
      </c>
      <c r="C604" s="5" t="s">
        <v>51</v>
      </c>
      <c r="D604" s="5" t="s">
        <v>52</v>
      </c>
      <c r="E604" s="5" t="s">
        <v>1414</v>
      </c>
      <c r="F604" s="5" t="s">
        <v>219</v>
      </c>
      <c r="G604" s="5" t="s">
        <v>220</v>
      </c>
      <c r="H604" s="6">
        <v>41124</v>
      </c>
      <c r="I604" s="5" t="s">
        <v>82</v>
      </c>
      <c r="J604" s="5" t="s">
        <v>231</v>
      </c>
      <c r="K604" s="5" t="s">
        <v>84</v>
      </c>
      <c r="L604" s="7">
        <v>2</v>
      </c>
      <c r="M604" s="7">
        <v>3</v>
      </c>
      <c r="N604" s="8">
        <v>10588</v>
      </c>
      <c r="O604" s="88">
        <v>2.5000000000000001E-2</v>
      </c>
      <c r="P604" s="10">
        <f t="shared" si="179"/>
        <v>265</v>
      </c>
      <c r="Q604" s="88">
        <v>0</v>
      </c>
      <c r="R604" s="10">
        <f t="shared" si="180"/>
        <v>0</v>
      </c>
      <c r="S604" s="88">
        <f t="shared" si="181"/>
        <v>2.5028333962976955E-2</v>
      </c>
      <c r="T604" s="10">
        <f t="shared" si="182"/>
        <v>265</v>
      </c>
      <c r="U604" s="10">
        <f t="shared" si="183"/>
        <v>10853</v>
      </c>
      <c r="V604" s="11">
        <v>10853</v>
      </c>
      <c r="W604" s="12">
        <f t="shared" si="184"/>
        <v>265</v>
      </c>
      <c r="X604" s="92">
        <f t="shared" si="177"/>
        <v>2.5000000000000001E-2</v>
      </c>
      <c r="Y604" s="93" t="str">
        <f t="shared" si="176"/>
        <v>2.00%-3.00%</v>
      </c>
      <c r="Z604" s="15"/>
      <c r="AA604" s="15"/>
      <c r="AB604" s="15"/>
      <c r="AC604" s="95"/>
      <c r="AD604" s="8">
        <f t="shared" si="185"/>
        <v>0</v>
      </c>
      <c r="AE604" s="17">
        <f t="shared" si="186"/>
        <v>10853</v>
      </c>
      <c r="AF604" s="18">
        <f t="shared" si="187"/>
        <v>265</v>
      </c>
      <c r="AG604" s="97">
        <f t="shared" si="188"/>
        <v>2.5028333962976879E-2</v>
      </c>
      <c r="AH604" s="20">
        <v>14</v>
      </c>
      <c r="AI604" s="20">
        <v>450</v>
      </c>
      <c r="AJ604" s="20"/>
      <c r="AK604" s="20">
        <v>688</v>
      </c>
      <c r="AL604" s="20">
        <f t="shared" si="189"/>
        <v>158030</v>
      </c>
      <c r="AM604" s="7">
        <v>3</v>
      </c>
      <c r="AN604" s="20"/>
      <c r="AO604" s="21"/>
      <c r="AP604" s="21"/>
      <c r="AQ604" s="5" t="s">
        <v>217</v>
      </c>
      <c r="AR604" s="5" t="s">
        <v>164</v>
      </c>
      <c r="AS604" s="5" t="s">
        <v>218</v>
      </c>
      <c r="AT604" s="20"/>
      <c r="AU604" s="21"/>
      <c r="AV604" s="21"/>
      <c r="AW604" s="144" t="str">
        <f t="shared" si="190"/>
        <v>OK</v>
      </c>
      <c r="AX604" s="21" t="s">
        <v>3135</v>
      </c>
      <c r="AY604" s="21" t="s">
        <v>3130</v>
      </c>
      <c r="AZ604" s="21"/>
      <c r="BA604" s="21"/>
    </row>
    <row r="605" spans="1:53" ht="20" customHeight="1">
      <c r="A605" s="86" t="s">
        <v>318</v>
      </c>
      <c r="B605" s="372" t="s">
        <v>2935</v>
      </c>
      <c r="C605" s="5" t="s">
        <v>51</v>
      </c>
      <c r="D605" s="5" t="s">
        <v>52</v>
      </c>
      <c r="E605" s="5" t="s">
        <v>1414</v>
      </c>
      <c r="F605" s="5" t="s">
        <v>219</v>
      </c>
      <c r="G605" s="5" t="s">
        <v>220</v>
      </c>
      <c r="H605" s="6">
        <v>40373</v>
      </c>
      <c r="I605" s="5" t="s">
        <v>174</v>
      </c>
      <c r="J605" s="5" t="s">
        <v>174</v>
      </c>
      <c r="K605" s="5" t="s">
        <v>175</v>
      </c>
      <c r="L605" s="7">
        <v>2</v>
      </c>
      <c r="M605" s="7">
        <v>3</v>
      </c>
      <c r="N605" s="8">
        <v>6725</v>
      </c>
      <c r="O605" s="88">
        <v>0.03</v>
      </c>
      <c r="P605" s="10">
        <f t="shared" si="179"/>
        <v>202</v>
      </c>
      <c r="Q605" s="88">
        <v>0</v>
      </c>
      <c r="R605" s="10">
        <f t="shared" si="180"/>
        <v>0</v>
      </c>
      <c r="S605" s="88">
        <f t="shared" si="181"/>
        <v>3.0037174721189591E-2</v>
      </c>
      <c r="T605" s="10">
        <f t="shared" si="182"/>
        <v>202</v>
      </c>
      <c r="U605" s="10">
        <f t="shared" si="183"/>
        <v>6927</v>
      </c>
      <c r="V605" s="11">
        <v>7200</v>
      </c>
      <c r="W605" s="12">
        <f t="shared" si="184"/>
        <v>475</v>
      </c>
      <c r="X605" s="92">
        <f t="shared" si="177"/>
        <v>7.0599999999999996E-2</v>
      </c>
      <c r="Y605" s="93" t="str">
        <f t="shared" si="176"/>
        <v>2.40%-3.60%</v>
      </c>
      <c r="Z605" s="15"/>
      <c r="AA605" s="15"/>
      <c r="AB605" s="15"/>
      <c r="AC605" s="95"/>
      <c r="AD605" s="8">
        <f t="shared" si="185"/>
        <v>0</v>
      </c>
      <c r="AE605" s="17">
        <f t="shared" si="186"/>
        <v>7200</v>
      </c>
      <c r="AF605" s="18">
        <f t="shared" si="187"/>
        <v>475</v>
      </c>
      <c r="AG605" s="97">
        <f t="shared" si="188"/>
        <v>7.0631970260222943E-2</v>
      </c>
      <c r="AH605" s="20">
        <v>14</v>
      </c>
      <c r="AI605" s="20">
        <v>450</v>
      </c>
      <c r="AJ605" s="20"/>
      <c r="AK605" s="20">
        <v>688</v>
      </c>
      <c r="AL605" s="20">
        <f t="shared" si="189"/>
        <v>106888</v>
      </c>
      <c r="AM605" s="7">
        <v>2</v>
      </c>
      <c r="AN605" s="20"/>
      <c r="AO605" s="21" t="s">
        <v>234</v>
      </c>
      <c r="AP605" s="21" t="s">
        <v>205</v>
      </c>
      <c r="AQ605" s="5" t="s">
        <v>217</v>
      </c>
      <c r="AR605" s="5" t="s">
        <v>164</v>
      </c>
      <c r="AS605" s="5" t="s">
        <v>218</v>
      </c>
      <c r="AT605" s="20"/>
      <c r="AU605" s="21"/>
      <c r="AV605" s="21"/>
      <c r="AW605" s="144" t="str">
        <f t="shared" si="190"/>
        <v>&gt;20</v>
      </c>
      <c r="AX605" s="21" t="s">
        <v>3135</v>
      </c>
      <c r="AY605" s="21" t="s">
        <v>3132</v>
      </c>
      <c r="AZ605" s="21"/>
      <c r="BA605" s="21"/>
    </row>
    <row r="606" spans="1:53" ht="20" customHeight="1">
      <c r="A606" s="86" t="s">
        <v>318</v>
      </c>
      <c r="B606" s="372" t="s">
        <v>2936</v>
      </c>
      <c r="C606" s="5" t="s">
        <v>51</v>
      </c>
      <c r="D606" s="5" t="s">
        <v>52</v>
      </c>
      <c r="E606" s="5" t="s">
        <v>1414</v>
      </c>
      <c r="F606" s="5" t="s">
        <v>219</v>
      </c>
      <c r="G606" s="5" t="s">
        <v>220</v>
      </c>
      <c r="H606" s="6">
        <v>41899</v>
      </c>
      <c r="I606" s="5" t="s">
        <v>74</v>
      </c>
      <c r="J606" s="5" t="s">
        <v>235</v>
      </c>
      <c r="K606" s="5" t="s">
        <v>76</v>
      </c>
      <c r="L606" s="7">
        <v>2</v>
      </c>
      <c r="M606" s="7">
        <v>4</v>
      </c>
      <c r="N606" s="8">
        <v>12400</v>
      </c>
      <c r="O606" s="88">
        <v>3.7500000000000006E-2</v>
      </c>
      <c r="P606" s="10">
        <f t="shared" si="179"/>
        <v>465</v>
      </c>
      <c r="Q606" s="88">
        <v>1.55E-2</v>
      </c>
      <c r="R606" s="10">
        <f t="shared" si="180"/>
        <v>192</v>
      </c>
      <c r="S606" s="88">
        <f t="shared" si="181"/>
        <v>5.2983870967741938E-2</v>
      </c>
      <c r="T606" s="10">
        <f t="shared" si="182"/>
        <v>657</v>
      </c>
      <c r="U606" s="10">
        <f t="shared" si="183"/>
        <v>13057</v>
      </c>
      <c r="V606" s="11">
        <v>13180</v>
      </c>
      <c r="W606" s="12">
        <f t="shared" si="184"/>
        <v>780</v>
      </c>
      <c r="X606" s="92">
        <f t="shared" si="177"/>
        <v>6.2899999999999998E-2</v>
      </c>
      <c r="Y606" s="93" t="str">
        <f t="shared" si="176"/>
        <v>4.24%-6.36%</v>
      </c>
      <c r="Z606" s="15"/>
      <c r="AA606" s="15"/>
      <c r="AB606" s="15"/>
      <c r="AC606" s="95"/>
      <c r="AD606" s="8">
        <f t="shared" si="185"/>
        <v>0</v>
      </c>
      <c r="AE606" s="17">
        <f t="shared" si="186"/>
        <v>13180</v>
      </c>
      <c r="AF606" s="18">
        <f t="shared" si="187"/>
        <v>780</v>
      </c>
      <c r="AG606" s="97">
        <f t="shared" si="188"/>
        <v>6.290322580645169E-2</v>
      </c>
      <c r="AH606" s="20">
        <v>14</v>
      </c>
      <c r="AI606" s="20">
        <v>450</v>
      </c>
      <c r="AJ606" s="20"/>
      <c r="AK606" s="20">
        <v>688</v>
      </c>
      <c r="AL606" s="20">
        <f t="shared" si="189"/>
        <v>190608</v>
      </c>
      <c r="AM606" s="7">
        <v>3</v>
      </c>
      <c r="AN606" s="20"/>
      <c r="AO606" s="21"/>
      <c r="AP606" s="21"/>
      <c r="AQ606" s="5" t="s">
        <v>217</v>
      </c>
      <c r="AR606" s="5" t="s">
        <v>164</v>
      </c>
      <c r="AS606" s="5" t="s">
        <v>218</v>
      </c>
      <c r="AT606" s="20"/>
      <c r="AU606" s="21"/>
      <c r="AV606" s="21"/>
      <c r="AW606" s="144" t="str">
        <f t="shared" si="190"/>
        <v>OK</v>
      </c>
      <c r="AX606" s="21" t="s">
        <v>3135</v>
      </c>
      <c r="AY606" s="21" t="s">
        <v>3130</v>
      </c>
      <c r="AZ606" s="21"/>
      <c r="BA606" s="21"/>
    </row>
    <row r="607" spans="1:53" ht="20" customHeight="1">
      <c r="A607" s="105" t="s">
        <v>318</v>
      </c>
      <c r="B607" s="372" t="s">
        <v>2937</v>
      </c>
      <c r="C607" s="5" t="s">
        <v>51</v>
      </c>
      <c r="D607" s="5" t="s">
        <v>52</v>
      </c>
      <c r="E607" s="5" t="s">
        <v>1414</v>
      </c>
      <c r="F607" s="5" t="s">
        <v>219</v>
      </c>
      <c r="G607" s="5" t="s">
        <v>220</v>
      </c>
      <c r="H607" s="6">
        <v>41766</v>
      </c>
      <c r="I607" s="5" t="s">
        <v>74</v>
      </c>
      <c r="J607" s="5" t="s">
        <v>236</v>
      </c>
      <c r="K607" s="5" t="s">
        <v>76</v>
      </c>
      <c r="L607" s="7">
        <v>2</v>
      </c>
      <c r="M607" s="7">
        <v>5</v>
      </c>
      <c r="N607" s="8">
        <v>12600</v>
      </c>
      <c r="O607" s="88">
        <v>0.05</v>
      </c>
      <c r="P607" s="10">
        <f t="shared" si="179"/>
        <v>630</v>
      </c>
      <c r="Q607" s="88">
        <v>2.7E-2</v>
      </c>
      <c r="R607" s="10">
        <f t="shared" si="180"/>
        <v>340</v>
      </c>
      <c r="S607" s="88">
        <f t="shared" si="181"/>
        <v>7.6984126984126988E-2</v>
      </c>
      <c r="T607" s="10">
        <f t="shared" si="182"/>
        <v>970</v>
      </c>
      <c r="U607" s="10">
        <f t="shared" si="183"/>
        <v>13570</v>
      </c>
      <c r="V607" s="11">
        <v>13400</v>
      </c>
      <c r="W607" s="12">
        <f t="shared" si="184"/>
        <v>800</v>
      </c>
      <c r="X607" s="92">
        <f t="shared" si="177"/>
        <v>6.3500000000000001E-2</v>
      </c>
      <c r="Y607" s="93" t="str">
        <f t="shared" si="176"/>
        <v>6.16%-9.24%</v>
      </c>
      <c r="Z607" s="15" t="s">
        <v>87</v>
      </c>
      <c r="AA607" s="15" t="s">
        <v>238</v>
      </c>
      <c r="AB607" s="15" t="s">
        <v>89</v>
      </c>
      <c r="AC607" s="95">
        <v>8.4000000000000005E-2</v>
      </c>
      <c r="AD607" s="8">
        <f t="shared" si="185"/>
        <v>1058</v>
      </c>
      <c r="AE607" s="17">
        <f t="shared" si="186"/>
        <v>14458</v>
      </c>
      <c r="AF607" s="18">
        <f t="shared" si="187"/>
        <v>1858</v>
      </c>
      <c r="AG607" s="97">
        <f t="shared" si="188"/>
        <v>0.14746031746031751</v>
      </c>
      <c r="AH607" s="20">
        <v>14</v>
      </c>
      <c r="AI607" s="20">
        <v>450</v>
      </c>
      <c r="AJ607" s="20"/>
      <c r="AK607" s="20">
        <v>688</v>
      </c>
      <c r="AL607" s="20">
        <f t="shared" si="189"/>
        <v>208500</v>
      </c>
      <c r="AM607" s="7">
        <v>4</v>
      </c>
      <c r="AN607" s="20"/>
      <c r="AO607" s="21" t="s">
        <v>2019</v>
      </c>
      <c r="AP607" s="21" t="s">
        <v>239</v>
      </c>
      <c r="AQ607" s="5" t="s">
        <v>217</v>
      </c>
      <c r="AR607" s="5" t="s">
        <v>164</v>
      </c>
      <c r="AS607" s="5" t="s">
        <v>218</v>
      </c>
      <c r="AT607" s="20"/>
      <c r="AU607" s="21"/>
      <c r="AV607" s="21"/>
      <c r="AW607" s="144" t="str">
        <f t="shared" si="190"/>
        <v>OK</v>
      </c>
      <c r="AX607" s="21" t="s">
        <v>3135</v>
      </c>
      <c r="AY607" s="21" t="s">
        <v>3130</v>
      </c>
      <c r="AZ607" s="21"/>
      <c r="BA607" s="21"/>
    </row>
    <row r="608" spans="1:53" ht="20" customHeight="1">
      <c r="A608" s="86" t="s">
        <v>318</v>
      </c>
      <c r="B608" s="372" t="s">
        <v>2938</v>
      </c>
      <c r="C608" s="5" t="s">
        <v>51</v>
      </c>
      <c r="D608" s="5" t="s">
        <v>52</v>
      </c>
      <c r="E608" s="5" t="s">
        <v>1414</v>
      </c>
      <c r="F608" s="5" t="s">
        <v>214</v>
      </c>
      <c r="G608" s="5" t="s">
        <v>215</v>
      </c>
      <c r="H608" s="6">
        <v>42723</v>
      </c>
      <c r="I608" s="5" t="s">
        <v>85</v>
      </c>
      <c r="J608" s="5" t="s">
        <v>85</v>
      </c>
      <c r="K608" s="5" t="s">
        <v>76</v>
      </c>
      <c r="L608" s="7">
        <v>2</v>
      </c>
      <c r="M608" s="7">
        <v>3</v>
      </c>
      <c r="N608" s="8">
        <v>9400</v>
      </c>
      <c r="O608" s="88">
        <v>2.5000000000000001E-2</v>
      </c>
      <c r="P608" s="10">
        <f t="shared" si="179"/>
        <v>235</v>
      </c>
      <c r="Q608" s="88">
        <v>0</v>
      </c>
      <c r="R608" s="10">
        <f t="shared" si="180"/>
        <v>0</v>
      </c>
      <c r="S608" s="88">
        <f t="shared" si="181"/>
        <v>2.5000000000000001E-2</v>
      </c>
      <c r="T608" s="10">
        <f t="shared" si="182"/>
        <v>235</v>
      </c>
      <c r="U608" s="10">
        <f t="shared" si="183"/>
        <v>9635</v>
      </c>
      <c r="V608" s="11">
        <v>9700</v>
      </c>
      <c r="W608" s="12">
        <f t="shared" si="184"/>
        <v>300</v>
      </c>
      <c r="X608" s="92">
        <f t="shared" si="177"/>
        <v>3.1899999999999998E-2</v>
      </c>
      <c r="Y608" s="93" t="str">
        <f t="shared" si="176"/>
        <v>2.00%-3.00%</v>
      </c>
      <c r="Z608" s="15"/>
      <c r="AA608" s="15"/>
      <c r="AB608" s="15"/>
      <c r="AC608" s="95"/>
      <c r="AD608" s="8">
        <f t="shared" si="185"/>
        <v>0</v>
      </c>
      <c r="AE608" s="17">
        <f t="shared" si="186"/>
        <v>9700</v>
      </c>
      <c r="AF608" s="18">
        <f t="shared" si="187"/>
        <v>300</v>
      </c>
      <c r="AG608" s="97">
        <f t="shared" si="188"/>
        <v>3.1914893617021267E-2</v>
      </c>
      <c r="AH608" s="20">
        <v>14</v>
      </c>
      <c r="AI608" s="20">
        <v>450</v>
      </c>
      <c r="AJ608" s="20"/>
      <c r="AK608" s="20">
        <v>688</v>
      </c>
      <c r="AL608" s="20">
        <f t="shared" si="189"/>
        <v>141888</v>
      </c>
      <c r="AM608" s="7">
        <v>4</v>
      </c>
      <c r="AN608" s="20"/>
      <c r="AO608" s="21"/>
      <c r="AP608" s="21"/>
      <c r="AQ608" s="5" t="s">
        <v>217</v>
      </c>
      <c r="AR608" s="5" t="s">
        <v>164</v>
      </c>
      <c r="AS608" s="5" t="s">
        <v>218</v>
      </c>
      <c r="AT608" s="20"/>
      <c r="AU608" s="21"/>
      <c r="AV608" s="21"/>
      <c r="AW608" s="144" t="str">
        <f t="shared" si="190"/>
        <v>OK</v>
      </c>
      <c r="AX608" s="21" t="s">
        <v>3133</v>
      </c>
      <c r="AY608" s="21" t="s">
        <v>3130</v>
      </c>
      <c r="AZ608" s="21"/>
      <c r="BA608" s="21"/>
    </row>
    <row r="609" spans="1:53" ht="20" customHeight="1">
      <c r="A609" s="86" t="s">
        <v>318</v>
      </c>
      <c r="B609" s="374" t="s">
        <v>2939</v>
      </c>
      <c r="C609" s="106" t="s">
        <v>51</v>
      </c>
      <c r="D609" s="106" t="s">
        <v>52</v>
      </c>
      <c r="E609" s="5" t="s">
        <v>1414</v>
      </c>
      <c r="F609" s="106" t="s">
        <v>1438</v>
      </c>
      <c r="G609" s="106" t="s">
        <v>220</v>
      </c>
      <c r="H609" s="107">
        <v>41596</v>
      </c>
      <c r="I609" s="106" t="s">
        <v>198</v>
      </c>
      <c r="J609" s="106" t="s">
        <v>1439</v>
      </c>
      <c r="K609" s="106" t="s">
        <v>199</v>
      </c>
      <c r="L609" s="108">
        <v>2</v>
      </c>
      <c r="M609" s="108">
        <v>3</v>
      </c>
      <c r="N609" s="229">
        <v>46478</v>
      </c>
      <c r="O609" s="230">
        <v>2.5000000000000001E-2</v>
      </c>
      <c r="P609" s="231">
        <f t="shared" si="179"/>
        <v>1162</v>
      </c>
      <c r="Q609" s="230">
        <v>0</v>
      </c>
      <c r="R609" s="231">
        <f t="shared" si="180"/>
        <v>0</v>
      </c>
      <c r="S609" s="230">
        <f t="shared" si="181"/>
        <v>2.5001075777787339E-2</v>
      </c>
      <c r="T609" s="231">
        <f t="shared" si="182"/>
        <v>1162</v>
      </c>
      <c r="U609" s="231">
        <f t="shared" si="183"/>
        <v>47640</v>
      </c>
      <c r="V609" s="232">
        <v>47500</v>
      </c>
      <c r="W609" s="233">
        <f t="shared" si="184"/>
        <v>1022</v>
      </c>
      <c r="X609" s="234">
        <f t="shared" si="177"/>
        <v>2.1999999999999999E-2</v>
      </c>
      <c r="Y609" s="235" t="str">
        <f t="shared" si="176"/>
        <v>2.00%-3.00%</v>
      </c>
      <c r="Z609" s="236"/>
      <c r="AA609" s="236"/>
      <c r="AB609" s="236"/>
      <c r="AC609" s="237"/>
      <c r="AD609" s="229">
        <f t="shared" si="185"/>
        <v>0</v>
      </c>
      <c r="AE609" s="238">
        <f t="shared" si="186"/>
        <v>47500</v>
      </c>
      <c r="AF609" s="109">
        <f t="shared" si="187"/>
        <v>1022</v>
      </c>
      <c r="AG609" s="239">
        <f t="shared" si="188"/>
        <v>2.1988897973234556E-2</v>
      </c>
      <c r="AH609" s="110">
        <v>14</v>
      </c>
      <c r="AI609" s="110">
        <v>450</v>
      </c>
      <c r="AJ609" s="110">
        <v>1000</v>
      </c>
      <c r="AK609" s="110">
        <v>688</v>
      </c>
      <c r="AL609" s="110">
        <f t="shared" si="189"/>
        <v>683088</v>
      </c>
      <c r="AM609" s="108">
        <v>3</v>
      </c>
      <c r="AN609" s="110"/>
      <c r="AO609" s="111"/>
      <c r="AP609" s="111"/>
      <c r="AQ609" s="106" t="s">
        <v>217</v>
      </c>
      <c r="AR609" s="106" t="s">
        <v>164</v>
      </c>
      <c r="AS609" s="106" t="s">
        <v>218</v>
      </c>
      <c r="AT609" s="110"/>
      <c r="AU609" s="111"/>
      <c r="AV609" s="111"/>
      <c r="AW609" s="144" t="str">
        <f t="shared" si="190"/>
        <v>OK</v>
      </c>
      <c r="AX609" s="21" t="s">
        <v>3135</v>
      </c>
      <c r="AY609" s="21" t="s">
        <v>3130</v>
      </c>
      <c r="AZ609" s="21"/>
      <c r="BA609" s="21"/>
    </row>
    <row r="610" spans="1:53" ht="20" customHeight="1">
      <c r="A610" s="86" t="s">
        <v>318</v>
      </c>
      <c r="B610" s="372" t="s">
        <v>2940</v>
      </c>
      <c r="C610" s="5" t="s">
        <v>51</v>
      </c>
      <c r="D610" s="5" t="s">
        <v>52</v>
      </c>
      <c r="E610" s="5" t="s">
        <v>2035</v>
      </c>
      <c r="F610" s="5" t="s">
        <v>2044</v>
      </c>
      <c r="G610" s="5" t="s">
        <v>2045</v>
      </c>
      <c r="H610" s="6">
        <v>42233</v>
      </c>
      <c r="I610" s="5" t="s">
        <v>292</v>
      </c>
      <c r="J610" s="5" t="s">
        <v>2046</v>
      </c>
      <c r="K610" s="5" t="s">
        <v>294</v>
      </c>
      <c r="L610" s="7">
        <v>1</v>
      </c>
      <c r="M610" s="7">
        <v>4</v>
      </c>
      <c r="N610" s="8">
        <v>75809</v>
      </c>
      <c r="O610" s="88">
        <v>8.3433644286953101E-2</v>
      </c>
      <c r="P610" s="10">
        <f t="shared" si="179"/>
        <v>6325</v>
      </c>
      <c r="Q610" s="88">
        <v>0</v>
      </c>
      <c r="R610" s="10">
        <f t="shared" si="180"/>
        <v>0</v>
      </c>
      <c r="S610" s="88">
        <f t="shared" si="181"/>
        <v>8.3433365431545073E-2</v>
      </c>
      <c r="T610" s="10">
        <f t="shared" si="182"/>
        <v>6325</v>
      </c>
      <c r="U610" s="10">
        <f t="shared" si="183"/>
        <v>82134</v>
      </c>
      <c r="V610" s="11">
        <v>82000</v>
      </c>
      <c r="W610" s="12">
        <f t="shared" si="184"/>
        <v>6191</v>
      </c>
      <c r="X610" s="92">
        <f t="shared" si="177"/>
        <v>8.1699999999999995E-2</v>
      </c>
      <c r="Y610" s="93" t="str">
        <f t="shared" ref="Y610:Y673" si="191">IF(OR(L610=1,L610=2,L610=4),TEXT(S610*0.8,"0.00%")&amp;"-"&amp;TEXT(S610*1.2,"0.00%"),IF(OR(L610=3,L610=6),TEXT(0,"0.00%")&amp;"-"&amp;TEXT(7%*1.2,"0.00%"),IF(OR(L610=5,L610=7),TEXT((R610/N610),"0.00%")&amp;"-"&amp;TEXT((R610/N610)+7%,"0.00%"),"")))</f>
        <v>6.67%-10.01%</v>
      </c>
      <c r="Z610" s="15"/>
      <c r="AA610" s="15"/>
      <c r="AB610" s="15"/>
      <c r="AC610" s="95"/>
      <c r="AD610" s="8">
        <f t="shared" si="185"/>
        <v>0</v>
      </c>
      <c r="AE610" s="17">
        <f t="shared" si="186"/>
        <v>82000</v>
      </c>
      <c r="AF610" s="18">
        <f t="shared" si="187"/>
        <v>6191</v>
      </c>
      <c r="AG610" s="97">
        <f t="shared" si="188"/>
        <v>8.1665765278528868E-2</v>
      </c>
      <c r="AH610" s="20">
        <v>16</v>
      </c>
      <c r="AI610" s="20">
        <v>3950</v>
      </c>
      <c r="AJ610" s="20"/>
      <c r="AK610" s="20">
        <v>0</v>
      </c>
      <c r="AL610" s="20">
        <f t="shared" si="189"/>
        <v>1359400</v>
      </c>
      <c r="AM610" s="7">
        <v>3</v>
      </c>
      <c r="AN610" s="20"/>
      <c r="AO610" s="21"/>
      <c r="AP610" s="21"/>
      <c r="AQ610" s="5" t="s">
        <v>2047</v>
      </c>
      <c r="AR610" s="5" t="s">
        <v>2048</v>
      </c>
      <c r="AS610" s="5" t="s">
        <v>59</v>
      </c>
      <c r="AT610" s="20"/>
      <c r="AU610" s="21"/>
      <c r="AV610" s="21"/>
      <c r="AW610" s="144" t="str">
        <f t="shared" si="190"/>
        <v>OK</v>
      </c>
      <c r="AX610" s="21" t="s">
        <v>3133</v>
      </c>
      <c r="AY610" s="21" t="s">
        <v>3143</v>
      </c>
      <c r="AZ610" s="21"/>
      <c r="BA610" s="21"/>
    </row>
    <row r="611" spans="1:53" ht="20" customHeight="1">
      <c r="A611" s="86" t="s">
        <v>318</v>
      </c>
      <c r="B611" s="372" t="s">
        <v>2941</v>
      </c>
      <c r="C611" s="5" t="s">
        <v>51</v>
      </c>
      <c r="D611" s="5" t="s">
        <v>52</v>
      </c>
      <c r="E611" s="5" t="s">
        <v>2035</v>
      </c>
      <c r="F611" s="5" t="s">
        <v>2049</v>
      </c>
      <c r="G611" s="5" t="s">
        <v>197</v>
      </c>
      <c r="H611" s="6">
        <v>35309</v>
      </c>
      <c r="I611" s="5" t="s">
        <v>292</v>
      </c>
      <c r="J611" s="5" t="s">
        <v>2050</v>
      </c>
      <c r="K611" s="5" t="s">
        <v>294</v>
      </c>
      <c r="L611" s="7">
        <v>1</v>
      </c>
      <c r="M611" s="7">
        <v>3</v>
      </c>
      <c r="N611" s="8">
        <v>69530</v>
      </c>
      <c r="O611" s="88">
        <v>2.5000000000000001E-2</v>
      </c>
      <c r="P611" s="10">
        <f t="shared" si="179"/>
        <v>1738</v>
      </c>
      <c r="Q611" s="88">
        <v>0</v>
      </c>
      <c r="R611" s="10">
        <f t="shared" si="180"/>
        <v>0</v>
      </c>
      <c r="S611" s="88">
        <f t="shared" si="181"/>
        <v>2.4996404429742557E-2</v>
      </c>
      <c r="T611" s="10">
        <f t="shared" si="182"/>
        <v>1738</v>
      </c>
      <c r="U611" s="10">
        <f t="shared" si="183"/>
        <v>71268</v>
      </c>
      <c r="V611" s="11">
        <v>72000</v>
      </c>
      <c r="W611" s="12">
        <f t="shared" si="184"/>
        <v>2470</v>
      </c>
      <c r="X611" s="92">
        <f t="shared" si="177"/>
        <v>3.5499999999999997E-2</v>
      </c>
      <c r="Y611" s="93" t="str">
        <f t="shared" si="191"/>
        <v>2.00%-3.00%</v>
      </c>
      <c r="Z611" s="15"/>
      <c r="AA611" s="15"/>
      <c r="AB611" s="15"/>
      <c r="AC611" s="95"/>
      <c r="AD611" s="8">
        <f t="shared" si="185"/>
        <v>0</v>
      </c>
      <c r="AE611" s="17">
        <f t="shared" si="186"/>
        <v>72000</v>
      </c>
      <c r="AF611" s="18">
        <f t="shared" si="187"/>
        <v>2470</v>
      </c>
      <c r="AG611" s="97">
        <f t="shared" si="188"/>
        <v>3.5524234143535116E-2</v>
      </c>
      <c r="AH611" s="20">
        <v>16</v>
      </c>
      <c r="AI611" s="20">
        <v>3450</v>
      </c>
      <c r="AJ611" s="20"/>
      <c r="AK611" s="20">
        <v>0</v>
      </c>
      <c r="AL611" s="20">
        <f t="shared" si="189"/>
        <v>1193400</v>
      </c>
      <c r="AM611" s="7">
        <v>3</v>
      </c>
      <c r="AN611" s="20"/>
      <c r="AO611" s="21"/>
      <c r="AP611" s="21"/>
      <c r="AQ611" s="5" t="s">
        <v>2047</v>
      </c>
      <c r="AR611" s="5" t="s">
        <v>2048</v>
      </c>
      <c r="AS611" s="5" t="s">
        <v>59</v>
      </c>
      <c r="AT611" s="20"/>
      <c r="AU611" s="21"/>
      <c r="AV611" s="21"/>
      <c r="AW611" s="144" t="str">
        <f t="shared" si="190"/>
        <v>OK</v>
      </c>
      <c r="AX611" s="21" t="s">
        <v>3137</v>
      </c>
      <c r="AY611" s="21" t="s">
        <v>3144</v>
      </c>
      <c r="AZ611" s="21"/>
      <c r="BA611" s="21"/>
    </row>
    <row r="612" spans="1:53" ht="20" customHeight="1">
      <c r="A612" s="86" t="s">
        <v>318</v>
      </c>
      <c r="B612" s="372" t="s">
        <v>2942</v>
      </c>
      <c r="C612" s="5" t="s">
        <v>51</v>
      </c>
      <c r="D612" s="5" t="s">
        <v>52</v>
      </c>
      <c r="E612" s="5" t="s">
        <v>2035</v>
      </c>
      <c r="F612" s="5" t="s">
        <v>2035</v>
      </c>
      <c r="G612" s="5" t="s">
        <v>2051</v>
      </c>
      <c r="H612" s="6">
        <v>41408</v>
      </c>
      <c r="I612" s="5" t="s">
        <v>266</v>
      </c>
      <c r="J612" s="5" t="s">
        <v>266</v>
      </c>
      <c r="K612" s="5" t="s">
        <v>56</v>
      </c>
      <c r="L612" s="7">
        <v>2</v>
      </c>
      <c r="M612" s="7">
        <v>5</v>
      </c>
      <c r="N612" s="8">
        <v>21200</v>
      </c>
      <c r="O612" s="88">
        <v>0.06</v>
      </c>
      <c r="P612" s="10">
        <f t="shared" si="179"/>
        <v>1272</v>
      </c>
      <c r="Q612" s="88">
        <v>2.7E-2</v>
      </c>
      <c r="R612" s="10">
        <f t="shared" si="180"/>
        <v>572</v>
      </c>
      <c r="S612" s="88">
        <f t="shared" si="181"/>
        <v>8.6981132075471701E-2</v>
      </c>
      <c r="T612" s="10">
        <f t="shared" si="182"/>
        <v>1844</v>
      </c>
      <c r="U612" s="10">
        <f t="shared" si="183"/>
        <v>23044</v>
      </c>
      <c r="V612" s="11">
        <v>25000</v>
      </c>
      <c r="W612" s="12">
        <f t="shared" si="184"/>
        <v>3800</v>
      </c>
      <c r="X612" s="92">
        <f t="shared" si="177"/>
        <v>0.1792</v>
      </c>
      <c r="Y612" s="93" t="str">
        <f t="shared" si="191"/>
        <v>6.96%-10.44%</v>
      </c>
      <c r="Z612" s="15"/>
      <c r="AA612" s="15"/>
      <c r="AB612" s="15"/>
      <c r="AC612" s="95"/>
      <c r="AD612" s="8">
        <f t="shared" si="185"/>
        <v>0</v>
      </c>
      <c r="AE612" s="17">
        <f t="shared" si="186"/>
        <v>25000</v>
      </c>
      <c r="AF612" s="18">
        <f t="shared" si="187"/>
        <v>3800</v>
      </c>
      <c r="AG612" s="97">
        <f t="shared" si="188"/>
        <v>0.179245283018868</v>
      </c>
      <c r="AH612" s="20">
        <v>14</v>
      </c>
      <c r="AI612" s="20">
        <v>450</v>
      </c>
      <c r="AJ612" s="20"/>
      <c r="AK612" s="20">
        <v>688</v>
      </c>
      <c r="AL612" s="20">
        <f t="shared" si="189"/>
        <v>356088</v>
      </c>
      <c r="AM612" s="7">
        <v>4</v>
      </c>
      <c r="AN612" s="20"/>
      <c r="AO612" s="21"/>
      <c r="AP612" s="21" t="s">
        <v>179</v>
      </c>
      <c r="AQ612" s="5" t="s">
        <v>2047</v>
      </c>
      <c r="AR612" s="5" t="s">
        <v>2048</v>
      </c>
      <c r="AS612" s="5" t="s">
        <v>59</v>
      </c>
      <c r="AT612" s="20"/>
      <c r="AU612" s="21"/>
      <c r="AV612" s="21"/>
      <c r="AW612" s="144" t="str">
        <f t="shared" si="190"/>
        <v>&gt;20</v>
      </c>
      <c r="AX612" s="21" t="s">
        <v>3135</v>
      </c>
      <c r="AY612" s="21" t="s">
        <v>3132</v>
      </c>
      <c r="AZ612" s="21"/>
      <c r="BA612" s="21"/>
    </row>
    <row r="613" spans="1:53" ht="20" customHeight="1">
      <c r="A613" s="86" t="s">
        <v>318</v>
      </c>
      <c r="B613" s="372" t="s">
        <v>2943</v>
      </c>
      <c r="C613" s="5" t="s">
        <v>51</v>
      </c>
      <c r="D613" s="5" t="s">
        <v>52</v>
      </c>
      <c r="E613" s="5" t="s">
        <v>2035</v>
      </c>
      <c r="F613" s="5" t="s">
        <v>2052</v>
      </c>
      <c r="G613" s="5" t="s">
        <v>2053</v>
      </c>
      <c r="H613" s="6">
        <v>42993</v>
      </c>
      <c r="I613" s="5" t="s">
        <v>198</v>
      </c>
      <c r="J613" s="5" t="s">
        <v>2054</v>
      </c>
      <c r="K613" s="5" t="s">
        <v>199</v>
      </c>
      <c r="L613" s="7">
        <v>2</v>
      </c>
      <c r="M613" s="7">
        <v>3</v>
      </c>
      <c r="N613" s="8">
        <v>44400</v>
      </c>
      <c r="O613" s="88">
        <v>2.5000000000000001E-2</v>
      </c>
      <c r="P613" s="10">
        <f t="shared" si="179"/>
        <v>1110</v>
      </c>
      <c r="Q613" s="88">
        <v>0</v>
      </c>
      <c r="R613" s="10">
        <f t="shared" si="180"/>
        <v>0</v>
      </c>
      <c r="S613" s="88">
        <f t="shared" si="181"/>
        <v>2.5000000000000001E-2</v>
      </c>
      <c r="T613" s="10">
        <f t="shared" si="182"/>
        <v>1110</v>
      </c>
      <c r="U613" s="10">
        <f t="shared" si="183"/>
        <v>45510</v>
      </c>
      <c r="V613" s="11">
        <v>44400</v>
      </c>
      <c r="W613" s="12">
        <f t="shared" si="184"/>
        <v>0</v>
      </c>
      <c r="X613" s="92">
        <f t="shared" si="177"/>
        <v>0</v>
      </c>
      <c r="Y613" s="93" t="str">
        <f t="shared" si="191"/>
        <v>2.00%-3.00%</v>
      </c>
      <c r="Z613" s="15"/>
      <c r="AA613" s="15"/>
      <c r="AB613" s="15"/>
      <c r="AC613" s="95"/>
      <c r="AD613" s="8">
        <f t="shared" si="185"/>
        <v>0</v>
      </c>
      <c r="AE613" s="17">
        <f t="shared" si="186"/>
        <v>44400</v>
      </c>
      <c r="AF613" s="18">
        <f t="shared" si="187"/>
        <v>0</v>
      </c>
      <c r="AG613" s="97">
        <f t="shared" si="188"/>
        <v>0</v>
      </c>
      <c r="AH613" s="20">
        <v>14</v>
      </c>
      <c r="AI613" s="20">
        <v>450</v>
      </c>
      <c r="AJ613" s="20">
        <v>1000</v>
      </c>
      <c r="AK613" s="20">
        <v>688</v>
      </c>
      <c r="AL613" s="20">
        <f t="shared" si="189"/>
        <v>639688</v>
      </c>
      <c r="AM613" s="7">
        <v>3</v>
      </c>
      <c r="AN613" s="20"/>
      <c r="AO613" s="21"/>
      <c r="AP613" s="21" t="s">
        <v>128</v>
      </c>
      <c r="AQ613" s="5" t="s">
        <v>2047</v>
      </c>
      <c r="AR613" s="5" t="s">
        <v>2048</v>
      </c>
      <c r="AS613" s="5" t="s">
        <v>59</v>
      </c>
      <c r="AT613" s="20"/>
      <c r="AU613" s="21"/>
      <c r="AV613" s="21"/>
      <c r="AW613" s="144" t="str">
        <f t="shared" si="190"/>
        <v>0 increase</v>
      </c>
      <c r="AX613" s="21" t="s">
        <v>3133</v>
      </c>
      <c r="AY613" s="21" t="s">
        <v>3130</v>
      </c>
      <c r="AZ613" s="21"/>
      <c r="BA613" s="21"/>
    </row>
    <row r="614" spans="1:53" ht="20" customHeight="1">
      <c r="A614" s="86" t="s">
        <v>318</v>
      </c>
      <c r="B614" s="372" t="s">
        <v>2944</v>
      </c>
      <c r="C614" s="5" t="s">
        <v>51</v>
      </c>
      <c r="D614" s="5" t="s">
        <v>52</v>
      </c>
      <c r="E614" s="5" t="s">
        <v>2035</v>
      </c>
      <c r="F614" s="5" t="s">
        <v>2055</v>
      </c>
      <c r="G614" s="5" t="s">
        <v>2056</v>
      </c>
      <c r="H614" s="6">
        <v>45989</v>
      </c>
      <c r="I614" s="5" t="s">
        <v>198</v>
      </c>
      <c r="J614" s="5" t="s">
        <v>134</v>
      </c>
      <c r="K614" s="5" t="s">
        <v>199</v>
      </c>
      <c r="L614" s="7">
        <v>2</v>
      </c>
      <c r="M614" s="7" t="s">
        <v>176</v>
      </c>
      <c r="N614" s="8">
        <v>40000</v>
      </c>
      <c r="O614" s="88">
        <v>2.5000000000000001E-2</v>
      </c>
      <c r="P614" s="10">
        <f t="shared" si="179"/>
        <v>1000</v>
      </c>
      <c r="Q614" s="88">
        <v>0</v>
      </c>
      <c r="R614" s="10">
        <f t="shared" si="180"/>
        <v>0</v>
      </c>
      <c r="S614" s="88">
        <f t="shared" si="181"/>
        <v>2.5000000000000001E-2</v>
      </c>
      <c r="T614" s="10">
        <f t="shared" si="182"/>
        <v>1000</v>
      </c>
      <c r="U614" s="10">
        <f t="shared" si="183"/>
        <v>41000</v>
      </c>
      <c r="V614" s="11">
        <v>40000</v>
      </c>
      <c r="W614" s="12">
        <f t="shared" si="184"/>
        <v>0</v>
      </c>
      <c r="X614" s="92">
        <f t="shared" si="177"/>
        <v>0</v>
      </c>
      <c r="Y614" s="93" t="str">
        <f t="shared" si="191"/>
        <v>2.00%-3.00%</v>
      </c>
      <c r="Z614" s="15"/>
      <c r="AA614" s="15"/>
      <c r="AB614" s="15"/>
      <c r="AC614" s="95"/>
      <c r="AD614" s="8">
        <f t="shared" si="185"/>
        <v>0</v>
      </c>
      <c r="AE614" s="17">
        <f t="shared" si="186"/>
        <v>40000</v>
      </c>
      <c r="AF614" s="18">
        <f t="shared" si="187"/>
        <v>0</v>
      </c>
      <c r="AG614" s="97">
        <f t="shared" si="188"/>
        <v>0</v>
      </c>
      <c r="AH614" s="20">
        <v>14</v>
      </c>
      <c r="AI614" s="20">
        <v>9050</v>
      </c>
      <c r="AJ614" s="20">
        <v>1000</v>
      </c>
      <c r="AK614" s="20">
        <v>688</v>
      </c>
      <c r="AL614" s="20">
        <f t="shared" si="189"/>
        <v>681288</v>
      </c>
      <c r="AM614" s="7" t="e">
        <v>#N/A</v>
      </c>
      <c r="AN614" s="20"/>
      <c r="AO614" s="21"/>
      <c r="AP614" s="21" t="s">
        <v>2057</v>
      </c>
      <c r="AQ614" s="5" t="s">
        <v>2047</v>
      </c>
      <c r="AR614" s="5" t="s">
        <v>2048</v>
      </c>
      <c r="AS614" s="5" t="s">
        <v>59</v>
      </c>
      <c r="AT614" s="20"/>
      <c r="AU614" s="21"/>
      <c r="AV614" s="21"/>
      <c r="AW614" s="144" t="str">
        <f t="shared" si="190"/>
        <v>0 increase</v>
      </c>
      <c r="AX614" s="21" t="s">
        <v>3133</v>
      </c>
      <c r="AY614" s="21">
        <v>0</v>
      </c>
      <c r="AZ614" s="21"/>
      <c r="BA614" s="21"/>
    </row>
    <row r="615" spans="1:53" ht="20" customHeight="1">
      <c r="A615" s="86" t="s">
        <v>318</v>
      </c>
      <c r="B615" s="372" t="s">
        <v>2945</v>
      </c>
      <c r="C615" s="5" t="s">
        <v>51</v>
      </c>
      <c r="D615" s="5" t="s">
        <v>52</v>
      </c>
      <c r="E615" s="5" t="s">
        <v>2035</v>
      </c>
      <c r="F615" s="5" t="s">
        <v>2035</v>
      </c>
      <c r="G615" s="5" t="s">
        <v>2056</v>
      </c>
      <c r="H615" s="6">
        <v>32478</v>
      </c>
      <c r="I615" s="5" t="s">
        <v>2058</v>
      </c>
      <c r="J615" s="5" t="s">
        <v>2059</v>
      </c>
      <c r="K615" s="5" t="s">
        <v>56</v>
      </c>
      <c r="L615" s="7">
        <v>2</v>
      </c>
      <c r="M615" s="7">
        <v>4</v>
      </c>
      <c r="N615" s="8">
        <v>26210</v>
      </c>
      <c r="O615" s="88">
        <v>2.2499999999999999E-2</v>
      </c>
      <c r="P615" s="10">
        <f t="shared" si="179"/>
        <v>590</v>
      </c>
      <c r="Q615" s="88">
        <v>0</v>
      </c>
      <c r="R615" s="10">
        <f t="shared" si="180"/>
        <v>0</v>
      </c>
      <c r="S615" s="88">
        <f t="shared" si="181"/>
        <v>2.2510492178557804E-2</v>
      </c>
      <c r="T615" s="10">
        <f t="shared" si="182"/>
        <v>590</v>
      </c>
      <c r="U615" s="10">
        <f t="shared" si="183"/>
        <v>26800</v>
      </c>
      <c r="V615" s="11">
        <v>27000</v>
      </c>
      <c r="W615" s="12">
        <f t="shared" si="184"/>
        <v>790</v>
      </c>
      <c r="X615" s="92">
        <f t="shared" si="177"/>
        <v>3.0099999999999998E-2</v>
      </c>
      <c r="Y615" s="93" t="str">
        <f t="shared" si="191"/>
        <v>1.80%-2.70%</v>
      </c>
      <c r="Z615" s="15"/>
      <c r="AA615" s="15"/>
      <c r="AB615" s="15"/>
      <c r="AC615" s="95"/>
      <c r="AD615" s="8">
        <f t="shared" si="185"/>
        <v>0</v>
      </c>
      <c r="AE615" s="17">
        <f t="shared" si="186"/>
        <v>27000</v>
      </c>
      <c r="AF615" s="18">
        <f t="shared" si="187"/>
        <v>790</v>
      </c>
      <c r="AG615" s="97">
        <f t="shared" si="188"/>
        <v>3.0141167493323184E-2</v>
      </c>
      <c r="AH615" s="20">
        <v>14</v>
      </c>
      <c r="AI615" s="20">
        <v>450</v>
      </c>
      <c r="AJ615" s="20"/>
      <c r="AK615" s="20">
        <v>688</v>
      </c>
      <c r="AL615" s="20">
        <f t="shared" si="189"/>
        <v>384088</v>
      </c>
      <c r="AM615" s="7">
        <v>3</v>
      </c>
      <c r="AN615" s="20"/>
      <c r="AO615" s="21"/>
      <c r="AP615" s="21" t="s">
        <v>151</v>
      </c>
      <c r="AQ615" s="5" t="s">
        <v>2047</v>
      </c>
      <c r="AR615" s="5" t="s">
        <v>2048</v>
      </c>
      <c r="AS615" s="5" t="s">
        <v>59</v>
      </c>
      <c r="AT615" s="20"/>
      <c r="AU615" s="21"/>
      <c r="AV615" s="21"/>
      <c r="AW615" s="144" t="str">
        <f t="shared" si="190"/>
        <v>OK</v>
      </c>
      <c r="AX615" s="21" t="s">
        <v>3137</v>
      </c>
      <c r="AY615" s="21" t="s">
        <v>3138</v>
      </c>
      <c r="AZ615" s="21"/>
      <c r="BA615" s="21"/>
    </row>
    <row r="616" spans="1:53" ht="20" customHeight="1">
      <c r="A616" s="86" t="s">
        <v>318</v>
      </c>
      <c r="B616" s="372" t="s">
        <v>2946</v>
      </c>
      <c r="C616" s="5" t="s">
        <v>51</v>
      </c>
      <c r="D616" s="5" t="s">
        <v>52</v>
      </c>
      <c r="E616" s="5" t="s">
        <v>2035</v>
      </c>
      <c r="F616" s="5" t="s">
        <v>2060</v>
      </c>
      <c r="G616" s="5" t="s">
        <v>2061</v>
      </c>
      <c r="H616" s="6">
        <v>38201</v>
      </c>
      <c r="I616" s="5" t="s">
        <v>71</v>
      </c>
      <c r="J616" s="5" t="s">
        <v>2062</v>
      </c>
      <c r="K616" s="5" t="s">
        <v>61</v>
      </c>
      <c r="L616" s="7">
        <v>2</v>
      </c>
      <c r="M616" s="7">
        <v>3</v>
      </c>
      <c r="N616" s="8">
        <v>15234</v>
      </c>
      <c r="O616" s="88">
        <v>0.03</v>
      </c>
      <c r="P616" s="10">
        <f t="shared" si="179"/>
        <v>457</v>
      </c>
      <c r="Q616" s="88">
        <v>0</v>
      </c>
      <c r="R616" s="10">
        <f t="shared" si="180"/>
        <v>0</v>
      </c>
      <c r="S616" s="88">
        <f t="shared" si="181"/>
        <v>2.9998687147170803E-2</v>
      </c>
      <c r="T616" s="10">
        <f t="shared" si="182"/>
        <v>457</v>
      </c>
      <c r="U616" s="10">
        <f t="shared" si="183"/>
        <v>15691</v>
      </c>
      <c r="V616" s="11">
        <v>15234</v>
      </c>
      <c r="W616" s="12">
        <f t="shared" si="184"/>
        <v>0</v>
      </c>
      <c r="X616" s="92">
        <f t="shared" si="177"/>
        <v>0</v>
      </c>
      <c r="Y616" s="93" t="str">
        <f t="shared" si="191"/>
        <v>2.40%-3.60%</v>
      </c>
      <c r="Z616" s="15"/>
      <c r="AA616" s="15"/>
      <c r="AB616" s="15"/>
      <c r="AC616" s="95"/>
      <c r="AD616" s="8">
        <f t="shared" si="185"/>
        <v>0</v>
      </c>
      <c r="AE616" s="17">
        <f t="shared" si="186"/>
        <v>15234</v>
      </c>
      <c r="AF616" s="18">
        <f t="shared" si="187"/>
        <v>0</v>
      </c>
      <c r="AG616" s="97">
        <f t="shared" si="188"/>
        <v>0</v>
      </c>
      <c r="AH616" s="20">
        <v>14</v>
      </c>
      <c r="AI616" s="20">
        <v>600</v>
      </c>
      <c r="AJ616" s="20"/>
      <c r="AK616" s="20">
        <v>688</v>
      </c>
      <c r="AL616" s="20">
        <f t="shared" si="189"/>
        <v>221164</v>
      </c>
      <c r="AM616" s="7">
        <v>3</v>
      </c>
      <c r="AN616" s="20"/>
      <c r="AO616" s="21"/>
      <c r="AP616" s="21"/>
      <c r="AQ616" s="5" t="s">
        <v>2047</v>
      </c>
      <c r="AR616" s="5" t="s">
        <v>2048</v>
      </c>
      <c r="AS616" s="5" t="s">
        <v>59</v>
      </c>
      <c r="AT616" s="20"/>
      <c r="AU616" s="21"/>
      <c r="AV616" s="21"/>
      <c r="AW616" s="144" t="str">
        <f t="shared" si="190"/>
        <v>0 increase</v>
      </c>
      <c r="AX616" s="21" t="s">
        <v>3139</v>
      </c>
      <c r="AY616" s="21" t="s">
        <v>3132</v>
      </c>
      <c r="AZ616" s="21"/>
      <c r="BA616" s="21"/>
    </row>
    <row r="617" spans="1:53" ht="20" customHeight="1">
      <c r="A617" s="86" t="s">
        <v>318</v>
      </c>
      <c r="B617" s="372" t="s">
        <v>2947</v>
      </c>
      <c r="C617" s="5" t="s">
        <v>51</v>
      </c>
      <c r="D617" s="5" t="s">
        <v>52</v>
      </c>
      <c r="E617" s="5" t="s">
        <v>2035</v>
      </c>
      <c r="F617" s="5" t="s">
        <v>2063</v>
      </c>
      <c r="G617" s="5" t="s">
        <v>2064</v>
      </c>
      <c r="H617" s="6">
        <v>33451</v>
      </c>
      <c r="I617" s="5" t="s">
        <v>198</v>
      </c>
      <c r="J617" s="5" t="s">
        <v>2065</v>
      </c>
      <c r="K617" s="5" t="s">
        <v>199</v>
      </c>
      <c r="L617" s="7">
        <v>2</v>
      </c>
      <c r="M617" s="7">
        <v>3</v>
      </c>
      <c r="N617" s="8">
        <v>44060</v>
      </c>
      <c r="O617" s="88">
        <v>0</v>
      </c>
      <c r="P617" s="10">
        <f t="shared" si="179"/>
        <v>0</v>
      </c>
      <c r="Q617" s="88">
        <v>0</v>
      </c>
      <c r="R617" s="10">
        <f t="shared" si="180"/>
        <v>0</v>
      </c>
      <c r="S617" s="88">
        <f t="shared" si="181"/>
        <v>0</v>
      </c>
      <c r="T617" s="10">
        <f t="shared" si="182"/>
        <v>0</v>
      </c>
      <c r="U617" s="10">
        <f t="shared" si="183"/>
        <v>44060</v>
      </c>
      <c r="V617" s="11">
        <v>44060</v>
      </c>
      <c r="W617" s="12">
        <f t="shared" si="184"/>
        <v>0</v>
      </c>
      <c r="X617" s="92">
        <f t="shared" si="177"/>
        <v>0</v>
      </c>
      <c r="Y617" s="93" t="str">
        <f t="shared" si="191"/>
        <v>0.00%-0.00%</v>
      </c>
      <c r="Z617" s="15"/>
      <c r="AA617" s="15"/>
      <c r="AB617" s="15"/>
      <c r="AC617" s="95"/>
      <c r="AD617" s="8">
        <f t="shared" si="185"/>
        <v>0</v>
      </c>
      <c r="AE617" s="17">
        <f t="shared" si="186"/>
        <v>44060</v>
      </c>
      <c r="AF617" s="18">
        <f t="shared" si="187"/>
        <v>0</v>
      </c>
      <c r="AG617" s="97">
        <f t="shared" si="188"/>
        <v>0</v>
      </c>
      <c r="AH617" s="20">
        <v>14</v>
      </c>
      <c r="AI617" s="20">
        <v>450</v>
      </c>
      <c r="AJ617" s="20">
        <v>1000</v>
      </c>
      <c r="AK617" s="20">
        <v>688</v>
      </c>
      <c r="AL617" s="20">
        <f t="shared" si="189"/>
        <v>634928</v>
      </c>
      <c r="AM617" s="7">
        <v>4</v>
      </c>
      <c r="AN617" s="20"/>
      <c r="AO617" s="21"/>
      <c r="AP617" s="21"/>
      <c r="AQ617" s="5" t="s">
        <v>2047</v>
      </c>
      <c r="AR617" s="5" t="s">
        <v>2048</v>
      </c>
      <c r="AS617" s="5" t="s">
        <v>59</v>
      </c>
      <c r="AT617" s="20"/>
      <c r="AU617" s="21"/>
      <c r="AV617" s="21"/>
      <c r="AW617" s="144" t="str">
        <f t="shared" si="190"/>
        <v>OK</v>
      </c>
      <c r="AX617" s="21" t="s">
        <v>3137</v>
      </c>
      <c r="AY617" s="21" t="s">
        <v>3134</v>
      </c>
      <c r="AZ617" s="21"/>
      <c r="BA617" s="21"/>
    </row>
    <row r="618" spans="1:53" ht="20" customHeight="1">
      <c r="A618" s="86" t="s">
        <v>318</v>
      </c>
      <c r="B618" s="372" t="s">
        <v>2948</v>
      </c>
      <c r="C618" s="5" t="s">
        <v>51</v>
      </c>
      <c r="D618" s="5" t="s">
        <v>52</v>
      </c>
      <c r="E618" s="5" t="s">
        <v>2035</v>
      </c>
      <c r="F618" s="5" t="s">
        <v>2066</v>
      </c>
      <c r="G618" s="5" t="s">
        <v>2067</v>
      </c>
      <c r="H618" s="6">
        <v>45063</v>
      </c>
      <c r="I618" s="5" t="s">
        <v>111</v>
      </c>
      <c r="J618" s="5" t="s">
        <v>2068</v>
      </c>
      <c r="K618" s="5" t="s">
        <v>56</v>
      </c>
      <c r="L618" s="7">
        <v>2</v>
      </c>
      <c r="M618" s="7">
        <v>3</v>
      </c>
      <c r="N618" s="8">
        <v>23924</v>
      </c>
      <c r="O618" s="88">
        <v>2.5000000000000001E-2</v>
      </c>
      <c r="P618" s="10">
        <f t="shared" si="179"/>
        <v>598</v>
      </c>
      <c r="Q618" s="88">
        <v>0</v>
      </c>
      <c r="R618" s="10">
        <f t="shared" si="180"/>
        <v>0</v>
      </c>
      <c r="S618" s="88">
        <f t="shared" si="181"/>
        <v>2.499582009697375E-2</v>
      </c>
      <c r="T618" s="10">
        <f t="shared" si="182"/>
        <v>598</v>
      </c>
      <c r="U618" s="10">
        <f t="shared" si="183"/>
        <v>24522</v>
      </c>
      <c r="V618" s="11">
        <v>23924</v>
      </c>
      <c r="W618" s="12">
        <f t="shared" si="184"/>
        <v>0</v>
      </c>
      <c r="X618" s="92">
        <f t="shared" si="177"/>
        <v>0</v>
      </c>
      <c r="Y618" s="93" t="str">
        <f t="shared" si="191"/>
        <v>2.00%-3.00%</v>
      </c>
      <c r="Z618" s="15"/>
      <c r="AA618" s="15"/>
      <c r="AB618" s="15"/>
      <c r="AC618" s="95"/>
      <c r="AD618" s="8">
        <f t="shared" si="185"/>
        <v>0</v>
      </c>
      <c r="AE618" s="17">
        <f t="shared" si="186"/>
        <v>23924</v>
      </c>
      <c r="AF618" s="18">
        <f t="shared" si="187"/>
        <v>0</v>
      </c>
      <c r="AG618" s="97">
        <f t="shared" si="188"/>
        <v>0</v>
      </c>
      <c r="AH618" s="20">
        <v>14</v>
      </c>
      <c r="AI618" s="20">
        <v>450</v>
      </c>
      <c r="AJ618" s="20"/>
      <c r="AK618" s="20">
        <v>688</v>
      </c>
      <c r="AL618" s="20">
        <f t="shared" si="189"/>
        <v>341024</v>
      </c>
      <c r="AM618" s="7">
        <v>4</v>
      </c>
      <c r="AN618" s="20"/>
      <c r="AO618" s="21"/>
      <c r="AP618" s="21" t="s">
        <v>128</v>
      </c>
      <c r="AQ618" s="5" t="s">
        <v>2047</v>
      </c>
      <c r="AR618" s="5" t="s">
        <v>2048</v>
      </c>
      <c r="AS618" s="5" t="s">
        <v>59</v>
      </c>
      <c r="AT618" s="20"/>
      <c r="AU618" s="21"/>
      <c r="AV618" s="21"/>
      <c r="AW618" s="144" t="str">
        <f t="shared" si="190"/>
        <v>0 increase</v>
      </c>
      <c r="AX618" s="21" t="s">
        <v>3131</v>
      </c>
      <c r="AY618" s="21" t="s">
        <v>3130</v>
      </c>
      <c r="AZ618" s="21"/>
      <c r="BA618" s="21"/>
    </row>
    <row r="619" spans="1:53" ht="20" customHeight="1">
      <c r="A619" s="86" t="s">
        <v>318</v>
      </c>
      <c r="B619" s="372" t="s">
        <v>2949</v>
      </c>
      <c r="C619" s="5" t="s">
        <v>51</v>
      </c>
      <c r="D619" s="5" t="s">
        <v>52</v>
      </c>
      <c r="E619" s="5" t="s">
        <v>2035</v>
      </c>
      <c r="F619" s="5" t="s">
        <v>2066</v>
      </c>
      <c r="G619" s="5" t="s">
        <v>2067</v>
      </c>
      <c r="H619" s="6">
        <v>42948</v>
      </c>
      <c r="I619" s="5" t="s">
        <v>74</v>
      </c>
      <c r="J619" s="5" t="s">
        <v>156</v>
      </c>
      <c r="K619" s="5" t="s">
        <v>76</v>
      </c>
      <c r="L619" s="7">
        <v>2</v>
      </c>
      <c r="M619" s="7">
        <v>3</v>
      </c>
      <c r="N619" s="8">
        <v>13042</v>
      </c>
      <c r="O619" s="88">
        <v>0</v>
      </c>
      <c r="P619" s="10">
        <f t="shared" si="179"/>
        <v>0</v>
      </c>
      <c r="Q619" s="88">
        <v>0</v>
      </c>
      <c r="R619" s="10">
        <f t="shared" si="180"/>
        <v>0</v>
      </c>
      <c r="S619" s="88">
        <f t="shared" si="181"/>
        <v>0</v>
      </c>
      <c r="T619" s="10">
        <f t="shared" si="182"/>
        <v>0</v>
      </c>
      <c r="U619" s="10">
        <f t="shared" si="183"/>
        <v>13042</v>
      </c>
      <c r="V619" s="11">
        <v>13042</v>
      </c>
      <c r="W619" s="12">
        <f t="shared" si="184"/>
        <v>0</v>
      </c>
      <c r="X619" s="92">
        <f t="shared" si="177"/>
        <v>0</v>
      </c>
      <c r="Y619" s="93" t="str">
        <f t="shared" si="191"/>
        <v>0.00%-0.00%</v>
      </c>
      <c r="Z619" s="15"/>
      <c r="AA619" s="15"/>
      <c r="AB619" s="15"/>
      <c r="AC619" s="95"/>
      <c r="AD619" s="8">
        <f t="shared" si="185"/>
        <v>0</v>
      </c>
      <c r="AE619" s="17">
        <f t="shared" si="186"/>
        <v>13042</v>
      </c>
      <c r="AF619" s="18">
        <f t="shared" si="187"/>
        <v>0</v>
      </c>
      <c r="AG619" s="97">
        <f t="shared" si="188"/>
        <v>0</v>
      </c>
      <c r="AH619" s="20">
        <v>14</v>
      </c>
      <c r="AI619" s="20">
        <v>850</v>
      </c>
      <c r="AJ619" s="20"/>
      <c r="AK619" s="20">
        <v>688</v>
      </c>
      <c r="AL619" s="20">
        <f t="shared" si="189"/>
        <v>193476</v>
      </c>
      <c r="AM619" s="7">
        <v>3</v>
      </c>
      <c r="AN619" s="20"/>
      <c r="AO619" s="21"/>
      <c r="AP619" s="21"/>
      <c r="AQ619" s="5" t="s">
        <v>2047</v>
      </c>
      <c r="AR619" s="5" t="s">
        <v>2048</v>
      </c>
      <c r="AS619" s="5" t="s">
        <v>59</v>
      </c>
      <c r="AT619" s="20"/>
      <c r="AU619" s="21"/>
      <c r="AV619" s="21"/>
      <c r="AW619" s="144" t="str">
        <f t="shared" si="190"/>
        <v>OK</v>
      </c>
      <c r="AX619" s="21" t="s">
        <v>3133</v>
      </c>
      <c r="AY619" s="21" t="s">
        <v>3134</v>
      </c>
      <c r="AZ619" s="21"/>
      <c r="BA619" s="21"/>
    </row>
    <row r="620" spans="1:53" ht="20" customHeight="1">
      <c r="A620" s="86" t="s">
        <v>318</v>
      </c>
      <c r="B620" s="372" t="s">
        <v>2950</v>
      </c>
      <c r="C620" s="5" t="s">
        <v>51</v>
      </c>
      <c r="D620" s="5" t="s">
        <v>52</v>
      </c>
      <c r="E620" s="5" t="s">
        <v>2035</v>
      </c>
      <c r="F620" s="5" t="s">
        <v>2066</v>
      </c>
      <c r="G620" s="5" t="s">
        <v>2067</v>
      </c>
      <c r="H620" s="6">
        <v>44057</v>
      </c>
      <c r="I620" s="5" t="s">
        <v>74</v>
      </c>
      <c r="J620" s="5" t="s">
        <v>74</v>
      </c>
      <c r="K620" s="5" t="s">
        <v>76</v>
      </c>
      <c r="L620" s="7">
        <v>2</v>
      </c>
      <c r="M620" s="7">
        <v>3</v>
      </c>
      <c r="N620" s="8">
        <v>9602</v>
      </c>
      <c r="O620" s="88">
        <v>2.5000000000000001E-2</v>
      </c>
      <c r="P620" s="10">
        <f t="shared" si="179"/>
        <v>240</v>
      </c>
      <c r="Q620" s="88">
        <v>0</v>
      </c>
      <c r="R620" s="10">
        <f t="shared" si="180"/>
        <v>0</v>
      </c>
      <c r="S620" s="88">
        <f t="shared" si="181"/>
        <v>2.4994792751510102E-2</v>
      </c>
      <c r="T620" s="10">
        <f t="shared" si="182"/>
        <v>240</v>
      </c>
      <c r="U620" s="10">
        <f t="shared" si="183"/>
        <v>9842</v>
      </c>
      <c r="V620" s="11">
        <v>9602</v>
      </c>
      <c r="W620" s="12">
        <f t="shared" si="184"/>
        <v>0</v>
      </c>
      <c r="X620" s="92">
        <f t="shared" si="177"/>
        <v>0</v>
      </c>
      <c r="Y620" s="93" t="str">
        <f t="shared" si="191"/>
        <v>2.00%-3.00%</v>
      </c>
      <c r="Z620" s="15"/>
      <c r="AA620" s="15"/>
      <c r="AB620" s="15"/>
      <c r="AC620" s="95"/>
      <c r="AD620" s="8">
        <f t="shared" si="185"/>
        <v>0</v>
      </c>
      <c r="AE620" s="17">
        <f t="shared" si="186"/>
        <v>9602</v>
      </c>
      <c r="AF620" s="18">
        <f t="shared" si="187"/>
        <v>0</v>
      </c>
      <c r="AG620" s="97">
        <f t="shared" si="188"/>
        <v>0</v>
      </c>
      <c r="AH620" s="20">
        <v>14</v>
      </c>
      <c r="AI620" s="20">
        <v>850</v>
      </c>
      <c r="AJ620" s="20"/>
      <c r="AK620" s="20">
        <v>688</v>
      </c>
      <c r="AL620" s="20">
        <f t="shared" si="189"/>
        <v>145316</v>
      </c>
      <c r="AM620" s="7">
        <v>4</v>
      </c>
      <c r="AN620" s="20"/>
      <c r="AO620" s="21"/>
      <c r="AP620" s="21" t="s">
        <v>128</v>
      </c>
      <c r="AQ620" s="5" t="s">
        <v>2047</v>
      </c>
      <c r="AR620" s="5" t="s">
        <v>2048</v>
      </c>
      <c r="AS620" s="5" t="s">
        <v>59</v>
      </c>
      <c r="AT620" s="20"/>
      <c r="AU620" s="21"/>
      <c r="AV620" s="21"/>
      <c r="AW620" s="144" t="str">
        <f t="shared" si="190"/>
        <v>0 increase</v>
      </c>
      <c r="AX620" s="21" t="s">
        <v>3131</v>
      </c>
      <c r="AY620" s="21" t="s">
        <v>3130</v>
      </c>
      <c r="AZ620" s="21"/>
      <c r="BA620" s="21"/>
    </row>
    <row r="621" spans="1:53" ht="20" customHeight="1">
      <c r="A621" s="86" t="s">
        <v>318</v>
      </c>
      <c r="B621" s="372" t="s">
        <v>2951</v>
      </c>
      <c r="C621" s="5" t="s">
        <v>51</v>
      </c>
      <c r="D621" s="5" t="s">
        <v>52</v>
      </c>
      <c r="E621" s="5" t="s">
        <v>2035</v>
      </c>
      <c r="F621" s="5" t="s">
        <v>2066</v>
      </c>
      <c r="G621" s="5" t="s">
        <v>2067</v>
      </c>
      <c r="H621" s="6">
        <v>44124</v>
      </c>
      <c r="I621" s="5" t="s">
        <v>60</v>
      </c>
      <c r="J621" s="5" t="s">
        <v>60</v>
      </c>
      <c r="K621" s="5" t="s">
        <v>61</v>
      </c>
      <c r="L621" s="7">
        <v>2</v>
      </c>
      <c r="M621" s="7">
        <v>3</v>
      </c>
      <c r="N621" s="8">
        <v>12302</v>
      </c>
      <c r="O621" s="88">
        <v>0.03</v>
      </c>
      <c r="P621" s="10">
        <f t="shared" si="179"/>
        <v>369</v>
      </c>
      <c r="Q621" s="88">
        <v>0</v>
      </c>
      <c r="R621" s="10">
        <f t="shared" si="180"/>
        <v>0</v>
      </c>
      <c r="S621" s="88">
        <f t="shared" si="181"/>
        <v>2.9995122744269225E-2</v>
      </c>
      <c r="T621" s="10">
        <f t="shared" si="182"/>
        <v>369</v>
      </c>
      <c r="U621" s="10">
        <f t="shared" si="183"/>
        <v>12671</v>
      </c>
      <c r="V621" s="11">
        <v>13808</v>
      </c>
      <c r="W621" s="12">
        <f t="shared" si="184"/>
        <v>1506</v>
      </c>
      <c r="X621" s="92">
        <f t="shared" si="177"/>
        <v>0.12239999999999999</v>
      </c>
      <c r="Y621" s="93" t="str">
        <f t="shared" si="191"/>
        <v>2.40%-3.60%</v>
      </c>
      <c r="Z621" s="15"/>
      <c r="AA621" s="15"/>
      <c r="AB621" s="15"/>
      <c r="AC621" s="95"/>
      <c r="AD621" s="8">
        <f t="shared" si="185"/>
        <v>0</v>
      </c>
      <c r="AE621" s="17">
        <f t="shared" si="186"/>
        <v>13808</v>
      </c>
      <c r="AF621" s="18">
        <f t="shared" si="187"/>
        <v>1506</v>
      </c>
      <c r="AG621" s="97">
        <f t="shared" si="188"/>
        <v>0.12241911884246459</v>
      </c>
      <c r="AH621" s="20">
        <v>14</v>
      </c>
      <c r="AI621" s="20">
        <v>450</v>
      </c>
      <c r="AJ621" s="20"/>
      <c r="AK621" s="20">
        <v>688</v>
      </c>
      <c r="AL621" s="20">
        <f t="shared" si="189"/>
        <v>199400</v>
      </c>
      <c r="AM621" s="7">
        <v>4</v>
      </c>
      <c r="AN621" s="20"/>
      <c r="AO621" s="21"/>
      <c r="AP621" s="21"/>
      <c r="AQ621" s="5" t="s">
        <v>2047</v>
      </c>
      <c r="AR621" s="5" t="s">
        <v>2048</v>
      </c>
      <c r="AS621" s="5" t="s">
        <v>59</v>
      </c>
      <c r="AT621" s="20"/>
      <c r="AU621" s="21"/>
      <c r="AV621" s="21"/>
      <c r="AW621" s="144" t="str">
        <f t="shared" si="190"/>
        <v>&gt;20</v>
      </c>
      <c r="AX621" s="21" t="s">
        <v>3131</v>
      </c>
      <c r="AY621" s="21" t="s">
        <v>3132</v>
      </c>
      <c r="AZ621" s="21"/>
      <c r="BA621" s="21"/>
    </row>
    <row r="622" spans="1:53" ht="20" customHeight="1">
      <c r="A622" s="86" t="s">
        <v>318</v>
      </c>
      <c r="B622" s="372" t="s">
        <v>2952</v>
      </c>
      <c r="C622" s="5" t="s">
        <v>51</v>
      </c>
      <c r="D622" s="5" t="s">
        <v>52</v>
      </c>
      <c r="E622" s="5" t="s">
        <v>2035</v>
      </c>
      <c r="F622" s="5" t="s">
        <v>2066</v>
      </c>
      <c r="G622" s="5" t="s">
        <v>2067</v>
      </c>
      <c r="H622" s="6">
        <v>44412</v>
      </c>
      <c r="I622" s="5" t="s">
        <v>74</v>
      </c>
      <c r="J622" s="5" t="s">
        <v>2069</v>
      </c>
      <c r="K622" s="5" t="s">
        <v>76</v>
      </c>
      <c r="L622" s="7">
        <v>2</v>
      </c>
      <c r="M622" s="7">
        <v>5</v>
      </c>
      <c r="N622" s="8">
        <v>11247</v>
      </c>
      <c r="O622" s="88">
        <v>0.05</v>
      </c>
      <c r="P622" s="10">
        <f t="shared" si="179"/>
        <v>562</v>
      </c>
      <c r="Q622" s="88">
        <v>2.7E-2</v>
      </c>
      <c r="R622" s="10">
        <f t="shared" si="180"/>
        <v>304</v>
      </c>
      <c r="S622" s="88">
        <f t="shared" si="181"/>
        <v>7.6998310660620614E-2</v>
      </c>
      <c r="T622" s="10">
        <f t="shared" si="182"/>
        <v>866</v>
      </c>
      <c r="U622" s="10">
        <f t="shared" si="183"/>
        <v>12113</v>
      </c>
      <c r="V622" s="11">
        <v>12000</v>
      </c>
      <c r="W622" s="12">
        <f t="shared" si="184"/>
        <v>753</v>
      </c>
      <c r="X622" s="92">
        <f t="shared" si="177"/>
        <v>6.7000000000000004E-2</v>
      </c>
      <c r="Y622" s="93" t="str">
        <f t="shared" si="191"/>
        <v>6.16%-9.24%</v>
      </c>
      <c r="Z622" s="15"/>
      <c r="AA622" s="15"/>
      <c r="AB622" s="15"/>
      <c r="AC622" s="95"/>
      <c r="AD622" s="8">
        <f t="shared" si="185"/>
        <v>0</v>
      </c>
      <c r="AE622" s="17">
        <f t="shared" si="186"/>
        <v>12000</v>
      </c>
      <c r="AF622" s="18">
        <f t="shared" si="187"/>
        <v>753</v>
      </c>
      <c r="AG622" s="97">
        <f t="shared" si="188"/>
        <v>6.6951186983195576E-2</v>
      </c>
      <c r="AH622" s="20">
        <v>14</v>
      </c>
      <c r="AI622" s="20">
        <v>450</v>
      </c>
      <c r="AJ622" s="20"/>
      <c r="AK622" s="20">
        <v>688</v>
      </c>
      <c r="AL622" s="20">
        <f t="shared" si="189"/>
        <v>174088</v>
      </c>
      <c r="AM622" s="7">
        <v>5</v>
      </c>
      <c r="AN622" s="20"/>
      <c r="AO622" s="21"/>
      <c r="AP622" s="21"/>
      <c r="AQ622" s="5" t="s">
        <v>2047</v>
      </c>
      <c r="AR622" s="5" t="s">
        <v>2048</v>
      </c>
      <c r="AS622" s="5" t="s">
        <v>59</v>
      </c>
      <c r="AT622" s="20"/>
      <c r="AU622" s="21"/>
      <c r="AV622" s="21"/>
      <c r="AW622" s="144" t="str">
        <f t="shared" si="190"/>
        <v>OK</v>
      </c>
      <c r="AX622" s="21" t="s">
        <v>3131</v>
      </c>
      <c r="AY622" s="21" t="s">
        <v>3130</v>
      </c>
      <c r="AZ622" s="21"/>
      <c r="BA622" s="21"/>
    </row>
    <row r="623" spans="1:53" ht="20" customHeight="1">
      <c r="A623" s="86" t="s">
        <v>318</v>
      </c>
      <c r="B623" s="372" t="s">
        <v>2953</v>
      </c>
      <c r="C623" s="5" t="s">
        <v>51</v>
      </c>
      <c r="D623" s="5" t="s">
        <v>52</v>
      </c>
      <c r="E623" s="5" t="s">
        <v>2035</v>
      </c>
      <c r="F623" s="5" t="s">
        <v>2035</v>
      </c>
      <c r="G623" s="5" t="s">
        <v>2056</v>
      </c>
      <c r="H623" s="6">
        <v>45840</v>
      </c>
      <c r="I623" s="5" t="s">
        <v>85</v>
      </c>
      <c r="J623" s="5" t="s">
        <v>1755</v>
      </c>
      <c r="K623" s="5" t="s">
        <v>76</v>
      </c>
      <c r="L623" s="7">
        <v>2</v>
      </c>
      <c r="M623" s="7">
        <v>3</v>
      </c>
      <c r="N623" s="8">
        <v>10500</v>
      </c>
      <c r="O623" s="88">
        <v>2.5000000000000001E-2</v>
      </c>
      <c r="P623" s="10">
        <f t="shared" si="179"/>
        <v>263</v>
      </c>
      <c r="Q623" s="88">
        <v>0</v>
      </c>
      <c r="R623" s="10">
        <f t="shared" si="180"/>
        <v>0</v>
      </c>
      <c r="S623" s="88">
        <f t="shared" si="181"/>
        <v>2.5047619047619048E-2</v>
      </c>
      <c r="T623" s="10">
        <f t="shared" si="182"/>
        <v>263</v>
      </c>
      <c r="U623" s="10">
        <f t="shared" si="183"/>
        <v>10763</v>
      </c>
      <c r="V623" s="11">
        <v>10500</v>
      </c>
      <c r="W623" s="12">
        <f t="shared" si="184"/>
        <v>0</v>
      </c>
      <c r="X623" s="92">
        <f t="shared" si="177"/>
        <v>0</v>
      </c>
      <c r="Y623" s="93" t="str">
        <f t="shared" si="191"/>
        <v>2.00%-3.01%</v>
      </c>
      <c r="Z623" s="15"/>
      <c r="AA623" s="15"/>
      <c r="AB623" s="15"/>
      <c r="AC623" s="95"/>
      <c r="AD623" s="8">
        <f t="shared" si="185"/>
        <v>0</v>
      </c>
      <c r="AE623" s="17">
        <f t="shared" si="186"/>
        <v>10500</v>
      </c>
      <c r="AF623" s="18">
        <f t="shared" si="187"/>
        <v>0</v>
      </c>
      <c r="AG623" s="97">
        <f t="shared" si="188"/>
        <v>0</v>
      </c>
      <c r="AH623" s="20">
        <v>14</v>
      </c>
      <c r="AI623" s="20">
        <v>450</v>
      </c>
      <c r="AJ623" s="20"/>
      <c r="AK623" s="20">
        <v>688</v>
      </c>
      <c r="AL623" s="20">
        <f t="shared" si="189"/>
        <v>153088</v>
      </c>
      <c r="AM623" s="7" t="e">
        <v>#N/A</v>
      </c>
      <c r="AN623" s="20"/>
      <c r="AO623" s="21"/>
      <c r="AP623" s="21" t="s">
        <v>128</v>
      </c>
      <c r="AQ623" s="5" t="s">
        <v>2047</v>
      </c>
      <c r="AR623" s="5" t="s">
        <v>2048</v>
      </c>
      <c r="AS623" s="5" t="s">
        <v>59</v>
      </c>
      <c r="AT623" s="20"/>
      <c r="AU623" s="21"/>
      <c r="AV623" s="21"/>
      <c r="AW623" s="144" t="str">
        <f t="shared" si="190"/>
        <v>0 increase</v>
      </c>
      <c r="AX623" s="21" t="s">
        <v>3131</v>
      </c>
      <c r="AY623" s="21" t="s">
        <v>3130</v>
      </c>
      <c r="AZ623" s="21"/>
      <c r="BA623" s="21"/>
    </row>
    <row r="624" spans="1:53" ht="20" customHeight="1">
      <c r="A624" s="86" t="s">
        <v>318</v>
      </c>
      <c r="B624" s="372" t="s">
        <v>2954</v>
      </c>
      <c r="C624" s="5" t="s">
        <v>51</v>
      </c>
      <c r="D624" s="5" t="s">
        <v>52</v>
      </c>
      <c r="E624" s="5" t="s">
        <v>2035</v>
      </c>
      <c r="F624" s="5" t="s">
        <v>2066</v>
      </c>
      <c r="G624" s="5" t="s">
        <v>2067</v>
      </c>
      <c r="H624" s="6">
        <v>45917</v>
      </c>
      <c r="I624" s="5" t="s">
        <v>74</v>
      </c>
      <c r="J624" s="5" t="s">
        <v>156</v>
      </c>
      <c r="K624" s="5" t="s">
        <v>76</v>
      </c>
      <c r="L624" s="7">
        <v>2</v>
      </c>
      <c r="M624" s="7">
        <v>3</v>
      </c>
      <c r="N624" s="8">
        <v>14550</v>
      </c>
      <c r="O624" s="88">
        <v>0</v>
      </c>
      <c r="P624" s="10">
        <f t="shared" si="179"/>
        <v>0</v>
      </c>
      <c r="Q624" s="88">
        <v>0</v>
      </c>
      <c r="R624" s="10">
        <f t="shared" si="180"/>
        <v>0</v>
      </c>
      <c r="S624" s="88">
        <f t="shared" si="181"/>
        <v>0</v>
      </c>
      <c r="T624" s="10">
        <f t="shared" si="182"/>
        <v>0</v>
      </c>
      <c r="U624" s="10">
        <f t="shared" si="183"/>
        <v>14550</v>
      </c>
      <c r="V624" s="11">
        <v>14550</v>
      </c>
      <c r="W624" s="12">
        <f t="shared" si="184"/>
        <v>0</v>
      </c>
      <c r="X624" s="92">
        <f t="shared" si="177"/>
        <v>0</v>
      </c>
      <c r="Y624" s="93" t="str">
        <f t="shared" si="191"/>
        <v>0.00%-0.00%</v>
      </c>
      <c r="Z624" s="15"/>
      <c r="AA624" s="15"/>
      <c r="AB624" s="15"/>
      <c r="AC624" s="95"/>
      <c r="AD624" s="8">
        <f t="shared" si="185"/>
        <v>0</v>
      </c>
      <c r="AE624" s="17">
        <f t="shared" si="186"/>
        <v>14550</v>
      </c>
      <c r="AF624" s="18">
        <f t="shared" si="187"/>
        <v>0</v>
      </c>
      <c r="AG624" s="97">
        <f t="shared" si="188"/>
        <v>0</v>
      </c>
      <c r="AH624" s="20">
        <v>14</v>
      </c>
      <c r="AI624" s="20">
        <v>450</v>
      </c>
      <c r="AJ624" s="20"/>
      <c r="AK624" s="20">
        <v>688</v>
      </c>
      <c r="AL624" s="20">
        <f t="shared" si="189"/>
        <v>209788</v>
      </c>
      <c r="AM624" s="7" t="e">
        <v>#N/A</v>
      </c>
      <c r="AN624" s="20"/>
      <c r="AO624" s="21"/>
      <c r="AP624" s="21"/>
      <c r="AQ624" s="5" t="s">
        <v>2047</v>
      </c>
      <c r="AR624" s="5" t="s">
        <v>2048</v>
      </c>
      <c r="AS624" s="5" t="s">
        <v>59</v>
      </c>
      <c r="AT624" s="20"/>
      <c r="AU624" s="21"/>
      <c r="AV624" s="21"/>
      <c r="AW624" s="144" t="str">
        <f t="shared" si="190"/>
        <v>OK</v>
      </c>
      <c r="AX624" s="21" t="s">
        <v>3131</v>
      </c>
      <c r="AY624" s="21" t="s">
        <v>3134</v>
      </c>
      <c r="AZ624" s="21"/>
      <c r="BA624" s="21"/>
    </row>
    <row r="625" spans="1:53" ht="20" customHeight="1">
      <c r="A625" s="86" t="s">
        <v>318</v>
      </c>
      <c r="B625" s="372" t="s">
        <v>2955</v>
      </c>
      <c r="C625" s="5" t="s">
        <v>51</v>
      </c>
      <c r="D625" s="5" t="s">
        <v>52</v>
      </c>
      <c r="E625" s="5" t="s">
        <v>2035</v>
      </c>
      <c r="F625" s="5" t="s">
        <v>2066</v>
      </c>
      <c r="G625" s="5" t="s">
        <v>2067</v>
      </c>
      <c r="H625" s="6">
        <v>37987</v>
      </c>
      <c r="I625" s="5" t="s">
        <v>82</v>
      </c>
      <c r="J625" s="5" t="s">
        <v>2070</v>
      </c>
      <c r="K625" s="5" t="s">
        <v>84</v>
      </c>
      <c r="L625" s="7">
        <v>2</v>
      </c>
      <c r="M625" s="7">
        <v>3</v>
      </c>
      <c r="N625" s="8">
        <v>9388</v>
      </c>
      <c r="O625" s="88">
        <v>2.5000000000000001E-2</v>
      </c>
      <c r="P625" s="10">
        <f t="shared" si="179"/>
        <v>235</v>
      </c>
      <c r="Q625" s="88">
        <v>0</v>
      </c>
      <c r="R625" s="10">
        <f t="shared" si="180"/>
        <v>0</v>
      </c>
      <c r="S625" s="88">
        <f t="shared" si="181"/>
        <v>2.5031955688112485E-2</v>
      </c>
      <c r="T625" s="10">
        <f t="shared" si="182"/>
        <v>235</v>
      </c>
      <c r="U625" s="10">
        <f t="shared" si="183"/>
        <v>9623</v>
      </c>
      <c r="V625" s="11">
        <v>9388</v>
      </c>
      <c r="W625" s="12">
        <f t="shared" si="184"/>
        <v>0</v>
      </c>
      <c r="X625" s="92">
        <f t="shared" si="177"/>
        <v>0</v>
      </c>
      <c r="Y625" s="93" t="str">
        <f t="shared" si="191"/>
        <v>2.00%-3.00%</v>
      </c>
      <c r="Z625" s="15"/>
      <c r="AA625" s="15"/>
      <c r="AB625" s="15"/>
      <c r="AC625" s="95"/>
      <c r="AD625" s="8">
        <f t="shared" si="185"/>
        <v>0</v>
      </c>
      <c r="AE625" s="17">
        <f t="shared" si="186"/>
        <v>9388</v>
      </c>
      <c r="AF625" s="18">
        <f t="shared" si="187"/>
        <v>0</v>
      </c>
      <c r="AG625" s="97">
        <f t="shared" si="188"/>
        <v>0</v>
      </c>
      <c r="AH625" s="20">
        <v>14</v>
      </c>
      <c r="AI625" s="20">
        <v>450</v>
      </c>
      <c r="AJ625" s="20"/>
      <c r="AK625" s="20">
        <v>688</v>
      </c>
      <c r="AL625" s="20">
        <f t="shared" si="189"/>
        <v>137520</v>
      </c>
      <c r="AM625" s="7">
        <v>3</v>
      </c>
      <c r="AN625" s="20"/>
      <c r="AO625" s="21"/>
      <c r="AP625" s="21" t="s">
        <v>128</v>
      </c>
      <c r="AQ625" s="5" t="s">
        <v>2047</v>
      </c>
      <c r="AR625" s="5" t="s">
        <v>2048</v>
      </c>
      <c r="AS625" s="5" t="s">
        <v>59</v>
      </c>
      <c r="AT625" s="20"/>
      <c r="AU625" s="21"/>
      <c r="AV625" s="21"/>
      <c r="AW625" s="144" t="str">
        <f t="shared" si="190"/>
        <v>0 increase</v>
      </c>
      <c r="AX625" s="21" t="s">
        <v>3139</v>
      </c>
      <c r="AY625" s="21" t="s">
        <v>3130</v>
      </c>
      <c r="AZ625" s="21"/>
      <c r="BA625" s="21"/>
    </row>
    <row r="626" spans="1:53" ht="20" customHeight="1">
      <c r="A626" s="86" t="s">
        <v>318</v>
      </c>
      <c r="B626" s="372" t="s">
        <v>2956</v>
      </c>
      <c r="C626" s="5" t="s">
        <v>51</v>
      </c>
      <c r="D626" s="5" t="s">
        <v>52</v>
      </c>
      <c r="E626" s="5" t="s">
        <v>2035</v>
      </c>
      <c r="F626" s="5" t="s">
        <v>2060</v>
      </c>
      <c r="G626" s="5" t="s">
        <v>2061</v>
      </c>
      <c r="H626" s="6">
        <v>40764</v>
      </c>
      <c r="I626" s="5" t="s">
        <v>85</v>
      </c>
      <c r="J626" s="5" t="s">
        <v>85</v>
      </c>
      <c r="K626" s="5" t="s">
        <v>76</v>
      </c>
      <c r="L626" s="7">
        <v>2</v>
      </c>
      <c r="M626" s="7">
        <v>4</v>
      </c>
      <c r="N626" s="8">
        <v>6500</v>
      </c>
      <c r="O626" s="88">
        <v>5.2500000000000005E-2</v>
      </c>
      <c r="P626" s="10">
        <f t="shared" si="179"/>
        <v>341</v>
      </c>
      <c r="Q626" s="88">
        <v>9.0300000000000005E-2</v>
      </c>
      <c r="R626" s="10">
        <f t="shared" si="180"/>
        <v>587</v>
      </c>
      <c r="S626" s="88">
        <f t="shared" si="181"/>
        <v>0.14276923076923076</v>
      </c>
      <c r="T626" s="10">
        <f t="shared" si="182"/>
        <v>928</v>
      </c>
      <c r="U626" s="10">
        <f t="shared" si="183"/>
        <v>7428</v>
      </c>
      <c r="V626" s="11">
        <v>7500</v>
      </c>
      <c r="W626" s="12">
        <f t="shared" si="184"/>
        <v>1000</v>
      </c>
      <c r="X626" s="92">
        <f t="shared" si="177"/>
        <v>0.15379999999999999</v>
      </c>
      <c r="Y626" s="93" t="str">
        <f t="shared" si="191"/>
        <v>11.42%-17.13%</v>
      </c>
      <c r="Z626" s="15"/>
      <c r="AA626" s="15"/>
      <c r="AB626" s="15"/>
      <c r="AC626" s="95"/>
      <c r="AD626" s="8">
        <f t="shared" si="185"/>
        <v>0</v>
      </c>
      <c r="AE626" s="17">
        <f t="shared" si="186"/>
        <v>7500</v>
      </c>
      <c r="AF626" s="18">
        <f t="shared" si="187"/>
        <v>1000</v>
      </c>
      <c r="AG626" s="97">
        <f t="shared" si="188"/>
        <v>0.15384615384615374</v>
      </c>
      <c r="AH626" s="20">
        <v>14</v>
      </c>
      <c r="AI626" s="20">
        <v>450</v>
      </c>
      <c r="AJ626" s="20"/>
      <c r="AK626" s="20">
        <v>688</v>
      </c>
      <c r="AL626" s="20">
        <f t="shared" si="189"/>
        <v>111088</v>
      </c>
      <c r="AM626" s="7">
        <v>3</v>
      </c>
      <c r="AN626" s="20"/>
      <c r="AO626" s="21"/>
      <c r="AP626" s="21"/>
      <c r="AQ626" s="5" t="s">
        <v>2047</v>
      </c>
      <c r="AR626" s="5" t="s">
        <v>2048</v>
      </c>
      <c r="AS626" s="5" t="s">
        <v>59</v>
      </c>
      <c r="AT626" s="20"/>
      <c r="AU626" s="21"/>
      <c r="AV626" s="21"/>
      <c r="AW626" s="144" t="str">
        <f t="shared" si="190"/>
        <v>OK</v>
      </c>
      <c r="AX626" s="21" t="s">
        <v>3135</v>
      </c>
      <c r="AY626" s="21" t="s">
        <v>3141</v>
      </c>
      <c r="AZ626" s="21"/>
      <c r="BA626" s="21"/>
    </row>
    <row r="627" spans="1:53" ht="20" customHeight="1">
      <c r="A627" s="86" t="s">
        <v>318</v>
      </c>
      <c r="B627" s="372" t="s">
        <v>2957</v>
      </c>
      <c r="C627" s="5" t="s">
        <v>51</v>
      </c>
      <c r="D627" s="5" t="s">
        <v>52</v>
      </c>
      <c r="E627" s="5" t="s">
        <v>2035</v>
      </c>
      <c r="F627" s="5" t="s">
        <v>2066</v>
      </c>
      <c r="G627" s="5" t="s">
        <v>2067</v>
      </c>
      <c r="H627" s="6">
        <v>42917</v>
      </c>
      <c r="I627" s="5" t="s">
        <v>82</v>
      </c>
      <c r="J627" s="5" t="s">
        <v>82</v>
      </c>
      <c r="K627" s="5" t="s">
        <v>84</v>
      </c>
      <c r="L627" s="7">
        <v>2</v>
      </c>
      <c r="M627" s="7">
        <v>4</v>
      </c>
      <c r="N627" s="8">
        <v>6851</v>
      </c>
      <c r="O627" s="88">
        <v>4.4999999999999998E-2</v>
      </c>
      <c r="P627" s="10">
        <f t="shared" si="179"/>
        <v>308</v>
      </c>
      <c r="Q627" s="88">
        <v>4.2099999999999999E-2</v>
      </c>
      <c r="R627" s="10">
        <f t="shared" si="180"/>
        <v>288</v>
      </c>
      <c r="S627" s="88">
        <f t="shared" si="181"/>
        <v>8.6994599328565167E-2</v>
      </c>
      <c r="T627" s="10">
        <f t="shared" si="182"/>
        <v>596</v>
      </c>
      <c r="U627" s="10">
        <f t="shared" si="183"/>
        <v>7447</v>
      </c>
      <c r="V627" s="11">
        <v>7500</v>
      </c>
      <c r="W627" s="12">
        <f t="shared" si="184"/>
        <v>649</v>
      </c>
      <c r="X627" s="92">
        <f t="shared" si="177"/>
        <v>9.4700000000000006E-2</v>
      </c>
      <c r="Y627" s="93" t="str">
        <f t="shared" si="191"/>
        <v>6.96%-10.44%</v>
      </c>
      <c r="Z627" s="15"/>
      <c r="AA627" s="15"/>
      <c r="AB627" s="15"/>
      <c r="AC627" s="95"/>
      <c r="AD627" s="8">
        <f t="shared" si="185"/>
        <v>0</v>
      </c>
      <c r="AE627" s="17">
        <f t="shared" si="186"/>
        <v>7500</v>
      </c>
      <c r="AF627" s="18">
        <f t="shared" si="187"/>
        <v>649</v>
      </c>
      <c r="AG627" s="97">
        <f t="shared" si="188"/>
        <v>9.4730696248722879E-2</v>
      </c>
      <c r="AH627" s="20">
        <v>14</v>
      </c>
      <c r="AI627" s="20">
        <v>450</v>
      </c>
      <c r="AJ627" s="20"/>
      <c r="AK627" s="20">
        <v>688</v>
      </c>
      <c r="AL627" s="20">
        <f t="shared" si="189"/>
        <v>111088</v>
      </c>
      <c r="AM627" s="7">
        <v>3</v>
      </c>
      <c r="AN627" s="20"/>
      <c r="AO627" s="21"/>
      <c r="AP627" s="21"/>
      <c r="AQ627" s="5" t="s">
        <v>2047</v>
      </c>
      <c r="AR627" s="5" t="s">
        <v>2048</v>
      </c>
      <c r="AS627" s="5" t="s">
        <v>59</v>
      </c>
      <c r="AT627" s="20"/>
      <c r="AU627" s="21"/>
      <c r="AV627" s="21"/>
      <c r="AW627" s="144" t="str">
        <f t="shared" si="190"/>
        <v>OK</v>
      </c>
      <c r="AX627" s="21" t="s">
        <v>3133</v>
      </c>
      <c r="AY627" s="21" t="s">
        <v>3132</v>
      </c>
      <c r="AZ627" s="21"/>
      <c r="BA627" s="21"/>
    </row>
    <row r="628" spans="1:53" ht="20" customHeight="1">
      <c r="A628" s="86" t="s">
        <v>318</v>
      </c>
      <c r="B628" s="372" t="s">
        <v>2958</v>
      </c>
      <c r="C628" s="5" t="s">
        <v>51</v>
      </c>
      <c r="D628" s="5" t="s">
        <v>52</v>
      </c>
      <c r="E628" s="5" t="s">
        <v>2035</v>
      </c>
      <c r="F628" s="5" t="s">
        <v>2071</v>
      </c>
      <c r="G628" s="5" t="s">
        <v>2072</v>
      </c>
      <c r="H628" s="6">
        <v>41757</v>
      </c>
      <c r="I628" s="5" t="s">
        <v>71</v>
      </c>
      <c r="J628" s="5" t="s">
        <v>2073</v>
      </c>
      <c r="K628" s="5" t="s">
        <v>61</v>
      </c>
      <c r="L628" s="7">
        <v>2</v>
      </c>
      <c r="M628" s="7">
        <v>3</v>
      </c>
      <c r="N628" s="8">
        <v>17113</v>
      </c>
      <c r="O628" s="88">
        <v>0</v>
      </c>
      <c r="P628" s="10">
        <f t="shared" si="179"/>
        <v>0</v>
      </c>
      <c r="Q628" s="88">
        <v>0</v>
      </c>
      <c r="R628" s="10">
        <f t="shared" si="180"/>
        <v>0</v>
      </c>
      <c r="S628" s="88">
        <f t="shared" si="181"/>
        <v>0</v>
      </c>
      <c r="T628" s="10">
        <f t="shared" si="182"/>
        <v>0</v>
      </c>
      <c r="U628" s="10">
        <f t="shared" si="183"/>
        <v>17113</v>
      </c>
      <c r="V628" s="11">
        <f t="shared" ref="V628:V634" si="192">U628</f>
        <v>17113</v>
      </c>
      <c r="W628" s="12">
        <f t="shared" si="184"/>
        <v>0</v>
      </c>
      <c r="X628" s="92">
        <f>ROUND(V628/N628-1,4)</f>
        <v>0</v>
      </c>
      <c r="Y628" s="93" t="str">
        <f t="shared" si="191"/>
        <v>0.00%-0.00%</v>
      </c>
      <c r="Z628" s="15"/>
      <c r="AA628" s="15"/>
      <c r="AB628" s="15"/>
      <c r="AC628" s="95"/>
      <c r="AD628" s="8">
        <f t="shared" si="185"/>
        <v>0</v>
      </c>
      <c r="AE628" s="17">
        <f t="shared" si="186"/>
        <v>17113</v>
      </c>
      <c r="AF628" s="18">
        <f t="shared" si="187"/>
        <v>0</v>
      </c>
      <c r="AG628" s="97">
        <f t="shared" si="188"/>
        <v>0</v>
      </c>
      <c r="AH628" s="20">
        <v>14</v>
      </c>
      <c r="AI628" s="20">
        <v>900</v>
      </c>
      <c r="AJ628" s="20"/>
      <c r="AK628" s="20">
        <v>688</v>
      </c>
      <c r="AL628" s="20">
        <f t="shared" si="189"/>
        <v>251070</v>
      </c>
      <c r="AM628" s="7">
        <v>5</v>
      </c>
      <c r="AN628" s="20"/>
      <c r="AO628" s="21"/>
      <c r="AP628" s="21"/>
      <c r="AQ628" s="5" t="s">
        <v>2074</v>
      </c>
      <c r="AR628" s="5" t="s">
        <v>2075</v>
      </c>
      <c r="AS628" s="5" t="s">
        <v>247</v>
      </c>
      <c r="AT628" s="20"/>
      <c r="AU628" s="21"/>
      <c r="AV628" s="21"/>
      <c r="AW628" s="144" t="str">
        <f t="shared" si="190"/>
        <v>OK</v>
      </c>
      <c r="AX628" s="21" t="s">
        <v>3135</v>
      </c>
      <c r="AY628" s="21" t="s">
        <v>3134</v>
      </c>
      <c r="AZ628" s="21"/>
      <c r="BA628" s="21"/>
    </row>
    <row r="629" spans="1:53" ht="20" customHeight="1">
      <c r="A629" s="86" t="s">
        <v>318</v>
      </c>
      <c r="B629" s="372" t="s">
        <v>2959</v>
      </c>
      <c r="C629" s="5" t="s">
        <v>51</v>
      </c>
      <c r="D629" s="5" t="s">
        <v>52</v>
      </c>
      <c r="E629" s="5" t="s">
        <v>2035</v>
      </c>
      <c r="F629" s="5" t="s">
        <v>2076</v>
      </c>
      <c r="G629" s="5" t="s">
        <v>2072</v>
      </c>
      <c r="H629" s="6">
        <v>38201</v>
      </c>
      <c r="I629" s="5" t="s">
        <v>71</v>
      </c>
      <c r="J629" s="5" t="s">
        <v>2077</v>
      </c>
      <c r="K629" s="5" t="s">
        <v>61</v>
      </c>
      <c r="L629" s="7">
        <v>2</v>
      </c>
      <c r="M629" s="7">
        <v>3</v>
      </c>
      <c r="N629" s="8">
        <v>15173</v>
      </c>
      <c r="O629" s="88">
        <v>2.5000000000000001E-2</v>
      </c>
      <c r="P629" s="10">
        <f t="shared" si="179"/>
        <v>379</v>
      </c>
      <c r="Q629" s="88">
        <v>0</v>
      </c>
      <c r="R629" s="10">
        <f t="shared" si="180"/>
        <v>0</v>
      </c>
      <c r="S629" s="88">
        <f t="shared" si="181"/>
        <v>2.497858037303104E-2</v>
      </c>
      <c r="T629" s="10">
        <f t="shared" si="182"/>
        <v>379</v>
      </c>
      <c r="U629" s="10">
        <f t="shared" si="183"/>
        <v>15552</v>
      </c>
      <c r="V629" s="11">
        <f t="shared" si="192"/>
        <v>15552</v>
      </c>
      <c r="W629" s="12">
        <f>V629-N629</f>
        <v>379</v>
      </c>
      <c r="X629" s="92">
        <f t="shared" ref="X629:X692" si="193">ROUND(V629/N629-1,4)</f>
        <v>2.5000000000000001E-2</v>
      </c>
      <c r="Y629" s="93" t="str">
        <f t="shared" si="191"/>
        <v>2.00%-3.00%</v>
      </c>
      <c r="Z629" s="15"/>
      <c r="AA629" s="15"/>
      <c r="AB629" s="15"/>
      <c r="AC629" s="95"/>
      <c r="AD629" s="8">
        <f t="shared" si="185"/>
        <v>0</v>
      </c>
      <c r="AE629" s="17">
        <f t="shared" si="186"/>
        <v>15552</v>
      </c>
      <c r="AF629" s="18">
        <f t="shared" si="187"/>
        <v>379</v>
      </c>
      <c r="AG629" s="97">
        <f t="shared" si="188"/>
        <v>2.4978580373031134E-2</v>
      </c>
      <c r="AH629" s="20">
        <v>14</v>
      </c>
      <c r="AI629" s="20">
        <v>450</v>
      </c>
      <c r="AJ629" s="20"/>
      <c r="AK629" s="20">
        <v>688</v>
      </c>
      <c r="AL629" s="20">
        <f t="shared" si="189"/>
        <v>223816</v>
      </c>
      <c r="AM629" s="7">
        <v>5</v>
      </c>
      <c r="AN629" s="20"/>
      <c r="AO629" s="21"/>
      <c r="AP629" s="21"/>
      <c r="AQ629" s="5" t="s">
        <v>2074</v>
      </c>
      <c r="AR629" s="5" t="s">
        <v>2075</v>
      </c>
      <c r="AS629" s="5" t="s">
        <v>247</v>
      </c>
      <c r="AT629" s="20"/>
      <c r="AU629" s="21"/>
      <c r="AV629" s="21"/>
      <c r="AW629" s="144" t="str">
        <f t="shared" si="190"/>
        <v>OK</v>
      </c>
      <c r="AX629" s="21" t="s">
        <v>3139</v>
      </c>
      <c r="AY629" s="21" t="s">
        <v>3130</v>
      </c>
      <c r="AZ629" s="21"/>
      <c r="BA629" s="21"/>
    </row>
    <row r="630" spans="1:53" ht="20" customHeight="1">
      <c r="A630" s="86" t="s">
        <v>318</v>
      </c>
      <c r="B630" s="372" t="s">
        <v>2960</v>
      </c>
      <c r="C630" s="5" t="s">
        <v>51</v>
      </c>
      <c r="D630" s="5" t="s">
        <v>52</v>
      </c>
      <c r="E630" s="5" t="s">
        <v>2035</v>
      </c>
      <c r="F630" s="5" t="s">
        <v>2078</v>
      </c>
      <c r="G630" s="5" t="s">
        <v>2072</v>
      </c>
      <c r="H630" s="6">
        <v>37715</v>
      </c>
      <c r="I630" s="5" t="s">
        <v>71</v>
      </c>
      <c r="J630" s="5" t="s">
        <v>2079</v>
      </c>
      <c r="K630" s="5" t="s">
        <v>61</v>
      </c>
      <c r="L630" s="7">
        <v>2</v>
      </c>
      <c r="M630" s="7">
        <v>4</v>
      </c>
      <c r="N630" s="8">
        <v>14894</v>
      </c>
      <c r="O630" s="88">
        <v>3.7500000000000006E-2</v>
      </c>
      <c r="P630" s="10">
        <f t="shared" si="179"/>
        <v>559</v>
      </c>
      <c r="Q630" s="88">
        <v>1.55E-2</v>
      </c>
      <c r="R630" s="10">
        <f t="shared" si="180"/>
        <v>231</v>
      </c>
      <c r="S630" s="88">
        <f t="shared" si="181"/>
        <v>5.3041493218745801E-2</v>
      </c>
      <c r="T630" s="10">
        <f t="shared" si="182"/>
        <v>790</v>
      </c>
      <c r="U630" s="10">
        <f t="shared" si="183"/>
        <v>15684</v>
      </c>
      <c r="V630" s="11">
        <v>16380</v>
      </c>
      <c r="W630" s="12">
        <f t="shared" si="184"/>
        <v>1486</v>
      </c>
      <c r="X630" s="92">
        <f t="shared" si="193"/>
        <v>9.98E-2</v>
      </c>
      <c r="Y630" s="93" t="str">
        <f t="shared" si="191"/>
        <v>4.24%-6.36%</v>
      </c>
      <c r="Z630" s="15"/>
      <c r="AA630" s="15"/>
      <c r="AB630" s="15"/>
      <c r="AC630" s="95"/>
      <c r="AD630" s="8">
        <f t="shared" si="185"/>
        <v>0</v>
      </c>
      <c r="AE630" s="17">
        <f t="shared" si="186"/>
        <v>16380</v>
      </c>
      <c r="AF630" s="18">
        <f t="shared" si="187"/>
        <v>1486</v>
      </c>
      <c r="AG630" s="97">
        <f t="shared" si="188"/>
        <v>9.9771720155767518E-2</v>
      </c>
      <c r="AH630" s="20">
        <v>14</v>
      </c>
      <c r="AI630" s="20">
        <v>450</v>
      </c>
      <c r="AJ630" s="20"/>
      <c r="AK630" s="20">
        <v>688</v>
      </c>
      <c r="AL630" s="20">
        <f t="shared" si="189"/>
        <v>235408</v>
      </c>
      <c r="AM630" s="7">
        <v>5</v>
      </c>
      <c r="AN630" s="20"/>
      <c r="AO630" s="21" t="s">
        <v>2080</v>
      </c>
      <c r="AP630" s="21"/>
      <c r="AQ630" s="5" t="s">
        <v>2074</v>
      </c>
      <c r="AR630" s="5" t="s">
        <v>2075</v>
      </c>
      <c r="AS630" s="5" t="s">
        <v>247</v>
      </c>
      <c r="AT630" s="20"/>
      <c r="AU630" s="21"/>
      <c r="AV630" s="21"/>
      <c r="AW630" s="144" t="str">
        <f t="shared" si="190"/>
        <v>&gt;20</v>
      </c>
      <c r="AX630" s="21" t="s">
        <v>3139</v>
      </c>
      <c r="AY630" s="21" t="s">
        <v>3130</v>
      </c>
      <c r="AZ630" s="21"/>
      <c r="BA630" s="21"/>
    </row>
    <row r="631" spans="1:53" ht="20" customHeight="1">
      <c r="A631" s="86" t="s">
        <v>318</v>
      </c>
      <c r="B631" s="372" t="s">
        <v>2961</v>
      </c>
      <c r="C631" s="5" t="s">
        <v>51</v>
      </c>
      <c r="D631" s="5" t="s">
        <v>52</v>
      </c>
      <c r="E631" s="5" t="s">
        <v>2035</v>
      </c>
      <c r="F631" s="5" t="s">
        <v>2081</v>
      </c>
      <c r="G631" s="5" t="s">
        <v>2072</v>
      </c>
      <c r="H631" s="6">
        <v>39200</v>
      </c>
      <c r="I631" s="5" t="s">
        <v>198</v>
      </c>
      <c r="J631" s="5" t="s">
        <v>2082</v>
      </c>
      <c r="K631" s="5" t="s">
        <v>199</v>
      </c>
      <c r="L631" s="7">
        <v>2</v>
      </c>
      <c r="M631" s="7">
        <v>4</v>
      </c>
      <c r="N631" s="8">
        <v>36610</v>
      </c>
      <c r="O631" s="88">
        <v>3.7500000000000006E-2</v>
      </c>
      <c r="P631" s="10">
        <f t="shared" si="179"/>
        <v>1373</v>
      </c>
      <c r="Q631" s="88">
        <v>0</v>
      </c>
      <c r="R631" s="10">
        <f t="shared" si="180"/>
        <v>0</v>
      </c>
      <c r="S631" s="88">
        <f t="shared" si="181"/>
        <v>3.750341436765911E-2</v>
      </c>
      <c r="T631" s="10">
        <f t="shared" si="182"/>
        <v>1373</v>
      </c>
      <c r="U631" s="10">
        <f t="shared" si="183"/>
        <v>37983</v>
      </c>
      <c r="V631" s="11">
        <v>37708</v>
      </c>
      <c r="W631" s="12">
        <f t="shared" si="184"/>
        <v>1098</v>
      </c>
      <c r="X631" s="92">
        <f t="shared" si="193"/>
        <v>0.03</v>
      </c>
      <c r="Y631" s="93" t="str">
        <f t="shared" si="191"/>
        <v>3.00%-4.50%</v>
      </c>
      <c r="Z631" s="15"/>
      <c r="AA631" s="15"/>
      <c r="AB631" s="15"/>
      <c r="AC631" s="95"/>
      <c r="AD631" s="8">
        <f t="shared" si="185"/>
        <v>0</v>
      </c>
      <c r="AE631" s="17">
        <f t="shared" si="186"/>
        <v>37708</v>
      </c>
      <c r="AF631" s="18">
        <f t="shared" si="187"/>
        <v>1098</v>
      </c>
      <c r="AG631" s="97">
        <f t="shared" si="188"/>
        <v>2.9991805517618042E-2</v>
      </c>
      <c r="AH631" s="20">
        <v>14</v>
      </c>
      <c r="AI631" s="20">
        <v>950</v>
      </c>
      <c r="AJ631" s="20">
        <v>1000</v>
      </c>
      <c r="AK631" s="20">
        <v>688</v>
      </c>
      <c r="AL631" s="20">
        <f t="shared" si="189"/>
        <v>552000</v>
      </c>
      <c r="AM631" s="7">
        <v>4</v>
      </c>
      <c r="AN631" s="20"/>
      <c r="AO631" s="21"/>
      <c r="AP631" s="21"/>
      <c r="AQ631" s="5" t="s">
        <v>2074</v>
      </c>
      <c r="AR631" s="5" t="s">
        <v>2075</v>
      </c>
      <c r="AS631" s="5" t="s">
        <v>247</v>
      </c>
      <c r="AT631" s="20"/>
      <c r="AU631" s="21"/>
      <c r="AV631" s="21"/>
      <c r="AW631" s="144" t="str">
        <f t="shared" si="190"/>
        <v>OK</v>
      </c>
      <c r="AX631" s="21" t="s">
        <v>3129</v>
      </c>
      <c r="AY631" s="21" t="s">
        <v>3130</v>
      </c>
      <c r="AZ631" s="21"/>
      <c r="BA631" s="21"/>
    </row>
    <row r="632" spans="1:53" ht="20" customHeight="1">
      <c r="A632" s="86" t="s">
        <v>318</v>
      </c>
      <c r="B632" s="372" t="s">
        <v>2962</v>
      </c>
      <c r="C632" s="5" t="s">
        <v>51</v>
      </c>
      <c r="D632" s="5" t="s">
        <v>52</v>
      </c>
      <c r="E632" s="5" t="s">
        <v>2035</v>
      </c>
      <c r="F632" s="5" t="s">
        <v>2083</v>
      </c>
      <c r="G632" s="5" t="s">
        <v>2072</v>
      </c>
      <c r="H632" s="6">
        <v>38924</v>
      </c>
      <c r="I632" s="5" t="s">
        <v>71</v>
      </c>
      <c r="J632" s="5" t="s">
        <v>2084</v>
      </c>
      <c r="K632" s="5" t="s">
        <v>61</v>
      </c>
      <c r="L632" s="7">
        <v>2</v>
      </c>
      <c r="M632" s="7">
        <v>5</v>
      </c>
      <c r="N632" s="8">
        <v>17489</v>
      </c>
      <c r="O632" s="88">
        <v>0.04</v>
      </c>
      <c r="P632" s="10">
        <f t="shared" si="179"/>
        <v>700</v>
      </c>
      <c r="Q632" s="88">
        <v>0</v>
      </c>
      <c r="R632" s="10">
        <f t="shared" si="180"/>
        <v>0</v>
      </c>
      <c r="S632" s="88">
        <f t="shared" si="181"/>
        <v>4.0025158671164733E-2</v>
      </c>
      <c r="T632" s="10">
        <f t="shared" si="182"/>
        <v>700</v>
      </c>
      <c r="U632" s="10">
        <f t="shared" si="183"/>
        <v>18189</v>
      </c>
      <c r="V632" s="11">
        <v>18059</v>
      </c>
      <c r="W632" s="12">
        <f t="shared" si="184"/>
        <v>570</v>
      </c>
      <c r="X632" s="92">
        <f t="shared" si="193"/>
        <v>3.2599999999999997E-2</v>
      </c>
      <c r="Y632" s="93" t="str">
        <f t="shared" si="191"/>
        <v>3.20%-4.80%</v>
      </c>
      <c r="Z632" s="15" t="s">
        <v>87</v>
      </c>
      <c r="AA632" s="15" t="s">
        <v>2083</v>
      </c>
      <c r="AB632" s="15"/>
      <c r="AC632" s="95">
        <v>0.1</v>
      </c>
      <c r="AD632" s="8">
        <f t="shared" si="185"/>
        <v>1749</v>
      </c>
      <c r="AE632" s="17">
        <f t="shared" si="186"/>
        <v>19808</v>
      </c>
      <c r="AF632" s="18">
        <f t="shared" si="187"/>
        <v>2319</v>
      </c>
      <c r="AG632" s="97">
        <f t="shared" si="188"/>
        <v>0.13259763279775849</v>
      </c>
      <c r="AH632" s="20">
        <v>14</v>
      </c>
      <c r="AI632" s="20">
        <v>450</v>
      </c>
      <c r="AJ632" s="20"/>
      <c r="AK632" s="20">
        <v>688</v>
      </c>
      <c r="AL632" s="20">
        <f t="shared" si="189"/>
        <v>283400</v>
      </c>
      <c r="AM632" s="7">
        <v>4</v>
      </c>
      <c r="AN632" s="20"/>
      <c r="AO632" s="21" t="s">
        <v>2085</v>
      </c>
      <c r="AP632" s="21"/>
      <c r="AQ632" s="5" t="s">
        <v>2074</v>
      </c>
      <c r="AR632" s="5" t="s">
        <v>2075</v>
      </c>
      <c r="AS632" s="5" t="s">
        <v>247</v>
      </c>
      <c r="AT632" s="20"/>
      <c r="AU632" s="21"/>
      <c r="AV632" s="21"/>
      <c r="AW632" s="144" t="str">
        <f t="shared" si="190"/>
        <v>OK</v>
      </c>
      <c r="AX632" s="21" t="s">
        <v>3129</v>
      </c>
      <c r="AY632" s="21" t="s">
        <v>3136</v>
      </c>
      <c r="AZ632" s="21"/>
      <c r="BA632" s="21"/>
    </row>
    <row r="633" spans="1:53" ht="20" customHeight="1">
      <c r="A633" s="86" t="s">
        <v>318</v>
      </c>
      <c r="B633" s="372" t="s">
        <v>2963</v>
      </c>
      <c r="C633" s="5" t="s">
        <v>51</v>
      </c>
      <c r="D633" s="5" t="s">
        <v>52</v>
      </c>
      <c r="E633" s="5" t="s">
        <v>2035</v>
      </c>
      <c r="F633" s="5" t="s">
        <v>2044</v>
      </c>
      <c r="G633" s="5" t="s">
        <v>2045</v>
      </c>
      <c r="H633" s="6">
        <v>42998</v>
      </c>
      <c r="I633" s="5" t="s">
        <v>1755</v>
      </c>
      <c r="J633" s="5" t="s">
        <v>1755</v>
      </c>
      <c r="K633" s="5" t="s">
        <v>76</v>
      </c>
      <c r="L633" s="7">
        <v>2</v>
      </c>
      <c r="M633" s="7">
        <v>4</v>
      </c>
      <c r="N633" s="8">
        <v>11219</v>
      </c>
      <c r="O633" s="88">
        <v>3.7500000000000006E-2</v>
      </c>
      <c r="P633" s="10">
        <f t="shared" si="179"/>
        <v>421</v>
      </c>
      <c r="Q633" s="88">
        <v>1.55E-2</v>
      </c>
      <c r="R633" s="10">
        <f t="shared" si="180"/>
        <v>174</v>
      </c>
      <c r="S633" s="88">
        <f t="shared" si="181"/>
        <v>5.3035029860058827E-2</v>
      </c>
      <c r="T633" s="10">
        <f t="shared" si="182"/>
        <v>595</v>
      </c>
      <c r="U633" s="10">
        <f t="shared" si="183"/>
        <v>11814</v>
      </c>
      <c r="V633" s="11">
        <f t="shared" si="192"/>
        <v>11814</v>
      </c>
      <c r="W633" s="12">
        <f t="shared" si="184"/>
        <v>595</v>
      </c>
      <c r="X633" s="92">
        <f t="shared" si="193"/>
        <v>5.2999999999999999E-2</v>
      </c>
      <c r="Y633" s="93" t="str">
        <f t="shared" si="191"/>
        <v>4.24%-6.36%</v>
      </c>
      <c r="Z633" s="15"/>
      <c r="AA633" s="15"/>
      <c r="AB633" s="15"/>
      <c r="AC633" s="95"/>
      <c r="AD633" s="8">
        <f t="shared" si="185"/>
        <v>0</v>
      </c>
      <c r="AE633" s="17">
        <f t="shared" si="186"/>
        <v>11814</v>
      </c>
      <c r="AF633" s="18">
        <f t="shared" si="187"/>
        <v>595</v>
      </c>
      <c r="AG633" s="97">
        <f t="shared" si="188"/>
        <v>5.3035029860058813E-2</v>
      </c>
      <c r="AH633" s="20">
        <v>14</v>
      </c>
      <c r="AI633" s="20">
        <v>450</v>
      </c>
      <c r="AJ633" s="20"/>
      <c r="AK633" s="20">
        <v>688</v>
      </c>
      <c r="AL633" s="20">
        <f t="shared" si="189"/>
        <v>171484</v>
      </c>
      <c r="AM633" s="7">
        <v>4</v>
      </c>
      <c r="AN633" s="20"/>
      <c r="AO633" s="21"/>
      <c r="AP633" s="21"/>
      <c r="AQ633" s="5" t="s">
        <v>2074</v>
      </c>
      <c r="AR633" s="5" t="s">
        <v>2075</v>
      </c>
      <c r="AS633" s="5" t="s">
        <v>247</v>
      </c>
      <c r="AT633" s="20"/>
      <c r="AU633" s="21"/>
      <c r="AV633" s="21"/>
      <c r="AW633" s="144" t="str">
        <f t="shared" si="190"/>
        <v>OK</v>
      </c>
      <c r="AX633" s="21" t="s">
        <v>3133</v>
      </c>
      <c r="AY633" s="21" t="s">
        <v>3130</v>
      </c>
      <c r="AZ633" s="21"/>
      <c r="BA633" s="21"/>
    </row>
    <row r="634" spans="1:53" ht="20" customHeight="1">
      <c r="A634" s="86" t="s">
        <v>318</v>
      </c>
      <c r="B634" s="372" t="s">
        <v>2964</v>
      </c>
      <c r="C634" s="5" t="s">
        <v>51</v>
      </c>
      <c r="D634" s="5" t="s">
        <v>52</v>
      </c>
      <c r="E634" s="5" t="s">
        <v>2035</v>
      </c>
      <c r="F634" s="5" t="s">
        <v>2044</v>
      </c>
      <c r="G634" s="5" t="s">
        <v>2045</v>
      </c>
      <c r="H634" s="6">
        <v>34516</v>
      </c>
      <c r="I634" s="5" t="s">
        <v>74</v>
      </c>
      <c r="J634" s="5" t="s">
        <v>2086</v>
      </c>
      <c r="K634" s="5" t="s">
        <v>76</v>
      </c>
      <c r="L634" s="7">
        <v>2</v>
      </c>
      <c r="M634" s="7">
        <v>3</v>
      </c>
      <c r="N634" s="8">
        <v>23796</v>
      </c>
      <c r="O634" s="88">
        <v>0</v>
      </c>
      <c r="P634" s="10">
        <f t="shared" si="179"/>
        <v>0</v>
      </c>
      <c r="Q634" s="88">
        <v>0</v>
      </c>
      <c r="R634" s="10">
        <f t="shared" si="180"/>
        <v>0</v>
      </c>
      <c r="S634" s="88">
        <f t="shared" si="181"/>
        <v>0</v>
      </c>
      <c r="T634" s="10">
        <f t="shared" si="182"/>
        <v>0</v>
      </c>
      <c r="U634" s="10">
        <f t="shared" si="183"/>
        <v>23796</v>
      </c>
      <c r="V634" s="11">
        <f t="shared" si="192"/>
        <v>23796</v>
      </c>
      <c r="W634" s="12">
        <f t="shared" si="184"/>
        <v>0</v>
      </c>
      <c r="X634" s="92">
        <f t="shared" si="193"/>
        <v>0</v>
      </c>
      <c r="Y634" s="93" t="str">
        <f t="shared" si="191"/>
        <v>0.00%-0.00%</v>
      </c>
      <c r="Z634" s="15"/>
      <c r="AA634" s="15"/>
      <c r="AB634" s="15"/>
      <c r="AC634" s="95"/>
      <c r="AD634" s="8">
        <f t="shared" si="185"/>
        <v>0</v>
      </c>
      <c r="AE634" s="17">
        <f t="shared" si="186"/>
        <v>23796</v>
      </c>
      <c r="AF634" s="18">
        <f t="shared" si="187"/>
        <v>0</v>
      </c>
      <c r="AG634" s="97">
        <f t="shared" si="188"/>
        <v>0</v>
      </c>
      <c r="AH634" s="20">
        <v>14</v>
      </c>
      <c r="AI634" s="20">
        <v>450</v>
      </c>
      <c r="AJ634" s="20"/>
      <c r="AK634" s="20">
        <v>688</v>
      </c>
      <c r="AL634" s="20">
        <f t="shared" si="189"/>
        <v>339232</v>
      </c>
      <c r="AM634" s="7">
        <v>3</v>
      </c>
      <c r="AN634" s="20"/>
      <c r="AO634" s="21"/>
      <c r="AP634" s="21"/>
      <c r="AQ634" s="5" t="s">
        <v>2074</v>
      </c>
      <c r="AR634" s="5" t="s">
        <v>2075</v>
      </c>
      <c r="AS634" s="5" t="s">
        <v>247</v>
      </c>
      <c r="AT634" s="20"/>
      <c r="AU634" s="21"/>
      <c r="AV634" s="21"/>
      <c r="AW634" s="144" t="str">
        <f t="shared" si="190"/>
        <v>OK</v>
      </c>
      <c r="AX634" s="21" t="s">
        <v>3137</v>
      </c>
      <c r="AY634" s="21" t="s">
        <v>3134</v>
      </c>
      <c r="AZ634" s="21"/>
      <c r="BA634" s="21"/>
    </row>
    <row r="635" spans="1:53" ht="20" customHeight="1">
      <c r="A635" s="86" t="s">
        <v>318</v>
      </c>
      <c r="B635" s="372" t="s">
        <v>2965</v>
      </c>
      <c r="C635" s="5" t="s">
        <v>51</v>
      </c>
      <c r="D635" s="5" t="s">
        <v>52</v>
      </c>
      <c r="E635" s="5" t="s">
        <v>2035</v>
      </c>
      <c r="F635" s="5" t="s">
        <v>2044</v>
      </c>
      <c r="G635" s="5" t="s">
        <v>2045</v>
      </c>
      <c r="H635" s="6">
        <v>44517</v>
      </c>
      <c r="I635" s="5" t="s">
        <v>60</v>
      </c>
      <c r="J635" s="5" t="s">
        <v>60</v>
      </c>
      <c r="K635" s="5" t="s">
        <v>61</v>
      </c>
      <c r="L635" s="7">
        <v>2</v>
      </c>
      <c r="M635" s="7">
        <v>5</v>
      </c>
      <c r="N635" s="8">
        <v>20946</v>
      </c>
      <c r="O635" s="88">
        <v>0.04</v>
      </c>
      <c r="P635" s="10">
        <f t="shared" si="179"/>
        <v>838</v>
      </c>
      <c r="Q635" s="88">
        <v>0</v>
      </c>
      <c r="R635" s="10">
        <f t="shared" si="180"/>
        <v>0</v>
      </c>
      <c r="S635" s="88">
        <f t="shared" si="181"/>
        <v>4.0007638689964674E-2</v>
      </c>
      <c r="T635" s="10">
        <f t="shared" si="182"/>
        <v>838</v>
      </c>
      <c r="U635" s="10">
        <f t="shared" si="183"/>
        <v>21784</v>
      </c>
      <c r="V635" s="11">
        <v>21951</v>
      </c>
      <c r="W635" s="12">
        <f t="shared" si="184"/>
        <v>1005</v>
      </c>
      <c r="X635" s="92">
        <f t="shared" si="193"/>
        <v>4.8000000000000001E-2</v>
      </c>
      <c r="Y635" s="93" t="str">
        <f t="shared" si="191"/>
        <v>3.20%-4.80%</v>
      </c>
      <c r="Z635" s="15"/>
      <c r="AA635" s="15"/>
      <c r="AB635" s="15"/>
      <c r="AC635" s="95"/>
      <c r="AD635" s="8">
        <f t="shared" si="185"/>
        <v>0</v>
      </c>
      <c r="AE635" s="17">
        <f t="shared" si="186"/>
        <v>21951</v>
      </c>
      <c r="AF635" s="18">
        <f t="shared" si="187"/>
        <v>1005</v>
      </c>
      <c r="AG635" s="97">
        <f t="shared" si="188"/>
        <v>4.7980521340590165E-2</v>
      </c>
      <c r="AH635" s="20">
        <v>14</v>
      </c>
      <c r="AI635" s="20">
        <v>450</v>
      </c>
      <c r="AJ635" s="20"/>
      <c r="AK635" s="20">
        <v>688</v>
      </c>
      <c r="AL635" s="20">
        <f t="shared" si="189"/>
        <v>313402</v>
      </c>
      <c r="AM635" s="7">
        <v>3</v>
      </c>
      <c r="AN635" s="20"/>
      <c r="AO635" s="21"/>
      <c r="AP635" s="21"/>
      <c r="AQ635" s="5" t="s">
        <v>2074</v>
      </c>
      <c r="AR635" s="5" t="s">
        <v>2075</v>
      </c>
      <c r="AS635" s="5" t="s">
        <v>247</v>
      </c>
      <c r="AT635" s="20"/>
      <c r="AU635" s="21"/>
      <c r="AV635" s="21"/>
      <c r="AW635" s="144" t="str">
        <f t="shared" si="190"/>
        <v>OK</v>
      </c>
      <c r="AX635" s="21" t="s">
        <v>3131</v>
      </c>
      <c r="AY635" s="21" t="s">
        <v>3136</v>
      </c>
      <c r="AZ635" s="21"/>
      <c r="BA635" s="21"/>
    </row>
    <row r="636" spans="1:53" ht="20" customHeight="1">
      <c r="A636" s="86" t="s">
        <v>318</v>
      </c>
      <c r="B636" s="372" t="s">
        <v>2966</v>
      </c>
      <c r="C636" s="5" t="s">
        <v>51</v>
      </c>
      <c r="D636" s="5" t="s">
        <v>52</v>
      </c>
      <c r="E636" s="5" t="s">
        <v>2035</v>
      </c>
      <c r="F636" s="5" t="s">
        <v>2088</v>
      </c>
      <c r="G636" s="5" t="s">
        <v>2089</v>
      </c>
      <c r="H636" s="6">
        <v>41568</v>
      </c>
      <c r="I636" s="5" t="s">
        <v>74</v>
      </c>
      <c r="J636" s="5" t="s">
        <v>2090</v>
      </c>
      <c r="K636" s="5" t="s">
        <v>76</v>
      </c>
      <c r="L636" s="7">
        <v>2</v>
      </c>
      <c r="M636" s="7">
        <v>3</v>
      </c>
      <c r="N636" s="8">
        <v>14474</v>
      </c>
      <c r="O636" s="88">
        <v>2.5000000000000001E-2</v>
      </c>
      <c r="P636" s="10">
        <f t="shared" si="179"/>
        <v>362</v>
      </c>
      <c r="Q636" s="88">
        <v>0</v>
      </c>
      <c r="R636" s="10">
        <f t="shared" si="180"/>
        <v>0</v>
      </c>
      <c r="S636" s="88">
        <f t="shared" si="181"/>
        <v>2.5010363410252867E-2</v>
      </c>
      <c r="T636" s="10">
        <f t="shared" si="182"/>
        <v>362</v>
      </c>
      <c r="U636" s="10">
        <f t="shared" si="183"/>
        <v>14836</v>
      </c>
      <c r="V636" s="11">
        <v>14892</v>
      </c>
      <c r="W636" s="12">
        <f t="shared" si="184"/>
        <v>418</v>
      </c>
      <c r="X636" s="92">
        <f t="shared" si="193"/>
        <v>2.8899999999999999E-2</v>
      </c>
      <c r="Y636" s="93" t="str">
        <f t="shared" si="191"/>
        <v>2.00%-3.00%</v>
      </c>
      <c r="Z636" s="15"/>
      <c r="AA636" s="15"/>
      <c r="AB636" s="15"/>
      <c r="AC636" s="95"/>
      <c r="AD636" s="8">
        <f t="shared" si="185"/>
        <v>0</v>
      </c>
      <c r="AE636" s="17">
        <f t="shared" si="186"/>
        <v>14892</v>
      </c>
      <c r="AF636" s="18">
        <f t="shared" si="187"/>
        <v>418</v>
      </c>
      <c r="AG636" s="97">
        <f t="shared" si="188"/>
        <v>2.887936990465656E-2</v>
      </c>
      <c r="AH636" s="20">
        <v>14</v>
      </c>
      <c r="AI636" s="20">
        <v>450</v>
      </c>
      <c r="AJ636" s="20"/>
      <c r="AK636" s="20">
        <v>688</v>
      </c>
      <c r="AL636" s="20">
        <f t="shared" si="189"/>
        <v>214576</v>
      </c>
      <c r="AM636" s="7">
        <v>5</v>
      </c>
      <c r="AN636" s="20"/>
      <c r="AO636" s="21"/>
      <c r="AP636" s="21"/>
      <c r="AQ636" s="5" t="s">
        <v>2074</v>
      </c>
      <c r="AR636" s="5" t="s">
        <v>2075</v>
      </c>
      <c r="AS636" s="5" t="s">
        <v>247</v>
      </c>
      <c r="AT636" s="20"/>
      <c r="AU636" s="21"/>
      <c r="AV636" s="21"/>
      <c r="AW636" s="144" t="str">
        <f t="shared" si="190"/>
        <v>OK</v>
      </c>
      <c r="AX636" s="21" t="s">
        <v>3135</v>
      </c>
      <c r="AY636" s="21" t="s">
        <v>3130</v>
      </c>
      <c r="AZ636" s="21"/>
      <c r="BA636" s="21"/>
    </row>
    <row r="637" spans="1:53" ht="20" customHeight="1">
      <c r="A637" s="86" t="s">
        <v>318</v>
      </c>
      <c r="B637" s="372" t="s">
        <v>2967</v>
      </c>
      <c r="C637" s="5" t="s">
        <v>51</v>
      </c>
      <c r="D637" s="5" t="s">
        <v>52</v>
      </c>
      <c r="E637" s="5" t="s">
        <v>2035</v>
      </c>
      <c r="F637" s="5" t="s">
        <v>2088</v>
      </c>
      <c r="G637" s="5" t="s">
        <v>2089</v>
      </c>
      <c r="H637" s="6">
        <v>44118</v>
      </c>
      <c r="I637" s="5" t="s">
        <v>74</v>
      </c>
      <c r="J637" s="5" t="s">
        <v>74</v>
      </c>
      <c r="K637" s="5" t="s">
        <v>76</v>
      </c>
      <c r="L637" s="7">
        <v>2</v>
      </c>
      <c r="M637" s="7">
        <v>4</v>
      </c>
      <c r="N637" s="8">
        <v>10580</v>
      </c>
      <c r="O637" s="88">
        <v>4.4999999999999998E-2</v>
      </c>
      <c r="P637" s="10">
        <f t="shared" si="179"/>
        <v>476</v>
      </c>
      <c r="Q637" s="88">
        <v>4.2099999999999999E-2</v>
      </c>
      <c r="R637" s="10">
        <f t="shared" si="180"/>
        <v>445</v>
      </c>
      <c r="S637" s="88">
        <f t="shared" si="181"/>
        <v>8.7051039697542534E-2</v>
      </c>
      <c r="T637" s="10">
        <f t="shared" si="182"/>
        <v>921</v>
      </c>
      <c r="U637" s="10">
        <f t="shared" si="183"/>
        <v>11501</v>
      </c>
      <c r="V637" s="11">
        <v>11638</v>
      </c>
      <c r="W637" s="12">
        <f t="shared" si="184"/>
        <v>1058</v>
      </c>
      <c r="X637" s="92">
        <f t="shared" si="193"/>
        <v>0.1</v>
      </c>
      <c r="Y637" s="93" t="str">
        <f t="shared" si="191"/>
        <v>6.96%-10.45%</v>
      </c>
      <c r="Z637" s="15"/>
      <c r="AA637" s="15"/>
      <c r="AB637" s="15"/>
      <c r="AC637" s="95"/>
      <c r="AD637" s="8">
        <f t="shared" si="185"/>
        <v>0</v>
      </c>
      <c r="AE637" s="17">
        <f t="shared" si="186"/>
        <v>11638</v>
      </c>
      <c r="AF637" s="18">
        <f t="shared" si="187"/>
        <v>1058</v>
      </c>
      <c r="AG637" s="97">
        <f t="shared" si="188"/>
        <v>0.10000000000000009</v>
      </c>
      <c r="AH637" s="20">
        <v>14</v>
      </c>
      <c r="AI637" s="20">
        <v>450</v>
      </c>
      <c r="AJ637" s="20"/>
      <c r="AK637" s="20">
        <v>688</v>
      </c>
      <c r="AL637" s="20">
        <f t="shared" si="189"/>
        <v>169020</v>
      </c>
      <c r="AM637" s="7">
        <v>3</v>
      </c>
      <c r="AN637" s="20"/>
      <c r="AO637" s="21"/>
      <c r="AP637" s="21"/>
      <c r="AQ637" s="5" t="s">
        <v>2074</v>
      </c>
      <c r="AR637" s="5" t="s">
        <v>2075</v>
      </c>
      <c r="AS637" s="5" t="s">
        <v>247</v>
      </c>
      <c r="AT637" s="20"/>
      <c r="AU637" s="21"/>
      <c r="AV637" s="21"/>
      <c r="AW637" s="144" t="str">
        <f t="shared" si="190"/>
        <v>OK</v>
      </c>
      <c r="AX637" s="21" t="s">
        <v>3131</v>
      </c>
      <c r="AY637" s="21" t="s">
        <v>3132</v>
      </c>
      <c r="AZ637" s="21"/>
      <c r="BA637" s="21"/>
    </row>
    <row r="638" spans="1:53" ht="20" customHeight="1">
      <c r="A638" s="86" t="s">
        <v>318</v>
      </c>
      <c r="B638" s="372" t="s">
        <v>2968</v>
      </c>
      <c r="C638" s="5" t="s">
        <v>51</v>
      </c>
      <c r="D638" s="5" t="s">
        <v>52</v>
      </c>
      <c r="E638" s="5" t="s">
        <v>2035</v>
      </c>
      <c r="F638" s="5" t="s">
        <v>2088</v>
      </c>
      <c r="G638" s="5" t="s">
        <v>2089</v>
      </c>
      <c r="H638" s="6">
        <v>39664</v>
      </c>
      <c r="I638" s="5" t="s">
        <v>73</v>
      </c>
      <c r="J638" s="5" t="s">
        <v>73</v>
      </c>
      <c r="K638" s="5" t="s">
        <v>61</v>
      </c>
      <c r="L638" s="7">
        <v>2</v>
      </c>
      <c r="M638" s="7">
        <v>4</v>
      </c>
      <c r="N638" s="8">
        <v>16525</v>
      </c>
      <c r="O638" s="88">
        <v>4.4999999999999998E-2</v>
      </c>
      <c r="P638" s="10">
        <f t="shared" si="179"/>
        <v>744</v>
      </c>
      <c r="Q638" s="88">
        <v>4.2099999999999999E-2</v>
      </c>
      <c r="R638" s="10">
        <f t="shared" si="180"/>
        <v>696</v>
      </c>
      <c r="S638" s="88">
        <f t="shared" si="181"/>
        <v>8.7140695915279884E-2</v>
      </c>
      <c r="T638" s="10">
        <f t="shared" si="182"/>
        <v>1440</v>
      </c>
      <c r="U638" s="10">
        <f t="shared" si="183"/>
        <v>17965</v>
      </c>
      <c r="V638" s="11">
        <v>17700</v>
      </c>
      <c r="W638" s="12">
        <f t="shared" si="184"/>
        <v>1175</v>
      </c>
      <c r="X638" s="92">
        <f t="shared" si="193"/>
        <v>7.1099999999999997E-2</v>
      </c>
      <c r="Y638" s="93" t="str">
        <f t="shared" si="191"/>
        <v>6.97%-10.46%</v>
      </c>
      <c r="Z638" s="15"/>
      <c r="AA638" s="15"/>
      <c r="AB638" s="15"/>
      <c r="AC638" s="95"/>
      <c r="AD638" s="8">
        <f t="shared" si="185"/>
        <v>0</v>
      </c>
      <c r="AE638" s="17">
        <f t="shared" si="186"/>
        <v>17700</v>
      </c>
      <c r="AF638" s="18">
        <f t="shared" si="187"/>
        <v>1175</v>
      </c>
      <c r="AG638" s="97">
        <f t="shared" si="188"/>
        <v>7.1104387291981874E-2</v>
      </c>
      <c r="AH638" s="20">
        <v>14</v>
      </c>
      <c r="AI638" s="20">
        <v>450</v>
      </c>
      <c r="AJ638" s="20"/>
      <c r="AK638" s="20">
        <v>688</v>
      </c>
      <c r="AL638" s="20">
        <f t="shared" si="189"/>
        <v>253888</v>
      </c>
      <c r="AM638" s="7">
        <v>4</v>
      </c>
      <c r="AN638" s="20"/>
      <c r="AO638" s="21"/>
      <c r="AP638" s="21"/>
      <c r="AQ638" s="5" t="s">
        <v>2074</v>
      </c>
      <c r="AR638" s="5" t="s">
        <v>2075</v>
      </c>
      <c r="AS638" s="5" t="s">
        <v>247</v>
      </c>
      <c r="AT638" s="20"/>
      <c r="AU638" s="21"/>
      <c r="AV638" s="21"/>
      <c r="AW638" s="144" t="str">
        <f t="shared" si="190"/>
        <v>OK</v>
      </c>
      <c r="AX638" s="21" t="s">
        <v>3129</v>
      </c>
      <c r="AY638" s="21" t="s">
        <v>3132</v>
      </c>
      <c r="AZ638" s="21"/>
      <c r="BA638" s="21"/>
    </row>
    <row r="639" spans="1:53" ht="20" customHeight="1">
      <c r="A639" s="86" t="s">
        <v>318</v>
      </c>
      <c r="B639" s="372" t="s">
        <v>2969</v>
      </c>
      <c r="C639" s="5" t="s">
        <v>51</v>
      </c>
      <c r="D639" s="5" t="s">
        <v>52</v>
      </c>
      <c r="E639" s="5" t="s">
        <v>2035</v>
      </c>
      <c r="F639" s="5" t="s">
        <v>2088</v>
      </c>
      <c r="G639" s="5" t="s">
        <v>2089</v>
      </c>
      <c r="H639" s="6">
        <v>39664</v>
      </c>
      <c r="I639" s="5" t="s">
        <v>111</v>
      </c>
      <c r="J639" s="5" t="s">
        <v>2091</v>
      </c>
      <c r="K639" s="5" t="s">
        <v>56</v>
      </c>
      <c r="L639" s="7">
        <v>2</v>
      </c>
      <c r="M639" s="7">
        <v>5</v>
      </c>
      <c r="N639" s="8">
        <v>20245</v>
      </c>
      <c r="O639" s="88">
        <v>0.05</v>
      </c>
      <c r="P639" s="10">
        <f t="shared" si="179"/>
        <v>1012</v>
      </c>
      <c r="Q639" s="88">
        <v>2.7E-2</v>
      </c>
      <c r="R639" s="10">
        <f t="shared" si="180"/>
        <v>547</v>
      </c>
      <c r="S639" s="88">
        <f t="shared" si="181"/>
        <v>7.7006668313163745E-2</v>
      </c>
      <c r="T639" s="10">
        <f t="shared" si="182"/>
        <v>1559</v>
      </c>
      <c r="U639" s="10">
        <f t="shared" si="183"/>
        <v>21804</v>
      </c>
      <c r="V639" s="11">
        <v>22116</v>
      </c>
      <c r="W639" s="12">
        <f t="shared" si="184"/>
        <v>1871</v>
      </c>
      <c r="X639" s="92">
        <f t="shared" si="193"/>
        <v>9.2399999999999996E-2</v>
      </c>
      <c r="Y639" s="93" t="str">
        <f t="shared" si="191"/>
        <v>6.16%-9.24%</v>
      </c>
      <c r="Z639" s="15"/>
      <c r="AA639" s="15"/>
      <c r="AB639" s="15"/>
      <c r="AC639" s="95"/>
      <c r="AD639" s="8">
        <f t="shared" si="185"/>
        <v>0</v>
      </c>
      <c r="AE639" s="17">
        <f t="shared" si="186"/>
        <v>22116</v>
      </c>
      <c r="AF639" s="18">
        <f t="shared" si="187"/>
        <v>1871</v>
      </c>
      <c r="AG639" s="97">
        <f t="shared" si="188"/>
        <v>9.24178809582612E-2</v>
      </c>
      <c r="AH639" s="20">
        <v>14</v>
      </c>
      <c r="AI639" s="20">
        <v>1950</v>
      </c>
      <c r="AJ639" s="20"/>
      <c r="AK639" s="20">
        <v>688</v>
      </c>
      <c r="AL639" s="20">
        <f t="shared" si="189"/>
        <v>333712</v>
      </c>
      <c r="AM639" s="7">
        <v>4</v>
      </c>
      <c r="AN639" s="20"/>
      <c r="AO639" s="21"/>
      <c r="AP639" s="21"/>
      <c r="AQ639" s="5" t="s">
        <v>2074</v>
      </c>
      <c r="AR639" s="5" t="s">
        <v>2075</v>
      </c>
      <c r="AS639" s="5" t="s">
        <v>247</v>
      </c>
      <c r="AT639" s="20"/>
      <c r="AU639" s="21"/>
      <c r="AV639" s="21"/>
      <c r="AW639" s="144" t="str">
        <f t="shared" si="190"/>
        <v>OK</v>
      </c>
      <c r="AX639" s="21" t="s">
        <v>3129</v>
      </c>
      <c r="AY639" s="21" t="s">
        <v>3130</v>
      </c>
      <c r="AZ639" s="21"/>
      <c r="BA639" s="21"/>
    </row>
    <row r="640" spans="1:53" ht="20" customHeight="1">
      <c r="A640" s="86" t="s">
        <v>318</v>
      </c>
      <c r="B640" s="372" t="s">
        <v>2970</v>
      </c>
      <c r="C640" s="5" t="s">
        <v>51</v>
      </c>
      <c r="D640" s="5" t="s">
        <v>52</v>
      </c>
      <c r="E640" s="5" t="s">
        <v>2035</v>
      </c>
      <c r="F640" s="5" t="s">
        <v>2088</v>
      </c>
      <c r="G640" s="5" t="s">
        <v>2089</v>
      </c>
      <c r="H640" s="6">
        <v>40023</v>
      </c>
      <c r="I640" s="5" t="s">
        <v>82</v>
      </c>
      <c r="J640" s="5" t="s">
        <v>82</v>
      </c>
      <c r="K640" s="5" t="s">
        <v>84</v>
      </c>
      <c r="L640" s="7">
        <v>2</v>
      </c>
      <c r="M640" s="7">
        <v>5</v>
      </c>
      <c r="N640" s="8">
        <v>7980</v>
      </c>
      <c r="O640" s="88">
        <v>0.06</v>
      </c>
      <c r="P640" s="10">
        <f t="shared" si="179"/>
        <v>479</v>
      </c>
      <c r="Q640" s="88">
        <v>7.7799999999999994E-2</v>
      </c>
      <c r="R640" s="10">
        <f t="shared" si="180"/>
        <v>621</v>
      </c>
      <c r="S640" s="88">
        <f t="shared" si="181"/>
        <v>0.13784461152882205</v>
      </c>
      <c r="T640" s="10">
        <f t="shared" si="182"/>
        <v>1100</v>
      </c>
      <c r="U640" s="10">
        <f t="shared" si="183"/>
        <v>9080</v>
      </c>
      <c r="V640" s="11">
        <f t="shared" ref="V640" si="194">U640</f>
        <v>9080</v>
      </c>
      <c r="W640" s="12">
        <f t="shared" si="184"/>
        <v>1100</v>
      </c>
      <c r="X640" s="92">
        <f t="shared" si="193"/>
        <v>0.13780000000000001</v>
      </c>
      <c r="Y640" s="93" t="str">
        <f t="shared" si="191"/>
        <v>11.03%-16.54%</v>
      </c>
      <c r="Z640" s="15"/>
      <c r="AA640" s="15"/>
      <c r="AB640" s="15"/>
      <c r="AC640" s="95"/>
      <c r="AD640" s="8">
        <f t="shared" si="185"/>
        <v>0</v>
      </c>
      <c r="AE640" s="17">
        <f t="shared" si="186"/>
        <v>9080</v>
      </c>
      <c r="AF640" s="18">
        <f t="shared" si="187"/>
        <v>1100</v>
      </c>
      <c r="AG640" s="97">
        <f t="shared" si="188"/>
        <v>0.1378446115288221</v>
      </c>
      <c r="AH640" s="20">
        <v>14</v>
      </c>
      <c r="AI640" s="20">
        <v>450</v>
      </c>
      <c r="AJ640" s="20"/>
      <c r="AK640" s="20">
        <v>688</v>
      </c>
      <c r="AL640" s="20">
        <f t="shared" si="189"/>
        <v>133208</v>
      </c>
      <c r="AM640" s="7">
        <v>4</v>
      </c>
      <c r="AN640" s="20"/>
      <c r="AO640" s="21"/>
      <c r="AP640" s="21"/>
      <c r="AQ640" s="5" t="s">
        <v>2074</v>
      </c>
      <c r="AR640" s="5" t="s">
        <v>2075</v>
      </c>
      <c r="AS640" s="5" t="s">
        <v>247</v>
      </c>
      <c r="AT640" s="20"/>
      <c r="AU640" s="21"/>
      <c r="AV640" s="21"/>
      <c r="AW640" s="144" t="str">
        <f t="shared" si="190"/>
        <v>OK</v>
      </c>
      <c r="AX640" s="21" t="s">
        <v>3129</v>
      </c>
      <c r="AY640" s="21" t="s">
        <v>3132</v>
      </c>
      <c r="AZ640" s="21"/>
      <c r="BA640" s="21"/>
    </row>
    <row r="641" spans="1:53" ht="20" customHeight="1">
      <c r="A641" s="86" t="s">
        <v>318</v>
      </c>
      <c r="B641" s="372" t="s">
        <v>2971</v>
      </c>
      <c r="C641" s="5" t="s">
        <v>51</v>
      </c>
      <c r="D641" s="5" t="s">
        <v>52</v>
      </c>
      <c r="E641" s="5" t="s">
        <v>2035</v>
      </c>
      <c r="F641" s="5" t="s">
        <v>2088</v>
      </c>
      <c r="G641" s="5" t="s">
        <v>2089</v>
      </c>
      <c r="H641" s="6">
        <v>42194</v>
      </c>
      <c r="I641" s="5" t="s">
        <v>174</v>
      </c>
      <c r="J641" s="5" t="s">
        <v>2092</v>
      </c>
      <c r="K641" s="5" t="s">
        <v>175</v>
      </c>
      <c r="L641" s="7">
        <v>2</v>
      </c>
      <c r="M641" s="7">
        <v>3</v>
      </c>
      <c r="N641" s="8">
        <v>6600</v>
      </c>
      <c r="O641" s="88">
        <v>0.03</v>
      </c>
      <c r="P641" s="10">
        <f t="shared" si="179"/>
        <v>198</v>
      </c>
      <c r="Q641" s="88">
        <v>0</v>
      </c>
      <c r="R641" s="10">
        <f t="shared" si="180"/>
        <v>0</v>
      </c>
      <c r="S641" s="88">
        <f t="shared" si="181"/>
        <v>0.03</v>
      </c>
      <c r="T641" s="10">
        <f t="shared" si="182"/>
        <v>198</v>
      </c>
      <c r="U641" s="10">
        <f t="shared" si="183"/>
        <v>6798</v>
      </c>
      <c r="V641" s="11">
        <v>6828</v>
      </c>
      <c r="W641" s="12">
        <f t="shared" si="184"/>
        <v>228</v>
      </c>
      <c r="X641" s="92">
        <f t="shared" si="193"/>
        <v>3.4500000000000003E-2</v>
      </c>
      <c r="Y641" s="93" t="str">
        <f t="shared" si="191"/>
        <v>2.40%-3.60%</v>
      </c>
      <c r="Z641" s="15"/>
      <c r="AA641" s="15"/>
      <c r="AB641" s="15"/>
      <c r="AC641" s="95"/>
      <c r="AD641" s="8">
        <f t="shared" si="185"/>
        <v>0</v>
      </c>
      <c r="AE641" s="17">
        <f t="shared" si="186"/>
        <v>6828</v>
      </c>
      <c r="AF641" s="18">
        <f t="shared" si="187"/>
        <v>228</v>
      </c>
      <c r="AG641" s="97">
        <f t="shared" si="188"/>
        <v>3.4545454545454435E-2</v>
      </c>
      <c r="AH641" s="20">
        <v>14</v>
      </c>
      <c r="AI641" s="20">
        <v>450</v>
      </c>
      <c r="AJ641" s="20"/>
      <c r="AK641" s="20">
        <v>688</v>
      </c>
      <c r="AL641" s="20">
        <f t="shared" si="189"/>
        <v>101680</v>
      </c>
      <c r="AM641" s="7">
        <v>3</v>
      </c>
      <c r="AN641" s="20"/>
      <c r="AO641" s="21"/>
      <c r="AP641" s="21"/>
      <c r="AQ641" s="5" t="s">
        <v>2074</v>
      </c>
      <c r="AR641" s="5" t="s">
        <v>2075</v>
      </c>
      <c r="AS641" s="5" t="s">
        <v>247</v>
      </c>
      <c r="AT641" s="20"/>
      <c r="AU641" s="21"/>
      <c r="AV641" s="21"/>
      <c r="AW641" s="144" t="str">
        <f t="shared" si="190"/>
        <v>OK</v>
      </c>
      <c r="AX641" s="21" t="s">
        <v>3133</v>
      </c>
      <c r="AY641" s="21" t="s">
        <v>3132</v>
      </c>
      <c r="AZ641" s="21"/>
      <c r="BA641" s="21"/>
    </row>
    <row r="642" spans="1:53" ht="20" customHeight="1">
      <c r="A642" s="86" t="s">
        <v>318</v>
      </c>
      <c r="B642" s="372" t="s">
        <v>2972</v>
      </c>
      <c r="C642" s="5" t="s">
        <v>51</v>
      </c>
      <c r="D642" s="5" t="s">
        <v>52</v>
      </c>
      <c r="E642" s="5" t="s">
        <v>2035</v>
      </c>
      <c r="F642" s="5" t="s">
        <v>2093</v>
      </c>
      <c r="G642" s="5" t="s">
        <v>2094</v>
      </c>
      <c r="H642" s="6">
        <v>34151</v>
      </c>
      <c r="I642" s="5" t="s">
        <v>292</v>
      </c>
      <c r="J642" s="5" t="s">
        <v>2095</v>
      </c>
      <c r="K642" s="5" t="s">
        <v>294</v>
      </c>
      <c r="L642" s="7">
        <v>1</v>
      </c>
      <c r="M642" s="7">
        <v>3</v>
      </c>
      <c r="N642" s="8">
        <v>49218</v>
      </c>
      <c r="O642" s="88">
        <v>0</v>
      </c>
      <c r="P642" s="10">
        <f t="shared" si="179"/>
        <v>0</v>
      </c>
      <c r="Q642" s="88">
        <v>0</v>
      </c>
      <c r="R642" s="10">
        <f t="shared" si="180"/>
        <v>0</v>
      </c>
      <c r="S642" s="88">
        <f t="shared" si="181"/>
        <v>0</v>
      </c>
      <c r="T642" s="10">
        <f t="shared" si="182"/>
        <v>0</v>
      </c>
      <c r="U642" s="10">
        <f t="shared" si="183"/>
        <v>49218</v>
      </c>
      <c r="V642" s="11">
        <f t="shared" ref="V642:V652" si="195">U642</f>
        <v>49218</v>
      </c>
      <c r="W642" s="12">
        <f t="shared" si="184"/>
        <v>0</v>
      </c>
      <c r="X642" s="92">
        <f t="shared" si="193"/>
        <v>0</v>
      </c>
      <c r="Y642" s="93" t="str">
        <f t="shared" si="191"/>
        <v>0.00%-0.00%</v>
      </c>
      <c r="Z642" s="15"/>
      <c r="AA642" s="15"/>
      <c r="AB642" s="15"/>
      <c r="AC642" s="95"/>
      <c r="AD642" s="8">
        <f t="shared" si="185"/>
        <v>0</v>
      </c>
      <c r="AE642" s="17">
        <f t="shared" si="186"/>
        <v>49218</v>
      </c>
      <c r="AF642" s="18">
        <f t="shared" si="187"/>
        <v>0</v>
      </c>
      <c r="AG642" s="97">
        <f t="shared" si="188"/>
        <v>0</v>
      </c>
      <c r="AH642" s="20">
        <v>16</v>
      </c>
      <c r="AI642" s="20">
        <v>450</v>
      </c>
      <c r="AJ642" s="20">
        <v>5000</v>
      </c>
      <c r="AK642" s="20">
        <v>0</v>
      </c>
      <c r="AL642" s="20">
        <f t="shared" si="189"/>
        <v>852888</v>
      </c>
      <c r="AM642" s="7">
        <v>3</v>
      </c>
      <c r="AN642" s="20"/>
      <c r="AO642" s="21"/>
      <c r="AP642" s="21"/>
      <c r="AQ642" s="5" t="s">
        <v>2074</v>
      </c>
      <c r="AR642" s="5" t="s">
        <v>2075</v>
      </c>
      <c r="AS642" s="5" t="s">
        <v>247</v>
      </c>
      <c r="AT642" s="20"/>
      <c r="AU642" s="21"/>
      <c r="AV642" s="21"/>
      <c r="AW642" s="144" t="str">
        <f t="shared" si="190"/>
        <v>OK</v>
      </c>
      <c r="AX642" s="21" t="s">
        <v>3137</v>
      </c>
      <c r="AY642" s="21" t="s">
        <v>3140</v>
      </c>
      <c r="AZ642" s="21"/>
      <c r="BA642" s="21"/>
    </row>
    <row r="643" spans="1:53" ht="20" customHeight="1">
      <c r="A643" s="86" t="s">
        <v>318</v>
      </c>
      <c r="B643" s="372" t="s">
        <v>2973</v>
      </c>
      <c r="C643" s="5" t="s">
        <v>51</v>
      </c>
      <c r="D643" s="5" t="s">
        <v>52</v>
      </c>
      <c r="E643" s="5" t="s">
        <v>2035</v>
      </c>
      <c r="F643" s="5" t="s">
        <v>2096</v>
      </c>
      <c r="G643" s="5" t="s">
        <v>2094</v>
      </c>
      <c r="H643" s="6">
        <v>37823</v>
      </c>
      <c r="I643" s="5" t="s">
        <v>71</v>
      </c>
      <c r="J643" s="5" t="s">
        <v>2097</v>
      </c>
      <c r="K643" s="5" t="s">
        <v>61</v>
      </c>
      <c r="L643" s="7">
        <v>2</v>
      </c>
      <c r="M643" s="7">
        <v>3</v>
      </c>
      <c r="N643" s="8">
        <v>14127</v>
      </c>
      <c r="O643" s="88">
        <v>2.5000000000000001E-2</v>
      </c>
      <c r="P643" s="10">
        <f t="shared" si="179"/>
        <v>353</v>
      </c>
      <c r="Q643" s="88">
        <v>0</v>
      </c>
      <c r="R643" s="10">
        <f t="shared" si="180"/>
        <v>0</v>
      </c>
      <c r="S643" s="88">
        <f t="shared" si="181"/>
        <v>2.4987612373469244E-2</v>
      </c>
      <c r="T643" s="10">
        <f t="shared" si="182"/>
        <v>353</v>
      </c>
      <c r="U643" s="10">
        <f t="shared" si="183"/>
        <v>14480</v>
      </c>
      <c r="V643" s="11">
        <f t="shared" si="195"/>
        <v>14480</v>
      </c>
      <c r="W643" s="12">
        <f t="shared" si="184"/>
        <v>353</v>
      </c>
      <c r="X643" s="92">
        <f t="shared" si="193"/>
        <v>2.5000000000000001E-2</v>
      </c>
      <c r="Y643" s="93" t="str">
        <f t="shared" si="191"/>
        <v>2.00%-3.00%</v>
      </c>
      <c r="Z643" s="15"/>
      <c r="AA643" s="15"/>
      <c r="AB643" s="15"/>
      <c r="AC643" s="95"/>
      <c r="AD643" s="8">
        <f t="shared" si="185"/>
        <v>0</v>
      </c>
      <c r="AE643" s="17">
        <f t="shared" si="186"/>
        <v>14480</v>
      </c>
      <c r="AF643" s="18">
        <f t="shared" si="187"/>
        <v>353</v>
      </c>
      <c r="AG643" s="97">
        <f t="shared" si="188"/>
        <v>2.4987612373469137E-2</v>
      </c>
      <c r="AH643" s="20">
        <v>14</v>
      </c>
      <c r="AI643" s="20">
        <v>450</v>
      </c>
      <c r="AJ643" s="20"/>
      <c r="AK643" s="20">
        <v>688</v>
      </c>
      <c r="AL643" s="20">
        <f t="shared" si="189"/>
        <v>208808</v>
      </c>
      <c r="AM643" s="7">
        <v>3</v>
      </c>
      <c r="AN643" s="20"/>
      <c r="AO643" s="21"/>
      <c r="AP643" s="21"/>
      <c r="AQ643" s="5" t="s">
        <v>2074</v>
      </c>
      <c r="AR643" s="5" t="s">
        <v>2075</v>
      </c>
      <c r="AS643" s="5" t="s">
        <v>247</v>
      </c>
      <c r="AT643" s="20"/>
      <c r="AU643" s="21"/>
      <c r="AV643" s="21"/>
      <c r="AW643" s="144" t="str">
        <f t="shared" si="190"/>
        <v>OK</v>
      </c>
      <c r="AX643" s="21" t="s">
        <v>3139</v>
      </c>
      <c r="AY643" s="21" t="s">
        <v>3130</v>
      </c>
      <c r="AZ643" s="21"/>
      <c r="BA643" s="21"/>
    </row>
    <row r="644" spans="1:53" ht="20" customHeight="1">
      <c r="A644" s="86" t="s">
        <v>318</v>
      </c>
      <c r="B644" s="372" t="s">
        <v>2974</v>
      </c>
      <c r="C644" s="5" t="s">
        <v>51</v>
      </c>
      <c r="D644" s="5" t="s">
        <v>52</v>
      </c>
      <c r="E644" s="5" t="s">
        <v>2035</v>
      </c>
      <c r="F644" s="5" t="s">
        <v>2098</v>
      </c>
      <c r="G644" s="5" t="s">
        <v>2094</v>
      </c>
      <c r="H644" s="6">
        <v>38526</v>
      </c>
      <c r="I644" s="5" t="s">
        <v>111</v>
      </c>
      <c r="J644" s="5" t="s">
        <v>2099</v>
      </c>
      <c r="K644" s="5" t="s">
        <v>56</v>
      </c>
      <c r="L644" s="7">
        <v>2</v>
      </c>
      <c r="M644" s="7">
        <v>3</v>
      </c>
      <c r="N644" s="8">
        <v>28001</v>
      </c>
      <c r="O644" s="88">
        <v>0</v>
      </c>
      <c r="P644" s="10">
        <f t="shared" si="179"/>
        <v>0</v>
      </c>
      <c r="Q644" s="88">
        <v>0</v>
      </c>
      <c r="R644" s="10">
        <f t="shared" si="180"/>
        <v>0</v>
      </c>
      <c r="S644" s="88">
        <f t="shared" si="181"/>
        <v>0</v>
      </c>
      <c r="T644" s="10">
        <f t="shared" si="182"/>
        <v>0</v>
      </c>
      <c r="U644" s="10">
        <f t="shared" si="183"/>
        <v>28001</v>
      </c>
      <c r="V644" s="11">
        <f t="shared" si="195"/>
        <v>28001</v>
      </c>
      <c r="W644" s="12">
        <f t="shared" si="184"/>
        <v>0</v>
      </c>
      <c r="X644" s="92">
        <f t="shared" si="193"/>
        <v>0</v>
      </c>
      <c r="Y644" s="93" t="str">
        <f t="shared" si="191"/>
        <v>0.00%-0.00%</v>
      </c>
      <c r="Z644" s="15"/>
      <c r="AA644" s="15"/>
      <c r="AB644" s="15"/>
      <c r="AC644" s="95"/>
      <c r="AD644" s="8">
        <f t="shared" si="185"/>
        <v>0</v>
      </c>
      <c r="AE644" s="17">
        <f t="shared" si="186"/>
        <v>28001</v>
      </c>
      <c r="AF644" s="18">
        <f t="shared" si="187"/>
        <v>0</v>
      </c>
      <c r="AG644" s="97">
        <f t="shared" si="188"/>
        <v>0</v>
      </c>
      <c r="AH644" s="20">
        <v>14</v>
      </c>
      <c r="AI644" s="20">
        <v>450</v>
      </c>
      <c r="AJ644" s="20"/>
      <c r="AK644" s="20">
        <v>688</v>
      </c>
      <c r="AL644" s="20">
        <f t="shared" si="189"/>
        <v>398102</v>
      </c>
      <c r="AM644" s="7">
        <v>3</v>
      </c>
      <c r="AN644" s="20"/>
      <c r="AO644" s="21"/>
      <c r="AP644" s="21"/>
      <c r="AQ644" s="5" t="s">
        <v>2074</v>
      </c>
      <c r="AR644" s="5" t="s">
        <v>2075</v>
      </c>
      <c r="AS644" s="5" t="s">
        <v>247</v>
      </c>
      <c r="AT644" s="20"/>
      <c r="AU644" s="21"/>
      <c r="AV644" s="21"/>
      <c r="AW644" s="144" t="str">
        <f t="shared" si="190"/>
        <v>OK</v>
      </c>
      <c r="AX644" s="21" t="s">
        <v>3129</v>
      </c>
      <c r="AY644" s="21" t="s">
        <v>3134</v>
      </c>
      <c r="AZ644" s="21"/>
      <c r="BA644" s="21"/>
    </row>
    <row r="645" spans="1:53" ht="20" customHeight="1">
      <c r="A645" s="86" t="s">
        <v>318</v>
      </c>
      <c r="B645" s="372" t="s">
        <v>2975</v>
      </c>
      <c r="C645" s="5" t="s">
        <v>51</v>
      </c>
      <c r="D645" s="5" t="s">
        <v>52</v>
      </c>
      <c r="E645" s="5" t="s">
        <v>2035</v>
      </c>
      <c r="F645" s="5" t="s">
        <v>2100</v>
      </c>
      <c r="G645" s="5" t="s">
        <v>2101</v>
      </c>
      <c r="H645" s="6">
        <v>38663</v>
      </c>
      <c r="I645" s="5" t="s">
        <v>71</v>
      </c>
      <c r="J645" s="5" t="s">
        <v>71</v>
      </c>
      <c r="K645" s="5" t="s">
        <v>61</v>
      </c>
      <c r="L645" s="7">
        <v>2</v>
      </c>
      <c r="M645" s="7">
        <v>1</v>
      </c>
      <c r="N645" s="8">
        <v>15901</v>
      </c>
      <c r="O645" s="88">
        <v>0</v>
      </c>
      <c r="P645" s="10">
        <f t="shared" si="179"/>
        <v>0</v>
      </c>
      <c r="Q645" s="88">
        <v>0</v>
      </c>
      <c r="R645" s="10">
        <f t="shared" si="180"/>
        <v>0</v>
      </c>
      <c r="S645" s="88">
        <f t="shared" si="181"/>
        <v>0</v>
      </c>
      <c r="T645" s="10">
        <f t="shared" si="182"/>
        <v>0</v>
      </c>
      <c r="U645" s="10">
        <f t="shared" si="183"/>
        <v>15901</v>
      </c>
      <c r="V645" s="11">
        <f t="shared" si="195"/>
        <v>15901</v>
      </c>
      <c r="W645" s="12">
        <f t="shared" si="184"/>
        <v>0</v>
      </c>
      <c r="X645" s="92">
        <f t="shared" si="193"/>
        <v>0</v>
      </c>
      <c r="Y645" s="93" t="str">
        <f t="shared" si="191"/>
        <v>0.00%-0.00%</v>
      </c>
      <c r="Z645" s="15"/>
      <c r="AA645" s="15"/>
      <c r="AB645" s="15"/>
      <c r="AC645" s="95"/>
      <c r="AD645" s="8">
        <f t="shared" si="185"/>
        <v>0</v>
      </c>
      <c r="AE645" s="17">
        <f t="shared" si="186"/>
        <v>15901</v>
      </c>
      <c r="AF645" s="18">
        <f t="shared" si="187"/>
        <v>0</v>
      </c>
      <c r="AG645" s="97">
        <f t="shared" si="188"/>
        <v>0</v>
      </c>
      <c r="AH645" s="20">
        <v>14</v>
      </c>
      <c r="AI645" s="20">
        <v>450</v>
      </c>
      <c r="AJ645" s="20"/>
      <c r="AK645" s="20">
        <v>688</v>
      </c>
      <c r="AL645" s="20">
        <f t="shared" si="189"/>
        <v>228702</v>
      </c>
      <c r="AM645" s="7">
        <v>3</v>
      </c>
      <c r="AN645" s="20" t="s">
        <v>364</v>
      </c>
      <c r="AO645" s="21"/>
      <c r="AP645" s="21"/>
      <c r="AQ645" s="5" t="s">
        <v>2074</v>
      </c>
      <c r="AR645" s="5" t="s">
        <v>2075</v>
      </c>
      <c r="AS645" s="5" t="s">
        <v>247</v>
      </c>
      <c r="AT645" s="20"/>
      <c r="AU645" s="21"/>
      <c r="AV645" s="21"/>
      <c r="AW645" s="144" t="str">
        <f t="shared" si="190"/>
        <v>OK</v>
      </c>
      <c r="AX645" s="21" t="s">
        <v>3129</v>
      </c>
      <c r="AY645" s="21">
        <v>0</v>
      </c>
      <c r="AZ645" s="21"/>
      <c r="BA645" s="21"/>
    </row>
    <row r="646" spans="1:53" ht="20" customHeight="1">
      <c r="A646" s="86" t="s">
        <v>318</v>
      </c>
      <c r="B646" s="372" t="s">
        <v>2976</v>
      </c>
      <c r="C646" s="5" t="s">
        <v>51</v>
      </c>
      <c r="D646" s="5" t="s">
        <v>52</v>
      </c>
      <c r="E646" s="5" t="s">
        <v>2035</v>
      </c>
      <c r="F646" s="5" t="s">
        <v>2102</v>
      </c>
      <c r="G646" s="5" t="s">
        <v>2094</v>
      </c>
      <c r="H646" s="6">
        <v>43124</v>
      </c>
      <c r="I646" s="5" t="s">
        <v>71</v>
      </c>
      <c r="J646" s="5" t="s">
        <v>2103</v>
      </c>
      <c r="K646" s="5" t="s">
        <v>61</v>
      </c>
      <c r="L646" s="7">
        <v>2</v>
      </c>
      <c r="M646" s="7">
        <v>4</v>
      </c>
      <c r="N646" s="8">
        <v>15678</v>
      </c>
      <c r="O646" s="88">
        <v>3.7500000000000006E-2</v>
      </c>
      <c r="P646" s="10">
        <f t="shared" si="179"/>
        <v>588</v>
      </c>
      <c r="Q646" s="88">
        <v>1.55E-2</v>
      </c>
      <c r="R646" s="10">
        <f t="shared" si="180"/>
        <v>243</v>
      </c>
      <c r="S646" s="88">
        <f t="shared" si="181"/>
        <v>5.3004209720627631E-2</v>
      </c>
      <c r="T646" s="10">
        <f t="shared" si="182"/>
        <v>831</v>
      </c>
      <c r="U646" s="10">
        <f t="shared" si="183"/>
        <v>16509</v>
      </c>
      <c r="V646" s="11">
        <f t="shared" si="195"/>
        <v>16509</v>
      </c>
      <c r="W646" s="12">
        <f t="shared" si="184"/>
        <v>831</v>
      </c>
      <c r="X646" s="92">
        <f t="shared" si="193"/>
        <v>5.2999999999999999E-2</v>
      </c>
      <c r="Y646" s="93" t="str">
        <f t="shared" si="191"/>
        <v>4.24%-6.36%</v>
      </c>
      <c r="Z646" s="15"/>
      <c r="AA646" s="15"/>
      <c r="AB646" s="15"/>
      <c r="AC646" s="95"/>
      <c r="AD646" s="8">
        <f t="shared" si="185"/>
        <v>0</v>
      </c>
      <c r="AE646" s="17">
        <f t="shared" si="186"/>
        <v>16509</v>
      </c>
      <c r="AF646" s="18">
        <f t="shared" si="187"/>
        <v>831</v>
      </c>
      <c r="AG646" s="97">
        <f t="shared" si="188"/>
        <v>5.3004209720627582E-2</v>
      </c>
      <c r="AH646" s="20">
        <v>14</v>
      </c>
      <c r="AI646" s="20">
        <v>450</v>
      </c>
      <c r="AJ646" s="20"/>
      <c r="AK646" s="20">
        <v>688</v>
      </c>
      <c r="AL646" s="20">
        <f t="shared" si="189"/>
        <v>237214</v>
      </c>
      <c r="AM646" s="7">
        <v>5</v>
      </c>
      <c r="AN646" s="20"/>
      <c r="AO646" s="21"/>
      <c r="AP646" s="21"/>
      <c r="AQ646" s="5" t="s">
        <v>2074</v>
      </c>
      <c r="AR646" s="5" t="s">
        <v>2075</v>
      </c>
      <c r="AS646" s="5" t="s">
        <v>247</v>
      </c>
      <c r="AT646" s="20"/>
      <c r="AU646" s="21"/>
      <c r="AV646" s="21"/>
      <c r="AW646" s="144" t="str">
        <f t="shared" si="190"/>
        <v>OK</v>
      </c>
      <c r="AX646" s="21" t="s">
        <v>3133</v>
      </c>
      <c r="AY646" s="21" t="s">
        <v>3130</v>
      </c>
      <c r="AZ646" s="21"/>
      <c r="BA646" s="21"/>
    </row>
    <row r="647" spans="1:53" ht="20" customHeight="1">
      <c r="A647" s="86" t="s">
        <v>318</v>
      </c>
      <c r="B647" s="372" t="s">
        <v>2977</v>
      </c>
      <c r="C647" s="5" t="s">
        <v>51</v>
      </c>
      <c r="D647" s="5" t="s">
        <v>52</v>
      </c>
      <c r="E647" s="5" t="s">
        <v>2035</v>
      </c>
      <c r="F647" s="5" t="s">
        <v>2100</v>
      </c>
      <c r="G647" s="5" t="s">
        <v>2101</v>
      </c>
      <c r="H647" s="6">
        <v>34151</v>
      </c>
      <c r="I647" s="5" t="s">
        <v>111</v>
      </c>
      <c r="J647" s="5" t="s">
        <v>2104</v>
      </c>
      <c r="K647" s="5" t="s">
        <v>56</v>
      </c>
      <c r="L647" s="7">
        <v>2</v>
      </c>
      <c r="M647" s="7">
        <v>2</v>
      </c>
      <c r="N647" s="8">
        <v>24000</v>
      </c>
      <c r="O647" s="88">
        <v>0</v>
      </c>
      <c r="P647" s="10">
        <f t="shared" si="179"/>
        <v>0</v>
      </c>
      <c r="Q647" s="88">
        <v>0</v>
      </c>
      <c r="R647" s="10">
        <f t="shared" si="180"/>
        <v>0</v>
      </c>
      <c r="S647" s="88">
        <f t="shared" si="181"/>
        <v>0</v>
      </c>
      <c r="T647" s="10">
        <f t="shared" si="182"/>
        <v>0</v>
      </c>
      <c r="U647" s="10">
        <f t="shared" si="183"/>
        <v>24000</v>
      </c>
      <c r="V647" s="11">
        <f t="shared" si="195"/>
        <v>24000</v>
      </c>
      <c r="W647" s="12">
        <f t="shared" si="184"/>
        <v>0</v>
      </c>
      <c r="X647" s="92">
        <f t="shared" si="193"/>
        <v>0</v>
      </c>
      <c r="Y647" s="93" t="str">
        <f t="shared" si="191"/>
        <v>0.00%-0.00%</v>
      </c>
      <c r="Z647" s="15"/>
      <c r="AA647" s="15"/>
      <c r="AB647" s="15"/>
      <c r="AC647" s="95"/>
      <c r="AD647" s="8">
        <f t="shared" si="185"/>
        <v>0</v>
      </c>
      <c r="AE647" s="17">
        <f t="shared" si="186"/>
        <v>24000</v>
      </c>
      <c r="AF647" s="18">
        <f t="shared" si="187"/>
        <v>0</v>
      </c>
      <c r="AG647" s="97">
        <f t="shared" si="188"/>
        <v>0</v>
      </c>
      <c r="AH647" s="20">
        <v>14</v>
      </c>
      <c r="AI647" s="20">
        <v>450</v>
      </c>
      <c r="AJ647" s="20"/>
      <c r="AK647" s="20">
        <v>688</v>
      </c>
      <c r="AL647" s="20">
        <f t="shared" si="189"/>
        <v>342088</v>
      </c>
      <c r="AM647" s="7">
        <v>4</v>
      </c>
      <c r="AN647" s="20" t="s">
        <v>364</v>
      </c>
      <c r="AO647" s="21"/>
      <c r="AP647" s="21"/>
      <c r="AQ647" s="5" t="s">
        <v>2074</v>
      </c>
      <c r="AR647" s="5" t="s">
        <v>2075</v>
      </c>
      <c r="AS647" s="5" t="s">
        <v>247</v>
      </c>
      <c r="AT647" s="20"/>
      <c r="AU647" s="21"/>
      <c r="AV647" s="21"/>
      <c r="AW647" s="144" t="str">
        <f t="shared" si="190"/>
        <v>OK</v>
      </c>
      <c r="AX647" s="21" t="s">
        <v>3137</v>
      </c>
      <c r="AY647" s="21">
        <v>0</v>
      </c>
      <c r="AZ647" s="21"/>
      <c r="BA647" s="21"/>
    </row>
    <row r="648" spans="1:53" ht="20" customHeight="1">
      <c r="A648" s="86" t="s">
        <v>318</v>
      </c>
      <c r="B648" s="372" t="s">
        <v>2978</v>
      </c>
      <c r="C648" s="5" t="s">
        <v>51</v>
      </c>
      <c r="D648" s="5" t="s">
        <v>52</v>
      </c>
      <c r="E648" s="5" t="s">
        <v>2035</v>
      </c>
      <c r="F648" s="5" t="s">
        <v>2100</v>
      </c>
      <c r="G648" s="5" t="s">
        <v>2101</v>
      </c>
      <c r="H648" s="6">
        <v>39251</v>
      </c>
      <c r="I648" s="5" t="s">
        <v>82</v>
      </c>
      <c r="J648" s="5" t="s">
        <v>2105</v>
      </c>
      <c r="K648" s="5" t="s">
        <v>84</v>
      </c>
      <c r="L648" s="7">
        <v>2</v>
      </c>
      <c r="M648" s="7">
        <v>3</v>
      </c>
      <c r="N648" s="8">
        <v>17608</v>
      </c>
      <c r="O648" s="88">
        <v>0</v>
      </c>
      <c r="P648" s="10">
        <f t="shared" si="179"/>
        <v>0</v>
      </c>
      <c r="Q648" s="88">
        <v>0</v>
      </c>
      <c r="R648" s="10">
        <f t="shared" si="180"/>
        <v>0</v>
      </c>
      <c r="S648" s="88">
        <f t="shared" si="181"/>
        <v>0</v>
      </c>
      <c r="T648" s="10">
        <f t="shared" si="182"/>
        <v>0</v>
      </c>
      <c r="U648" s="10">
        <f t="shared" si="183"/>
        <v>17608</v>
      </c>
      <c r="V648" s="11">
        <f t="shared" si="195"/>
        <v>17608</v>
      </c>
      <c r="W648" s="12">
        <f t="shared" si="184"/>
        <v>0</v>
      </c>
      <c r="X648" s="92">
        <f t="shared" si="193"/>
        <v>0</v>
      </c>
      <c r="Y648" s="93" t="str">
        <f t="shared" si="191"/>
        <v>0.00%-0.00%</v>
      </c>
      <c r="Z648" s="15"/>
      <c r="AA648" s="15"/>
      <c r="AB648" s="15"/>
      <c r="AC648" s="95"/>
      <c r="AD648" s="8">
        <f t="shared" si="185"/>
        <v>0</v>
      </c>
      <c r="AE648" s="17">
        <f t="shared" si="186"/>
        <v>17608</v>
      </c>
      <c r="AF648" s="18">
        <f t="shared" si="187"/>
        <v>0</v>
      </c>
      <c r="AG648" s="97">
        <f t="shared" si="188"/>
        <v>0</v>
      </c>
      <c r="AH648" s="20">
        <v>14</v>
      </c>
      <c r="AI648" s="20">
        <v>450</v>
      </c>
      <c r="AJ648" s="20"/>
      <c r="AK648" s="20">
        <v>688</v>
      </c>
      <c r="AL648" s="20">
        <f t="shared" si="189"/>
        <v>252600</v>
      </c>
      <c r="AM648" s="7">
        <v>3</v>
      </c>
      <c r="AN648" s="20"/>
      <c r="AO648" s="21"/>
      <c r="AP648" s="21"/>
      <c r="AQ648" s="5" t="s">
        <v>2074</v>
      </c>
      <c r="AR648" s="5" t="s">
        <v>2075</v>
      </c>
      <c r="AS648" s="5" t="s">
        <v>247</v>
      </c>
      <c r="AT648" s="20"/>
      <c r="AU648" s="21"/>
      <c r="AV648" s="21"/>
      <c r="AW648" s="144" t="str">
        <f t="shared" si="190"/>
        <v>OK</v>
      </c>
      <c r="AX648" s="21" t="s">
        <v>3129</v>
      </c>
      <c r="AY648" s="21" t="s">
        <v>3134</v>
      </c>
      <c r="AZ648" s="21"/>
      <c r="BA648" s="21"/>
    </row>
    <row r="649" spans="1:53" ht="20" customHeight="1">
      <c r="A649" s="86" t="s">
        <v>318</v>
      </c>
      <c r="B649" s="372" t="s">
        <v>2979</v>
      </c>
      <c r="C649" s="5" t="s">
        <v>51</v>
      </c>
      <c r="D649" s="5" t="s">
        <v>52</v>
      </c>
      <c r="E649" s="5" t="s">
        <v>2035</v>
      </c>
      <c r="F649" s="5" t="s">
        <v>2100</v>
      </c>
      <c r="G649" s="5" t="s">
        <v>2101</v>
      </c>
      <c r="H649" s="6">
        <v>37823</v>
      </c>
      <c r="I649" s="5" t="s">
        <v>74</v>
      </c>
      <c r="J649" s="5" t="s">
        <v>74</v>
      </c>
      <c r="K649" s="5" t="s">
        <v>76</v>
      </c>
      <c r="L649" s="7">
        <v>2</v>
      </c>
      <c r="M649" s="7">
        <v>4</v>
      </c>
      <c r="N649" s="8">
        <v>12754</v>
      </c>
      <c r="O649" s="88">
        <v>3.7500000000000006E-2</v>
      </c>
      <c r="P649" s="10">
        <f t="shared" si="179"/>
        <v>478</v>
      </c>
      <c r="Q649" s="88">
        <v>1.55E-2</v>
      </c>
      <c r="R649" s="10">
        <f t="shared" si="180"/>
        <v>198</v>
      </c>
      <c r="S649" s="88">
        <f t="shared" si="181"/>
        <v>5.3002979457425124E-2</v>
      </c>
      <c r="T649" s="10">
        <f t="shared" si="182"/>
        <v>676</v>
      </c>
      <c r="U649" s="10">
        <f t="shared" si="183"/>
        <v>13430</v>
      </c>
      <c r="V649" s="11">
        <f t="shared" si="195"/>
        <v>13430</v>
      </c>
      <c r="W649" s="12">
        <f t="shared" si="184"/>
        <v>676</v>
      </c>
      <c r="X649" s="92">
        <f t="shared" si="193"/>
        <v>5.2999999999999999E-2</v>
      </c>
      <c r="Y649" s="93" t="str">
        <f t="shared" si="191"/>
        <v>4.24%-6.36%</v>
      </c>
      <c r="Z649" s="15" t="s">
        <v>87</v>
      </c>
      <c r="AA649" s="15" t="s">
        <v>2106</v>
      </c>
      <c r="AB649" s="15"/>
      <c r="AC649" s="95">
        <v>0.1</v>
      </c>
      <c r="AD649" s="8">
        <f t="shared" si="185"/>
        <v>1275</v>
      </c>
      <c r="AE649" s="17">
        <f t="shared" si="186"/>
        <v>14705</v>
      </c>
      <c r="AF649" s="18">
        <f t="shared" si="187"/>
        <v>1951</v>
      </c>
      <c r="AG649" s="97">
        <f t="shared" si="188"/>
        <v>0.15297161674768689</v>
      </c>
      <c r="AH649" s="20">
        <v>14</v>
      </c>
      <c r="AI649" s="20">
        <v>450</v>
      </c>
      <c r="AJ649" s="20"/>
      <c r="AK649" s="20">
        <v>688</v>
      </c>
      <c r="AL649" s="20">
        <f t="shared" si="189"/>
        <v>211958</v>
      </c>
      <c r="AM649" s="7">
        <v>3</v>
      </c>
      <c r="AN649" s="20"/>
      <c r="AO649" s="21"/>
      <c r="AP649" s="21"/>
      <c r="AQ649" s="5" t="s">
        <v>2074</v>
      </c>
      <c r="AR649" s="5" t="s">
        <v>2075</v>
      </c>
      <c r="AS649" s="5" t="s">
        <v>247</v>
      </c>
      <c r="AT649" s="20"/>
      <c r="AU649" s="21"/>
      <c r="AV649" s="21"/>
      <c r="AW649" s="144" t="str">
        <f t="shared" si="190"/>
        <v>OK</v>
      </c>
      <c r="AX649" s="21" t="s">
        <v>3139</v>
      </c>
      <c r="AY649" s="21" t="s">
        <v>3130</v>
      </c>
      <c r="AZ649" s="21"/>
      <c r="BA649" s="21"/>
    </row>
    <row r="650" spans="1:53" ht="20" customHeight="1">
      <c r="A650" s="86" t="s">
        <v>318</v>
      </c>
      <c r="B650" s="372" t="s">
        <v>2980</v>
      </c>
      <c r="C650" s="5" t="s">
        <v>51</v>
      </c>
      <c r="D650" s="5" t="s">
        <v>52</v>
      </c>
      <c r="E650" s="5" t="s">
        <v>2035</v>
      </c>
      <c r="F650" s="5" t="s">
        <v>2100</v>
      </c>
      <c r="G650" s="5" t="s">
        <v>2101</v>
      </c>
      <c r="H650" s="6">
        <v>42614</v>
      </c>
      <c r="I650" s="5" t="s">
        <v>74</v>
      </c>
      <c r="J650" s="5" t="s">
        <v>1419</v>
      </c>
      <c r="K650" s="5" t="s">
        <v>76</v>
      </c>
      <c r="L650" s="7">
        <v>2</v>
      </c>
      <c r="M650" s="7">
        <v>3</v>
      </c>
      <c r="N650" s="8">
        <v>13558</v>
      </c>
      <c r="O650" s="88">
        <v>2.5000000000000001E-2</v>
      </c>
      <c r="P650" s="10">
        <f t="shared" si="179"/>
        <v>339</v>
      </c>
      <c r="Q650" s="88">
        <v>0</v>
      </c>
      <c r="R650" s="10">
        <f t="shared" si="180"/>
        <v>0</v>
      </c>
      <c r="S650" s="88">
        <f t="shared" si="181"/>
        <v>2.5003687859566307E-2</v>
      </c>
      <c r="T650" s="10">
        <f t="shared" si="182"/>
        <v>339</v>
      </c>
      <c r="U650" s="10">
        <f t="shared" si="183"/>
        <v>13897</v>
      </c>
      <c r="V650" s="11">
        <f t="shared" si="195"/>
        <v>13897</v>
      </c>
      <c r="W650" s="12">
        <f t="shared" si="184"/>
        <v>339</v>
      </c>
      <c r="X650" s="92">
        <f t="shared" si="193"/>
        <v>2.5000000000000001E-2</v>
      </c>
      <c r="Y650" s="93" t="str">
        <f t="shared" si="191"/>
        <v>2.00%-3.00%</v>
      </c>
      <c r="Z650" s="15"/>
      <c r="AA650" s="15"/>
      <c r="AB650" s="15"/>
      <c r="AC650" s="95"/>
      <c r="AD650" s="8">
        <f t="shared" si="185"/>
        <v>0</v>
      </c>
      <c r="AE650" s="17">
        <f t="shared" si="186"/>
        <v>13897</v>
      </c>
      <c r="AF650" s="18">
        <f t="shared" si="187"/>
        <v>339</v>
      </c>
      <c r="AG650" s="97">
        <f t="shared" si="188"/>
        <v>2.5003687859566304E-2</v>
      </c>
      <c r="AH650" s="20">
        <v>14</v>
      </c>
      <c r="AI650" s="20">
        <v>850</v>
      </c>
      <c r="AJ650" s="20"/>
      <c r="AK650" s="20">
        <v>688</v>
      </c>
      <c r="AL650" s="20">
        <f t="shared" si="189"/>
        <v>205446</v>
      </c>
      <c r="AM650" s="7">
        <v>3</v>
      </c>
      <c r="AN650" s="20"/>
      <c r="AO650" s="21"/>
      <c r="AP650" s="21"/>
      <c r="AQ650" s="5" t="s">
        <v>2074</v>
      </c>
      <c r="AR650" s="5" t="s">
        <v>2075</v>
      </c>
      <c r="AS650" s="5" t="s">
        <v>247</v>
      </c>
      <c r="AT650" s="20"/>
      <c r="AU650" s="21"/>
      <c r="AV650" s="21"/>
      <c r="AW650" s="144" t="str">
        <f t="shared" si="190"/>
        <v>OK</v>
      </c>
      <c r="AX650" s="21" t="s">
        <v>3133</v>
      </c>
      <c r="AY650" s="21" t="s">
        <v>3130</v>
      </c>
      <c r="AZ650" s="21"/>
      <c r="BA650" s="21"/>
    </row>
    <row r="651" spans="1:53" ht="20" customHeight="1">
      <c r="A651" s="86" t="s">
        <v>318</v>
      </c>
      <c r="B651" s="372" t="s">
        <v>2981</v>
      </c>
      <c r="C651" s="5" t="s">
        <v>51</v>
      </c>
      <c r="D651" s="5" t="s">
        <v>52</v>
      </c>
      <c r="E651" s="5" t="s">
        <v>2035</v>
      </c>
      <c r="F651" s="5" t="s">
        <v>2100</v>
      </c>
      <c r="G651" s="5" t="s">
        <v>2101</v>
      </c>
      <c r="H651" s="6">
        <v>39664</v>
      </c>
      <c r="I651" s="5" t="s">
        <v>60</v>
      </c>
      <c r="J651" s="5" t="s">
        <v>60</v>
      </c>
      <c r="K651" s="5" t="s">
        <v>61</v>
      </c>
      <c r="L651" s="7">
        <v>2</v>
      </c>
      <c r="M651" s="7">
        <v>3</v>
      </c>
      <c r="N651" s="8">
        <v>13734</v>
      </c>
      <c r="O651" s="88">
        <v>2.5000000000000001E-2</v>
      </c>
      <c r="P651" s="10">
        <f t="shared" ref="P651:P714" si="196">ROUND(N651*O651,0)</f>
        <v>343</v>
      </c>
      <c r="Q651" s="88">
        <v>0</v>
      </c>
      <c r="R651" s="10">
        <f t="shared" ref="R651:R714" si="197">ROUND(N651*Q651,0)</f>
        <v>0</v>
      </c>
      <c r="S651" s="88">
        <f t="shared" ref="S651:S714" si="198">T651/N651</f>
        <v>2.4974515800203875E-2</v>
      </c>
      <c r="T651" s="10">
        <f t="shared" ref="T651:T714" si="199">P651+R651</f>
        <v>343</v>
      </c>
      <c r="U651" s="10">
        <f t="shared" ref="U651:U714" si="200">N651+T651</f>
        <v>14077</v>
      </c>
      <c r="V651" s="11">
        <f t="shared" si="195"/>
        <v>14077</v>
      </c>
      <c r="W651" s="12">
        <f t="shared" ref="W651:W714" si="201">V651-N651</f>
        <v>343</v>
      </c>
      <c r="X651" s="92">
        <f t="shared" si="193"/>
        <v>2.5000000000000001E-2</v>
      </c>
      <c r="Y651" s="93" t="str">
        <f t="shared" si="191"/>
        <v>2.00%-3.00%</v>
      </c>
      <c r="Z651" s="15"/>
      <c r="AA651" s="15"/>
      <c r="AB651" s="15"/>
      <c r="AC651" s="95"/>
      <c r="AD651" s="8">
        <f t="shared" ref="AD651:AD714" si="202">ROUND(N651*AC651,0)</f>
        <v>0</v>
      </c>
      <c r="AE651" s="17">
        <f t="shared" ref="AE651:AE714" si="203">V651+AD651</f>
        <v>14077</v>
      </c>
      <c r="AF651" s="18">
        <f t="shared" ref="AF651:AF714" si="204">AE651-N651</f>
        <v>343</v>
      </c>
      <c r="AG651" s="97">
        <f t="shared" ref="AG651:AG714" si="205">AE651/N651-1</f>
        <v>2.4974515800203934E-2</v>
      </c>
      <c r="AH651" s="20">
        <v>14</v>
      </c>
      <c r="AI651" s="20">
        <v>450</v>
      </c>
      <c r="AJ651" s="20"/>
      <c r="AK651" s="20">
        <v>688</v>
      </c>
      <c r="AL651" s="20">
        <f t="shared" ref="AL651:AL714" si="206">AE651*AH651+AI651*12+AK651+IF(AB651="",AJ651,IF(AB651="D",5000,IF(AB651="C",1000,0)))*12</f>
        <v>203166</v>
      </c>
      <c r="AM651" s="7">
        <v>3</v>
      </c>
      <c r="AN651" s="20"/>
      <c r="AO651" s="21"/>
      <c r="AP651" s="21"/>
      <c r="AQ651" s="5" t="s">
        <v>2074</v>
      </c>
      <c r="AR651" s="5" t="s">
        <v>2075</v>
      </c>
      <c r="AS651" s="5" t="s">
        <v>247</v>
      </c>
      <c r="AT651" s="20"/>
      <c r="AU651" s="21"/>
      <c r="AV651" s="21"/>
      <c r="AW651" s="144" t="str">
        <f t="shared" si="190"/>
        <v>OK</v>
      </c>
      <c r="AX651" s="21" t="s">
        <v>3129</v>
      </c>
      <c r="AY651" s="21" t="s">
        <v>3130</v>
      </c>
      <c r="AZ651" s="21"/>
      <c r="BA651" s="21"/>
    </row>
    <row r="652" spans="1:53" ht="20" customHeight="1">
      <c r="A652" s="86" t="s">
        <v>318</v>
      </c>
      <c r="B652" s="372" t="s">
        <v>2982</v>
      </c>
      <c r="C652" s="5" t="s">
        <v>51</v>
      </c>
      <c r="D652" s="5" t="s">
        <v>52</v>
      </c>
      <c r="E652" s="5" t="s">
        <v>2035</v>
      </c>
      <c r="F652" s="5" t="s">
        <v>2100</v>
      </c>
      <c r="G652" s="5" t="s">
        <v>2101</v>
      </c>
      <c r="H652" s="6">
        <v>39664</v>
      </c>
      <c r="I652" s="5" t="s">
        <v>71</v>
      </c>
      <c r="J652" s="5" t="s">
        <v>71</v>
      </c>
      <c r="K652" s="5" t="s">
        <v>61</v>
      </c>
      <c r="L652" s="7">
        <v>2</v>
      </c>
      <c r="M652" s="7">
        <v>5</v>
      </c>
      <c r="N652" s="8">
        <v>13933</v>
      </c>
      <c r="O652" s="88">
        <v>0.06</v>
      </c>
      <c r="P652" s="10">
        <f t="shared" si="196"/>
        <v>836</v>
      </c>
      <c r="Q652" s="88">
        <v>7.7799999999999994E-2</v>
      </c>
      <c r="R652" s="10">
        <f t="shared" si="197"/>
        <v>1084</v>
      </c>
      <c r="S652" s="88">
        <f t="shared" si="198"/>
        <v>0.137802339768894</v>
      </c>
      <c r="T652" s="10">
        <f t="shared" si="199"/>
        <v>1920</v>
      </c>
      <c r="U652" s="10">
        <f t="shared" si="200"/>
        <v>15853</v>
      </c>
      <c r="V652" s="11">
        <f t="shared" si="195"/>
        <v>15853</v>
      </c>
      <c r="W652" s="12">
        <f t="shared" si="201"/>
        <v>1920</v>
      </c>
      <c r="X652" s="92">
        <f t="shared" si="193"/>
        <v>0.13780000000000001</v>
      </c>
      <c r="Y652" s="93" t="str">
        <f t="shared" si="191"/>
        <v>11.02%-16.54%</v>
      </c>
      <c r="Z652" s="15"/>
      <c r="AA652" s="15"/>
      <c r="AB652" s="15"/>
      <c r="AC652" s="95"/>
      <c r="AD652" s="8">
        <f t="shared" si="202"/>
        <v>0</v>
      </c>
      <c r="AE652" s="17">
        <f t="shared" si="203"/>
        <v>15853</v>
      </c>
      <c r="AF652" s="18">
        <f t="shared" si="204"/>
        <v>1920</v>
      </c>
      <c r="AG652" s="97">
        <f t="shared" si="205"/>
        <v>0.13780233976889389</v>
      </c>
      <c r="AH652" s="20">
        <v>14</v>
      </c>
      <c r="AI652" s="20">
        <v>450</v>
      </c>
      <c r="AJ652" s="20"/>
      <c r="AK652" s="20">
        <v>688</v>
      </c>
      <c r="AL652" s="20">
        <f t="shared" si="206"/>
        <v>228030</v>
      </c>
      <c r="AM652" s="7">
        <v>4</v>
      </c>
      <c r="AN652" s="20"/>
      <c r="AO652" s="21"/>
      <c r="AP652" s="21"/>
      <c r="AQ652" s="5" t="s">
        <v>2074</v>
      </c>
      <c r="AR652" s="5" t="s">
        <v>2075</v>
      </c>
      <c r="AS652" s="5" t="s">
        <v>247</v>
      </c>
      <c r="AT652" s="20"/>
      <c r="AU652" s="21"/>
      <c r="AV652" s="21"/>
      <c r="AW652" s="144" t="str">
        <f t="shared" si="190"/>
        <v>OK</v>
      </c>
      <c r="AX652" s="21" t="s">
        <v>3129</v>
      </c>
      <c r="AY652" s="21" t="s">
        <v>3132</v>
      </c>
      <c r="AZ652" s="21"/>
      <c r="BA652" s="21"/>
    </row>
    <row r="653" spans="1:53" ht="20" customHeight="1">
      <c r="A653" s="86" t="s">
        <v>318</v>
      </c>
      <c r="B653" s="372" t="s">
        <v>2983</v>
      </c>
      <c r="C653" s="5" t="s">
        <v>51</v>
      </c>
      <c r="D653" s="5" t="s">
        <v>52</v>
      </c>
      <c r="E653" s="5" t="s">
        <v>2035</v>
      </c>
      <c r="F653" s="5" t="s">
        <v>2107</v>
      </c>
      <c r="G653" s="5" t="s">
        <v>2108</v>
      </c>
      <c r="H653" s="6">
        <v>41572</v>
      </c>
      <c r="I653" s="5" t="s">
        <v>198</v>
      </c>
      <c r="J653" s="5" t="s">
        <v>2109</v>
      </c>
      <c r="K653" s="5" t="s">
        <v>199</v>
      </c>
      <c r="L653" s="7">
        <v>2</v>
      </c>
      <c r="M653" s="7">
        <v>3</v>
      </c>
      <c r="N653" s="8">
        <v>28746</v>
      </c>
      <c r="O653" s="88">
        <v>0.03</v>
      </c>
      <c r="P653" s="10">
        <f t="shared" si="196"/>
        <v>862</v>
      </c>
      <c r="Q653" s="88">
        <v>0</v>
      </c>
      <c r="R653" s="10">
        <f t="shared" si="197"/>
        <v>0</v>
      </c>
      <c r="S653" s="88">
        <f t="shared" si="198"/>
        <v>2.9986780769498365E-2</v>
      </c>
      <c r="T653" s="10">
        <f t="shared" si="199"/>
        <v>862</v>
      </c>
      <c r="U653" s="10">
        <f t="shared" si="200"/>
        <v>29608</v>
      </c>
      <c r="V653" s="11">
        <v>29500</v>
      </c>
      <c r="W653" s="12">
        <f t="shared" si="201"/>
        <v>754</v>
      </c>
      <c r="X653" s="92">
        <f t="shared" si="193"/>
        <v>2.6200000000000001E-2</v>
      </c>
      <c r="Y653" s="93" t="str">
        <f t="shared" si="191"/>
        <v>2.40%-3.60%</v>
      </c>
      <c r="Z653" s="15"/>
      <c r="AA653" s="15"/>
      <c r="AB653" s="15"/>
      <c r="AC653" s="95"/>
      <c r="AD653" s="8">
        <f t="shared" si="202"/>
        <v>0</v>
      </c>
      <c r="AE653" s="17">
        <f t="shared" si="203"/>
        <v>29500</v>
      </c>
      <c r="AF653" s="18">
        <f t="shared" si="204"/>
        <v>754</v>
      </c>
      <c r="AG653" s="97">
        <f t="shared" si="205"/>
        <v>2.6229736311139007E-2</v>
      </c>
      <c r="AH653" s="20">
        <v>14</v>
      </c>
      <c r="AI653" s="20">
        <v>950</v>
      </c>
      <c r="AJ653" s="20">
        <v>1000</v>
      </c>
      <c r="AK653" s="20">
        <v>688</v>
      </c>
      <c r="AL653" s="20">
        <f t="shared" si="206"/>
        <v>437088</v>
      </c>
      <c r="AM653" s="7">
        <v>5</v>
      </c>
      <c r="AN653" s="20"/>
      <c r="AO653" s="21"/>
      <c r="AP653" s="21"/>
      <c r="AQ653" s="5" t="s">
        <v>2074</v>
      </c>
      <c r="AR653" s="5" t="s">
        <v>2075</v>
      </c>
      <c r="AS653" s="5" t="s">
        <v>247</v>
      </c>
      <c r="AT653" s="20"/>
      <c r="AU653" s="21"/>
      <c r="AV653" s="21"/>
      <c r="AW653" s="144" t="str">
        <f t="shared" si="190"/>
        <v>OK</v>
      </c>
      <c r="AX653" s="21" t="s">
        <v>3135</v>
      </c>
      <c r="AY653" s="21" t="s">
        <v>3132</v>
      </c>
      <c r="AZ653" s="21"/>
      <c r="BA653" s="21"/>
    </row>
    <row r="654" spans="1:53" ht="20" customHeight="1">
      <c r="A654" s="86" t="s">
        <v>318</v>
      </c>
      <c r="B654" s="372" t="s">
        <v>2984</v>
      </c>
      <c r="C654" s="5" t="s">
        <v>51</v>
      </c>
      <c r="D654" s="5" t="s">
        <v>52</v>
      </c>
      <c r="E654" s="5" t="s">
        <v>2035</v>
      </c>
      <c r="F654" s="5" t="s">
        <v>2087</v>
      </c>
      <c r="G654" s="5" t="s">
        <v>2045</v>
      </c>
      <c r="H654" s="6">
        <v>37502</v>
      </c>
      <c r="I654" s="5" t="s">
        <v>74</v>
      </c>
      <c r="J654" s="5" t="s">
        <v>2090</v>
      </c>
      <c r="K654" s="5" t="s">
        <v>76</v>
      </c>
      <c r="L654" s="7">
        <v>2</v>
      </c>
      <c r="M654" s="7">
        <v>3</v>
      </c>
      <c r="N654" s="8">
        <v>15662</v>
      </c>
      <c r="O654" s="88">
        <v>0</v>
      </c>
      <c r="P654" s="10">
        <f t="shared" si="196"/>
        <v>0</v>
      </c>
      <c r="Q654" s="88">
        <v>0</v>
      </c>
      <c r="R654" s="10">
        <f t="shared" si="197"/>
        <v>0</v>
      </c>
      <c r="S654" s="88">
        <f t="shared" si="198"/>
        <v>0</v>
      </c>
      <c r="T654" s="10">
        <f t="shared" si="199"/>
        <v>0</v>
      </c>
      <c r="U654" s="10">
        <f t="shared" si="200"/>
        <v>15662</v>
      </c>
      <c r="V654" s="11">
        <v>15662</v>
      </c>
      <c r="W654" s="12">
        <f t="shared" si="201"/>
        <v>0</v>
      </c>
      <c r="X654" s="92">
        <f t="shared" si="193"/>
        <v>0</v>
      </c>
      <c r="Y654" s="93" t="str">
        <f t="shared" si="191"/>
        <v>0.00%-0.00%</v>
      </c>
      <c r="Z654" s="15"/>
      <c r="AA654" s="15"/>
      <c r="AB654" s="15"/>
      <c r="AC654" s="95"/>
      <c r="AD654" s="8">
        <f t="shared" si="202"/>
        <v>0</v>
      </c>
      <c r="AE654" s="17">
        <f t="shared" si="203"/>
        <v>15662</v>
      </c>
      <c r="AF654" s="18">
        <f t="shared" si="204"/>
        <v>0</v>
      </c>
      <c r="AG654" s="97">
        <f t="shared" si="205"/>
        <v>0</v>
      </c>
      <c r="AH654" s="20">
        <v>14</v>
      </c>
      <c r="AI654" s="20">
        <v>450</v>
      </c>
      <c r="AJ654" s="20"/>
      <c r="AK654" s="20">
        <v>688</v>
      </c>
      <c r="AL654" s="20">
        <f t="shared" si="206"/>
        <v>225356</v>
      </c>
      <c r="AM654" s="7">
        <v>3</v>
      </c>
      <c r="AN654" s="20"/>
      <c r="AO654" s="21"/>
      <c r="AP654" s="21"/>
      <c r="AQ654" s="5" t="s">
        <v>2074</v>
      </c>
      <c r="AR654" s="5" t="s">
        <v>2075</v>
      </c>
      <c r="AS654" s="5" t="s">
        <v>247</v>
      </c>
      <c r="AT654" s="20"/>
      <c r="AU654" s="21"/>
      <c r="AV654" s="21"/>
      <c r="AW654" s="144" t="str">
        <f t="shared" si="190"/>
        <v>OK</v>
      </c>
      <c r="AX654" s="21" t="s">
        <v>3139</v>
      </c>
      <c r="AY654" s="21" t="s">
        <v>3134</v>
      </c>
      <c r="AZ654" s="21"/>
      <c r="BA654" s="21"/>
    </row>
    <row r="655" spans="1:53" ht="20" customHeight="1">
      <c r="A655" s="86" t="s">
        <v>318</v>
      </c>
      <c r="B655" s="372" t="s">
        <v>2985</v>
      </c>
      <c r="C655" s="5" t="s">
        <v>51</v>
      </c>
      <c r="D655" s="5" t="s">
        <v>52</v>
      </c>
      <c r="E655" s="5" t="s">
        <v>2035</v>
      </c>
      <c r="F655" s="5" t="s">
        <v>2110</v>
      </c>
      <c r="G655" s="5" t="s">
        <v>2111</v>
      </c>
      <c r="H655" s="6">
        <v>39164</v>
      </c>
      <c r="I655" s="5" t="s">
        <v>111</v>
      </c>
      <c r="J655" s="5" t="s">
        <v>2112</v>
      </c>
      <c r="K655" s="5" t="s">
        <v>56</v>
      </c>
      <c r="L655" s="7">
        <v>2</v>
      </c>
      <c r="M655" s="7">
        <v>3</v>
      </c>
      <c r="N655" s="8">
        <v>22880</v>
      </c>
      <c r="O655" s="88">
        <v>0.03</v>
      </c>
      <c r="P655" s="10">
        <f t="shared" si="196"/>
        <v>686</v>
      </c>
      <c r="Q655" s="88">
        <v>0</v>
      </c>
      <c r="R655" s="10">
        <f t="shared" si="197"/>
        <v>0</v>
      </c>
      <c r="S655" s="88">
        <f t="shared" si="198"/>
        <v>2.9982517482517481E-2</v>
      </c>
      <c r="T655" s="10">
        <f t="shared" si="199"/>
        <v>686</v>
      </c>
      <c r="U655" s="10">
        <f t="shared" si="200"/>
        <v>23566</v>
      </c>
      <c r="V655" s="11">
        <v>23430</v>
      </c>
      <c r="W655" s="12">
        <f t="shared" si="201"/>
        <v>550</v>
      </c>
      <c r="X655" s="92">
        <f t="shared" si="193"/>
        <v>2.4E-2</v>
      </c>
      <c r="Y655" s="93" t="str">
        <f t="shared" si="191"/>
        <v>2.40%-3.60%</v>
      </c>
      <c r="Z655" s="15"/>
      <c r="AA655" s="15"/>
      <c r="AB655" s="15"/>
      <c r="AC655" s="95"/>
      <c r="AD655" s="8">
        <f t="shared" si="202"/>
        <v>0</v>
      </c>
      <c r="AE655" s="17">
        <f t="shared" si="203"/>
        <v>23430</v>
      </c>
      <c r="AF655" s="18">
        <f t="shared" si="204"/>
        <v>550</v>
      </c>
      <c r="AG655" s="97">
        <f t="shared" si="205"/>
        <v>2.4038461538461453E-2</v>
      </c>
      <c r="AH655" s="20">
        <v>14</v>
      </c>
      <c r="AI655" s="20">
        <v>900</v>
      </c>
      <c r="AJ655" s="20"/>
      <c r="AK655" s="20">
        <v>688</v>
      </c>
      <c r="AL655" s="20">
        <f t="shared" si="206"/>
        <v>339508</v>
      </c>
      <c r="AM655" s="7">
        <v>4</v>
      </c>
      <c r="AN655" s="20"/>
      <c r="AO655" s="21"/>
      <c r="AP655" s="21"/>
      <c r="AQ655" s="5" t="s">
        <v>2074</v>
      </c>
      <c r="AR655" s="5" t="s">
        <v>2075</v>
      </c>
      <c r="AS655" s="5" t="s">
        <v>247</v>
      </c>
      <c r="AT655" s="20"/>
      <c r="AU655" s="21"/>
      <c r="AV655" s="21"/>
      <c r="AW655" s="144" t="str">
        <f t="shared" si="190"/>
        <v>OK</v>
      </c>
      <c r="AX655" s="21" t="s">
        <v>3129</v>
      </c>
      <c r="AY655" s="21" t="s">
        <v>3132</v>
      </c>
      <c r="AZ655" s="21"/>
      <c r="BA655" s="21"/>
    </row>
    <row r="656" spans="1:53" ht="20" customHeight="1">
      <c r="A656" s="86" t="s">
        <v>318</v>
      </c>
      <c r="B656" s="372" t="s">
        <v>2986</v>
      </c>
      <c r="C656" s="5" t="s">
        <v>51</v>
      </c>
      <c r="D656" s="5" t="s">
        <v>52</v>
      </c>
      <c r="E656" s="5" t="s">
        <v>2035</v>
      </c>
      <c r="F656" s="5" t="s">
        <v>2113</v>
      </c>
      <c r="G656" s="5" t="s">
        <v>2114</v>
      </c>
      <c r="H656" s="6">
        <v>40787</v>
      </c>
      <c r="I656" s="5" t="s">
        <v>111</v>
      </c>
      <c r="J656" s="5" t="s">
        <v>2115</v>
      </c>
      <c r="K656" s="5" t="s">
        <v>56</v>
      </c>
      <c r="L656" s="7">
        <v>2</v>
      </c>
      <c r="M656" s="7">
        <v>3</v>
      </c>
      <c r="N656" s="8">
        <v>24186</v>
      </c>
      <c r="O656" s="88">
        <v>2.5000000000000001E-2</v>
      </c>
      <c r="P656" s="10">
        <f t="shared" si="196"/>
        <v>605</v>
      </c>
      <c r="Q656" s="88">
        <v>0</v>
      </c>
      <c r="R656" s="10">
        <f t="shared" si="197"/>
        <v>0</v>
      </c>
      <c r="S656" s="88">
        <f t="shared" si="198"/>
        <v>2.5014471181675348E-2</v>
      </c>
      <c r="T656" s="10">
        <f t="shared" si="199"/>
        <v>605</v>
      </c>
      <c r="U656" s="10">
        <f t="shared" si="200"/>
        <v>24791</v>
      </c>
      <c r="V656" s="11">
        <v>24669</v>
      </c>
      <c r="W656" s="12">
        <f t="shared" si="201"/>
        <v>483</v>
      </c>
      <c r="X656" s="92">
        <f t="shared" si="193"/>
        <v>0.02</v>
      </c>
      <c r="Y656" s="93" t="str">
        <f t="shared" si="191"/>
        <v>2.00%-3.00%</v>
      </c>
      <c r="Z656" s="15"/>
      <c r="AA656" s="15"/>
      <c r="AB656" s="15"/>
      <c r="AC656" s="95"/>
      <c r="AD656" s="8">
        <f t="shared" si="202"/>
        <v>0</v>
      </c>
      <c r="AE656" s="17">
        <f t="shared" si="203"/>
        <v>24669</v>
      </c>
      <c r="AF656" s="18">
        <f t="shared" si="204"/>
        <v>483</v>
      </c>
      <c r="AG656" s="97">
        <f t="shared" si="205"/>
        <v>1.9970230711982229E-2</v>
      </c>
      <c r="AH656" s="20">
        <v>14</v>
      </c>
      <c r="AI656" s="20">
        <v>450</v>
      </c>
      <c r="AJ656" s="20"/>
      <c r="AK656" s="20">
        <v>688</v>
      </c>
      <c r="AL656" s="20">
        <f t="shared" si="206"/>
        <v>351454</v>
      </c>
      <c r="AM656" s="7">
        <v>5</v>
      </c>
      <c r="AN656" s="20"/>
      <c r="AO656" s="21"/>
      <c r="AP656" s="21"/>
      <c r="AQ656" s="5" t="s">
        <v>2074</v>
      </c>
      <c r="AR656" s="5" t="s">
        <v>2075</v>
      </c>
      <c r="AS656" s="5" t="s">
        <v>247</v>
      </c>
      <c r="AT656" s="20"/>
      <c r="AU656" s="21"/>
      <c r="AV656" s="21"/>
      <c r="AW656" s="144" t="str">
        <f t="shared" si="190"/>
        <v>OK</v>
      </c>
      <c r="AX656" s="21" t="s">
        <v>3135</v>
      </c>
      <c r="AY656" s="21" t="s">
        <v>3130</v>
      </c>
      <c r="AZ656" s="21"/>
      <c r="BA656" s="21"/>
    </row>
    <row r="657" spans="1:53" ht="20" customHeight="1">
      <c r="A657" s="86" t="s">
        <v>318</v>
      </c>
      <c r="B657" s="372" t="s">
        <v>2987</v>
      </c>
      <c r="C657" s="5" t="s">
        <v>51</v>
      </c>
      <c r="D657" s="5" t="s">
        <v>52</v>
      </c>
      <c r="E657" s="5" t="s">
        <v>2035</v>
      </c>
      <c r="F657" s="5" t="s">
        <v>2116</v>
      </c>
      <c r="G657" s="5" t="s">
        <v>2117</v>
      </c>
      <c r="H657" s="6">
        <v>39638</v>
      </c>
      <c r="I657" s="5" t="s">
        <v>71</v>
      </c>
      <c r="J657" s="5" t="s">
        <v>2118</v>
      </c>
      <c r="K657" s="5" t="s">
        <v>61</v>
      </c>
      <c r="L657" s="7">
        <v>2</v>
      </c>
      <c r="M657" s="7">
        <v>5</v>
      </c>
      <c r="N657" s="8">
        <v>18500</v>
      </c>
      <c r="O657" s="88">
        <v>0.05</v>
      </c>
      <c r="P657" s="10">
        <f t="shared" si="196"/>
        <v>925</v>
      </c>
      <c r="Q657" s="88">
        <v>2.7E-2</v>
      </c>
      <c r="R657" s="10">
        <f t="shared" si="197"/>
        <v>500</v>
      </c>
      <c r="S657" s="88">
        <f t="shared" si="198"/>
        <v>7.7027027027027031E-2</v>
      </c>
      <c r="T657" s="10">
        <f t="shared" si="199"/>
        <v>1425</v>
      </c>
      <c r="U657" s="10">
        <f t="shared" si="200"/>
        <v>19925</v>
      </c>
      <c r="V657" s="11">
        <v>20325</v>
      </c>
      <c r="W657" s="12">
        <f t="shared" si="201"/>
        <v>1825</v>
      </c>
      <c r="X657" s="92">
        <f t="shared" si="193"/>
        <v>9.8599999999999993E-2</v>
      </c>
      <c r="Y657" s="93" t="str">
        <f t="shared" si="191"/>
        <v>6.16%-9.24%</v>
      </c>
      <c r="Z657" s="15" t="s">
        <v>87</v>
      </c>
      <c r="AA657" s="15" t="s">
        <v>111</v>
      </c>
      <c r="AB657" s="15" t="s">
        <v>1931</v>
      </c>
      <c r="AC657" s="95">
        <v>0.05</v>
      </c>
      <c r="AD657" s="8">
        <f t="shared" si="202"/>
        <v>925</v>
      </c>
      <c r="AE657" s="17">
        <f t="shared" si="203"/>
        <v>21250</v>
      </c>
      <c r="AF657" s="18">
        <f t="shared" si="204"/>
        <v>2750</v>
      </c>
      <c r="AG657" s="97">
        <f t="shared" si="205"/>
        <v>0.14864864864864868</v>
      </c>
      <c r="AH657" s="20">
        <v>14</v>
      </c>
      <c r="AI657" s="20">
        <v>900</v>
      </c>
      <c r="AJ657" s="20"/>
      <c r="AK657" s="20">
        <v>688</v>
      </c>
      <c r="AL657" s="20">
        <f t="shared" si="206"/>
        <v>308988</v>
      </c>
      <c r="AM657" s="7">
        <v>5</v>
      </c>
      <c r="AN657" s="20"/>
      <c r="AO657" s="21" t="s">
        <v>2119</v>
      </c>
      <c r="AP657" s="21"/>
      <c r="AQ657" s="5" t="s">
        <v>2074</v>
      </c>
      <c r="AR657" s="5" t="s">
        <v>2075</v>
      </c>
      <c r="AS657" s="5" t="s">
        <v>247</v>
      </c>
      <c r="AT657" s="20"/>
      <c r="AU657" s="21"/>
      <c r="AV657" s="21"/>
      <c r="AW657" s="144" t="str">
        <f t="shared" ref="AW657:AW720" si="207">_xlfn.LET(_xlpm.actual,X657,_xlpm.low,VALUE(_xlfn.TEXTBEFORE(Y657,"-")),_xlpm.high,VALUE(_xlfn.TEXTAFTER(Y657,"-")),IF(AND(_xlpm.actual=0,OR(_xlpm.low&lt;&gt;0,_xlpm.high&lt;&gt;0)),"0 increase",IF(_xlpm.actual&gt;_xlpm.high*1.2,"&gt;20",IF(_xlpm.actual&lt;_xlpm.low*0.8,"&lt;20","OK"))))</f>
        <v>OK</v>
      </c>
      <c r="AX657" s="21" t="s">
        <v>3129</v>
      </c>
      <c r="AY657" s="21" t="s">
        <v>3130</v>
      </c>
      <c r="AZ657" s="21"/>
      <c r="BA657" s="21"/>
    </row>
    <row r="658" spans="1:53" ht="20" customHeight="1">
      <c r="A658" s="86" t="s">
        <v>318</v>
      </c>
      <c r="B658" s="372" t="s">
        <v>2988</v>
      </c>
      <c r="C658" s="5" t="s">
        <v>51</v>
      </c>
      <c r="D658" s="5" t="s">
        <v>52</v>
      </c>
      <c r="E658" s="5" t="s">
        <v>2035</v>
      </c>
      <c r="F658" s="5" t="s">
        <v>2120</v>
      </c>
      <c r="G658" s="5" t="s">
        <v>2121</v>
      </c>
      <c r="H658" s="6">
        <v>40693</v>
      </c>
      <c r="I658" s="5" t="s">
        <v>74</v>
      </c>
      <c r="J658" s="5" t="s">
        <v>2122</v>
      </c>
      <c r="K658" s="5" t="s">
        <v>76</v>
      </c>
      <c r="L658" s="7">
        <v>2</v>
      </c>
      <c r="M658" s="7">
        <v>3</v>
      </c>
      <c r="N658" s="8">
        <v>15114</v>
      </c>
      <c r="O658" s="88">
        <v>0</v>
      </c>
      <c r="P658" s="10">
        <f t="shared" si="196"/>
        <v>0</v>
      </c>
      <c r="Q658" s="88">
        <v>0</v>
      </c>
      <c r="R658" s="10">
        <f t="shared" si="197"/>
        <v>0</v>
      </c>
      <c r="S658" s="88">
        <f t="shared" si="198"/>
        <v>0</v>
      </c>
      <c r="T658" s="10">
        <f t="shared" si="199"/>
        <v>0</v>
      </c>
      <c r="U658" s="10">
        <f t="shared" si="200"/>
        <v>15114</v>
      </c>
      <c r="V658" s="11">
        <v>15369</v>
      </c>
      <c r="W658" s="12">
        <f t="shared" si="201"/>
        <v>255</v>
      </c>
      <c r="X658" s="92">
        <f t="shared" si="193"/>
        <v>1.6899999999999998E-2</v>
      </c>
      <c r="Y658" s="93" t="str">
        <f t="shared" si="191"/>
        <v>0.00%-0.00%</v>
      </c>
      <c r="Z658" s="15"/>
      <c r="AA658" s="15"/>
      <c r="AB658" s="15"/>
      <c r="AC658" s="95"/>
      <c r="AD658" s="8">
        <f t="shared" si="202"/>
        <v>0</v>
      </c>
      <c r="AE658" s="17">
        <f t="shared" si="203"/>
        <v>15369</v>
      </c>
      <c r="AF658" s="18">
        <f t="shared" si="204"/>
        <v>255</v>
      </c>
      <c r="AG658" s="97">
        <f t="shared" si="205"/>
        <v>1.6871774513695925E-2</v>
      </c>
      <c r="AH658" s="20">
        <v>14</v>
      </c>
      <c r="AI658" s="20">
        <v>850</v>
      </c>
      <c r="AJ658" s="20"/>
      <c r="AK658" s="20">
        <v>688</v>
      </c>
      <c r="AL658" s="20">
        <f t="shared" si="206"/>
        <v>226054</v>
      </c>
      <c r="AM658" s="7">
        <v>3</v>
      </c>
      <c r="AN658" s="20"/>
      <c r="AO658" s="21" t="s">
        <v>2123</v>
      </c>
      <c r="AP658" s="21"/>
      <c r="AQ658" s="5" t="s">
        <v>2074</v>
      </c>
      <c r="AR658" s="5" t="s">
        <v>2075</v>
      </c>
      <c r="AS658" s="5" t="s">
        <v>247</v>
      </c>
      <c r="AT658" s="20"/>
      <c r="AU658" s="21"/>
      <c r="AV658" s="21"/>
      <c r="AW658" s="144" t="str">
        <f t="shared" si="207"/>
        <v>&gt;20</v>
      </c>
      <c r="AX658" s="21" t="s">
        <v>3135</v>
      </c>
      <c r="AY658" s="21" t="s">
        <v>3134</v>
      </c>
      <c r="AZ658" s="21"/>
      <c r="BA658" s="21"/>
    </row>
    <row r="659" spans="1:53" ht="20" customHeight="1">
      <c r="A659" s="86" t="s">
        <v>318</v>
      </c>
      <c r="B659" s="372" t="s">
        <v>2989</v>
      </c>
      <c r="C659" s="5" t="s">
        <v>51</v>
      </c>
      <c r="D659" s="5" t="s">
        <v>52</v>
      </c>
      <c r="E659" s="5" t="s">
        <v>2035</v>
      </c>
      <c r="F659" s="5" t="s">
        <v>2120</v>
      </c>
      <c r="G659" s="5" t="s">
        <v>2121</v>
      </c>
      <c r="H659" s="6">
        <v>33786</v>
      </c>
      <c r="I659" s="5" t="s">
        <v>1727</v>
      </c>
      <c r="J659" s="5" t="s">
        <v>1727</v>
      </c>
      <c r="K659" s="5" t="s">
        <v>56</v>
      </c>
      <c r="L659" s="7">
        <v>2</v>
      </c>
      <c r="M659" s="7">
        <v>3</v>
      </c>
      <c r="N659" s="8">
        <v>24151</v>
      </c>
      <c r="O659" s="88">
        <v>2.5000000000000001E-2</v>
      </c>
      <c r="P659" s="10">
        <f t="shared" si="196"/>
        <v>604</v>
      </c>
      <c r="Q659" s="88">
        <v>0</v>
      </c>
      <c r="R659" s="10">
        <f t="shared" si="197"/>
        <v>0</v>
      </c>
      <c r="S659" s="88">
        <f t="shared" si="198"/>
        <v>2.5009316384414722E-2</v>
      </c>
      <c r="T659" s="10">
        <f t="shared" si="199"/>
        <v>604</v>
      </c>
      <c r="U659" s="10">
        <f t="shared" si="200"/>
        <v>24755</v>
      </c>
      <c r="V659" s="11">
        <v>24500</v>
      </c>
      <c r="W659" s="12">
        <f t="shared" si="201"/>
        <v>349</v>
      </c>
      <c r="X659" s="92">
        <f t="shared" si="193"/>
        <v>1.4500000000000001E-2</v>
      </c>
      <c r="Y659" s="93" t="str">
        <f t="shared" si="191"/>
        <v>2.00%-3.00%</v>
      </c>
      <c r="Z659" s="15"/>
      <c r="AA659" s="15"/>
      <c r="AB659" s="15"/>
      <c r="AC659" s="95"/>
      <c r="AD659" s="8">
        <f t="shared" si="202"/>
        <v>0</v>
      </c>
      <c r="AE659" s="17">
        <f t="shared" si="203"/>
        <v>24500</v>
      </c>
      <c r="AF659" s="18">
        <f t="shared" si="204"/>
        <v>349</v>
      </c>
      <c r="AG659" s="97">
        <f t="shared" si="205"/>
        <v>1.4450747381060891E-2</v>
      </c>
      <c r="AH659" s="20">
        <v>14</v>
      </c>
      <c r="AI659" s="20">
        <v>450</v>
      </c>
      <c r="AJ659" s="20"/>
      <c r="AK659" s="20">
        <v>688</v>
      </c>
      <c r="AL659" s="20">
        <f t="shared" si="206"/>
        <v>349088</v>
      </c>
      <c r="AM659" s="7">
        <v>2</v>
      </c>
      <c r="AN659" s="20"/>
      <c r="AO659" s="21" t="s">
        <v>2123</v>
      </c>
      <c r="AP659" s="21"/>
      <c r="AQ659" s="5" t="s">
        <v>2074</v>
      </c>
      <c r="AR659" s="5" t="s">
        <v>2075</v>
      </c>
      <c r="AS659" s="5" t="s">
        <v>247</v>
      </c>
      <c r="AT659" s="20"/>
      <c r="AU659" s="21"/>
      <c r="AV659" s="21"/>
      <c r="AW659" s="144" t="str">
        <f t="shared" si="207"/>
        <v>&lt;20</v>
      </c>
      <c r="AX659" s="21" t="s">
        <v>3137</v>
      </c>
      <c r="AY659" s="21" t="s">
        <v>3130</v>
      </c>
      <c r="AZ659" s="21"/>
      <c r="BA659" s="21"/>
    </row>
    <row r="660" spans="1:53" ht="20" customHeight="1">
      <c r="A660" s="86" t="s">
        <v>318</v>
      </c>
      <c r="B660" s="372" t="s">
        <v>2990</v>
      </c>
      <c r="C660" s="5" t="s">
        <v>51</v>
      </c>
      <c r="D660" s="5" t="s">
        <v>52</v>
      </c>
      <c r="E660" s="5" t="s">
        <v>2035</v>
      </c>
      <c r="F660" s="5" t="s">
        <v>2107</v>
      </c>
      <c r="G660" s="5" t="s">
        <v>2108</v>
      </c>
      <c r="H660" s="6">
        <v>40737</v>
      </c>
      <c r="I660" s="5" t="s">
        <v>74</v>
      </c>
      <c r="J660" s="5" t="s">
        <v>2124</v>
      </c>
      <c r="K660" s="5" t="s">
        <v>76</v>
      </c>
      <c r="L660" s="7">
        <v>2</v>
      </c>
      <c r="M660" s="7">
        <v>2</v>
      </c>
      <c r="N660" s="8">
        <v>10690</v>
      </c>
      <c r="O660" s="88">
        <v>0</v>
      </c>
      <c r="P660" s="10">
        <f t="shared" si="196"/>
        <v>0</v>
      </c>
      <c r="Q660" s="88">
        <v>0</v>
      </c>
      <c r="R660" s="10">
        <f t="shared" si="197"/>
        <v>0</v>
      </c>
      <c r="S660" s="88">
        <f t="shared" si="198"/>
        <v>0</v>
      </c>
      <c r="T660" s="10">
        <f t="shared" si="199"/>
        <v>0</v>
      </c>
      <c r="U660" s="10">
        <f t="shared" si="200"/>
        <v>10690</v>
      </c>
      <c r="V660" s="11">
        <f t="shared" ref="V660" si="208">U660</f>
        <v>10690</v>
      </c>
      <c r="W660" s="12">
        <f t="shared" si="201"/>
        <v>0</v>
      </c>
      <c r="X660" s="92">
        <f t="shared" si="193"/>
        <v>0</v>
      </c>
      <c r="Y660" s="93" t="str">
        <f t="shared" si="191"/>
        <v>0.00%-0.00%</v>
      </c>
      <c r="Z660" s="15"/>
      <c r="AA660" s="15"/>
      <c r="AB660" s="15"/>
      <c r="AC660" s="95"/>
      <c r="AD660" s="8">
        <f t="shared" si="202"/>
        <v>0</v>
      </c>
      <c r="AE660" s="17">
        <f t="shared" si="203"/>
        <v>10690</v>
      </c>
      <c r="AF660" s="18">
        <f t="shared" si="204"/>
        <v>0</v>
      </c>
      <c r="AG660" s="97">
        <f t="shared" si="205"/>
        <v>0</v>
      </c>
      <c r="AH660" s="20">
        <v>14</v>
      </c>
      <c r="AI660" s="20">
        <v>450</v>
      </c>
      <c r="AJ660" s="20"/>
      <c r="AK660" s="20">
        <v>688</v>
      </c>
      <c r="AL660" s="20">
        <f t="shared" si="206"/>
        <v>155748</v>
      </c>
      <c r="AM660" s="7">
        <v>2</v>
      </c>
      <c r="AN660" s="20"/>
      <c r="AO660" s="21"/>
      <c r="AP660" s="21"/>
      <c r="AQ660" s="5" t="s">
        <v>2074</v>
      </c>
      <c r="AR660" s="5" t="s">
        <v>2075</v>
      </c>
      <c r="AS660" s="5" t="s">
        <v>247</v>
      </c>
      <c r="AT660" s="20"/>
      <c r="AU660" s="21"/>
      <c r="AV660" s="21"/>
      <c r="AW660" s="144" t="str">
        <f t="shared" si="207"/>
        <v>OK</v>
      </c>
      <c r="AX660" s="21" t="s">
        <v>3135</v>
      </c>
      <c r="AY660" s="21">
        <v>0</v>
      </c>
      <c r="AZ660" s="21"/>
      <c r="BA660" s="21"/>
    </row>
    <row r="661" spans="1:53" ht="20" customHeight="1">
      <c r="A661" s="86" t="s">
        <v>318</v>
      </c>
      <c r="B661" s="372" t="s">
        <v>2991</v>
      </c>
      <c r="C661" s="5" t="s">
        <v>51</v>
      </c>
      <c r="D661" s="5" t="s">
        <v>52</v>
      </c>
      <c r="E661" s="5" t="s">
        <v>2035</v>
      </c>
      <c r="F661" s="5" t="s">
        <v>2107</v>
      </c>
      <c r="G661" s="5" t="s">
        <v>2108</v>
      </c>
      <c r="H661" s="6">
        <v>40634</v>
      </c>
      <c r="I661" s="5" t="s">
        <v>74</v>
      </c>
      <c r="J661" s="5" t="s">
        <v>2125</v>
      </c>
      <c r="K661" s="5" t="s">
        <v>76</v>
      </c>
      <c r="L661" s="7">
        <v>2</v>
      </c>
      <c r="M661" s="7">
        <v>3</v>
      </c>
      <c r="N661" s="8">
        <v>11695</v>
      </c>
      <c r="O661" s="88">
        <v>2.5000000000000001E-2</v>
      </c>
      <c r="P661" s="10">
        <f t="shared" si="196"/>
        <v>292</v>
      </c>
      <c r="Q661" s="88">
        <v>0</v>
      </c>
      <c r="R661" s="10">
        <f t="shared" si="197"/>
        <v>0</v>
      </c>
      <c r="S661" s="88">
        <f t="shared" si="198"/>
        <v>2.4967935014963659E-2</v>
      </c>
      <c r="T661" s="10">
        <f t="shared" si="199"/>
        <v>292</v>
      </c>
      <c r="U661" s="10">
        <f t="shared" si="200"/>
        <v>11987</v>
      </c>
      <c r="V661" s="11">
        <v>11695</v>
      </c>
      <c r="W661" s="12">
        <f t="shared" si="201"/>
        <v>0</v>
      </c>
      <c r="X661" s="92">
        <f t="shared" si="193"/>
        <v>0</v>
      </c>
      <c r="Y661" s="93" t="str">
        <f t="shared" si="191"/>
        <v>2.00%-3.00%</v>
      </c>
      <c r="Z661" s="15"/>
      <c r="AA661" s="15"/>
      <c r="AB661" s="15"/>
      <c r="AC661" s="95"/>
      <c r="AD661" s="8">
        <f t="shared" si="202"/>
        <v>0</v>
      </c>
      <c r="AE661" s="17">
        <f t="shared" si="203"/>
        <v>11695</v>
      </c>
      <c r="AF661" s="18">
        <f t="shared" si="204"/>
        <v>0</v>
      </c>
      <c r="AG661" s="97">
        <f t="shared" si="205"/>
        <v>0</v>
      </c>
      <c r="AH661" s="20">
        <v>14</v>
      </c>
      <c r="AI661" s="20">
        <v>850</v>
      </c>
      <c r="AJ661" s="20"/>
      <c r="AK661" s="20">
        <v>688</v>
      </c>
      <c r="AL661" s="20">
        <f t="shared" si="206"/>
        <v>174618</v>
      </c>
      <c r="AM661" s="7">
        <v>3</v>
      </c>
      <c r="AN661" s="20"/>
      <c r="AO661" s="21" t="s">
        <v>2126</v>
      </c>
      <c r="AP661" s="21"/>
      <c r="AQ661" s="5" t="s">
        <v>2074</v>
      </c>
      <c r="AR661" s="5" t="s">
        <v>2075</v>
      </c>
      <c r="AS661" s="5" t="s">
        <v>247</v>
      </c>
      <c r="AT661" s="20"/>
      <c r="AU661" s="21"/>
      <c r="AV661" s="21"/>
      <c r="AW661" s="144" t="str">
        <f t="shared" si="207"/>
        <v>0 increase</v>
      </c>
      <c r="AX661" s="21" t="s">
        <v>3135</v>
      </c>
      <c r="AY661" s="21" t="s">
        <v>3130</v>
      </c>
      <c r="AZ661" s="21"/>
      <c r="BA661" s="21"/>
    </row>
    <row r="662" spans="1:53" ht="20" customHeight="1">
      <c r="A662" s="86" t="s">
        <v>318</v>
      </c>
      <c r="B662" s="372" t="s">
        <v>2992</v>
      </c>
      <c r="C662" s="5" t="s">
        <v>51</v>
      </c>
      <c r="D662" s="5" t="s">
        <v>52</v>
      </c>
      <c r="E662" s="5" t="s">
        <v>2035</v>
      </c>
      <c r="F662" s="5" t="s">
        <v>2107</v>
      </c>
      <c r="G662" s="5" t="s">
        <v>2108</v>
      </c>
      <c r="H662" s="6">
        <v>44280</v>
      </c>
      <c r="I662" s="5" t="s">
        <v>82</v>
      </c>
      <c r="J662" s="5" t="s">
        <v>2127</v>
      </c>
      <c r="K662" s="5" t="s">
        <v>84</v>
      </c>
      <c r="L662" s="7">
        <v>2</v>
      </c>
      <c r="M662" s="7">
        <v>3</v>
      </c>
      <c r="N662" s="8">
        <v>9195</v>
      </c>
      <c r="O662" s="88">
        <v>2.5000000000000001E-2</v>
      </c>
      <c r="P662" s="10">
        <f t="shared" si="196"/>
        <v>230</v>
      </c>
      <c r="Q662" s="88">
        <v>0</v>
      </c>
      <c r="R662" s="10">
        <f t="shared" si="197"/>
        <v>0</v>
      </c>
      <c r="S662" s="88">
        <f t="shared" si="198"/>
        <v>2.5013594344752584E-2</v>
      </c>
      <c r="T662" s="10">
        <f t="shared" si="199"/>
        <v>230</v>
      </c>
      <c r="U662" s="10">
        <f t="shared" si="200"/>
        <v>9425</v>
      </c>
      <c r="V662" s="11">
        <v>9195</v>
      </c>
      <c r="W662" s="12">
        <f t="shared" si="201"/>
        <v>0</v>
      </c>
      <c r="X662" s="92">
        <f t="shared" si="193"/>
        <v>0</v>
      </c>
      <c r="Y662" s="93" t="str">
        <f t="shared" si="191"/>
        <v>2.00%-3.00%</v>
      </c>
      <c r="Z662" s="15"/>
      <c r="AA662" s="15"/>
      <c r="AB662" s="15"/>
      <c r="AC662" s="95"/>
      <c r="AD662" s="8">
        <f t="shared" si="202"/>
        <v>0</v>
      </c>
      <c r="AE662" s="17">
        <f t="shared" si="203"/>
        <v>9195</v>
      </c>
      <c r="AF662" s="18">
        <f t="shared" si="204"/>
        <v>0</v>
      </c>
      <c r="AG662" s="97">
        <f t="shared" si="205"/>
        <v>0</v>
      </c>
      <c r="AH662" s="20">
        <v>14</v>
      </c>
      <c r="AI662" s="20">
        <v>450</v>
      </c>
      <c r="AJ662" s="20"/>
      <c r="AK662" s="20">
        <v>688</v>
      </c>
      <c r="AL662" s="20">
        <f t="shared" si="206"/>
        <v>134818</v>
      </c>
      <c r="AM662" s="7">
        <v>3</v>
      </c>
      <c r="AN662" s="20"/>
      <c r="AO662" s="21" t="s">
        <v>2126</v>
      </c>
      <c r="AP662" s="21"/>
      <c r="AQ662" s="5" t="s">
        <v>2074</v>
      </c>
      <c r="AR662" s="5" t="s">
        <v>2075</v>
      </c>
      <c r="AS662" s="5" t="s">
        <v>247</v>
      </c>
      <c r="AT662" s="20"/>
      <c r="AU662" s="21"/>
      <c r="AV662" s="21"/>
      <c r="AW662" s="144" t="str">
        <f t="shared" si="207"/>
        <v>0 increase</v>
      </c>
      <c r="AX662" s="21" t="s">
        <v>3131</v>
      </c>
      <c r="AY662" s="21" t="s">
        <v>3130</v>
      </c>
      <c r="AZ662" s="21"/>
      <c r="BA662" s="21"/>
    </row>
    <row r="663" spans="1:53" ht="20" customHeight="1">
      <c r="A663" s="86" t="s">
        <v>318</v>
      </c>
      <c r="B663" s="372" t="s">
        <v>2993</v>
      </c>
      <c r="C663" s="5" t="s">
        <v>51</v>
      </c>
      <c r="D663" s="5" t="s">
        <v>52</v>
      </c>
      <c r="E663" s="5" t="s">
        <v>2035</v>
      </c>
      <c r="F663" s="5" t="s">
        <v>2107</v>
      </c>
      <c r="G663" s="5" t="s">
        <v>2108</v>
      </c>
      <c r="H663" s="6">
        <v>44347</v>
      </c>
      <c r="I663" s="5" t="s">
        <v>74</v>
      </c>
      <c r="J663" s="5" t="s">
        <v>74</v>
      </c>
      <c r="K663" s="5" t="s">
        <v>76</v>
      </c>
      <c r="L663" s="7">
        <v>2</v>
      </c>
      <c r="M663" s="7">
        <v>3</v>
      </c>
      <c r="N663" s="8">
        <v>13000</v>
      </c>
      <c r="O663" s="88">
        <v>2.5000000000000001E-2</v>
      </c>
      <c r="P663" s="10">
        <f t="shared" si="196"/>
        <v>325</v>
      </c>
      <c r="Q663" s="88">
        <v>0</v>
      </c>
      <c r="R663" s="10">
        <f t="shared" si="197"/>
        <v>0</v>
      </c>
      <c r="S663" s="88">
        <f t="shared" si="198"/>
        <v>2.5000000000000001E-2</v>
      </c>
      <c r="T663" s="10">
        <f t="shared" si="199"/>
        <v>325</v>
      </c>
      <c r="U663" s="10">
        <f t="shared" si="200"/>
        <v>13325</v>
      </c>
      <c r="V663" s="11">
        <v>13000</v>
      </c>
      <c r="W663" s="12">
        <f t="shared" si="201"/>
        <v>0</v>
      </c>
      <c r="X663" s="92">
        <f t="shared" si="193"/>
        <v>0</v>
      </c>
      <c r="Y663" s="93" t="str">
        <f t="shared" si="191"/>
        <v>2.00%-3.00%</v>
      </c>
      <c r="Z663" s="15"/>
      <c r="AA663" s="15"/>
      <c r="AB663" s="15"/>
      <c r="AC663" s="95"/>
      <c r="AD663" s="8">
        <f t="shared" si="202"/>
        <v>0</v>
      </c>
      <c r="AE663" s="17">
        <f t="shared" si="203"/>
        <v>13000</v>
      </c>
      <c r="AF663" s="18">
        <f t="shared" si="204"/>
        <v>0</v>
      </c>
      <c r="AG663" s="97">
        <f t="shared" si="205"/>
        <v>0</v>
      </c>
      <c r="AH663" s="20">
        <v>14</v>
      </c>
      <c r="AI663" s="20">
        <v>450</v>
      </c>
      <c r="AJ663" s="20"/>
      <c r="AK663" s="20">
        <v>688</v>
      </c>
      <c r="AL663" s="20">
        <f t="shared" si="206"/>
        <v>188088</v>
      </c>
      <c r="AM663" s="7">
        <v>5</v>
      </c>
      <c r="AN663" s="20"/>
      <c r="AO663" s="21" t="s">
        <v>2126</v>
      </c>
      <c r="AP663" s="21"/>
      <c r="AQ663" s="5" t="s">
        <v>2074</v>
      </c>
      <c r="AR663" s="5" t="s">
        <v>2075</v>
      </c>
      <c r="AS663" s="5" t="s">
        <v>247</v>
      </c>
      <c r="AT663" s="20"/>
      <c r="AU663" s="21"/>
      <c r="AV663" s="21"/>
      <c r="AW663" s="144" t="str">
        <f t="shared" si="207"/>
        <v>0 increase</v>
      </c>
      <c r="AX663" s="21" t="s">
        <v>3131</v>
      </c>
      <c r="AY663" s="21" t="s">
        <v>3130</v>
      </c>
      <c r="AZ663" s="21"/>
      <c r="BA663" s="21"/>
    </row>
    <row r="664" spans="1:53" ht="20" customHeight="1">
      <c r="A664" s="86" t="s">
        <v>318</v>
      </c>
      <c r="B664" s="372" t="s">
        <v>2994</v>
      </c>
      <c r="C664" s="5" t="s">
        <v>51</v>
      </c>
      <c r="D664" s="5" t="s">
        <v>52</v>
      </c>
      <c r="E664" s="5" t="s">
        <v>2035</v>
      </c>
      <c r="F664" s="5" t="s">
        <v>2107</v>
      </c>
      <c r="G664" s="5" t="s">
        <v>2108</v>
      </c>
      <c r="H664" s="6">
        <v>44445</v>
      </c>
      <c r="I664" s="5" t="s">
        <v>74</v>
      </c>
      <c r="J664" s="5" t="s">
        <v>2125</v>
      </c>
      <c r="K664" s="5" t="s">
        <v>76</v>
      </c>
      <c r="L664" s="7">
        <v>2</v>
      </c>
      <c r="M664" s="7">
        <v>3</v>
      </c>
      <c r="N664" s="8">
        <v>11357</v>
      </c>
      <c r="O664" s="88">
        <v>0.03</v>
      </c>
      <c r="P664" s="10">
        <f t="shared" si="196"/>
        <v>341</v>
      </c>
      <c r="Q664" s="88">
        <v>0</v>
      </c>
      <c r="R664" s="10">
        <f t="shared" si="197"/>
        <v>0</v>
      </c>
      <c r="S664" s="88">
        <f t="shared" si="198"/>
        <v>3.0025534912388834E-2</v>
      </c>
      <c r="T664" s="10">
        <f t="shared" si="199"/>
        <v>341</v>
      </c>
      <c r="U664" s="10">
        <f t="shared" si="200"/>
        <v>11698</v>
      </c>
      <c r="V664" s="11">
        <v>11500</v>
      </c>
      <c r="W664" s="12">
        <f t="shared" si="201"/>
        <v>143</v>
      </c>
      <c r="X664" s="92">
        <f t="shared" si="193"/>
        <v>1.26E-2</v>
      </c>
      <c r="Y664" s="93" t="str">
        <f t="shared" si="191"/>
        <v>2.40%-3.60%</v>
      </c>
      <c r="Z664" s="15"/>
      <c r="AA664" s="15"/>
      <c r="AB664" s="15"/>
      <c r="AC664" s="95"/>
      <c r="AD664" s="8">
        <f t="shared" si="202"/>
        <v>0</v>
      </c>
      <c r="AE664" s="17">
        <f t="shared" si="203"/>
        <v>11500</v>
      </c>
      <c r="AF664" s="18">
        <f t="shared" si="204"/>
        <v>143</v>
      </c>
      <c r="AG664" s="97">
        <f t="shared" si="205"/>
        <v>1.2591353350356549E-2</v>
      </c>
      <c r="AH664" s="20">
        <v>14</v>
      </c>
      <c r="AI664" s="20">
        <v>450</v>
      </c>
      <c r="AJ664" s="20"/>
      <c r="AK664" s="20">
        <v>688</v>
      </c>
      <c r="AL664" s="20">
        <f t="shared" si="206"/>
        <v>167088</v>
      </c>
      <c r="AM664" s="7">
        <v>3</v>
      </c>
      <c r="AN664" s="20"/>
      <c r="AO664" s="21" t="s">
        <v>2126</v>
      </c>
      <c r="AP664" s="21"/>
      <c r="AQ664" s="5" t="s">
        <v>2074</v>
      </c>
      <c r="AR664" s="5" t="s">
        <v>2075</v>
      </c>
      <c r="AS664" s="5" t="s">
        <v>247</v>
      </c>
      <c r="AT664" s="20"/>
      <c r="AU664" s="21"/>
      <c r="AV664" s="21"/>
      <c r="AW664" s="144" t="str">
        <f t="shared" si="207"/>
        <v>&lt;20</v>
      </c>
      <c r="AX664" s="21" t="s">
        <v>3131</v>
      </c>
      <c r="AY664" s="21" t="s">
        <v>3132</v>
      </c>
      <c r="AZ664" s="21"/>
      <c r="BA664" s="21"/>
    </row>
    <row r="665" spans="1:53" ht="20" customHeight="1">
      <c r="A665" s="86" t="s">
        <v>318</v>
      </c>
      <c r="B665" s="372" t="s">
        <v>2995</v>
      </c>
      <c r="C665" s="5" t="s">
        <v>51</v>
      </c>
      <c r="D665" s="5" t="s">
        <v>52</v>
      </c>
      <c r="E665" s="5" t="s">
        <v>2035</v>
      </c>
      <c r="F665" s="5" t="s">
        <v>2107</v>
      </c>
      <c r="G665" s="5" t="s">
        <v>2108</v>
      </c>
      <c r="H665" s="6">
        <v>44452</v>
      </c>
      <c r="I665" s="5" t="s">
        <v>74</v>
      </c>
      <c r="J665" s="5" t="s">
        <v>74</v>
      </c>
      <c r="K665" s="5" t="s">
        <v>76</v>
      </c>
      <c r="L665" s="7">
        <v>2</v>
      </c>
      <c r="M665" s="7">
        <v>3</v>
      </c>
      <c r="N665" s="8">
        <v>9274</v>
      </c>
      <c r="O665" s="88">
        <v>0.03</v>
      </c>
      <c r="P665" s="10">
        <f t="shared" si="196"/>
        <v>278</v>
      </c>
      <c r="Q665" s="88">
        <v>0</v>
      </c>
      <c r="R665" s="10">
        <f t="shared" si="197"/>
        <v>0</v>
      </c>
      <c r="S665" s="88">
        <f t="shared" si="198"/>
        <v>2.9976277765796852E-2</v>
      </c>
      <c r="T665" s="10">
        <f t="shared" si="199"/>
        <v>278</v>
      </c>
      <c r="U665" s="10">
        <f t="shared" si="200"/>
        <v>9552</v>
      </c>
      <c r="V665" s="11">
        <v>10200</v>
      </c>
      <c r="W665" s="12">
        <f t="shared" si="201"/>
        <v>926</v>
      </c>
      <c r="X665" s="92">
        <f t="shared" si="193"/>
        <v>9.98E-2</v>
      </c>
      <c r="Y665" s="93" t="str">
        <f t="shared" si="191"/>
        <v>2.40%-3.60%</v>
      </c>
      <c r="Z665" s="15"/>
      <c r="AA665" s="15"/>
      <c r="AB665" s="15"/>
      <c r="AC665" s="95"/>
      <c r="AD665" s="8">
        <f t="shared" si="202"/>
        <v>0</v>
      </c>
      <c r="AE665" s="17">
        <f t="shared" si="203"/>
        <v>10200</v>
      </c>
      <c r="AF665" s="18">
        <f t="shared" si="204"/>
        <v>926</v>
      </c>
      <c r="AG665" s="97">
        <f t="shared" si="205"/>
        <v>9.9849040327798066E-2</v>
      </c>
      <c r="AH665" s="20">
        <v>14</v>
      </c>
      <c r="AI665" s="20">
        <v>450</v>
      </c>
      <c r="AJ665" s="20"/>
      <c r="AK665" s="20">
        <v>688</v>
      </c>
      <c r="AL665" s="20">
        <f t="shared" si="206"/>
        <v>148888</v>
      </c>
      <c r="AM665" s="7">
        <v>4</v>
      </c>
      <c r="AN665" s="20"/>
      <c r="AO665" s="21" t="s">
        <v>2128</v>
      </c>
      <c r="AP665" s="21"/>
      <c r="AQ665" s="5" t="s">
        <v>2074</v>
      </c>
      <c r="AR665" s="5" t="s">
        <v>2075</v>
      </c>
      <c r="AS665" s="5" t="s">
        <v>247</v>
      </c>
      <c r="AT665" s="20"/>
      <c r="AU665" s="21"/>
      <c r="AV665" s="21"/>
      <c r="AW665" s="144" t="str">
        <f t="shared" si="207"/>
        <v>&gt;20</v>
      </c>
      <c r="AX665" s="21" t="s">
        <v>3131</v>
      </c>
      <c r="AY665" s="21" t="s">
        <v>3132</v>
      </c>
      <c r="AZ665" s="21"/>
      <c r="BA665" s="21"/>
    </row>
    <row r="666" spans="1:53" ht="20" customHeight="1">
      <c r="A666" s="86" t="s">
        <v>318</v>
      </c>
      <c r="B666" s="372" t="s">
        <v>2996</v>
      </c>
      <c r="C666" s="5" t="s">
        <v>51</v>
      </c>
      <c r="D666" s="5" t="s">
        <v>52</v>
      </c>
      <c r="E666" s="5" t="s">
        <v>2035</v>
      </c>
      <c r="F666" s="5" t="s">
        <v>2107</v>
      </c>
      <c r="G666" s="5" t="s">
        <v>2108</v>
      </c>
      <c r="H666" s="6">
        <v>44517</v>
      </c>
      <c r="I666" s="5" t="s">
        <v>82</v>
      </c>
      <c r="J666" s="5" t="s">
        <v>2127</v>
      </c>
      <c r="K666" s="5" t="s">
        <v>84</v>
      </c>
      <c r="L666" s="7">
        <v>2</v>
      </c>
      <c r="M666" s="7">
        <v>3</v>
      </c>
      <c r="N666" s="8">
        <v>9465</v>
      </c>
      <c r="O666" s="88">
        <v>2.5000000000000001E-2</v>
      </c>
      <c r="P666" s="10">
        <f t="shared" si="196"/>
        <v>237</v>
      </c>
      <c r="Q666" s="88">
        <v>0</v>
      </c>
      <c r="R666" s="10">
        <f t="shared" si="197"/>
        <v>0</v>
      </c>
      <c r="S666" s="88">
        <f t="shared" si="198"/>
        <v>2.5039619651347069E-2</v>
      </c>
      <c r="T666" s="10">
        <f t="shared" si="199"/>
        <v>237</v>
      </c>
      <c r="U666" s="10">
        <f t="shared" si="200"/>
        <v>9702</v>
      </c>
      <c r="V666" s="11">
        <v>9715</v>
      </c>
      <c r="W666" s="12">
        <f t="shared" si="201"/>
        <v>250</v>
      </c>
      <c r="X666" s="92">
        <f t="shared" si="193"/>
        <v>2.64E-2</v>
      </c>
      <c r="Y666" s="93" t="str">
        <f t="shared" si="191"/>
        <v>2.00%-3.00%</v>
      </c>
      <c r="Z666" s="15"/>
      <c r="AA666" s="15"/>
      <c r="AB666" s="15"/>
      <c r="AC666" s="95"/>
      <c r="AD666" s="8">
        <f t="shared" si="202"/>
        <v>0</v>
      </c>
      <c r="AE666" s="17">
        <f t="shared" si="203"/>
        <v>9715</v>
      </c>
      <c r="AF666" s="18">
        <f t="shared" si="204"/>
        <v>250</v>
      </c>
      <c r="AG666" s="97">
        <f t="shared" si="205"/>
        <v>2.6413100898045494E-2</v>
      </c>
      <c r="AH666" s="20">
        <v>14</v>
      </c>
      <c r="AI666" s="20">
        <v>450</v>
      </c>
      <c r="AJ666" s="20"/>
      <c r="AK666" s="20">
        <v>688</v>
      </c>
      <c r="AL666" s="20">
        <f t="shared" si="206"/>
        <v>142098</v>
      </c>
      <c r="AM666" s="7">
        <v>4</v>
      </c>
      <c r="AN666" s="20"/>
      <c r="AO666" s="21"/>
      <c r="AP666" s="21"/>
      <c r="AQ666" s="5" t="s">
        <v>2074</v>
      </c>
      <c r="AR666" s="5" t="s">
        <v>2075</v>
      </c>
      <c r="AS666" s="5" t="s">
        <v>247</v>
      </c>
      <c r="AT666" s="20"/>
      <c r="AU666" s="21"/>
      <c r="AV666" s="21"/>
      <c r="AW666" s="144" t="str">
        <f t="shared" si="207"/>
        <v>OK</v>
      </c>
      <c r="AX666" s="21" t="s">
        <v>3131</v>
      </c>
      <c r="AY666" s="21" t="s">
        <v>3130</v>
      </c>
      <c r="AZ666" s="21"/>
      <c r="BA666" s="21"/>
    </row>
    <row r="667" spans="1:53" ht="20" customHeight="1">
      <c r="A667" s="86" t="s">
        <v>318</v>
      </c>
      <c r="B667" s="372" t="s">
        <v>2997</v>
      </c>
      <c r="C667" s="5" t="s">
        <v>51</v>
      </c>
      <c r="D667" s="5" t="s">
        <v>52</v>
      </c>
      <c r="E667" s="5" t="s">
        <v>2035</v>
      </c>
      <c r="F667" s="5" t="s">
        <v>2107</v>
      </c>
      <c r="G667" s="5" t="s">
        <v>2108</v>
      </c>
      <c r="H667" s="6">
        <v>44909</v>
      </c>
      <c r="I667" s="5" t="s">
        <v>82</v>
      </c>
      <c r="J667" s="5" t="s">
        <v>2127</v>
      </c>
      <c r="K667" s="5" t="s">
        <v>84</v>
      </c>
      <c r="L667" s="7">
        <v>2</v>
      </c>
      <c r="M667" s="7">
        <v>4</v>
      </c>
      <c r="N667" s="8">
        <v>10312</v>
      </c>
      <c r="O667" s="88">
        <v>3.7500000000000006E-2</v>
      </c>
      <c r="P667" s="10">
        <f t="shared" si="196"/>
        <v>387</v>
      </c>
      <c r="Q667" s="88">
        <v>0</v>
      </c>
      <c r="R667" s="10">
        <f t="shared" si="197"/>
        <v>0</v>
      </c>
      <c r="S667" s="88">
        <f t="shared" si="198"/>
        <v>3.7529092319627616E-2</v>
      </c>
      <c r="T667" s="10">
        <f t="shared" si="199"/>
        <v>387</v>
      </c>
      <c r="U667" s="10">
        <f t="shared" si="200"/>
        <v>10699</v>
      </c>
      <c r="V667" s="11">
        <v>10312</v>
      </c>
      <c r="W667" s="12">
        <f t="shared" si="201"/>
        <v>0</v>
      </c>
      <c r="X667" s="92">
        <f t="shared" si="193"/>
        <v>0</v>
      </c>
      <c r="Y667" s="93" t="str">
        <f t="shared" si="191"/>
        <v>3.00%-4.50%</v>
      </c>
      <c r="Z667" s="15"/>
      <c r="AA667" s="15"/>
      <c r="AB667" s="15"/>
      <c r="AC667" s="95"/>
      <c r="AD667" s="8">
        <f t="shared" si="202"/>
        <v>0</v>
      </c>
      <c r="AE667" s="17">
        <f t="shared" si="203"/>
        <v>10312</v>
      </c>
      <c r="AF667" s="18">
        <f t="shared" si="204"/>
        <v>0</v>
      </c>
      <c r="AG667" s="97">
        <f t="shared" si="205"/>
        <v>0</v>
      </c>
      <c r="AH667" s="20">
        <v>14</v>
      </c>
      <c r="AI667" s="20">
        <v>450</v>
      </c>
      <c r="AJ667" s="20"/>
      <c r="AK667" s="20">
        <v>688</v>
      </c>
      <c r="AL667" s="20">
        <f t="shared" si="206"/>
        <v>150456</v>
      </c>
      <c r="AM667" s="7">
        <v>3</v>
      </c>
      <c r="AN667" s="20"/>
      <c r="AO667" s="21" t="s">
        <v>2129</v>
      </c>
      <c r="AP667" s="21"/>
      <c r="AQ667" s="5" t="s">
        <v>2074</v>
      </c>
      <c r="AR667" s="5" t="s">
        <v>2075</v>
      </c>
      <c r="AS667" s="5" t="s">
        <v>247</v>
      </c>
      <c r="AT667" s="20"/>
      <c r="AU667" s="21"/>
      <c r="AV667" s="21"/>
      <c r="AW667" s="144" t="str">
        <f t="shared" si="207"/>
        <v>0 increase</v>
      </c>
      <c r="AX667" s="21" t="s">
        <v>3131</v>
      </c>
      <c r="AY667" s="21" t="s">
        <v>3130</v>
      </c>
      <c r="AZ667" s="21"/>
      <c r="BA667" s="21"/>
    </row>
    <row r="668" spans="1:53" ht="20" customHeight="1">
      <c r="A668" s="86" t="s">
        <v>318</v>
      </c>
      <c r="B668" s="372" t="s">
        <v>2998</v>
      </c>
      <c r="C668" s="5" t="s">
        <v>51</v>
      </c>
      <c r="D668" s="5" t="s">
        <v>52</v>
      </c>
      <c r="E668" s="5" t="s">
        <v>2035</v>
      </c>
      <c r="F668" s="5" t="s">
        <v>2107</v>
      </c>
      <c r="G668" s="5" t="s">
        <v>2108</v>
      </c>
      <c r="H668" s="6">
        <v>40023</v>
      </c>
      <c r="I668" s="5" t="s">
        <v>82</v>
      </c>
      <c r="J668" s="5" t="s">
        <v>82</v>
      </c>
      <c r="K668" s="5" t="s">
        <v>84</v>
      </c>
      <c r="L668" s="7">
        <v>2</v>
      </c>
      <c r="M668" s="7">
        <v>5</v>
      </c>
      <c r="N668" s="8">
        <v>8050</v>
      </c>
      <c r="O668" s="88">
        <v>0.06</v>
      </c>
      <c r="P668" s="10">
        <f t="shared" si="196"/>
        <v>483</v>
      </c>
      <c r="Q668" s="88">
        <v>2.7E-2</v>
      </c>
      <c r="R668" s="10">
        <f t="shared" si="197"/>
        <v>217</v>
      </c>
      <c r="S668" s="88">
        <f t="shared" si="198"/>
        <v>8.6956521739130432E-2</v>
      </c>
      <c r="T668" s="10">
        <f t="shared" si="199"/>
        <v>700</v>
      </c>
      <c r="U668" s="10">
        <f t="shared" si="200"/>
        <v>8750</v>
      </c>
      <c r="V668" s="11">
        <v>9600</v>
      </c>
      <c r="W668" s="12">
        <f t="shared" si="201"/>
        <v>1550</v>
      </c>
      <c r="X668" s="92">
        <f t="shared" si="193"/>
        <v>0.1925</v>
      </c>
      <c r="Y668" s="93" t="str">
        <f t="shared" si="191"/>
        <v>6.96%-10.43%</v>
      </c>
      <c r="Z668" s="15"/>
      <c r="AA668" s="15"/>
      <c r="AB668" s="15"/>
      <c r="AC668" s="95"/>
      <c r="AD668" s="8">
        <f t="shared" si="202"/>
        <v>0</v>
      </c>
      <c r="AE668" s="17">
        <f t="shared" si="203"/>
        <v>9600</v>
      </c>
      <c r="AF668" s="18">
        <f t="shared" si="204"/>
        <v>1550</v>
      </c>
      <c r="AG668" s="97">
        <f t="shared" si="205"/>
        <v>0.19254658385093171</v>
      </c>
      <c r="AH668" s="20">
        <v>14</v>
      </c>
      <c r="AI668" s="20">
        <v>450</v>
      </c>
      <c r="AJ668" s="20"/>
      <c r="AK668" s="20">
        <v>688</v>
      </c>
      <c r="AL668" s="20">
        <f t="shared" si="206"/>
        <v>140488</v>
      </c>
      <c r="AM668" s="7">
        <v>3</v>
      </c>
      <c r="AN668" s="20"/>
      <c r="AO668" s="21" t="s">
        <v>2130</v>
      </c>
      <c r="AP668" s="21"/>
      <c r="AQ668" s="5" t="s">
        <v>2074</v>
      </c>
      <c r="AR668" s="5" t="s">
        <v>2075</v>
      </c>
      <c r="AS668" s="5" t="s">
        <v>247</v>
      </c>
      <c r="AT668" s="20"/>
      <c r="AU668" s="21"/>
      <c r="AV668" s="21"/>
      <c r="AW668" s="144" t="str">
        <f t="shared" si="207"/>
        <v>&gt;20</v>
      </c>
      <c r="AX668" s="21" t="s">
        <v>3129</v>
      </c>
      <c r="AY668" s="21" t="s">
        <v>3132</v>
      </c>
      <c r="AZ668" s="21"/>
      <c r="BA668" s="21"/>
    </row>
    <row r="669" spans="1:53" ht="20" customHeight="1">
      <c r="A669" s="86" t="s">
        <v>318</v>
      </c>
      <c r="B669" s="372" t="s">
        <v>2999</v>
      </c>
      <c r="C669" s="5" t="s">
        <v>51</v>
      </c>
      <c r="D669" s="5" t="s">
        <v>52</v>
      </c>
      <c r="E669" s="5" t="s">
        <v>2035</v>
      </c>
      <c r="F669" s="5" t="s">
        <v>2107</v>
      </c>
      <c r="G669" s="5" t="s">
        <v>2108</v>
      </c>
      <c r="H669" s="6">
        <v>40391</v>
      </c>
      <c r="I669" s="5" t="s">
        <v>82</v>
      </c>
      <c r="J669" s="5" t="s">
        <v>82</v>
      </c>
      <c r="K669" s="5" t="s">
        <v>84</v>
      </c>
      <c r="L669" s="7">
        <v>2</v>
      </c>
      <c r="M669" s="7">
        <v>4</v>
      </c>
      <c r="N669" s="8">
        <v>7774</v>
      </c>
      <c r="O669" s="88">
        <v>3.7500000000000006E-2</v>
      </c>
      <c r="P669" s="10">
        <f t="shared" si="196"/>
        <v>292</v>
      </c>
      <c r="Q669" s="88">
        <v>1.55E-2</v>
      </c>
      <c r="R669" s="10">
        <f t="shared" si="197"/>
        <v>120</v>
      </c>
      <c r="S669" s="88">
        <f t="shared" si="198"/>
        <v>5.2997170054026238E-2</v>
      </c>
      <c r="T669" s="10">
        <f t="shared" si="199"/>
        <v>412</v>
      </c>
      <c r="U669" s="10">
        <f t="shared" si="200"/>
        <v>8186</v>
      </c>
      <c r="V669" s="11">
        <v>8600</v>
      </c>
      <c r="W669" s="12">
        <f t="shared" si="201"/>
        <v>826</v>
      </c>
      <c r="X669" s="92">
        <f t="shared" si="193"/>
        <v>0.10630000000000001</v>
      </c>
      <c r="Y669" s="93" t="str">
        <f t="shared" si="191"/>
        <v>4.24%-6.36%</v>
      </c>
      <c r="Z669" s="15"/>
      <c r="AA669" s="15"/>
      <c r="AB669" s="15"/>
      <c r="AC669" s="95"/>
      <c r="AD669" s="8">
        <f t="shared" si="202"/>
        <v>0</v>
      </c>
      <c r="AE669" s="17">
        <f t="shared" si="203"/>
        <v>8600</v>
      </c>
      <c r="AF669" s="18">
        <f t="shared" si="204"/>
        <v>826</v>
      </c>
      <c r="AG669" s="97">
        <f t="shared" si="205"/>
        <v>0.10625160792384869</v>
      </c>
      <c r="AH669" s="20">
        <v>14</v>
      </c>
      <c r="AI669" s="20">
        <v>450</v>
      </c>
      <c r="AJ669" s="20"/>
      <c r="AK669" s="20">
        <v>688</v>
      </c>
      <c r="AL669" s="20">
        <f t="shared" si="206"/>
        <v>126488</v>
      </c>
      <c r="AM669" s="7">
        <v>3</v>
      </c>
      <c r="AN669" s="20"/>
      <c r="AO669" s="21" t="s">
        <v>2131</v>
      </c>
      <c r="AP669" s="21"/>
      <c r="AQ669" s="5" t="s">
        <v>2074</v>
      </c>
      <c r="AR669" s="5" t="s">
        <v>2075</v>
      </c>
      <c r="AS669" s="5" t="s">
        <v>247</v>
      </c>
      <c r="AT669" s="20"/>
      <c r="AU669" s="21"/>
      <c r="AV669" s="21"/>
      <c r="AW669" s="144" t="str">
        <f t="shared" si="207"/>
        <v>&gt;20</v>
      </c>
      <c r="AX669" s="21" t="s">
        <v>3135</v>
      </c>
      <c r="AY669" s="21" t="s">
        <v>3130</v>
      </c>
      <c r="AZ669" s="21"/>
      <c r="BA669" s="21"/>
    </row>
    <row r="670" spans="1:53" ht="20" customHeight="1">
      <c r="A670" s="86" t="s">
        <v>318</v>
      </c>
      <c r="B670" s="372" t="s">
        <v>3000</v>
      </c>
      <c r="C670" s="5" t="s">
        <v>51</v>
      </c>
      <c r="D670" s="5" t="s">
        <v>52</v>
      </c>
      <c r="E670" s="5" t="s">
        <v>2035</v>
      </c>
      <c r="F670" s="5" t="s">
        <v>2107</v>
      </c>
      <c r="G670" s="5" t="s">
        <v>2108</v>
      </c>
      <c r="H670" s="6">
        <v>40764</v>
      </c>
      <c r="I670" s="5" t="s">
        <v>82</v>
      </c>
      <c r="J670" s="5" t="s">
        <v>82</v>
      </c>
      <c r="K670" s="5" t="s">
        <v>84</v>
      </c>
      <c r="L670" s="7">
        <v>2</v>
      </c>
      <c r="M670" s="7">
        <v>3</v>
      </c>
      <c r="N670" s="8">
        <v>8789</v>
      </c>
      <c r="O670" s="88">
        <v>2.5000000000000001E-2</v>
      </c>
      <c r="P670" s="10">
        <f t="shared" si="196"/>
        <v>220</v>
      </c>
      <c r="Q670" s="88">
        <v>0</v>
      </c>
      <c r="R670" s="10">
        <f t="shared" si="197"/>
        <v>0</v>
      </c>
      <c r="S670" s="88">
        <f t="shared" si="198"/>
        <v>2.5031289111389236E-2</v>
      </c>
      <c r="T670" s="10">
        <f t="shared" si="199"/>
        <v>220</v>
      </c>
      <c r="U670" s="10">
        <f t="shared" si="200"/>
        <v>9009</v>
      </c>
      <c r="V670" s="11">
        <v>8789</v>
      </c>
      <c r="W670" s="12">
        <f t="shared" si="201"/>
        <v>0</v>
      </c>
      <c r="X670" s="92">
        <f t="shared" si="193"/>
        <v>0</v>
      </c>
      <c r="Y670" s="93" t="str">
        <f t="shared" si="191"/>
        <v>2.00%-3.00%</v>
      </c>
      <c r="Z670" s="15"/>
      <c r="AA670" s="15"/>
      <c r="AB670" s="15"/>
      <c r="AC670" s="95"/>
      <c r="AD670" s="8">
        <f t="shared" si="202"/>
        <v>0</v>
      </c>
      <c r="AE670" s="17">
        <f t="shared" si="203"/>
        <v>8789</v>
      </c>
      <c r="AF670" s="18">
        <f t="shared" si="204"/>
        <v>0</v>
      </c>
      <c r="AG670" s="97">
        <f t="shared" si="205"/>
        <v>0</v>
      </c>
      <c r="AH670" s="20">
        <v>14</v>
      </c>
      <c r="AI670" s="20">
        <v>450</v>
      </c>
      <c r="AJ670" s="20"/>
      <c r="AK670" s="20">
        <v>688</v>
      </c>
      <c r="AL670" s="20">
        <f t="shared" si="206"/>
        <v>129134</v>
      </c>
      <c r="AM670" s="7">
        <v>3</v>
      </c>
      <c r="AN670" s="20"/>
      <c r="AO670" s="21" t="s">
        <v>2132</v>
      </c>
      <c r="AP670" s="21"/>
      <c r="AQ670" s="5" t="s">
        <v>2074</v>
      </c>
      <c r="AR670" s="5" t="s">
        <v>2075</v>
      </c>
      <c r="AS670" s="5" t="s">
        <v>247</v>
      </c>
      <c r="AT670" s="20"/>
      <c r="AU670" s="21"/>
      <c r="AV670" s="21"/>
      <c r="AW670" s="144" t="str">
        <f t="shared" si="207"/>
        <v>0 increase</v>
      </c>
      <c r="AX670" s="21" t="s">
        <v>3135</v>
      </c>
      <c r="AY670" s="21" t="s">
        <v>3130</v>
      </c>
      <c r="AZ670" s="21"/>
      <c r="BA670" s="21"/>
    </row>
    <row r="671" spans="1:53" ht="20" customHeight="1">
      <c r="A671" s="86" t="s">
        <v>318</v>
      </c>
      <c r="B671" s="372" t="s">
        <v>3001</v>
      </c>
      <c r="C671" s="5" t="s">
        <v>51</v>
      </c>
      <c r="D671" s="5" t="s">
        <v>52</v>
      </c>
      <c r="E671" s="5" t="s">
        <v>2035</v>
      </c>
      <c r="F671" s="5" t="s">
        <v>2107</v>
      </c>
      <c r="G671" s="5" t="s">
        <v>2108</v>
      </c>
      <c r="H671" s="6">
        <v>41115</v>
      </c>
      <c r="I671" s="5" t="s">
        <v>174</v>
      </c>
      <c r="J671" s="5" t="s">
        <v>2133</v>
      </c>
      <c r="K671" s="5" t="s">
        <v>175</v>
      </c>
      <c r="L671" s="7">
        <v>2</v>
      </c>
      <c r="M671" s="7">
        <v>3</v>
      </c>
      <c r="N671" s="8">
        <v>7050</v>
      </c>
      <c r="O671" s="88">
        <v>2.5000000000000001E-2</v>
      </c>
      <c r="P671" s="10">
        <f t="shared" si="196"/>
        <v>176</v>
      </c>
      <c r="Q671" s="88">
        <v>0</v>
      </c>
      <c r="R671" s="10">
        <f t="shared" si="197"/>
        <v>0</v>
      </c>
      <c r="S671" s="88">
        <f t="shared" si="198"/>
        <v>2.4964539007092199E-2</v>
      </c>
      <c r="T671" s="10">
        <f t="shared" si="199"/>
        <v>176</v>
      </c>
      <c r="U671" s="10">
        <f t="shared" si="200"/>
        <v>7226</v>
      </c>
      <c r="V671" s="11">
        <v>7050</v>
      </c>
      <c r="W671" s="12">
        <f t="shared" si="201"/>
        <v>0</v>
      </c>
      <c r="X671" s="92">
        <f t="shared" si="193"/>
        <v>0</v>
      </c>
      <c r="Y671" s="93" t="str">
        <f t="shared" si="191"/>
        <v>2.00%-3.00%</v>
      </c>
      <c r="Z671" s="15"/>
      <c r="AA671" s="15"/>
      <c r="AB671" s="15"/>
      <c r="AC671" s="95"/>
      <c r="AD671" s="8">
        <f t="shared" si="202"/>
        <v>0</v>
      </c>
      <c r="AE671" s="17">
        <f t="shared" si="203"/>
        <v>7050</v>
      </c>
      <c r="AF671" s="18">
        <f t="shared" si="204"/>
        <v>0</v>
      </c>
      <c r="AG671" s="97">
        <f t="shared" si="205"/>
        <v>0</v>
      </c>
      <c r="AH671" s="20">
        <v>14</v>
      </c>
      <c r="AI671" s="20">
        <v>450</v>
      </c>
      <c r="AJ671" s="20"/>
      <c r="AK671" s="20">
        <v>688</v>
      </c>
      <c r="AL671" s="20">
        <f t="shared" si="206"/>
        <v>104788</v>
      </c>
      <c r="AM671" s="7">
        <v>3</v>
      </c>
      <c r="AN671" s="20"/>
      <c r="AO671" s="21" t="s">
        <v>2132</v>
      </c>
      <c r="AP671" s="21"/>
      <c r="AQ671" s="5" t="s">
        <v>2074</v>
      </c>
      <c r="AR671" s="5" t="s">
        <v>2075</v>
      </c>
      <c r="AS671" s="5" t="s">
        <v>247</v>
      </c>
      <c r="AT671" s="20"/>
      <c r="AU671" s="21"/>
      <c r="AV671" s="21"/>
      <c r="AW671" s="144" t="str">
        <f t="shared" si="207"/>
        <v>0 increase</v>
      </c>
      <c r="AX671" s="21" t="s">
        <v>3135</v>
      </c>
      <c r="AY671" s="21" t="s">
        <v>3130</v>
      </c>
      <c r="AZ671" s="21"/>
      <c r="BA671" s="21"/>
    </row>
    <row r="672" spans="1:53" ht="20" customHeight="1">
      <c r="A672" s="86" t="s">
        <v>318</v>
      </c>
      <c r="B672" s="372" t="s">
        <v>3002</v>
      </c>
      <c r="C672" s="5" t="s">
        <v>51</v>
      </c>
      <c r="D672" s="5" t="s">
        <v>52</v>
      </c>
      <c r="E672" s="5" t="s">
        <v>2035</v>
      </c>
      <c r="F672" s="5" t="s">
        <v>2107</v>
      </c>
      <c r="G672" s="5" t="s">
        <v>2108</v>
      </c>
      <c r="H672" s="6">
        <v>41460</v>
      </c>
      <c r="I672" s="5" t="s">
        <v>82</v>
      </c>
      <c r="J672" s="5" t="s">
        <v>82</v>
      </c>
      <c r="K672" s="5" t="s">
        <v>84</v>
      </c>
      <c r="L672" s="7">
        <v>2</v>
      </c>
      <c r="M672" s="7">
        <v>4</v>
      </c>
      <c r="N672" s="8">
        <v>9468</v>
      </c>
      <c r="O672" s="88">
        <v>3.7500000000000006E-2</v>
      </c>
      <c r="P672" s="10">
        <f t="shared" si="196"/>
        <v>355</v>
      </c>
      <c r="Q672" s="88">
        <v>1.55E-2</v>
      </c>
      <c r="R672" s="10">
        <f t="shared" si="197"/>
        <v>147</v>
      </c>
      <c r="S672" s="88">
        <f t="shared" si="198"/>
        <v>5.3020701309674692E-2</v>
      </c>
      <c r="T672" s="10">
        <f t="shared" si="199"/>
        <v>502</v>
      </c>
      <c r="U672" s="10">
        <f t="shared" si="200"/>
        <v>9970</v>
      </c>
      <c r="V672" s="11">
        <v>10000</v>
      </c>
      <c r="W672" s="12">
        <f t="shared" si="201"/>
        <v>532</v>
      </c>
      <c r="X672" s="92">
        <f t="shared" si="193"/>
        <v>5.62E-2</v>
      </c>
      <c r="Y672" s="93" t="str">
        <f t="shared" si="191"/>
        <v>4.24%-6.36%</v>
      </c>
      <c r="Z672" s="15"/>
      <c r="AA672" s="15"/>
      <c r="AB672" s="15"/>
      <c r="AC672" s="95"/>
      <c r="AD672" s="8">
        <f t="shared" si="202"/>
        <v>0</v>
      </c>
      <c r="AE672" s="17">
        <f t="shared" si="203"/>
        <v>10000</v>
      </c>
      <c r="AF672" s="18">
        <f t="shared" si="204"/>
        <v>532</v>
      </c>
      <c r="AG672" s="97">
        <f t="shared" si="205"/>
        <v>5.618926911702582E-2</v>
      </c>
      <c r="AH672" s="20">
        <v>14</v>
      </c>
      <c r="AI672" s="20">
        <v>550</v>
      </c>
      <c r="AJ672" s="20"/>
      <c r="AK672" s="20">
        <v>688</v>
      </c>
      <c r="AL672" s="20">
        <f t="shared" si="206"/>
        <v>147288</v>
      </c>
      <c r="AM672" s="7">
        <v>3</v>
      </c>
      <c r="AN672" s="20"/>
      <c r="AO672" s="21"/>
      <c r="AP672" s="21"/>
      <c r="AQ672" s="5" t="s">
        <v>2074</v>
      </c>
      <c r="AR672" s="5" t="s">
        <v>2075</v>
      </c>
      <c r="AS672" s="5" t="s">
        <v>247</v>
      </c>
      <c r="AT672" s="20"/>
      <c r="AU672" s="21"/>
      <c r="AV672" s="21"/>
      <c r="AW672" s="144" t="str">
        <f t="shared" si="207"/>
        <v>OK</v>
      </c>
      <c r="AX672" s="21" t="s">
        <v>3135</v>
      </c>
      <c r="AY672" s="21" t="s">
        <v>3130</v>
      </c>
      <c r="AZ672" s="21"/>
      <c r="BA672" s="21"/>
    </row>
    <row r="673" spans="1:53" ht="20" customHeight="1">
      <c r="A673" s="86" t="s">
        <v>318</v>
      </c>
      <c r="B673" s="372" t="s">
        <v>3003</v>
      </c>
      <c r="C673" s="5" t="s">
        <v>51</v>
      </c>
      <c r="D673" s="5" t="s">
        <v>52</v>
      </c>
      <c r="E673" s="5" t="s">
        <v>2035</v>
      </c>
      <c r="F673" s="5" t="s">
        <v>2116</v>
      </c>
      <c r="G673" s="5" t="s">
        <v>2117</v>
      </c>
      <c r="H673" s="6">
        <v>43525</v>
      </c>
      <c r="I673" s="5" t="s">
        <v>82</v>
      </c>
      <c r="J673" s="5" t="s">
        <v>2134</v>
      </c>
      <c r="K673" s="5" t="s">
        <v>84</v>
      </c>
      <c r="L673" s="7">
        <v>2</v>
      </c>
      <c r="M673" s="7">
        <v>4</v>
      </c>
      <c r="N673" s="8">
        <v>9504</v>
      </c>
      <c r="O673" s="88">
        <v>4.4999999999999998E-2</v>
      </c>
      <c r="P673" s="10">
        <f t="shared" si="196"/>
        <v>428</v>
      </c>
      <c r="Q673" s="88">
        <v>4.2099999999999999E-2</v>
      </c>
      <c r="R673" s="10">
        <f t="shared" si="197"/>
        <v>400</v>
      </c>
      <c r="S673" s="88">
        <f t="shared" si="198"/>
        <v>8.7121212121212127E-2</v>
      </c>
      <c r="T673" s="10">
        <f t="shared" si="199"/>
        <v>828</v>
      </c>
      <c r="U673" s="10">
        <f t="shared" si="200"/>
        <v>10332</v>
      </c>
      <c r="V673" s="11">
        <v>10332</v>
      </c>
      <c r="W673" s="12">
        <f t="shared" si="201"/>
        <v>828</v>
      </c>
      <c r="X673" s="92">
        <f t="shared" si="193"/>
        <v>8.7099999999999997E-2</v>
      </c>
      <c r="Y673" s="93" t="str">
        <f t="shared" si="191"/>
        <v>6.97%-10.45%</v>
      </c>
      <c r="Z673" s="15"/>
      <c r="AA673" s="15"/>
      <c r="AB673" s="15"/>
      <c r="AC673" s="95"/>
      <c r="AD673" s="8">
        <f t="shared" si="202"/>
        <v>0</v>
      </c>
      <c r="AE673" s="17">
        <f t="shared" si="203"/>
        <v>10332</v>
      </c>
      <c r="AF673" s="18">
        <f t="shared" si="204"/>
        <v>828</v>
      </c>
      <c r="AG673" s="97">
        <f t="shared" si="205"/>
        <v>8.7121212121212155E-2</v>
      </c>
      <c r="AH673" s="20">
        <v>14</v>
      </c>
      <c r="AI673" s="20">
        <v>450</v>
      </c>
      <c r="AJ673" s="20"/>
      <c r="AK673" s="20">
        <v>688</v>
      </c>
      <c r="AL673" s="20">
        <f t="shared" si="206"/>
        <v>150736</v>
      </c>
      <c r="AM673" s="7">
        <v>3</v>
      </c>
      <c r="AN673" s="20"/>
      <c r="AO673" s="21"/>
      <c r="AP673" s="21"/>
      <c r="AQ673" s="5" t="s">
        <v>2074</v>
      </c>
      <c r="AR673" s="5" t="s">
        <v>2075</v>
      </c>
      <c r="AS673" s="5" t="s">
        <v>247</v>
      </c>
      <c r="AT673" s="20"/>
      <c r="AU673" s="21"/>
      <c r="AV673" s="21"/>
      <c r="AW673" s="144" t="str">
        <f t="shared" si="207"/>
        <v>OK</v>
      </c>
      <c r="AX673" s="21" t="s">
        <v>3133</v>
      </c>
      <c r="AY673" s="21" t="s">
        <v>3132</v>
      </c>
      <c r="AZ673" s="21"/>
      <c r="BA673" s="21"/>
    </row>
    <row r="674" spans="1:53" ht="20" customHeight="1">
      <c r="A674" s="86" t="s">
        <v>318</v>
      </c>
      <c r="B674" s="372" t="s">
        <v>3004</v>
      </c>
      <c r="C674" s="5" t="s">
        <v>51</v>
      </c>
      <c r="D674" s="5" t="s">
        <v>52</v>
      </c>
      <c r="E674" s="5" t="s">
        <v>2035</v>
      </c>
      <c r="F674" s="5" t="s">
        <v>2116</v>
      </c>
      <c r="G674" s="5" t="s">
        <v>2117</v>
      </c>
      <c r="H674" s="6">
        <v>34182</v>
      </c>
      <c r="I674" s="5" t="s">
        <v>82</v>
      </c>
      <c r="J674" s="5" t="s">
        <v>2135</v>
      </c>
      <c r="K674" s="5" t="s">
        <v>84</v>
      </c>
      <c r="L674" s="7">
        <v>2</v>
      </c>
      <c r="M674" s="7">
        <v>1</v>
      </c>
      <c r="N674" s="8">
        <v>8937</v>
      </c>
      <c r="O674" s="88">
        <v>0</v>
      </c>
      <c r="P674" s="10">
        <f t="shared" si="196"/>
        <v>0</v>
      </c>
      <c r="Q674" s="88">
        <v>0</v>
      </c>
      <c r="R674" s="10">
        <f t="shared" si="197"/>
        <v>0</v>
      </c>
      <c r="S674" s="88">
        <f t="shared" si="198"/>
        <v>0</v>
      </c>
      <c r="T674" s="10">
        <f t="shared" si="199"/>
        <v>0</v>
      </c>
      <c r="U674" s="10">
        <f t="shared" si="200"/>
        <v>8937</v>
      </c>
      <c r="V674" s="11">
        <v>8740</v>
      </c>
      <c r="W674" s="12">
        <f t="shared" si="201"/>
        <v>-197</v>
      </c>
      <c r="X674" s="92">
        <f t="shared" si="193"/>
        <v>-2.1999999999999999E-2</v>
      </c>
      <c r="Y674" s="93" t="str">
        <f t="shared" ref="Y674:Y737" si="209">IF(OR(L674=1,L674=2,L674=4),TEXT(S674*0.8,"0.00%")&amp;"-"&amp;TEXT(S674*1.2,"0.00%"),IF(OR(L674=3,L674=6),TEXT(0,"0.00%")&amp;"-"&amp;TEXT(7%*1.2,"0.00%"),IF(OR(L674=5,L674=7),TEXT((R674/N674),"0.00%")&amp;"-"&amp;TEXT((R674/N674)+7%,"0.00%"),"")))</f>
        <v>0.00%-0.00%</v>
      </c>
      <c r="Z674" s="15" t="s">
        <v>2136</v>
      </c>
      <c r="AA674" s="15" t="s">
        <v>2137</v>
      </c>
      <c r="AB674" s="15" t="s">
        <v>2138</v>
      </c>
      <c r="AC674" s="95"/>
      <c r="AD674" s="8">
        <f t="shared" si="202"/>
        <v>0</v>
      </c>
      <c r="AE674" s="17">
        <f t="shared" si="203"/>
        <v>8740</v>
      </c>
      <c r="AF674" s="18">
        <f t="shared" si="204"/>
        <v>-197</v>
      </c>
      <c r="AG674" s="97">
        <f t="shared" si="205"/>
        <v>-2.2043191227481218E-2</v>
      </c>
      <c r="AH674" s="20">
        <v>14</v>
      </c>
      <c r="AI674" s="20">
        <v>450</v>
      </c>
      <c r="AJ674" s="20"/>
      <c r="AK674" s="20">
        <v>688</v>
      </c>
      <c r="AL674" s="20">
        <f t="shared" si="206"/>
        <v>128448</v>
      </c>
      <c r="AM674" s="7">
        <v>1</v>
      </c>
      <c r="AN674" s="20"/>
      <c r="AO674" s="21" t="s">
        <v>2136</v>
      </c>
      <c r="AP674" s="21" t="s">
        <v>2139</v>
      </c>
      <c r="AQ674" s="5" t="s">
        <v>2074</v>
      </c>
      <c r="AR674" s="5" t="s">
        <v>2075</v>
      </c>
      <c r="AS674" s="5" t="s">
        <v>247</v>
      </c>
      <c r="AT674" s="20"/>
      <c r="AU674" s="21"/>
      <c r="AV674" s="21"/>
      <c r="AW674" s="144" t="str">
        <f t="shared" si="207"/>
        <v>&lt;20</v>
      </c>
      <c r="AX674" s="21" t="s">
        <v>3137</v>
      </c>
      <c r="AY674" s="21">
        <v>0</v>
      </c>
      <c r="AZ674" s="21"/>
      <c r="BA674" s="21"/>
    </row>
    <row r="675" spans="1:53" ht="20" customHeight="1">
      <c r="A675" s="86" t="s">
        <v>318</v>
      </c>
      <c r="B675" s="372" t="s">
        <v>3005</v>
      </c>
      <c r="C675" s="5" t="s">
        <v>51</v>
      </c>
      <c r="D675" s="5" t="s">
        <v>52</v>
      </c>
      <c r="E675" s="5" t="s">
        <v>2035</v>
      </c>
      <c r="F675" s="5" t="s">
        <v>2116</v>
      </c>
      <c r="G675" s="5" t="s">
        <v>2117</v>
      </c>
      <c r="H675" s="6">
        <v>42219</v>
      </c>
      <c r="I675" s="5" t="s">
        <v>60</v>
      </c>
      <c r="J675" s="5" t="s">
        <v>60</v>
      </c>
      <c r="K675" s="5" t="s">
        <v>61</v>
      </c>
      <c r="L675" s="7">
        <v>2</v>
      </c>
      <c r="M675" s="7">
        <v>3</v>
      </c>
      <c r="N675" s="8">
        <v>14985</v>
      </c>
      <c r="O675" s="88">
        <v>2.5000000000000001E-2</v>
      </c>
      <c r="P675" s="10">
        <f t="shared" si="196"/>
        <v>375</v>
      </c>
      <c r="Q675" s="88">
        <v>0</v>
      </c>
      <c r="R675" s="10">
        <f t="shared" si="197"/>
        <v>0</v>
      </c>
      <c r="S675" s="88">
        <f t="shared" si="198"/>
        <v>2.5025025025025027E-2</v>
      </c>
      <c r="T675" s="10">
        <f t="shared" si="199"/>
        <v>375</v>
      </c>
      <c r="U675" s="10">
        <f t="shared" si="200"/>
        <v>15360</v>
      </c>
      <c r="V675" s="11">
        <v>15360</v>
      </c>
      <c r="W675" s="12">
        <f t="shared" si="201"/>
        <v>375</v>
      </c>
      <c r="X675" s="92">
        <f t="shared" si="193"/>
        <v>2.5000000000000001E-2</v>
      </c>
      <c r="Y675" s="93" t="str">
        <f t="shared" si="209"/>
        <v>2.00%-3.00%</v>
      </c>
      <c r="Z675" s="15"/>
      <c r="AA675" s="15"/>
      <c r="AB675" s="15"/>
      <c r="AC675" s="95"/>
      <c r="AD675" s="8">
        <f t="shared" si="202"/>
        <v>0</v>
      </c>
      <c r="AE675" s="17">
        <f t="shared" si="203"/>
        <v>15360</v>
      </c>
      <c r="AF675" s="18">
        <f t="shared" si="204"/>
        <v>375</v>
      </c>
      <c r="AG675" s="97">
        <f t="shared" si="205"/>
        <v>2.5025025025025016E-2</v>
      </c>
      <c r="AH675" s="20">
        <v>14</v>
      </c>
      <c r="AI675" s="20">
        <v>850</v>
      </c>
      <c r="AJ675" s="20"/>
      <c r="AK675" s="20">
        <v>688</v>
      </c>
      <c r="AL675" s="20">
        <f t="shared" si="206"/>
        <v>225928</v>
      </c>
      <c r="AM675" s="7">
        <v>5</v>
      </c>
      <c r="AN675" s="20"/>
      <c r="AO675" s="21"/>
      <c r="AP675" s="21"/>
      <c r="AQ675" s="5" t="s">
        <v>2074</v>
      </c>
      <c r="AR675" s="5" t="s">
        <v>2075</v>
      </c>
      <c r="AS675" s="5" t="s">
        <v>247</v>
      </c>
      <c r="AT675" s="20"/>
      <c r="AU675" s="21"/>
      <c r="AV675" s="21"/>
      <c r="AW675" s="144" t="str">
        <f t="shared" si="207"/>
        <v>OK</v>
      </c>
      <c r="AX675" s="21" t="s">
        <v>3133</v>
      </c>
      <c r="AY675" s="21" t="s">
        <v>3130</v>
      </c>
      <c r="AZ675" s="21"/>
      <c r="BA675" s="21"/>
    </row>
    <row r="676" spans="1:53" ht="20" customHeight="1">
      <c r="A676" s="86" t="s">
        <v>318</v>
      </c>
      <c r="B676" s="372" t="s">
        <v>3006</v>
      </c>
      <c r="C676" s="5" t="s">
        <v>51</v>
      </c>
      <c r="D676" s="5" t="s">
        <v>52</v>
      </c>
      <c r="E676" s="5" t="s">
        <v>2035</v>
      </c>
      <c r="F676" s="5" t="s">
        <v>2113</v>
      </c>
      <c r="G676" s="5" t="s">
        <v>2114</v>
      </c>
      <c r="H676" s="6">
        <v>42835</v>
      </c>
      <c r="I676" s="5" t="s">
        <v>82</v>
      </c>
      <c r="J676" s="5" t="s">
        <v>82</v>
      </c>
      <c r="K676" s="5" t="s">
        <v>84</v>
      </c>
      <c r="L676" s="7">
        <v>2</v>
      </c>
      <c r="M676" s="7">
        <v>3</v>
      </c>
      <c r="N676" s="8">
        <v>8780</v>
      </c>
      <c r="O676" s="88">
        <v>2.5000000000000001E-2</v>
      </c>
      <c r="P676" s="10">
        <f t="shared" si="196"/>
        <v>220</v>
      </c>
      <c r="Q676" s="88">
        <v>0</v>
      </c>
      <c r="R676" s="10">
        <f t="shared" si="197"/>
        <v>0</v>
      </c>
      <c r="S676" s="88">
        <f t="shared" si="198"/>
        <v>2.5056947608200455E-2</v>
      </c>
      <c r="T676" s="10">
        <f t="shared" si="199"/>
        <v>220</v>
      </c>
      <c r="U676" s="10">
        <f t="shared" si="200"/>
        <v>9000</v>
      </c>
      <c r="V676" s="11">
        <v>9200</v>
      </c>
      <c r="W676" s="12">
        <f t="shared" si="201"/>
        <v>420</v>
      </c>
      <c r="X676" s="92">
        <f t="shared" si="193"/>
        <v>4.7800000000000002E-2</v>
      </c>
      <c r="Y676" s="93" t="str">
        <f t="shared" si="209"/>
        <v>2.00%-3.01%</v>
      </c>
      <c r="Z676" s="15"/>
      <c r="AA676" s="15"/>
      <c r="AB676" s="15"/>
      <c r="AC676" s="95"/>
      <c r="AD676" s="8">
        <f t="shared" si="202"/>
        <v>0</v>
      </c>
      <c r="AE676" s="17">
        <f t="shared" si="203"/>
        <v>9200</v>
      </c>
      <c r="AF676" s="18">
        <f t="shared" si="204"/>
        <v>420</v>
      </c>
      <c r="AG676" s="97">
        <f t="shared" si="205"/>
        <v>4.7835990888382751E-2</v>
      </c>
      <c r="AH676" s="20">
        <v>14</v>
      </c>
      <c r="AI676" s="20">
        <v>450</v>
      </c>
      <c r="AJ676" s="20"/>
      <c r="AK676" s="20">
        <v>688</v>
      </c>
      <c r="AL676" s="20">
        <f t="shared" si="206"/>
        <v>134888</v>
      </c>
      <c r="AM676" s="7">
        <v>3</v>
      </c>
      <c r="AN676" s="20"/>
      <c r="AO676" s="245" t="s">
        <v>2140</v>
      </c>
      <c r="AP676" s="21"/>
      <c r="AQ676" s="5" t="s">
        <v>2074</v>
      </c>
      <c r="AR676" s="5" t="s">
        <v>2075</v>
      </c>
      <c r="AS676" s="5" t="s">
        <v>247</v>
      </c>
      <c r="AT676" s="20"/>
      <c r="AU676" s="21"/>
      <c r="AV676" s="21"/>
      <c r="AW676" s="144" t="str">
        <f t="shared" si="207"/>
        <v>&gt;20</v>
      </c>
      <c r="AX676" s="21" t="s">
        <v>3133</v>
      </c>
      <c r="AY676" s="21" t="s">
        <v>3130</v>
      </c>
      <c r="AZ676" s="21"/>
      <c r="BA676" s="21"/>
    </row>
    <row r="677" spans="1:53" ht="20" customHeight="1">
      <c r="A677" s="86" t="s">
        <v>318</v>
      </c>
      <c r="B677" s="372" t="s">
        <v>3007</v>
      </c>
      <c r="C677" s="5" t="s">
        <v>51</v>
      </c>
      <c r="D677" s="5" t="s">
        <v>52</v>
      </c>
      <c r="E677" s="5" t="s">
        <v>2035</v>
      </c>
      <c r="F677" s="5" t="s">
        <v>2113</v>
      </c>
      <c r="G677" s="5" t="s">
        <v>2114</v>
      </c>
      <c r="H677" s="6">
        <v>43056</v>
      </c>
      <c r="I677" s="5" t="s">
        <v>74</v>
      </c>
      <c r="J677" s="5" t="s">
        <v>2141</v>
      </c>
      <c r="K677" s="5" t="s">
        <v>76</v>
      </c>
      <c r="L677" s="7">
        <v>2</v>
      </c>
      <c r="M677" s="7">
        <v>3</v>
      </c>
      <c r="N677" s="8">
        <v>16916</v>
      </c>
      <c r="O677" s="88">
        <v>0</v>
      </c>
      <c r="P677" s="10">
        <f t="shared" si="196"/>
        <v>0</v>
      </c>
      <c r="Q677" s="88">
        <v>0</v>
      </c>
      <c r="R677" s="10">
        <f t="shared" si="197"/>
        <v>0</v>
      </c>
      <c r="S677" s="88">
        <f t="shared" si="198"/>
        <v>0</v>
      </c>
      <c r="T677" s="10">
        <f t="shared" si="199"/>
        <v>0</v>
      </c>
      <c r="U677" s="10">
        <f t="shared" si="200"/>
        <v>16916</v>
      </c>
      <c r="V677" s="11">
        <f t="shared" ref="V677" si="210">U677</f>
        <v>16916</v>
      </c>
      <c r="W677" s="12">
        <f t="shared" si="201"/>
        <v>0</v>
      </c>
      <c r="X677" s="92">
        <f t="shared" si="193"/>
        <v>0</v>
      </c>
      <c r="Y677" s="93" t="str">
        <f t="shared" si="209"/>
        <v>0.00%-0.00%</v>
      </c>
      <c r="Z677" s="15"/>
      <c r="AA677" s="15"/>
      <c r="AB677" s="15"/>
      <c r="AC677" s="95"/>
      <c r="AD677" s="8">
        <f t="shared" si="202"/>
        <v>0</v>
      </c>
      <c r="AE677" s="17">
        <f t="shared" si="203"/>
        <v>16916</v>
      </c>
      <c r="AF677" s="18">
        <f t="shared" si="204"/>
        <v>0</v>
      </c>
      <c r="AG677" s="97">
        <f t="shared" si="205"/>
        <v>0</v>
      </c>
      <c r="AH677" s="20">
        <v>14</v>
      </c>
      <c r="AI677" s="20">
        <v>450</v>
      </c>
      <c r="AJ677" s="20"/>
      <c r="AK677" s="20">
        <v>688</v>
      </c>
      <c r="AL677" s="20">
        <f t="shared" si="206"/>
        <v>242912</v>
      </c>
      <c r="AM677" s="7">
        <v>3</v>
      </c>
      <c r="AN677" s="20"/>
      <c r="AO677" s="21"/>
      <c r="AP677" s="21"/>
      <c r="AQ677" s="5" t="s">
        <v>2074</v>
      </c>
      <c r="AR677" s="5" t="s">
        <v>2075</v>
      </c>
      <c r="AS677" s="5" t="s">
        <v>247</v>
      </c>
      <c r="AT677" s="20"/>
      <c r="AU677" s="21"/>
      <c r="AV677" s="21"/>
      <c r="AW677" s="144" t="str">
        <f t="shared" si="207"/>
        <v>OK</v>
      </c>
      <c r="AX677" s="21" t="s">
        <v>3133</v>
      </c>
      <c r="AY677" s="21" t="s">
        <v>3134</v>
      </c>
      <c r="AZ677" s="21"/>
      <c r="BA677" s="21"/>
    </row>
    <row r="678" spans="1:53" ht="20" customHeight="1">
      <c r="A678" s="86" t="s">
        <v>318</v>
      </c>
      <c r="B678" s="372" t="s">
        <v>3008</v>
      </c>
      <c r="C678" s="5" t="s">
        <v>51</v>
      </c>
      <c r="D678" s="5" t="s">
        <v>52</v>
      </c>
      <c r="E678" s="5" t="s">
        <v>2035</v>
      </c>
      <c r="F678" s="5" t="s">
        <v>2113</v>
      </c>
      <c r="G678" s="5" t="s">
        <v>2114</v>
      </c>
      <c r="H678" s="6">
        <v>43461</v>
      </c>
      <c r="I678" s="5" t="s">
        <v>140</v>
      </c>
      <c r="J678" s="5" t="s">
        <v>140</v>
      </c>
      <c r="K678" s="5" t="s">
        <v>61</v>
      </c>
      <c r="L678" s="7">
        <v>2</v>
      </c>
      <c r="M678" s="7">
        <v>5</v>
      </c>
      <c r="N678" s="8">
        <v>16862</v>
      </c>
      <c r="O678" s="88">
        <v>0.06</v>
      </c>
      <c r="P678" s="10">
        <f t="shared" si="196"/>
        <v>1012</v>
      </c>
      <c r="Q678" s="88">
        <v>7.7799999999999994E-2</v>
      </c>
      <c r="R678" s="10">
        <f t="shared" si="197"/>
        <v>1312</v>
      </c>
      <c r="S678" s="88">
        <f t="shared" si="198"/>
        <v>0.13782469457952792</v>
      </c>
      <c r="T678" s="10">
        <f t="shared" si="199"/>
        <v>2324</v>
      </c>
      <c r="U678" s="10">
        <f t="shared" si="200"/>
        <v>19186</v>
      </c>
      <c r="V678" s="11">
        <v>19000</v>
      </c>
      <c r="W678" s="12">
        <f t="shared" si="201"/>
        <v>2138</v>
      </c>
      <c r="X678" s="92">
        <f t="shared" si="193"/>
        <v>0.1268</v>
      </c>
      <c r="Y678" s="93" t="str">
        <f t="shared" si="209"/>
        <v>11.03%-16.54%</v>
      </c>
      <c r="Z678" s="15"/>
      <c r="AA678" s="15"/>
      <c r="AB678" s="15"/>
      <c r="AC678" s="95"/>
      <c r="AD678" s="8">
        <f t="shared" si="202"/>
        <v>0</v>
      </c>
      <c r="AE678" s="17">
        <f t="shared" si="203"/>
        <v>19000</v>
      </c>
      <c r="AF678" s="18">
        <f t="shared" si="204"/>
        <v>2138</v>
      </c>
      <c r="AG678" s="97">
        <f t="shared" si="205"/>
        <v>0.1267939746174831</v>
      </c>
      <c r="AH678" s="20">
        <v>14</v>
      </c>
      <c r="AI678" s="20">
        <v>450</v>
      </c>
      <c r="AJ678" s="20"/>
      <c r="AK678" s="20">
        <v>688</v>
      </c>
      <c r="AL678" s="20">
        <f t="shared" si="206"/>
        <v>272088</v>
      </c>
      <c r="AM678" s="7">
        <v>4</v>
      </c>
      <c r="AN678" s="20"/>
      <c r="AO678" s="21"/>
      <c r="AP678" s="21"/>
      <c r="AQ678" s="5" t="s">
        <v>2074</v>
      </c>
      <c r="AR678" s="5" t="s">
        <v>2075</v>
      </c>
      <c r="AS678" s="5" t="s">
        <v>247</v>
      </c>
      <c r="AT678" s="20"/>
      <c r="AU678" s="21"/>
      <c r="AV678" s="21"/>
      <c r="AW678" s="144" t="str">
        <f t="shared" si="207"/>
        <v>OK</v>
      </c>
      <c r="AX678" s="21" t="s">
        <v>3133</v>
      </c>
      <c r="AY678" s="21" t="s">
        <v>3132</v>
      </c>
      <c r="AZ678" s="21"/>
      <c r="BA678" s="21"/>
    </row>
    <row r="679" spans="1:53" ht="20" customHeight="1">
      <c r="A679" s="86" t="s">
        <v>318</v>
      </c>
      <c r="B679" s="372" t="s">
        <v>3009</v>
      </c>
      <c r="C679" s="5" t="s">
        <v>51</v>
      </c>
      <c r="D679" s="5" t="s">
        <v>52</v>
      </c>
      <c r="E679" s="5" t="s">
        <v>2035</v>
      </c>
      <c r="F679" s="5" t="s">
        <v>2113</v>
      </c>
      <c r="G679" s="5" t="s">
        <v>2114</v>
      </c>
      <c r="H679" s="6">
        <v>44091</v>
      </c>
      <c r="I679" s="5" t="s">
        <v>60</v>
      </c>
      <c r="J679" s="5" t="s">
        <v>60</v>
      </c>
      <c r="K679" s="5" t="s">
        <v>61</v>
      </c>
      <c r="L679" s="7">
        <v>2</v>
      </c>
      <c r="M679" s="7">
        <v>3</v>
      </c>
      <c r="N679" s="8">
        <v>14782</v>
      </c>
      <c r="O679" s="88">
        <v>0.03</v>
      </c>
      <c r="P679" s="10">
        <f t="shared" si="196"/>
        <v>443</v>
      </c>
      <c r="Q679" s="88">
        <v>0</v>
      </c>
      <c r="R679" s="10">
        <f t="shared" si="197"/>
        <v>0</v>
      </c>
      <c r="S679" s="88">
        <f t="shared" si="198"/>
        <v>2.9968881071573535E-2</v>
      </c>
      <c r="T679" s="10">
        <f t="shared" si="199"/>
        <v>443</v>
      </c>
      <c r="U679" s="10">
        <f t="shared" si="200"/>
        <v>15225</v>
      </c>
      <c r="V679" s="11">
        <v>15225</v>
      </c>
      <c r="W679" s="12">
        <f t="shared" si="201"/>
        <v>443</v>
      </c>
      <c r="X679" s="92">
        <f t="shared" si="193"/>
        <v>0.03</v>
      </c>
      <c r="Y679" s="93" t="str">
        <f t="shared" si="209"/>
        <v>2.40%-3.60%</v>
      </c>
      <c r="Z679" s="15"/>
      <c r="AA679" s="15"/>
      <c r="AB679" s="15"/>
      <c r="AC679" s="95"/>
      <c r="AD679" s="8">
        <f t="shared" si="202"/>
        <v>0</v>
      </c>
      <c r="AE679" s="17">
        <f t="shared" si="203"/>
        <v>15225</v>
      </c>
      <c r="AF679" s="18">
        <f t="shared" si="204"/>
        <v>443</v>
      </c>
      <c r="AG679" s="97">
        <f t="shared" si="205"/>
        <v>2.9968881071573472E-2</v>
      </c>
      <c r="AH679" s="20">
        <v>14</v>
      </c>
      <c r="AI679" s="20">
        <v>450</v>
      </c>
      <c r="AJ679" s="20"/>
      <c r="AK679" s="20">
        <v>688</v>
      </c>
      <c r="AL679" s="20">
        <f t="shared" si="206"/>
        <v>219238</v>
      </c>
      <c r="AM679" s="7">
        <v>3</v>
      </c>
      <c r="AN679" s="20"/>
      <c r="AO679" s="21"/>
      <c r="AP679" s="21"/>
      <c r="AQ679" s="5" t="s">
        <v>2074</v>
      </c>
      <c r="AR679" s="5" t="s">
        <v>2075</v>
      </c>
      <c r="AS679" s="5" t="s">
        <v>247</v>
      </c>
      <c r="AT679" s="20"/>
      <c r="AU679" s="21"/>
      <c r="AV679" s="21"/>
      <c r="AW679" s="144" t="str">
        <f t="shared" si="207"/>
        <v>OK</v>
      </c>
      <c r="AX679" s="21" t="s">
        <v>3131</v>
      </c>
      <c r="AY679" s="21" t="s">
        <v>3132</v>
      </c>
      <c r="AZ679" s="21"/>
      <c r="BA679" s="21"/>
    </row>
    <row r="680" spans="1:53" ht="20" customHeight="1">
      <c r="A680" s="86" t="s">
        <v>318</v>
      </c>
      <c r="B680" s="372" t="s">
        <v>3010</v>
      </c>
      <c r="C680" s="5" t="s">
        <v>51</v>
      </c>
      <c r="D680" s="5" t="s">
        <v>52</v>
      </c>
      <c r="E680" s="5" t="s">
        <v>2035</v>
      </c>
      <c r="F680" s="5" t="s">
        <v>2113</v>
      </c>
      <c r="G680" s="5" t="s">
        <v>2114</v>
      </c>
      <c r="H680" s="6">
        <v>37890</v>
      </c>
      <c r="I680" s="5" t="s">
        <v>111</v>
      </c>
      <c r="J680" s="5" t="s">
        <v>1727</v>
      </c>
      <c r="K680" s="5" t="s">
        <v>56</v>
      </c>
      <c r="L680" s="7">
        <v>2</v>
      </c>
      <c r="M680" s="7">
        <v>3</v>
      </c>
      <c r="N680" s="8">
        <v>24174</v>
      </c>
      <c r="O680" s="88">
        <v>2.5000000000000001E-2</v>
      </c>
      <c r="P680" s="10">
        <f t="shared" si="196"/>
        <v>604</v>
      </c>
      <c r="Q680" s="88">
        <v>0</v>
      </c>
      <c r="R680" s="10">
        <f t="shared" si="197"/>
        <v>0</v>
      </c>
      <c r="S680" s="88">
        <f t="shared" si="198"/>
        <v>2.4985521634814264E-2</v>
      </c>
      <c r="T680" s="10">
        <f t="shared" si="199"/>
        <v>604</v>
      </c>
      <c r="U680" s="10">
        <f t="shared" si="200"/>
        <v>24778</v>
      </c>
      <c r="V680" s="11">
        <v>24174</v>
      </c>
      <c r="W680" s="12">
        <f t="shared" si="201"/>
        <v>0</v>
      </c>
      <c r="X680" s="92">
        <f t="shared" si="193"/>
        <v>0</v>
      </c>
      <c r="Y680" s="93" t="str">
        <f t="shared" si="209"/>
        <v>2.00%-3.00%</v>
      </c>
      <c r="Z680" s="15"/>
      <c r="AA680" s="15"/>
      <c r="AB680" s="15"/>
      <c r="AC680" s="95"/>
      <c r="AD680" s="8">
        <f t="shared" si="202"/>
        <v>0</v>
      </c>
      <c r="AE680" s="17">
        <f t="shared" si="203"/>
        <v>24174</v>
      </c>
      <c r="AF680" s="18">
        <f t="shared" si="204"/>
        <v>0</v>
      </c>
      <c r="AG680" s="97">
        <f t="shared" si="205"/>
        <v>0</v>
      </c>
      <c r="AH680" s="20">
        <v>14</v>
      </c>
      <c r="AI680" s="20">
        <v>450</v>
      </c>
      <c r="AJ680" s="20"/>
      <c r="AK680" s="20">
        <v>688</v>
      </c>
      <c r="AL680" s="20">
        <f t="shared" si="206"/>
        <v>344524</v>
      </c>
      <c r="AM680" s="7">
        <v>4</v>
      </c>
      <c r="AN680" s="20"/>
      <c r="AO680" s="21" t="s">
        <v>2142</v>
      </c>
      <c r="AP680" s="21"/>
      <c r="AQ680" s="5" t="s">
        <v>2074</v>
      </c>
      <c r="AR680" s="5" t="s">
        <v>2075</v>
      </c>
      <c r="AS680" s="5" t="s">
        <v>247</v>
      </c>
      <c r="AT680" s="20"/>
      <c r="AU680" s="21"/>
      <c r="AV680" s="21"/>
      <c r="AW680" s="144" t="str">
        <f t="shared" si="207"/>
        <v>0 increase</v>
      </c>
      <c r="AX680" s="21" t="s">
        <v>3139</v>
      </c>
      <c r="AY680" s="21" t="s">
        <v>3130</v>
      </c>
      <c r="AZ680" s="21"/>
      <c r="BA680" s="21"/>
    </row>
    <row r="681" spans="1:53" ht="20" customHeight="1">
      <c r="A681" s="86" t="s">
        <v>318</v>
      </c>
      <c r="B681" s="372" t="s">
        <v>3011</v>
      </c>
      <c r="C681" s="5" t="s">
        <v>51</v>
      </c>
      <c r="D681" s="5" t="s">
        <v>52</v>
      </c>
      <c r="E681" s="5" t="s">
        <v>2035</v>
      </c>
      <c r="F681" s="5" t="s">
        <v>2113</v>
      </c>
      <c r="G681" s="5" t="s">
        <v>2114</v>
      </c>
      <c r="H681" s="6">
        <v>41099</v>
      </c>
      <c r="I681" s="5" t="s">
        <v>60</v>
      </c>
      <c r="J681" s="5" t="s">
        <v>60</v>
      </c>
      <c r="K681" s="5" t="s">
        <v>61</v>
      </c>
      <c r="L681" s="7">
        <v>2</v>
      </c>
      <c r="M681" s="7">
        <v>4</v>
      </c>
      <c r="N681" s="8">
        <v>11850</v>
      </c>
      <c r="O681" s="88">
        <v>5.2500000000000005E-2</v>
      </c>
      <c r="P681" s="10">
        <f t="shared" si="196"/>
        <v>622</v>
      </c>
      <c r="Q681" s="88">
        <v>9.0300000000000005E-2</v>
      </c>
      <c r="R681" s="10">
        <f t="shared" si="197"/>
        <v>1070</v>
      </c>
      <c r="S681" s="88">
        <f t="shared" si="198"/>
        <v>0.14278481012658228</v>
      </c>
      <c r="T681" s="10">
        <f t="shared" si="199"/>
        <v>1692</v>
      </c>
      <c r="U681" s="10">
        <f t="shared" si="200"/>
        <v>13542</v>
      </c>
      <c r="V681" s="11">
        <v>13000</v>
      </c>
      <c r="W681" s="12">
        <f t="shared" si="201"/>
        <v>1150</v>
      </c>
      <c r="X681" s="92">
        <f t="shared" si="193"/>
        <v>9.7000000000000003E-2</v>
      </c>
      <c r="Y681" s="93" t="str">
        <f t="shared" si="209"/>
        <v>11.42%-17.13%</v>
      </c>
      <c r="Z681" s="15"/>
      <c r="AA681" s="15"/>
      <c r="AB681" s="15"/>
      <c r="AC681" s="95"/>
      <c r="AD681" s="8">
        <f t="shared" si="202"/>
        <v>0</v>
      </c>
      <c r="AE681" s="17">
        <f t="shared" si="203"/>
        <v>13000</v>
      </c>
      <c r="AF681" s="18">
        <f t="shared" si="204"/>
        <v>1150</v>
      </c>
      <c r="AG681" s="97">
        <f t="shared" si="205"/>
        <v>9.704641350210963E-2</v>
      </c>
      <c r="AH681" s="20">
        <v>14</v>
      </c>
      <c r="AI681" s="20">
        <v>850</v>
      </c>
      <c r="AJ681" s="20"/>
      <c r="AK681" s="20">
        <v>688</v>
      </c>
      <c r="AL681" s="20">
        <f t="shared" si="206"/>
        <v>192888</v>
      </c>
      <c r="AM681" s="7">
        <v>3</v>
      </c>
      <c r="AN681" s="20"/>
      <c r="AO681" s="21" t="s">
        <v>2143</v>
      </c>
      <c r="AP681" s="21"/>
      <c r="AQ681" s="5" t="s">
        <v>2074</v>
      </c>
      <c r="AR681" s="5" t="s">
        <v>2075</v>
      </c>
      <c r="AS681" s="5" t="s">
        <v>247</v>
      </c>
      <c r="AT681" s="20"/>
      <c r="AU681" s="21"/>
      <c r="AV681" s="21"/>
      <c r="AW681" s="144" t="str">
        <f t="shared" si="207"/>
        <v>OK</v>
      </c>
      <c r="AX681" s="21" t="s">
        <v>3135</v>
      </c>
      <c r="AY681" s="21" t="s">
        <v>3141</v>
      </c>
      <c r="AZ681" s="21"/>
      <c r="BA681" s="21"/>
    </row>
    <row r="682" spans="1:53" ht="20" customHeight="1">
      <c r="A682" s="86" t="s">
        <v>318</v>
      </c>
      <c r="B682" s="372" t="s">
        <v>3012</v>
      </c>
      <c r="C682" s="5" t="s">
        <v>51</v>
      </c>
      <c r="D682" s="5" t="s">
        <v>52</v>
      </c>
      <c r="E682" s="5" t="s">
        <v>2035</v>
      </c>
      <c r="F682" s="5" t="s">
        <v>2110</v>
      </c>
      <c r="G682" s="5" t="s">
        <v>2111</v>
      </c>
      <c r="H682" s="6">
        <v>38566</v>
      </c>
      <c r="I682" s="5" t="s">
        <v>82</v>
      </c>
      <c r="J682" s="5" t="s">
        <v>2144</v>
      </c>
      <c r="K682" s="5" t="s">
        <v>84</v>
      </c>
      <c r="L682" s="7">
        <v>2</v>
      </c>
      <c r="M682" s="7">
        <v>5</v>
      </c>
      <c r="N682" s="8">
        <v>8880</v>
      </c>
      <c r="O682" s="88">
        <v>0.05</v>
      </c>
      <c r="P682" s="10">
        <f t="shared" si="196"/>
        <v>444</v>
      </c>
      <c r="Q682" s="88">
        <v>2.7E-2</v>
      </c>
      <c r="R682" s="10">
        <f t="shared" si="197"/>
        <v>240</v>
      </c>
      <c r="S682" s="88">
        <f t="shared" si="198"/>
        <v>7.7027027027027031E-2</v>
      </c>
      <c r="T682" s="10">
        <f t="shared" si="199"/>
        <v>684</v>
      </c>
      <c r="U682" s="10">
        <f t="shared" si="200"/>
        <v>9564</v>
      </c>
      <c r="V682" s="11">
        <v>10200</v>
      </c>
      <c r="W682" s="12">
        <f t="shared" si="201"/>
        <v>1320</v>
      </c>
      <c r="X682" s="92">
        <f t="shared" si="193"/>
        <v>0.14860000000000001</v>
      </c>
      <c r="Y682" s="93" t="str">
        <f t="shared" si="209"/>
        <v>6.16%-9.24%</v>
      </c>
      <c r="Z682" s="15" t="s">
        <v>87</v>
      </c>
      <c r="AA682" s="15" t="s">
        <v>138</v>
      </c>
      <c r="AB682" s="15" t="s">
        <v>139</v>
      </c>
      <c r="AC682" s="95">
        <v>8.9700000000000002E-2</v>
      </c>
      <c r="AD682" s="8">
        <f t="shared" si="202"/>
        <v>797</v>
      </c>
      <c r="AE682" s="17">
        <f t="shared" si="203"/>
        <v>10997</v>
      </c>
      <c r="AF682" s="18">
        <f t="shared" si="204"/>
        <v>2117</v>
      </c>
      <c r="AG682" s="97">
        <f t="shared" si="205"/>
        <v>0.23840090090090094</v>
      </c>
      <c r="AH682" s="20">
        <v>14</v>
      </c>
      <c r="AI682" s="20">
        <v>450</v>
      </c>
      <c r="AJ682" s="20"/>
      <c r="AK682" s="20">
        <v>688</v>
      </c>
      <c r="AL682" s="20">
        <f t="shared" si="206"/>
        <v>160046</v>
      </c>
      <c r="AM682" s="7">
        <v>4</v>
      </c>
      <c r="AN682" s="20"/>
      <c r="AO682" s="21" t="s">
        <v>2145</v>
      </c>
      <c r="AP682" s="21"/>
      <c r="AQ682" s="5" t="s">
        <v>2074</v>
      </c>
      <c r="AR682" s="5" t="s">
        <v>2075</v>
      </c>
      <c r="AS682" s="5" t="s">
        <v>247</v>
      </c>
      <c r="AT682" s="20"/>
      <c r="AU682" s="21"/>
      <c r="AV682" s="21"/>
      <c r="AW682" s="144" t="str">
        <f t="shared" si="207"/>
        <v>&gt;20</v>
      </c>
      <c r="AX682" s="21" t="s">
        <v>3129</v>
      </c>
      <c r="AY682" s="21" t="s">
        <v>3130</v>
      </c>
      <c r="AZ682" s="21"/>
      <c r="BA682" s="21"/>
    </row>
    <row r="683" spans="1:53" ht="20" customHeight="1">
      <c r="A683" s="86" t="s">
        <v>318</v>
      </c>
      <c r="B683" s="372" t="s">
        <v>3013</v>
      </c>
      <c r="C683" s="5" t="s">
        <v>51</v>
      </c>
      <c r="D683" s="5" t="s">
        <v>52</v>
      </c>
      <c r="E683" s="5" t="s">
        <v>2035</v>
      </c>
      <c r="F683" s="5" t="s">
        <v>2110</v>
      </c>
      <c r="G683" s="5" t="s">
        <v>2111</v>
      </c>
      <c r="H683" s="6">
        <v>39248</v>
      </c>
      <c r="I683" s="5" t="s">
        <v>60</v>
      </c>
      <c r="J683" s="5" t="s">
        <v>60</v>
      </c>
      <c r="K683" s="5" t="s">
        <v>61</v>
      </c>
      <c r="L683" s="7">
        <v>2</v>
      </c>
      <c r="M683" s="7">
        <v>3</v>
      </c>
      <c r="N683" s="8">
        <v>17720</v>
      </c>
      <c r="O683" s="88">
        <v>2.5000000000000001E-2</v>
      </c>
      <c r="P683" s="10">
        <f t="shared" si="196"/>
        <v>443</v>
      </c>
      <c r="Q683" s="88">
        <v>0</v>
      </c>
      <c r="R683" s="10">
        <f t="shared" si="197"/>
        <v>0</v>
      </c>
      <c r="S683" s="88">
        <f t="shared" si="198"/>
        <v>2.5000000000000001E-2</v>
      </c>
      <c r="T683" s="10">
        <f t="shared" si="199"/>
        <v>443</v>
      </c>
      <c r="U683" s="10">
        <f t="shared" si="200"/>
        <v>18163</v>
      </c>
      <c r="V683" s="11">
        <v>17897</v>
      </c>
      <c r="W683" s="12">
        <f t="shared" si="201"/>
        <v>177</v>
      </c>
      <c r="X683" s="92">
        <f t="shared" si="193"/>
        <v>0.01</v>
      </c>
      <c r="Y683" s="93" t="str">
        <f t="shared" si="209"/>
        <v>2.00%-3.00%</v>
      </c>
      <c r="Z683" s="15"/>
      <c r="AA683" s="15"/>
      <c r="AB683" s="15"/>
      <c r="AC683" s="95"/>
      <c r="AD683" s="8">
        <f t="shared" si="202"/>
        <v>0</v>
      </c>
      <c r="AE683" s="17">
        <f t="shared" si="203"/>
        <v>17897</v>
      </c>
      <c r="AF683" s="18">
        <f t="shared" si="204"/>
        <v>177</v>
      </c>
      <c r="AG683" s="97">
        <f t="shared" si="205"/>
        <v>9.9887133182843257E-3</v>
      </c>
      <c r="AH683" s="20">
        <v>14</v>
      </c>
      <c r="AI683" s="20">
        <v>450</v>
      </c>
      <c r="AJ683" s="20"/>
      <c r="AK683" s="20">
        <v>688</v>
      </c>
      <c r="AL683" s="20">
        <f t="shared" si="206"/>
        <v>256646</v>
      </c>
      <c r="AM683" s="7">
        <v>3</v>
      </c>
      <c r="AN683" s="20"/>
      <c r="AO683" s="21" t="s">
        <v>2146</v>
      </c>
      <c r="AP683" s="21"/>
      <c r="AQ683" s="5" t="s">
        <v>2074</v>
      </c>
      <c r="AR683" s="5" t="s">
        <v>2075</v>
      </c>
      <c r="AS683" s="5" t="s">
        <v>247</v>
      </c>
      <c r="AT683" s="20"/>
      <c r="AU683" s="21"/>
      <c r="AV683" s="21"/>
      <c r="AW683" s="144" t="str">
        <f t="shared" si="207"/>
        <v>&lt;20</v>
      </c>
      <c r="AX683" s="21" t="s">
        <v>3129</v>
      </c>
      <c r="AY683" s="21" t="s">
        <v>3130</v>
      </c>
      <c r="AZ683" s="21"/>
      <c r="BA683" s="21"/>
    </row>
    <row r="684" spans="1:53" ht="20" customHeight="1">
      <c r="A684" s="86" t="s">
        <v>318</v>
      </c>
      <c r="B684" s="372" t="s">
        <v>3014</v>
      </c>
      <c r="C684" s="5" t="s">
        <v>51</v>
      </c>
      <c r="D684" s="5" t="s">
        <v>52</v>
      </c>
      <c r="E684" s="5" t="s">
        <v>2035</v>
      </c>
      <c r="F684" s="5" t="s">
        <v>2110</v>
      </c>
      <c r="G684" s="5" t="s">
        <v>2111</v>
      </c>
      <c r="H684" s="6">
        <v>39351</v>
      </c>
      <c r="I684" s="5" t="s">
        <v>74</v>
      </c>
      <c r="J684" s="5" t="s">
        <v>2147</v>
      </c>
      <c r="K684" s="5" t="s">
        <v>76</v>
      </c>
      <c r="L684" s="7">
        <v>2</v>
      </c>
      <c r="M684" s="7">
        <v>4</v>
      </c>
      <c r="N684" s="8">
        <v>14899</v>
      </c>
      <c r="O684" s="88">
        <v>0.03</v>
      </c>
      <c r="P684" s="10">
        <f t="shared" si="196"/>
        <v>447</v>
      </c>
      <c r="Q684" s="88">
        <v>0</v>
      </c>
      <c r="R684" s="10">
        <f t="shared" si="197"/>
        <v>0</v>
      </c>
      <c r="S684" s="88">
        <f t="shared" si="198"/>
        <v>3.0002013557956911E-2</v>
      </c>
      <c r="T684" s="10">
        <f t="shared" si="199"/>
        <v>447</v>
      </c>
      <c r="U684" s="10">
        <f t="shared" si="200"/>
        <v>15346</v>
      </c>
      <c r="V684" s="11">
        <f>U684-90</f>
        <v>15256</v>
      </c>
      <c r="W684" s="12">
        <f t="shared" si="201"/>
        <v>357</v>
      </c>
      <c r="X684" s="92">
        <f t="shared" si="193"/>
        <v>2.4E-2</v>
      </c>
      <c r="Y684" s="93" t="str">
        <f t="shared" si="209"/>
        <v>2.40%-3.60%</v>
      </c>
      <c r="Z684" s="15"/>
      <c r="AA684" s="15"/>
      <c r="AB684" s="15"/>
      <c r="AC684" s="95"/>
      <c r="AD684" s="8">
        <f t="shared" si="202"/>
        <v>0</v>
      </c>
      <c r="AE684" s="17">
        <f t="shared" si="203"/>
        <v>15256</v>
      </c>
      <c r="AF684" s="18">
        <f t="shared" si="204"/>
        <v>357</v>
      </c>
      <c r="AG684" s="97">
        <f t="shared" si="205"/>
        <v>2.3961339687227357E-2</v>
      </c>
      <c r="AH684" s="20">
        <v>14</v>
      </c>
      <c r="AI684" s="20">
        <v>850</v>
      </c>
      <c r="AJ684" s="20"/>
      <c r="AK684" s="20">
        <v>688</v>
      </c>
      <c r="AL684" s="20">
        <f t="shared" si="206"/>
        <v>224472</v>
      </c>
      <c r="AM684" s="7">
        <v>3</v>
      </c>
      <c r="AN684" s="20"/>
      <c r="AO684" s="21"/>
      <c r="AP684" s="21"/>
      <c r="AQ684" s="5" t="s">
        <v>2074</v>
      </c>
      <c r="AR684" s="5" t="s">
        <v>2075</v>
      </c>
      <c r="AS684" s="5" t="s">
        <v>247</v>
      </c>
      <c r="AT684" s="20"/>
      <c r="AU684" s="21"/>
      <c r="AV684" s="21"/>
      <c r="AW684" s="144" t="str">
        <f t="shared" si="207"/>
        <v>OK</v>
      </c>
      <c r="AX684" s="21" t="s">
        <v>3129</v>
      </c>
      <c r="AY684" s="21" t="s">
        <v>3136</v>
      </c>
      <c r="AZ684" s="21"/>
      <c r="BA684" s="21"/>
    </row>
    <row r="685" spans="1:53" ht="20" customHeight="1">
      <c r="A685" s="86" t="s">
        <v>318</v>
      </c>
      <c r="B685" s="372" t="s">
        <v>3015</v>
      </c>
      <c r="C685" s="5" t="s">
        <v>51</v>
      </c>
      <c r="D685" s="5" t="s">
        <v>52</v>
      </c>
      <c r="E685" s="5" t="s">
        <v>2035</v>
      </c>
      <c r="F685" s="5" t="s">
        <v>2110</v>
      </c>
      <c r="G685" s="5" t="s">
        <v>2111</v>
      </c>
      <c r="H685" s="6">
        <v>39422</v>
      </c>
      <c r="I685" s="5" t="s">
        <v>74</v>
      </c>
      <c r="J685" s="5" t="s">
        <v>2148</v>
      </c>
      <c r="K685" s="5" t="s">
        <v>76</v>
      </c>
      <c r="L685" s="7">
        <v>2</v>
      </c>
      <c r="M685" s="7">
        <v>3</v>
      </c>
      <c r="N685" s="8">
        <v>15793</v>
      </c>
      <c r="O685" s="88">
        <v>0</v>
      </c>
      <c r="P685" s="10">
        <f t="shared" si="196"/>
        <v>0</v>
      </c>
      <c r="Q685" s="88">
        <v>0</v>
      </c>
      <c r="R685" s="10">
        <f t="shared" si="197"/>
        <v>0</v>
      </c>
      <c r="S685" s="88">
        <f t="shared" si="198"/>
        <v>0</v>
      </c>
      <c r="T685" s="10">
        <f t="shared" si="199"/>
        <v>0</v>
      </c>
      <c r="U685" s="10">
        <f t="shared" si="200"/>
        <v>15793</v>
      </c>
      <c r="V685" s="11">
        <f>U685</f>
        <v>15793</v>
      </c>
      <c r="W685" s="12">
        <f t="shared" si="201"/>
        <v>0</v>
      </c>
      <c r="X685" s="92">
        <f t="shared" si="193"/>
        <v>0</v>
      </c>
      <c r="Y685" s="93" t="str">
        <f t="shared" si="209"/>
        <v>0.00%-0.00%</v>
      </c>
      <c r="Z685" s="15"/>
      <c r="AA685" s="15"/>
      <c r="AB685" s="15"/>
      <c r="AC685" s="95"/>
      <c r="AD685" s="8">
        <f t="shared" si="202"/>
        <v>0</v>
      </c>
      <c r="AE685" s="17">
        <f t="shared" si="203"/>
        <v>15793</v>
      </c>
      <c r="AF685" s="18">
        <f t="shared" si="204"/>
        <v>0</v>
      </c>
      <c r="AG685" s="97">
        <f t="shared" si="205"/>
        <v>0</v>
      </c>
      <c r="AH685" s="20">
        <v>14</v>
      </c>
      <c r="AI685" s="20">
        <v>450</v>
      </c>
      <c r="AJ685" s="20"/>
      <c r="AK685" s="20">
        <v>688</v>
      </c>
      <c r="AL685" s="20">
        <f t="shared" si="206"/>
        <v>227190</v>
      </c>
      <c r="AM685" s="7">
        <v>4</v>
      </c>
      <c r="AN685" s="20"/>
      <c r="AO685" s="21"/>
      <c r="AP685" s="21"/>
      <c r="AQ685" s="5" t="s">
        <v>2074</v>
      </c>
      <c r="AR685" s="5" t="s">
        <v>2075</v>
      </c>
      <c r="AS685" s="5" t="s">
        <v>247</v>
      </c>
      <c r="AT685" s="20"/>
      <c r="AU685" s="21"/>
      <c r="AV685" s="21"/>
      <c r="AW685" s="144" t="str">
        <f t="shared" si="207"/>
        <v>OK</v>
      </c>
      <c r="AX685" s="21" t="s">
        <v>3129</v>
      </c>
      <c r="AY685" s="21" t="s">
        <v>3134</v>
      </c>
      <c r="AZ685" s="21"/>
      <c r="BA685" s="21"/>
    </row>
    <row r="686" spans="1:53" ht="20" customHeight="1">
      <c r="A686" s="86" t="s">
        <v>318</v>
      </c>
      <c r="B686" s="372" t="s">
        <v>3016</v>
      </c>
      <c r="C686" s="5" t="s">
        <v>51</v>
      </c>
      <c r="D686" s="5" t="s">
        <v>52</v>
      </c>
      <c r="E686" s="5" t="s">
        <v>2035</v>
      </c>
      <c r="F686" s="5" t="s">
        <v>2110</v>
      </c>
      <c r="G686" s="5" t="s">
        <v>2111</v>
      </c>
      <c r="H686" s="6">
        <v>39598</v>
      </c>
      <c r="I686" s="5" t="s">
        <v>74</v>
      </c>
      <c r="J686" s="5" t="s">
        <v>2149</v>
      </c>
      <c r="K686" s="5" t="s">
        <v>76</v>
      </c>
      <c r="L686" s="7">
        <v>2</v>
      </c>
      <c r="M686" s="7">
        <v>2</v>
      </c>
      <c r="N686" s="8">
        <v>11650</v>
      </c>
      <c r="O686" s="88">
        <v>0</v>
      </c>
      <c r="P686" s="10">
        <f t="shared" si="196"/>
        <v>0</v>
      </c>
      <c r="Q686" s="88">
        <v>0</v>
      </c>
      <c r="R686" s="10">
        <f t="shared" si="197"/>
        <v>0</v>
      </c>
      <c r="S686" s="88">
        <f t="shared" si="198"/>
        <v>0</v>
      </c>
      <c r="T686" s="10">
        <f t="shared" si="199"/>
        <v>0</v>
      </c>
      <c r="U686" s="10">
        <f t="shared" si="200"/>
        <v>11650</v>
      </c>
      <c r="V686" s="11">
        <f t="shared" ref="V686:V702" si="211">U686</f>
        <v>11650</v>
      </c>
      <c r="W686" s="12">
        <f t="shared" si="201"/>
        <v>0</v>
      </c>
      <c r="X686" s="92">
        <f t="shared" si="193"/>
        <v>0</v>
      </c>
      <c r="Y686" s="93" t="str">
        <f t="shared" si="209"/>
        <v>0.00%-0.00%</v>
      </c>
      <c r="Z686" s="15"/>
      <c r="AA686" s="15"/>
      <c r="AB686" s="15"/>
      <c r="AC686" s="95"/>
      <c r="AD686" s="8">
        <f t="shared" si="202"/>
        <v>0</v>
      </c>
      <c r="AE686" s="17">
        <f t="shared" si="203"/>
        <v>11650</v>
      </c>
      <c r="AF686" s="18">
        <f t="shared" si="204"/>
        <v>0</v>
      </c>
      <c r="AG686" s="97">
        <f t="shared" si="205"/>
        <v>0</v>
      </c>
      <c r="AH686" s="20">
        <v>14</v>
      </c>
      <c r="AI686" s="20">
        <v>850</v>
      </c>
      <c r="AJ686" s="20"/>
      <c r="AK686" s="20">
        <v>688</v>
      </c>
      <c r="AL686" s="20">
        <f t="shared" si="206"/>
        <v>173988</v>
      </c>
      <c r="AM686" s="7">
        <v>3</v>
      </c>
      <c r="AN686" s="20"/>
      <c r="AO686" s="21"/>
      <c r="AP686" s="21"/>
      <c r="AQ686" s="5" t="s">
        <v>2074</v>
      </c>
      <c r="AR686" s="5" t="s">
        <v>2075</v>
      </c>
      <c r="AS686" s="5" t="s">
        <v>247</v>
      </c>
      <c r="AT686" s="20"/>
      <c r="AU686" s="21"/>
      <c r="AV686" s="21"/>
      <c r="AW686" s="144" t="str">
        <f t="shared" si="207"/>
        <v>OK</v>
      </c>
      <c r="AX686" s="21" t="s">
        <v>3129</v>
      </c>
      <c r="AY686" s="21">
        <v>0</v>
      </c>
      <c r="AZ686" s="21"/>
      <c r="BA686" s="21"/>
    </row>
    <row r="687" spans="1:53" ht="20" customHeight="1">
      <c r="A687" s="86" t="s">
        <v>318</v>
      </c>
      <c r="B687" s="372" t="s">
        <v>3017</v>
      </c>
      <c r="C687" s="5" t="s">
        <v>51</v>
      </c>
      <c r="D687" s="5" t="s">
        <v>52</v>
      </c>
      <c r="E687" s="5" t="s">
        <v>2035</v>
      </c>
      <c r="F687" s="5" t="s">
        <v>2110</v>
      </c>
      <c r="G687" s="5" t="s">
        <v>2111</v>
      </c>
      <c r="H687" s="6">
        <v>39780</v>
      </c>
      <c r="I687" s="5" t="s">
        <v>60</v>
      </c>
      <c r="J687" s="5" t="s">
        <v>60</v>
      </c>
      <c r="K687" s="5" t="s">
        <v>61</v>
      </c>
      <c r="L687" s="7">
        <v>2</v>
      </c>
      <c r="M687" s="7">
        <v>4</v>
      </c>
      <c r="N687" s="8">
        <v>19500</v>
      </c>
      <c r="O687" s="88">
        <v>3.7500000000000006E-2</v>
      </c>
      <c r="P687" s="10">
        <f t="shared" si="196"/>
        <v>731</v>
      </c>
      <c r="Q687" s="88">
        <v>0</v>
      </c>
      <c r="R687" s="10">
        <f t="shared" si="197"/>
        <v>0</v>
      </c>
      <c r="S687" s="88">
        <f t="shared" si="198"/>
        <v>3.7487179487179487E-2</v>
      </c>
      <c r="T687" s="10">
        <f t="shared" si="199"/>
        <v>731</v>
      </c>
      <c r="U687" s="10">
        <f t="shared" si="200"/>
        <v>20231</v>
      </c>
      <c r="V687" s="11">
        <f>U687-131</f>
        <v>20100</v>
      </c>
      <c r="W687" s="12">
        <f t="shared" si="201"/>
        <v>600</v>
      </c>
      <c r="X687" s="92">
        <f t="shared" si="193"/>
        <v>3.0800000000000001E-2</v>
      </c>
      <c r="Y687" s="93" t="str">
        <f t="shared" si="209"/>
        <v>3.00%-4.50%</v>
      </c>
      <c r="Z687" s="15"/>
      <c r="AA687" s="15"/>
      <c r="AB687" s="15"/>
      <c r="AC687" s="95"/>
      <c r="AD687" s="8">
        <f t="shared" si="202"/>
        <v>0</v>
      </c>
      <c r="AE687" s="17">
        <f t="shared" si="203"/>
        <v>20100</v>
      </c>
      <c r="AF687" s="18">
        <f t="shared" si="204"/>
        <v>600</v>
      </c>
      <c r="AG687" s="97">
        <f t="shared" si="205"/>
        <v>3.076923076923066E-2</v>
      </c>
      <c r="AH687" s="20">
        <v>14</v>
      </c>
      <c r="AI687" s="20">
        <v>450</v>
      </c>
      <c r="AJ687" s="20"/>
      <c r="AK687" s="20">
        <v>688</v>
      </c>
      <c r="AL687" s="20">
        <f t="shared" si="206"/>
        <v>287488</v>
      </c>
      <c r="AM687" s="7">
        <v>3</v>
      </c>
      <c r="AN687" s="20"/>
      <c r="AO687" s="21"/>
      <c r="AP687" s="21"/>
      <c r="AQ687" s="5" t="s">
        <v>2074</v>
      </c>
      <c r="AR687" s="5" t="s">
        <v>2075</v>
      </c>
      <c r="AS687" s="5" t="s">
        <v>247</v>
      </c>
      <c r="AT687" s="20"/>
      <c r="AU687" s="21"/>
      <c r="AV687" s="21"/>
      <c r="AW687" s="144" t="str">
        <f t="shared" si="207"/>
        <v>OK</v>
      </c>
      <c r="AX687" s="21" t="s">
        <v>3129</v>
      </c>
      <c r="AY687" s="21" t="s">
        <v>3130</v>
      </c>
      <c r="AZ687" s="21"/>
      <c r="BA687" s="21"/>
    </row>
    <row r="688" spans="1:53" ht="20" customHeight="1">
      <c r="A688" s="86" t="s">
        <v>318</v>
      </c>
      <c r="B688" s="372" t="s">
        <v>3018</v>
      </c>
      <c r="C688" s="5" t="s">
        <v>51</v>
      </c>
      <c r="D688" s="5" t="s">
        <v>52</v>
      </c>
      <c r="E688" s="5" t="s">
        <v>2035</v>
      </c>
      <c r="F688" s="5" t="s">
        <v>2110</v>
      </c>
      <c r="G688" s="5" t="s">
        <v>2111</v>
      </c>
      <c r="H688" s="6">
        <v>40597</v>
      </c>
      <c r="I688" s="5" t="s">
        <v>74</v>
      </c>
      <c r="J688" s="5" t="s">
        <v>2150</v>
      </c>
      <c r="K688" s="5" t="s">
        <v>76</v>
      </c>
      <c r="L688" s="7">
        <v>2</v>
      </c>
      <c r="M688" s="7">
        <v>2</v>
      </c>
      <c r="N688" s="8">
        <v>11450</v>
      </c>
      <c r="O688" s="88">
        <v>0</v>
      </c>
      <c r="P688" s="10">
        <f t="shared" si="196"/>
        <v>0</v>
      </c>
      <c r="Q688" s="88">
        <v>0</v>
      </c>
      <c r="R688" s="10">
        <f t="shared" si="197"/>
        <v>0</v>
      </c>
      <c r="S688" s="88">
        <f t="shared" si="198"/>
        <v>0</v>
      </c>
      <c r="T688" s="10">
        <f t="shared" si="199"/>
        <v>0</v>
      </c>
      <c r="U688" s="10">
        <f t="shared" si="200"/>
        <v>11450</v>
      </c>
      <c r="V688" s="11">
        <f t="shared" si="211"/>
        <v>11450</v>
      </c>
      <c r="W688" s="12">
        <f t="shared" si="201"/>
        <v>0</v>
      </c>
      <c r="X688" s="92">
        <f t="shared" si="193"/>
        <v>0</v>
      </c>
      <c r="Y688" s="93" t="str">
        <f t="shared" si="209"/>
        <v>0.00%-0.00%</v>
      </c>
      <c r="Z688" s="15"/>
      <c r="AA688" s="15"/>
      <c r="AB688" s="15"/>
      <c r="AC688" s="95"/>
      <c r="AD688" s="8">
        <f t="shared" si="202"/>
        <v>0</v>
      </c>
      <c r="AE688" s="17">
        <f t="shared" si="203"/>
        <v>11450</v>
      </c>
      <c r="AF688" s="18">
        <f t="shared" si="204"/>
        <v>0</v>
      </c>
      <c r="AG688" s="97">
        <f t="shared" si="205"/>
        <v>0</v>
      </c>
      <c r="AH688" s="20">
        <v>14</v>
      </c>
      <c r="AI688" s="20">
        <v>850</v>
      </c>
      <c r="AJ688" s="20"/>
      <c r="AK688" s="20">
        <v>688</v>
      </c>
      <c r="AL688" s="20">
        <f t="shared" si="206"/>
        <v>171188</v>
      </c>
      <c r="AM688" s="7">
        <v>3</v>
      </c>
      <c r="AN688" s="20"/>
      <c r="AO688" s="21"/>
      <c r="AP688" s="21"/>
      <c r="AQ688" s="5" t="s">
        <v>2074</v>
      </c>
      <c r="AR688" s="5" t="s">
        <v>2075</v>
      </c>
      <c r="AS688" s="5" t="s">
        <v>247</v>
      </c>
      <c r="AT688" s="20"/>
      <c r="AU688" s="21"/>
      <c r="AV688" s="21"/>
      <c r="AW688" s="144" t="str">
        <f t="shared" si="207"/>
        <v>OK</v>
      </c>
      <c r="AX688" s="21" t="s">
        <v>3135</v>
      </c>
      <c r="AY688" s="21">
        <v>0</v>
      </c>
      <c r="AZ688" s="21"/>
      <c r="BA688" s="21"/>
    </row>
    <row r="689" spans="1:53" ht="20" customHeight="1">
      <c r="A689" s="86" t="s">
        <v>318</v>
      </c>
      <c r="B689" s="372" t="s">
        <v>3019</v>
      </c>
      <c r="C689" s="5" t="s">
        <v>51</v>
      </c>
      <c r="D689" s="5" t="s">
        <v>52</v>
      </c>
      <c r="E689" s="5" t="s">
        <v>2035</v>
      </c>
      <c r="F689" s="5" t="s">
        <v>2110</v>
      </c>
      <c r="G689" s="5" t="s">
        <v>2111</v>
      </c>
      <c r="H689" s="6">
        <v>40603</v>
      </c>
      <c r="I689" s="5" t="s">
        <v>74</v>
      </c>
      <c r="J689" s="5" t="s">
        <v>74</v>
      </c>
      <c r="K689" s="5" t="s">
        <v>76</v>
      </c>
      <c r="L689" s="7">
        <v>2</v>
      </c>
      <c r="M689" s="7">
        <v>3</v>
      </c>
      <c r="N689" s="8">
        <v>10515</v>
      </c>
      <c r="O689" s="88">
        <v>0.03</v>
      </c>
      <c r="P689" s="10">
        <f t="shared" si="196"/>
        <v>315</v>
      </c>
      <c r="Q689" s="88">
        <v>0</v>
      </c>
      <c r="R689" s="10">
        <f t="shared" si="197"/>
        <v>0</v>
      </c>
      <c r="S689" s="88">
        <f t="shared" si="198"/>
        <v>2.9957203994293864E-2</v>
      </c>
      <c r="T689" s="10">
        <f t="shared" si="199"/>
        <v>315</v>
      </c>
      <c r="U689" s="10">
        <f t="shared" si="200"/>
        <v>10830</v>
      </c>
      <c r="V689" s="11">
        <v>10515</v>
      </c>
      <c r="W689" s="12">
        <f t="shared" si="201"/>
        <v>0</v>
      </c>
      <c r="X689" s="92">
        <f t="shared" si="193"/>
        <v>0</v>
      </c>
      <c r="Y689" s="93" t="str">
        <f t="shared" si="209"/>
        <v>2.40%-3.59%</v>
      </c>
      <c r="Z689" s="15"/>
      <c r="AA689" s="15"/>
      <c r="AB689" s="15"/>
      <c r="AC689" s="95"/>
      <c r="AD689" s="8">
        <f t="shared" si="202"/>
        <v>0</v>
      </c>
      <c r="AE689" s="17">
        <f t="shared" si="203"/>
        <v>10515</v>
      </c>
      <c r="AF689" s="18">
        <f t="shared" si="204"/>
        <v>0</v>
      </c>
      <c r="AG689" s="97">
        <f t="shared" si="205"/>
        <v>0</v>
      </c>
      <c r="AH689" s="20">
        <v>14</v>
      </c>
      <c r="AI689" s="20">
        <v>850</v>
      </c>
      <c r="AJ689" s="20"/>
      <c r="AK689" s="20">
        <v>688</v>
      </c>
      <c r="AL689" s="20">
        <f t="shared" si="206"/>
        <v>158098</v>
      </c>
      <c r="AM689" s="7">
        <v>3</v>
      </c>
      <c r="AN689" s="20"/>
      <c r="AO689" s="21" t="s">
        <v>2151</v>
      </c>
      <c r="AP689" s="21"/>
      <c r="AQ689" s="5" t="s">
        <v>2074</v>
      </c>
      <c r="AR689" s="5" t="s">
        <v>2075</v>
      </c>
      <c r="AS689" s="5" t="s">
        <v>247</v>
      </c>
      <c r="AT689" s="20"/>
      <c r="AU689" s="21"/>
      <c r="AV689" s="21"/>
      <c r="AW689" s="144" t="str">
        <f t="shared" si="207"/>
        <v>0 increase</v>
      </c>
      <c r="AX689" s="21" t="s">
        <v>3135</v>
      </c>
      <c r="AY689" s="21" t="s">
        <v>3132</v>
      </c>
      <c r="AZ689" s="21"/>
      <c r="BA689" s="21"/>
    </row>
    <row r="690" spans="1:53" ht="20" customHeight="1">
      <c r="A690" s="86" t="s">
        <v>318</v>
      </c>
      <c r="B690" s="372" t="s">
        <v>3020</v>
      </c>
      <c r="C690" s="5" t="s">
        <v>51</v>
      </c>
      <c r="D690" s="5" t="s">
        <v>52</v>
      </c>
      <c r="E690" s="5" t="s">
        <v>2035</v>
      </c>
      <c r="F690" s="5" t="s">
        <v>2110</v>
      </c>
      <c r="G690" s="5" t="s">
        <v>2111</v>
      </c>
      <c r="H690" s="6">
        <v>40606</v>
      </c>
      <c r="I690" s="5" t="s">
        <v>74</v>
      </c>
      <c r="J690" s="5" t="s">
        <v>2152</v>
      </c>
      <c r="K690" s="5" t="s">
        <v>76</v>
      </c>
      <c r="L690" s="7">
        <v>2</v>
      </c>
      <c r="M690" s="7">
        <v>3</v>
      </c>
      <c r="N690" s="8">
        <v>12896</v>
      </c>
      <c r="O690" s="88">
        <v>2.5000000000000001E-2</v>
      </c>
      <c r="P690" s="10">
        <f t="shared" si="196"/>
        <v>322</v>
      </c>
      <c r="Q690" s="88">
        <v>0</v>
      </c>
      <c r="R690" s="10">
        <f t="shared" si="197"/>
        <v>0</v>
      </c>
      <c r="S690" s="88">
        <f t="shared" si="198"/>
        <v>2.4968982630272953E-2</v>
      </c>
      <c r="T690" s="10">
        <f t="shared" si="199"/>
        <v>322</v>
      </c>
      <c r="U690" s="10">
        <f t="shared" si="200"/>
        <v>13218</v>
      </c>
      <c r="V690" s="11">
        <v>12896</v>
      </c>
      <c r="W690" s="12">
        <f t="shared" si="201"/>
        <v>0</v>
      </c>
      <c r="X690" s="92">
        <f t="shared" si="193"/>
        <v>0</v>
      </c>
      <c r="Y690" s="93" t="str">
        <f t="shared" si="209"/>
        <v>2.00%-3.00%</v>
      </c>
      <c r="Z690" s="15"/>
      <c r="AA690" s="15"/>
      <c r="AB690" s="15"/>
      <c r="AC690" s="95"/>
      <c r="AD690" s="8">
        <f t="shared" si="202"/>
        <v>0</v>
      </c>
      <c r="AE690" s="17">
        <f t="shared" si="203"/>
        <v>12896</v>
      </c>
      <c r="AF690" s="18">
        <f t="shared" si="204"/>
        <v>0</v>
      </c>
      <c r="AG690" s="97">
        <f t="shared" si="205"/>
        <v>0</v>
      </c>
      <c r="AH690" s="20">
        <v>14</v>
      </c>
      <c r="AI690" s="20">
        <v>450</v>
      </c>
      <c r="AJ690" s="20"/>
      <c r="AK690" s="20">
        <v>688</v>
      </c>
      <c r="AL690" s="20">
        <f t="shared" si="206"/>
        <v>186632</v>
      </c>
      <c r="AM690" s="7">
        <v>3</v>
      </c>
      <c r="AN690" s="20"/>
      <c r="AO690" s="21" t="s">
        <v>2151</v>
      </c>
      <c r="AP690" s="21"/>
      <c r="AQ690" s="5" t="s">
        <v>2074</v>
      </c>
      <c r="AR690" s="5" t="s">
        <v>2075</v>
      </c>
      <c r="AS690" s="5" t="s">
        <v>247</v>
      </c>
      <c r="AT690" s="20"/>
      <c r="AU690" s="21"/>
      <c r="AV690" s="21"/>
      <c r="AW690" s="144" t="str">
        <f t="shared" si="207"/>
        <v>0 increase</v>
      </c>
      <c r="AX690" s="21" t="s">
        <v>3135</v>
      </c>
      <c r="AY690" s="21" t="s">
        <v>3130</v>
      </c>
      <c r="AZ690" s="21"/>
      <c r="BA690" s="21"/>
    </row>
    <row r="691" spans="1:53" ht="20" customHeight="1">
      <c r="A691" s="86" t="s">
        <v>318</v>
      </c>
      <c r="B691" s="372" t="s">
        <v>3021</v>
      </c>
      <c r="C691" s="5" t="s">
        <v>51</v>
      </c>
      <c r="D691" s="5" t="s">
        <v>52</v>
      </c>
      <c r="E691" s="5" t="s">
        <v>2035</v>
      </c>
      <c r="F691" s="5" t="s">
        <v>2110</v>
      </c>
      <c r="G691" s="5" t="s">
        <v>2111</v>
      </c>
      <c r="H691" s="6">
        <v>40826</v>
      </c>
      <c r="I691" s="5" t="s">
        <v>74</v>
      </c>
      <c r="J691" s="5" t="s">
        <v>74</v>
      </c>
      <c r="K691" s="5" t="s">
        <v>76</v>
      </c>
      <c r="L691" s="7">
        <v>2</v>
      </c>
      <c r="M691" s="7">
        <v>2</v>
      </c>
      <c r="N691" s="8">
        <v>10300</v>
      </c>
      <c r="O691" s="88">
        <v>0</v>
      </c>
      <c r="P691" s="10">
        <f t="shared" si="196"/>
        <v>0</v>
      </c>
      <c r="Q691" s="88">
        <v>0</v>
      </c>
      <c r="R691" s="10">
        <f t="shared" si="197"/>
        <v>0</v>
      </c>
      <c r="S691" s="88">
        <f t="shared" si="198"/>
        <v>0</v>
      </c>
      <c r="T691" s="10">
        <f t="shared" si="199"/>
        <v>0</v>
      </c>
      <c r="U691" s="10">
        <f t="shared" si="200"/>
        <v>10300</v>
      </c>
      <c r="V691" s="11">
        <f t="shared" si="211"/>
        <v>10300</v>
      </c>
      <c r="W691" s="12">
        <f t="shared" si="201"/>
        <v>0</v>
      </c>
      <c r="X691" s="92">
        <f t="shared" si="193"/>
        <v>0</v>
      </c>
      <c r="Y691" s="93" t="str">
        <f t="shared" si="209"/>
        <v>0.00%-0.00%</v>
      </c>
      <c r="Z691" s="15"/>
      <c r="AA691" s="15"/>
      <c r="AB691" s="15"/>
      <c r="AC691" s="95"/>
      <c r="AD691" s="8">
        <f t="shared" si="202"/>
        <v>0</v>
      </c>
      <c r="AE691" s="17">
        <f t="shared" si="203"/>
        <v>10300</v>
      </c>
      <c r="AF691" s="18">
        <f t="shared" si="204"/>
        <v>0</v>
      </c>
      <c r="AG691" s="97">
        <f t="shared" si="205"/>
        <v>0</v>
      </c>
      <c r="AH691" s="20">
        <v>14</v>
      </c>
      <c r="AI691" s="20">
        <v>850</v>
      </c>
      <c r="AJ691" s="20"/>
      <c r="AK691" s="20">
        <v>688</v>
      </c>
      <c r="AL691" s="20">
        <f t="shared" si="206"/>
        <v>155088</v>
      </c>
      <c r="AM691" s="7">
        <v>3</v>
      </c>
      <c r="AN691" s="20"/>
      <c r="AO691" s="21"/>
      <c r="AP691" s="21"/>
      <c r="AQ691" s="5" t="s">
        <v>2074</v>
      </c>
      <c r="AR691" s="5" t="s">
        <v>2075</v>
      </c>
      <c r="AS691" s="5" t="s">
        <v>247</v>
      </c>
      <c r="AT691" s="20"/>
      <c r="AU691" s="21"/>
      <c r="AV691" s="21"/>
      <c r="AW691" s="144" t="str">
        <f t="shared" si="207"/>
        <v>OK</v>
      </c>
      <c r="AX691" s="21" t="s">
        <v>3135</v>
      </c>
      <c r="AY691" s="21">
        <v>0</v>
      </c>
      <c r="AZ691" s="21"/>
      <c r="BA691" s="21"/>
    </row>
    <row r="692" spans="1:53" ht="20" customHeight="1">
      <c r="A692" s="86" t="s">
        <v>318</v>
      </c>
      <c r="B692" s="372" t="s">
        <v>3022</v>
      </c>
      <c r="C692" s="5" t="s">
        <v>51</v>
      </c>
      <c r="D692" s="5" t="s">
        <v>52</v>
      </c>
      <c r="E692" s="5" t="s">
        <v>2035</v>
      </c>
      <c r="F692" s="5" t="s">
        <v>2110</v>
      </c>
      <c r="G692" s="5" t="s">
        <v>2111</v>
      </c>
      <c r="H692" s="6">
        <v>41799</v>
      </c>
      <c r="I692" s="5" t="s">
        <v>140</v>
      </c>
      <c r="J692" s="5" t="s">
        <v>140</v>
      </c>
      <c r="K692" s="5" t="s">
        <v>61</v>
      </c>
      <c r="L692" s="7">
        <v>2</v>
      </c>
      <c r="M692" s="7">
        <v>3</v>
      </c>
      <c r="N692" s="8">
        <v>14427</v>
      </c>
      <c r="O692" s="88">
        <v>0.03</v>
      </c>
      <c r="P692" s="10">
        <f t="shared" si="196"/>
        <v>433</v>
      </c>
      <c r="Q692" s="88">
        <v>0</v>
      </c>
      <c r="R692" s="10">
        <f t="shared" si="197"/>
        <v>0</v>
      </c>
      <c r="S692" s="88">
        <f t="shared" si="198"/>
        <v>3.0013169751161018E-2</v>
      </c>
      <c r="T692" s="10">
        <f t="shared" si="199"/>
        <v>433</v>
      </c>
      <c r="U692" s="10">
        <f t="shared" si="200"/>
        <v>14860</v>
      </c>
      <c r="V692" s="11">
        <v>14427</v>
      </c>
      <c r="W692" s="12">
        <f t="shared" si="201"/>
        <v>0</v>
      </c>
      <c r="X692" s="92">
        <f t="shared" si="193"/>
        <v>0</v>
      </c>
      <c r="Y692" s="93" t="str">
        <f t="shared" si="209"/>
        <v>2.40%-3.60%</v>
      </c>
      <c r="Z692" s="15"/>
      <c r="AA692" s="15"/>
      <c r="AB692" s="15"/>
      <c r="AC692" s="95"/>
      <c r="AD692" s="8">
        <f t="shared" si="202"/>
        <v>0</v>
      </c>
      <c r="AE692" s="17">
        <f t="shared" si="203"/>
        <v>14427</v>
      </c>
      <c r="AF692" s="18">
        <f t="shared" si="204"/>
        <v>0</v>
      </c>
      <c r="AG692" s="97">
        <f t="shared" si="205"/>
        <v>0</v>
      </c>
      <c r="AH692" s="20">
        <v>14</v>
      </c>
      <c r="AI692" s="20">
        <v>450</v>
      </c>
      <c r="AJ692" s="20"/>
      <c r="AK692" s="20">
        <v>688</v>
      </c>
      <c r="AL692" s="20">
        <f t="shared" si="206"/>
        <v>208066</v>
      </c>
      <c r="AM692" s="7">
        <v>3</v>
      </c>
      <c r="AN692" s="20"/>
      <c r="AO692" s="21" t="s">
        <v>2153</v>
      </c>
      <c r="AP692" s="21"/>
      <c r="AQ692" s="5" t="s">
        <v>2074</v>
      </c>
      <c r="AR692" s="5" t="s">
        <v>2075</v>
      </c>
      <c r="AS692" s="5" t="s">
        <v>247</v>
      </c>
      <c r="AT692" s="20"/>
      <c r="AU692" s="21"/>
      <c r="AV692" s="21"/>
      <c r="AW692" s="144" t="str">
        <f t="shared" si="207"/>
        <v>0 increase</v>
      </c>
      <c r="AX692" s="21" t="s">
        <v>3135</v>
      </c>
      <c r="AY692" s="21" t="s">
        <v>3132</v>
      </c>
      <c r="AZ692" s="21"/>
      <c r="BA692" s="21"/>
    </row>
    <row r="693" spans="1:53" ht="20" customHeight="1">
      <c r="A693" s="86" t="s">
        <v>318</v>
      </c>
      <c r="B693" s="372" t="s">
        <v>3023</v>
      </c>
      <c r="C693" s="5" t="s">
        <v>51</v>
      </c>
      <c r="D693" s="5" t="s">
        <v>52</v>
      </c>
      <c r="E693" s="5" t="s">
        <v>2035</v>
      </c>
      <c r="F693" s="5" t="s">
        <v>2110</v>
      </c>
      <c r="G693" s="5" t="s">
        <v>2111</v>
      </c>
      <c r="H693" s="6">
        <v>43094</v>
      </c>
      <c r="I693" s="5" t="s">
        <v>55</v>
      </c>
      <c r="J693" s="5" t="s">
        <v>55</v>
      </c>
      <c r="K693" s="5" t="s">
        <v>56</v>
      </c>
      <c r="L693" s="7">
        <v>2</v>
      </c>
      <c r="M693" s="7">
        <v>3</v>
      </c>
      <c r="N693" s="8">
        <v>17480</v>
      </c>
      <c r="O693" s="88">
        <v>0.03</v>
      </c>
      <c r="P693" s="10">
        <f t="shared" si="196"/>
        <v>524</v>
      </c>
      <c r="Q693" s="88">
        <v>0</v>
      </c>
      <c r="R693" s="10">
        <f t="shared" si="197"/>
        <v>0</v>
      </c>
      <c r="S693" s="88">
        <f t="shared" si="198"/>
        <v>2.9977116704805493E-2</v>
      </c>
      <c r="T693" s="10">
        <f t="shared" si="199"/>
        <v>524</v>
      </c>
      <c r="U693" s="10">
        <f t="shared" si="200"/>
        <v>18004</v>
      </c>
      <c r="V693" s="11">
        <v>19228</v>
      </c>
      <c r="W693" s="12">
        <f t="shared" si="201"/>
        <v>1748</v>
      </c>
      <c r="X693" s="92">
        <f t="shared" ref="X693:X756" si="212">ROUND(V693/N693-1,4)</f>
        <v>0.1</v>
      </c>
      <c r="Y693" s="93" t="str">
        <f t="shared" si="209"/>
        <v>2.40%-3.60%</v>
      </c>
      <c r="Z693" s="15"/>
      <c r="AA693" s="15"/>
      <c r="AB693" s="15"/>
      <c r="AC693" s="95"/>
      <c r="AD693" s="8">
        <f t="shared" si="202"/>
        <v>0</v>
      </c>
      <c r="AE693" s="17">
        <f t="shared" si="203"/>
        <v>19228</v>
      </c>
      <c r="AF693" s="18">
        <f t="shared" si="204"/>
        <v>1748</v>
      </c>
      <c r="AG693" s="97">
        <f t="shared" si="205"/>
        <v>0.10000000000000009</v>
      </c>
      <c r="AH693" s="20">
        <v>14</v>
      </c>
      <c r="AI693" s="20">
        <v>450</v>
      </c>
      <c r="AJ693" s="20"/>
      <c r="AK693" s="20">
        <v>688</v>
      </c>
      <c r="AL693" s="20">
        <f t="shared" si="206"/>
        <v>275280</v>
      </c>
      <c r="AM693" s="7">
        <v>4</v>
      </c>
      <c r="AN693" s="20"/>
      <c r="AO693" s="21" t="s">
        <v>2154</v>
      </c>
      <c r="AP693" s="21"/>
      <c r="AQ693" s="5" t="s">
        <v>2074</v>
      </c>
      <c r="AR693" s="5" t="s">
        <v>2075</v>
      </c>
      <c r="AS693" s="5" t="s">
        <v>247</v>
      </c>
      <c r="AT693" s="20"/>
      <c r="AU693" s="21"/>
      <c r="AV693" s="21"/>
      <c r="AW693" s="144" t="str">
        <f t="shared" si="207"/>
        <v>&gt;20</v>
      </c>
      <c r="AX693" s="21" t="s">
        <v>3133</v>
      </c>
      <c r="AY693" s="21" t="s">
        <v>3132</v>
      </c>
      <c r="AZ693" s="21"/>
      <c r="BA693" s="21"/>
    </row>
    <row r="694" spans="1:53" ht="20" customHeight="1">
      <c r="A694" s="86" t="s">
        <v>318</v>
      </c>
      <c r="B694" s="372" t="s">
        <v>3024</v>
      </c>
      <c r="C694" s="5" t="s">
        <v>51</v>
      </c>
      <c r="D694" s="5" t="s">
        <v>52</v>
      </c>
      <c r="E694" s="5" t="s">
        <v>2035</v>
      </c>
      <c r="F694" s="5" t="s">
        <v>2110</v>
      </c>
      <c r="G694" s="5" t="s">
        <v>2111</v>
      </c>
      <c r="H694" s="6">
        <v>43311</v>
      </c>
      <c r="I694" s="5" t="s">
        <v>74</v>
      </c>
      <c r="J694" s="5" t="s">
        <v>74</v>
      </c>
      <c r="K694" s="5" t="s">
        <v>76</v>
      </c>
      <c r="L694" s="7">
        <v>2</v>
      </c>
      <c r="M694" s="7">
        <v>3</v>
      </c>
      <c r="N694" s="8">
        <v>10285</v>
      </c>
      <c r="O694" s="88">
        <v>0.03</v>
      </c>
      <c r="P694" s="10">
        <f t="shared" si="196"/>
        <v>309</v>
      </c>
      <c r="Q694" s="88">
        <v>0</v>
      </c>
      <c r="R694" s="10">
        <f t="shared" si="197"/>
        <v>0</v>
      </c>
      <c r="S694" s="88">
        <f t="shared" si="198"/>
        <v>3.0043753038405445E-2</v>
      </c>
      <c r="T694" s="10">
        <f t="shared" si="199"/>
        <v>309</v>
      </c>
      <c r="U694" s="10">
        <f t="shared" si="200"/>
        <v>10594</v>
      </c>
      <c r="V694" s="11">
        <f>U694</f>
        <v>10594</v>
      </c>
      <c r="W694" s="12">
        <f t="shared" si="201"/>
        <v>309</v>
      </c>
      <c r="X694" s="92">
        <f t="shared" si="212"/>
        <v>0.03</v>
      </c>
      <c r="Y694" s="93" t="str">
        <f t="shared" si="209"/>
        <v>2.40%-3.61%</v>
      </c>
      <c r="Z694" s="15"/>
      <c r="AA694" s="15"/>
      <c r="AB694" s="15"/>
      <c r="AC694" s="95"/>
      <c r="AD694" s="8">
        <f t="shared" si="202"/>
        <v>0</v>
      </c>
      <c r="AE694" s="17">
        <f t="shared" si="203"/>
        <v>10594</v>
      </c>
      <c r="AF694" s="18">
        <f t="shared" si="204"/>
        <v>309</v>
      </c>
      <c r="AG694" s="97">
        <f t="shared" si="205"/>
        <v>3.0043753038405452E-2</v>
      </c>
      <c r="AH694" s="20">
        <v>14</v>
      </c>
      <c r="AI694" s="20">
        <v>450</v>
      </c>
      <c r="AJ694" s="20"/>
      <c r="AK694" s="20">
        <v>688</v>
      </c>
      <c r="AL694" s="20">
        <f t="shared" si="206"/>
        <v>154404</v>
      </c>
      <c r="AM694" s="7">
        <v>3</v>
      </c>
      <c r="AN694" s="20"/>
      <c r="AO694" s="21"/>
      <c r="AP694" s="21"/>
      <c r="AQ694" s="5" t="s">
        <v>2074</v>
      </c>
      <c r="AR694" s="5" t="s">
        <v>2075</v>
      </c>
      <c r="AS694" s="5" t="s">
        <v>247</v>
      </c>
      <c r="AT694" s="20"/>
      <c r="AU694" s="21"/>
      <c r="AV694" s="21"/>
      <c r="AW694" s="144" t="str">
        <f t="shared" si="207"/>
        <v>OK</v>
      </c>
      <c r="AX694" s="21" t="s">
        <v>3133</v>
      </c>
      <c r="AY694" s="21" t="s">
        <v>3132</v>
      </c>
      <c r="AZ694" s="21"/>
      <c r="BA694" s="21"/>
    </row>
    <row r="695" spans="1:53" ht="20" customHeight="1">
      <c r="A695" s="86" t="s">
        <v>318</v>
      </c>
      <c r="B695" s="372" t="s">
        <v>3025</v>
      </c>
      <c r="C695" s="5" t="s">
        <v>51</v>
      </c>
      <c r="D695" s="5" t="s">
        <v>52</v>
      </c>
      <c r="E695" s="5" t="s">
        <v>2035</v>
      </c>
      <c r="F695" s="5" t="s">
        <v>2110</v>
      </c>
      <c r="G695" s="5" t="s">
        <v>2111</v>
      </c>
      <c r="H695" s="6">
        <v>44554</v>
      </c>
      <c r="I695" s="5" t="s">
        <v>82</v>
      </c>
      <c r="J695" s="5" t="s">
        <v>2134</v>
      </c>
      <c r="K695" s="5" t="s">
        <v>84</v>
      </c>
      <c r="L695" s="7">
        <v>2</v>
      </c>
      <c r="M695" s="7">
        <v>3</v>
      </c>
      <c r="N695" s="8">
        <v>10000</v>
      </c>
      <c r="O695" s="88">
        <v>0.03</v>
      </c>
      <c r="P695" s="10">
        <f t="shared" si="196"/>
        <v>300</v>
      </c>
      <c r="Q695" s="88">
        <v>0</v>
      </c>
      <c r="R695" s="10">
        <f t="shared" si="197"/>
        <v>0</v>
      </c>
      <c r="S695" s="88">
        <f t="shared" si="198"/>
        <v>0.03</v>
      </c>
      <c r="T695" s="10">
        <f t="shared" si="199"/>
        <v>300</v>
      </c>
      <c r="U695" s="10">
        <f t="shared" si="200"/>
        <v>10300</v>
      </c>
      <c r="V695" s="11">
        <f>U695-199</f>
        <v>10101</v>
      </c>
      <c r="W695" s="12">
        <f t="shared" si="201"/>
        <v>101</v>
      </c>
      <c r="X695" s="92">
        <f t="shared" si="212"/>
        <v>1.01E-2</v>
      </c>
      <c r="Y695" s="93" t="str">
        <f t="shared" si="209"/>
        <v>2.40%-3.60%</v>
      </c>
      <c r="Z695" s="15"/>
      <c r="AA695" s="15"/>
      <c r="AB695" s="15"/>
      <c r="AC695" s="95"/>
      <c r="AD695" s="8">
        <f t="shared" si="202"/>
        <v>0</v>
      </c>
      <c r="AE695" s="17">
        <f t="shared" si="203"/>
        <v>10101</v>
      </c>
      <c r="AF695" s="18">
        <f t="shared" si="204"/>
        <v>101</v>
      </c>
      <c r="AG695" s="97">
        <f t="shared" si="205"/>
        <v>1.0099999999999998E-2</v>
      </c>
      <c r="AH695" s="20">
        <v>14</v>
      </c>
      <c r="AI695" s="20">
        <v>450</v>
      </c>
      <c r="AJ695" s="20"/>
      <c r="AK695" s="20">
        <v>688</v>
      </c>
      <c r="AL695" s="20">
        <f t="shared" si="206"/>
        <v>147502</v>
      </c>
      <c r="AM695" s="7">
        <v>3</v>
      </c>
      <c r="AN695" s="20"/>
      <c r="AO695" s="21" t="s">
        <v>2155</v>
      </c>
      <c r="AP695" s="21"/>
      <c r="AQ695" s="5" t="s">
        <v>2074</v>
      </c>
      <c r="AR695" s="5" t="s">
        <v>2075</v>
      </c>
      <c r="AS695" s="5" t="s">
        <v>247</v>
      </c>
      <c r="AT695" s="20"/>
      <c r="AU695" s="21"/>
      <c r="AV695" s="21"/>
      <c r="AW695" s="144" t="str">
        <f t="shared" si="207"/>
        <v>&lt;20</v>
      </c>
      <c r="AX695" s="21" t="s">
        <v>3131</v>
      </c>
      <c r="AY695" s="21" t="s">
        <v>3132</v>
      </c>
      <c r="AZ695" s="21"/>
      <c r="BA695" s="21"/>
    </row>
    <row r="696" spans="1:53" ht="20" customHeight="1">
      <c r="A696" s="86" t="s">
        <v>318</v>
      </c>
      <c r="B696" s="372" t="s">
        <v>3026</v>
      </c>
      <c r="C696" s="5" t="s">
        <v>51</v>
      </c>
      <c r="D696" s="5" t="s">
        <v>52</v>
      </c>
      <c r="E696" s="5" t="s">
        <v>2035</v>
      </c>
      <c r="F696" s="5" t="s">
        <v>2110</v>
      </c>
      <c r="G696" s="5" t="s">
        <v>2111</v>
      </c>
      <c r="H696" s="6">
        <v>37760</v>
      </c>
      <c r="I696" s="5" t="s">
        <v>82</v>
      </c>
      <c r="J696" s="5" t="s">
        <v>2134</v>
      </c>
      <c r="K696" s="5" t="s">
        <v>84</v>
      </c>
      <c r="L696" s="7">
        <v>2</v>
      </c>
      <c r="M696" s="7">
        <v>3</v>
      </c>
      <c r="N696" s="8">
        <v>10600</v>
      </c>
      <c r="O696" s="88">
        <v>0.03</v>
      </c>
      <c r="P696" s="10">
        <f t="shared" si="196"/>
        <v>318</v>
      </c>
      <c r="Q696" s="88">
        <v>0</v>
      </c>
      <c r="R696" s="10">
        <f t="shared" si="197"/>
        <v>0</v>
      </c>
      <c r="S696" s="88">
        <f t="shared" si="198"/>
        <v>0.03</v>
      </c>
      <c r="T696" s="10">
        <f t="shared" si="199"/>
        <v>318</v>
      </c>
      <c r="U696" s="10">
        <f t="shared" si="200"/>
        <v>10918</v>
      </c>
      <c r="V696" s="11">
        <v>10600</v>
      </c>
      <c r="W696" s="12">
        <f t="shared" si="201"/>
        <v>0</v>
      </c>
      <c r="X696" s="92">
        <f t="shared" si="212"/>
        <v>0</v>
      </c>
      <c r="Y696" s="93" t="str">
        <f t="shared" si="209"/>
        <v>2.40%-3.60%</v>
      </c>
      <c r="Z696" s="15"/>
      <c r="AA696" s="15"/>
      <c r="AB696" s="15"/>
      <c r="AC696" s="95"/>
      <c r="AD696" s="8">
        <f t="shared" si="202"/>
        <v>0</v>
      </c>
      <c r="AE696" s="17">
        <f t="shared" si="203"/>
        <v>10600</v>
      </c>
      <c r="AF696" s="18">
        <f t="shared" si="204"/>
        <v>0</v>
      </c>
      <c r="AG696" s="97">
        <f t="shared" si="205"/>
        <v>0</v>
      </c>
      <c r="AH696" s="20">
        <v>14</v>
      </c>
      <c r="AI696" s="20">
        <v>500</v>
      </c>
      <c r="AJ696" s="20"/>
      <c r="AK696" s="20">
        <v>688</v>
      </c>
      <c r="AL696" s="20">
        <f t="shared" si="206"/>
        <v>155088</v>
      </c>
      <c r="AM696" s="7">
        <v>3</v>
      </c>
      <c r="AN696" s="20"/>
      <c r="AO696" s="21" t="s">
        <v>2155</v>
      </c>
      <c r="AP696" s="21"/>
      <c r="AQ696" s="5" t="s">
        <v>2074</v>
      </c>
      <c r="AR696" s="5" t="s">
        <v>2075</v>
      </c>
      <c r="AS696" s="5" t="s">
        <v>247</v>
      </c>
      <c r="AT696" s="20"/>
      <c r="AU696" s="21"/>
      <c r="AV696" s="21"/>
      <c r="AW696" s="144" t="str">
        <f t="shared" si="207"/>
        <v>0 increase</v>
      </c>
      <c r="AX696" s="21" t="s">
        <v>3139</v>
      </c>
      <c r="AY696" s="21" t="s">
        <v>3132</v>
      </c>
      <c r="AZ696" s="21"/>
      <c r="BA696" s="21"/>
    </row>
    <row r="697" spans="1:53" ht="20" customHeight="1">
      <c r="A697" s="86" t="s">
        <v>318</v>
      </c>
      <c r="B697" s="372" t="s">
        <v>3027</v>
      </c>
      <c r="C697" s="5" t="s">
        <v>51</v>
      </c>
      <c r="D697" s="5" t="s">
        <v>52</v>
      </c>
      <c r="E697" s="5" t="s">
        <v>2035</v>
      </c>
      <c r="F697" s="5" t="s">
        <v>2110</v>
      </c>
      <c r="G697" s="5" t="s">
        <v>2111</v>
      </c>
      <c r="H697" s="6">
        <v>41204</v>
      </c>
      <c r="I697" s="5" t="s">
        <v>60</v>
      </c>
      <c r="J697" s="5" t="s">
        <v>60</v>
      </c>
      <c r="K697" s="5" t="s">
        <v>61</v>
      </c>
      <c r="L697" s="7">
        <v>2</v>
      </c>
      <c r="M697" s="7">
        <v>3</v>
      </c>
      <c r="N697" s="8">
        <v>14907</v>
      </c>
      <c r="O697" s="88">
        <v>0.03</v>
      </c>
      <c r="P697" s="10">
        <f t="shared" si="196"/>
        <v>447</v>
      </c>
      <c r="Q697" s="88">
        <v>0</v>
      </c>
      <c r="R697" s="10">
        <f t="shared" si="197"/>
        <v>0</v>
      </c>
      <c r="S697" s="88">
        <f t="shared" si="198"/>
        <v>2.9985912658482591E-2</v>
      </c>
      <c r="T697" s="10">
        <f t="shared" si="199"/>
        <v>447</v>
      </c>
      <c r="U697" s="10">
        <f t="shared" si="200"/>
        <v>15354</v>
      </c>
      <c r="V697" s="11">
        <f>U697+53</f>
        <v>15407</v>
      </c>
      <c r="W697" s="12">
        <f t="shared" si="201"/>
        <v>500</v>
      </c>
      <c r="X697" s="92">
        <f t="shared" si="212"/>
        <v>3.3500000000000002E-2</v>
      </c>
      <c r="Y697" s="93" t="str">
        <f t="shared" si="209"/>
        <v>2.40%-3.60%</v>
      </c>
      <c r="Z697" s="15"/>
      <c r="AA697" s="15"/>
      <c r="AB697" s="15"/>
      <c r="AC697" s="95"/>
      <c r="AD697" s="8">
        <f t="shared" si="202"/>
        <v>0</v>
      </c>
      <c r="AE697" s="17">
        <f t="shared" si="203"/>
        <v>15407</v>
      </c>
      <c r="AF697" s="18">
        <f t="shared" si="204"/>
        <v>500</v>
      </c>
      <c r="AG697" s="97">
        <f t="shared" si="205"/>
        <v>3.3541289327161827E-2</v>
      </c>
      <c r="AH697" s="20">
        <v>14</v>
      </c>
      <c r="AI697" s="20">
        <v>450</v>
      </c>
      <c r="AJ697" s="20"/>
      <c r="AK697" s="20">
        <v>688</v>
      </c>
      <c r="AL697" s="20">
        <f t="shared" si="206"/>
        <v>221786</v>
      </c>
      <c r="AM697" s="7">
        <v>3</v>
      </c>
      <c r="AN697" s="20"/>
      <c r="AO697" s="21"/>
      <c r="AP697" s="21"/>
      <c r="AQ697" s="5" t="s">
        <v>2074</v>
      </c>
      <c r="AR697" s="5" t="s">
        <v>2075</v>
      </c>
      <c r="AS697" s="5" t="s">
        <v>247</v>
      </c>
      <c r="AT697" s="20"/>
      <c r="AU697" s="21"/>
      <c r="AV697" s="21"/>
      <c r="AW697" s="144" t="str">
        <f t="shared" si="207"/>
        <v>OK</v>
      </c>
      <c r="AX697" s="21" t="s">
        <v>3135</v>
      </c>
      <c r="AY697" s="21" t="s">
        <v>3132</v>
      </c>
      <c r="AZ697" s="21"/>
      <c r="BA697" s="21"/>
    </row>
    <row r="698" spans="1:53" ht="20" customHeight="1">
      <c r="A698" s="86" t="s">
        <v>318</v>
      </c>
      <c r="B698" s="372" t="s">
        <v>3028</v>
      </c>
      <c r="C698" s="5" t="s">
        <v>51</v>
      </c>
      <c r="D698" s="5" t="s">
        <v>52</v>
      </c>
      <c r="E698" s="5" t="s">
        <v>2035</v>
      </c>
      <c r="F698" s="5" t="s">
        <v>2110</v>
      </c>
      <c r="G698" s="5" t="s">
        <v>2111</v>
      </c>
      <c r="H698" s="6">
        <v>41204</v>
      </c>
      <c r="I698" s="5" t="s">
        <v>74</v>
      </c>
      <c r="J698" s="5" t="s">
        <v>2156</v>
      </c>
      <c r="K698" s="5" t="s">
        <v>76</v>
      </c>
      <c r="L698" s="7">
        <v>2</v>
      </c>
      <c r="M698" s="7">
        <v>1</v>
      </c>
      <c r="N698" s="8">
        <v>11360</v>
      </c>
      <c r="O698" s="88">
        <v>0</v>
      </c>
      <c r="P698" s="10">
        <f t="shared" si="196"/>
        <v>0</v>
      </c>
      <c r="Q698" s="88">
        <v>0</v>
      </c>
      <c r="R698" s="10">
        <f t="shared" si="197"/>
        <v>0</v>
      </c>
      <c r="S698" s="88">
        <f t="shared" si="198"/>
        <v>0</v>
      </c>
      <c r="T698" s="10">
        <f t="shared" si="199"/>
        <v>0</v>
      </c>
      <c r="U698" s="10">
        <f t="shared" si="200"/>
        <v>11360</v>
      </c>
      <c r="V698" s="11">
        <f t="shared" si="211"/>
        <v>11360</v>
      </c>
      <c r="W698" s="12">
        <f t="shared" si="201"/>
        <v>0</v>
      </c>
      <c r="X698" s="92">
        <f t="shared" si="212"/>
        <v>0</v>
      </c>
      <c r="Y698" s="93" t="str">
        <f t="shared" si="209"/>
        <v>0.00%-0.00%</v>
      </c>
      <c r="Z698" s="15"/>
      <c r="AA698" s="15"/>
      <c r="AB698" s="15"/>
      <c r="AC698" s="95"/>
      <c r="AD698" s="8">
        <f t="shared" si="202"/>
        <v>0</v>
      </c>
      <c r="AE698" s="17">
        <f t="shared" si="203"/>
        <v>11360</v>
      </c>
      <c r="AF698" s="18">
        <f t="shared" si="204"/>
        <v>0</v>
      </c>
      <c r="AG698" s="97">
        <f t="shared" si="205"/>
        <v>0</v>
      </c>
      <c r="AH698" s="20">
        <v>14</v>
      </c>
      <c r="AI698" s="20">
        <v>450</v>
      </c>
      <c r="AJ698" s="20"/>
      <c r="AK698" s="20">
        <v>688</v>
      </c>
      <c r="AL698" s="20">
        <f t="shared" si="206"/>
        <v>165128</v>
      </c>
      <c r="AM698" s="7">
        <v>3</v>
      </c>
      <c r="AN698" s="20" t="s">
        <v>364</v>
      </c>
      <c r="AO698" s="21"/>
      <c r="AP698" s="21"/>
      <c r="AQ698" s="5" t="s">
        <v>2074</v>
      </c>
      <c r="AR698" s="5" t="s">
        <v>2075</v>
      </c>
      <c r="AS698" s="5" t="s">
        <v>247</v>
      </c>
      <c r="AT698" s="20"/>
      <c r="AU698" s="21"/>
      <c r="AV698" s="21"/>
      <c r="AW698" s="144" t="str">
        <f t="shared" si="207"/>
        <v>OK</v>
      </c>
      <c r="AX698" s="21" t="s">
        <v>3135</v>
      </c>
      <c r="AY698" s="21">
        <v>0</v>
      </c>
      <c r="AZ698" s="21"/>
      <c r="BA698" s="21"/>
    </row>
    <row r="699" spans="1:53" ht="20" customHeight="1">
      <c r="A699" s="86" t="s">
        <v>318</v>
      </c>
      <c r="B699" s="372" t="s">
        <v>3029</v>
      </c>
      <c r="C699" s="5" t="s">
        <v>51</v>
      </c>
      <c r="D699" s="5" t="s">
        <v>52</v>
      </c>
      <c r="E699" s="5" t="s">
        <v>2035</v>
      </c>
      <c r="F699" s="5" t="s">
        <v>2110</v>
      </c>
      <c r="G699" s="5" t="s">
        <v>2111</v>
      </c>
      <c r="H699" s="6">
        <v>41709</v>
      </c>
      <c r="I699" s="5" t="s">
        <v>74</v>
      </c>
      <c r="J699" s="5" t="s">
        <v>2157</v>
      </c>
      <c r="K699" s="5" t="s">
        <v>76</v>
      </c>
      <c r="L699" s="7">
        <v>2</v>
      </c>
      <c r="M699" s="7">
        <v>3</v>
      </c>
      <c r="N699" s="8">
        <v>12185</v>
      </c>
      <c r="O699" s="88">
        <v>2.5000000000000001E-2</v>
      </c>
      <c r="P699" s="10">
        <f t="shared" si="196"/>
        <v>305</v>
      </c>
      <c r="Q699" s="88">
        <v>0</v>
      </c>
      <c r="R699" s="10">
        <f t="shared" si="197"/>
        <v>0</v>
      </c>
      <c r="S699" s="88">
        <f t="shared" si="198"/>
        <v>2.5030775543701273E-2</v>
      </c>
      <c r="T699" s="10">
        <f t="shared" si="199"/>
        <v>305</v>
      </c>
      <c r="U699" s="10">
        <f t="shared" si="200"/>
        <v>12490</v>
      </c>
      <c r="V699" s="11">
        <f>U699+60</f>
        <v>12550</v>
      </c>
      <c r="W699" s="12">
        <f t="shared" si="201"/>
        <v>365</v>
      </c>
      <c r="X699" s="92">
        <f t="shared" si="212"/>
        <v>0.03</v>
      </c>
      <c r="Y699" s="93" t="str">
        <f t="shared" si="209"/>
        <v>2.00%-3.00%</v>
      </c>
      <c r="Z699" s="15"/>
      <c r="AA699" s="15"/>
      <c r="AB699" s="15"/>
      <c r="AC699" s="95"/>
      <c r="AD699" s="8">
        <f t="shared" si="202"/>
        <v>0</v>
      </c>
      <c r="AE699" s="17">
        <f t="shared" si="203"/>
        <v>12550</v>
      </c>
      <c r="AF699" s="18">
        <f t="shared" si="204"/>
        <v>365</v>
      </c>
      <c r="AG699" s="97">
        <f t="shared" si="205"/>
        <v>2.9954862535904736E-2</v>
      </c>
      <c r="AH699" s="20">
        <v>14</v>
      </c>
      <c r="AI699" s="20">
        <v>850</v>
      </c>
      <c r="AJ699" s="20"/>
      <c r="AK699" s="20">
        <v>688</v>
      </c>
      <c r="AL699" s="20">
        <f t="shared" si="206"/>
        <v>186588</v>
      </c>
      <c r="AM699" s="7">
        <v>3</v>
      </c>
      <c r="AN699" s="20"/>
      <c r="AO699" s="21"/>
      <c r="AP699" s="21"/>
      <c r="AQ699" s="5" t="s">
        <v>2074</v>
      </c>
      <c r="AR699" s="5" t="s">
        <v>2075</v>
      </c>
      <c r="AS699" s="5" t="s">
        <v>247</v>
      </c>
      <c r="AT699" s="20"/>
      <c r="AU699" s="21"/>
      <c r="AV699" s="21"/>
      <c r="AW699" s="144" t="str">
        <f t="shared" si="207"/>
        <v>OK</v>
      </c>
      <c r="AX699" s="21" t="s">
        <v>3135</v>
      </c>
      <c r="AY699" s="21" t="s">
        <v>3130</v>
      </c>
      <c r="AZ699" s="21"/>
      <c r="BA699" s="21"/>
    </row>
    <row r="700" spans="1:53" ht="20" customHeight="1">
      <c r="A700" s="86" t="s">
        <v>318</v>
      </c>
      <c r="B700" s="372" t="s">
        <v>3030</v>
      </c>
      <c r="C700" s="5" t="s">
        <v>51</v>
      </c>
      <c r="D700" s="5" t="s">
        <v>52</v>
      </c>
      <c r="E700" s="5" t="s">
        <v>2035</v>
      </c>
      <c r="F700" s="5" t="s">
        <v>2110</v>
      </c>
      <c r="G700" s="5" t="s">
        <v>2111</v>
      </c>
      <c r="H700" s="6">
        <v>42040</v>
      </c>
      <c r="I700" s="5" t="s">
        <v>82</v>
      </c>
      <c r="J700" s="5" t="s">
        <v>2134</v>
      </c>
      <c r="K700" s="5" t="s">
        <v>84</v>
      </c>
      <c r="L700" s="7">
        <v>2</v>
      </c>
      <c r="M700" s="7">
        <v>3</v>
      </c>
      <c r="N700" s="8">
        <v>10336</v>
      </c>
      <c r="O700" s="88">
        <v>0.03</v>
      </c>
      <c r="P700" s="10">
        <f t="shared" si="196"/>
        <v>310</v>
      </c>
      <c r="Q700" s="88">
        <v>0</v>
      </c>
      <c r="R700" s="10">
        <f t="shared" si="197"/>
        <v>0</v>
      </c>
      <c r="S700" s="88">
        <f t="shared" si="198"/>
        <v>2.9992260061919504E-2</v>
      </c>
      <c r="T700" s="10">
        <f t="shared" si="199"/>
        <v>310</v>
      </c>
      <c r="U700" s="10">
        <f t="shared" si="200"/>
        <v>10646</v>
      </c>
      <c r="V700" s="11">
        <f>U700-207</f>
        <v>10439</v>
      </c>
      <c r="W700" s="12">
        <f t="shared" si="201"/>
        <v>103</v>
      </c>
      <c r="X700" s="92">
        <f t="shared" si="212"/>
        <v>0.01</v>
      </c>
      <c r="Y700" s="93" t="str">
        <f t="shared" si="209"/>
        <v>2.40%-3.60%</v>
      </c>
      <c r="Z700" s="15"/>
      <c r="AA700" s="15"/>
      <c r="AB700" s="15"/>
      <c r="AC700" s="95"/>
      <c r="AD700" s="8">
        <f t="shared" si="202"/>
        <v>0</v>
      </c>
      <c r="AE700" s="17">
        <f t="shared" si="203"/>
        <v>10439</v>
      </c>
      <c r="AF700" s="18">
        <f t="shared" si="204"/>
        <v>103</v>
      </c>
      <c r="AG700" s="97">
        <f t="shared" si="205"/>
        <v>9.9651702786378582E-3</v>
      </c>
      <c r="AH700" s="20">
        <v>14</v>
      </c>
      <c r="AI700" s="20">
        <v>550</v>
      </c>
      <c r="AJ700" s="20"/>
      <c r="AK700" s="20">
        <v>688</v>
      </c>
      <c r="AL700" s="20">
        <f t="shared" si="206"/>
        <v>153434</v>
      </c>
      <c r="AM700" s="7">
        <v>3</v>
      </c>
      <c r="AN700" s="20"/>
      <c r="AO700" s="21" t="s">
        <v>2155</v>
      </c>
      <c r="AP700" s="21"/>
      <c r="AQ700" s="5" t="s">
        <v>2074</v>
      </c>
      <c r="AR700" s="5" t="s">
        <v>2075</v>
      </c>
      <c r="AS700" s="5" t="s">
        <v>247</v>
      </c>
      <c r="AT700" s="20"/>
      <c r="AU700" s="21"/>
      <c r="AV700" s="21"/>
      <c r="AW700" s="144" t="str">
        <f t="shared" si="207"/>
        <v>&lt;20</v>
      </c>
      <c r="AX700" s="21" t="s">
        <v>3135</v>
      </c>
      <c r="AY700" s="21" t="s">
        <v>3132</v>
      </c>
      <c r="AZ700" s="21"/>
      <c r="BA700" s="21"/>
    </row>
    <row r="701" spans="1:53" ht="20" customHeight="1">
      <c r="A701" s="86" t="s">
        <v>318</v>
      </c>
      <c r="B701" s="372" t="s">
        <v>3031</v>
      </c>
      <c r="C701" s="5" t="s">
        <v>51</v>
      </c>
      <c r="D701" s="5" t="s">
        <v>52</v>
      </c>
      <c r="E701" s="5" t="s">
        <v>2035</v>
      </c>
      <c r="F701" s="5" t="s">
        <v>2110</v>
      </c>
      <c r="G701" s="5" t="s">
        <v>2111</v>
      </c>
      <c r="H701" s="6">
        <v>38719</v>
      </c>
      <c r="I701" s="5" t="s">
        <v>82</v>
      </c>
      <c r="J701" s="5" t="s">
        <v>2144</v>
      </c>
      <c r="K701" s="5" t="s">
        <v>84</v>
      </c>
      <c r="L701" s="7">
        <v>2</v>
      </c>
      <c r="M701" s="7">
        <v>1</v>
      </c>
      <c r="N701" s="8">
        <v>9505</v>
      </c>
      <c r="O701" s="88">
        <v>0</v>
      </c>
      <c r="P701" s="10">
        <f t="shared" si="196"/>
        <v>0</v>
      </c>
      <c r="Q701" s="88">
        <v>0</v>
      </c>
      <c r="R701" s="10">
        <f t="shared" si="197"/>
        <v>0</v>
      </c>
      <c r="S701" s="88">
        <f t="shared" si="198"/>
        <v>0</v>
      </c>
      <c r="T701" s="10">
        <f t="shared" si="199"/>
        <v>0</v>
      </c>
      <c r="U701" s="10">
        <f t="shared" si="200"/>
        <v>9505</v>
      </c>
      <c r="V701" s="11">
        <f t="shared" si="211"/>
        <v>9505</v>
      </c>
      <c r="W701" s="12">
        <f t="shared" si="201"/>
        <v>0</v>
      </c>
      <c r="X701" s="92">
        <f t="shared" si="212"/>
        <v>0</v>
      </c>
      <c r="Y701" s="93" t="str">
        <f t="shared" si="209"/>
        <v>0.00%-0.00%</v>
      </c>
      <c r="Z701" s="15"/>
      <c r="AA701" s="15"/>
      <c r="AB701" s="15"/>
      <c r="AC701" s="95"/>
      <c r="AD701" s="8">
        <f t="shared" si="202"/>
        <v>0</v>
      </c>
      <c r="AE701" s="17">
        <f t="shared" si="203"/>
        <v>9505</v>
      </c>
      <c r="AF701" s="18">
        <f t="shared" si="204"/>
        <v>0</v>
      </c>
      <c r="AG701" s="97">
        <f t="shared" si="205"/>
        <v>0</v>
      </c>
      <c r="AH701" s="20">
        <v>14</v>
      </c>
      <c r="AI701" s="20">
        <v>450</v>
      </c>
      <c r="AJ701" s="20"/>
      <c r="AK701" s="20">
        <v>688</v>
      </c>
      <c r="AL701" s="20">
        <f t="shared" si="206"/>
        <v>139158</v>
      </c>
      <c r="AM701" s="7">
        <v>2</v>
      </c>
      <c r="AN701" s="20"/>
      <c r="AO701" s="21"/>
      <c r="AP701" s="21"/>
      <c r="AQ701" s="5" t="s">
        <v>2074</v>
      </c>
      <c r="AR701" s="5" t="s">
        <v>2075</v>
      </c>
      <c r="AS701" s="5" t="s">
        <v>247</v>
      </c>
      <c r="AT701" s="20"/>
      <c r="AU701" s="21"/>
      <c r="AV701" s="21"/>
      <c r="AW701" s="144" t="str">
        <f t="shared" si="207"/>
        <v>OK</v>
      </c>
      <c r="AX701" s="21" t="s">
        <v>3129</v>
      </c>
      <c r="AY701" s="21">
        <v>0</v>
      </c>
      <c r="AZ701" s="21"/>
      <c r="BA701" s="21"/>
    </row>
    <row r="702" spans="1:53" ht="20" customHeight="1">
      <c r="A702" s="86" t="s">
        <v>318</v>
      </c>
      <c r="B702" s="372" t="s">
        <v>3032</v>
      </c>
      <c r="C702" s="5" t="s">
        <v>51</v>
      </c>
      <c r="D702" s="5" t="s">
        <v>52</v>
      </c>
      <c r="E702" s="5" t="s">
        <v>2035</v>
      </c>
      <c r="F702" s="5" t="s">
        <v>2110</v>
      </c>
      <c r="G702" s="5" t="s">
        <v>2111</v>
      </c>
      <c r="H702" s="6">
        <v>38803</v>
      </c>
      <c r="I702" s="5" t="s">
        <v>82</v>
      </c>
      <c r="J702" s="5" t="s">
        <v>2158</v>
      </c>
      <c r="K702" s="5" t="s">
        <v>84</v>
      </c>
      <c r="L702" s="7">
        <v>2</v>
      </c>
      <c r="M702" s="7">
        <v>2</v>
      </c>
      <c r="N702" s="8">
        <v>9540</v>
      </c>
      <c r="O702" s="88">
        <v>0</v>
      </c>
      <c r="P702" s="10">
        <f t="shared" si="196"/>
        <v>0</v>
      </c>
      <c r="Q702" s="88">
        <v>0</v>
      </c>
      <c r="R702" s="10">
        <f t="shared" si="197"/>
        <v>0</v>
      </c>
      <c r="S702" s="88">
        <f t="shared" si="198"/>
        <v>0</v>
      </c>
      <c r="T702" s="10">
        <f t="shared" si="199"/>
        <v>0</v>
      </c>
      <c r="U702" s="10">
        <f t="shared" si="200"/>
        <v>9540</v>
      </c>
      <c r="V702" s="11">
        <f t="shared" si="211"/>
        <v>9540</v>
      </c>
      <c r="W702" s="12">
        <f t="shared" si="201"/>
        <v>0</v>
      </c>
      <c r="X702" s="92">
        <f t="shared" si="212"/>
        <v>0</v>
      </c>
      <c r="Y702" s="93" t="str">
        <f t="shared" si="209"/>
        <v>0.00%-0.00%</v>
      </c>
      <c r="Z702" s="15"/>
      <c r="AA702" s="15"/>
      <c r="AB702" s="15"/>
      <c r="AC702" s="95"/>
      <c r="AD702" s="8">
        <f t="shared" si="202"/>
        <v>0</v>
      </c>
      <c r="AE702" s="17">
        <f t="shared" si="203"/>
        <v>9540</v>
      </c>
      <c r="AF702" s="18">
        <f t="shared" si="204"/>
        <v>0</v>
      </c>
      <c r="AG702" s="97">
        <f t="shared" si="205"/>
        <v>0</v>
      </c>
      <c r="AH702" s="20">
        <v>14</v>
      </c>
      <c r="AI702" s="20">
        <v>450</v>
      </c>
      <c r="AJ702" s="20"/>
      <c r="AK702" s="20">
        <v>688</v>
      </c>
      <c r="AL702" s="20">
        <f t="shared" si="206"/>
        <v>139648</v>
      </c>
      <c r="AM702" s="7">
        <v>2</v>
      </c>
      <c r="AN702" s="20"/>
      <c r="AO702" s="21"/>
      <c r="AP702" s="21"/>
      <c r="AQ702" s="5" t="s">
        <v>2074</v>
      </c>
      <c r="AR702" s="5" t="s">
        <v>2075</v>
      </c>
      <c r="AS702" s="5" t="s">
        <v>247</v>
      </c>
      <c r="AT702" s="20"/>
      <c r="AU702" s="21"/>
      <c r="AV702" s="21"/>
      <c r="AW702" s="144" t="str">
        <f t="shared" si="207"/>
        <v>OK</v>
      </c>
      <c r="AX702" s="21" t="s">
        <v>3129</v>
      </c>
      <c r="AY702" s="21">
        <v>0</v>
      </c>
      <c r="AZ702" s="21"/>
      <c r="BA702" s="21"/>
    </row>
    <row r="703" spans="1:53" ht="20" customHeight="1">
      <c r="A703" s="86" t="s">
        <v>318</v>
      </c>
      <c r="B703" s="372" t="s">
        <v>3033</v>
      </c>
      <c r="C703" s="5" t="s">
        <v>51</v>
      </c>
      <c r="D703" s="5" t="s">
        <v>52</v>
      </c>
      <c r="E703" s="5" t="s">
        <v>2035</v>
      </c>
      <c r="F703" s="5" t="s">
        <v>2110</v>
      </c>
      <c r="G703" s="5" t="s">
        <v>2111</v>
      </c>
      <c r="H703" s="6">
        <v>39664</v>
      </c>
      <c r="I703" s="5" t="s">
        <v>74</v>
      </c>
      <c r="J703" s="5" t="s">
        <v>2159</v>
      </c>
      <c r="K703" s="5" t="s">
        <v>76</v>
      </c>
      <c r="L703" s="7">
        <v>2</v>
      </c>
      <c r="M703" s="7">
        <v>4</v>
      </c>
      <c r="N703" s="8">
        <v>11633</v>
      </c>
      <c r="O703" s="88">
        <v>3.7500000000000006E-2</v>
      </c>
      <c r="P703" s="10">
        <f t="shared" si="196"/>
        <v>436</v>
      </c>
      <c r="Q703" s="88">
        <v>1.55E-2</v>
      </c>
      <c r="R703" s="10">
        <f t="shared" si="197"/>
        <v>180</v>
      </c>
      <c r="S703" s="88">
        <f t="shared" si="198"/>
        <v>5.295280667067824E-2</v>
      </c>
      <c r="T703" s="10">
        <f t="shared" si="199"/>
        <v>616</v>
      </c>
      <c r="U703" s="10">
        <f t="shared" si="200"/>
        <v>12249</v>
      </c>
      <c r="V703" s="11">
        <v>12800</v>
      </c>
      <c r="W703" s="12">
        <f t="shared" si="201"/>
        <v>1167</v>
      </c>
      <c r="X703" s="92">
        <f t="shared" si="212"/>
        <v>0.1003</v>
      </c>
      <c r="Y703" s="93" t="str">
        <f t="shared" si="209"/>
        <v>4.24%-6.35%</v>
      </c>
      <c r="Z703" s="15" t="s">
        <v>87</v>
      </c>
      <c r="AA703" s="15" t="s">
        <v>2160</v>
      </c>
      <c r="AB703" s="15" t="s">
        <v>89</v>
      </c>
      <c r="AC703" s="95">
        <v>0.05</v>
      </c>
      <c r="AD703" s="8">
        <f t="shared" si="202"/>
        <v>582</v>
      </c>
      <c r="AE703" s="17">
        <f t="shared" si="203"/>
        <v>13382</v>
      </c>
      <c r="AF703" s="18">
        <f t="shared" si="204"/>
        <v>1749</v>
      </c>
      <c r="AG703" s="97">
        <f t="shared" si="205"/>
        <v>0.15034814751138992</v>
      </c>
      <c r="AH703" s="20">
        <v>14</v>
      </c>
      <c r="AI703" s="20">
        <v>450</v>
      </c>
      <c r="AJ703" s="20"/>
      <c r="AK703" s="20">
        <v>688</v>
      </c>
      <c r="AL703" s="20">
        <f t="shared" si="206"/>
        <v>193436</v>
      </c>
      <c r="AM703" s="7">
        <v>4</v>
      </c>
      <c r="AN703" s="20"/>
      <c r="AO703" s="21" t="s">
        <v>2161</v>
      </c>
      <c r="AP703" s="21"/>
      <c r="AQ703" s="5" t="s">
        <v>2074</v>
      </c>
      <c r="AR703" s="5" t="s">
        <v>2075</v>
      </c>
      <c r="AS703" s="5" t="s">
        <v>247</v>
      </c>
      <c r="AT703" s="20"/>
      <c r="AU703" s="21"/>
      <c r="AV703" s="21"/>
      <c r="AW703" s="144" t="str">
        <f t="shared" si="207"/>
        <v>&gt;20</v>
      </c>
      <c r="AX703" s="21" t="s">
        <v>3129</v>
      </c>
      <c r="AY703" s="21" t="s">
        <v>3130</v>
      </c>
      <c r="AZ703" s="21"/>
      <c r="BA703" s="21"/>
    </row>
    <row r="704" spans="1:53" ht="20" customHeight="1">
      <c r="A704" s="86" t="s">
        <v>318</v>
      </c>
      <c r="B704" s="372" t="s">
        <v>3034</v>
      </c>
      <c r="C704" s="5" t="s">
        <v>51</v>
      </c>
      <c r="D704" s="5" t="s">
        <v>52</v>
      </c>
      <c r="E704" s="5" t="s">
        <v>2035</v>
      </c>
      <c r="F704" s="5" t="s">
        <v>2162</v>
      </c>
      <c r="G704" s="5" t="s">
        <v>2064</v>
      </c>
      <c r="H704" s="6">
        <v>43222</v>
      </c>
      <c r="I704" s="5" t="s">
        <v>111</v>
      </c>
      <c r="J704" s="5" t="s">
        <v>2163</v>
      </c>
      <c r="K704" s="5" t="s">
        <v>56</v>
      </c>
      <c r="L704" s="7">
        <v>2</v>
      </c>
      <c r="M704" s="7">
        <v>3</v>
      </c>
      <c r="N704" s="8">
        <v>15307</v>
      </c>
      <c r="O704" s="88">
        <v>3.5000000000000003E-2</v>
      </c>
      <c r="P704" s="10">
        <f t="shared" si="196"/>
        <v>536</v>
      </c>
      <c r="Q704" s="88">
        <v>0</v>
      </c>
      <c r="R704" s="10">
        <f t="shared" si="197"/>
        <v>0</v>
      </c>
      <c r="S704" s="88">
        <f t="shared" si="198"/>
        <v>3.5016659044881424E-2</v>
      </c>
      <c r="T704" s="10">
        <f t="shared" si="199"/>
        <v>536</v>
      </c>
      <c r="U704" s="10">
        <f t="shared" si="200"/>
        <v>15843</v>
      </c>
      <c r="V704" s="11">
        <v>15843</v>
      </c>
      <c r="W704" s="12">
        <f t="shared" si="201"/>
        <v>536</v>
      </c>
      <c r="X704" s="92">
        <f t="shared" si="212"/>
        <v>3.5000000000000003E-2</v>
      </c>
      <c r="Y704" s="93" t="str">
        <f t="shared" si="209"/>
        <v>2.80%-4.20%</v>
      </c>
      <c r="Z704" s="15"/>
      <c r="AA704" s="15"/>
      <c r="AB704" s="15"/>
      <c r="AC704" s="95"/>
      <c r="AD704" s="8">
        <f t="shared" si="202"/>
        <v>0</v>
      </c>
      <c r="AE704" s="17">
        <f t="shared" si="203"/>
        <v>15843</v>
      </c>
      <c r="AF704" s="18">
        <f t="shared" si="204"/>
        <v>536</v>
      </c>
      <c r="AG704" s="97">
        <f t="shared" si="205"/>
        <v>3.5016659044881493E-2</v>
      </c>
      <c r="AH704" s="20">
        <v>14</v>
      </c>
      <c r="AI704" s="20">
        <v>450</v>
      </c>
      <c r="AJ704" s="20"/>
      <c r="AK704" s="20">
        <v>688</v>
      </c>
      <c r="AL704" s="20">
        <f t="shared" si="206"/>
        <v>227890</v>
      </c>
      <c r="AM704" s="7">
        <v>5</v>
      </c>
      <c r="AN704" s="20"/>
      <c r="AO704" s="21"/>
      <c r="AP704" s="21"/>
      <c r="AQ704" s="5" t="s">
        <v>2164</v>
      </c>
      <c r="AR704" s="5" t="s">
        <v>58</v>
      </c>
      <c r="AS704" s="5" t="s">
        <v>247</v>
      </c>
      <c r="AT704" s="20"/>
      <c r="AU704" s="21"/>
      <c r="AV704" s="21"/>
      <c r="AW704" s="144" t="str">
        <f t="shared" si="207"/>
        <v>OK</v>
      </c>
      <c r="AX704" s="21" t="s">
        <v>3133</v>
      </c>
      <c r="AY704" s="21" t="s">
        <v>3141</v>
      </c>
      <c r="AZ704" s="21"/>
      <c r="BA704" s="21"/>
    </row>
    <row r="705" spans="1:53" ht="20" customHeight="1">
      <c r="A705" s="86" t="s">
        <v>318</v>
      </c>
      <c r="B705" s="372" t="s">
        <v>3035</v>
      </c>
      <c r="C705" s="5" t="s">
        <v>51</v>
      </c>
      <c r="D705" s="5" t="s">
        <v>52</v>
      </c>
      <c r="E705" s="5" t="s">
        <v>2035</v>
      </c>
      <c r="F705" s="5" t="s">
        <v>2165</v>
      </c>
      <c r="G705" s="5" t="s">
        <v>2064</v>
      </c>
      <c r="H705" s="6">
        <v>42921</v>
      </c>
      <c r="I705" s="5" t="s">
        <v>111</v>
      </c>
      <c r="J705" s="5" t="s">
        <v>2166</v>
      </c>
      <c r="K705" s="5" t="s">
        <v>56</v>
      </c>
      <c r="L705" s="7">
        <v>2</v>
      </c>
      <c r="M705" s="7">
        <v>2</v>
      </c>
      <c r="N705" s="8">
        <v>19674</v>
      </c>
      <c r="O705" s="88">
        <v>0</v>
      </c>
      <c r="P705" s="10">
        <f t="shared" si="196"/>
        <v>0</v>
      </c>
      <c r="Q705" s="88">
        <v>0</v>
      </c>
      <c r="R705" s="10">
        <f t="shared" si="197"/>
        <v>0</v>
      </c>
      <c r="S705" s="88">
        <f t="shared" si="198"/>
        <v>0</v>
      </c>
      <c r="T705" s="10">
        <f t="shared" si="199"/>
        <v>0</v>
      </c>
      <c r="U705" s="10">
        <f t="shared" si="200"/>
        <v>19674</v>
      </c>
      <c r="V705" s="11">
        <f t="shared" ref="V705:V706" si="213">U705</f>
        <v>19674</v>
      </c>
      <c r="W705" s="12">
        <f t="shared" si="201"/>
        <v>0</v>
      </c>
      <c r="X705" s="92">
        <f t="shared" si="212"/>
        <v>0</v>
      </c>
      <c r="Y705" s="93" t="str">
        <f t="shared" si="209"/>
        <v>0.00%-0.00%</v>
      </c>
      <c r="Z705" s="15"/>
      <c r="AA705" s="15"/>
      <c r="AB705" s="15"/>
      <c r="AC705" s="95"/>
      <c r="AD705" s="8">
        <f t="shared" si="202"/>
        <v>0</v>
      </c>
      <c r="AE705" s="17">
        <f t="shared" si="203"/>
        <v>19674</v>
      </c>
      <c r="AF705" s="18">
        <f t="shared" si="204"/>
        <v>0</v>
      </c>
      <c r="AG705" s="97">
        <f t="shared" si="205"/>
        <v>0</v>
      </c>
      <c r="AH705" s="20">
        <v>14</v>
      </c>
      <c r="AI705" s="20">
        <v>950</v>
      </c>
      <c r="AJ705" s="20"/>
      <c r="AK705" s="20">
        <v>688</v>
      </c>
      <c r="AL705" s="20">
        <f t="shared" si="206"/>
        <v>287524</v>
      </c>
      <c r="AM705" s="7">
        <v>3</v>
      </c>
      <c r="AN705" s="20"/>
      <c r="AO705" s="21"/>
      <c r="AP705" s="21"/>
      <c r="AQ705" s="5" t="s">
        <v>2164</v>
      </c>
      <c r="AR705" s="5" t="s">
        <v>58</v>
      </c>
      <c r="AS705" s="5" t="s">
        <v>247</v>
      </c>
      <c r="AT705" s="20"/>
      <c r="AU705" s="21"/>
      <c r="AV705" s="21"/>
      <c r="AW705" s="144" t="str">
        <f t="shared" si="207"/>
        <v>OK</v>
      </c>
      <c r="AX705" s="21" t="s">
        <v>3133</v>
      </c>
      <c r="AY705" s="21">
        <v>0</v>
      </c>
      <c r="AZ705" s="21"/>
      <c r="BA705" s="21"/>
    </row>
    <row r="706" spans="1:53" ht="20" customHeight="1">
      <c r="A706" s="86" t="s">
        <v>318</v>
      </c>
      <c r="B706" s="372" t="s">
        <v>3036</v>
      </c>
      <c r="C706" s="5" t="s">
        <v>51</v>
      </c>
      <c r="D706" s="5" t="s">
        <v>52</v>
      </c>
      <c r="E706" s="5" t="s">
        <v>2035</v>
      </c>
      <c r="F706" s="5" t="s">
        <v>2167</v>
      </c>
      <c r="G706" s="5" t="s">
        <v>2064</v>
      </c>
      <c r="H706" s="6">
        <v>38924</v>
      </c>
      <c r="I706" s="5" t="s">
        <v>111</v>
      </c>
      <c r="J706" s="5" t="s">
        <v>1585</v>
      </c>
      <c r="K706" s="5" t="s">
        <v>56</v>
      </c>
      <c r="L706" s="7">
        <v>2</v>
      </c>
      <c r="M706" s="7">
        <v>3</v>
      </c>
      <c r="N706" s="8">
        <v>18990</v>
      </c>
      <c r="O706" s="88">
        <v>0.03</v>
      </c>
      <c r="P706" s="10">
        <f t="shared" si="196"/>
        <v>570</v>
      </c>
      <c r="Q706" s="88">
        <v>0</v>
      </c>
      <c r="R706" s="10">
        <f t="shared" si="197"/>
        <v>0</v>
      </c>
      <c r="S706" s="88">
        <f t="shared" si="198"/>
        <v>3.0015797788309637E-2</v>
      </c>
      <c r="T706" s="10">
        <f t="shared" si="199"/>
        <v>570</v>
      </c>
      <c r="U706" s="10">
        <f t="shared" si="200"/>
        <v>19560</v>
      </c>
      <c r="V706" s="11">
        <f t="shared" si="213"/>
        <v>19560</v>
      </c>
      <c r="W706" s="12">
        <f t="shared" si="201"/>
        <v>570</v>
      </c>
      <c r="X706" s="92">
        <f t="shared" si="212"/>
        <v>0.03</v>
      </c>
      <c r="Y706" s="93" t="str">
        <f t="shared" si="209"/>
        <v>2.40%-3.60%</v>
      </c>
      <c r="Z706" s="15"/>
      <c r="AA706" s="15"/>
      <c r="AB706" s="15"/>
      <c r="AC706" s="95"/>
      <c r="AD706" s="8">
        <f t="shared" si="202"/>
        <v>0</v>
      </c>
      <c r="AE706" s="17">
        <f t="shared" si="203"/>
        <v>19560</v>
      </c>
      <c r="AF706" s="18">
        <f t="shared" si="204"/>
        <v>570</v>
      </c>
      <c r="AG706" s="97">
        <f t="shared" si="205"/>
        <v>3.0015797788309539E-2</v>
      </c>
      <c r="AH706" s="20">
        <v>14</v>
      </c>
      <c r="AI706" s="20">
        <v>450</v>
      </c>
      <c r="AJ706" s="20"/>
      <c r="AK706" s="20">
        <v>688</v>
      </c>
      <c r="AL706" s="20">
        <f t="shared" si="206"/>
        <v>279928</v>
      </c>
      <c r="AM706" s="7">
        <v>3</v>
      </c>
      <c r="AN706" s="20"/>
      <c r="AO706" s="21"/>
      <c r="AP706" s="21"/>
      <c r="AQ706" s="5" t="s">
        <v>2164</v>
      </c>
      <c r="AR706" s="5" t="s">
        <v>58</v>
      </c>
      <c r="AS706" s="5" t="s">
        <v>247</v>
      </c>
      <c r="AT706" s="20"/>
      <c r="AU706" s="21"/>
      <c r="AV706" s="21"/>
      <c r="AW706" s="144" t="str">
        <f t="shared" si="207"/>
        <v>OK</v>
      </c>
      <c r="AX706" s="21" t="s">
        <v>3129</v>
      </c>
      <c r="AY706" s="21" t="s">
        <v>3132</v>
      </c>
      <c r="AZ706" s="21"/>
      <c r="BA706" s="21"/>
    </row>
    <row r="707" spans="1:53" ht="20" customHeight="1">
      <c r="A707" s="86" t="s">
        <v>318</v>
      </c>
      <c r="B707" s="372" t="s">
        <v>3037</v>
      </c>
      <c r="C707" s="5" t="s">
        <v>51</v>
      </c>
      <c r="D707" s="5" t="s">
        <v>52</v>
      </c>
      <c r="E707" s="5" t="s">
        <v>2035</v>
      </c>
      <c r="F707" s="5" t="s">
        <v>2063</v>
      </c>
      <c r="G707" s="5" t="s">
        <v>2064</v>
      </c>
      <c r="H707" s="6">
        <v>41247</v>
      </c>
      <c r="I707" s="5" t="s">
        <v>226</v>
      </c>
      <c r="J707" s="5" t="s">
        <v>226</v>
      </c>
      <c r="K707" s="5" t="s">
        <v>84</v>
      </c>
      <c r="L707" s="7">
        <v>2</v>
      </c>
      <c r="M707" s="7">
        <v>3</v>
      </c>
      <c r="N707" s="8">
        <v>7431</v>
      </c>
      <c r="O707" s="88">
        <v>0</v>
      </c>
      <c r="P707" s="10">
        <f t="shared" si="196"/>
        <v>0</v>
      </c>
      <c r="Q707" s="88">
        <v>0</v>
      </c>
      <c r="R707" s="10">
        <f t="shared" si="197"/>
        <v>0</v>
      </c>
      <c r="S707" s="88">
        <f t="shared" si="198"/>
        <v>0</v>
      </c>
      <c r="T707" s="10">
        <f t="shared" si="199"/>
        <v>0</v>
      </c>
      <c r="U707" s="10">
        <f t="shared" si="200"/>
        <v>7431</v>
      </c>
      <c r="V707" s="11">
        <v>7431</v>
      </c>
      <c r="W707" s="12">
        <f t="shared" si="201"/>
        <v>0</v>
      </c>
      <c r="X707" s="92">
        <f t="shared" si="212"/>
        <v>0</v>
      </c>
      <c r="Y707" s="93" t="str">
        <f t="shared" si="209"/>
        <v>0.00%-0.00%</v>
      </c>
      <c r="Z707" s="15"/>
      <c r="AA707" s="15"/>
      <c r="AB707" s="15"/>
      <c r="AC707" s="95"/>
      <c r="AD707" s="8">
        <f t="shared" si="202"/>
        <v>0</v>
      </c>
      <c r="AE707" s="17">
        <f t="shared" si="203"/>
        <v>7431</v>
      </c>
      <c r="AF707" s="18">
        <f t="shared" si="204"/>
        <v>0</v>
      </c>
      <c r="AG707" s="97">
        <f t="shared" si="205"/>
        <v>0</v>
      </c>
      <c r="AH707" s="20">
        <v>14</v>
      </c>
      <c r="AI707" s="20">
        <v>450</v>
      </c>
      <c r="AJ707" s="20"/>
      <c r="AK707" s="20">
        <v>688</v>
      </c>
      <c r="AL707" s="20">
        <f t="shared" si="206"/>
        <v>110122</v>
      </c>
      <c r="AM707" s="7">
        <v>4</v>
      </c>
      <c r="AN707" s="20"/>
      <c r="AO707" s="21"/>
      <c r="AP707" s="21"/>
      <c r="AQ707" s="5" t="s">
        <v>2164</v>
      </c>
      <c r="AR707" s="5" t="s">
        <v>58</v>
      </c>
      <c r="AS707" s="5" t="s">
        <v>247</v>
      </c>
      <c r="AT707" s="20"/>
      <c r="AU707" s="21"/>
      <c r="AV707" s="21"/>
      <c r="AW707" s="144" t="str">
        <f t="shared" si="207"/>
        <v>OK</v>
      </c>
      <c r="AX707" s="21" t="s">
        <v>3135</v>
      </c>
      <c r="AY707" s="21" t="s">
        <v>3134</v>
      </c>
      <c r="AZ707" s="21"/>
      <c r="BA707" s="21"/>
    </row>
    <row r="708" spans="1:53" ht="20" customHeight="1">
      <c r="A708" s="86" t="s">
        <v>318</v>
      </c>
      <c r="B708" s="372" t="s">
        <v>3038</v>
      </c>
      <c r="C708" s="5" t="s">
        <v>51</v>
      </c>
      <c r="D708" s="5" t="s">
        <v>52</v>
      </c>
      <c r="E708" s="5" t="s">
        <v>2035</v>
      </c>
      <c r="F708" s="5" t="s">
        <v>2167</v>
      </c>
      <c r="G708" s="5" t="s">
        <v>2064</v>
      </c>
      <c r="H708" s="6">
        <v>38200</v>
      </c>
      <c r="I708" s="5" t="s">
        <v>82</v>
      </c>
      <c r="J708" s="5" t="s">
        <v>1510</v>
      </c>
      <c r="K708" s="5" t="s">
        <v>84</v>
      </c>
      <c r="L708" s="7">
        <v>2</v>
      </c>
      <c r="M708" s="7">
        <v>3</v>
      </c>
      <c r="N708" s="8">
        <v>8914</v>
      </c>
      <c r="O708" s="88">
        <v>0</v>
      </c>
      <c r="P708" s="10">
        <f t="shared" si="196"/>
        <v>0</v>
      </c>
      <c r="Q708" s="88">
        <v>0</v>
      </c>
      <c r="R708" s="10">
        <f t="shared" si="197"/>
        <v>0</v>
      </c>
      <c r="S708" s="88">
        <f t="shared" si="198"/>
        <v>0</v>
      </c>
      <c r="T708" s="10">
        <f t="shared" si="199"/>
        <v>0</v>
      </c>
      <c r="U708" s="10">
        <f t="shared" si="200"/>
        <v>8914</v>
      </c>
      <c r="V708" s="11">
        <v>8914</v>
      </c>
      <c r="W708" s="12">
        <f t="shared" si="201"/>
        <v>0</v>
      </c>
      <c r="X708" s="92">
        <f t="shared" si="212"/>
        <v>0</v>
      </c>
      <c r="Y708" s="93" t="str">
        <f t="shared" si="209"/>
        <v>0.00%-0.00%</v>
      </c>
      <c r="Z708" s="15"/>
      <c r="AA708" s="15"/>
      <c r="AB708" s="15"/>
      <c r="AC708" s="95"/>
      <c r="AD708" s="8">
        <f t="shared" si="202"/>
        <v>0</v>
      </c>
      <c r="AE708" s="17">
        <f t="shared" si="203"/>
        <v>8914</v>
      </c>
      <c r="AF708" s="18">
        <f t="shared" si="204"/>
        <v>0</v>
      </c>
      <c r="AG708" s="97">
        <f t="shared" si="205"/>
        <v>0</v>
      </c>
      <c r="AH708" s="20">
        <v>14</v>
      </c>
      <c r="AI708" s="20">
        <v>450</v>
      </c>
      <c r="AJ708" s="20"/>
      <c r="AK708" s="20">
        <v>688</v>
      </c>
      <c r="AL708" s="20">
        <f t="shared" si="206"/>
        <v>130884</v>
      </c>
      <c r="AM708" s="7">
        <v>3</v>
      </c>
      <c r="AN708" s="20"/>
      <c r="AO708" s="21"/>
      <c r="AP708" s="21"/>
      <c r="AQ708" s="5" t="s">
        <v>2164</v>
      </c>
      <c r="AR708" s="5" t="s">
        <v>58</v>
      </c>
      <c r="AS708" s="5" t="s">
        <v>247</v>
      </c>
      <c r="AT708" s="20"/>
      <c r="AU708" s="21"/>
      <c r="AV708" s="21"/>
      <c r="AW708" s="144" t="str">
        <f t="shared" si="207"/>
        <v>OK</v>
      </c>
      <c r="AX708" s="21" t="s">
        <v>3139</v>
      </c>
      <c r="AY708" s="21" t="s">
        <v>3134</v>
      </c>
      <c r="AZ708" s="21"/>
      <c r="BA708" s="21"/>
    </row>
    <row r="709" spans="1:53" ht="20" customHeight="1">
      <c r="A709" s="86" t="s">
        <v>318</v>
      </c>
      <c r="B709" s="372" t="s">
        <v>3039</v>
      </c>
      <c r="C709" s="5" t="s">
        <v>51</v>
      </c>
      <c r="D709" s="5" t="s">
        <v>52</v>
      </c>
      <c r="E709" s="5" t="s">
        <v>2035</v>
      </c>
      <c r="F709" s="5" t="s">
        <v>2168</v>
      </c>
      <c r="G709" s="5" t="s">
        <v>2064</v>
      </c>
      <c r="H709" s="6">
        <v>41852</v>
      </c>
      <c r="I709" s="5" t="s">
        <v>111</v>
      </c>
      <c r="J709" s="5" t="s">
        <v>1744</v>
      </c>
      <c r="K709" s="5" t="s">
        <v>56</v>
      </c>
      <c r="L709" s="7">
        <v>2</v>
      </c>
      <c r="M709" s="7">
        <v>4</v>
      </c>
      <c r="N709" s="8">
        <v>17670</v>
      </c>
      <c r="O709" s="88">
        <v>3.7500000000000006E-2</v>
      </c>
      <c r="P709" s="10">
        <f t="shared" si="196"/>
        <v>663</v>
      </c>
      <c r="Q709" s="88">
        <v>1.55E-2</v>
      </c>
      <c r="R709" s="10">
        <f t="shared" si="197"/>
        <v>274</v>
      </c>
      <c r="S709" s="88">
        <f t="shared" si="198"/>
        <v>5.3027730616864742E-2</v>
      </c>
      <c r="T709" s="10">
        <f t="shared" si="199"/>
        <v>937</v>
      </c>
      <c r="U709" s="10">
        <f t="shared" si="200"/>
        <v>18607</v>
      </c>
      <c r="V709" s="11">
        <v>18607</v>
      </c>
      <c r="W709" s="12">
        <f t="shared" si="201"/>
        <v>937</v>
      </c>
      <c r="X709" s="92">
        <f t="shared" si="212"/>
        <v>5.2999999999999999E-2</v>
      </c>
      <c r="Y709" s="93" t="str">
        <f t="shared" si="209"/>
        <v>4.24%-6.36%</v>
      </c>
      <c r="Z709" s="15"/>
      <c r="AA709" s="15"/>
      <c r="AB709" s="15"/>
      <c r="AC709" s="95"/>
      <c r="AD709" s="8">
        <f t="shared" si="202"/>
        <v>0</v>
      </c>
      <c r="AE709" s="17">
        <f t="shared" si="203"/>
        <v>18607</v>
      </c>
      <c r="AF709" s="18">
        <f t="shared" si="204"/>
        <v>937</v>
      </c>
      <c r="AG709" s="97">
        <f t="shared" si="205"/>
        <v>5.3027730616864721E-2</v>
      </c>
      <c r="AH709" s="20">
        <v>14</v>
      </c>
      <c r="AI709" s="20">
        <v>950</v>
      </c>
      <c r="AJ709" s="20"/>
      <c r="AK709" s="20">
        <v>688</v>
      </c>
      <c r="AL709" s="20">
        <f t="shared" si="206"/>
        <v>272586</v>
      </c>
      <c r="AM709" s="7">
        <v>3</v>
      </c>
      <c r="AN709" s="20"/>
      <c r="AO709" s="21"/>
      <c r="AP709" s="21"/>
      <c r="AQ709" s="5" t="s">
        <v>2164</v>
      </c>
      <c r="AR709" s="5" t="s">
        <v>58</v>
      </c>
      <c r="AS709" s="5" t="s">
        <v>247</v>
      </c>
      <c r="AT709" s="20"/>
      <c r="AU709" s="21"/>
      <c r="AV709" s="21"/>
      <c r="AW709" s="144" t="str">
        <f t="shared" si="207"/>
        <v>OK</v>
      </c>
      <c r="AX709" s="21" t="s">
        <v>3135</v>
      </c>
      <c r="AY709" s="21" t="s">
        <v>3130</v>
      </c>
      <c r="AZ709" s="21"/>
      <c r="BA709" s="21"/>
    </row>
    <row r="710" spans="1:53" ht="20" customHeight="1">
      <c r="A710" s="86" t="s">
        <v>318</v>
      </c>
      <c r="B710" s="372" t="s">
        <v>3040</v>
      </c>
      <c r="C710" s="5" t="s">
        <v>51</v>
      </c>
      <c r="D710" s="5" t="s">
        <v>52</v>
      </c>
      <c r="E710" s="5" t="s">
        <v>2035</v>
      </c>
      <c r="F710" s="5" t="s">
        <v>2170</v>
      </c>
      <c r="G710" s="5" t="s">
        <v>2171</v>
      </c>
      <c r="H710" s="6">
        <v>40378</v>
      </c>
      <c r="I710" s="5" t="s">
        <v>140</v>
      </c>
      <c r="J710" s="5" t="s">
        <v>140</v>
      </c>
      <c r="K710" s="5" t="s">
        <v>61</v>
      </c>
      <c r="L710" s="7">
        <v>2</v>
      </c>
      <c r="M710" s="7">
        <v>3</v>
      </c>
      <c r="N710" s="8">
        <v>16060</v>
      </c>
      <c r="O710" s="88">
        <v>2.5000000000000001E-2</v>
      </c>
      <c r="P710" s="10">
        <f t="shared" si="196"/>
        <v>402</v>
      </c>
      <c r="Q710" s="88">
        <v>0</v>
      </c>
      <c r="R710" s="10">
        <f t="shared" si="197"/>
        <v>0</v>
      </c>
      <c r="S710" s="88">
        <f t="shared" si="198"/>
        <v>2.5031133250311331E-2</v>
      </c>
      <c r="T710" s="10">
        <f t="shared" si="199"/>
        <v>402</v>
      </c>
      <c r="U710" s="10">
        <f t="shared" si="200"/>
        <v>16462</v>
      </c>
      <c r="V710" s="11">
        <v>16060</v>
      </c>
      <c r="W710" s="12">
        <f t="shared" si="201"/>
        <v>0</v>
      </c>
      <c r="X710" s="92">
        <f t="shared" si="212"/>
        <v>0</v>
      </c>
      <c r="Y710" s="93" t="str">
        <f t="shared" si="209"/>
        <v>2.00%-3.00%</v>
      </c>
      <c r="Z710" s="15"/>
      <c r="AA710" s="15"/>
      <c r="AB710" s="15"/>
      <c r="AC710" s="95"/>
      <c r="AD710" s="8">
        <f t="shared" si="202"/>
        <v>0</v>
      </c>
      <c r="AE710" s="17">
        <f t="shared" si="203"/>
        <v>16060</v>
      </c>
      <c r="AF710" s="18">
        <f t="shared" si="204"/>
        <v>0</v>
      </c>
      <c r="AG710" s="97">
        <f t="shared" si="205"/>
        <v>0</v>
      </c>
      <c r="AH710" s="20">
        <v>14</v>
      </c>
      <c r="AI710" s="20">
        <v>850</v>
      </c>
      <c r="AJ710" s="20"/>
      <c r="AK710" s="20">
        <v>688</v>
      </c>
      <c r="AL710" s="20">
        <f t="shared" si="206"/>
        <v>235728</v>
      </c>
      <c r="AM710" s="7">
        <v>3</v>
      </c>
      <c r="AN710" s="20"/>
      <c r="AO710" s="21"/>
      <c r="AP710" s="21"/>
      <c r="AQ710" s="5" t="s">
        <v>2172</v>
      </c>
      <c r="AR710" s="5" t="s">
        <v>58</v>
      </c>
      <c r="AS710" s="5" t="s">
        <v>247</v>
      </c>
      <c r="AT710" s="20"/>
      <c r="AU710" s="21"/>
      <c r="AV710" s="21"/>
      <c r="AW710" s="144" t="str">
        <f t="shared" si="207"/>
        <v>0 increase</v>
      </c>
      <c r="AX710" s="21" t="s">
        <v>3135</v>
      </c>
      <c r="AY710" s="21" t="s">
        <v>3130</v>
      </c>
      <c r="AZ710" s="21"/>
      <c r="BA710" s="21"/>
    </row>
    <row r="711" spans="1:53" ht="20" customHeight="1">
      <c r="A711" s="86" t="s">
        <v>318</v>
      </c>
      <c r="B711" s="372" t="s">
        <v>3041</v>
      </c>
      <c r="C711" s="5" t="s">
        <v>51</v>
      </c>
      <c r="D711" s="5" t="s">
        <v>52</v>
      </c>
      <c r="E711" s="5" t="s">
        <v>2035</v>
      </c>
      <c r="F711" s="5" t="s">
        <v>2173</v>
      </c>
      <c r="G711" s="5" t="s">
        <v>2174</v>
      </c>
      <c r="H711" s="6">
        <v>40259</v>
      </c>
      <c r="I711" s="5" t="s">
        <v>60</v>
      </c>
      <c r="J711" s="5" t="s">
        <v>60</v>
      </c>
      <c r="K711" s="5" t="s">
        <v>61</v>
      </c>
      <c r="L711" s="7">
        <v>2</v>
      </c>
      <c r="M711" s="7">
        <v>3</v>
      </c>
      <c r="N711" s="8">
        <v>15375</v>
      </c>
      <c r="O711" s="88">
        <v>2.5000000000000001E-2</v>
      </c>
      <c r="P711" s="10">
        <f t="shared" si="196"/>
        <v>384</v>
      </c>
      <c r="Q711" s="88">
        <v>0</v>
      </c>
      <c r="R711" s="10">
        <f t="shared" si="197"/>
        <v>0</v>
      </c>
      <c r="S711" s="88">
        <f t="shared" si="198"/>
        <v>2.4975609756097562E-2</v>
      </c>
      <c r="T711" s="10">
        <f t="shared" si="199"/>
        <v>384</v>
      </c>
      <c r="U711" s="10">
        <f t="shared" si="200"/>
        <v>15759</v>
      </c>
      <c r="V711" s="11">
        <v>15880</v>
      </c>
      <c r="W711" s="12">
        <f t="shared" si="201"/>
        <v>505</v>
      </c>
      <c r="X711" s="92">
        <f t="shared" si="212"/>
        <v>3.2800000000000003E-2</v>
      </c>
      <c r="Y711" s="93" t="str">
        <f t="shared" si="209"/>
        <v>2.00%-3.00%</v>
      </c>
      <c r="Z711" s="15"/>
      <c r="AA711" s="15"/>
      <c r="AB711" s="15"/>
      <c r="AC711" s="95"/>
      <c r="AD711" s="8">
        <f t="shared" si="202"/>
        <v>0</v>
      </c>
      <c r="AE711" s="17">
        <f t="shared" si="203"/>
        <v>15880</v>
      </c>
      <c r="AF711" s="18">
        <f t="shared" si="204"/>
        <v>505</v>
      </c>
      <c r="AG711" s="97">
        <f t="shared" si="205"/>
        <v>3.2845528455284656E-2</v>
      </c>
      <c r="AH711" s="20">
        <v>14</v>
      </c>
      <c r="AI711" s="20">
        <v>450</v>
      </c>
      <c r="AJ711" s="20"/>
      <c r="AK711" s="20">
        <v>688</v>
      </c>
      <c r="AL711" s="20">
        <f t="shared" si="206"/>
        <v>228408</v>
      </c>
      <c r="AM711" s="7">
        <v>3</v>
      </c>
      <c r="AN711" s="20"/>
      <c r="AO711" s="21" t="s">
        <v>2175</v>
      </c>
      <c r="AP711" s="21"/>
      <c r="AQ711" s="5" t="s">
        <v>2172</v>
      </c>
      <c r="AR711" s="5" t="s">
        <v>58</v>
      </c>
      <c r="AS711" s="5" t="s">
        <v>247</v>
      </c>
      <c r="AT711" s="20"/>
      <c r="AU711" s="21"/>
      <c r="AV711" s="21"/>
      <c r="AW711" s="144" t="str">
        <f t="shared" si="207"/>
        <v>OK</v>
      </c>
      <c r="AX711" s="21" t="s">
        <v>3129</v>
      </c>
      <c r="AY711" s="21" t="s">
        <v>3130</v>
      </c>
      <c r="AZ711" s="21"/>
      <c r="BA711" s="21"/>
    </row>
    <row r="712" spans="1:53" ht="20" customHeight="1">
      <c r="A712" s="86" t="s">
        <v>318</v>
      </c>
      <c r="B712" s="372" t="s">
        <v>3042</v>
      </c>
      <c r="C712" s="5" t="s">
        <v>51</v>
      </c>
      <c r="D712" s="5" t="s">
        <v>52</v>
      </c>
      <c r="E712" s="5" t="s">
        <v>2035</v>
      </c>
      <c r="F712" s="5" t="s">
        <v>2170</v>
      </c>
      <c r="G712" s="5" t="s">
        <v>2171</v>
      </c>
      <c r="H712" s="6">
        <v>44179</v>
      </c>
      <c r="I712" s="5" t="s">
        <v>74</v>
      </c>
      <c r="J712" s="5" t="s">
        <v>135</v>
      </c>
      <c r="K712" s="5" t="s">
        <v>76</v>
      </c>
      <c r="L712" s="7">
        <v>2</v>
      </c>
      <c r="M712" s="7">
        <v>5</v>
      </c>
      <c r="N712" s="8">
        <v>16000</v>
      </c>
      <c r="O712" s="88">
        <v>0.04</v>
      </c>
      <c r="P712" s="10">
        <f t="shared" si="196"/>
        <v>640</v>
      </c>
      <c r="Q712" s="88">
        <v>0</v>
      </c>
      <c r="R712" s="10">
        <f t="shared" si="197"/>
        <v>0</v>
      </c>
      <c r="S712" s="88">
        <f t="shared" si="198"/>
        <v>0.04</v>
      </c>
      <c r="T712" s="10">
        <f t="shared" si="199"/>
        <v>640</v>
      </c>
      <c r="U712" s="10">
        <f t="shared" si="200"/>
        <v>16640</v>
      </c>
      <c r="V712" s="11">
        <v>16200</v>
      </c>
      <c r="W712" s="12">
        <f t="shared" si="201"/>
        <v>200</v>
      </c>
      <c r="X712" s="92">
        <f t="shared" si="212"/>
        <v>1.2500000000000001E-2</v>
      </c>
      <c r="Y712" s="93" t="str">
        <f t="shared" si="209"/>
        <v>3.20%-4.80%</v>
      </c>
      <c r="Z712" s="15" t="s">
        <v>87</v>
      </c>
      <c r="AA712" s="15" t="s">
        <v>2176</v>
      </c>
      <c r="AB712" s="15" t="s">
        <v>89</v>
      </c>
      <c r="AC712" s="95">
        <v>9.2999999999999999E-2</v>
      </c>
      <c r="AD712" s="8">
        <f t="shared" si="202"/>
        <v>1488</v>
      </c>
      <c r="AE712" s="17">
        <f t="shared" si="203"/>
        <v>17688</v>
      </c>
      <c r="AF712" s="18">
        <f t="shared" si="204"/>
        <v>1688</v>
      </c>
      <c r="AG712" s="97">
        <f t="shared" si="205"/>
        <v>0.10549999999999993</v>
      </c>
      <c r="AH712" s="20">
        <v>14</v>
      </c>
      <c r="AI712" s="20">
        <v>450</v>
      </c>
      <c r="AJ712" s="20"/>
      <c r="AK712" s="20">
        <v>688</v>
      </c>
      <c r="AL712" s="20">
        <f t="shared" si="206"/>
        <v>253720</v>
      </c>
      <c r="AM712" s="7">
        <v>4</v>
      </c>
      <c r="AN712" s="20"/>
      <c r="AO712" s="21" t="s">
        <v>2177</v>
      </c>
      <c r="AP712" s="21"/>
      <c r="AQ712" s="5" t="s">
        <v>2172</v>
      </c>
      <c r="AR712" s="5" t="s">
        <v>58</v>
      </c>
      <c r="AS712" s="5" t="s">
        <v>247</v>
      </c>
      <c r="AT712" s="20"/>
      <c r="AU712" s="21"/>
      <c r="AV712" s="21"/>
      <c r="AW712" s="144" t="str">
        <f t="shared" si="207"/>
        <v>&lt;20</v>
      </c>
      <c r="AX712" s="21" t="s">
        <v>3131</v>
      </c>
      <c r="AY712" s="21" t="s">
        <v>3136</v>
      </c>
      <c r="AZ712" s="21"/>
      <c r="BA712" s="21"/>
    </row>
    <row r="713" spans="1:53" ht="20" customHeight="1">
      <c r="A713" s="86" t="s">
        <v>318</v>
      </c>
      <c r="B713" s="372" t="s">
        <v>3043</v>
      </c>
      <c r="C713" s="5" t="s">
        <v>51</v>
      </c>
      <c r="D713" s="5" t="s">
        <v>52</v>
      </c>
      <c r="E713" s="5" t="s">
        <v>2035</v>
      </c>
      <c r="F713" s="5" t="s">
        <v>2178</v>
      </c>
      <c r="G713" s="5" t="s">
        <v>2171</v>
      </c>
      <c r="H713" s="6">
        <v>43822</v>
      </c>
      <c r="I713" s="5" t="s">
        <v>71</v>
      </c>
      <c r="J713" s="5" t="s">
        <v>2179</v>
      </c>
      <c r="K713" s="5" t="s">
        <v>61</v>
      </c>
      <c r="L713" s="7">
        <v>2</v>
      </c>
      <c r="M713" s="7">
        <v>4</v>
      </c>
      <c r="N713" s="8">
        <v>15651</v>
      </c>
      <c r="O713" s="88">
        <v>4.4999999999999998E-2</v>
      </c>
      <c r="P713" s="10">
        <f t="shared" si="196"/>
        <v>704</v>
      </c>
      <c r="Q713" s="88">
        <v>4.2099999999999999E-2</v>
      </c>
      <c r="R713" s="10">
        <f t="shared" si="197"/>
        <v>659</v>
      </c>
      <c r="S713" s="88">
        <f t="shared" si="198"/>
        <v>8.7087087087087081E-2</v>
      </c>
      <c r="T713" s="10">
        <f t="shared" si="199"/>
        <v>1363</v>
      </c>
      <c r="U713" s="10">
        <f t="shared" si="200"/>
        <v>17014</v>
      </c>
      <c r="V713" s="11">
        <v>16750</v>
      </c>
      <c r="W713" s="12">
        <f t="shared" si="201"/>
        <v>1099</v>
      </c>
      <c r="X713" s="92">
        <f t="shared" si="212"/>
        <v>7.0199999999999999E-2</v>
      </c>
      <c r="Y713" s="93" t="str">
        <f t="shared" si="209"/>
        <v>6.97%-10.45%</v>
      </c>
      <c r="Z713" s="15"/>
      <c r="AA713" s="15"/>
      <c r="AB713" s="15"/>
      <c r="AC713" s="95"/>
      <c r="AD713" s="8">
        <f t="shared" si="202"/>
        <v>0</v>
      </c>
      <c r="AE713" s="17">
        <f t="shared" si="203"/>
        <v>16750</v>
      </c>
      <c r="AF713" s="18">
        <f t="shared" si="204"/>
        <v>1099</v>
      </c>
      <c r="AG713" s="97">
        <f t="shared" si="205"/>
        <v>7.0219155325538241E-2</v>
      </c>
      <c r="AH713" s="20">
        <v>14</v>
      </c>
      <c r="AI713" s="20">
        <v>450</v>
      </c>
      <c r="AJ713" s="20"/>
      <c r="AK713" s="20">
        <v>688</v>
      </c>
      <c r="AL713" s="20">
        <f t="shared" si="206"/>
        <v>240588</v>
      </c>
      <c r="AM713" s="7">
        <v>4</v>
      </c>
      <c r="AN713" s="20"/>
      <c r="AO713" s="21"/>
      <c r="AP713" s="21"/>
      <c r="AQ713" s="5" t="s">
        <v>2172</v>
      </c>
      <c r="AR713" s="5" t="s">
        <v>58</v>
      </c>
      <c r="AS713" s="5" t="s">
        <v>247</v>
      </c>
      <c r="AT713" s="20"/>
      <c r="AU713" s="21"/>
      <c r="AV713" s="21"/>
      <c r="AW713" s="144" t="str">
        <f t="shared" si="207"/>
        <v>OK</v>
      </c>
      <c r="AX713" s="21" t="s">
        <v>3133</v>
      </c>
      <c r="AY713" s="21" t="s">
        <v>3132</v>
      </c>
      <c r="AZ713" s="21"/>
      <c r="BA713" s="21"/>
    </row>
    <row r="714" spans="1:53" ht="20" customHeight="1">
      <c r="A714" s="86" t="s">
        <v>318</v>
      </c>
      <c r="B714" s="372" t="s">
        <v>3044</v>
      </c>
      <c r="C714" s="5" t="s">
        <v>51</v>
      </c>
      <c r="D714" s="5" t="s">
        <v>52</v>
      </c>
      <c r="E714" s="5" t="s">
        <v>2035</v>
      </c>
      <c r="F714" s="5" t="s">
        <v>2173</v>
      </c>
      <c r="G714" s="5" t="s">
        <v>2174</v>
      </c>
      <c r="H714" s="6">
        <v>44292</v>
      </c>
      <c r="I714" s="5" t="s">
        <v>140</v>
      </c>
      <c r="J714" s="5" t="s">
        <v>140</v>
      </c>
      <c r="K714" s="5" t="s">
        <v>61</v>
      </c>
      <c r="L714" s="7">
        <v>2</v>
      </c>
      <c r="M714" s="7">
        <v>4</v>
      </c>
      <c r="N714" s="8">
        <v>12100</v>
      </c>
      <c r="O714" s="88">
        <v>4.4999999999999998E-2</v>
      </c>
      <c r="P714" s="10">
        <f t="shared" si="196"/>
        <v>545</v>
      </c>
      <c r="Q714" s="88">
        <v>4.2099999999999999E-2</v>
      </c>
      <c r="R714" s="10">
        <f t="shared" si="197"/>
        <v>509</v>
      </c>
      <c r="S714" s="88">
        <f t="shared" si="198"/>
        <v>8.7107438016528926E-2</v>
      </c>
      <c r="T714" s="10">
        <f t="shared" si="199"/>
        <v>1054</v>
      </c>
      <c r="U714" s="10">
        <f t="shared" si="200"/>
        <v>13154</v>
      </c>
      <c r="V714" s="11">
        <v>13000</v>
      </c>
      <c r="W714" s="12">
        <f t="shared" si="201"/>
        <v>900</v>
      </c>
      <c r="X714" s="92">
        <f t="shared" si="212"/>
        <v>7.4399999999999994E-2</v>
      </c>
      <c r="Y714" s="93" t="str">
        <f t="shared" si="209"/>
        <v>6.97%-10.45%</v>
      </c>
      <c r="Z714" s="15"/>
      <c r="AA714" s="15"/>
      <c r="AB714" s="15"/>
      <c r="AC714" s="95"/>
      <c r="AD714" s="8">
        <f t="shared" si="202"/>
        <v>0</v>
      </c>
      <c r="AE714" s="17">
        <f t="shared" si="203"/>
        <v>13000</v>
      </c>
      <c r="AF714" s="18">
        <f t="shared" si="204"/>
        <v>900</v>
      </c>
      <c r="AG714" s="97">
        <f t="shared" si="205"/>
        <v>7.4380165289256173E-2</v>
      </c>
      <c r="AH714" s="20">
        <v>14</v>
      </c>
      <c r="AI714" s="20">
        <v>850</v>
      </c>
      <c r="AJ714" s="20"/>
      <c r="AK714" s="20">
        <v>688</v>
      </c>
      <c r="AL714" s="20">
        <f t="shared" si="206"/>
        <v>192888</v>
      </c>
      <c r="AM714" s="7">
        <v>4</v>
      </c>
      <c r="AN714" s="20"/>
      <c r="AO714" s="21"/>
      <c r="AP714" s="21"/>
      <c r="AQ714" s="5" t="s">
        <v>2172</v>
      </c>
      <c r="AR714" s="5" t="s">
        <v>58</v>
      </c>
      <c r="AS714" s="5" t="s">
        <v>247</v>
      </c>
      <c r="AT714" s="20"/>
      <c r="AU714" s="21"/>
      <c r="AV714" s="21"/>
      <c r="AW714" s="144" t="str">
        <f t="shared" si="207"/>
        <v>OK</v>
      </c>
      <c r="AX714" s="21" t="s">
        <v>3131</v>
      </c>
      <c r="AY714" s="21" t="s">
        <v>3132</v>
      </c>
      <c r="AZ714" s="21"/>
      <c r="BA714" s="21"/>
    </row>
    <row r="715" spans="1:53" ht="20" customHeight="1">
      <c r="A715" s="86" t="s">
        <v>318</v>
      </c>
      <c r="B715" s="372" t="s">
        <v>3045</v>
      </c>
      <c r="C715" s="5" t="s">
        <v>51</v>
      </c>
      <c r="D715" s="5" t="s">
        <v>52</v>
      </c>
      <c r="E715" s="5" t="s">
        <v>2035</v>
      </c>
      <c r="F715" s="5" t="s">
        <v>2173</v>
      </c>
      <c r="G715" s="5" t="s">
        <v>2174</v>
      </c>
      <c r="H715" s="6">
        <v>44385</v>
      </c>
      <c r="I715" s="5" t="s">
        <v>2180</v>
      </c>
      <c r="J715" s="5" t="s">
        <v>2180</v>
      </c>
      <c r="K715" s="5" t="s">
        <v>199</v>
      </c>
      <c r="L715" s="7">
        <v>2</v>
      </c>
      <c r="M715" s="7">
        <v>3</v>
      </c>
      <c r="N715" s="8">
        <v>64430</v>
      </c>
      <c r="O715" s="88">
        <v>0</v>
      </c>
      <c r="P715" s="10">
        <f t="shared" ref="P715:P764" si="214">ROUND(N715*O715,0)</f>
        <v>0</v>
      </c>
      <c r="Q715" s="88">
        <v>0</v>
      </c>
      <c r="R715" s="10">
        <f t="shared" ref="R715:R764" si="215">ROUND(N715*Q715,0)</f>
        <v>0</v>
      </c>
      <c r="S715" s="88">
        <f t="shared" ref="S715:S764" si="216">T715/N715</f>
        <v>0</v>
      </c>
      <c r="T715" s="10">
        <f t="shared" ref="T715:T764" si="217">P715+R715</f>
        <v>0</v>
      </c>
      <c r="U715" s="10">
        <f t="shared" ref="U715:U764" si="218">N715+T715</f>
        <v>64430</v>
      </c>
      <c r="V715" s="11">
        <f t="shared" ref="V715:V727" si="219">U715</f>
        <v>64430</v>
      </c>
      <c r="W715" s="12">
        <f t="shared" ref="W715:W764" si="220">V715-N715</f>
        <v>0</v>
      </c>
      <c r="X715" s="92">
        <f t="shared" si="212"/>
        <v>0</v>
      </c>
      <c r="Y715" s="93" t="str">
        <f t="shared" si="209"/>
        <v>0.00%-0.00%</v>
      </c>
      <c r="Z715" s="15"/>
      <c r="AA715" s="15"/>
      <c r="AB715" s="15"/>
      <c r="AC715" s="95"/>
      <c r="AD715" s="8">
        <f t="shared" ref="AD715:AD778" si="221">ROUND(N715*AC715,0)</f>
        <v>0</v>
      </c>
      <c r="AE715" s="17">
        <f t="shared" ref="AE715:AE764" si="222">V715+AD715</f>
        <v>64430</v>
      </c>
      <c r="AF715" s="18">
        <f t="shared" ref="AF715:AF764" si="223">AE715-N715</f>
        <v>0</v>
      </c>
      <c r="AG715" s="97">
        <f t="shared" ref="AG715:AG764" si="224">AE715/N715-1</f>
        <v>0</v>
      </c>
      <c r="AH715" s="20">
        <v>14</v>
      </c>
      <c r="AI715" s="20">
        <v>450</v>
      </c>
      <c r="AJ715" s="20">
        <v>1000</v>
      </c>
      <c r="AK715" s="20">
        <v>688</v>
      </c>
      <c r="AL715" s="20">
        <f t="shared" ref="AL715:AL764" si="225">AE715*AH715+AI715*12+AK715+IF(AB715="",AJ715,IF(AB715="D",5000,IF(AB715="C",1000,0)))*12</f>
        <v>920108</v>
      </c>
      <c r="AM715" s="7">
        <v>3</v>
      </c>
      <c r="AN715" s="20"/>
      <c r="AO715" s="21"/>
      <c r="AP715" s="21"/>
      <c r="AQ715" s="5" t="s">
        <v>2172</v>
      </c>
      <c r="AR715" s="5" t="s">
        <v>58</v>
      </c>
      <c r="AS715" s="5" t="s">
        <v>247</v>
      </c>
      <c r="AT715" s="20"/>
      <c r="AU715" s="21"/>
      <c r="AV715" s="21"/>
      <c r="AW715" s="144" t="str">
        <f t="shared" si="207"/>
        <v>OK</v>
      </c>
      <c r="AX715" s="21" t="s">
        <v>3131</v>
      </c>
      <c r="AY715" s="21" t="s">
        <v>3134</v>
      </c>
      <c r="AZ715" s="21"/>
      <c r="BA715" s="21"/>
    </row>
    <row r="716" spans="1:53" ht="20" customHeight="1">
      <c r="A716" s="86" t="s">
        <v>318</v>
      </c>
      <c r="B716" s="372" t="s">
        <v>3046</v>
      </c>
      <c r="C716" s="5" t="s">
        <v>51</v>
      </c>
      <c r="D716" s="5" t="s">
        <v>52</v>
      </c>
      <c r="E716" s="5" t="s">
        <v>2035</v>
      </c>
      <c r="F716" s="5" t="s">
        <v>2170</v>
      </c>
      <c r="G716" s="5" t="s">
        <v>2171</v>
      </c>
      <c r="H716" s="6">
        <v>44445</v>
      </c>
      <c r="I716" s="5" t="s">
        <v>60</v>
      </c>
      <c r="J716" s="5" t="s">
        <v>60</v>
      </c>
      <c r="K716" s="5" t="s">
        <v>61</v>
      </c>
      <c r="L716" s="7">
        <v>2</v>
      </c>
      <c r="M716" s="7">
        <v>3</v>
      </c>
      <c r="N716" s="8">
        <v>12522</v>
      </c>
      <c r="O716" s="88">
        <v>0.03</v>
      </c>
      <c r="P716" s="10">
        <f t="shared" si="214"/>
        <v>376</v>
      </c>
      <c r="Q716" s="88">
        <v>0</v>
      </c>
      <c r="R716" s="10">
        <f t="shared" si="215"/>
        <v>0</v>
      </c>
      <c r="S716" s="88">
        <f t="shared" si="216"/>
        <v>3.0027152212106691E-2</v>
      </c>
      <c r="T716" s="10">
        <f t="shared" si="217"/>
        <v>376</v>
      </c>
      <c r="U716" s="10">
        <f t="shared" si="218"/>
        <v>12898</v>
      </c>
      <c r="V716" s="11">
        <v>13500</v>
      </c>
      <c r="W716" s="12">
        <f t="shared" si="220"/>
        <v>978</v>
      </c>
      <c r="X716" s="92">
        <f t="shared" si="212"/>
        <v>7.8100000000000003E-2</v>
      </c>
      <c r="Y716" s="93" t="str">
        <f t="shared" si="209"/>
        <v>2.40%-3.60%</v>
      </c>
      <c r="Z716" s="15"/>
      <c r="AA716" s="15"/>
      <c r="AB716" s="15"/>
      <c r="AC716" s="95"/>
      <c r="AD716" s="8">
        <f t="shared" si="221"/>
        <v>0</v>
      </c>
      <c r="AE716" s="17">
        <f t="shared" si="222"/>
        <v>13500</v>
      </c>
      <c r="AF716" s="18">
        <f t="shared" si="223"/>
        <v>978</v>
      </c>
      <c r="AG716" s="97">
        <f t="shared" si="224"/>
        <v>7.8102539530426451E-2</v>
      </c>
      <c r="AH716" s="20">
        <v>14</v>
      </c>
      <c r="AI716" s="20">
        <v>450</v>
      </c>
      <c r="AJ716" s="20"/>
      <c r="AK716" s="20">
        <v>688</v>
      </c>
      <c r="AL716" s="20">
        <f t="shared" si="225"/>
        <v>195088</v>
      </c>
      <c r="AM716" s="7">
        <v>5</v>
      </c>
      <c r="AN716" s="20"/>
      <c r="AO716" s="21" t="s">
        <v>2181</v>
      </c>
      <c r="AP716" s="21"/>
      <c r="AQ716" s="5" t="s">
        <v>2172</v>
      </c>
      <c r="AR716" s="5" t="s">
        <v>58</v>
      </c>
      <c r="AS716" s="5" t="s">
        <v>247</v>
      </c>
      <c r="AT716" s="20"/>
      <c r="AU716" s="21"/>
      <c r="AV716" s="21"/>
      <c r="AW716" s="144" t="str">
        <f t="shared" si="207"/>
        <v>&gt;20</v>
      </c>
      <c r="AX716" s="21" t="s">
        <v>3131</v>
      </c>
      <c r="AY716" s="21" t="s">
        <v>3132</v>
      </c>
      <c r="AZ716" s="21"/>
      <c r="BA716" s="21"/>
    </row>
    <row r="717" spans="1:53" ht="20" customHeight="1">
      <c r="A717" s="86" t="s">
        <v>318</v>
      </c>
      <c r="B717" s="372" t="s">
        <v>3047</v>
      </c>
      <c r="C717" s="5" t="s">
        <v>51</v>
      </c>
      <c r="D717" s="5" t="s">
        <v>52</v>
      </c>
      <c r="E717" s="5" t="s">
        <v>2035</v>
      </c>
      <c r="F717" s="5" t="s">
        <v>2170</v>
      </c>
      <c r="G717" s="5" t="s">
        <v>2171</v>
      </c>
      <c r="H717" s="6">
        <v>44517</v>
      </c>
      <c r="I717" s="5" t="s">
        <v>82</v>
      </c>
      <c r="J717" s="5" t="s">
        <v>2182</v>
      </c>
      <c r="K717" s="5" t="s">
        <v>84</v>
      </c>
      <c r="L717" s="7">
        <v>2</v>
      </c>
      <c r="M717" s="7">
        <v>3</v>
      </c>
      <c r="N717" s="8">
        <v>11150</v>
      </c>
      <c r="O717" s="88">
        <v>2.5000000000000001E-2</v>
      </c>
      <c r="P717" s="10">
        <f t="shared" si="214"/>
        <v>279</v>
      </c>
      <c r="Q717" s="88">
        <v>0</v>
      </c>
      <c r="R717" s="10">
        <f t="shared" si="215"/>
        <v>0</v>
      </c>
      <c r="S717" s="88">
        <f t="shared" si="216"/>
        <v>2.5022421524663677E-2</v>
      </c>
      <c r="T717" s="10">
        <f t="shared" si="217"/>
        <v>279</v>
      </c>
      <c r="U717" s="10">
        <f t="shared" si="218"/>
        <v>11429</v>
      </c>
      <c r="V717" s="11">
        <f t="shared" si="219"/>
        <v>11429</v>
      </c>
      <c r="W717" s="12">
        <f t="shared" si="220"/>
        <v>279</v>
      </c>
      <c r="X717" s="92">
        <f t="shared" si="212"/>
        <v>2.5000000000000001E-2</v>
      </c>
      <c r="Y717" s="93" t="str">
        <f t="shared" si="209"/>
        <v>2.00%-3.00%</v>
      </c>
      <c r="Z717" s="15"/>
      <c r="AA717" s="15"/>
      <c r="AB717" s="15"/>
      <c r="AC717" s="95"/>
      <c r="AD717" s="8">
        <f t="shared" si="221"/>
        <v>0</v>
      </c>
      <c r="AE717" s="17">
        <f t="shared" si="222"/>
        <v>11429</v>
      </c>
      <c r="AF717" s="18">
        <f t="shared" si="223"/>
        <v>279</v>
      </c>
      <c r="AG717" s="97">
        <f t="shared" si="224"/>
        <v>2.5022421524663718E-2</v>
      </c>
      <c r="AH717" s="20">
        <v>14</v>
      </c>
      <c r="AI717" s="20">
        <v>450</v>
      </c>
      <c r="AJ717" s="20"/>
      <c r="AK717" s="20">
        <v>688</v>
      </c>
      <c r="AL717" s="20">
        <f t="shared" si="225"/>
        <v>166094</v>
      </c>
      <c r="AM717" s="7">
        <v>2</v>
      </c>
      <c r="AN717" s="20"/>
      <c r="AO717" s="21"/>
      <c r="AP717" s="21"/>
      <c r="AQ717" s="5" t="s">
        <v>2172</v>
      </c>
      <c r="AR717" s="5" t="s">
        <v>58</v>
      </c>
      <c r="AS717" s="5" t="s">
        <v>247</v>
      </c>
      <c r="AT717" s="20"/>
      <c r="AU717" s="21"/>
      <c r="AV717" s="21"/>
      <c r="AW717" s="144" t="str">
        <f t="shared" si="207"/>
        <v>OK</v>
      </c>
      <c r="AX717" s="21" t="s">
        <v>3131</v>
      </c>
      <c r="AY717" s="21" t="s">
        <v>3130</v>
      </c>
      <c r="AZ717" s="21"/>
      <c r="BA717" s="21"/>
    </row>
    <row r="718" spans="1:53" ht="20" customHeight="1">
      <c r="A718" s="86" t="s">
        <v>318</v>
      </c>
      <c r="B718" s="372" t="s">
        <v>3048</v>
      </c>
      <c r="C718" s="5" t="s">
        <v>51</v>
      </c>
      <c r="D718" s="5" t="s">
        <v>52</v>
      </c>
      <c r="E718" s="5" t="s">
        <v>2035</v>
      </c>
      <c r="F718" s="5" t="s">
        <v>2169</v>
      </c>
      <c r="G718" s="5" t="s">
        <v>2171</v>
      </c>
      <c r="H718" s="6">
        <v>44671</v>
      </c>
      <c r="I718" s="5" t="s">
        <v>82</v>
      </c>
      <c r="J718" s="5" t="s">
        <v>2183</v>
      </c>
      <c r="K718" s="5" t="s">
        <v>84</v>
      </c>
      <c r="L718" s="7">
        <v>2</v>
      </c>
      <c r="M718" s="7">
        <v>3</v>
      </c>
      <c r="N718" s="8">
        <v>8066</v>
      </c>
      <c r="O718" s="88">
        <v>0.03</v>
      </c>
      <c r="P718" s="10">
        <f t="shared" si="214"/>
        <v>242</v>
      </c>
      <c r="Q718" s="88">
        <v>0</v>
      </c>
      <c r="R718" s="10">
        <f t="shared" si="215"/>
        <v>0</v>
      </c>
      <c r="S718" s="88">
        <f t="shared" si="216"/>
        <v>3.0002479543763949E-2</v>
      </c>
      <c r="T718" s="10">
        <f t="shared" si="217"/>
        <v>242</v>
      </c>
      <c r="U718" s="10">
        <f t="shared" si="218"/>
        <v>8308</v>
      </c>
      <c r="V718" s="11">
        <v>8500</v>
      </c>
      <c r="W718" s="12">
        <f t="shared" si="220"/>
        <v>434</v>
      </c>
      <c r="X718" s="92">
        <f t="shared" si="212"/>
        <v>5.3800000000000001E-2</v>
      </c>
      <c r="Y718" s="93" t="str">
        <f t="shared" si="209"/>
        <v>2.40%-3.60%</v>
      </c>
      <c r="Z718" s="15"/>
      <c r="AA718" s="15"/>
      <c r="AB718" s="15"/>
      <c r="AC718" s="95"/>
      <c r="AD718" s="8">
        <f t="shared" si="221"/>
        <v>0</v>
      </c>
      <c r="AE718" s="17">
        <f t="shared" si="222"/>
        <v>8500</v>
      </c>
      <c r="AF718" s="18">
        <f t="shared" si="223"/>
        <v>434</v>
      </c>
      <c r="AG718" s="97">
        <f t="shared" si="224"/>
        <v>5.3806099677659258E-2</v>
      </c>
      <c r="AH718" s="20">
        <v>14</v>
      </c>
      <c r="AI718" s="20">
        <v>450</v>
      </c>
      <c r="AJ718" s="20"/>
      <c r="AK718" s="20">
        <v>688</v>
      </c>
      <c r="AL718" s="20">
        <f t="shared" si="225"/>
        <v>125088</v>
      </c>
      <c r="AM718" s="7">
        <v>3</v>
      </c>
      <c r="AN718" s="20"/>
      <c r="AO718" s="21" t="s">
        <v>2184</v>
      </c>
      <c r="AP718" s="21"/>
      <c r="AQ718" s="5" t="s">
        <v>2172</v>
      </c>
      <c r="AR718" s="5" t="s">
        <v>58</v>
      </c>
      <c r="AS718" s="5" t="s">
        <v>247</v>
      </c>
      <c r="AT718" s="20"/>
      <c r="AU718" s="21"/>
      <c r="AV718" s="21"/>
      <c r="AW718" s="144" t="str">
        <f t="shared" si="207"/>
        <v>&gt;20</v>
      </c>
      <c r="AX718" s="21" t="s">
        <v>3131</v>
      </c>
      <c r="AY718" s="21" t="s">
        <v>3132</v>
      </c>
      <c r="AZ718" s="21"/>
      <c r="BA718" s="21"/>
    </row>
    <row r="719" spans="1:53" ht="20" customHeight="1">
      <c r="A719" s="86" t="s">
        <v>318</v>
      </c>
      <c r="B719" s="372" t="s">
        <v>3049</v>
      </c>
      <c r="C719" s="5" t="s">
        <v>51</v>
      </c>
      <c r="D719" s="5" t="s">
        <v>52</v>
      </c>
      <c r="E719" s="5" t="s">
        <v>2035</v>
      </c>
      <c r="F719" s="5" t="s">
        <v>2178</v>
      </c>
      <c r="G719" s="5" t="s">
        <v>2171</v>
      </c>
      <c r="H719" s="6">
        <v>40735</v>
      </c>
      <c r="I719" s="5" t="s">
        <v>174</v>
      </c>
      <c r="J719" s="5" t="s">
        <v>174</v>
      </c>
      <c r="K719" s="5" t="s">
        <v>175</v>
      </c>
      <c r="L719" s="7">
        <v>2</v>
      </c>
      <c r="M719" s="7">
        <v>3</v>
      </c>
      <c r="N719" s="8">
        <v>8000</v>
      </c>
      <c r="O719" s="88">
        <v>2.5000000000000001E-2</v>
      </c>
      <c r="P719" s="10">
        <f t="shared" si="214"/>
        <v>200</v>
      </c>
      <c r="Q719" s="88">
        <v>0</v>
      </c>
      <c r="R719" s="10">
        <f t="shared" si="215"/>
        <v>0</v>
      </c>
      <c r="S719" s="88">
        <f t="shared" si="216"/>
        <v>2.5000000000000001E-2</v>
      </c>
      <c r="T719" s="10">
        <f t="shared" si="217"/>
        <v>200</v>
      </c>
      <c r="U719" s="10">
        <f t="shared" si="218"/>
        <v>8200</v>
      </c>
      <c r="V719" s="11">
        <v>8360</v>
      </c>
      <c r="W719" s="12">
        <f t="shared" si="220"/>
        <v>360</v>
      </c>
      <c r="X719" s="92">
        <f t="shared" si="212"/>
        <v>4.4999999999999998E-2</v>
      </c>
      <c r="Y719" s="93" t="str">
        <f t="shared" si="209"/>
        <v>2.00%-3.00%</v>
      </c>
      <c r="Z719" s="15"/>
      <c r="AA719" s="15"/>
      <c r="AB719" s="15"/>
      <c r="AC719" s="95"/>
      <c r="AD719" s="8">
        <f t="shared" si="221"/>
        <v>0</v>
      </c>
      <c r="AE719" s="17">
        <f t="shared" si="222"/>
        <v>8360</v>
      </c>
      <c r="AF719" s="18">
        <f t="shared" si="223"/>
        <v>360</v>
      </c>
      <c r="AG719" s="97">
        <f t="shared" si="224"/>
        <v>4.4999999999999929E-2</v>
      </c>
      <c r="AH719" s="20">
        <v>14</v>
      </c>
      <c r="AI719" s="20">
        <v>450</v>
      </c>
      <c r="AJ719" s="20"/>
      <c r="AK719" s="20">
        <v>688</v>
      </c>
      <c r="AL719" s="20">
        <f t="shared" si="225"/>
        <v>123128</v>
      </c>
      <c r="AM719" s="7">
        <v>3</v>
      </c>
      <c r="AN719" s="20"/>
      <c r="AO719" s="21" t="s">
        <v>2185</v>
      </c>
      <c r="AP719" s="21"/>
      <c r="AQ719" s="5" t="s">
        <v>2172</v>
      </c>
      <c r="AR719" s="5" t="s">
        <v>58</v>
      </c>
      <c r="AS719" s="5" t="s">
        <v>247</v>
      </c>
      <c r="AT719" s="20"/>
      <c r="AU719" s="21"/>
      <c r="AV719" s="21"/>
      <c r="AW719" s="144" t="str">
        <f t="shared" si="207"/>
        <v>&gt;20</v>
      </c>
      <c r="AX719" s="21" t="s">
        <v>3135</v>
      </c>
      <c r="AY719" s="21" t="s">
        <v>3130</v>
      </c>
      <c r="AZ719" s="21"/>
      <c r="BA719" s="21"/>
    </row>
    <row r="720" spans="1:53" ht="20" customHeight="1">
      <c r="A720" s="86" t="s">
        <v>318</v>
      </c>
      <c r="B720" s="372" t="s">
        <v>3050</v>
      </c>
      <c r="C720" s="5" t="s">
        <v>51</v>
      </c>
      <c r="D720" s="5" t="s">
        <v>52</v>
      </c>
      <c r="E720" s="5" t="s">
        <v>2035</v>
      </c>
      <c r="F720" s="5" t="s">
        <v>2186</v>
      </c>
      <c r="G720" s="5" t="s">
        <v>2187</v>
      </c>
      <c r="H720" s="6">
        <v>38930</v>
      </c>
      <c r="I720" s="5" t="s">
        <v>111</v>
      </c>
      <c r="J720" s="5" t="s">
        <v>2188</v>
      </c>
      <c r="K720" s="5" t="s">
        <v>56</v>
      </c>
      <c r="L720" s="7">
        <v>2</v>
      </c>
      <c r="M720" s="7">
        <v>5</v>
      </c>
      <c r="N720" s="8">
        <v>15600</v>
      </c>
      <c r="O720" s="88">
        <v>0.06</v>
      </c>
      <c r="P720" s="10">
        <f t="shared" si="214"/>
        <v>936</v>
      </c>
      <c r="Q720" s="88">
        <v>7.7799999999999994E-2</v>
      </c>
      <c r="R720" s="10">
        <f t="shared" si="215"/>
        <v>1214</v>
      </c>
      <c r="S720" s="88">
        <f t="shared" si="216"/>
        <v>0.13782051282051283</v>
      </c>
      <c r="T720" s="10">
        <f t="shared" si="217"/>
        <v>2150</v>
      </c>
      <c r="U720" s="10">
        <f t="shared" si="218"/>
        <v>17750</v>
      </c>
      <c r="V720" s="11">
        <v>17320</v>
      </c>
      <c r="W720" s="12">
        <f t="shared" si="220"/>
        <v>1720</v>
      </c>
      <c r="X720" s="92">
        <f t="shared" si="212"/>
        <v>0.1103</v>
      </c>
      <c r="Y720" s="93" t="str">
        <f t="shared" si="209"/>
        <v>11.03%-16.54%</v>
      </c>
      <c r="Z720" s="15"/>
      <c r="AA720" s="15"/>
      <c r="AB720" s="15"/>
      <c r="AC720" s="95"/>
      <c r="AD720" s="8">
        <f t="shared" si="221"/>
        <v>0</v>
      </c>
      <c r="AE720" s="17">
        <f t="shared" si="222"/>
        <v>17320</v>
      </c>
      <c r="AF720" s="18">
        <f t="shared" si="223"/>
        <v>1720</v>
      </c>
      <c r="AG720" s="97">
        <f t="shared" si="224"/>
        <v>0.11025641025641031</v>
      </c>
      <c r="AH720" s="20">
        <v>14</v>
      </c>
      <c r="AI720" s="20">
        <v>900</v>
      </c>
      <c r="AJ720" s="20"/>
      <c r="AK720" s="20">
        <v>688</v>
      </c>
      <c r="AL720" s="20">
        <f t="shared" si="225"/>
        <v>253968</v>
      </c>
      <c r="AM720" s="7">
        <v>3</v>
      </c>
      <c r="AN720" s="20"/>
      <c r="AO720" s="21"/>
      <c r="AP720" s="21"/>
      <c r="AQ720" s="5" t="s">
        <v>2172</v>
      </c>
      <c r="AR720" s="5" t="s">
        <v>58</v>
      </c>
      <c r="AS720" s="5" t="s">
        <v>247</v>
      </c>
      <c r="AT720" s="20"/>
      <c r="AU720" s="21"/>
      <c r="AV720" s="21"/>
      <c r="AW720" s="144" t="str">
        <f t="shared" si="207"/>
        <v>OK</v>
      </c>
      <c r="AX720" s="21" t="s">
        <v>3129</v>
      </c>
      <c r="AY720" s="21">
        <v>0</v>
      </c>
      <c r="AZ720" s="21"/>
      <c r="BA720" s="21"/>
    </row>
    <row r="721" spans="1:53" ht="20" customHeight="1">
      <c r="A721" s="86" t="s">
        <v>318</v>
      </c>
      <c r="B721" s="372" t="s">
        <v>3051</v>
      </c>
      <c r="C721" s="5" t="s">
        <v>51</v>
      </c>
      <c r="D721" s="5" t="s">
        <v>52</v>
      </c>
      <c r="E721" s="5" t="s">
        <v>2035</v>
      </c>
      <c r="F721" s="5" t="s">
        <v>2178</v>
      </c>
      <c r="G721" s="5" t="s">
        <v>2171</v>
      </c>
      <c r="H721" s="6">
        <v>37823</v>
      </c>
      <c r="I721" s="5" t="s">
        <v>140</v>
      </c>
      <c r="J721" s="5" t="s">
        <v>140</v>
      </c>
      <c r="K721" s="5" t="s">
        <v>61</v>
      </c>
      <c r="L721" s="7">
        <v>2</v>
      </c>
      <c r="M721" s="7">
        <v>3</v>
      </c>
      <c r="N721" s="8">
        <v>15700</v>
      </c>
      <c r="O721" s="88">
        <v>2.5000000000000001E-2</v>
      </c>
      <c r="P721" s="10">
        <f t="shared" si="214"/>
        <v>393</v>
      </c>
      <c r="Q721" s="88">
        <v>0</v>
      </c>
      <c r="R721" s="10">
        <f t="shared" si="215"/>
        <v>0</v>
      </c>
      <c r="S721" s="88">
        <f t="shared" si="216"/>
        <v>2.5031847133757962E-2</v>
      </c>
      <c r="T721" s="10">
        <f t="shared" si="217"/>
        <v>393</v>
      </c>
      <c r="U721" s="10">
        <f t="shared" si="218"/>
        <v>16093</v>
      </c>
      <c r="V721" s="11">
        <f t="shared" si="219"/>
        <v>16093</v>
      </c>
      <c r="W721" s="12">
        <f t="shared" si="220"/>
        <v>393</v>
      </c>
      <c r="X721" s="92">
        <f t="shared" si="212"/>
        <v>2.5000000000000001E-2</v>
      </c>
      <c r="Y721" s="93" t="str">
        <f t="shared" si="209"/>
        <v>2.00%-3.00%</v>
      </c>
      <c r="Z721" s="15"/>
      <c r="AA721" s="15"/>
      <c r="AB721" s="15"/>
      <c r="AC721" s="95"/>
      <c r="AD721" s="8">
        <f t="shared" si="221"/>
        <v>0</v>
      </c>
      <c r="AE721" s="17">
        <f t="shared" si="222"/>
        <v>16093</v>
      </c>
      <c r="AF721" s="18">
        <f t="shared" si="223"/>
        <v>393</v>
      </c>
      <c r="AG721" s="97">
        <f t="shared" si="224"/>
        <v>2.5031847133758056E-2</v>
      </c>
      <c r="AH721" s="20">
        <v>14</v>
      </c>
      <c r="AI721" s="20">
        <v>450</v>
      </c>
      <c r="AJ721" s="20"/>
      <c r="AK721" s="20">
        <v>688</v>
      </c>
      <c r="AL721" s="20">
        <f t="shared" si="225"/>
        <v>231390</v>
      </c>
      <c r="AM721" s="7">
        <v>3</v>
      </c>
      <c r="AN721" s="20"/>
      <c r="AO721" s="21"/>
      <c r="AP721" s="21"/>
      <c r="AQ721" s="5" t="s">
        <v>2172</v>
      </c>
      <c r="AR721" s="5" t="s">
        <v>58</v>
      </c>
      <c r="AS721" s="5" t="s">
        <v>247</v>
      </c>
      <c r="AT721" s="20"/>
      <c r="AU721" s="21"/>
      <c r="AV721" s="21"/>
      <c r="AW721" s="144" t="str">
        <f t="shared" ref="AW721:AW784" si="226">_xlfn.LET(_xlpm.actual,X721,_xlpm.low,VALUE(_xlfn.TEXTBEFORE(Y721,"-")),_xlpm.high,VALUE(_xlfn.TEXTAFTER(Y721,"-")),IF(AND(_xlpm.actual=0,OR(_xlpm.low&lt;&gt;0,_xlpm.high&lt;&gt;0)),"0 increase",IF(_xlpm.actual&gt;_xlpm.high*1.2,"&gt;20",IF(_xlpm.actual&lt;_xlpm.low*0.8,"&lt;20","OK"))))</f>
        <v>OK</v>
      </c>
      <c r="AX721" s="21" t="s">
        <v>3139</v>
      </c>
      <c r="AY721" s="21" t="s">
        <v>3130</v>
      </c>
      <c r="AZ721" s="21"/>
      <c r="BA721" s="21"/>
    </row>
    <row r="722" spans="1:53" ht="20" customHeight="1">
      <c r="A722" s="86" t="s">
        <v>318</v>
      </c>
      <c r="B722" s="372" t="s">
        <v>3052</v>
      </c>
      <c r="C722" s="5" t="s">
        <v>51</v>
      </c>
      <c r="D722" s="5" t="s">
        <v>52</v>
      </c>
      <c r="E722" s="5" t="s">
        <v>2035</v>
      </c>
      <c r="F722" s="5" t="s">
        <v>2178</v>
      </c>
      <c r="G722" s="5" t="s">
        <v>2171</v>
      </c>
      <c r="H722" s="6">
        <v>44323</v>
      </c>
      <c r="I722" s="5" t="s">
        <v>82</v>
      </c>
      <c r="J722" s="5" t="s">
        <v>122</v>
      </c>
      <c r="K722" s="5" t="s">
        <v>84</v>
      </c>
      <c r="L722" s="7">
        <v>2</v>
      </c>
      <c r="M722" s="7">
        <v>3</v>
      </c>
      <c r="N722" s="8">
        <v>9800</v>
      </c>
      <c r="O722" s="88">
        <v>2.5000000000000001E-2</v>
      </c>
      <c r="P722" s="10">
        <f t="shared" si="214"/>
        <v>245</v>
      </c>
      <c r="Q722" s="88">
        <v>0</v>
      </c>
      <c r="R722" s="10">
        <f t="shared" si="215"/>
        <v>0</v>
      </c>
      <c r="S722" s="88">
        <f t="shared" si="216"/>
        <v>2.5000000000000001E-2</v>
      </c>
      <c r="T722" s="10">
        <f t="shared" si="217"/>
        <v>245</v>
      </c>
      <c r="U722" s="10">
        <f t="shared" si="218"/>
        <v>10045</v>
      </c>
      <c r="V722" s="11">
        <v>9800</v>
      </c>
      <c r="W722" s="12">
        <f t="shared" si="220"/>
        <v>0</v>
      </c>
      <c r="X722" s="92">
        <f t="shared" si="212"/>
        <v>0</v>
      </c>
      <c r="Y722" s="93" t="str">
        <f t="shared" si="209"/>
        <v>2.00%-3.00%</v>
      </c>
      <c r="Z722" s="15"/>
      <c r="AA722" s="15"/>
      <c r="AB722" s="15"/>
      <c r="AC722" s="95"/>
      <c r="AD722" s="8">
        <f t="shared" si="221"/>
        <v>0</v>
      </c>
      <c r="AE722" s="17">
        <f t="shared" si="222"/>
        <v>9800</v>
      </c>
      <c r="AF722" s="18">
        <f t="shared" si="223"/>
        <v>0</v>
      </c>
      <c r="AG722" s="97">
        <f t="shared" si="224"/>
        <v>0</v>
      </c>
      <c r="AH722" s="20">
        <v>14</v>
      </c>
      <c r="AI722" s="20">
        <v>450</v>
      </c>
      <c r="AJ722" s="20"/>
      <c r="AK722" s="20">
        <v>688</v>
      </c>
      <c r="AL722" s="20">
        <f t="shared" si="225"/>
        <v>143288</v>
      </c>
      <c r="AM722" s="7">
        <v>3</v>
      </c>
      <c r="AN722" s="20"/>
      <c r="AO722" s="21"/>
      <c r="AP722" s="21"/>
      <c r="AQ722" s="5" t="s">
        <v>2172</v>
      </c>
      <c r="AR722" s="5" t="s">
        <v>58</v>
      </c>
      <c r="AS722" s="5" t="s">
        <v>247</v>
      </c>
      <c r="AT722" s="20"/>
      <c r="AU722" s="21"/>
      <c r="AV722" s="21"/>
      <c r="AW722" s="144" t="str">
        <f t="shared" si="226"/>
        <v>0 increase</v>
      </c>
      <c r="AX722" s="21" t="s">
        <v>3131</v>
      </c>
      <c r="AY722" s="21" t="s">
        <v>3130</v>
      </c>
      <c r="AZ722" s="21"/>
      <c r="BA722" s="21"/>
    </row>
    <row r="723" spans="1:53" ht="20" customHeight="1">
      <c r="A723" s="86" t="s">
        <v>318</v>
      </c>
      <c r="B723" s="372" t="s">
        <v>3053</v>
      </c>
      <c r="C723" s="5" t="s">
        <v>51</v>
      </c>
      <c r="D723" s="5" t="s">
        <v>52</v>
      </c>
      <c r="E723" s="5" t="s">
        <v>2035</v>
      </c>
      <c r="F723" s="5" t="s">
        <v>2190</v>
      </c>
      <c r="G723" s="5" t="s">
        <v>2174</v>
      </c>
      <c r="H723" s="6">
        <v>40391</v>
      </c>
      <c r="I723" s="5" t="s">
        <v>71</v>
      </c>
      <c r="J723" s="5" t="s">
        <v>2191</v>
      </c>
      <c r="K723" s="5" t="s">
        <v>61</v>
      </c>
      <c r="L723" s="7">
        <v>2</v>
      </c>
      <c r="M723" s="7">
        <v>3</v>
      </c>
      <c r="N723" s="8">
        <v>10680</v>
      </c>
      <c r="O723" s="88">
        <v>0.03</v>
      </c>
      <c r="P723" s="10">
        <f t="shared" si="214"/>
        <v>320</v>
      </c>
      <c r="Q723" s="88">
        <v>0</v>
      </c>
      <c r="R723" s="10">
        <f t="shared" si="215"/>
        <v>0</v>
      </c>
      <c r="S723" s="88">
        <f t="shared" si="216"/>
        <v>2.9962546816479401E-2</v>
      </c>
      <c r="T723" s="10">
        <f t="shared" si="217"/>
        <v>320</v>
      </c>
      <c r="U723" s="10">
        <f t="shared" si="218"/>
        <v>11000</v>
      </c>
      <c r="V723" s="11">
        <v>11215</v>
      </c>
      <c r="W723" s="12">
        <f t="shared" si="220"/>
        <v>535</v>
      </c>
      <c r="X723" s="92">
        <f t="shared" si="212"/>
        <v>5.0099999999999999E-2</v>
      </c>
      <c r="Y723" s="93" t="str">
        <f t="shared" si="209"/>
        <v>2.40%-3.60%</v>
      </c>
      <c r="Z723" s="15"/>
      <c r="AA723" s="15"/>
      <c r="AB723" s="15"/>
      <c r="AC723" s="95"/>
      <c r="AD723" s="8">
        <f t="shared" si="221"/>
        <v>0</v>
      </c>
      <c r="AE723" s="17">
        <f t="shared" si="222"/>
        <v>11215</v>
      </c>
      <c r="AF723" s="18">
        <f t="shared" si="223"/>
        <v>535</v>
      </c>
      <c r="AG723" s="97">
        <f t="shared" si="224"/>
        <v>5.0093632958801537E-2</v>
      </c>
      <c r="AH723" s="20">
        <v>14</v>
      </c>
      <c r="AI723" s="20">
        <v>450</v>
      </c>
      <c r="AJ723" s="20"/>
      <c r="AK723" s="20">
        <v>688</v>
      </c>
      <c r="AL723" s="20">
        <f t="shared" si="225"/>
        <v>163098</v>
      </c>
      <c r="AM723" s="7">
        <v>3</v>
      </c>
      <c r="AN723" s="20"/>
      <c r="AO723" s="21" t="s">
        <v>2192</v>
      </c>
      <c r="AP723" s="21"/>
      <c r="AQ723" s="5" t="s">
        <v>2172</v>
      </c>
      <c r="AR723" s="5" t="s">
        <v>58</v>
      </c>
      <c r="AS723" s="5" t="s">
        <v>247</v>
      </c>
      <c r="AT723" s="20"/>
      <c r="AU723" s="21"/>
      <c r="AV723" s="21"/>
      <c r="AW723" s="144" t="str">
        <f t="shared" si="226"/>
        <v>&gt;20</v>
      </c>
      <c r="AX723" s="21" t="s">
        <v>3135</v>
      </c>
      <c r="AY723" s="21" t="s">
        <v>3132</v>
      </c>
      <c r="AZ723" s="21"/>
      <c r="BA723" s="21"/>
    </row>
    <row r="724" spans="1:53" ht="20" customHeight="1">
      <c r="A724" s="86" t="s">
        <v>318</v>
      </c>
      <c r="B724" s="372" t="s">
        <v>3054</v>
      </c>
      <c r="C724" s="5" t="s">
        <v>51</v>
      </c>
      <c r="D724" s="5" t="s">
        <v>52</v>
      </c>
      <c r="E724" s="5" t="s">
        <v>2035</v>
      </c>
      <c r="F724" s="5" t="s">
        <v>2193</v>
      </c>
      <c r="G724" s="5" t="s">
        <v>2174</v>
      </c>
      <c r="H724" s="6">
        <v>41115</v>
      </c>
      <c r="I724" s="5" t="s">
        <v>71</v>
      </c>
      <c r="J724" s="5" t="s">
        <v>2194</v>
      </c>
      <c r="K724" s="5" t="s">
        <v>61</v>
      </c>
      <c r="L724" s="7">
        <v>2</v>
      </c>
      <c r="M724" s="7">
        <v>4</v>
      </c>
      <c r="N724" s="8">
        <v>11614</v>
      </c>
      <c r="O724" s="88">
        <v>4.4999999999999998E-2</v>
      </c>
      <c r="P724" s="10">
        <f t="shared" si="214"/>
        <v>523</v>
      </c>
      <c r="Q724" s="88">
        <v>4.2099999999999999E-2</v>
      </c>
      <c r="R724" s="10">
        <f t="shared" si="215"/>
        <v>489</v>
      </c>
      <c r="S724" s="88">
        <f t="shared" si="216"/>
        <v>8.7136214913035998E-2</v>
      </c>
      <c r="T724" s="10">
        <f t="shared" si="217"/>
        <v>1012</v>
      </c>
      <c r="U724" s="10">
        <f t="shared" si="218"/>
        <v>12626</v>
      </c>
      <c r="V724" s="11">
        <v>12450</v>
      </c>
      <c r="W724" s="12">
        <f t="shared" si="220"/>
        <v>836</v>
      </c>
      <c r="X724" s="92">
        <f t="shared" si="212"/>
        <v>7.1999999999999995E-2</v>
      </c>
      <c r="Y724" s="93" t="str">
        <f t="shared" si="209"/>
        <v>6.97%-10.46%</v>
      </c>
      <c r="Z724" s="15"/>
      <c r="AA724" s="15"/>
      <c r="AB724" s="15"/>
      <c r="AC724" s="95"/>
      <c r="AD724" s="8">
        <f t="shared" si="221"/>
        <v>0</v>
      </c>
      <c r="AE724" s="17">
        <f t="shared" si="222"/>
        <v>12450</v>
      </c>
      <c r="AF724" s="18">
        <f t="shared" si="223"/>
        <v>836</v>
      </c>
      <c r="AG724" s="97">
        <f t="shared" si="224"/>
        <v>7.1982090580334113E-2</v>
      </c>
      <c r="AH724" s="20">
        <v>14</v>
      </c>
      <c r="AI724" s="20">
        <v>450</v>
      </c>
      <c r="AJ724" s="20"/>
      <c r="AK724" s="20">
        <v>688</v>
      </c>
      <c r="AL724" s="20">
        <f t="shared" si="225"/>
        <v>180388</v>
      </c>
      <c r="AM724" s="7">
        <v>4</v>
      </c>
      <c r="AN724" s="20"/>
      <c r="AO724" s="21"/>
      <c r="AP724" s="21"/>
      <c r="AQ724" s="5" t="s">
        <v>2172</v>
      </c>
      <c r="AR724" s="5" t="s">
        <v>58</v>
      </c>
      <c r="AS724" s="5" t="s">
        <v>247</v>
      </c>
      <c r="AT724" s="20"/>
      <c r="AU724" s="21"/>
      <c r="AV724" s="21"/>
      <c r="AW724" s="144" t="str">
        <f t="shared" si="226"/>
        <v>OK</v>
      </c>
      <c r="AX724" s="21" t="s">
        <v>3135</v>
      </c>
      <c r="AY724" s="21" t="s">
        <v>3132</v>
      </c>
      <c r="AZ724" s="21"/>
      <c r="BA724" s="21"/>
    </row>
    <row r="725" spans="1:53" ht="20" customHeight="1">
      <c r="A725" s="86" t="s">
        <v>318</v>
      </c>
      <c r="B725" s="372" t="s">
        <v>3055</v>
      </c>
      <c r="C725" s="5" t="s">
        <v>51</v>
      </c>
      <c r="D725" s="5" t="s">
        <v>52</v>
      </c>
      <c r="E725" s="5" t="s">
        <v>2035</v>
      </c>
      <c r="F725" s="5" t="s">
        <v>2178</v>
      </c>
      <c r="G725" s="5" t="s">
        <v>2171</v>
      </c>
      <c r="H725" s="6">
        <v>41460</v>
      </c>
      <c r="I725" s="5" t="s">
        <v>226</v>
      </c>
      <c r="J725" s="5" t="s">
        <v>2195</v>
      </c>
      <c r="K725" s="5" t="s">
        <v>175</v>
      </c>
      <c r="L725" s="7">
        <v>2</v>
      </c>
      <c r="M725" s="7">
        <v>3</v>
      </c>
      <c r="N725" s="8">
        <v>7000</v>
      </c>
      <c r="O725" s="88">
        <v>2.5000000000000001E-2</v>
      </c>
      <c r="P725" s="10">
        <f t="shared" si="214"/>
        <v>175</v>
      </c>
      <c r="Q725" s="88">
        <v>0</v>
      </c>
      <c r="R725" s="10">
        <f t="shared" si="215"/>
        <v>0</v>
      </c>
      <c r="S725" s="88">
        <f t="shared" si="216"/>
        <v>2.5000000000000001E-2</v>
      </c>
      <c r="T725" s="10">
        <f t="shared" si="217"/>
        <v>175</v>
      </c>
      <c r="U725" s="10">
        <f t="shared" si="218"/>
        <v>7175</v>
      </c>
      <c r="V725" s="11">
        <v>7350</v>
      </c>
      <c r="W725" s="12">
        <f t="shared" si="220"/>
        <v>350</v>
      </c>
      <c r="X725" s="92">
        <f t="shared" si="212"/>
        <v>0.05</v>
      </c>
      <c r="Y725" s="93" t="str">
        <f t="shared" si="209"/>
        <v>2.00%-3.00%</v>
      </c>
      <c r="Z725" s="15"/>
      <c r="AA725" s="15"/>
      <c r="AB725" s="15"/>
      <c r="AC725" s="95"/>
      <c r="AD725" s="8">
        <f t="shared" si="221"/>
        <v>0</v>
      </c>
      <c r="AE725" s="17">
        <f t="shared" si="222"/>
        <v>7350</v>
      </c>
      <c r="AF725" s="18">
        <f t="shared" si="223"/>
        <v>350</v>
      </c>
      <c r="AG725" s="97">
        <f t="shared" si="224"/>
        <v>5.0000000000000044E-2</v>
      </c>
      <c r="AH725" s="20">
        <v>14</v>
      </c>
      <c r="AI725" s="20">
        <v>550</v>
      </c>
      <c r="AJ725" s="20"/>
      <c r="AK725" s="20">
        <v>688</v>
      </c>
      <c r="AL725" s="20">
        <f t="shared" si="225"/>
        <v>110188</v>
      </c>
      <c r="AM725" s="7">
        <v>3</v>
      </c>
      <c r="AN725" s="20"/>
      <c r="AO725" s="21" t="s">
        <v>2184</v>
      </c>
      <c r="AP725" s="21"/>
      <c r="AQ725" s="5" t="s">
        <v>2172</v>
      </c>
      <c r="AR725" s="5" t="s">
        <v>58</v>
      </c>
      <c r="AS725" s="5" t="s">
        <v>247</v>
      </c>
      <c r="AT725" s="20"/>
      <c r="AU725" s="21"/>
      <c r="AV725" s="21"/>
      <c r="AW725" s="144" t="str">
        <f t="shared" si="226"/>
        <v>&gt;20</v>
      </c>
      <c r="AX725" s="21" t="s">
        <v>3135</v>
      </c>
      <c r="AY725" s="21" t="s">
        <v>3130</v>
      </c>
      <c r="AZ725" s="21"/>
      <c r="BA725" s="21"/>
    </row>
    <row r="726" spans="1:53" ht="20" customHeight="1">
      <c r="A726" s="86" t="s">
        <v>318</v>
      </c>
      <c r="B726" s="372" t="s">
        <v>3056</v>
      </c>
      <c r="C726" s="5" t="s">
        <v>51</v>
      </c>
      <c r="D726" s="5" t="s">
        <v>52</v>
      </c>
      <c r="E726" s="5" t="s">
        <v>2035</v>
      </c>
      <c r="F726" s="5" t="s">
        <v>2173</v>
      </c>
      <c r="G726" s="5" t="s">
        <v>2174</v>
      </c>
      <c r="H726" s="6">
        <v>41814</v>
      </c>
      <c r="I726" s="5" t="s">
        <v>1733</v>
      </c>
      <c r="J726" s="5" t="s">
        <v>1733</v>
      </c>
      <c r="K726" s="5" t="s">
        <v>84</v>
      </c>
      <c r="L726" s="7">
        <v>2</v>
      </c>
      <c r="M726" s="7">
        <v>4</v>
      </c>
      <c r="N726" s="8">
        <v>6569</v>
      </c>
      <c r="O726" s="88">
        <v>3.7500000000000006E-2</v>
      </c>
      <c r="P726" s="10">
        <f t="shared" si="214"/>
        <v>246</v>
      </c>
      <c r="Q726" s="88">
        <v>1.55E-2</v>
      </c>
      <c r="R726" s="10">
        <f t="shared" si="215"/>
        <v>102</v>
      </c>
      <c r="S726" s="88">
        <f t="shared" si="216"/>
        <v>5.2976099862992843E-2</v>
      </c>
      <c r="T726" s="10">
        <f t="shared" si="217"/>
        <v>348</v>
      </c>
      <c r="U726" s="10">
        <f t="shared" si="218"/>
        <v>6917</v>
      </c>
      <c r="V726" s="11">
        <v>6917</v>
      </c>
      <c r="W726" s="12">
        <f t="shared" si="220"/>
        <v>348</v>
      </c>
      <c r="X726" s="92">
        <f t="shared" si="212"/>
        <v>5.2999999999999999E-2</v>
      </c>
      <c r="Y726" s="93" t="str">
        <f t="shared" si="209"/>
        <v>4.24%-6.36%</v>
      </c>
      <c r="Z726" s="15"/>
      <c r="AA726" s="15"/>
      <c r="AB726" s="15"/>
      <c r="AC726" s="95"/>
      <c r="AD726" s="8">
        <f t="shared" si="221"/>
        <v>0</v>
      </c>
      <c r="AE726" s="17">
        <f t="shared" si="222"/>
        <v>6917</v>
      </c>
      <c r="AF726" s="18">
        <f t="shared" si="223"/>
        <v>348</v>
      </c>
      <c r="AG726" s="97">
        <f t="shared" si="224"/>
        <v>5.2976099862992898E-2</v>
      </c>
      <c r="AH726" s="20">
        <v>14</v>
      </c>
      <c r="AI726" s="20">
        <v>450</v>
      </c>
      <c r="AJ726" s="20"/>
      <c r="AK726" s="20">
        <v>688</v>
      </c>
      <c r="AL726" s="20">
        <f t="shared" si="225"/>
        <v>102926</v>
      </c>
      <c r="AM726" s="7">
        <v>4</v>
      </c>
      <c r="AN726" s="20"/>
      <c r="AO726" s="21"/>
      <c r="AP726" s="21"/>
      <c r="AQ726" s="5" t="s">
        <v>2172</v>
      </c>
      <c r="AR726" s="5" t="s">
        <v>58</v>
      </c>
      <c r="AS726" s="5" t="s">
        <v>247</v>
      </c>
      <c r="AT726" s="20"/>
      <c r="AU726" s="21"/>
      <c r="AV726" s="21"/>
      <c r="AW726" s="144" t="str">
        <f t="shared" si="226"/>
        <v>OK</v>
      </c>
      <c r="AX726" s="21" t="s">
        <v>3135</v>
      </c>
      <c r="AY726" s="21" t="s">
        <v>3130</v>
      </c>
      <c r="AZ726" s="21"/>
      <c r="BA726" s="21"/>
    </row>
    <row r="727" spans="1:53" ht="20" customHeight="1">
      <c r="A727" s="86" t="s">
        <v>318</v>
      </c>
      <c r="B727" s="372" t="s">
        <v>3057</v>
      </c>
      <c r="C727" s="5" t="s">
        <v>51</v>
      </c>
      <c r="D727" s="5" t="s">
        <v>52</v>
      </c>
      <c r="E727" s="5" t="s">
        <v>2035</v>
      </c>
      <c r="F727" s="5" t="s">
        <v>2189</v>
      </c>
      <c r="G727" s="5" t="s">
        <v>2174</v>
      </c>
      <c r="H727" s="6">
        <v>42194</v>
      </c>
      <c r="I727" s="5" t="s">
        <v>174</v>
      </c>
      <c r="J727" s="5" t="s">
        <v>2196</v>
      </c>
      <c r="K727" s="5" t="s">
        <v>175</v>
      </c>
      <c r="L727" s="7">
        <v>2</v>
      </c>
      <c r="M727" s="7">
        <v>2</v>
      </c>
      <c r="N727" s="8">
        <v>6490</v>
      </c>
      <c r="O727" s="88">
        <v>0</v>
      </c>
      <c r="P727" s="10">
        <f t="shared" si="214"/>
        <v>0</v>
      </c>
      <c r="Q727" s="88">
        <v>0</v>
      </c>
      <c r="R727" s="10">
        <f t="shared" si="215"/>
        <v>0</v>
      </c>
      <c r="S727" s="88">
        <f t="shared" si="216"/>
        <v>0</v>
      </c>
      <c r="T727" s="10">
        <f t="shared" si="217"/>
        <v>0</v>
      </c>
      <c r="U727" s="10">
        <f t="shared" si="218"/>
        <v>6490</v>
      </c>
      <c r="V727" s="11">
        <f t="shared" si="219"/>
        <v>6490</v>
      </c>
      <c r="W727" s="12">
        <f t="shared" si="220"/>
        <v>0</v>
      </c>
      <c r="X727" s="92">
        <f t="shared" si="212"/>
        <v>0</v>
      </c>
      <c r="Y727" s="93" t="str">
        <f t="shared" si="209"/>
        <v>0.00%-0.00%</v>
      </c>
      <c r="Z727" s="15"/>
      <c r="AA727" s="15"/>
      <c r="AB727" s="15"/>
      <c r="AC727" s="95"/>
      <c r="AD727" s="8">
        <f t="shared" si="221"/>
        <v>0</v>
      </c>
      <c r="AE727" s="17">
        <f t="shared" si="222"/>
        <v>6490</v>
      </c>
      <c r="AF727" s="18">
        <f t="shared" si="223"/>
        <v>0</v>
      </c>
      <c r="AG727" s="97">
        <f t="shared" si="224"/>
        <v>0</v>
      </c>
      <c r="AH727" s="20">
        <v>14</v>
      </c>
      <c r="AI727" s="20">
        <v>450</v>
      </c>
      <c r="AJ727" s="20"/>
      <c r="AK727" s="20">
        <v>688</v>
      </c>
      <c r="AL727" s="20">
        <f t="shared" si="225"/>
        <v>96948</v>
      </c>
      <c r="AM727" s="7">
        <v>3</v>
      </c>
      <c r="AN727" s="20"/>
      <c r="AO727" s="21"/>
      <c r="AP727" s="21"/>
      <c r="AQ727" s="5" t="s">
        <v>2172</v>
      </c>
      <c r="AR727" s="5" t="s">
        <v>58</v>
      </c>
      <c r="AS727" s="5" t="s">
        <v>247</v>
      </c>
      <c r="AT727" s="20"/>
      <c r="AU727" s="21"/>
      <c r="AV727" s="21"/>
      <c r="AW727" s="144" t="str">
        <f t="shared" si="226"/>
        <v>OK</v>
      </c>
      <c r="AX727" s="21" t="s">
        <v>3133</v>
      </c>
      <c r="AY727" s="21">
        <v>0</v>
      </c>
      <c r="AZ727" s="21"/>
      <c r="BA727" s="21"/>
    </row>
    <row r="728" spans="1:53" ht="20" customHeight="1">
      <c r="A728" s="86" t="s">
        <v>318</v>
      </c>
      <c r="B728" s="372" t="s">
        <v>3058</v>
      </c>
      <c r="C728" s="5" t="s">
        <v>51</v>
      </c>
      <c r="D728" s="5" t="s">
        <v>52</v>
      </c>
      <c r="E728" s="5" t="s">
        <v>2035</v>
      </c>
      <c r="F728" s="5" t="s">
        <v>2170</v>
      </c>
      <c r="G728" s="5" t="s">
        <v>2171</v>
      </c>
      <c r="H728" s="6">
        <v>43678</v>
      </c>
      <c r="I728" s="5" t="s">
        <v>174</v>
      </c>
      <c r="J728" s="5" t="s">
        <v>2197</v>
      </c>
      <c r="K728" s="5" t="s">
        <v>175</v>
      </c>
      <c r="L728" s="7">
        <v>2</v>
      </c>
      <c r="M728" s="7">
        <v>3</v>
      </c>
      <c r="N728" s="8">
        <v>6830</v>
      </c>
      <c r="O728" s="88">
        <v>0.03</v>
      </c>
      <c r="P728" s="10">
        <f t="shared" si="214"/>
        <v>205</v>
      </c>
      <c r="Q728" s="88">
        <v>0</v>
      </c>
      <c r="R728" s="10">
        <f t="shared" si="215"/>
        <v>0</v>
      </c>
      <c r="S728" s="88">
        <f t="shared" si="216"/>
        <v>3.0014641288433383E-2</v>
      </c>
      <c r="T728" s="10">
        <f t="shared" si="217"/>
        <v>205</v>
      </c>
      <c r="U728" s="10">
        <f t="shared" si="218"/>
        <v>7035</v>
      </c>
      <c r="V728" s="11">
        <v>7175</v>
      </c>
      <c r="W728" s="12">
        <f t="shared" si="220"/>
        <v>345</v>
      </c>
      <c r="X728" s="92">
        <f t="shared" si="212"/>
        <v>5.0500000000000003E-2</v>
      </c>
      <c r="Y728" s="93" t="str">
        <f t="shared" si="209"/>
        <v>2.40%-3.60%</v>
      </c>
      <c r="Z728" s="15"/>
      <c r="AA728" s="15"/>
      <c r="AB728" s="15"/>
      <c r="AC728" s="95"/>
      <c r="AD728" s="8">
        <f t="shared" si="221"/>
        <v>0</v>
      </c>
      <c r="AE728" s="17">
        <f t="shared" si="222"/>
        <v>7175</v>
      </c>
      <c r="AF728" s="18">
        <f t="shared" si="223"/>
        <v>345</v>
      </c>
      <c r="AG728" s="97">
        <f t="shared" si="224"/>
        <v>5.051244509516839E-2</v>
      </c>
      <c r="AH728" s="20">
        <v>14</v>
      </c>
      <c r="AI728" s="20">
        <v>450</v>
      </c>
      <c r="AJ728" s="20"/>
      <c r="AK728" s="20">
        <v>688</v>
      </c>
      <c r="AL728" s="20">
        <f t="shared" si="225"/>
        <v>106538</v>
      </c>
      <c r="AM728" s="7">
        <v>3</v>
      </c>
      <c r="AN728" s="20"/>
      <c r="AO728" s="21" t="s">
        <v>2184</v>
      </c>
      <c r="AP728" s="21"/>
      <c r="AQ728" s="5" t="s">
        <v>2172</v>
      </c>
      <c r="AR728" s="5" t="s">
        <v>58</v>
      </c>
      <c r="AS728" s="5" t="s">
        <v>247</v>
      </c>
      <c r="AT728" s="20"/>
      <c r="AU728" s="21"/>
      <c r="AV728" s="21"/>
      <c r="AW728" s="144" t="str">
        <f t="shared" si="226"/>
        <v>&gt;20</v>
      </c>
      <c r="AX728" s="21" t="s">
        <v>3133</v>
      </c>
      <c r="AY728" s="21" t="s">
        <v>3132</v>
      </c>
      <c r="AZ728" s="21"/>
      <c r="BA728" s="21"/>
    </row>
    <row r="729" spans="1:53" ht="20" customHeight="1">
      <c r="A729" s="86" t="s">
        <v>318</v>
      </c>
      <c r="B729" s="372" t="s">
        <v>3059</v>
      </c>
      <c r="C729" s="5" t="s">
        <v>51</v>
      </c>
      <c r="D729" s="5" t="s">
        <v>52</v>
      </c>
      <c r="E729" s="5" t="s">
        <v>2035</v>
      </c>
      <c r="F729" s="5" t="s">
        <v>2189</v>
      </c>
      <c r="G729" s="5" t="s">
        <v>2174</v>
      </c>
      <c r="H729" s="6">
        <v>40548</v>
      </c>
      <c r="I729" s="5" t="s">
        <v>198</v>
      </c>
      <c r="J729" s="5" t="s">
        <v>2198</v>
      </c>
      <c r="K729" s="5" t="s">
        <v>199</v>
      </c>
      <c r="L729" s="7">
        <v>2</v>
      </c>
      <c r="M729" s="7">
        <v>3</v>
      </c>
      <c r="N729" s="8">
        <v>27869</v>
      </c>
      <c r="O729" s="88">
        <v>2.5000000000000001E-2</v>
      </c>
      <c r="P729" s="10">
        <f t="shared" si="214"/>
        <v>697</v>
      </c>
      <c r="Q729" s="88">
        <v>0</v>
      </c>
      <c r="R729" s="10">
        <f t="shared" si="215"/>
        <v>0</v>
      </c>
      <c r="S729" s="88">
        <f t="shared" si="216"/>
        <v>2.5009867594818616E-2</v>
      </c>
      <c r="T729" s="10">
        <f t="shared" si="217"/>
        <v>697</v>
      </c>
      <c r="U729" s="10">
        <f t="shared" si="218"/>
        <v>28566</v>
      </c>
      <c r="V729" s="11">
        <v>28425</v>
      </c>
      <c r="W729" s="12">
        <f t="shared" si="220"/>
        <v>556</v>
      </c>
      <c r="X729" s="92">
        <f t="shared" si="212"/>
        <v>0.02</v>
      </c>
      <c r="Y729" s="93" t="str">
        <f t="shared" si="209"/>
        <v>2.00%-3.00%</v>
      </c>
      <c r="Z729" s="15"/>
      <c r="AA729" s="15"/>
      <c r="AB729" s="15"/>
      <c r="AC729" s="95"/>
      <c r="AD729" s="8">
        <f t="shared" si="221"/>
        <v>0</v>
      </c>
      <c r="AE729" s="17">
        <f t="shared" si="222"/>
        <v>28425</v>
      </c>
      <c r="AF729" s="18">
        <f t="shared" si="223"/>
        <v>556</v>
      </c>
      <c r="AG729" s="97">
        <f t="shared" si="224"/>
        <v>1.9950482615092024E-2</v>
      </c>
      <c r="AH729" s="20">
        <v>14</v>
      </c>
      <c r="AI729" s="20">
        <v>2950</v>
      </c>
      <c r="AJ729" s="20">
        <v>1000</v>
      </c>
      <c r="AK729" s="20">
        <v>688</v>
      </c>
      <c r="AL729" s="20">
        <f t="shared" si="225"/>
        <v>446038</v>
      </c>
      <c r="AM729" s="7">
        <v>3</v>
      </c>
      <c r="AN729" s="20"/>
      <c r="AO729" s="21"/>
      <c r="AP729" s="21"/>
      <c r="AQ729" s="5" t="s">
        <v>2172</v>
      </c>
      <c r="AR729" s="5" t="s">
        <v>58</v>
      </c>
      <c r="AS729" s="5" t="s">
        <v>247</v>
      </c>
      <c r="AT729" s="20"/>
      <c r="AU729" s="21"/>
      <c r="AV729" s="21"/>
      <c r="AW729" s="144" t="str">
        <f t="shared" si="226"/>
        <v>OK</v>
      </c>
      <c r="AX729" s="21" t="s">
        <v>3135</v>
      </c>
      <c r="AY729" s="21" t="s">
        <v>3130</v>
      </c>
      <c r="AZ729" s="21"/>
      <c r="BA729" s="21"/>
    </row>
    <row r="730" spans="1:53" ht="20" customHeight="1">
      <c r="A730" s="86" t="s">
        <v>318</v>
      </c>
      <c r="B730" s="372" t="s">
        <v>3060</v>
      </c>
      <c r="C730" s="5" t="s">
        <v>51</v>
      </c>
      <c r="D730" s="5" t="s">
        <v>52</v>
      </c>
      <c r="E730" s="5" t="s">
        <v>2035</v>
      </c>
      <c r="F730" s="5" t="s">
        <v>2199</v>
      </c>
      <c r="G730" s="5" t="s">
        <v>197</v>
      </c>
      <c r="H730" s="6">
        <v>38322</v>
      </c>
      <c r="I730" s="5" t="s">
        <v>111</v>
      </c>
      <c r="J730" s="5" t="s">
        <v>2200</v>
      </c>
      <c r="K730" s="5" t="s">
        <v>56</v>
      </c>
      <c r="L730" s="7">
        <v>2</v>
      </c>
      <c r="M730" s="7">
        <v>3</v>
      </c>
      <c r="N730" s="8">
        <v>19965</v>
      </c>
      <c r="O730" s="88">
        <v>2.5000000000000001E-2</v>
      </c>
      <c r="P730" s="10">
        <f t="shared" si="214"/>
        <v>499</v>
      </c>
      <c r="Q730" s="88">
        <v>0</v>
      </c>
      <c r="R730" s="10">
        <f t="shared" si="215"/>
        <v>0</v>
      </c>
      <c r="S730" s="88">
        <f t="shared" si="216"/>
        <v>2.499373904332582E-2</v>
      </c>
      <c r="T730" s="10">
        <f t="shared" si="217"/>
        <v>499</v>
      </c>
      <c r="U730" s="10">
        <f t="shared" si="218"/>
        <v>20464</v>
      </c>
      <c r="V730" s="11">
        <v>20450</v>
      </c>
      <c r="W730" s="12">
        <f t="shared" si="220"/>
        <v>485</v>
      </c>
      <c r="X730" s="92">
        <f t="shared" si="212"/>
        <v>2.4299999999999999E-2</v>
      </c>
      <c r="Y730" s="93" t="str">
        <f t="shared" si="209"/>
        <v>2.00%-3.00%</v>
      </c>
      <c r="Z730" s="15"/>
      <c r="AA730" s="15"/>
      <c r="AB730" s="15"/>
      <c r="AC730" s="95"/>
      <c r="AD730" s="8">
        <f t="shared" si="221"/>
        <v>0</v>
      </c>
      <c r="AE730" s="17">
        <f t="shared" si="222"/>
        <v>20450</v>
      </c>
      <c r="AF730" s="18">
        <f t="shared" si="223"/>
        <v>485</v>
      </c>
      <c r="AG730" s="97">
        <f t="shared" si="224"/>
        <v>2.4292511895817714E-2</v>
      </c>
      <c r="AH730" s="20">
        <v>14</v>
      </c>
      <c r="AI730" s="20">
        <v>450</v>
      </c>
      <c r="AJ730" s="20"/>
      <c r="AK730" s="20">
        <v>688</v>
      </c>
      <c r="AL730" s="20">
        <f t="shared" si="225"/>
        <v>292388</v>
      </c>
      <c r="AM730" s="7">
        <v>3</v>
      </c>
      <c r="AN730" s="20"/>
      <c r="AO730" s="246"/>
      <c r="AP730" s="21"/>
      <c r="AQ730" s="5" t="s">
        <v>2201</v>
      </c>
      <c r="AR730" s="5" t="s">
        <v>2202</v>
      </c>
      <c r="AS730" s="5" t="s">
        <v>247</v>
      </c>
      <c r="AT730" s="20"/>
      <c r="AU730" s="21"/>
      <c r="AV730" s="21"/>
      <c r="AW730" s="144" t="str">
        <f t="shared" si="226"/>
        <v>OK</v>
      </c>
      <c r="AX730" s="21" t="s">
        <v>3139</v>
      </c>
      <c r="AY730" s="21" t="s">
        <v>3130</v>
      </c>
      <c r="AZ730" s="21"/>
      <c r="BA730" s="21"/>
    </row>
    <row r="731" spans="1:53" ht="20" customHeight="1">
      <c r="A731" s="86" t="s">
        <v>318</v>
      </c>
      <c r="B731" s="372" t="s">
        <v>3061</v>
      </c>
      <c r="C731" s="5" t="s">
        <v>51</v>
      </c>
      <c r="D731" s="5" t="s">
        <v>52</v>
      </c>
      <c r="E731" s="5" t="s">
        <v>2035</v>
      </c>
      <c r="F731" s="5" t="s">
        <v>2049</v>
      </c>
      <c r="G731" s="5" t="s">
        <v>197</v>
      </c>
      <c r="H731" s="6">
        <v>44256</v>
      </c>
      <c r="I731" s="5" t="s">
        <v>226</v>
      </c>
      <c r="J731" s="5" t="s">
        <v>1733</v>
      </c>
      <c r="K731" s="5" t="s">
        <v>84</v>
      </c>
      <c r="L731" s="7">
        <v>2</v>
      </c>
      <c r="M731" s="7">
        <v>4</v>
      </c>
      <c r="N731" s="8">
        <v>8260</v>
      </c>
      <c r="O731" s="88">
        <v>0.03</v>
      </c>
      <c r="P731" s="10">
        <f t="shared" si="214"/>
        <v>248</v>
      </c>
      <c r="Q731" s="88">
        <v>0</v>
      </c>
      <c r="R731" s="10">
        <f t="shared" si="215"/>
        <v>0</v>
      </c>
      <c r="S731" s="88">
        <f t="shared" si="216"/>
        <v>3.0024213075060532E-2</v>
      </c>
      <c r="T731" s="10">
        <f t="shared" si="217"/>
        <v>248</v>
      </c>
      <c r="U731" s="10">
        <f t="shared" si="218"/>
        <v>8508</v>
      </c>
      <c r="V731" s="11">
        <v>8550</v>
      </c>
      <c r="W731" s="12">
        <f t="shared" si="220"/>
        <v>290</v>
      </c>
      <c r="X731" s="92">
        <f>ROUND(V731/N731-1,4)</f>
        <v>3.5099999999999999E-2</v>
      </c>
      <c r="Y731" s="93" t="str">
        <f t="shared" si="209"/>
        <v>2.40%-3.60%</v>
      </c>
      <c r="Z731" s="15"/>
      <c r="AA731" s="15"/>
      <c r="AB731" s="15"/>
      <c r="AC731" s="95"/>
      <c r="AD731" s="8">
        <f t="shared" si="221"/>
        <v>0</v>
      </c>
      <c r="AE731" s="17">
        <f t="shared" si="222"/>
        <v>8550</v>
      </c>
      <c r="AF731" s="18">
        <f t="shared" si="223"/>
        <v>290</v>
      </c>
      <c r="AG731" s="97">
        <f t="shared" si="224"/>
        <v>3.510895883777243E-2</v>
      </c>
      <c r="AH731" s="20">
        <v>14</v>
      </c>
      <c r="AI731" s="20">
        <v>450</v>
      </c>
      <c r="AJ731" s="20"/>
      <c r="AK731" s="20">
        <v>688</v>
      </c>
      <c r="AL731" s="20">
        <f t="shared" si="225"/>
        <v>125788</v>
      </c>
      <c r="AM731" s="7">
        <v>4</v>
      </c>
      <c r="AN731" s="20"/>
      <c r="AO731" s="246"/>
      <c r="AP731" s="21"/>
      <c r="AQ731" s="5" t="s">
        <v>2201</v>
      </c>
      <c r="AR731" s="5" t="s">
        <v>2202</v>
      </c>
      <c r="AS731" s="5" t="s">
        <v>247</v>
      </c>
      <c r="AT731" s="20"/>
      <c r="AU731" s="21"/>
      <c r="AV731" s="21"/>
      <c r="AW731" s="144" t="str">
        <f t="shared" si="226"/>
        <v>OK</v>
      </c>
      <c r="AX731" s="21" t="s">
        <v>3131</v>
      </c>
      <c r="AY731" s="21" t="s">
        <v>3136</v>
      </c>
      <c r="AZ731" s="21"/>
      <c r="BA731" s="21"/>
    </row>
    <row r="732" spans="1:53" ht="20" customHeight="1">
      <c r="A732" s="86" t="s">
        <v>318</v>
      </c>
      <c r="B732" s="372" t="s">
        <v>3062</v>
      </c>
      <c r="C732" s="5" t="s">
        <v>51</v>
      </c>
      <c r="D732" s="5" t="s">
        <v>52</v>
      </c>
      <c r="E732" s="5" t="s">
        <v>2035</v>
      </c>
      <c r="F732" s="5" t="s">
        <v>2203</v>
      </c>
      <c r="G732" s="5" t="s">
        <v>2204</v>
      </c>
      <c r="H732" s="6">
        <v>37823</v>
      </c>
      <c r="I732" s="5" t="s">
        <v>82</v>
      </c>
      <c r="J732" s="5" t="s">
        <v>2205</v>
      </c>
      <c r="K732" s="5" t="s">
        <v>84</v>
      </c>
      <c r="L732" s="7">
        <v>2</v>
      </c>
      <c r="M732" s="7">
        <v>4</v>
      </c>
      <c r="N732" s="8">
        <v>7685</v>
      </c>
      <c r="O732" s="88">
        <v>4.4999999999999998E-2</v>
      </c>
      <c r="P732" s="10">
        <f t="shared" si="214"/>
        <v>346</v>
      </c>
      <c r="Q732" s="88">
        <v>4.2099999999999999E-2</v>
      </c>
      <c r="R732" s="10">
        <f t="shared" si="215"/>
        <v>324</v>
      </c>
      <c r="S732" s="88">
        <f t="shared" si="216"/>
        <v>8.718282368249837E-2</v>
      </c>
      <c r="T732" s="10">
        <f t="shared" si="217"/>
        <v>670</v>
      </c>
      <c r="U732" s="10">
        <f t="shared" si="218"/>
        <v>8355</v>
      </c>
      <c r="V732" s="11">
        <f t="shared" ref="V732:V751" si="227">U732</f>
        <v>8355</v>
      </c>
      <c r="W732" s="12">
        <f t="shared" si="220"/>
        <v>670</v>
      </c>
      <c r="X732" s="92">
        <f t="shared" si="212"/>
        <v>8.72E-2</v>
      </c>
      <c r="Y732" s="93" t="str">
        <f t="shared" si="209"/>
        <v>6.97%-10.46%</v>
      </c>
      <c r="Z732" s="15"/>
      <c r="AA732" s="15"/>
      <c r="AB732" s="15"/>
      <c r="AC732" s="95"/>
      <c r="AD732" s="8">
        <f t="shared" si="221"/>
        <v>0</v>
      </c>
      <c r="AE732" s="17">
        <f t="shared" si="222"/>
        <v>8355</v>
      </c>
      <c r="AF732" s="18">
        <f t="shared" si="223"/>
        <v>670</v>
      </c>
      <c r="AG732" s="97">
        <f t="shared" si="224"/>
        <v>8.71828236824983E-2</v>
      </c>
      <c r="AH732" s="20">
        <v>14</v>
      </c>
      <c r="AI732" s="20">
        <v>450</v>
      </c>
      <c r="AJ732" s="20"/>
      <c r="AK732" s="20">
        <v>688</v>
      </c>
      <c r="AL732" s="20">
        <f t="shared" si="225"/>
        <v>123058</v>
      </c>
      <c r="AM732" s="7">
        <v>3</v>
      </c>
      <c r="AN732" s="20"/>
      <c r="AO732" s="246"/>
      <c r="AP732" s="21"/>
      <c r="AQ732" s="5" t="s">
        <v>2201</v>
      </c>
      <c r="AR732" s="5" t="s">
        <v>2202</v>
      </c>
      <c r="AS732" s="5" t="s">
        <v>247</v>
      </c>
      <c r="AT732" s="20"/>
      <c r="AU732" s="21"/>
      <c r="AV732" s="21"/>
      <c r="AW732" s="144" t="str">
        <f t="shared" si="226"/>
        <v>OK</v>
      </c>
      <c r="AX732" s="21" t="s">
        <v>3139</v>
      </c>
      <c r="AY732" s="21" t="s">
        <v>3132</v>
      </c>
      <c r="AZ732" s="21"/>
      <c r="BA732" s="21"/>
    </row>
    <row r="733" spans="1:53" ht="20" customHeight="1">
      <c r="A733" s="86" t="s">
        <v>318</v>
      </c>
      <c r="B733" s="372" t="s">
        <v>3063</v>
      </c>
      <c r="C733" s="5" t="s">
        <v>51</v>
      </c>
      <c r="D733" s="5" t="s">
        <v>52</v>
      </c>
      <c r="E733" s="5" t="s">
        <v>2035</v>
      </c>
      <c r="F733" s="5" t="s">
        <v>2207</v>
      </c>
      <c r="G733" s="5" t="s">
        <v>161</v>
      </c>
      <c r="H733" s="6">
        <v>43983</v>
      </c>
      <c r="I733" s="5" t="s">
        <v>140</v>
      </c>
      <c r="J733" s="5" t="s">
        <v>140</v>
      </c>
      <c r="K733" s="5" t="s">
        <v>61</v>
      </c>
      <c r="L733" s="7">
        <v>2</v>
      </c>
      <c r="M733" s="7">
        <v>3</v>
      </c>
      <c r="N733" s="8">
        <v>14964</v>
      </c>
      <c r="O733" s="88">
        <v>0.03</v>
      </c>
      <c r="P733" s="10">
        <f t="shared" si="214"/>
        <v>449</v>
      </c>
      <c r="Q733" s="88">
        <v>0</v>
      </c>
      <c r="R733" s="10">
        <f t="shared" si="215"/>
        <v>0</v>
      </c>
      <c r="S733" s="88">
        <f t="shared" si="216"/>
        <v>3.0005346164127238E-2</v>
      </c>
      <c r="T733" s="10">
        <f t="shared" si="217"/>
        <v>449</v>
      </c>
      <c r="U733" s="10">
        <f t="shared" si="218"/>
        <v>15413</v>
      </c>
      <c r="V733" s="11">
        <v>15350</v>
      </c>
      <c r="W733" s="12">
        <f t="shared" si="220"/>
        <v>386</v>
      </c>
      <c r="X733" s="92">
        <f t="shared" si="212"/>
        <v>2.58E-2</v>
      </c>
      <c r="Y733" s="93" t="str">
        <f t="shared" si="209"/>
        <v>2.40%-3.60%</v>
      </c>
      <c r="Z733" s="15"/>
      <c r="AA733" s="15"/>
      <c r="AB733" s="15"/>
      <c r="AC733" s="95"/>
      <c r="AD733" s="8">
        <f t="shared" si="221"/>
        <v>0</v>
      </c>
      <c r="AE733" s="17">
        <f t="shared" si="222"/>
        <v>15350</v>
      </c>
      <c r="AF733" s="18">
        <f t="shared" si="223"/>
        <v>386</v>
      </c>
      <c r="AG733" s="97">
        <f t="shared" si="224"/>
        <v>2.5795241913926681E-2</v>
      </c>
      <c r="AH733" s="20">
        <v>14</v>
      </c>
      <c r="AI733" s="20">
        <v>500</v>
      </c>
      <c r="AJ733" s="20"/>
      <c r="AK733" s="20">
        <v>688</v>
      </c>
      <c r="AL733" s="20">
        <f t="shared" si="225"/>
        <v>221588</v>
      </c>
      <c r="AM733" s="7">
        <v>3</v>
      </c>
      <c r="AN733" s="20"/>
      <c r="AO733" s="246"/>
      <c r="AP733" s="21"/>
      <c r="AQ733" s="5" t="s">
        <v>2201</v>
      </c>
      <c r="AR733" s="5" t="s">
        <v>2202</v>
      </c>
      <c r="AS733" s="5" t="s">
        <v>247</v>
      </c>
      <c r="AT733" s="20"/>
      <c r="AU733" s="21"/>
      <c r="AV733" s="21"/>
      <c r="AW733" s="144" t="str">
        <f t="shared" si="226"/>
        <v>OK</v>
      </c>
      <c r="AX733" s="21" t="s">
        <v>3133</v>
      </c>
      <c r="AY733" s="21" t="s">
        <v>3132</v>
      </c>
      <c r="AZ733" s="21"/>
      <c r="BA733" s="21"/>
    </row>
    <row r="734" spans="1:53" ht="20" customHeight="1">
      <c r="A734" s="86" t="s">
        <v>318</v>
      </c>
      <c r="B734" s="372" t="s">
        <v>3064</v>
      </c>
      <c r="C734" s="5" t="s">
        <v>51</v>
      </c>
      <c r="D734" s="5" t="s">
        <v>52</v>
      </c>
      <c r="E734" s="5" t="s">
        <v>2035</v>
      </c>
      <c r="F734" s="5" t="s">
        <v>2206</v>
      </c>
      <c r="G734" s="5" t="s">
        <v>161</v>
      </c>
      <c r="H734" s="6">
        <v>44010</v>
      </c>
      <c r="I734" s="5" t="s">
        <v>82</v>
      </c>
      <c r="J734" s="5" t="s">
        <v>2208</v>
      </c>
      <c r="K734" s="5" t="s">
        <v>84</v>
      </c>
      <c r="L734" s="7">
        <v>2</v>
      </c>
      <c r="M734" s="7">
        <v>4</v>
      </c>
      <c r="N734" s="8">
        <v>9207</v>
      </c>
      <c r="O734" s="88">
        <v>3.7500000000000006E-2</v>
      </c>
      <c r="P734" s="10">
        <f t="shared" si="214"/>
        <v>345</v>
      </c>
      <c r="Q734" s="88">
        <v>1.55E-2</v>
      </c>
      <c r="R734" s="10">
        <f t="shared" si="215"/>
        <v>143</v>
      </c>
      <c r="S734" s="88">
        <f t="shared" si="216"/>
        <v>5.3003149777343328E-2</v>
      </c>
      <c r="T734" s="10">
        <f t="shared" si="217"/>
        <v>488</v>
      </c>
      <c r="U734" s="10">
        <f t="shared" si="218"/>
        <v>9695</v>
      </c>
      <c r="V734" s="11">
        <v>9559</v>
      </c>
      <c r="W734" s="12">
        <f t="shared" si="220"/>
        <v>352</v>
      </c>
      <c r="X734" s="92">
        <f t="shared" si="212"/>
        <v>3.8199999999999998E-2</v>
      </c>
      <c r="Y734" s="93" t="str">
        <f t="shared" si="209"/>
        <v>4.24%-6.36%</v>
      </c>
      <c r="Z734" s="15" t="s">
        <v>87</v>
      </c>
      <c r="AA734" s="15" t="s">
        <v>74</v>
      </c>
      <c r="AB734" s="15" t="s">
        <v>139</v>
      </c>
      <c r="AC734" s="95">
        <v>7.4999999999999997E-2</v>
      </c>
      <c r="AD734" s="8">
        <f t="shared" si="221"/>
        <v>691</v>
      </c>
      <c r="AE734" s="17">
        <f t="shared" si="222"/>
        <v>10250</v>
      </c>
      <c r="AF734" s="18">
        <f t="shared" si="223"/>
        <v>1043</v>
      </c>
      <c r="AG734" s="97">
        <f t="shared" si="224"/>
        <v>0.11328337134788757</v>
      </c>
      <c r="AH734" s="20">
        <v>14</v>
      </c>
      <c r="AI734" s="20">
        <v>450</v>
      </c>
      <c r="AJ734" s="20"/>
      <c r="AK734" s="20">
        <v>688</v>
      </c>
      <c r="AL734" s="20">
        <f t="shared" si="225"/>
        <v>149588</v>
      </c>
      <c r="AM734" s="7">
        <v>3</v>
      </c>
      <c r="AN734" s="20"/>
      <c r="AO734" s="246"/>
      <c r="AP734" s="21" t="s">
        <v>90</v>
      </c>
      <c r="AQ734" s="5" t="s">
        <v>2201</v>
      </c>
      <c r="AR734" s="5" t="s">
        <v>2202</v>
      </c>
      <c r="AS734" s="5" t="s">
        <v>247</v>
      </c>
      <c r="AT734" s="20"/>
      <c r="AU734" s="21"/>
      <c r="AV734" s="21"/>
      <c r="AW734" s="144" t="str">
        <f t="shared" si="226"/>
        <v>OK</v>
      </c>
      <c r="AX734" s="21" t="s">
        <v>3131</v>
      </c>
      <c r="AY734" s="21" t="s">
        <v>3130</v>
      </c>
      <c r="AZ734" s="21"/>
      <c r="BA734" s="21"/>
    </row>
    <row r="735" spans="1:53" ht="20" customHeight="1">
      <c r="A735" s="86" t="s">
        <v>318</v>
      </c>
      <c r="B735" s="372" t="s">
        <v>3065</v>
      </c>
      <c r="C735" s="5" t="s">
        <v>51</v>
      </c>
      <c r="D735" s="5" t="s">
        <v>52</v>
      </c>
      <c r="E735" s="5" t="s">
        <v>2035</v>
      </c>
      <c r="F735" s="5" t="s">
        <v>2206</v>
      </c>
      <c r="G735" s="5" t="s">
        <v>161</v>
      </c>
      <c r="H735" s="6">
        <v>44075</v>
      </c>
      <c r="I735" s="5" t="s">
        <v>74</v>
      </c>
      <c r="J735" s="5" t="s">
        <v>2209</v>
      </c>
      <c r="K735" s="5" t="s">
        <v>76</v>
      </c>
      <c r="L735" s="7">
        <v>2</v>
      </c>
      <c r="M735" s="7">
        <v>4</v>
      </c>
      <c r="N735" s="8">
        <v>11125</v>
      </c>
      <c r="O735" s="88">
        <v>4.4999999999999998E-2</v>
      </c>
      <c r="P735" s="10">
        <f t="shared" si="214"/>
        <v>501</v>
      </c>
      <c r="Q735" s="88">
        <v>1.55E-2</v>
      </c>
      <c r="R735" s="10">
        <f t="shared" si="215"/>
        <v>172</v>
      </c>
      <c r="S735" s="88">
        <f t="shared" si="216"/>
        <v>6.0494382022471913E-2</v>
      </c>
      <c r="T735" s="10">
        <f t="shared" si="217"/>
        <v>673</v>
      </c>
      <c r="U735" s="10">
        <f t="shared" si="218"/>
        <v>11798</v>
      </c>
      <c r="V735" s="11">
        <v>11666</v>
      </c>
      <c r="W735" s="12">
        <f t="shared" si="220"/>
        <v>541</v>
      </c>
      <c r="X735" s="92">
        <f t="shared" si="212"/>
        <v>4.8599999999999997E-2</v>
      </c>
      <c r="Y735" s="93" t="str">
        <f t="shared" si="209"/>
        <v>4.84%-7.26%</v>
      </c>
      <c r="Z735" s="15" t="s">
        <v>87</v>
      </c>
      <c r="AA735" s="15" t="s">
        <v>238</v>
      </c>
      <c r="AB735" s="15" t="s">
        <v>89</v>
      </c>
      <c r="AC735" s="95">
        <v>7.4999999999999997E-2</v>
      </c>
      <c r="AD735" s="8">
        <f t="shared" si="221"/>
        <v>834</v>
      </c>
      <c r="AE735" s="17">
        <f t="shared" si="222"/>
        <v>12500</v>
      </c>
      <c r="AF735" s="18">
        <f t="shared" si="223"/>
        <v>1375</v>
      </c>
      <c r="AG735" s="97">
        <f t="shared" si="224"/>
        <v>0.12359550561797761</v>
      </c>
      <c r="AH735" s="20">
        <v>14</v>
      </c>
      <c r="AI735" s="20">
        <v>450</v>
      </c>
      <c r="AJ735" s="20"/>
      <c r="AK735" s="20">
        <v>688</v>
      </c>
      <c r="AL735" s="20">
        <f t="shared" si="225"/>
        <v>181088</v>
      </c>
      <c r="AM735" s="7">
        <v>5</v>
      </c>
      <c r="AN735" s="20"/>
      <c r="AO735" s="246"/>
      <c r="AP735" s="21" t="s">
        <v>90</v>
      </c>
      <c r="AQ735" s="5" t="s">
        <v>2201</v>
      </c>
      <c r="AR735" s="5" t="s">
        <v>2202</v>
      </c>
      <c r="AS735" s="5" t="s">
        <v>247</v>
      </c>
      <c r="AT735" s="20"/>
      <c r="AU735" s="21"/>
      <c r="AV735" s="21"/>
      <c r="AW735" s="144" t="str">
        <f t="shared" si="226"/>
        <v>OK</v>
      </c>
      <c r="AX735" s="21" t="s">
        <v>3131</v>
      </c>
      <c r="AY735" s="21" t="s">
        <v>3132</v>
      </c>
      <c r="AZ735" s="21"/>
      <c r="BA735" s="21"/>
    </row>
    <row r="736" spans="1:53" ht="20" customHeight="1">
      <c r="A736" s="86" t="s">
        <v>318</v>
      </c>
      <c r="B736" s="372" t="s">
        <v>3066</v>
      </c>
      <c r="C736" s="5" t="s">
        <v>51</v>
      </c>
      <c r="D736" s="5" t="s">
        <v>52</v>
      </c>
      <c r="E736" s="5" t="s">
        <v>2035</v>
      </c>
      <c r="F736" s="5" t="s">
        <v>2207</v>
      </c>
      <c r="G736" s="5" t="s">
        <v>161</v>
      </c>
      <c r="H736" s="6">
        <v>44172</v>
      </c>
      <c r="I736" s="5" t="s">
        <v>74</v>
      </c>
      <c r="J736" s="5" t="s">
        <v>74</v>
      </c>
      <c r="K736" s="5" t="s">
        <v>76</v>
      </c>
      <c r="L736" s="7">
        <v>2</v>
      </c>
      <c r="M736" s="7">
        <v>3</v>
      </c>
      <c r="N736" s="8">
        <v>10000</v>
      </c>
      <c r="O736" s="88">
        <v>0.03</v>
      </c>
      <c r="P736" s="10">
        <f t="shared" si="214"/>
        <v>300</v>
      </c>
      <c r="Q736" s="88">
        <v>0</v>
      </c>
      <c r="R736" s="10">
        <f t="shared" si="215"/>
        <v>0</v>
      </c>
      <c r="S736" s="88">
        <f t="shared" si="216"/>
        <v>0.03</v>
      </c>
      <c r="T736" s="10">
        <f t="shared" si="217"/>
        <v>300</v>
      </c>
      <c r="U736" s="10">
        <f t="shared" si="218"/>
        <v>10300</v>
      </c>
      <c r="V736" s="11">
        <f>U736</f>
        <v>10300</v>
      </c>
      <c r="W736" s="12">
        <f t="shared" si="220"/>
        <v>300</v>
      </c>
      <c r="X736" s="92">
        <f t="shared" si="212"/>
        <v>0.03</v>
      </c>
      <c r="Y736" s="93" t="str">
        <f t="shared" si="209"/>
        <v>2.40%-3.60%</v>
      </c>
      <c r="Z736" s="15"/>
      <c r="AA736" s="15"/>
      <c r="AB736" s="15"/>
      <c r="AC736" s="95"/>
      <c r="AD736" s="8">
        <f t="shared" si="221"/>
        <v>0</v>
      </c>
      <c r="AE736" s="17">
        <f t="shared" si="222"/>
        <v>10300</v>
      </c>
      <c r="AF736" s="18">
        <f t="shared" si="223"/>
        <v>300</v>
      </c>
      <c r="AG736" s="97">
        <f t="shared" si="224"/>
        <v>3.0000000000000027E-2</v>
      </c>
      <c r="AH736" s="20">
        <v>14</v>
      </c>
      <c r="AI736" s="20">
        <v>450</v>
      </c>
      <c r="AJ736" s="20"/>
      <c r="AK736" s="20">
        <v>688</v>
      </c>
      <c r="AL736" s="20">
        <f t="shared" si="225"/>
        <v>150288</v>
      </c>
      <c r="AM736" s="7">
        <v>4</v>
      </c>
      <c r="AN736" s="20"/>
      <c r="AO736" s="246"/>
      <c r="AP736" s="21"/>
      <c r="AQ736" s="5" t="s">
        <v>2201</v>
      </c>
      <c r="AR736" s="5" t="s">
        <v>2202</v>
      </c>
      <c r="AS736" s="5" t="s">
        <v>247</v>
      </c>
      <c r="AT736" s="20"/>
      <c r="AU736" s="21"/>
      <c r="AV736" s="21"/>
      <c r="AW736" s="144" t="str">
        <f t="shared" si="226"/>
        <v>OK</v>
      </c>
      <c r="AX736" s="21" t="s">
        <v>3131</v>
      </c>
      <c r="AY736" s="21" t="s">
        <v>3132</v>
      </c>
      <c r="AZ736" s="21"/>
      <c r="BA736" s="21"/>
    </row>
    <row r="737" spans="1:53" ht="20" customHeight="1">
      <c r="A737" s="86" t="s">
        <v>318</v>
      </c>
      <c r="B737" s="372" t="s">
        <v>3067</v>
      </c>
      <c r="C737" s="5" t="s">
        <v>51</v>
      </c>
      <c r="D737" s="5" t="s">
        <v>52</v>
      </c>
      <c r="E737" s="5" t="s">
        <v>2035</v>
      </c>
      <c r="F737" s="5" t="s">
        <v>2207</v>
      </c>
      <c r="G737" s="5" t="s">
        <v>161</v>
      </c>
      <c r="H737" s="6">
        <v>44200</v>
      </c>
      <c r="I737" s="5" t="s">
        <v>140</v>
      </c>
      <c r="J737" s="5" t="s">
        <v>140</v>
      </c>
      <c r="K737" s="5" t="s">
        <v>61</v>
      </c>
      <c r="L737" s="7">
        <v>2</v>
      </c>
      <c r="M737" s="7">
        <v>3</v>
      </c>
      <c r="N737" s="8">
        <v>13624</v>
      </c>
      <c r="O737" s="88">
        <v>0.03</v>
      </c>
      <c r="P737" s="10">
        <f t="shared" si="214"/>
        <v>409</v>
      </c>
      <c r="Q737" s="88">
        <v>0</v>
      </c>
      <c r="R737" s="10">
        <f t="shared" si="215"/>
        <v>0</v>
      </c>
      <c r="S737" s="88">
        <f t="shared" si="216"/>
        <v>3.0020551967116851E-2</v>
      </c>
      <c r="T737" s="10">
        <f t="shared" si="217"/>
        <v>409</v>
      </c>
      <c r="U737" s="10">
        <f t="shared" si="218"/>
        <v>14033</v>
      </c>
      <c r="V737" s="11">
        <v>13624</v>
      </c>
      <c r="W737" s="12">
        <f t="shared" si="220"/>
        <v>0</v>
      </c>
      <c r="X737" s="92">
        <f t="shared" si="212"/>
        <v>0</v>
      </c>
      <c r="Y737" s="93" t="str">
        <f t="shared" si="209"/>
        <v>2.40%-3.60%</v>
      </c>
      <c r="Z737" s="15"/>
      <c r="AA737" s="15"/>
      <c r="AB737" s="15"/>
      <c r="AC737" s="95"/>
      <c r="AD737" s="8">
        <f t="shared" si="221"/>
        <v>0</v>
      </c>
      <c r="AE737" s="17">
        <f t="shared" si="222"/>
        <v>13624</v>
      </c>
      <c r="AF737" s="18">
        <f t="shared" si="223"/>
        <v>0</v>
      </c>
      <c r="AG737" s="97">
        <f t="shared" si="224"/>
        <v>0</v>
      </c>
      <c r="AH737" s="20">
        <v>14</v>
      </c>
      <c r="AI737" s="20">
        <v>450</v>
      </c>
      <c r="AJ737" s="20"/>
      <c r="AK737" s="20">
        <v>688</v>
      </c>
      <c r="AL737" s="20">
        <f t="shared" si="225"/>
        <v>196824</v>
      </c>
      <c r="AM737" s="7">
        <v>3</v>
      </c>
      <c r="AN737" s="20"/>
      <c r="AO737" s="246" t="s">
        <v>2210</v>
      </c>
      <c r="AP737" s="21" t="s">
        <v>128</v>
      </c>
      <c r="AQ737" s="5" t="s">
        <v>2201</v>
      </c>
      <c r="AR737" s="5" t="s">
        <v>2202</v>
      </c>
      <c r="AS737" s="5" t="s">
        <v>247</v>
      </c>
      <c r="AT737" s="20"/>
      <c r="AU737" s="21"/>
      <c r="AV737" s="21"/>
      <c r="AW737" s="144" t="str">
        <f t="shared" si="226"/>
        <v>0 increase</v>
      </c>
      <c r="AX737" s="21" t="s">
        <v>3131</v>
      </c>
      <c r="AY737" s="21" t="s">
        <v>3132</v>
      </c>
      <c r="AZ737" s="21"/>
      <c r="BA737" s="21"/>
    </row>
    <row r="738" spans="1:53" ht="20" customHeight="1">
      <c r="A738" s="86" t="s">
        <v>318</v>
      </c>
      <c r="B738" s="372" t="s">
        <v>3068</v>
      </c>
      <c r="C738" s="5" t="s">
        <v>51</v>
      </c>
      <c r="D738" s="5" t="s">
        <v>52</v>
      </c>
      <c r="E738" s="5" t="s">
        <v>2035</v>
      </c>
      <c r="F738" s="5" t="s">
        <v>2207</v>
      </c>
      <c r="G738" s="5" t="s">
        <v>161</v>
      </c>
      <c r="H738" s="6">
        <v>44210</v>
      </c>
      <c r="I738" s="5" t="s">
        <v>82</v>
      </c>
      <c r="J738" s="5" t="s">
        <v>2211</v>
      </c>
      <c r="K738" s="5" t="s">
        <v>84</v>
      </c>
      <c r="L738" s="7">
        <v>2</v>
      </c>
      <c r="M738" s="7">
        <v>3</v>
      </c>
      <c r="N738" s="8">
        <v>8784</v>
      </c>
      <c r="O738" s="88">
        <v>2.5000000000000001E-2</v>
      </c>
      <c r="P738" s="10">
        <f t="shared" si="214"/>
        <v>220</v>
      </c>
      <c r="Q738" s="88">
        <v>0</v>
      </c>
      <c r="R738" s="10">
        <f t="shared" si="215"/>
        <v>0</v>
      </c>
      <c r="S738" s="88">
        <f t="shared" si="216"/>
        <v>2.5045537340619307E-2</v>
      </c>
      <c r="T738" s="10">
        <f t="shared" si="217"/>
        <v>220</v>
      </c>
      <c r="U738" s="10">
        <f t="shared" si="218"/>
        <v>9004</v>
      </c>
      <c r="V738" s="11">
        <v>9003</v>
      </c>
      <c r="W738" s="12">
        <f t="shared" si="220"/>
        <v>219</v>
      </c>
      <c r="X738" s="92">
        <f t="shared" si="212"/>
        <v>2.4899999999999999E-2</v>
      </c>
      <c r="Y738" s="93" t="str">
        <f t="shared" ref="Y738:Y751" si="228">IF(OR(L738=1,L738=2,L738=4),TEXT(S738*0.8,"0.00%")&amp;"-"&amp;TEXT(S738*1.2,"0.00%"),IF(OR(L738=3,L738=6),TEXT(0,"0.00%")&amp;"-"&amp;TEXT(7%*1.2,"0.00%"),IF(OR(L738=5,L738=7),TEXT((R738/N738),"0.00%")&amp;"-"&amp;TEXT((R738/N738)+7%,"0.00%"),"")))</f>
        <v>2.00%-3.01%</v>
      </c>
      <c r="Z738" s="15"/>
      <c r="AA738" s="15"/>
      <c r="AB738" s="15"/>
      <c r="AC738" s="95"/>
      <c r="AD738" s="8">
        <f t="shared" si="221"/>
        <v>0</v>
      </c>
      <c r="AE738" s="17">
        <f t="shared" si="222"/>
        <v>9003</v>
      </c>
      <c r="AF738" s="18">
        <f t="shared" si="223"/>
        <v>219</v>
      </c>
      <c r="AG738" s="97">
        <f t="shared" si="224"/>
        <v>2.4931693989071135E-2</v>
      </c>
      <c r="AH738" s="20">
        <v>14</v>
      </c>
      <c r="AI738" s="20">
        <v>450</v>
      </c>
      <c r="AJ738" s="20"/>
      <c r="AK738" s="20">
        <v>688</v>
      </c>
      <c r="AL738" s="20">
        <f t="shared" si="225"/>
        <v>132130</v>
      </c>
      <c r="AM738" s="7">
        <v>3</v>
      </c>
      <c r="AN738" s="20"/>
      <c r="AO738" s="246"/>
      <c r="AP738" s="21"/>
      <c r="AQ738" s="5" t="s">
        <v>2201</v>
      </c>
      <c r="AR738" s="5" t="s">
        <v>2202</v>
      </c>
      <c r="AS738" s="5" t="s">
        <v>247</v>
      </c>
      <c r="AT738" s="20"/>
      <c r="AU738" s="21"/>
      <c r="AV738" s="21"/>
      <c r="AW738" s="144" t="str">
        <f t="shared" si="226"/>
        <v>OK</v>
      </c>
      <c r="AX738" s="21" t="s">
        <v>3131</v>
      </c>
      <c r="AY738" s="21" t="s">
        <v>3130</v>
      </c>
      <c r="AZ738" s="21"/>
      <c r="BA738" s="21"/>
    </row>
    <row r="739" spans="1:53" ht="20" customHeight="1">
      <c r="A739" s="86" t="s">
        <v>318</v>
      </c>
      <c r="B739" s="372" t="s">
        <v>3069</v>
      </c>
      <c r="C739" s="5" t="s">
        <v>51</v>
      </c>
      <c r="D739" s="5" t="s">
        <v>52</v>
      </c>
      <c r="E739" s="5" t="s">
        <v>2035</v>
      </c>
      <c r="F739" s="5" t="s">
        <v>2049</v>
      </c>
      <c r="G739" s="5" t="s">
        <v>197</v>
      </c>
      <c r="H739" s="6">
        <v>44228</v>
      </c>
      <c r="I739" s="5" t="s">
        <v>82</v>
      </c>
      <c r="J739" s="5" t="s">
        <v>2212</v>
      </c>
      <c r="K739" s="5" t="s">
        <v>84</v>
      </c>
      <c r="L739" s="7">
        <v>2</v>
      </c>
      <c r="M739" s="7">
        <v>3</v>
      </c>
      <c r="N739" s="8">
        <v>7100</v>
      </c>
      <c r="O739" s="88">
        <v>2.5000000000000001E-2</v>
      </c>
      <c r="P739" s="10">
        <f t="shared" si="214"/>
        <v>178</v>
      </c>
      <c r="Q739" s="88">
        <v>0</v>
      </c>
      <c r="R739" s="10">
        <f t="shared" si="215"/>
        <v>0</v>
      </c>
      <c r="S739" s="88">
        <f t="shared" si="216"/>
        <v>2.5070422535211266E-2</v>
      </c>
      <c r="T739" s="10">
        <f t="shared" si="217"/>
        <v>178</v>
      </c>
      <c r="U739" s="10">
        <f t="shared" si="218"/>
        <v>7278</v>
      </c>
      <c r="V739" s="11">
        <f t="shared" si="227"/>
        <v>7278</v>
      </c>
      <c r="W739" s="12">
        <f t="shared" si="220"/>
        <v>178</v>
      </c>
      <c r="X739" s="92">
        <f t="shared" si="212"/>
        <v>2.5100000000000001E-2</v>
      </c>
      <c r="Y739" s="93" t="str">
        <f t="shared" si="228"/>
        <v>2.01%-3.01%</v>
      </c>
      <c r="Z739" s="15"/>
      <c r="AA739" s="15"/>
      <c r="AB739" s="15"/>
      <c r="AC739" s="95"/>
      <c r="AD739" s="8">
        <f t="shared" si="221"/>
        <v>0</v>
      </c>
      <c r="AE739" s="17">
        <f t="shared" si="222"/>
        <v>7278</v>
      </c>
      <c r="AF739" s="18">
        <f t="shared" si="223"/>
        <v>178</v>
      </c>
      <c r="AG739" s="97">
        <f t="shared" si="224"/>
        <v>2.507042253521119E-2</v>
      </c>
      <c r="AH739" s="20">
        <v>14</v>
      </c>
      <c r="AI739" s="20">
        <v>450</v>
      </c>
      <c r="AJ739" s="20"/>
      <c r="AK739" s="20">
        <v>688</v>
      </c>
      <c r="AL739" s="20">
        <f t="shared" si="225"/>
        <v>107980</v>
      </c>
      <c r="AM739" s="7">
        <v>3</v>
      </c>
      <c r="AN739" s="20"/>
      <c r="AO739" s="246"/>
      <c r="AP739" s="21"/>
      <c r="AQ739" s="5" t="s">
        <v>2201</v>
      </c>
      <c r="AR739" s="5" t="s">
        <v>2202</v>
      </c>
      <c r="AS739" s="5" t="s">
        <v>247</v>
      </c>
      <c r="AT739" s="20"/>
      <c r="AU739" s="21"/>
      <c r="AV739" s="21"/>
      <c r="AW739" s="144" t="str">
        <f t="shared" si="226"/>
        <v>OK</v>
      </c>
      <c r="AX739" s="21" t="s">
        <v>3131</v>
      </c>
      <c r="AY739" s="21" t="s">
        <v>3130</v>
      </c>
      <c r="AZ739" s="21"/>
      <c r="BA739" s="21"/>
    </row>
    <row r="740" spans="1:53" ht="20" customHeight="1">
      <c r="A740" s="86" t="s">
        <v>318</v>
      </c>
      <c r="B740" s="372" t="s">
        <v>3070</v>
      </c>
      <c r="C740" s="5" t="s">
        <v>51</v>
      </c>
      <c r="D740" s="5" t="s">
        <v>52</v>
      </c>
      <c r="E740" s="5" t="s">
        <v>2035</v>
      </c>
      <c r="F740" s="5" t="s">
        <v>2049</v>
      </c>
      <c r="G740" s="5" t="s">
        <v>197</v>
      </c>
      <c r="H740" s="6">
        <v>44267</v>
      </c>
      <c r="I740" s="5" t="s">
        <v>71</v>
      </c>
      <c r="J740" s="5" t="s">
        <v>2213</v>
      </c>
      <c r="K740" s="5" t="s">
        <v>61</v>
      </c>
      <c r="L740" s="7">
        <v>2</v>
      </c>
      <c r="M740" s="7">
        <v>2</v>
      </c>
      <c r="N740" s="8">
        <v>16202</v>
      </c>
      <c r="O740" s="88">
        <v>0</v>
      </c>
      <c r="P740" s="10">
        <f t="shared" si="214"/>
        <v>0</v>
      </c>
      <c r="Q740" s="88">
        <v>0</v>
      </c>
      <c r="R740" s="10">
        <f t="shared" si="215"/>
        <v>0</v>
      </c>
      <c r="S740" s="88">
        <f t="shared" si="216"/>
        <v>0</v>
      </c>
      <c r="T740" s="10">
        <f t="shared" si="217"/>
        <v>0</v>
      </c>
      <c r="U740" s="10">
        <f t="shared" si="218"/>
        <v>16202</v>
      </c>
      <c r="V740" s="11">
        <f t="shared" si="227"/>
        <v>16202</v>
      </c>
      <c r="W740" s="12">
        <f t="shared" si="220"/>
        <v>0</v>
      </c>
      <c r="X740" s="92">
        <f t="shared" si="212"/>
        <v>0</v>
      </c>
      <c r="Y740" s="93" t="str">
        <f t="shared" si="228"/>
        <v>0.00%-0.00%</v>
      </c>
      <c r="Z740" s="15"/>
      <c r="AA740" s="15"/>
      <c r="AB740" s="15"/>
      <c r="AC740" s="95"/>
      <c r="AD740" s="8">
        <f t="shared" si="221"/>
        <v>0</v>
      </c>
      <c r="AE740" s="17">
        <f t="shared" si="222"/>
        <v>16202</v>
      </c>
      <c r="AF740" s="18">
        <f t="shared" si="223"/>
        <v>0</v>
      </c>
      <c r="AG740" s="97">
        <f t="shared" si="224"/>
        <v>0</v>
      </c>
      <c r="AH740" s="20">
        <v>14</v>
      </c>
      <c r="AI740" s="20">
        <v>950</v>
      </c>
      <c r="AJ740" s="20"/>
      <c r="AK740" s="20">
        <v>688</v>
      </c>
      <c r="AL740" s="20">
        <f t="shared" si="225"/>
        <v>238916</v>
      </c>
      <c r="AM740" s="7">
        <v>3</v>
      </c>
      <c r="AN740" s="20"/>
      <c r="AO740" s="246"/>
      <c r="AP740" s="21"/>
      <c r="AQ740" s="5" t="s">
        <v>2201</v>
      </c>
      <c r="AR740" s="5" t="s">
        <v>2202</v>
      </c>
      <c r="AS740" s="5" t="s">
        <v>247</v>
      </c>
      <c r="AT740" s="20"/>
      <c r="AU740" s="21"/>
      <c r="AV740" s="21"/>
      <c r="AW740" s="144" t="str">
        <f t="shared" si="226"/>
        <v>OK</v>
      </c>
      <c r="AX740" s="21" t="s">
        <v>3131</v>
      </c>
      <c r="AY740" s="21">
        <v>0</v>
      </c>
      <c r="AZ740" s="21"/>
      <c r="BA740" s="21"/>
    </row>
    <row r="741" spans="1:53" ht="20" customHeight="1">
      <c r="A741" s="86" t="s">
        <v>318</v>
      </c>
      <c r="B741" s="372" t="s">
        <v>3071</v>
      </c>
      <c r="C741" s="5" t="s">
        <v>51</v>
      </c>
      <c r="D741" s="5" t="s">
        <v>52</v>
      </c>
      <c r="E741" s="5" t="s">
        <v>2035</v>
      </c>
      <c r="F741" s="5" t="s">
        <v>2214</v>
      </c>
      <c r="G741" s="5" t="s">
        <v>161</v>
      </c>
      <c r="H741" s="6">
        <v>44491</v>
      </c>
      <c r="I741" s="5" t="s">
        <v>74</v>
      </c>
      <c r="J741" s="5" t="s">
        <v>74</v>
      </c>
      <c r="K741" s="5" t="s">
        <v>76</v>
      </c>
      <c r="L741" s="7">
        <v>2</v>
      </c>
      <c r="M741" s="7">
        <v>2</v>
      </c>
      <c r="N741" s="8">
        <v>10210</v>
      </c>
      <c r="O741" s="88">
        <v>0</v>
      </c>
      <c r="P741" s="10">
        <f t="shared" si="214"/>
        <v>0</v>
      </c>
      <c r="Q741" s="88">
        <v>0</v>
      </c>
      <c r="R741" s="10">
        <f t="shared" si="215"/>
        <v>0</v>
      </c>
      <c r="S741" s="88">
        <f t="shared" si="216"/>
        <v>0</v>
      </c>
      <c r="T741" s="10">
        <f t="shared" si="217"/>
        <v>0</v>
      </c>
      <c r="U741" s="10">
        <f t="shared" si="218"/>
        <v>10210</v>
      </c>
      <c r="V741" s="11">
        <v>10510</v>
      </c>
      <c r="W741" s="12">
        <f t="shared" si="220"/>
        <v>300</v>
      </c>
      <c r="X741" s="92">
        <f t="shared" si="212"/>
        <v>2.9399999999999999E-2</v>
      </c>
      <c r="Y741" s="93" t="str">
        <f t="shared" si="228"/>
        <v>0.00%-0.00%</v>
      </c>
      <c r="Z741" s="15"/>
      <c r="AA741" s="15"/>
      <c r="AB741" s="15"/>
      <c r="AC741" s="95"/>
      <c r="AD741" s="8">
        <f t="shared" si="221"/>
        <v>0</v>
      </c>
      <c r="AE741" s="17">
        <f t="shared" si="222"/>
        <v>10510</v>
      </c>
      <c r="AF741" s="18">
        <f t="shared" si="223"/>
        <v>300</v>
      </c>
      <c r="AG741" s="97">
        <f t="shared" si="224"/>
        <v>2.938295788442713E-2</v>
      </c>
      <c r="AH741" s="20">
        <v>14</v>
      </c>
      <c r="AI741" s="20">
        <v>450</v>
      </c>
      <c r="AJ741" s="20"/>
      <c r="AK741" s="20">
        <v>688</v>
      </c>
      <c r="AL741" s="20">
        <f t="shared" si="225"/>
        <v>153228</v>
      </c>
      <c r="AM741" s="7">
        <v>4</v>
      </c>
      <c r="AN741" s="20"/>
      <c r="AO741" s="246" t="s">
        <v>2215</v>
      </c>
      <c r="AP741" s="21" t="s">
        <v>151</v>
      </c>
      <c r="AQ741" s="5" t="s">
        <v>2201</v>
      </c>
      <c r="AR741" s="5" t="s">
        <v>2202</v>
      </c>
      <c r="AS741" s="5" t="s">
        <v>247</v>
      </c>
      <c r="AT741" s="20"/>
      <c r="AU741" s="21"/>
      <c r="AV741" s="21"/>
      <c r="AW741" s="144" t="str">
        <f t="shared" si="226"/>
        <v>&gt;20</v>
      </c>
      <c r="AX741" s="21" t="s">
        <v>3131</v>
      </c>
      <c r="AY741" s="21">
        <v>0</v>
      </c>
      <c r="AZ741" s="21"/>
      <c r="BA741" s="21"/>
    </row>
    <row r="742" spans="1:53" ht="20" customHeight="1">
      <c r="A742" s="86" t="s">
        <v>318</v>
      </c>
      <c r="B742" s="372" t="s">
        <v>3072</v>
      </c>
      <c r="C742" s="5" t="s">
        <v>51</v>
      </c>
      <c r="D742" s="5" t="s">
        <v>52</v>
      </c>
      <c r="E742" s="5" t="s">
        <v>2035</v>
      </c>
      <c r="F742" s="5" t="s">
        <v>2207</v>
      </c>
      <c r="G742" s="5" t="s">
        <v>161</v>
      </c>
      <c r="H742" s="6">
        <v>41115</v>
      </c>
      <c r="I742" s="5" t="s">
        <v>82</v>
      </c>
      <c r="J742" s="5" t="s">
        <v>2216</v>
      </c>
      <c r="K742" s="5" t="s">
        <v>84</v>
      </c>
      <c r="L742" s="7">
        <v>2</v>
      </c>
      <c r="M742" s="7">
        <v>4</v>
      </c>
      <c r="N742" s="8">
        <v>7563</v>
      </c>
      <c r="O742" s="88">
        <v>4.4999999999999998E-2</v>
      </c>
      <c r="P742" s="10">
        <f t="shared" si="214"/>
        <v>340</v>
      </c>
      <c r="Q742" s="88">
        <v>4.2099999999999999E-2</v>
      </c>
      <c r="R742" s="10">
        <f t="shared" si="215"/>
        <v>318</v>
      </c>
      <c r="S742" s="88">
        <f t="shared" si="216"/>
        <v>8.7002512230596324E-2</v>
      </c>
      <c r="T742" s="10">
        <f t="shared" si="217"/>
        <v>658</v>
      </c>
      <c r="U742" s="10">
        <f t="shared" si="218"/>
        <v>8221</v>
      </c>
      <c r="V742" s="11">
        <v>8220</v>
      </c>
      <c r="W742" s="12">
        <f t="shared" si="220"/>
        <v>657</v>
      </c>
      <c r="X742" s="92">
        <f t="shared" si="212"/>
        <v>8.6900000000000005E-2</v>
      </c>
      <c r="Y742" s="93" t="str">
        <f t="shared" si="228"/>
        <v>6.96%-10.44%</v>
      </c>
      <c r="Z742" s="15"/>
      <c r="AA742" s="15"/>
      <c r="AB742" s="15"/>
      <c r="AC742" s="95"/>
      <c r="AD742" s="8">
        <f t="shared" si="221"/>
        <v>0</v>
      </c>
      <c r="AE742" s="17">
        <f t="shared" si="222"/>
        <v>8220</v>
      </c>
      <c r="AF742" s="18">
        <f t="shared" si="223"/>
        <v>657</v>
      </c>
      <c r="AG742" s="97">
        <f t="shared" si="224"/>
        <v>8.6870289567631875E-2</v>
      </c>
      <c r="AH742" s="20">
        <v>14</v>
      </c>
      <c r="AI742" s="20">
        <v>450</v>
      </c>
      <c r="AJ742" s="20"/>
      <c r="AK742" s="20">
        <v>688</v>
      </c>
      <c r="AL742" s="20">
        <f t="shared" si="225"/>
        <v>121168</v>
      </c>
      <c r="AM742" s="7">
        <v>3</v>
      </c>
      <c r="AN742" s="20"/>
      <c r="AO742" s="246"/>
      <c r="AP742" s="21"/>
      <c r="AQ742" s="5" t="s">
        <v>2201</v>
      </c>
      <c r="AR742" s="5" t="s">
        <v>2202</v>
      </c>
      <c r="AS742" s="5" t="s">
        <v>247</v>
      </c>
      <c r="AT742" s="20"/>
      <c r="AU742" s="21"/>
      <c r="AV742" s="21"/>
      <c r="AW742" s="144" t="str">
        <f t="shared" si="226"/>
        <v>OK</v>
      </c>
      <c r="AX742" s="21" t="s">
        <v>3135</v>
      </c>
      <c r="AY742" s="21" t="s">
        <v>3132</v>
      </c>
      <c r="AZ742" s="21"/>
      <c r="BA742" s="21"/>
    </row>
    <row r="743" spans="1:53" ht="20" customHeight="1">
      <c r="A743" s="86" t="s">
        <v>318</v>
      </c>
      <c r="B743" s="372" t="s">
        <v>3073</v>
      </c>
      <c r="C743" s="5" t="s">
        <v>51</v>
      </c>
      <c r="D743" s="5" t="s">
        <v>52</v>
      </c>
      <c r="E743" s="5" t="s">
        <v>2035</v>
      </c>
      <c r="F743" s="5" t="s">
        <v>2206</v>
      </c>
      <c r="G743" s="5" t="s">
        <v>161</v>
      </c>
      <c r="H743" s="6">
        <v>44378</v>
      </c>
      <c r="I743" s="5" t="s">
        <v>82</v>
      </c>
      <c r="J743" s="5" t="s">
        <v>1417</v>
      </c>
      <c r="K743" s="5" t="s">
        <v>84</v>
      </c>
      <c r="L743" s="7">
        <v>2</v>
      </c>
      <c r="M743" s="7">
        <v>3</v>
      </c>
      <c r="N743" s="8">
        <v>7136</v>
      </c>
      <c r="O743" s="88">
        <v>0.03</v>
      </c>
      <c r="P743" s="10">
        <f t="shared" si="214"/>
        <v>214</v>
      </c>
      <c r="Q743" s="88">
        <v>0</v>
      </c>
      <c r="R743" s="10">
        <f t="shared" si="215"/>
        <v>0</v>
      </c>
      <c r="S743" s="88">
        <f t="shared" si="216"/>
        <v>2.9988789237668161E-2</v>
      </c>
      <c r="T743" s="10">
        <f t="shared" si="217"/>
        <v>214</v>
      </c>
      <c r="U743" s="10">
        <f t="shared" si="218"/>
        <v>7350</v>
      </c>
      <c r="V743" s="11">
        <v>7136</v>
      </c>
      <c r="W743" s="12">
        <f t="shared" si="220"/>
        <v>0</v>
      </c>
      <c r="X743" s="92">
        <f t="shared" si="212"/>
        <v>0</v>
      </c>
      <c r="Y743" s="93" t="str">
        <f t="shared" si="228"/>
        <v>2.40%-3.60%</v>
      </c>
      <c r="Z743" s="15"/>
      <c r="AA743" s="15"/>
      <c r="AB743" s="15"/>
      <c r="AC743" s="95"/>
      <c r="AD743" s="8">
        <f t="shared" si="221"/>
        <v>0</v>
      </c>
      <c r="AE743" s="17">
        <f t="shared" si="222"/>
        <v>7136</v>
      </c>
      <c r="AF743" s="18">
        <f t="shared" si="223"/>
        <v>0</v>
      </c>
      <c r="AG743" s="97">
        <f t="shared" si="224"/>
        <v>0</v>
      </c>
      <c r="AH743" s="20">
        <v>14</v>
      </c>
      <c r="AI743" s="20">
        <v>450</v>
      </c>
      <c r="AJ743" s="20"/>
      <c r="AK743" s="20">
        <v>688</v>
      </c>
      <c r="AL743" s="20">
        <f t="shared" si="225"/>
        <v>105992</v>
      </c>
      <c r="AM743" s="7">
        <v>3</v>
      </c>
      <c r="AN743" s="20"/>
      <c r="AO743" s="246" t="s">
        <v>2210</v>
      </c>
      <c r="AP743" s="21" t="s">
        <v>128</v>
      </c>
      <c r="AQ743" s="5" t="s">
        <v>2201</v>
      </c>
      <c r="AR743" s="5" t="s">
        <v>2202</v>
      </c>
      <c r="AS743" s="5" t="s">
        <v>247</v>
      </c>
      <c r="AT743" s="20"/>
      <c r="AU743" s="21"/>
      <c r="AV743" s="21"/>
      <c r="AW743" s="144" t="str">
        <f t="shared" si="226"/>
        <v>0 increase</v>
      </c>
      <c r="AX743" s="21" t="s">
        <v>3131</v>
      </c>
      <c r="AY743" s="21" t="s">
        <v>3132</v>
      </c>
      <c r="AZ743" s="21"/>
      <c r="BA743" s="21"/>
    </row>
    <row r="744" spans="1:53" ht="20" customHeight="1">
      <c r="A744" s="86" t="s">
        <v>318</v>
      </c>
      <c r="B744" s="372" t="s">
        <v>3074</v>
      </c>
      <c r="C744" s="5" t="s">
        <v>51</v>
      </c>
      <c r="D744" s="5" t="s">
        <v>52</v>
      </c>
      <c r="E744" s="5" t="s">
        <v>2035</v>
      </c>
      <c r="F744" s="5" t="s">
        <v>2206</v>
      </c>
      <c r="G744" s="5" t="s">
        <v>161</v>
      </c>
      <c r="H744" s="6">
        <v>39392</v>
      </c>
      <c r="I744" s="5" t="s">
        <v>198</v>
      </c>
      <c r="J744" s="5" t="s">
        <v>134</v>
      </c>
      <c r="K744" s="5" t="s">
        <v>199</v>
      </c>
      <c r="L744" s="7">
        <v>2</v>
      </c>
      <c r="M744" s="7">
        <v>3</v>
      </c>
      <c r="N744" s="8">
        <v>37454</v>
      </c>
      <c r="O744" s="88">
        <v>2.5000000000000001E-2</v>
      </c>
      <c r="P744" s="10">
        <f t="shared" si="214"/>
        <v>936</v>
      </c>
      <c r="Q744" s="88">
        <v>0</v>
      </c>
      <c r="R744" s="10">
        <f t="shared" si="215"/>
        <v>0</v>
      </c>
      <c r="S744" s="88">
        <f t="shared" si="216"/>
        <v>2.4990655203716558E-2</v>
      </c>
      <c r="T744" s="10">
        <f t="shared" si="217"/>
        <v>936</v>
      </c>
      <c r="U744" s="10">
        <f t="shared" si="218"/>
        <v>38390</v>
      </c>
      <c r="V744" s="11">
        <v>38250</v>
      </c>
      <c r="W744" s="12">
        <f t="shared" si="220"/>
        <v>796</v>
      </c>
      <c r="X744" s="92">
        <f t="shared" si="212"/>
        <v>2.1299999999999999E-2</v>
      </c>
      <c r="Y744" s="93" t="str">
        <f t="shared" si="228"/>
        <v>2.00%-3.00%</v>
      </c>
      <c r="Z744" s="15"/>
      <c r="AA744" s="15"/>
      <c r="AB744" s="15"/>
      <c r="AC744" s="95"/>
      <c r="AD744" s="8">
        <f t="shared" si="221"/>
        <v>0</v>
      </c>
      <c r="AE744" s="17">
        <f t="shared" si="222"/>
        <v>38250</v>
      </c>
      <c r="AF744" s="18">
        <f t="shared" si="223"/>
        <v>796</v>
      </c>
      <c r="AG744" s="97">
        <f t="shared" si="224"/>
        <v>2.1252736690340113E-2</v>
      </c>
      <c r="AH744" s="20">
        <v>14</v>
      </c>
      <c r="AI744" s="20">
        <v>3450</v>
      </c>
      <c r="AJ744" s="20">
        <v>1000</v>
      </c>
      <c r="AK744" s="20">
        <v>688</v>
      </c>
      <c r="AL744" s="20">
        <f t="shared" si="225"/>
        <v>589588</v>
      </c>
      <c r="AM744" s="7">
        <v>3</v>
      </c>
      <c r="AN744" s="20"/>
      <c r="AO744" s="246"/>
      <c r="AP744" s="21"/>
      <c r="AQ744" s="5" t="s">
        <v>2201</v>
      </c>
      <c r="AR744" s="5" t="s">
        <v>2202</v>
      </c>
      <c r="AS744" s="5" t="s">
        <v>247</v>
      </c>
      <c r="AT744" s="20"/>
      <c r="AU744" s="21"/>
      <c r="AV744" s="21"/>
      <c r="AW744" s="144" t="str">
        <f t="shared" si="226"/>
        <v>OK</v>
      </c>
      <c r="AX744" s="21" t="s">
        <v>3129</v>
      </c>
      <c r="AY744" s="21" t="s">
        <v>3130</v>
      </c>
      <c r="AZ744" s="21"/>
      <c r="BA744" s="21"/>
    </row>
    <row r="745" spans="1:53" ht="20" customHeight="1">
      <c r="A745" s="86" t="s">
        <v>318</v>
      </c>
      <c r="B745" s="372" t="s">
        <v>3075</v>
      </c>
      <c r="C745" s="5" t="s">
        <v>51</v>
      </c>
      <c r="D745" s="5" t="s">
        <v>52</v>
      </c>
      <c r="E745" s="5" t="s">
        <v>2035</v>
      </c>
      <c r="F745" s="5" t="s">
        <v>2214</v>
      </c>
      <c r="G745" s="5" t="s">
        <v>161</v>
      </c>
      <c r="H745" s="6">
        <v>40210</v>
      </c>
      <c r="I745" s="5" t="s">
        <v>111</v>
      </c>
      <c r="J745" s="5" t="s">
        <v>2217</v>
      </c>
      <c r="K745" s="5" t="s">
        <v>56</v>
      </c>
      <c r="L745" s="7">
        <v>2</v>
      </c>
      <c r="M745" s="7">
        <v>3</v>
      </c>
      <c r="N745" s="8">
        <v>19543</v>
      </c>
      <c r="O745" s="88">
        <v>0.03</v>
      </c>
      <c r="P745" s="10">
        <f t="shared" si="214"/>
        <v>586</v>
      </c>
      <c r="Q745" s="88">
        <v>0</v>
      </c>
      <c r="R745" s="10">
        <f t="shared" si="215"/>
        <v>0</v>
      </c>
      <c r="S745" s="88">
        <f t="shared" si="216"/>
        <v>2.9985160927186203E-2</v>
      </c>
      <c r="T745" s="10">
        <f t="shared" si="217"/>
        <v>586</v>
      </c>
      <c r="U745" s="10">
        <f t="shared" si="218"/>
        <v>20129</v>
      </c>
      <c r="V745" s="11">
        <v>20100</v>
      </c>
      <c r="W745" s="12">
        <f t="shared" si="220"/>
        <v>557</v>
      </c>
      <c r="X745" s="92">
        <f t="shared" si="212"/>
        <v>2.8500000000000001E-2</v>
      </c>
      <c r="Y745" s="93" t="str">
        <f t="shared" si="228"/>
        <v>2.40%-3.60%</v>
      </c>
      <c r="Z745" s="15"/>
      <c r="AA745" s="15"/>
      <c r="AB745" s="15"/>
      <c r="AC745" s="95"/>
      <c r="AD745" s="8">
        <f t="shared" si="221"/>
        <v>0</v>
      </c>
      <c r="AE745" s="17">
        <f t="shared" si="222"/>
        <v>20100</v>
      </c>
      <c r="AF745" s="18">
        <f t="shared" si="223"/>
        <v>557</v>
      </c>
      <c r="AG745" s="97">
        <f t="shared" si="224"/>
        <v>2.850125364580669E-2</v>
      </c>
      <c r="AH745" s="20">
        <v>14</v>
      </c>
      <c r="AI745" s="20">
        <v>2950</v>
      </c>
      <c r="AJ745" s="20"/>
      <c r="AK745" s="20">
        <v>688</v>
      </c>
      <c r="AL745" s="20">
        <f t="shared" si="225"/>
        <v>317488</v>
      </c>
      <c r="AM745" s="7">
        <v>3</v>
      </c>
      <c r="AN745" s="20"/>
      <c r="AO745" s="246" t="s">
        <v>2218</v>
      </c>
      <c r="AP745" s="21"/>
      <c r="AQ745" s="5" t="s">
        <v>2201</v>
      </c>
      <c r="AR745" s="5" t="s">
        <v>2202</v>
      </c>
      <c r="AS745" s="5" t="s">
        <v>247</v>
      </c>
      <c r="AT745" s="20"/>
      <c r="AU745" s="21"/>
      <c r="AV745" s="21"/>
      <c r="AW745" s="144" t="str">
        <f t="shared" si="226"/>
        <v>OK</v>
      </c>
      <c r="AX745" s="21" t="s">
        <v>3129</v>
      </c>
      <c r="AY745" s="21" t="s">
        <v>3132</v>
      </c>
      <c r="AZ745" s="21"/>
      <c r="BA745" s="21"/>
    </row>
    <row r="746" spans="1:53" ht="20" customHeight="1">
      <c r="A746" s="86" t="s">
        <v>318</v>
      </c>
      <c r="B746" s="372" t="s">
        <v>3076</v>
      </c>
      <c r="C746" s="5" t="s">
        <v>51</v>
      </c>
      <c r="D746" s="5" t="s">
        <v>52</v>
      </c>
      <c r="E746" s="5" t="s">
        <v>2035</v>
      </c>
      <c r="F746" s="5" t="s">
        <v>2203</v>
      </c>
      <c r="G746" s="5" t="s">
        <v>2204</v>
      </c>
      <c r="H746" s="6">
        <v>41990</v>
      </c>
      <c r="I746" s="5" t="s">
        <v>111</v>
      </c>
      <c r="J746" s="5" t="s">
        <v>191</v>
      </c>
      <c r="K746" s="5" t="s">
        <v>56</v>
      </c>
      <c r="L746" s="7">
        <v>2</v>
      </c>
      <c r="M746" s="7">
        <v>5</v>
      </c>
      <c r="N746" s="8">
        <v>21504</v>
      </c>
      <c r="O746" s="88">
        <v>0.05</v>
      </c>
      <c r="P746" s="10">
        <f t="shared" si="214"/>
        <v>1075</v>
      </c>
      <c r="Q746" s="88">
        <v>2.7E-2</v>
      </c>
      <c r="R746" s="10">
        <f t="shared" si="215"/>
        <v>581</v>
      </c>
      <c r="S746" s="88">
        <f t="shared" si="216"/>
        <v>7.7008928571428575E-2</v>
      </c>
      <c r="T746" s="10">
        <f t="shared" si="217"/>
        <v>1656</v>
      </c>
      <c r="U746" s="10">
        <f t="shared" si="218"/>
        <v>23160</v>
      </c>
      <c r="V746" s="11">
        <v>23100</v>
      </c>
      <c r="W746" s="12">
        <f t="shared" si="220"/>
        <v>1596</v>
      </c>
      <c r="X746" s="92">
        <f t="shared" si="212"/>
        <v>7.4200000000000002E-2</v>
      </c>
      <c r="Y746" s="93" t="str">
        <f t="shared" si="228"/>
        <v>6.16%-9.24%</v>
      </c>
      <c r="Z746" s="15"/>
      <c r="AA746" s="15"/>
      <c r="AB746" s="15"/>
      <c r="AC746" s="95"/>
      <c r="AD746" s="8">
        <f t="shared" si="221"/>
        <v>0</v>
      </c>
      <c r="AE746" s="17">
        <f t="shared" si="222"/>
        <v>23100</v>
      </c>
      <c r="AF746" s="18">
        <f t="shared" si="223"/>
        <v>1596</v>
      </c>
      <c r="AG746" s="97">
        <f t="shared" si="224"/>
        <v>7.421875E-2</v>
      </c>
      <c r="AH746" s="20">
        <v>14</v>
      </c>
      <c r="AI746" s="20">
        <v>3950</v>
      </c>
      <c r="AJ746" s="20"/>
      <c r="AK746" s="20">
        <v>688</v>
      </c>
      <c r="AL746" s="20">
        <f t="shared" si="225"/>
        <v>371488</v>
      </c>
      <c r="AM746" s="7">
        <v>4</v>
      </c>
      <c r="AN746" s="20"/>
      <c r="AO746" s="246"/>
      <c r="AP746" s="21"/>
      <c r="AQ746" s="5" t="s">
        <v>2201</v>
      </c>
      <c r="AR746" s="5" t="s">
        <v>2202</v>
      </c>
      <c r="AS746" s="5" t="s">
        <v>247</v>
      </c>
      <c r="AT746" s="20"/>
      <c r="AU746" s="21"/>
      <c r="AV746" s="21"/>
      <c r="AW746" s="144" t="str">
        <f t="shared" si="226"/>
        <v>OK</v>
      </c>
      <c r="AX746" s="21" t="s">
        <v>3135</v>
      </c>
      <c r="AY746" s="21" t="s">
        <v>3130</v>
      </c>
      <c r="AZ746" s="21"/>
      <c r="BA746" s="21"/>
    </row>
    <row r="747" spans="1:53" ht="20" customHeight="1">
      <c r="A747" s="86" t="s">
        <v>318</v>
      </c>
      <c r="B747" s="372" t="s">
        <v>3077</v>
      </c>
      <c r="C747" s="5" t="s">
        <v>51</v>
      </c>
      <c r="D747" s="5" t="s">
        <v>52</v>
      </c>
      <c r="E747" s="5" t="s">
        <v>2035</v>
      </c>
      <c r="F747" s="5" t="s">
        <v>2207</v>
      </c>
      <c r="G747" s="5" t="s">
        <v>161</v>
      </c>
      <c r="H747" s="6">
        <v>44347</v>
      </c>
      <c r="I747" s="5" t="s">
        <v>111</v>
      </c>
      <c r="J747" s="5" t="s">
        <v>2219</v>
      </c>
      <c r="K747" s="5" t="s">
        <v>56</v>
      </c>
      <c r="L747" s="7">
        <v>2</v>
      </c>
      <c r="M747" s="7">
        <v>2</v>
      </c>
      <c r="N747" s="8">
        <v>19357</v>
      </c>
      <c r="O747" s="88">
        <v>0</v>
      </c>
      <c r="P747" s="10">
        <f t="shared" si="214"/>
        <v>0</v>
      </c>
      <c r="Q747" s="88">
        <v>0</v>
      </c>
      <c r="R747" s="10">
        <f t="shared" si="215"/>
        <v>0</v>
      </c>
      <c r="S747" s="88">
        <f t="shared" si="216"/>
        <v>0</v>
      </c>
      <c r="T747" s="10">
        <f t="shared" si="217"/>
        <v>0</v>
      </c>
      <c r="U747" s="10">
        <f t="shared" si="218"/>
        <v>19357</v>
      </c>
      <c r="V747" s="11">
        <f t="shared" si="227"/>
        <v>19357</v>
      </c>
      <c r="W747" s="12">
        <f t="shared" si="220"/>
        <v>0</v>
      </c>
      <c r="X747" s="92">
        <f t="shared" si="212"/>
        <v>0</v>
      </c>
      <c r="Y747" s="93" t="str">
        <f t="shared" si="228"/>
        <v>0.00%-0.00%</v>
      </c>
      <c r="Z747" s="15"/>
      <c r="AA747" s="15"/>
      <c r="AB747" s="15"/>
      <c r="AC747" s="95"/>
      <c r="AD747" s="8">
        <f t="shared" si="221"/>
        <v>0</v>
      </c>
      <c r="AE747" s="17">
        <f t="shared" si="222"/>
        <v>19357</v>
      </c>
      <c r="AF747" s="18">
        <f t="shared" si="223"/>
        <v>0</v>
      </c>
      <c r="AG747" s="97">
        <f t="shared" si="224"/>
        <v>0</v>
      </c>
      <c r="AH747" s="20">
        <v>14</v>
      </c>
      <c r="AI747" s="20">
        <v>450</v>
      </c>
      <c r="AJ747" s="20"/>
      <c r="AK747" s="20">
        <v>688</v>
      </c>
      <c r="AL747" s="20">
        <f t="shared" si="225"/>
        <v>277086</v>
      </c>
      <c r="AM747" s="7">
        <v>4</v>
      </c>
      <c r="AN747" s="20"/>
      <c r="AO747" s="246"/>
      <c r="AP747" s="21"/>
      <c r="AQ747" s="5" t="s">
        <v>2201</v>
      </c>
      <c r="AR747" s="5" t="s">
        <v>2202</v>
      </c>
      <c r="AS747" s="5" t="s">
        <v>247</v>
      </c>
      <c r="AT747" s="20"/>
      <c r="AU747" s="21"/>
      <c r="AV747" s="21"/>
      <c r="AW747" s="144" t="str">
        <f t="shared" si="226"/>
        <v>OK</v>
      </c>
      <c r="AX747" s="21" t="s">
        <v>3131</v>
      </c>
      <c r="AY747" s="21">
        <v>0</v>
      </c>
      <c r="AZ747" s="21"/>
      <c r="BA747" s="21"/>
    </row>
    <row r="748" spans="1:53" ht="20" customHeight="1">
      <c r="A748" s="86" t="s">
        <v>318</v>
      </c>
      <c r="B748" s="372" t="s">
        <v>3078</v>
      </c>
      <c r="C748" s="5" t="s">
        <v>51</v>
      </c>
      <c r="D748" s="5" t="s">
        <v>52</v>
      </c>
      <c r="E748" s="5" t="s">
        <v>2035</v>
      </c>
      <c r="F748" s="5" t="s">
        <v>2049</v>
      </c>
      <c r="G748" s="5" t="s">
        <v>197</v>
      </c>
      <c r="H748" s="6">
        <v>43761</v>
      </c>
      <c r="I748" s="5" t="s">
        <v>55</v>
      </c>
      <c r="J748" s="5" t="s">
        <v>55</v>
      </c>
      <c r="K748" s="5" t="s">
        <v>56</v>
      </c>
      <c r="L748" s="7">
        <v>2</v>
      </c>
      <c r="M748" s="7">
        <v>3</v>
      </c>
      <c r="N748" s="8">
        <v>22010</v>
      </c>
      <c r="O748" s="88">
        <v>2.5000000000000001E-2</v>
      </c>
      <c r="P748" s="10">
        <f t="shared" si="214"/>
        <v>550</v>
      </c>
      <c r="Q748" s="88">
        <v>0</v>
      </c>
      <c r="R748" s="10">
        <f t="shared" si="215"/>
        <v>0</v>
      </c>
      <c r="S748" s="88">
        <f t="shared" si="216"/>
        <v>2.4988641526578828E-2</v>
      </c>
      <c r="T748" s="10">
        <f t="shared" si="217"/>
        <v>550</v>
      </c>
      <c r="U748" s="10">
        <f t="shared" si="218"/>
        <v>22560</v>
      </c>
      <c r="V748" s="11">
        <f t="shared" si="227"/>
        <v>22560</v>
      </c>
      <c r="W748" s="12">
        <f t="shared" si="220"/>
        <v>550</v>
      </c>
      <c r="X748" s="92">
        <f t="shared" si="212"/>
        <v>2.5000000000000001E-2</v>
      </c>
      <c r="Y748" s="93" t="str">
        <f t="shared" si="228"/>
        <v>2.00%-3.00%</v>
      </c>
      <c r="Z748" s="15"/>
      <c r="AA748" s="15"/>
      <c r="AB748" s="15"/>
      <c r="AC748" s="95"/>
      <c r="AD748" s="8">
        <f t="shared" si="221"/>
        <v>0</v>
      </c>
      <c r="AE748" s="17">
        <f t="shared" si="222"/>
        <v>22560</v>
      </c>
      <c r="AF748" s="18">
        <f t="shared" si="223"/>
        <v>550</v>
      </c>
      <c r="AG748" s="97">
        <f t="shared" si="224"/>
        <v>2.4988641526578759E-2</v>
      </c>
      <c r="AH748" s="20">
        <v>14</v>
      </c>
      <c r="AI748" s="20">
        <v>4250</v>
      </c>
      <c r="AJ748" s="20"/>
      <c r="AK748" s="20">
        <v>688</v>
      </c>
      <c r="AL748" s="20">
        <f t="shared" si="225"/>
        <v>367528</v>
      </c>
      <c r="AM748" s="7">
        <v>3</v>
      </c>
      <c r="AN748" s="20"/>
      <c r="AO748" s="246"/>
      <c r="AP748" s="21"/>
      <c r="AQ748" s="5" t="s">
        <v>2201</v>
      </c>
      <c r="AR748" s="5" t="s">
        <v>2202</v>
      </c>
      <c r="AS748" s="5" t="s">
        <v>247</v>
      </c>
      <c r="AT748" s="20"/>
      <c r="AU748" s="21"/>
      <c r="AV748" s="21"/>
      <c r="AW748" s="144" t="str">
        <f t="shared" si="226"/>
        <v>OK</v>
      </c>
      <c r="AX748" s="21" t="s">
        <v>3133</v>
      </c>
      <c r="AY748" s="21" t="s">
        <v>3130</v>
      </c>
      <c r="AZ748" s="21"/>
      <c r="BA748" s="21"/>
    </row>
    <row r="749" spans="1:53" ht="20" customHeight="1">
      <c r="A749" s="86" t="s">
        <v>318</v>
      </c>
      <c r="B749" s="372" t="s">
        <v>3079</v>
      </c>
      <c r="C749" s="5" t="s">
        <v>51</v>
      </c>
      <c r="D749" s="5" t="s">
        <v>52</v>
      </c>
      <c r="E749" s="5" t="s">
        <v>2035</v>
      </c>
      <c r="F749" s="5" t="s">
        <v>2214</v>
      </c>
      <c r="G749" s="5" t="s">
        <v>161</v>
      </c>
      <c r="H749" s="6">
        <v>44622</v>
      </c>
      <c r="I749" s="5" t="s">
        <v>82</v>
      </c>
      <c r="J749" s="5" t="s">
        <v>2220</v>
      </c>
      <c r="K749" s="5" t="s">
        <v>84</v>
      </c>
      <c r="L749" s="7">
        <v>2</v>
      </c>
      <c r="M749" s="7">
        <v>3</v>
      </c>
      <c r="N749" s="8">
        <v>9632</v>
      </c>
      <c r="O749" s="88">
        <v>2.5000000000000001E-2</v>
      </c>
      <c r="P749" s="10">
        <f t="shared" si="214"/>
        <v>241</v>
      </c>
      <c r="Q749" s="88">
        <v>0</v>
      </c>
      <c r="R749" s="10">
        <f t="shared" si="215"/>
        <v>0</v>
      </c>
      <c r="S749" s="88">
        <f t="shared" si="216"/>
        <v>2.502076411960133E-2</v>
      </c>
      <c r="T749" s="10">
        <f t="shared" si="217"/>
        <v>241</v>
      </c>
      <c r="U749" s="10">
        <f t="shared" si="218"/>
        <v>9873</v>
      </c>
      <c r="V749" s="11">
        <v>9920</v>
      </c>
      <c r="W749" s="12">
        <f t="shared" si="220"/>
        <v>288</v>
      </c>
      <c r="X749" s="92">
        <f t="shared" si="212"/>
        <v>2.9899999999999999E-2</v>
      </c>
      <c r="Y749" s="93" t="str">
        <f t="shared" si="228"/>
        <v>2.00%-3.00%</v>
      </c>
      <c r="Z749" s="15"/>
      <c r="AA749" s="15"/>
      <c r="AB749" s="15"/>
      <c r="AC749" s="95"/>
      <c r="AD749" s="8">
        <f t="shared" si="221"/>
        <v>0</v>
      </c>
      <c r="AE749" s="17">
        <f t="shared" si="222"/>
        <v>9920</v>
      </c>
      <c r="AF749" s="18">
        <f t="shared" si="223"/>
        <v>288</v>
      </c>
      <c r="AG749" s="97">
        <f t="shared" si="224"/>
        <v>2.9900332225913706E-2</v>
      </c>
      <c r="AH749" s="20">
        <v>14</v>
      </c>
      <c r="AI749" s="20">
        <v>450</v>
      </c>
      <c r="AJ749" s="20"/>
      <c r="AK749" s="20">
        <v>688</v>
      </c>
      <c r="AL749" s="20">
        <f t="shared" si="225"/>
        <v>144968</v>
      </c>
      <c r="AM749" s="7">
        <v>3</v>
      </c>
      <c r="AN749" s="20"/>
      <c r="AO749" s="246"/>
      <c r="AP749" s="21"/>
      <c r="AQ749" s="5" t="s">
        <v>2201</v>
      </c>
      <c r="AR749" s="5" t="s">
        <v>2202</v>
      </c>
      <c r="AS749" s="5" t="s">
        <v>247</v>
      </c>
      <c r="AT749" s="20"/>
      <c r="AU749" s="21"/>
      <c r="AV749" s="21"/>
      <c r="AW749" s="144" t="str">
        <f t="shared" si="226"/>
        <v>OK</v>
      </c>
      <c r="AX749" s="21" t="s">
        <v>3131</v>
      </c>
      <c r="AY749" s="21" t="s">
        <v>3130</v>
      </c>
      <c r="AZ749" s="21"/>
      <c r="BA749" s="21"/>
    </row>
    <row r="750" spans="1:53" ht="20" customHeight="1">
      <c r="A750" s="86" t="s">
        <v>318</v>
      </c>
      <c r="B750" s="372" t="s">
        <v>3080</v>
      </c>
      <c r="C750" s="5" t="s">
        <v>51</v>
      </c>
      <c r="D750" s="5" t="s">
        <v>52</v>
      </c>
      <c r="E750" s="5" t="s">
        <v>2035</v>
      </c>
      <c r="F750" s="5" t="s">
        <v>2203</v>
      </c>
      <c r="G750" s="5" t="s">
        <v>2204</v>
      </c>
      <c r="H750" s="6">
        <v>44137</v>
      </c>
      <c r="I750" s="5" t="s">
        <v>82</v>
      </c>
      <c r="J750" s="5" t="s">
        <v>82</v>
      </c>
      <c r="K750" s="5" t="s">
        <v>84</v>
      </c>
      <c r="L750" s="7">
        <v>2</v>
      </c>
      <c r="M750" s="7">
        <v>2</v>
      </c>
      <c r="N750" s="8">
        <v>8953</v>
      </c>
      <c r="O750" s="88">
        <v>0</v>
      </c>
      <c r="P750" s="10">
        <f t="shared" si="214"/>
        <v>0</v>
      </c>
      <c r="Q750" s="88">
        <v>0</v>
      </c>
      <c r="R750" s="10">
        <f t="shared" si="215"/>
        <v>0</v>
      </c>
      <c r="S750" s="88">
        <f t="shared" si="216"/>
        <v>0</v>
      </c>
      <c r="T750" s="10">
        <f t="shared" si="217"/>
        <v>0</v>
      </c>
      <c r="U750" s="10">
        <f t="shared" si="218"/>
        <v>8953</v>
      </c>
      <c r="V750" s="11">
        <v>9100</v>
      </c>
      <c r="W750" s="12">
        <f t="shared" si="220"/>
        <v>147</v>
      </c>
      <c r="X750" s="92">
        <f t="shared" si="212"/>
        <v>1.6400000000000001E-2</v>
      </c>
      <c r="Y750" s="93" t="str">
        <f t="shared" si="228"/>
        <v>0.00%-0.00%</v>
      </c>
      <c r="Z750" s="15"/>
      <c r="AA750" s="15"/>
      <c r="AB750" s="15"/>
      <c r="AC750" s="95"/>
      <c r="AD750" s="8">
        <f t="shared" si="221"/>
        <v>0</v>
      </c>
      <c r="AE750" s="17">
        <f t="shared" si="222"/>
        <v>9100</v>
      </c>
      <c r="AF750" s="18">
        <f t="shared" si="223"/>
        <v>147</v>
      </c>
      <c r="AG750" s="97">
        <f t="shared" si="224"/>
        <v>1.6419077404222104E-2</v>
      </c>
      <c r="AH750" s="20">
        <v>14</v>
      </c>
      <c r="AI750" s="20">
        <v>450</v>
      </c>
      <c r="AJ750" s="20"/>
      <c r="AK750" s="20">
        <v>688</v>
      </c>
      <c r="AL750" s="20">
        <f t="shared" si="225"/>
        <v>133488</v>
      </c>
      <c r="AM750" s="7">
        <v>5</v>
      </c>
      <c r="AN750" s="20"/>
      <c r="AO750" s="246" t="s">
        <v>2221</v>
      </c>
      <c r="AP750" s="21" t="s">
        <v>151</v>
      </c>
      <c r="AQ750" s="5" t="s">
        <v>2201</v>
      </c>
      <c r="AR750" s="5" t="s">
        <v>2202</v>
      </c>
      <c r="AS750" s="5" t="s">
        <v>247</v>
      </c>
      <c r="AT750" s="20"/>
      <c r="AU750" s="21"/>
      <c r="AV750" s="21"/>
      <c r="AW750" s="144" t="str">
        <f t="shared" si="226"/>
        <v>&gt;20</v>
      </c>
      <c r="AX750" s="21" t="s">
        <v>3131</v>
      </c>
      <c r="AY750" s="21">
        <v>0</v>
      </c>
      <c r="AZ750" s="21"/>
      <c r="BA750" s="21"/>
    </row>
    <row r="751" spans="1:53" ht="20" customHeight="1">
      <c r="A751" s="86" t="s">
        <v>318</v>
      </c>
      <c r="B751" s="372" t="s">
        <v>3081</v>
      </c>
      <c r="C751" s="5" t="s">
        <v>51</v>
      </c>
      <c r="D751" s="5" t="s">
        <v>52</v>
      </c>
      <c r="E751" s="5" t="s">
        <v>2035</v>
      </c>
      <c r="F751" s="5" t="s">
        <v>2206</v>
      </c>
      <c r="G751" s="5" t="s">
        <v>161</v>
      </c>
      <c r="H751" s="6">
        <v>45992</v>
      </c>
      <c r="I751" s="5" t="s">
        <v>74</v>
      </c>
      <c r="J751" s="5" t="s">
        <v>75</v>
      </c>
      <c r="K751" s="5" t="s">
        <v>76</v>
      </c>
      <c r="L751" s="7">
        <v>2</v>
      </c>
      <c r="M751" s="7" t="s">
        <v>176</v>
      </c>
      <c r="N751" s="8">
        <v>17800</v>
      </c>
      <c r="O751" s="88">
        <v>0</v>
      </c>
      <c r="P751" s="10">
        <f t="shared" si="214"/>
        <v>0</v>
      </c>
      <c r="Q751" s="88">
        <v>0</v>
      </c>
      <c r="R751" s="10">
        <f t="shared" si="215"/>
        <v>0</v>
      </c>
      <c r="S751" s="88">
        <f t="shared" si="216"/>
        <v>0</v>
      </c>
      <c r="T751" s="10">
        <f t="shared" si="217"/>
        <v>0</v>
      </c>
      <c r="U751" s="10">
        <f t="shared" si="218"/>
        <v>17800</v>
      </c>
      <c r="V751" s="11">
        <f t="shared" si="227"/>
        <v>17800</v>
      </c>
      <c r="W751" s="12">
        <f t="shared" si="220"/>
        <v>0</v>
      </c>
      <c r="X751" s="92">
        <f t="shared" si="212"/>
        <v>0</v>
      </c>
      <c r="Y751" s="93" t="str">
        <f t="shared" si="228"/>
        <v>0.00%-0.00%</v>
      </c>
      <c r="Z751" s="15"/>
      <c r="AA751" s="15"/>
      <c r="AB751" s="15"/>
      <c r="AC751" s="95"/>
      <c r="AD751" s="8">
        <f t="shared" si="221"/>
        <v>0</v>
      </c>
      <c r="AE751" s="17">
        <f t="shared" si="222"/>
        <v>17800</v>
      </c>
      <c r="AF751" s="18">
        <f t="shared" si="223"/>
        <v>0</v>
      </c>
      <c r="AG751" s="97">
        <f t="shared" si="224"/>
        <v>0</v>
      </c>
      <c r="AH751" s="20">
        <v>14</v>
      </c>
      <c r="AI751" s="20">
        <v>450</v>
      </c>
      <c r="AJ751" s="20"/>
      <c r="AK751" s="20">
        <v>688</v>
      </c>
      <c r="AL751" s="20">
        <f t="shared" si="225"/>
        <v>255288</v>
      </c>
      <c r="AM751" s="7" t="e">
        <v>#N/A</v>
      </c>
      <c r="AN751" s="20"/>
      <c r="AO751" s="246"/>
      <c r="AP751" s="21"/>
      <c r="AQ751" s="5" t="s">
        <v>2201</v>
      </c>
      <c r="AR751" s="5" t="s">
        <v>2202</v>
      </c>
      <c r="AS751" s="5" t="s">
        <v>247</v>
      </c>
      <c r="AT751" s="20"/>
      <c r="AU751" s="21"/>
      <c r="AV751" s="21"/>
      <c r="AW751" s="144" t="str">
        <f t="shared" si="226"/>
        <v>OK</v>
      </c>
      <c r="AX751" s="21" t="s">
        <v>3131</v>
      </c>
      <c r="AY751" s="21">
        <v>0</v>
      </c>
      <c r="AZ751" s="21"/>
      <c r="BA751" s="21"/>
    </row>
    <row r="752" spans="1:53" ht="20" customHeight="1">
      <c r="A752" s="86" t="s">
        <v>318</v>
      </c>
      <c r="B752" s="372" t="s">
        <v>3082</v>
      </c>
      <c r="C752" s="5" t="s">
        <v>51</v>
      </c>
      <c r="D752" s="5" t="s">
        <v>52</v>
      </c>
      <c r="E752" s="5" t="s">
        <v>319</v>
      </c>
      <c r="F752" s="5" t="s">
        <v>2223</v>
      </c>
      <c r="G752" s="5" t="s">
        <v>2224</v>
      </c>
      <c r="H752" s="6">
        <v>43871</v>
      </c>
      <c r="I752" s="5" t="s">
        <v>243</v>
      </c>
      <c r="J752" s="5" t="s">
        <v>244</v>
      </c>
      <c r="K752" s="5" t="s">
        <v>84</v>
      </c>
      <c r="L752" s="7">
        <v>2</v>
      </c>
      <c r="M752" s="7">
        <v>3</v>
      </c>
      <c r="N752" s="8">
        <v>8070</v>
      </c>
      <c r="O752" s="88">
        <v>2.5000000000000001E-2</v>
      </c>
      <c r="P752" s="10">
        <f t="shared" si="214"/>
        <v>202</v>
      </c>
      <c r="Q752" s="88">
        <v>0</v>
      </c>
      <c r="R752" s="10">
        <f t="shared" si="215"/>
        <v>0</v>
      </c>
      <c r="S752" s="88">
        <f t="shared" si="216"/>
        <v>2.5030978934324658E-2</v>
      </c>
      <c r="T752" s="10">
        <f t="shared" si="217"/>
        <v>202</v>
      </c>
      <c r="U752" s="10">
        <f t="shared" si="218"/>
        <v>8272</v>
      </c>
      <c r="V752" s="11">
        <v>8272</v>
      </c>
      <c r="W752" s="12">
        <f t="shared" si="220"/>
        <v>202</v>
      </c>
      <c r="X752" s="92">
        <f t="shared" si="212"/>
        <v>2.5000000000000001E-2</v>
      </c>
      <c r="Y752" s="93" t="str">
        <f>IF(OR(L752=1,L752=2,L752=4),TEXT(S752*0.8,"0.00%")&amp;"-"&amp;TEXT(S752*1.2,"0.00%"),IF(OR(L752=3,L752=6),TEXT(0,"0.00%")&amp;"-"&amp;TEXT(7%*1.2,"0.00%"),IF(OR(L752=5,L752=7),TEXT((R752/N752),"0.00%")&amp;"-"&amp;TEXT((R752/N752)+7%,"0.00%"),"")))</f>
        <v>2.00%-3.00%</v>
      </c>
      <c r="Z752" s="15"/>
      <c r="AA752" s="15"/>
      <c r="AB752" s="15"/>
      <c r="AC752" s="95"/>
      <c r="AD752" s="8">
        <f t="shared" si="221"/>
        <v>0</v>
      </c>
      <c r="AE752" s="17">
        <f t="shared" si="222"/>
        <v>8272</v>
      </c>
      <c r="AF752" s="18">
        <f t="shared" si="223"/>
        <v>202</v>
      </c>
      <c r="AG752" s="97">
        <f t="shared" si="224"/>
        <v>2.5030978934324599E-2</v>
      </c>
      <c r="AH752" s="20">
        <v>14</v>
      </c>
      <c r="AI752" s="20">
        <v>850</v>
      </c>
      <c r="AJ752" s="20"/>
      <c r="AK752" s="20">
        <v>688</v>
      </c>
      <c r="AL752" s="20">
        <f t="shared" si="225"/>
        <v>126696</v>
      </c>
      <c r="AM752" s="7">
        <v>3</v>
      </c>
      <c r="AN752" s="20"/>
      <c r="AO752" s="21"/>
      <c r="AP752" s="21"/>
      <c r="AQ752" s="5" t="s">
        <v>245</v>
      </c>
      <c r="AR752" s="5" t="s">
        <v>246</v>
      </c>
      <c r="AS752" s="5" t="s">
        <v>247</v>
      </c>
      <c r="AT752" s="20"/>
      <c r="AU752" s="21"/>
      <c r="AV752" s="21"/>
      <c r="AW752" s="144" t="str">
        <f t="shared" si="226"/>
        <v>OK</v>
      </c>
      <c r="AX752" s="21" t="s">
        <v>3133</v>
      </c>
      <c r="AY752" s="21" t="s">
        <v>3130</v>
      </c>
      <c r="AZ752" s="21"/>
      <c r="BA752" s="21"/>
    </row>
    <row r="753" spans="1:53" ht="20" customHeight="1">
      <c r="A753" s="86" t="s">
        <v>318</v>
      </c>
      <c r="B753" s="372" t="s">
        <v>3083</v>
      </c>
      <c r="C753" s="5" t="s">
        <v>51</v>
      </c>
      <c r="D753" s="5" t="s">
        <v>52</v>
      </c>
      <c r="E753" s="5" t="s">
        <v>319</v>
      </c>
      <c r="F753" s="5" t="s">
        <v>2225</v>
      </c>
      <c r="G753" s="5" t="s">
        <v>2224</v>
      </c>
      <c r="H753" s="6">
        <v>43885</v>
      </c>
      <c r="I753" s="5" t="s">
        <v>250</v>
      </c>
      <c r="J753" s="5" t="s">
        <v>251</v>
      </c>
      <c r="K753" s="5" t="s">
        <v>76</v>
      </c>
      <c r="L753" s="7">
        <v>2</v>
      </c>
      <c r="M753" s="7">
        <v>3</v>
      </c>
      <c r="N753" s="8">
        <v>10051</v>
      </c>
      <c r="O753" s="88">
        <v>0.03</v>
      </c>
      <c r="P753" s="10">
        <f t="shared" si="214"/>
        <v>302</v>
      </c>
      <c r="Q753" s="88">
        <v>0</v>
      </c>
      <c r="R753" s="10">
        <f t="shared" si="215"/>
        <v>0</v>
      </c>
      <c r="S753" s="88">
        <f t="shared" si="216"/>
        <v>3.0046761516267038E-2</v>
      </c>
      <c r="T753" s="10">
        <f t="shared" si="217"/>
        <v>302</v>
      </c>
      <c r="U753" s="10">
        <f t="shared" si="218"/>
        <v>10353</v>
      </c>
      <c r="V753" s="11">
        <v>10353</v>
      </c>
      <c r="W753" s="12">
        <f t="shared" si="220"/>
        <v>302</v>
      </c>
      <c r="X753" s="92">
        <f t="shared" si="212"/>
        <v>0.03</v>
      </c>
      <c r="Y753" s="93" t="str">
        <f>IF(OR(L753=1,L753=2,L753=4),TEXT(S753*0.8,"0.00%")&amp;"-"&amp;TEXT(S753*1.2,"0.00%"),IF(OR(L753=3,L753=6),TEXT(0,"0.00%")&amp;"-"&amp;TEXT(7%*1.2,"0.00%"),IF(OR(L753=5,L753=7),TEXT((R753/N753),"0.00%")&amp;"-"&amp;TEXT((R753/N753)+7%,"0.00%"),"")))</f>
        <v>2.40%-3.61%</v>
      </c>
      <c r="Z753" s="15"/>
      <c r="AA753" s="15"/>
      <c r="AB753" s="15"/>
      <c r="AC753" s="95"/>
      <c r="AD753" s="8">
        <f t="shared" si="221"/>
        <v>0</v>
      </c>
      <c r="AE753" s="17">
        <f t="shared" si="222"/>
        <v>10353</v>
      </c>
      <c r="AF753" s="18">
        <f t="shared" si="223"/>
        <v>302</v>
      </c>
      <c r="AG753" s="97">
        <f t="shared" si="224"/>
        <v>3.0046761516266951E-2</v>
      </c>
      <c r="AH753" s="20">
        <v>14</v>
      </c>
      <c r="AI753" s="20">
        <v>450</v>
      </c>
      <c r="AJ753" s="20"/>
      <c r="AK753" s="20">
        <v>688</v>
      </c>
      <c r="AL753" s="20">
        <f t="shared" si="225"/>
        <v>151030</v>
      </c>
      <c r="AM753" s="7">
        <v>3</v>
      </c>
      <c r="AN753" s="20"/>
      <c r="AO753" s="21"/>
      <c r="AP753" s="21"/>
      <c r="AQ753" s="5" t="s">
        <v>245</v>
      </c>
      <c r="AR753" s="5" t="s">
        <v>246</v>
      </c>
      <c r="AS753" s="5" t="s">
        <v>247</v>
      </c>
      <c r="AT753" s="20"/>
      <c r="AU753" s="21"/>
      <c r="AV753" s="21"/>
      <c r="AW753" s="144" t="str">
        <f t="shared" si="226"/>
        <v>OK</v>
      </c>
      <c r="AX753" s="21" t="s">
        <v>3133</v>
      </c>
      <c r="AY753" s="21" t="s">
        <v>3132</v>
      </c>
      <c r="AZ753" s="21"/>
      <c r="BA753" s="21"/>
    </row>
    <row r="754" spans="1:53" ht="20" customHeight="1">
      <c r="A754" s="86" t="s">
        <v>318</v>
      </c>
      <c r="B754" s="372" t="s">
        <v>3084</v>
      </c>
      <c r="C754" s="5" t="s">
        <v>51</v>
      </c>
      <c r="D754" s="5" t="s">
        <v>52</v>
      </c>
      <c r="E754" s="5" t="s">
        <v>319</v>
      </c>
      <c r="F754" s="5" t="s">
        <v>2223</v>
      </c>
      <c r="G754" s="5" t="s">
        <v>2224</v>
      </c>
      <c r="H754" s="6">
        <v>44137</v>
      </c>
      <c r="I754" s="5" t="s">
        <v>250</v>
      </c>
      <c r="J754" s="5" t="s">
        <v>251</v>
      </c>
      <c r="K754" s="5" t="s">
        <v>76</v>
      </c>
      <c r="L754" s="7">
        <v>2</v>
      </c>
      <c r="M754" s="7">
        <v>4</v>
      </c>
      <c r="N754" s="8">
        <v>8695</v>
      </c>
      <c r="O754" s="88">
        <v>4.4999999999999998E-2</v>
      </c>
      <c r="P754" s="10">
        <f t="shared" si="214"/>
        <v>391</v>
      </c>
      <c r="Q754" s="88">
        <v>4.2099999999999999E-2</v>
      </c>
      <c r="R754" s="10">
        <f t="shared" si="215"/>
        <v>366</v>
      </c>
      <c r="S754" s="88">
        <f t="shared" si="216"/>
        <v>8.7061529614721106E-2</v>
      </c>
      <c r="T754" s="10">
        <f t="shared" si="217"/>
        <v>757</v>
      </c>
      <c r="U754" s="10">
        <f t="shared" si="218"/>
        <v>9452</v>
      </c>
      <c r="V754" s="11">
        <v>9452</v>
      </c>
      <c r="W754" s="12">
        <f t="shared" si="220"/>
        <v>757</v>
      </c>
      <c r="X754" s="92">
        <f t="shared" si="212"/>
        <v>8.7099999999999997E-2</v>
      </c>
      <c r="Y754" s="93" t="str">
        <f t="shared" ref="Y754:Y764" si="229">IF(OR(L754=1,L754=2,L754=4),TEXT(S754*0.8,"0.00%")&amp;"-"&amp;TEXT(S754*1.2,"0.00%"),IF(OR(L754=3,L754=6),TEXT(0,"0.00%")&amp;"-"&amp;TEXT(7%*1.2,"0.00%"),IF(OR(L754=5,L754=7),TEXT((R754/N754),"0.00%")&amp;"-"&amp;TEXT((R754/N754)+7%,"0.00%"),"")))</f>
        <v>6.96%-10.45%</v>
      </c>
      <c r="Z754" s="15"/>
      <c r="AA754" s="15"/>
      <c r="AB754" s="15"/>
      <c r="AC754" s="95"/>
      <c r="AD754" s="8">
        <f t="shared" si="221"/>
        <v>0</v>
      </c>
      <c r="AE754" s="17">
        <f t="shared" si="222"/>
        <v>9452</v>
      </c>
      <c r="AF754" s="18">
        <f t="shared" si="223"/>
        <v>757</v>
      </c>
      <c r="AG754" s="97">
        <f t="shared" si="224"/>
        <v>8.7061529614721023E-2</v>
      </c>
      <c r="AH754" s="20">
        <v>14</v>
      </c>
      <c r="AI754" s="20">
        <v>450</v>
      </c>
      <c r="AJ754" s="20"/>
      <c r="AK754" s="20">
        <v>688</v>
      </c>
      <c r="AL754" s="20">
        <f t="shared" si="225"/>
        <v>138416</v>
      </c>
      <c r="AM754" s="7">
        <v>2</v>
      </c>
      <c r="AN754" s="20"/>
      <c r="AO754" s="21"/>
      <c r="AP754" s="21"/>
      <c r="AQ754" s="5" t="s">
        <v>245</v>
      </c>
      <c r="AR754" s="5" t="s">
        <v>246</v>
      </c>
      <c r="AS754" s="5" t="s">
        <v>247</v>
      </c>
      <c r="AT754" s="20"/>
      <c r="AU754" s="21"/>
      <c r="AV754" s="21"/>
      <c r="AW754" s="144" t="str">
        <f t="shared" si="226"/>
        <v>OK</v>
      </c>
      <c r="AX754" s="21" t="s">
        <v>3131</v>
      </c>
      <c r="AY754" s="21" t="s">
        <v>3132</v>
      </c>
      <c r="AZ754" s="21"/>
      <c r="BA754" s="21"/>
    </row>
    <row r="755" spans="1:53" ht="20" customHeight="1">
      <c r="A755" s="86" t="s">
        <v>318</v>
      </c>
      <c r="B755" s="372" t="s">
        <v>3085</v>
      </c>
      <c r="C755" s="5" t="s">
        <v>51</v>
      </c>
      <c r="D755" s="5" t="s">
        <v>52</v>
      </c>
      <c r="E755" s="5" t="s">
        <v>319</v>
      </c>
      <c r="F755" s="5" t="s">
        <v>2226</v>
      </c>
      <c r="G755" s="5" t="s">
        <v>2224</v>
      </c>
      <c r="H755" s="6">
        <v>44260</v>
      </c>
      <c r="I755" s="5" t="s">
        <v>243</v>
      </c>
      <c r="J755" s="5" t="s">
        <v>244</v>
      </c>
      <c r="K755" s="5" t="s">
        <v>84</v>
      </c>
      <c r="L755" s="7">
        <v>2</v>
      </c>
      <c r="M755" s="7">
        <v>4</v>
      </c>
      <c r="N755" s="8">
        <v>7180</v>
      </c>
      <c r="O755" s="88">
        <v>3.7500000000000006E-2</v>
      </c>
      <c r="P755" s="10">
        <f t="shared" si="214"/>
        <v>269</v>
      </c>
      <c r="Q755" s="88">
        <v>1.55E-2</v>
      </c>
      <c r="R755" s="10">
        <f t="shared" si="215"/>
        <v>111</v>
      </c>
      <c r="S755" s="88">
        <f t="shared" si="216"/>
        <v>5.2924791086350974E-2</v>
      </c>
      <c r="T755" s="10">
        <f t="shared" si="217"/>
        <v>380</v>
      </c>
      <c r="U755" s="10">
        <f t="shared" si="218"/>
        <v>7560</v>
      </c>
      <c r="V755" s="11">
        <v>7560</v>
      </c>
      <c r="W755" s="12">
        <f t="shared" si="220"/>
        <v>380</v>
      </c>
      <c r="X755" s="92">
        <f t="shared" si="212"/>
        <v>5.2900000000000003E-2</v>
      </c>
      <c r="Y755" s="93" t="str">
        <f t="shared" si="229"/>
        <v>4.23%-6.35%</v>
      </c>
      <c r="Z755" s="15"/>
      <c r="AA755" s="15"/>
      <c r="AB755" s="15"/>
      <c r="AC755" s="95"/>
      <c r="AD755" s="8">
        <f t="shared" si="221"/>
        <v>0</v>
      </c>
      <c r="AE755" s="17">
        <f t="shared" si="222"/>
        <v>7560</v>
      </c>
      <c r="AF755" s="18">
        <f t="shared" si="223"/>
        <v>380</v>
      </c>
      <c r="AG755" s="97">
        <f t="shared" si="224"/>
        <v>5.2924791086351064E-2</v>
      </c>
      <c r="AH755" s="20">
        <v>14</v>
      </c>
      <c r="AI755" s="20">
        <v>450</v>
      </c>
      <c r="AJ755" s="20"/>
      <c r="AK755" s="20">
        <v>688</v>
      </c>
      <c r="AL755" s="20">
        <f t="shared" si="225"/>
        <v>111928</v>
      </c>
      <c r="AM755" s="7">
        <v>3</v>
      </c>
      <c r="AN755" s="20"/>
      <c r="AO755" s="21"/>
      <c r="AP755" s="21"/>
      <c r="AQ755" s="5" t="s">
        <v>245</v>
      </c>
      <c r="AR755" s="5" t="s">
        <v>246</v>
      </c>
      <c r="AS755" s="5" t="s">
        <v>247</v>
      </c>
      <c r="AT755" s="20"/>
      <c r="AU755" s="21"/>
      <c r="AV755" s="21"/>
      <c r="AW755" s="144" t="str">
        <f t="shared" si="226"/>
        <v>OK</v>
      </c>
      <c r="AX755" s="21" t="s">
        <v>3131</v>
      </c>
      <c r="AY755" s="21" t="s">
        <v>3130</v>
      </c>
      <c r="AZ755" s="21"/>
      <c r="BA755" s="21"/>
    </row>
    <row r="756" spans="1:53" ht="20" customHeight="1">
      <c r="A756" s="86" t="s">
        <v>318</v>
      </c>
      <c r="B756" s="372" t="s">
        <v>3086</v>
      </c>
      <c r="C756" s="5" t="s">
        <v>51</v>
      </c>
      <c r="D756" s="5" t="s">
        <v>52</v>
      </c>
      <c r="E756" s="5" t="s">
        <v>319</v>
      </c>
      <c r="F756" s="5" t="s">
        <v>2227</v>
      </c>
      <c r="G756" s="5" t="s">
        <v>2224</v>
      </c>
      <c r="H756" s="6">
        <v>44445</v>
      </c>
      <c r="I756" s="5" t="s">
        <v>243</v>
      </c>
      <c r="J756" s="5" t="s">
        <v>244</v>
      </c>
      <c r="K756" s="5" t="s">
        <v>84</v>
      </c>
      <c r="L756" s="7">
        <v>2</v>
      </c>
      <c r="M756" s="7">
        <v>3</v>
      </c>
      <c r="N756" s="8">
        <v>7243</v>
      </c>
      <c r="O756" s="88">
        <v>2.5000000000000001E-2</v>
      </c>
      <c r="P756" s="10">
        <f t="shared" si="214"/>
        <v>181</v>
      </c>
      <c r="Q756" s="88">
        <v>0</v>
      </c>
      <c r="R756" s="10">
        <f t="shared" si="215"/>
        <v>0</v>
      </c>
      <c r="S756" s="88">
        <f t="shared" si="216"/>
        <v>2.4989645174651388E-2</v>
      </c>
      <c r="T756" s="10">
        <f t="shared" si="217"/>
        <v>181</v>
      </c>
      <c r="U756" s="10">
        <f t="shared" si="218"/>
        <v>7424</v>
      </c>
      <c r="V756" s="11">
        <v>7424</v>
      </c>
      <c r="W756" s="12">
        <f t="shared" si="220"/>
        <v>181</v>
      </c>
      <c r="X756" s="92">
        <f t="shared" si="212"/>
        <v>2.5000000000000001E-2</v>
      </c>
      <c r="Y756" s="93" t="str">
        <f t="shared" si="229"/>
        <v>2.00%-3.00%</v>
      </c>
      <c r="Z756" s="15"/>
      <c r="AA756" s="15"/>
      <c r="AB756" s="15"/>
      <c r="AC756" s="95"/>
      <c r="AD756" s="8">
        <f t="shared" si="221"/>
        <v>0</v>
      </c>
      <c r="AE756" s="17">
        <f t="shared" si="222"/>
        <v>7424</v>
      </c>
      <c r="AF756" s="18">
        <f t="shared" si="223"/>
        <v>181</v>
      </c>
      <c r="AG756" s="97">
        <f t="shared" si="224"/>
        <v>2.4989645174651409E-2</v>
      </c>
      <c r="AH756" s="20">
        <v>14</v>
      </c>
      <c r="AI756" s="20">
        <v>450</v>
      </c>
      <c r="AJ756" s="20"/>
      <c r="AK756" s="20">
        <v>688</v>
      </c>
      <c r="AL756" s="20">
        <f t="shared" si="225"/>
        <v>110024</v>
      </c>
      <c r="AM756" s="7">
        <v>3</v>
      </c>
      <c r="AN756" s="20"/>
      <c r="AO756" s="21"/>
      <c r="AP756" s="21"/>
      <c r="AQ756" s="5" t="s">
        <v>245</v>
      </c>
      <c r="AR756" s="5" t="s">
        <v>246</v>
      </c>
      <c r="AS756" s="5" t="s">
        <v>247</v>
      </c>
      <c r="AT756" s="20"/>
      <c r="AU756" s="21"/>
      <c r="AV756" s="21"/>
      <c r="AW756" s="144" t="str">
        <f t="shared" si="226"/>
        <v>OK</v>
      </c>
      <c r="AX756" s="21" t="s">
        <v>3131</v>
      </c>
      <c r="AY756" s="21" t="s">
        <v>3130</v>
      </c>
      <c r="AZ756" s="21"/>
      <c r="BA756" s="21"/>
    </row>
    <row r="757" spans="1:53" ht="20" customHeight="1">
      <c r="A757" s="86" t="s">
        <v>318</v>
      </c>
      <c r="B757" s="372" t="s">
        <v>3087</v>
      </c>
      <c r="C757" s="5" t="s">
        <v>51</v>
      </c>
      <c r="D757" s="5" t="s">
        <v>52</v>
      </c>
      <c r="E757" s="5" t="s">
        <v>319</v>
      </c>
      <c r="F757" s="5" t="s">
        <v>2225</v>
      </c>
      <c r="G757" s="5" t="s">
        <v>2224</v>
      </c>
      <c r="H757" s="6">
        <v>42877</v>
      </c>
      <c r="I757" s="5" t="s">
        <v>250</v>
      </c>
      <c r="J757" s="5" t="s">
        <v>251</v>
      </c>
      <c r="K757" s="5" t="s">
        <v>76</v>
      </c>
      <c r="L757" s="7">
        <v>2</v>
      </c>
      <c r="M757" s="7">
        <v>4</v>
      </c>
      <c r="N757" s="8">
        <v>9451</v>
      </c>
      <c r="O757" s="88">
        <v>4.4999999999999998E-2</v>
      </c>
      <c r="P757" s="10">
        <f t="shared" si="214"/>
        <v>425</v>
      </c>
      <c r="Q757" s="88">
        <v>4.2099999999999999E-2</v>
      </c>
      <c r="R757" s="10">
        <f t="shared" si="215"/>
        <v>398</v>
      </c>
      <c r="S757" s="88">
        <f t="shared" si="216"/>
        <v>8.7080732197651042E-2</v>
      </c>
      <c r="T757" s="10">
        <f t="shared" si="217"/>
        <v>823</v>
      </c>
      <c r="U757" s="10">
        <f t="shared" si="218"/>
        <v>10274</v>
      </c>
      <c r="V757" s="11">
        <v>10110</v>
      </c>
      <c r="W757" s="12">
        <f t="shared" si="220"/>
        <v>659</v>
      </c>
      <c r="X757" s="92">
        <f t="shared" ref="X757:X795" si="230">ROUND(V757/N757-1,4)</f>
        <v>6.9699999999999998E-2</v>
      </c>
      <c r="Y757" s="93" t="str">
        <f t="shared" si="229"/>
        <v>6.97%-10.45%</v>
      </c>
      <c r="Z757" s="15" t="s">
        <v>87</v>
      </c>
      <c r="AA757" s="15" t="s">
        <v>2228</v>
      </c>
      <c r="AB757" s="15" t="s">
        <v>89</v>
      </c>
      <c r="AC757" s="95">
        <v>0.05</v>
      </c>
      <c r="AD757" s="8">
        <f t="shared" si="221"/>
        <v>473</v>
      </c>
      <c r="AE757" s="17">
        <f t="shared" si="222"/>
        <v>10583</v>
      </c>
      <c r="AF757" s="18">
        <f t="shared" si="223"/>
        <v>1132</v>
      </c>
      <c r="AG757" s="97">
        <f t="shared" si="224"/>
        <v>0.11977568511268655</v>
      </c>
      <c r="AH757" s="20">
        <v>14</v>
      </c>
      <c r="AI757" s="20">
        <v>450</v>
      </c>
      <c r="AJ757" s="20"/>
      <c r="AK757" s="20">
        <v>688</v>
      </c>
      <c r="AL757" s="20">
        <f t="shared" si="225"/>
        <v>154250</v>
      </c>
      <c r="AM757" s="7">
        <v>4</v>
      </c>
      <c r="AN757" s="20"/>
      <c r="AO757" s="21" t="s">
        <v>2229</v>
      </c>
      <c r="AP757" s="21"/>
      <c r="AQ757" s="5" t="s">
        <v>245</v>
      </c>
      <c r="AR757" s="5" t="s">
        <v>246</v>
      </c>
      <c r="AS757" s="5" t="s">
        <v>247</v>
      </c>
      <c r="AT757" s="20"/>
      <c r="AU757" s="21"/>
      <c r="AV757" s="21"/>
      <c r="AW757" s="144" t="str">
        <f t="shared" si="226"/>
        <v>OK</v>
      </c>
      <c r="AX757" s="21" t="s">
        <v>3133</v>
      </c>
      <c r="AY757" s="21" t="s">
        <v>3132</v>
      </c>
      <c r="AZ757" s="21"/>
      <c r="BA757" s="21"/>
    </row>
    <row r="758" spans="1:53" ht="20" customHeight="1">
      <c r="A758" s="86" t="s">
        <v>318</v>
      </c>
      <c r="B758" s="372" t="s">
        <v>3088</v>
      </c>
      <c r="C758" s="5" t="s">
        <v>51</v>
      </c>
      <c r="D758" s="5" t="s">
        <v>52</v>
      </c>
      <c r="E758" s="5" t="s">
        <v>319</v>
      </c>
      <c r="F758" s="5" t="s">
        <v>2230</v>
      </c>
      <c r="G758" s="5" t="s">
        <v>2224</v>
      </c>
      <c r="H758" s="6">
        <v>38018</v>
      </c>
      <c r="I758" s="5" t="s">
        <v>250</v>
      </c>
      <c r="J758" s="5" t="s">
        <v>251</v>
      </c>
      <c r="K758" s="5" t="s">
        <v>76</v>
      </c>
      <c r="L758" s="7">
        <v>2</v>
      </c>
      <c r="M758" s="7">
        <v>3</v>
      </c>
      <c r="N758" s="8">
        <v>10600</v>
      </c>
      <c r="O758" s="88">
        <v>2.5000000000000001E-2</v>
      </c>
      <c r="P758" s="10">
        <f t="shared" si="214"/>
        <v>265</v>
      </c>
      <c r="Q758" s="88">
        <v>0</v>
      </c>
      <c r="R758" s="10">
        <f t="shared" si="215"/>
        <v>0</v>
      </c>
      <c r="S758" s="88">
        <f t="shared" si="216"/>
        <v>2.5000000000000001E-2</v>
      </c>
      <c r="T758" s="10">
        <f t="shared" si="217"/>
        <v>265</v>
      </c>
      <c r="U758" s="10">
        <f t="shared" si="218"/>
        <v>10865</v>
      </c>
      <c r="V758" s="11">
        <v>10865</v>
      </c>
      <c r="W758" s="12">
        <f t="shared" si="220"/>
        <v>265</v>
      </c>
      <c r="X758" s="92">
        <f t="shared" si="230"/>
        <v>2.5000000000000001E-2</v>
      </c>
      <c r="Y758" s="93" t="str">
        <f t="shared" si="229"/>
        <v>2.00%-3.00%</v>
      </c>
      <c r="Z758" s="15"/>
      <c r="AA758" s="15"/>
      <c r="AB758" s="15"/>
      <c r="AC758" s="95"/>
      <c r="AD758" s="8">
        <f t="shared" si="221"/>
        <v>0</v>
      </c>
      <c r="AE758" s="17">
        <f t="shared" si="222"/>
        <v>10865</v>
      </c>
      <c r="AF758" s="18">
        <f t="shared" si="223"/>
        <v>265</v>
      </c>
      <c r="AG758" s="97">
        <f t="shared" si="224"/>
        <v>2.4999999999999911E-2</v>
      </c>
      <c r="AH758" s="20">
        <v>14</v>
      </c>
      <c r="AI758" s="20">
        <v>450</v>
      </c>
      <c r="AJ758" s="20"/>
      <c r="AK758" s="20">
        <v>688</v>
      </c>
      <c r="AL758" s="20">
        <f t="shared" si="225"/>
        <v>158198</v>
      </c>
      <c r="AM758" s="7">
        <v>3</v>
      </c>
      <c r="AN758" s="20"/>
      <c r="AO758" s="21"/>
      <c r="AP758" s="21"/>
      <c r="AQ758" s="5" t="s">
        <v>245</v>
      </c>
      <c r="AR758" s="5" t="s">
        <v>246</v>
      </c>
      <c r="AS758" s="5" t="s">
        <v>247</v>
      </c>
      <c r="AT758" s="20"/>
      <c r="AU758" s="21"/>
      <c r="AV758" s="21"/>
      <c r="AW758" s="144" t="str">
        <f t="shared" si="226"/>
        <v>OK</v>
      </c>
      <c r="AX758" s="21" t="s">
        <v>3139</v>
      </c>
      <c r="AY758" s="21" t="s">
        <v>3130</v>
      </c>
      <c r="AZ758" s="21"/>
      <c r="BA758" s="21"/>
    </row>
    <row r="759" spans="1:53" ht="20" customHeight="1">
      <c r="A759" s="86" t="s">
        <v>318</v>
      </c>
      <c r="B759" s="372" t="s">
        <v>3089</v>
      </c>
      <c r="C759" s="5" t="s">
        <v>51</v>
      </c>
      <c r="D759" s="5" t="s">
        <v>52</v>
      </c>
      <c r="E759" s="5" t="s">
        <v>319</v>
      </c>
      <c r="F759" s="5" t="s">
        <v>2226</v>
      </c>
      <c r="G759" s="5" t="s">
        <v>2224</v>
      </c>
      <c r="H759" s="6">
        <v>40441</v>
      </c>
      <c r="I759" s="5" t="s">
        <v>71</v>
      </c>
      <c r="J759" s="5" t="s">
        <v>2231</v>
      </c>
      <c r="K759" s="5" t="s">
        <v>61</v>
      </c>
      <c r="L759" s="7">
        <v>2</v>
      </c>
      <c r="M759" s="7">
        <v>2</v>
      </c>
      <c r="N759" s="8">
        <v>12187</v>
      </c>
      <c r="O759" s="88">
        <v>0</v>
      </c>
      <c r="P759" s="10">
        <f t="shared" si="214"/>
        <v>0</v>
      </c>
      <c r="Q759" s="88">
        <v>0</v>
      </c>
      <c r="R759" s="10">
        <f t="shared" si="215"/>
        <v>0</v>
      </c>
      <c r="S759" s="88">
        <f t="shared" si="216"/>
        <v>0</v>
      </c>
      <c r="T759" s="10">
        <f t="shared" si="217"/>
        <v>0</v>
      </c>
      <c r="U759" s="10">
        <f t="shared" si="218"/>
        <v>12187</v>
      </c>
      <c r="V759" s="11">
        <v>12500</v>
      </c>
      <c r="W759" s="12">
        <f t="shared" si="220"/>
        <v>313</v>
      </c>
      <c r="X759" s="92">
        <f t="shared" si="230"/>
        <v>2.5700000000000001E-2</v>
      </c>
      <c r="Y759" s="93" t="str">
        <f t="shared" si="229"/>
        <v>0.00%-0.00%</v>
      </c>
      <c r="Z759" s="15"/>
      <c r="AA759" s="15"/>
      <c r="AB759" s="15"/>
      <c r="AC759" s="95"/>
      <c r="AD759" s="8">
        <f t="shared" si="221"/>
        <v>0</v>
      </c>
      <c r="AE759" s="17">
        <f t="shared" si="222"/>
        <v>12500</v>
      </c>
      <c r="AF759" s="18">
        <f t="shared" si="223"/>
        <v>313</v>
      </c>
      <c r="AG759" s="97">
        <f t="shared" si="224"/>
        <v>2.5683104947895385E-2</v>
      </c>
      <c r="AH759" s="20">
        <v>14</v>
      </c>
      <c r="AI759" s="20">
        <v>450</v>
      </c>
      <c r="AJ759" s="20"/>
      <c r="AK759" s="20">
        <v>688</v>
      </c>
      <c r="AL759" s="20">
        <f t="shared" si="225"/>
        <v>181088</v>
      </c>
      <c r="AM759" s="7">
        <v>4</v>
      </c>
      <c r="AN759" s="20"/>
      <c r="AO759" s="21" t="s">
        <v>2232</v>
      </c>
      <c r="AP759" s="21" t="s">
        <v>128</v>
      </c>
      <c r="AQ759" s="5" t="s">
        <v>245</v>
      </c>
      <c r="AR759" s="5" t="s">
        <v>246</v>
      </c>
      <c r="AS759" s="5" t="s">
        <v>247</v>
      </c>
      <c r="AT759" s="20"/>
      <c r="AU759" s="21"/>
      <c r="AV759" s="21"/>
      <c r="AW759" s="144" t="str">
        <f t="shared" si="226"/>
        <v>&gt;20</v>
      </c>
      <c r="AX759" s="21" t="s">
        <v>3135</v>
      </c>
      <c r="AY759" s="21">
        <v>0</v>
      </c>
      <c r="AZ759" s="21"/>
      <c r="BA759" s="21"/>
    </row>
    <row r="760" spans="1:53" ht="20" customHeight="1">
      <c r="A760" s="86" t="s">
        <v>318</v>
      </c>
      <c r="B760" s="372" t="s">
        <v>3090</v>
      </c>
      <c r="C760" s="5" t="s">
        <v>51</v>
      </c>
      <c r="D760" s="5" t="s">
        <v>52</v>
      </c>
      <c r="E760" s="5" t="s">
        <v>319</v>
      </c>
      <c r="F760" s="5" t="s">
        <v>2226</v>
      </c>
      <c r="G760" s="5" t="s">
        <v>2224</v>
      </c>
      <c r="H760" s="6">
        <v>41500</v>
      </c>
      <c r="I760" s="5" t="s">
        <v>243</v>
      </c>
      <c r="J760" s="5" t="s">
        <v>244</v>
      </c>
      <c r="K760" s="5" t="s">
        <v>84</v>
      </c>
      <c r="L760" s="7">
        <v>2</v>
      </c>
      <c r="M760" s="7">
        <v>3</v>
      </c>
      <c r="N760" s="8">
        <v>8455</v>
      </c>
      <c r="O760" s="88">
        <v>2.5000000000000001E-2</v>
      </c>
      <c r="P760" s="10">
        <f t="shared" si="214"/>
        <v>211</v>
      </c>
      <c r="Q760" s="88">
        <v>0</v>
      </c>
      <c r="R760" s="10">
        <f t="shared" si="215"/>
        <v>0</v>
      </c>
      <c r="S760" s="88">
        <f t="shared" si="216"/>
        <v>2.4955647545830871E-2</v>
      </c>
      <c r="T760" s="10">
        <f t="shared" si="217"/>
        <v>211</v>
      </c>
      <c r="U760" s="10">
        <f t="shared" si="218"/>
        <v>8666</v>
      </c>
      <c r="V760" s="11">
        <v>8455</v>
      </c>
      <c r="W760" s="12">
        <f t="shared" si="220"/>
        <v>0</v>
      </c>
      <c r="X760" s="92">
        <f t="shared" si="230"/>
        <v>0</v>
      </c>
      <c r="Y760" s="93" t="str">
        <f t="shared" si="229"/>
        <v>2.00%-2.99%</v>
      </c>
      <c r="Z760" s="15"/>
      <c r="AA760" s="15"/>
      <c r="AB760" s="15"/>
      <c r="AC760" s="95"/>
      <c r="AD760" s="8">
        <f t="shared" si="221"/>
        <v>0</v>
      </c>
      <c r="AE760" s="17">
        <f t="shared" si="222"/>
        <v>8455</v>
      </c>
      <c r="AF760" s="18">
        <f t="shared" si="223"/>
        <v>0</v>
      </c>
      <c r="AG760" s="97">
        <f t="shared" si="224"/>
        <v>0</v>
      </c>
      <c r="AH760" s="20">
        <v>14</v>
      </c>
      <c r="AI760" s="20">
        <v>950</v>
      </c>
      <c r="AJ760" s="20"/>
      <c r="AK760" s="20">
        <v>688</v>
      </c>
      <c r="AL760" s="20">
        <f t="shared" si="225"/>
        <v>130458</v>
      </c>
      <c r="AM760" s="7">
        <v>2</v>
      </c>
      <c r="AN760" s="20"/>
      <c r="AO760" s="21" t="s">
        <v>107</v>
      </c>
      <c r="AP760" s="21" t="s">
        <v>107</v>
      </c>
      <c r="AQ760" s="5" t="s">
        <v>245</v>
      </c>
      <c r="AR760" s="5" t="s">
        <v>246</v>
      </c>
      <c r="AS760" s="5" t="s">
        <v>247</v>
      </c>
      <c r="AT760" s="20"/>
      <c r="AU760" s="21"/>
      <c r="AV760" s="21"/>
      <c r="AW760" s="144" t="str">
        <f t="shared" si="226"/>
        <v>0 increase</v>
      </c>
      <c r="AX760" s="21" t="s">
        <v>3135</v>
      </c>
      <c r="AY760" s="21" t="s">
        <v>3130</v>
      </c>
      <c r="AZ760" s="21"/>
      <c r="BA760" s="21"/>
    </row>
    <row r="761" spans="1:53" ht="20" customHeight="1">
      <c r="A761" s="86" t="s">
        <v>318</v>
      </c>
      <c r="B761" s="372" t="s">
        <v>3091</v>
      </c>
      <c r="C761" s="5" t="s">
        <v>51</v>
      </c>
      <c r="D761" s="5" t="s">
        <v>52</v>
      </c>
      <c r="E761" s="5" t="s">
        <v>319</v>
      </c>
      <c r="F761" s="5" t="s">
        <v>2225</v>
      </c>
      <c r="G761" s="5" t="s">
        <v>2224</v>
      </c>
      <c r="H761" s="6">
        <v>41526</v>
      </c>
      <c r="I761" s="5" t="s">
        <v>71</v>
      </c>
      <c r="J761" s="5" t="s">
        <v>2233</v>
      </c>
      <c r="K761" s="5" t="s">
        <v>61</v>
      </c>
      <c r="L761" s="7">
        <v>2</v>
      </c>
      <c r="M761" s="7">
        <v>5</v>
      </c>
      <c r="N761" s="8">
        <v>15816</v>
      </c>
      <c r="O761" s="88">
        <v>0.05</v>
      </c>
      <c r="P761" s="10">
        <f t="shared" si="214"/>
        <v>791</v>
      </c>
      <c r="Q761" s="88">
        <v>0</v>
      </c>
      <c r="R761" s="10">
        <f t="shared" si="215"/>
        <v>0</v>
      </c>
      <c r="S761" s="88">
        <f t="shared" si="216"/>
        <v>5.0012645422357109E-2</v>
      </c>
      <c r="T761" s="10">
        <f t="shared" si="217"/>
        <v>791</v>
      </c>
      <c r="U761" s="10">
        <f t="shared" si="218"/>
        <v>16607</v>
      </c>
      <c r="V761" s="11">
        <v>16607</v>
      </c>
      <c r="W761" s="12">
        <f t="shared" si="220"/>
        <v>791</v>
      </c>
      <c r="X761" s="92">
        <f t="shared" si="230"/>
        <v>0.05</v>
      </c>
      <c r="Y761" s="93" t="str">
        <f t="shared" si="229"/>
        <v>4.00%-6.00%</v>
      </c>
      <c r="Z761" s="15"/>
      <c r="AA761" s="15"/>
      <c r="AB761" s="15"/>
      <c r="AC761" s="95"/>
      <c r="AD761" s="8">
        <f t="shared" si="221"/>
        <v>0</v>
      </c>
      <c r="AE761" s="17">
        <f t="shared" si="222"/>
        <v>16607</v>
      </c>
      <c r="AF761" s="18">
        <f t="shared" si="223"/>
        <v>791</v>
      </c>
      <c r="AG761" s="97">
        <f t="shared" si="224"/>
        <v>5.001264542235706E-2</v>
      </c>
      <c r="AH761" s="20">
        <v>14</v>
      </c>
      <c r="AI761" s="20">
        <v>900</v>
      </c>
      <c r="AJ761" s="20"/>
      <c r="AK761" s="20">
        <v>688</v>
      </c>
      <c r="AL761" s="20">
        <f t="shared" si="225"/>
        <v>243986</v>
      </c>
      <c r="AM761" s="7">
        <v>5</v>
      </c>
      <c r="AN761" s="20"/>
      <c r="AO761" s="21"/>
      <c r="AP761" s="21"/>
      <c r="AQ761" s="5" t="s">
        <v>245</v>
      </c>
      <c r="AR761" s="5" t="s">
        <v>246</v>
      </c>
      <c r="AS761" s="5" t="s">
        <v>247</v>
      </c>
      <c r="AT761" s="20"/>
      <c r="AU761" s="21"/>
      <c r="AV761" s="21"/>
      <c r="AW761" s="144" t="str">
        <f t="shared" si="226"/>
        <v>OK</v>
      </c>
      <c r="AX761" s="21" t="s">
        <v>3135</v>
      </c>
      <c r="AY761" s="21" t="s">
        <v>3130</v>
      </c>
      <c r="AZ761" s="21"/>
      <c r="BA761" s="21"/>
    </row>
    <row r="762" spans="1:53" ht="20" customHeight="1">
      <c r="A762" s="86" t="s">
        <v>318</v>
      </c>
      <c r="B762" s="372" t="s">
        <v>3092</v>
      </c>
      <c r="C762" s="5" t="s">
        <v>51</v>
      </c>
      <c r="D762" s="5" t="s">
        <v>52</v>
      </c>
      <c r="E762" s="5" t="s">
        <v>319</v>
      </c>
      <c r="F762" s="5" t="s">
        <v>2227</v>
      </c>
      <c r="G762" s="5" t="s">
        <v>2224</v>
      </c>
      <c r="H762" s="6">
        <v>41939</v>
      </c>
      <c r="I762" s="5" t="s">
        <v>71</v>
      </c>
      <c r="J762" s="5" t="s">
        <v>2234</v>
      </c>
      <c r="K762" s="5" t="s">
        <v>61</v>
      </c>
      <c r="L762" s="7">
        <v>2</v>
      </c>
      <c r="M762" s="7">
        <v>5</v>
      </c>
      <c r="N762" s="8">
        <v>16206</v>
      </c>
      <c r="O762" s="88">
        <v>0.05</v>
      </c>
      <c r="P762" s="10">
        <f t="shared" si="214"/>
        <v>810</v>
      </c>
      <c r="Q762" s="88">
        <v>0</v>
      </c>
      <c r="R762" s="10">
        <f t="shared" si="215"/>
        <v>0</v>
      </c>
      <c r="S762" s="88">
        <f t="shared" si="216"/>
        <v>4.9981488337652723E-2</v>
      </c>
      <c r="T762" s="10">
        <f t="shared" si="217"/>
        <v>810</v>
      </c>
      <c r="U762" s="10">
        <f t="shared" si="218"/>
        <v>17016</v>
      </c>
      <c r="V762" s="11">
        <v>17016</v>
      </c>
      <c r="W762" s="12">
        <f t="shared" si="220"/>
        <v>810</v>
      </c>
      <c r="X762" s="92">
        <f t="shared" si="230"/>
        <v>0.05</v>
      </c>
      <c r="Y762" s="93" t="str">
        <f t="shared" si="229"/>
        <v>4.00%-6.00%</v>
      </c>
      <c r="Z762" s="15" t="s">
        <v>87</v>
      </c>
      <c r="AA762" s="15" t="s">
        <v>111</v>
      </c>
      <c r="AB762" s="15" t="s">
        <v>1931</v>
      </c>
      <c r="AC762" s="95">
        <v>0.05</v>
      </c>
      <c r="AD762" s="8">
        <f t="shared" si="221"/>
        <v>810</v>
      </c>
      <c r="AE762" s="17">
        <f t="shared" si="222"/>
        <v>17826</v>
      </c>
      <c r="AF762" s="18">
        <f t="shared" si="223"/>
        <v>1620</v>
      </c>
      <c r="AG762" s="97">
        <f t="shared" si="224"/>
        <v>9.9962976675305404E-2</v>
      </c>
      <c r="AH762" s="20">
        <v>14</v>
      </c>
      <c r="AI762" s="20">
        <v>900</v>
      </c>
      <c r="AJ762" s="20"/>
      <c r="AK762" s="20">
        <v>688</v>
      </c>
      <c r="AL762" s="20">
        <f t="shared" si="225"/>
        <v>261052</v>
      </c>
      <c r="AM762" s="7">
        <v>5</v>
      </c>
      <c r="AN762" s="20"/>
      <c r="AO762" s="21" t="s">
        <v>2235</v>
      </c>
      <c r="AP762" s="21" t="s">
        <v>128</v>
      </c>
      <c r="AQ762" s="5" t="s">
        <v>245</v>
      </c>
      <c r="AR762" s="5" t="s">
        <v>246</v>
      </c>
      <c r="AS762" s="5" t="s">
        <v>247</v>
      </c>
      <c r="AT762" s="20"/>
      <c r="AU762" s="21" t="s">
        <v>2236</v>
      </c>
      <c r="AV762" s="21"/>
      <c r="AW762" s="144" t="str">
        <f t="shared" si="226"/>
        <v>OK</v>
      </c>
      <c r="AX762" s="21" t="s">
        <v>3135</v>
      </c>
      <c r="AY762" s="21" t="s">
        <v>3130</v>
      </c>
      <c r="AZ762" s="21"/>
      <c r="BA762" s="21"/>
    </row>
    <row r="763" spans="1:53" ht="20" customHeight="1">
      <c r="A763" s="86" t="s">
        <v>318</v>
      </c>
      <c r="B763" s="372" t="s">
        <v>3093</v>
      </c>
      <c r="C763" s="5" t="s">
        <v>51</v>
      </c>
      <c r="D763" s="5" t="s">
        <v>52</v>
      </c>
      <c r="E763" s="5" t="s">
        <v>319</v>
      </c>
      <c r="F763" s="5" t="s">
        <v>2227</v>
      </c>
      <c r="G763" s="5" t="s">
        <v>2224</v>
      </c>
      <c r="H763" s="6">
        <v>33420</v>
      </c>
      <c r="I763" s="5" t="s">
        <v>250</v>
      </c>
      <c r="J763" s="5" t="s">
        <v>251</v>
      </c>
      <c r="K763" s="5" t="s">
        <v>76</v>
      </c>
      <c r="L763" s="7">
        <v>2</v>
      </c>
      <c r="M763" s="7">
        <v>3</v>
      </c>
      <c r="N763" s="8">
        <v>10860</v>
      </c>
      <c r="O763" s="88">
        <v>2.5000000000000001E-2</v>
      </c>
      <c r="P763" s="10">
        <f t="shared" si="214"/>
        <v>272</v>
      </c>
      <c r="Q763" s="88">
        <v>0</v>
      </c>
      <c r="R763" s="10">
        <f t="shared" si="215"/>
        <v>0</v>
      </c>
      <c r="S763" s="88">
        <f t="shared" si="216"/>
        <v>2.5046040515653775E-2</v>
      </c>
      <c r="T763" s="10">
        <f t="shared" si="217"/>
        <v>272</v>
      </c>
      <c r="U763" s="10">
        <f t="shared" si="218"/>
        <v>11132</v>
      </c>
      <c r="V763" s="11">
        <v>11132</v>
      </c>
      <c r="W763" s="12">
        <f t="shared" si="220"/>
        <v>272</v>
      </c>
      <c r="X763" s="92">
        <f t="shared" si="230"/>
        <v>2.5000000000000001E-2</v>
      </c>
      <c r="Y763" s="93" t="str">
        <f t="shared" si="229"/>
        <v>2.00%-3.01%</v>
      </c>
      <c r="Z763" s="15"/>
      <c r="AA763" s="15"/>
      <c r="AB763" s="15"/>
      <c r="AC763" s="95"/>
      <c r="AD763" s="8">
        <f t="shared" si="221"/>
        <v>0</v>
      </c>
      <c r="AE763" s="17">
        <f t="shared" si="222"/>
        <v>11132</v>
      </c>
      <c r="AF763" s="18">
        <f t="shared" si="223"/>
        <v>272</v>
      </c>
      <c r="AG763" s="97">
        <f t="shared" si="224"/>
        <v>2.5046040515653845E-2</v>
      </c>
      <c r="AH763" s="20">
        <v>14</v>
      </c>
      <c r="AI763" s="20">
        <v>450</v>
      </c>
      <c r="AJ763" s="20"/>
      <c r="AK763" s="20">
        <v>688</v>
      </c>
      <c r="AL763" s="20">
        <f t="shared" si="225"/>
        <v>161936</v>
      </c>
      <c r="AM763" s="7">
        <v>3</v>
      </c>
      <c r="AN763" s="20"/>
      <c r="AO763" s="21" t="s">
        <v>2237</v>
      </c>
      <c r="AP763" s="21" t="s">
        <v>128</v>
      </c>
      <c r="AQ763" s="5" t="s">
        <v>245</v>
      </c>
      <c r="AR763" s="5" t="s">
        <v>246</v>
      </c>
      <c r="AS763" s="5" t="s">
        <v>247</v>
      </c>
      <c r="AT763" s="20"/>
      <c r="AU763" s="21"/>
      <c r="AV763" s="21"/>
      <c r="AW763" s="144" t="str">
        <f t="shared" si="226"/>
        <v>OK</v>
      </c>
      <c r="AX763" s="21" t="s">
        <v>3137</v>
      </c>
      <c r="AY763" s="21" t="s">
        <v>3130</v>
      </c>
      <c r="AZ763" s="21"/>
      <c r="BA763" s="21"/>
    </row>
    <row r="764" spans="1:53" ht="20" customHeight="1">
      <c r="A764" s="86" t="s">
        <v>318</v>
      </c>
      <c r="B764" s="372" t="s">
        <v>3094</v>
      </c>
      <c r="C764" s="5" t="s">
        <v>51</v>
      </c>
      <c r="D764" s="5" t="s">
        <v>52</v>
      </c>
      <c r="E764" s="5" t="s">
        <v>319</v>
      </c>
      <c r="F764" s="5" t="s">
        <v>2227</v>
      </c>
      <c r="G764" s="5" t="s">
        <v>2224</v>
      </c>
      <c r="H764" s="6">
        <v>31107</v>
      </c>
      <c r="I764" s="5" t="s">
        <v>243</v>
      </c>
      <c r="J764" s="5" t="s">
        <v>244</v>
      </c>
      <c r="K764" s="5" t="s">
        <v>84</v>
      </c>
      <c r="L764" s="7">
        <v>2</v>
      </c>
      <c r="M764" s="7">
        <v>3</v>
      </c>
      <c r="N764" s="8">
        <v>8035</v>
      </c>
      <c r="O764" s="88">
        <v>2.5000000000000001E-2</v>
      </c>
      <c r="P764" s="10">
        <f t="shared" si="214"/>
        <v>201</v>
      </c>
      <c r="Q764" s="88">
        <v>0</v>
      </c>
      <c r="R764" s="10">
        <f t="shared" si="215"/>
        <v>0</v>
      </c>
      <c r="S764" s="88">
        <f t="shared" si="216"/>
        <v>2.5015556938394523E-2</v>
      </c>
      <c r="T764" s="10">
        <f t="shared" si="217"/>
        <v>201</v>
      </c>
      <c r="U764" s="10">
        <f t="shared" si="218"/>
        <v>8236</v>
      </c>
      <c r="V764" s="11">
        <v>8035</v>
      </c>
      <c r="W764" s="12">
        <f t="shared" si="220"/>
        <v>0</v>
      </c>
      <c r="X764" s="92">
        <f t="shared" si="230"/>
        <v>0</v>
      </c>
      <c r="Y764" s="93" t="str">
        <f t="shared" si="229"/>
        <v>2.00%-3.00%</v>
      </c>
      <c r="Z764" s="15"/>
      <c r="AA764" s="15"/>
      <c r="AB764" s="15"/>
      <c r="AC764" s="95"/>
      <c r="AD764" s="8">
        <f t="shared" si="221"/>
        <v>0</v>
      </c>
      <c r="AE764" s="17">
        <f t="shared" si="222"/>
        <v>8035</v>
      </c>
      <c r="AF764" s="18">
        <f t="shared" si="223"/>
        <v>0</v>
      </c>
      <c r="AG764" s="97">
        <f t="shared" si="224"/>
        <v>0</v>
      </c>
      <c r="AH764" s="20">
        <v>14</v>
      </c>
      <c r="AI764" s="20">
        <v>450</v>
      </c>
      <c r="AJ764" s="20"/>
      <c r="AK764" s="20">
        <v>688</v>
      </c>
      <c r="AL764" s="20">
        <f t="shared" si="225"/>
        <v>118578</v>
      </c>
      <c r="AM764" s="7">
        <v>2</v>
      </c>
      <c r="AN764" s="20"/>
      <c r="AO764" s="21" t="s">
        <v>107</v>
      </c>
      <c r="AP764" s="21" t="s">
        <v>107</v>
      </c>
      <c r="AQ764" s="5" t="s">
        <v>245</v>
      </c>
      <c r="AR764" s="5" t="s">
        <v>246</v>
      </c>
      <c r="AS764" s="5" t="s">
        <v>247</v>
      </c>
      <c r="AT764" s="20"/>
      <c r="AU764" s="21"/>
      <c r="AV764" s="21"/>
      <c r="AW764" s="144" t="str">
        <f t="shared" si="226"/>
        <v>0 increase</v>
      </c>
      <c r="AX764" s="21" t="s">
        <v>3137</v>
      </c>
      <c r="AY764" s="21" t="s">
        <v>3130</v>
      </c>
      <c r="AZ764" s="21"/>
      <c r="BA764" s="21"/>
    </row>
    <row r="765" spans="1:53" ht="20" customHeight="1">
      <c r="A765" s="86" t="s">
        <v>318</v>
      </c>
      <c r="B765" s="372" t="s">
        <v>3095</v>
      </c>
      <c r="C765" s="5" t="s">
        <v>51</v>
      </c>
      <c r="D765" s="5" t="s">
        <v>52</v>
      </c>
      <c r="E765" s="5" t="s">
        <v>319</v>
      </c>
      <c r="F765" s="5" t="s">
        <v>2222</v>
      </c>
      <c r="G765" s="5" t="s">
        <v>2238</v>
      </c>
      <c r="H765" s="6">
        <v>33786</v>
      </c>
      <c r="I765" s="5" t="s">
        <v>71</v>
      </c>
      <c r="J765" s="5" t="s">
        <v>263</v>
      </c>
      <c r="K765" s="5" t="s">
        <v>61</v>
      </c>
      <c r="L765" s="7">
        <v>2</v>
      </c>
      <c r="M765" s="7">
        <v>3</v>
      </c>
      <c r="N765" s="8">
        <v>16374</v>
      </c>
      <c r="O765" s="88">
        <v>0.03</v>
      </c>
      <c r="P765" s="10">
        <f>ROUND(N765*O765,0)</f>
        <v>491</v>
      </c>
      <c r="Q765" s="88">
        <v>0</v>
      </c>
      <c r="R765" s="10">
        <f>ROUND(N765*Q765,0)</f>
        <v>0</v>
      </c>
      <c r="S765" s="88">
        <f>T765/N765</f>
        <v>2.9986564064981066E-2</v>
      </c>
      <c r="T765" s="10">
        <f>P765+R765</f>
        <v>491</v>
      </c>
      <c r="U765" s="10">
        <f>N765+T765</f>
        <v>16865</v>
      </c>
      <c r="V765" s="11">
        <v>16374</v>
      </c>
      <c r="W765" s="12">
        <f>V765-N765</f>
        <v>0</v>
      </c>
      <c r="X765" s="92">
        <f t="shared" si="230"/>
        <v>0</v>
      </c>
      <c r="Y765" s="93" t="str">
        <f>IF(OR(L765=1,L765=2,L765=4),TEXT(S765*0.8,"0.00%")&amp;"-"&amp;TEXT(S765*1.2,"0.00%"),IF(OR(L765=3,L765=6),TEXT(0,"0.00%")&amp;"-"&amp;TEXT(7%*1.2,"0.00%"),IF(OR(L765=5,L765=7),TEXT((R765/N765),"0.00%")&amp;"-"&amp;TEXT((R765/N765)+7%,"0.00%"),"")))</f>
        <v>2.40%-3.60%</v>
      </c>
      <c r="Z765" s="15"/>
      <c r="AA765" s="15"/>
      <c r="AB765" s="15"/>
      <c r="AC765" s="95"/>
      <c r="AD765" s="8">
        <f t="shared" si="221"/>
        <v>0</v>
      </c>
      <c r="AE765" s="17">
        <f>V765+AD765</f>
        <v>16374</v>
      </c>
      <c r="AF765" s="18">
        <f>AE765-N765</f>
        <v>0</v>
      </c>
      <c r="AG765" s="97">
        <f>AE765/N765-1</f>
        <v>0</v>
      </c>
      <c r="AH765" s="20">
        <v>14</v>
      </c>
      <c r="AI765" s="20">
        <v>450</v>
      </c>
      <c r="AJ765" s="20"/>
      <c r="AK765" s="20">
        <v>688</v>
      </c>
      <c r="AL765" s="20">
        <f>AE765*AH765+AI765*12+AK765+IF(AB765="",AJ765,IF(AB765="D",5000,IF(AB765="C",1000,0)))*12</f>
        <v>235324</v>
      </c>
      <c r="AM765" s="7">
        <v>3</v>
      </c>
      <c r="AN765" s="20"/>
      <c r="AO765" s="21" t="s">
        <v>2235</v>
      </c>
      <c r="AP765" s="21" t="s">
        <v>128</v>
      </c>
      <c r="AQ765" s="5" t="s">
        <v>265</v>
      </c>
      <c r="AR765" s="5" t="s">
        <v>246</v>
      </c>
      <c r="AS765" s="5" t="s">
        <v>247</v>
      </c>
      <c r="AT765" s="20"/>
      <c r="AU765" s="21"/>
      <c r="AV765" s="21"/>
      <c r="AW765" s="144" t="str">
        <f t="shared" si="226"/>
        <v>0 increase</v>
      </c>
      <c r="AX765" s="21" t="s">
        <v>3137</v>
      </c>
      <c r="AY765" s="21" t="s">
        <v>3132</v>
      </c>
      <c r="AZ765" s="21"/>
      <c r="BA765" s="21"/>
    </row>
    <row r="766" spans="1:53" ht="20" customHeight="1">
      <c r="A766" s="86" t="s">
        <v>318</v>
      </c>
      <c r="B766" s="372" t="s">
        <v>3096</v>
      </c>
      <c r="C766" s="5" t="s">
        <v>51</v>
      </c>
      <c r="D766" s="5" t="s">
        <v>52</v>
      </c>
      <c r="E766" s="5" t="s">
        <v>319</v>
      </c>
      <c r="F766" s="5" t="s">
        <v>2222</v>
      </c>
      <c r="G766" s="5" t="s">
        <v>262</v>
      </c>
      <c r="H766" s="6">
        <v>41373</v>
      </c>
      <c r="I766" s="5" t="s">
        <v>266</v>
      </c>
      <c r="J766" s="5" t="s">
        <v>266</v>
      </c>
      <c r="K766" s="5" t="s">
        <v>56</v>
      </c>
      <c r="L766" s="7">
        <v>2</v>
      </c>
      <c r="M766" s="7">
        <v>5</v>
      </c>
      <c r="N766" s="8">
        <v>23470</v>
      </c>
      <c r="O766" s="88">
        <v>0.05</v>
      </c>
      <c r="P766" s="10">
        <f t="shared" ref="P766:P795" si="231">ROUND(N766*O766,0)</f>
        <v>1174</v>
      </c>
      <c r="Q766" s="88">
        <v>2.7E-2</v>
      </c>
      <c r="R766" s="10">
        <f t="shared" ref="R766:R795" si="232">ROUND(N766*Q766,0)</f>
        <v>634</v>
      </c>
      <c r="S766" s="88">
        <f t="shared" ref="S766:S795" si="233">T766/N766</f>
        <v>7.7034512143161482E-2</v>
      </c>
      <c r="T766" s="10">
        <f t="shared" ref="T766:T795" si="234">P766+R766</f>
        <v>1808</v>
      </c>
      <c r="U766" s="10">
        <f t="shared" ref="U766:U795" si="235">N766+T766</f>
        <v>25278</v>
      </c>
      <c r="V766" s="11">
        <v>25250</v>
      </c>
      <c r="W766" s="12">
        <f t="shared" ref="W766:W795" si="236">V766-N766</f>
        <v>1780</v>
      </c>
      <c r="X766" s="92">
        <f t="shared" si="230"/>
        <v>7.5800000000000006E-2</v>
      </c>
      <c r="Y766" s="93" t="str">
        <f t="shared" ref="Y766:Y795" si="237">IF(OR(L766=1,L766=2,L766=4),TEXT(S766*0.8,"0.00%")&amp;"-"&amp;TEXT(S766*1.2,"0.00%"),IF(OR(L766=3,L766=6),TEXT(0,"0.00%")&amp;"-"&amp;TEXT(7%*1.2,"0.00%"),IF(OR(L766=5,L766=7),TEXT((R766/N766),"0.00%")&amp;"-"&amp;TEXT((R766/N766)+7%,"0.00%"),"")))</f>
        <v>6.16%-9.24%</v>
      </c>
      <c r="Z766" s="15"/>
      <c r="AA766" s="15"/>
      <c r="AB766" s="15"/>
      <c r="AC766" s="95"/>
      <c r="AD766" s="8">
        <f t="shared" si="221"/>
        <v>0</v>
      </c>
      <c r="AE766" s="17">
        <f t="shared" ref="AE766:AE795" si="238">V766+AD766</f>
        <v>25250</v>
      </c>
      <c r="AF766" s="18">
        <f t="shared" ref="AF766:AF795" si="239">AE766-N766</f>
        <v>1780</v>
      </c>
      <c r="AG766" s="97">
        <f t="shared" ref="AG766:AG795" si="240">AE766/N766-1</f>
        <v>7.5841499786962085E-2</v>
      </c>
      <c r="AH766" s="20">
        <v>14</v>
      </c>
      <c r="AI766" s="20">
        <v>450</v>
      </c>
      <c r="AJ766" s="20"/>
      <c r="AK766" s="20">
        <v>688</v>
      </c>
      <c r="AL766" s="20">
        <f t="shared" ref="AL766:AL795" si="241">AE766*AH766+AI766*12+AK766+IF(AB766="",AJ766,IF(AB766="D",5000,IF(AB766="C",1000,0)))*12</f>
        <v>359588</v>
      </c>
      <c r="AM766" s="7">
        <v>5</v>
      </c>
      <c r="AN766" s="20"/>
      <c r="AO766" s="21" t="s">
        <v>97</v>
      </c>
      <c r="AP766" s="21" t="s">
        <v>97</v>
      </c>
      <c r="AQ766" s="5" t="s">
        <v>267</v>
      </c>
      <c r="AR766" s="5" t="s">
        <v>246</v>
      </c>
      <c r="AS766" s="5" t="s">
        <v>247</v>
      </c>
      <c r="AT766" s="20"/>
      <c r="AU766" s="21"/>
      <c r="AV766" s="21"/>
      <c r="AW766" s="144" t="str">
        <f t="shared" si="226"/>
        <v>OK</v>
      </c>
      <c r="AX766" s="21" t="s">
        <v>3135</v>
      </c>
      <c r="AY766" s="21" t="s">
        <v>3130</v>
      </c>
      <c r="AZ766" s="21"/>
      <c r="BA766" s="21"/>
    </row>
    <row r="767" spans="1:53" ht="20" customHeight="1">
      <c r="A767" s="86" t="s">
        <v>318</v>
      </c>
      <c r="B767" s="372" t="s">
        <v>3097</v>
      </c>
      <c r="C767" s="5" t="s">
        <v>51</v>
      </c>
      <c r="D767" s="5" t="s">
        <v>52</v>
      </c>
      <c r="E767" s="5" t="s">
        <v>319</v>
      </c>
      <c r="F767" s="5" t="s">
        <v>2222</v>
      </c>
      <c r="G767" s="5" t="s">
        <v>2238</v>
      </c>
      <c r="H767" s="6">
        <v>41634</v>
      </c>
      <c r="I767" s="5" t="s">
        <v>1733</v>
      </c>
      <c r="J767" s="5" t="s">
        <v>1733</v>
      </c>
      <c r="K767" s="5" t="s">
        <v>84</v>
      </c>
      <c r="L767" s="7">
        <v>2</v>
      </c>
      <c r="M767" s="7">
        <v>3</v>
      </c>
      <c r="N767" s="8">
        <v>6162</v>
      </c>
      <c r="O767" s="88">
        <v>2.5000000000000001E-2</v>
      </c>
      <c r="P767" s="10">
        <f t="shared" si="231"/>
        <v>154</v>
      </c>
      <c r="Q767" s="88">
        <v>0</v>
      </c>
      <c r="R767" s="10">
        <f t="shared" si="232"/>
        <v>0</v>
      </c>
      <c r="S767" s="88">
        <f t="shared" si="233"/>
        <v>2.4991885751379422E-2</v>
      </c>
      <c r="T767" s="10">
        <f t="shared" si="234"/>
        <v>154</v>
      </c>
      <c r="U767" s="10">
        <f t="shared" si="235"/>
        <v>6316</v>
      </c>
      <c r="V767" s="11">
        <v>6500</v>
      </c>
      <c r="W767" s="12">
        <f t="shared" si="236"/>
        <v>338</v>
      </c>
      <c r="X767" s="92">
        <f t="shared" si="230"/>
        <v>5.4899999999999997E-2</v>
      </c>
      <c r="Y767" s="93" t="str">
        <f t="shared" si="237"/>
        <v>2.00%-3.00%</v>
      </c>
      <c r="Z767" s="15"/>
      <c r="AA767" s="15"/>
      <c r="AB767" s="15"/>
      <c r="AC767" s="95"/>
      <c r="AD767" s="8">
        <f t="shared" si="221"/>
        <v>0</v>
      </c>
      <c r="AE767" s="17">
        <f t="shared" si="238"/>
        <v>6500</v>
      </c>
      <c r="AF767" s="18">
        <f t="shared" si="239"/>
        <v>338</v>
      </c>
      <c r="AG767" s="97">
        <f t="shared" si="240"/>
        <v>5.4852320675105481E-2</v>
      </c>
      <c r="AH767" s="20">
        <v>14</v>
      </c>
      <c r="AI767" s="20">
        <v>450</v>
      </c>
      <c r="AJ767" s="20"/>
      <c r="AK767" s="20">
        <v>688</v>
      </c>
      <c r="AL767" s="20">
        <f t="shared" si="241"/>
        <v>97088</v>
      </c>
      <c r="AM767" s="7">
        <v>3</v>
      </c>
      <c r="AN767" s="20"/>
      <c r="AO767" s="21" t="s">
        <v>128</v>
      </c>
      <c r="AP767" s="21" t="s">
        <v>128</v>
      </c>
      <c r="AQ767" s="5" t="s">
        <v>267</v>
      </c>
      <c r="AR767" s="5" t="s">
        <v>246</v>
      </c>
      <c r="AS767" s="5" t="s">
        <v>247</v>
      </c>
      <c r="AT767" s="20"/>
      <c r="AU767" s="21"/>
      <c r="AV767" s="21"/>
      <c r="AW767" s="144" t="str">
        <f t="shared" si="226"/>
        <v>&gt;20</v>
      </c>
      <c r="AX767" s="21" t="s">
        <v>3135</v>
      </c>
      <c r="AY767" s="21" t="s">
        <v>3130</v>
      </c>
      <c r="AZ767" s="21"/>
      <c r="BA767" s="21"/>
    </row>
    <row r="768" spans="1:53" ht="20" customHeight="1">
      <c r="A768" s="86" t="s">
        <v>318</v>
      </c>
      <c r="B768" s="372" t="s">
        <v>3098</v>
      </c>
      <c r="C768" s="5" t="s">
        <v>51</v>
      </c>
      <c r="D768" s="5" t="s">
        <v>52</v>
      </c>
      <c r="E768" s="5" t="s">
        <v>319</v>
      </c>
      <c r="F768" s="5" t="s">
        <v>2239</v>
      </c>
      <c r="G768" s="5" t="s">
        <v>2238</v>
      </c>
      <c r="H768" s="6">
        <v>36584</v>
      </c>
      <c r="I768" s="5" t="s">
        <v>198</v>
      </c>
      <c r="J768" s="5" t="s">
        <v>2240</v>
      </c>
      <c r="K768" s="5" t="s">
        <v>199</v>
      </c>
      <c r="L768" s="7">
        <v>2</v>
      </c>
      <c r="M768" s="7">
        <v>3</v>
      </c>
      <c r="N768" s="8">
        <v>29250</v>
      </c>
      <c r="O768" s="88">
        <v>0.03</v>
      </c>
      <c r="P768" s="10">
        <f t="shared" si="231"/>
        <v>878</v>
      </c>
      <c r="Q768" s="88">
        <v>0</v>
      </c>
      <c r="R768" s="10">
        <f t="shared" si="232"/>
        <v>0</v>
      </c>
      <c r="S768" s="88">
        <f t="shared" si="233"/>
        <v>3.0017094017094018E-2</v>
      </c>
      <c r="T768" s="10">
        <f t="shared" si="234"/>
        <v>878</v>
      </c>
      <c r="U768" s="10">
        <f t="shared" si="235"/>
        <v>30128</v>
      </c>
      <c r="V768" s="11">
        <v>29250</v>
      </c>
      <c r="W768" s="12">
        <f t="shared" si="236"/>
        <v>0</v>
      </c>
      <c r="X768" s="92">
        <f t="shared" si="230"/>
        <v>0</v>
      </c>
      <c r="Y768" s="93" t="str">
        <f t="shared" si="237"/>
        <v>2.40%-3.60%</v>
      </c>
      <c r="Z768" s="15"/>
      <c r="AA768" s="15"/>
      <c r="AB768" s="15"/>
      <c r="AC768" s="95"/>
      <c r="AD768" s="8">
        <f t="shared" si="221"/>
        <v>0</v>
      </c>
      <c r="AE768" s="17">
        <f t="shared" si="238"/>
        <v>29250</v>
      </c>
      <c r="AF768" s="18">
        <f t="shared" si="239"/>
        <v>0</v>
      </c>
      <c r="AG768" s="97">
        <f t="shared" si="240"/>
        <v>0</v>
      </c>
      <c r="AH768" s="20">
        <v>14</v>
      </c>
      <c r="AI768" s="20">
        <v>950</v>
      </c>
      <c r="AJ768" s="20">
        <v>1000</v>
      </c>
      <c r="AK768" s="20">
        <v>688</v>
      </c>
      <c r="AL768" s="20">
        <f t="shared" si="241"/>
        <v>433588</v>
      </c>
      <c r="AM768" s="7">
        <v>4</v>
      </c>
      <c r="AN768" s="20"/>
      <c r="AO768" s="21" t="s">
        <v>128</v>
      </c>
      <c r="AP768" s="21" t="s">
        <v>128</v>
      </c>
      <c r="AQ768" s="5" t="s">
        <v>267</v>
      </c>
      <c r="AR768" s="5" t="s">
        <v>246</v>
      </c>
      <c r="AS768" s="5" t="s">
        <v>247</v>
      </c>
      <c r="AT768" s="20"/>
      <c r="AU768" s="21"/>
      <c r="AV768" s="21"/>
      <c r="AW768" s="144" t="str">
        <f t="shared" si="226"/>
        <v>0 increase</v>
      </c>
      <c r="AX768" s="21" t="s">
        <v>3137</v>
      </c>
      <c r="AY768" s="21" t="s">
        <v>3132</v>
      </c>
      <c r="AZ768" s="21"/>
      <c r="BA768" s="21"/>
    </row>
    <row r="769" spans="1:53" ht="20" customHeight="1">
      <c r="A769" s="86" t="s">
        <v>318</v>
      </c>
      <c r="B769" s="372" t="s">
        <v>3099</v>
      </c>
      <c r="C769" s="5" t="s">
        <v>51</v>
      </c>
      <c r="D769" s="5" t="s">
        <v>52</v>
      </c>
      <c r="E769" s="5" t="s">
        <v>319</v>
      </c>
      <c r="F769" s="5" t="s">
        <v>2241</v>
      </c>
      <c r="G769" s="5" t="s">
        <v>2242</v>
      </c>
      <c r="H769" s="6">
        <v>39630</v>
      </c>
      <c r="I769" s="5" t="s">
        <v>111</v>
      </c>
      <c r="J769" s="5" t="s">
        <v>273</v>
      </c>
      <c r="K769" s="5" t="s">
        <v>56</v>
      </c>
      <c r="L769" s="7">
        <v>2</v>
      </c>
      <c r="M769" s="7">
        <v>3</v>
      </c>
      <c r="N769" s="8">
        <v>23249</v>
      </c>
      <c r="O769" s="88">
        <v>0</v>
      </c>
      <c r="P769" s="10">
        <f t="shared" si="231"/>
        <v>0</v>
      </c>
      <c r="Q769" s="88">
        <v>0</v>
      </c>
      <c r="R769" s="10">
        <f t="shared" si="232"/>
        <v>0</v>
      </c>
      <c r="S769" s="88">
        <f t="shared" si="233"/>
        <v>0</v>
      </c>
      <c r="T769" s="10">
        <f t="shared" si="234"/>
        <v>0</v>
      </c>
      <c r="U769" s="10">
        <f t="shared" si="235"/>
        <v>23249</v>
      </c>
      <c r="V769" s="11">
        <v>24000</v>
      </c>
      <c r="W769" s="12">
        <f t="shared" si="236"/>
        <v>751</v>
      </c>
      <c r="X769" s="92">
        <f t="shared" si="230"/>
        <v>3.2300000000000002E-2</v>
      </c>
      <c r="Y769" s="93" t="str">
        <f t="shared" si="237"/>
        <v>0.00%-0.00%</v>
      </c>
      <c r="Z769" s="15"/>
      <c r="AA769" s="15"/>
      <c r="AB769" s="15"/>
      <c r="AC769" s="95"/>
      <c r="AD769" s="8">
        <f t="shared" si="221"/>
        <v>0</v>
      </c>
      <c r="AE769" s="17">
        <f t="shared" si="238"/>
        <v>24000</v>
      </c>
      <c r="AF769" s="18">
        <f t="shared" si="239"/>
        <v>751</v>
      </c>
      <c r="AG769" s="97">
        <f t="shared" si="240"/>
        <v>3.2302464622134375E-2</v>
      </c>
      <c r="AH769" s="20">
        <v>14</v>
      </c>
      <c r="AI769" s="20">
        <v>950</v>
      </c>
      <c r="AJ769" s="20"/>
      <c r="AK769" s="20">
        <v>688</v>
      </c>
      <c r="AL769" s="20">
        <f t="shared" si="241"/>
        <v>348088</v>
      </c>
      <c r="AM769" s="7">
        <v>3</v>
      </c>
      <c r="AN769" s="20"/>
      <c r="AO769" s="21" t="s">
        <v>2243</v>
      </c>
      <c r="AP769" s="21" t="s">
        <v>128</v>
      </c>
      <c r="AQ769" s="5" t="s">
        <v>267</v>
      </c>
      <c r="AR769" s="5" t="s">
        <v>246</v>
      </c>
      <c r="AS769" s="5" t="s">
        <v>247</v>
      </c>
      <c r="AT769" s="20"/>
      <c r="AU769" s="21"/>
      <c r="AV769" s="21"/>
      <c r="AW769" s="144" t="str">
        <f t="shared" si="226"/>
        <v>&gt;20</v>
      </c>
      <c r="AX769" s="21" t="s">
        <v>3129</v>
      </c>
      <c r="AY769" s="21" t="s">
        <v>3134</v>
      </c>
      <c r="AZ769" s="21"/>
      <c r="BA769" s="21"/>
    </row>
    <row r="770" spans="1:53" ht="20" customHeight="1">
      <c r="A770" s="86" t="s">
        <v>318</v>
      </c>
      <c r="B770" s="372" t="s">
        <v>3100</v>
      </c>
      <c r="C770" s="5" t="s">
        <v>51</v>
      </c>
      <c r="D770" s="5" t="s">
        <v>52</v>
      </c>
      <c r="E770" s="5" t="s">
        <v>319</v>
      </c>
      <c r="F770" s="5" t="s">
        <v>2244</v>
      </c>
      <c r="G770" s="5" t="s">
        <v>2224</v>
      </c>
      <c r="H770" s="6">
        <v>38096</v>
      </c>
      <c r="I770" s="5" t="s">
        <v>198</v>
      </c>
      <c r="J770" s="5" t="s">
        <v>2245</v>
      </c>
      <c r="K770" s="5" t="s">
        <v>199</v>
      </c>
      <c r="L770" s="7">
        <v>2</v>
      </c>
      <c r="M770" s="7">
        <v>3</v>
      </c>
      <c r="N770" s="8">
        <v>27180</v>
      </c>
      <c r="O770" s="88">
        <v>3.5000000000000003E-2</v>
      </c>
      <c r="P770" s="10">
        <f t="shared" si="231"/>
        <v>951</v>
      </c>
      <c r="Q770" s="88">
        <v>0</v>
      </c>
      <c r="R770" s="10">
        <f t="shared" si="232"/>
        <v>0</v>
      </c>
      <c r="S770" s="88">
        <f t="shared" si="233"/>
        <v>3.4988962472406182E-2</v>
      </c>
      <c r="T770" s="10">
        <f t="shared" si="234"/>
        <v>951</v>
      </c>
      <c r="U770" s="10">
        <f t="shared" si="235"/>
        <v>28131</v>
      </c>
      <c r="V770" s="11">
        <v>28131</v>
      </c>
      <c r="W770" s="12">
        <f t="shared" si="236"/>
        <v>951</v>
      </c>
      <c r="X770" s="92">
        <f t="shared" si="230"/>
        <v>3.5000000000000003E-2</v>
      </c>
      <c r="Y770" s="93" t="str">
        <f t="shared" si="237"/>
        <v>2.80%-4.20%</v>
      </c>
      <c r="Z770" s="15"/>
      <c r="AA770" s="15"/>
      <c r="AB770" s="15"/>
      <c r="AC770" s="95"/>
      <c r="AD770" s="8">
        <f t="shared" si="221"/>
        <v>0</v>
      </c>
      <c r="AE770" s="17">
        <f t="shared" si="238"/>
        <v>28131</v>
      </c>
      <c r="AF770" s="18">
        <f t="shared" si="239"/>
        <v>951</v>
      </c>
      <c r="AG770" s="97">
        <f t="shared" si="240"/>
        <v>3.4988962472406238E-2</v>
      </c>
      <c r="AH770" s="20">
        <v>14</v>
      </c>
      <c r="AI770" s="20">
        <v>450</v>
      </c>
      <c r="AJ770" s="20">
        <v>1000</v>
      </c>
      <c r="AK770" s="20">
        <v>688</v>
      </c>
      <c r="AL770" s="20">
        <f t="shared" si="241"/>
        <v>411922</v>
      </c>
      <c r="AM770" s="7">
        <v>5</v>
      </c>
      <c r="AN770" s="20"/>
      <c r="AO770" s="21" t="s">
        <v>128</v>
      </c>
      <c r="AP770" s="21" t="s">
        <v>128</v>
      </c>
      <c r="AQ770" s="5" t="s">
        <v>267</v>
      </c>
      <c r="AR770" s="5" t="s">
        <v>246</v>
      </c>
      <c r="AS770" s="5" t="s">
        <v>247</v>
      </c>
      <c r="AT770" s="20"/>
      <c r="AU770" s="21"/>
      <c r="AV770" s="21"/>
      <c r="AW770" s="144" t="str">
        <f t="shared" si="226"/>
        <v>OK</v>
      </c>
      <c r="AX770" s="21" t="s">
        <v>3139</v>
      </c>
      <c r="AY770" s="21" t="s">
        <v>3141</v>
      </c>
      <c r="AZ770" s="21"/>
      <c r="BA770" s="21"/>
    </row>
    <row r="771" spans="1:53" ht="20" customHeight="1">
      <c r="A771" s="86" t="s">
        <v>318</v>
      </c>
      <c r="B771" s="372" t="s">
        <v>3101</v>
      </c>
      <c r="C771" s="5" t="s">
        <v>51</v>
      </c>
      <c r="D771" s="5" t="s">
        <v>52</v>
      </c>
      <c r="E771" s="5" t="s">
        <v>319</v>
      </c>
      <c r="F771" s="5" t="s">
        <v>2246</v>
      </c>
      <c r="G771" s="5" t="s">
        <v>2247</v>
      </c>
      <c r="H771" s="6">
        <v>40994</v>
      </c>
      <c r="I771" s="5" t="s">
        <v>71</v>
      </c>
      <c r="J771" s="5" t="s">
        <v>2248</v>
      </c>
      <c r="K771" s="5" t="s">
        <v>61</v>
      </c>
      <c r="L771" s="7">
        <v>2</v>
      </c>
      <c r="M771" s="7">
        <v>3</v>
      </c>
      <c r="N771" s="8">
        <v>10350</v>
      </c>
      <c r="O771" s="88">
        <v>0.03</v>
      </c>
      <c r="P771" s="10">
        <f t="shared" si="231"/>
        <v>311</v>
      </c>
      <c r="Q771" s="88">
        <v>0</v>
      </c>
      <c r="R771" s="10">
        <f t="shared" si="232"/>
        <v>0</v>
      </c>
      <c r="S771" s="88">
        <f t="shared" si="233"/>
        <v>3.0048309178743963E-2</v>
      </c>
      <c r="T771" s="10">
        <f t="shared" si="234"/>
        <v>311</v>
      </c>
      <c r="U771" s="10">
        <f t="shared" si="235"/>
        <v>10661</v>
      </c>
      <c r="V771" s="11">
        <v>10350</v>
      </c>
      <c r="W771" s="12">
        <f t="shared" si="236"/>
        <v>0</v>
      </c>
      <c r="X771" s="92">
        <f t="shared" si="230"/>
        <v>0</v>
      </c>
      <c r="Y771" s="93" t="str">
        <f t="shared" si="237"/>
        <v>2.40%-3.61%</v>
      </c>
      <c r="Z771" s="15"/>
      <c r="AA771" s="15"/>
      <c r="AB771" s="15"/>
      <c r="AC771" s="95"/>
      <c r="AD771" s="8">
        <f t="shared" si="221"/>
        <v>0</v>
      </c>
      <c r="AE771" s="17">
        <f t="shared" si="238"/>
        <v>10350</v>
      </c>
      <c r="AF771" s="18">
        <f t="shared" si="239"/>
        <v>0</v>
      </c>
      <c r="AG771" s="97">
        <f t="shared" si="240"/>
        <v>0</v>
      </c>
      <c r="AH771" s="20">
        <v>14</v>
      </c>
      <c r="AI771" s="20">
        <v>450</v>
      </c>
      <c r="AJ771" s="20"/>
      <c r="AK771" s="20">
        <v>688</v>
      </c>
      <c r="AL771" s="20">
        <f t="shared" si="241"/>
        <v>150988</v>
      </c>
      <c r="AM771" s="7">
        <v>3</v>
      </c>
      <c r="AN771" s="20"/>
      <c r="AO771" s="21" t="s">
        <v>97</v>
      </c>
      <c r="AP771" s="21" t="s">
        <v>128</v>
      </c>
      <c r="AQ771" s="5" t="s">
        <v>2249</v>
      </c>
      <c r="AR771" s="5" t="s">
        <v>246</v>
      </c>
      <c r="AS771" s="5" t="s">
        <v>247</v>
      </c>
      <c r="AT771" s="20"/>
      <c r="AU771" s="21"/>
      <c r="AV771" s="21"/>
      <c r="AW771" s="144" t="str">
        <f t="shared" si="226"/>
        <v>0 increase</v>
      </c>
      <c r="AX771" s="21" t="s">
        <v>3135</v>
      </c>
      <c r="AY771" s="21" t="s">
        <v>3132</v>
      </c>
      <c r="AZ771" s="21"/>
      <c r="BA771" s="21"/>
    </row>
    <row r="772" spans="1:53" ht="20" customHeight="1">
      <c r="A772" s="86" t="s">
        <v>318</v>
      </c>
      <c r="B772" s="372" t="s">
        <v>3102</v>
      </c>
      <c r="C772" s="5" t="s">
        <v>51</v>
      </c>
      <c r="D772" s="5" t="s">
        <v>52</v>
      </c>
      <c r="E772" s="5" t="s">
        <v>319</v>
      </c>
      <c r="F772" s="5" t="s">
        <v>2250</v>
      </c>
      <c r="G772" s="5" t="s">
        <v>2247</v>
      </c>
      <c r="H772" s="6">
        <v>41023</v>
      </c>
      <c r="I772" s="5" t="s">
        <v>111</v>
      </c>
      <c r="J772" s="5" t="s">
        <v>2251</v>
      </c>
      <c r="K772" s="5" t="s">
        <v>56</v>
      </c>
      <c r="L772" s="7">
        <v>2</v>
      </c>
      <c r="M772" s="7">
        <v>3</v>
      </c>
      <c r="N772" s="8">
        <v>18100</v>
      </c>
      <c r="O772" s="88">
        <v>2.5000000000000001E-2</v>
      </c>
      <c r="P772" s="10">
        <f t="shared" si="231"/>
        <v>453</v>
      </c>
      <c r="Q772" s="88">
        <v>0</v>
      </c>
      <c r="R772" s="10">
        <f t="shared" si="232"/>
        <v>0</v>
      </c>
      <c r="S772" s="88">
        <f t="shared" si="233"/>
        <v>2.5027624309392264E-2</v>
      </c>
      <c r="T772" s="10">
        <f t="shared" si="234"/>
        <v>453</v>
      </c>
      <c r="U772" s="10">
        <f t="shared" si="235"/>
        <v>18553</v>
      </c>
      <c r="V772" s="11">
        <v>18553</v>
      </c>
      <c r="W772" s="12">
        <f t="shared" si="236"/>
        <v>453</v>
      </c>
      <c r="X772" s="92">
        <f t="shared" si="230"/>
        <v>2.5000000000000001E-2</v>
      </c>
      <c r="Y772" s="93" t="str">
        <f t="shared" si="237"/>
        <v>2.00%-3.00%</v>
      </c>
      <c r="Z772" s="15"/>
      <c r="AA772" s="15"/>
      <c r="AB772" s="15"/>
      <c r="AC772" s="95"/>
      <c r="AD772" s="8">
        <f t="shared" si="221"/>
        <v>0</v>
      </c>
      <c r="AE772" s="17">
        <f t="shared" si="238"/>
        <v>18553</v>
      </c>
      <c r="AF772" s="18">
        <f t="shared" si="239"/>
        <v>453</v>
      </c>
      <c r="AG772" s="97">
        <f t="shared" si="240"/>
        <v>2.5027624309392316E-2</v>
      </c>
      <c r="AH772" s="20">
        <v>14</v>
      </c>
      <c r="AI772" s="20">
        <v>450</v>
      </c>
      <c r="AJ772" s="20"/>
      <c r="AK772" s="20">
        <v>688</v>
      </c>
      <c r="AL772" s="20">
        <f t="shared" si="241"/>
        <v>265830</v>
      </c>
      <c r="AM772" s="7">
        <v>3</v>
      </c>
      <c r="AN772" s="20"/>
      <c r="AO772" s="21" t="s">
        <v>2252</v>
      </c>
      <c r="AP772" s="21" t="s">
        <v>173</v>
      </c>
      <c r="AQ772" s="5" t="s">
        <v>2249</v>
      </c>
      <c r="AR772" s="5" t="s">
        <v>246</v>
      </c>
      <c r="AS772" s="5" t="s">
        <v>247</v>
      </c>
      <c r="AT772" s="20"/>
      <c r="AU772" s="21"/>
      <c r="AV772" s="21"/>
      <c r="AW772" s="144" t="str">
        <f t="shared" si="226"/>
        <v>OK</v>
      </c>
      <c r="AX772" s="21" t="s">
        <v>3135</v>
      </c>
      <c r="AY772" s="21" t="s">
        <v>3130</v>
      </c>
      <c r="AZ772" s="21"/>
      <c r="BA772" s="21"/>
    </row>
    <row r="773" spans="1:53" ht="20" customHeight="1">
      <c r="A773" s="86" t="s">
        <v>318</v>
      </c>
      <c r="B773" s="372" t="s">
        <v>3103</v>
      </c>
      <c r="C773" s="5" t="s">
        <v>51</v>
      </c>
      <c r="D773" s="5" t="s">
        <v>52</v>
      </c>
      <c r="E773" s="5" t="s">
        <v>319</v>
      </c>
      <c r="F773" s="5" t="s">
        <v>2253</v>
      </c>
      <c r="G773" s="5" t="s">
        <v>2247</v>
      </c>
      <c r="H773" s="6">
        <v>37088</v>
      </c>
      <c r="I773" s="5" t="s">
        <v>71</v>
      </c>
      <c r="J773" s="5" t="s">
        <v>2254</v>
      </c>
      <c r="K773" s="5" t="s">
        <v>61</v>
      </c>
      <c r="L773" s="7">
        <v>2</v>
      </c>
      <c r="M773" s="7">
        <v>3</v>
      </c>
      <c r="N773" s="8">
        <v>15590</v>
      </c>
      <c r="O773" s="88">
        <v>0</v>
      </c>
      <c r="P773" s="10">
        <f t="shared" si="231"/>
        <v>0</v>
      </c>
      <c r="Q773" s="88">
        <v>0</v>
      </c>
      <c r="R773" s="10">
        <f t="shared" si="232"/>
        <v>0</v>
      </c>
      <c r="S773" s="88">
        <f t="shared" si="233"/>
        <v>0</v>
      </c>
      <c r="T773" s="10">
        <f t="shared" si="234"/>
        <v>0</v>
      </c>
      <c r="U773" s="10">
        <f t="shared" si="235"/>
        <v>15590</v>
      </c>
      <c r="V773" s="11">
        <v>15590</v>
      </c>
      <c r="W773" s="12">
        <f t="shared" si="236"/>
        <v>0</v>
      </c>
      <c r="X773" s="92">
        <f t="shared" si="230"/>
        <v>0</v>
      </c>
      <c r="Y773" s="93" t="str">
        <f t="shared" si="237"/>
        <v>0.00%-0.00%</v>
      </c>
      <c r="Z773" s="15"/>
      <c r="AA773" s="15"/>
      <c r="AB773" s="15"/>
      <c r="AC773" s="95"/>
      <c r="AD773" s="8">
        <f t="shared" si="221"/>
        <v>0</v>
      </c>
      <c r="AE773" s="17">
        <f t="shared" si="238"/>
        <v>15590</v>
      </c>
      <c r="AF773" s="18">
        <f t="shared" si="239"/>
        <v>0</v>
      </c>
      <c r="AG773" s="97">
        <f t="shared" si="240"/>
        <v>0</v>
      </c>
      <c r="AH773" s="20">
        <v>14</v>
      </c>
      <c r="AI773" s="20">
        <v>450</v>
      </c>
      <c r="AJ773" s="20"/>
      <c r="AK773" s="20">
        <v>688</v>
      </c>
      <c r="AL773" s="20">
        <f t="shared" si="241"/>
        <v>224348</v>
      </c>
      <c r="AM773" s="7">
        <v>3</v>
      </c>
      <c r="AN773" s="20"/>
      <c r="AO773" s="21"/>
      <c r="AP773" s="21"/>
      <c r="AQ773" s="5" t="s">
        <v>2249</v>
      </c>
      <c r="AR773" s="5" t="s">
        <v>246</v>
      </c>
      <c r="AS773" s="5" t="s">
        <v>247</v>
      </c>
      <c r="AT773" s="20"/>
      <c r="AU773" s="21"/>
      <c r="AV773" s="21"/>
      <c r="AW773" s="144" t="str">
        <f t="shared" si="226"/>
        <v>OK</v>
      </c>
      <c r="AX773" s="21" t="s">
        <v>3139</v>
      </c>
      <c r="AY773" s="21" t="s">
        <v>3134</v>
      </c>
      <c r="AZ773" s="21"/>
      <c r="BA773" s="21"/>
    </row>
    <row r="774" spans="1:53" ht="20" customHeight="1">
      <c r="A774" s="86" t="s">
        <v>318</v>
      </c>
      <c r="B774" s="372" t="s">
        <v>3104</v>
      </c>
      <c r="C774" s="5" t="s">
        <v>51</v>
      </c>
      <c r="D774" s="5" t="s">
        <v>52</v>
      </c>
      <c r="E774" s="5" t="s">
        <v>319</v>
      </c>
      <c r="F774" s="5" t="s">
        <v>2239</v>
      </c>
      <c r="G774" s="5" t="s">
        <v>2238</v>
      </c>
      <c r="H774" s="6">
        <v>40945</v>
      </c>
      <c r="I774" s="5" t="s">
        <v>111</v>
      </c>
      <c r="J774" s="5" t="s">
        <v>111</v>
      </c>
      <c r="K774" s="5" t="s">
        <v>56</v>
      </c>
      <c r="L774" s="7">
        <v>2</v>
      </c>
      <c r="M774" s="7">
        <v>3</v>
      </c>
      <c r="N774" s="8">
        <v>19300</v>
      </c>
      <c r="O774" s="88">
        <v>2.5000000000000001E-2</v>
      </c>
      <c r="P774" s="10">
        <f t="shared" si="231"/>
        <v>483</v>
      </c>
      <c r="Q774" s="88">
        <v>0</v>
      </c>
      <c r="R774" s="10">
        <f t="shared" si="232"/>
        <v>0</v>
      </c>
      <c r="S774" s="88">
        <f t="shared" si="233"/>
        <v>2.5025906735751294E-2</v>
      </c>
      <c r="T774" s="10">
        <f t="shared" si="234"/>
        <v>483</v>
      </c>
      <c r="U774" s="10">
        <f t="shared" si="235"/>
        <v>19783</v>
      </c>
      <c r="V774" s="11">
        <v>19300</v>
      </c>
      <c r="W774" s="12">
        <f t="shared" si="236"/>
        <v>0</v>
      </c>
      <c r="X774" s="92">
        <f t="shared" si="230"/>
        <v>0</v>
      </c>
      <c r="Y774" s="93" t="str">
        <f t="shared" si="237"/>
        <v>2.00%-3.00%</v>
      </c>
      <c r="Z774" s="15"/>
      <c r="AA774" s="15"/>
      <c r="AB774" s="15"/>
      <c r="AC774" s="95"/>
      <c r="AD774" s="8">
        <f t="shared" si="221"/>
        <v>0</v>
      </c>
      <c r="AE774" s="17">
        <f t="shared" si="238"/>
        <v>19300</v>
      </c>
      <c r="AF774" s="18">
        <f t="shared" si="239"/>
        <v>0</v>
      </c>
      <c r="AG774" s="97">
        <f t="shared" si="240"/>
        <v>0</v>
      </c>
      <c r="AH774" s="20">
        <v>14</v>
      </c>
      <c r="AI774" s="20">
        <v>450</v>
      </c>
      <c r="AJ774" s="20"/>
      <c r="AK774" s="20">
        <v>688</v>
      </c>
      <c r="AL774" s="20">
        <f t="shared" si="241"/>
        <v>276288</v>
      </c>
      <c r="AM774" s="7">
        <v>4</v>
      </c>
      <c r="AN774" s="20"/>
      <c r="AO774" s="21"/>
      <c r="AP774" s="21" t="s">
        <v>97</v>
      </c>
      <c r="AQ774" s="5" t="s">
        <v>2249</v>
      </c>
      <c r="AR774" s="5" t="s">
        <v>246</v>
      </c>
      <c r="AS774" s="5" t="s">
        <v>247</v>
      </c>
      <c r="AT774" s="20"/>
      <c r="AU774" s="21" t="s">
        <v>2255</v>
      </c>
      <c r="AV774" s="21"/>
      <c r="AW774" s="144" t="str">
        <f t="shared" si="226"/>
        <v>0 increase</v>
      </c>
      <c r="AX774" s="21" t="s">
        <v>3135</v>
      </c>
      <c r="AY774" s="21" t="s">
        <v>3130</v>
      </c>
      <c r="AZ774" s="21"/>
      <c r="BA774" s="21"/>
    </row>
    <row r="775" spans="1:53" ht="20" customHeight="1">
      <c r="A775" s="86" t="s">
        <v>318</v>
      </c>
      <c r="B775" s="372" t="s">
        <v>3105</v>
      </c>
      <c r="C775" s="5" t="s">
        <v>51</v>
      </c>
      <c r="D775" s="5" t="s">
        <v>52</v>
      </c>
      <c r="E775" s="5" t="s">
        <v>319</v>
      </c>
      <c r="F775" s="5" t="s">
        <v>2256</v>
      </c>
      <c r="G775" s="5" t="s">
        <v>2247</v>
      </c>
      <c r="H775" s="6">
        <v>40023</v>
      </c>
      <c r="I775" s="5" t="s">
        <v>71</v>
      </c>
      <c r="J775" s="5" t="s">
        <v>2257</v>
      </c>
      <c r="K775" s="5" t="s">
        <v>61</v>
      </c>
      <c r="L775" s="7">
        <v>2</v>
      </c>
      <c r="M775" s="7">
        <v>4</v>
      </c>
      <c r="N775" s="8">
        <v>13329</v>
      </c>
      <c r="O775" s="88">
        <v>3.7500000000000006E-2</v>
      </c>
      <c r="P775" s="10">
        <f t="shared" si="231"/>
        <v>500</v>
      </c>
      <c r="Q775" s="88">
        <v>1.55E-2</v>
      </c>
      <c r="R775" s="10">
        <f t="shared" si="232"/>
        <v>207</v>
      </c>
      <c r="S775" s="88">
        <f t="shared" si="233"/>
        <v>5.3042238727586469E-2</v>
      </c>
      <c r="T775" s="10">
        <f t="shared" si="234"/>
        <v>707</v>
      </c>
      <c r="U775" s="10">
        <f t="shared" si="235"/>
        <v>14036</v>
      </c>
      <c r="V775" s="11">
        <v>14150</v>
      </c>
      <c r="W775" s="12">
        <f t="shared" si="236"/>
        <v>821</v>
      </c>
      <c r="X775" s="92">
        <f t="shared" si="230"/>
        <v>6.1600000000000002E-2</v>
      </c>
      <c r="Y775" s="93" t="str">
        <f t="shared" si="237"/>
        <v>4.24%-6.37%</v>
      </c>
      <c r="Z775" s="15"/>
      <c r="AA775" s="15"/>
      <c r="AB775" s="15"/>
      <c r="AC775" s="95"/>
      <c r="AD775" s="8">
        <f t="shared" si="221"/>
        <v>0</v>
      </c>
      <c r="AE775" s="17">
        <f t="shared" si="238"/>
        <v>14150</v>
      </c>
      <c r="AF775" s="18">
        <f t="shared" si="239"/>
        <v>821</v>
      </c>
      <c r="AG775" s="97">
        <f t="shared" si="240"/>
        <v>6.159501838097392E-2</v>
      </c>
      <c r="AH775" s="20">
        <v>14</v>
      </c>
      <c r="AI775" s="20">
        <v>450</v>
      </c>
      <c r="AJ775" s="20"/>
      <c r="AK775" s="20">
        <v>688</v>
      </c>
      <c r="AL775" s="20">
        <f t="shared" si="241"/>
        <v>204188</v>
      </c>
      <c r="AM775" s="7">
        <v>4</v>
      </c>
      <c r="AN775" s="20"/>
      <c r="AO775" s="21"/>
      <c r="AP775" s="21"/>
      <c r="AQ775" s="5" t="s">
        <v>2249</v>
      </c>
      <c r="AR775" s="5" t="s">
        <v>246</v>
      </c>
      <c r="AS775" s="5" t="s">
        <v>247</v>
      </c>
      <c r="AT775" s="20"/>
      <c r="AU775" s="21"/>
      <c r="AV775" s="21"/>
      <c r="AW775" s="144" t="str">
        <f t="shared" si="226"/>
        <v>OK</v>
      </c>
      <c r="AX775" s="21" t="s">
        <v>3129</v>
      </c>
      <c r="AY775" s="21" t="s">
        <v>3130</v>
      </c>
      <c r="AZ775" s="21"/>
      <c r="BA775" s="21"/>
    </row>
    <row r="776" spans="1:53" ht="20" customHeight="1">
      <c r="A776" s="86" t="s">
        <v>318</v>
      </c>
      <c r="B776" s="372" t="s">
        <v>3106</v>
      </c>
      <c r="C776" s="5" t="s">
        <v>51</v>
      </c>
      <c r="D776" s="5" t="s">
        <v>52</v>
      </c>
      <c r="E776" s="5" t="s">
        <v>319</v>
      </c>
      <c r="F776" s="5" t="s">
        <v>2258</v>
      </c>
      <c r="G776" s="5" t="s">
        <v>2259</v>
      </c>
      <c r="H776" s="6">
        <v>40392</v>
      </c>
      <c r="I776" s="5" t="s">
        <v>71</v>
      </c>
      <c r="J776" s="5" t="s">
        <v>2260</v>
      </c>
      <c r="K776" s="5" t="s">
        <v>61</v>
      </c>
      <c r="L776" s="7">
        <v>2</v>
      </c>
      <c r="M776" s="7">
        <v>4</v>
      </c>
      <c r="N776" s="8">
        <v>9294</v>
      </c>
      <c r="O776" s="88">
        <v>4.4999999999999998E-2</v>
      </c>
      <c r="P776" s="10">
        <f t="shared" si="231"/>
        <v>418</v>
      </c>
      <c r="Q776" s="88">
        <v>4.2099999999999999E-2</v>
      </c>
      <c r="R776" s="10">
        <f t="shared" si="232"/>
        <v>391</v>
      </c>
      <c r="S776" s="88">
        <f t="shared" si="233"/>
        <v>8.7045405638046053E-2</v>
      </c>
      <c r="T776" s="10">
        <f t="shared" si="234"/>
        <v>809</v>
      </c>
      <c r="U776" s="10">
        <f t="shared" si="235"/>
        <v>10103</v>
      </c>
      <c r="V776" s="11">
        <v>10000</v>
      </c>
      <c r="W776" s="12">
        <f t="shared" si="236"/>
        <v>706</v>
      </c>
      <c r="X776" s="92">
        <f t="shared" si="230"/>
        <v>7.5999999999999998E-2</v>
      </c>
      <c r="Y776" s="93" t="str">
        <f t="shared" si="237"/>
        <v>6.96%-10.45%</v>
      </c>
      <c r="Z776" s="15" t="s">
        <v>87</v>
      </c>
      <c r="AA776" s="15" t="s">
        <v>2261</v>
      </c>
      <c r="AB776" s="15" t="s">
        <v>1931</v>
      </c>
      <c r="AC776" s="95">
        <v>0.1</v>
      </c>
      <c r="AD776" s="8">
        <f t="shared" si="221"/>
        <v>929</v>
      </c>
      <c r="AE776" s="17">
        <f t="shared" si="238"/>
        <v>10929</v>
      </c>
      <c r="AF776" s="18">
        <f t="shared" si="239"/>
        <v>1635</v>
      </c>
      <c r="AG776" s="97">
        <f t="shared" si="240"/>
        <v>0.17591994835377656</v>
      </c>
      <c r="AH776" s="20">
        <v>14</v>
      </c>
      <c r="AI776" s="20">
        <v>450</v>
      </c>
      <c r="AJ776" s="20"/>
      <c r="AK776" s="20">
        <v>688</v>
      </c>
      <c r="AL776" s="20">
        <f t="shared" si="241"/>
        <v>159094</v>
      </c>
      <c r="AM776" s="7">
        <v>4</v>
      </c>
      <c r="AN776" s="20"/>
      <c r="AO776" s="21"/>
      <c r="AP776" s="21"/>
      <c r="AQ776" s="5" t="s">
        <v>2249</v>
      </c>
      <c r="AR776" s="5" t="s">
        <v>246</v>
      </c>
      <c r="AS776" s="5" t="s">
        <v>247</v>
      </c>
      <c r="AT776" s="20"/>
      <c r="AU776" s="21" t="s">
        <v>2262</v>
      </c>
      <c r="AV776" s="21"/>
      <c r="AW776" s="144" t="str">
        <f t="shared" si="226"/>
        <v>OK</v>
      </c>
      <c r="AX776" s="21" t="s">
        <v>3135</v>
      </c>
      <c r="AY776" s="21" t="s">
        <v>3132</v>
      </c>
      <c r="AZ776" s="21"/>
      <c r="BA776" s="21"/>
    </row>
    <row r="777" spans="1:53" ht="20" customHeight="1">
      <c r="A777" s="86" t="s">
        <v>318</v>
      </c>
      <c r="B777" s="372" t="s">
        <v>3107</v>
      </c>
      <c r="C777" s="5" t="s">
        <v>51</v>
      </c>
      <c r="D777" s="5" t="s">
        <v>52</v>
      </c>
      <c r="E777" s="5" t="s">
        <v>319</v>
      </c>
      <c r="F777" s="5" t="s">
        <v>2263</v>
      </c>
      <c r="G777" s="5" t="s">
        <v>2259</v>
      </c>
      <c r="H777" s="6">
        <v>41115</v>
      </c>
      <c r="I777" s="5" t="s">
        <v>60</v>
      </c>
      <c r="J777" s="5" t="s">
        <v>2264</v>
      </c>
      <c r="K777" s="5" t="s">
        <v>61</v>
      </c>
      <c r="L777" s="7">
        <v>2</v>
      </c>
      <c r="M777" s="7">
        <v>3</v>
      </c>
      <c r="N777" s="8">
        <v>8880</v>
      </c>
      <c r="O777" s="88">
        <v>0.03</v>
      </c>
      <c r="P777" s="10">
        <f t="shared" si="231"/>
        <v>266</v>
      </c>
      <c r="Q777" s="88">
        <v>0</v>
      </c>
      <c r="R777" s="10">
        <f t="shared" si="232"/>
        <v>0</v>
      </c>
      <c r="S777" s="88">
        <f t="shared" si="233"/>
        <v>2.9954954954954954E-2</v>
      </c>
      <c r="T777" s="10">
        <f t="shared" si="234"/>
        <v>266</v>
      </c>
      <c r="U777" s="10">
        <f t="shared" si="235"/>
        <v>9146</v>
      </c>
      <c r="V777" s="11">
        <v>9600</v>
      </c>
      <c r="W777" s="12">
        <f t="shared" si="236"/>
        <v>720</v>
      </c>
      <c r="X777" s="92">
        <f t="shared" si="230"/>
        <v>8.1100000000000005E-2</v>
      </c>
      <c r="Y777" s="93" t="str">
        <f t="shared" si="237"/>
        <v>2.40%-3.59%</v>
      </c>
      <c r="Z777" s="15"/>
      <c r="AA777" s="15"/>
      <c r="AB777" s="15"/>
      <c r="AC777" s="95"/>
      <c r="AD777" s="8">
        <f t="shared" si="221"/>
        <v>0</v>
      </c>
      <c r="AE777" s="17">
        <f t="shared" si="238"/>
        <v>9600</v>
      </c>
      <c r="AF777" s="18">
        <f t="shared" si="239"/>
        <v>720</v>
      </c>
      <c r="AG777" s="97">
        <f t="shared" si="240"/>
        <v>8.1081081081081141E-2</v>
      </c>
      <c r="AH777" s="20">
        <v>14</v>
      </c>
      <c r="AI777" s="20">
        <v>450</v>
      </c>
      <c r="AJ777" s="20"/>
      <c r="AK777" s="20">
        <v>688</v>
      </c>
      <c r="AL777" s="20">
        <f t="shared" si="241"/>
        <v>140488</v>
      </c>
      <c r="AM777" s="7">
        <v>3</v>
      </c>
      <c r="AN777" s="20"/>
      <c r="AO777" s="21" t="s">
        <v>128</v>
      </c>
      <c r="AP777" s="21" t="s">
        <v>101</v>
      </c>
      <c r="AQ777" s="5" t="s">
        <v>2249</v>
      </c>
      <c r="AR777" s="5" t="s">
        <v>246</v>
      </c>
      <c r="AS777" s="5" t="s">
        <v>247</v>
      </c>
      <c r="AT777" s="20"/>
      <c r="AU777" s="21"/>
      <c r="AV777" s="21"/>
      <c r="AW777" s="144" t="str">
        <f t="shared" si="226"/>
        <v>&gt;20</v>
      </c>
      <c r="AX777" s="21" t="s">
        <v>3135</v>
      </c>
      <c r="AY777" s="21" t="s">
        <v>3132</v>
      </c>
      <c r="AZ777" s="21"/>
      <c r="BA777" s="21"/>
    </row>
    <row r="778" spans="1:53" ht="20" customHeight="1">
      <c r="A778" s="86" t="s">
        <v>318</v>
      </c>
      <c r="B778" s="372" t="s">
        <v>3108</v>
      </c>
      <c r="C778" s="5" t="s">
        <v>51</v>
      </c>
      <c r="D778" s="5" t="s">
        <v>52</v>
      </c>
      <c r="E778" s="5" t="s">
        <v>319</v>
      </c>
      <c r="F778" s="5" t="s">
        <v>2241</v>
      </c>
      <c r="G778" s="5" t="s">
        <v>2242</v>
      </c>
      <c r="H778" s="6">
        <v>39160</v>
      </c>
      <c r="I778" s="5" t="s">
        <v>243</v>
      </c>
      <c r="J778" s="5" t="s">
        <v>243</v>
      </c>
      <c r="K778" s="5" t="s">
        <v>84</v>
      </c>
      <c r="L778" s="7">
        <v>2</v>
      </c>
      <c r="M778" s="7">
        <v>3</v>
      </c>
      <c r="N778" s="8">
        <v>6569</v>
      </c>
      <c r="O778" s="88">
        <v>0.03</v>
      </c>
      <c r="P778" s="10">
        <f t="shared" si="231"/>
        <v>197</v>
      </c>
      <c r="Q778" s="88">
        <v>0</v>
      </c>
      <c r="R778" s="10">
        <f t="shared" si="232"/>
        <v>0</v>
      </c>
      <c r="S778" s="88">
        <f t="shared" si="233"/>
        <v>2.9989343887958594E-2</v>
      </c>
      <c r="T778" s="10">
        <f t="shared" si="234"/>
        <v>197</v>
      </c>
      <c r="U778" s="10">
        <f t="shared" si="235"/>
        <v>6766</v>
      </c>
      <c r="V778" s="11">
        <v>6766</v>
      </c>
      <c r="W778" s="12">
        <f t="shared" si="236"/>
        <v>197</v>
      </c>
      <c r="X778" s="92">
        <f t="shared" si="230"/>
        <v>0.03</v>
      </c>
      <c r="Y778" s="93" t="str">
        <f t="shared" si="237"/>
        <v>2.40%-3.60%</v>
      </c>
      <c r="Z778" s="15"/>
      <c r="AA778" s="15"/>
      <c r="AB778" s="15"/>
      <c r="AC778" s="95"/>
      <c r="AD778" s="8">
        <f t="shared" si="221"/>
        <v>0</v>
      </c>
      <c r="AE778" s="17">
        <f t="shared" si="238"/>
        <v>6766</v>
      </c>
      <c r="AF778" s="18">
        <f t="shared" si="239"/>
        <v>197</v>
      </c>
      <c r="AG778" s="97">
        <f t="shared" si="240"/>
        <v>2.9989343887958597E-2</v>
      </c>
      <c r="AH778" s="20">
        <v>14</v>
      </c>
      <c r="AI778" s="20">
        <v>450</v>
      </c>
      <c r="AJ778" s="20"/>
      <c r="AK778" s="20">
        <v>688</v>
      </c>
      <c r="AL778" s="20">
        <f t="shared" si="241"/>
        <v>100812</v>
      </c>
      <c r="AM778" s="7">
        <v>2</v>
      </c>
      <c r="AN778" s="20"/>
      <c r="AO778" s="21"/>
      <c r="AP778" s="21"/>
      <c r="AQ778" s="5" t="s">
        <v>2265</v>
      </c>
      <c r="AR778" s="5" t="s">
        <v>246</v>
      </c>
      <c r="AS778" s="5" t="s">
        <v>247</v>
      </c>
      <c r="AT778" s="20"/>
      <c r="AU778" s="21"/>
      <c r="AV778" s="21"/>
      <c r="AW778" s="144" t="str">
        <f t="shared" si="226"/>
        <v>OK</v>
      </c>
      <c r="AX778" s="21" t="s">
        <v>3129</v>
      </c>
      <c r="AY778" s="21" t="s">
        <v>3132</v>
      </c>
      <c r="AZ778" s="21"/>
      <c r="BA778" s="21"/>
    </row>
    <row r="779" spans="1:53" ht="20" customHeight="1">
      <c r="A779" s="86" t="s">
        <v>318</v>
      </c>
      <c r="B779" s="372" t="s">
        <v>3109</v>
      </c>
      <c r="C779" s="5" t="s">
        <v>51</v>
      </c>
      <c r="D779" s="5" t="s">
        <v>52</v>
      </c>
      <c r="E779" s="5" t="s">
        <v>319</v>
      </c>
      <c r="F779" s="5" t="s">
        <v>2241</v>
      </c>
      <c r="G779" s="5" t="s">
        <v>2242</v>
      </c>
      <c r="H779" s="6">
        <v>40994</v>
      </c>
      <c r="I779" s="5" t="s">
        <v>60</v>
      </c>
      <c r="J779" s="5" t="s">
        <v>60</v>
      </c>
      <c r="K779" s="5" t="s">
        <v>61</v>
      </c>
      <c r="L779" s="7">
        <v>2</v>
      </c>
      <c r="M779" s="7">
        <v>3</v>
      </c>
      <c r="N779" s="8">
        <v>9848</v>
      </c>
      <c r="O779" s="88">
        <v>0.03</v>
      </c>
      <c r="P779" s="10">
        <f t="shared" si="231"/>
        <v>295</v>
      </c>
      <c r="Q779" s="88">
        <v>0</v>
      </c>
      <c r="R779" s="10">
        <f t="shared" si="232"/>
        <v>0</v>
      </c>
      <c r="S779" s="88">
        <f t="shared" si="233"/>
        <v>2.99553208773355E-2</v>
      </c>
      <c r="T779" s="10">
        <f t="shared" si="234"/>
        <v>295</v>
      </c>
      <c r="U779" s="10">
        <f t="shared" si="235"/>
        <v>10143</v>
      </c>
      <c r="V779" s="11">
        <v>10500</v>
      </c>
      <c r="W779" s="12">
        <f t="shared" si="236"/>
        <v>652</v>
      </c>
      <c r="X779" s="92">
        <f t="shared" si="230"/>
        <v>6.6199999999999995E-2</v>
      </c>
      <c r="Y779" s="93" t="str">
        <f t="shared" si="237"/>
        <v>2.40%-3.59%</v>
      </c>
      <c r="Z779" s="15"/>
      <c r="AA779" s="15"/>
      <c r="AB779" s="15"/>
      <c r="AC779" s="95"/>
      <c r="AD779" s="8">
        <f t="shared" ref="AD779:AD795" si="242">ROUND(N779*AC779,0)</f>
        <v>0</v>
      </c>
      <c r="AE779" s="17">
        <f>V779+AD779</f>
        <v>10500</v>
      </c>
      <c r="AF779" s="18">
        <f t="shared" si="239"/>
        <v>652</v>
      </c>
      <c r="AG779" s="97">
        <f t="shared" si="240"/>
        <v>6.6206336311941616E-2</v>
      </c>
      <c r="AH779" s="20">
        <v>14</v>
      </c>
      <c r="AI779" s="20">
        <v>450</v>
      </c>
      <c r="AJ779" s="20"/>
      <c r="AK779" s="20">
        <v>688</v>
      </c>
      <c r="AL779" s="20">
        <f t="shared" si="241"/>
        <v>153088</v>
      </c>
      <c r="AM779" s="7">
        <v>4</v>
      </c>
      <c r="AN779" s="20"/>
      <c r="AO779" s="21" t="s">
        <v>128</v>
      </c>
      <c r="AP779" s="21" t="s">
        <v>101</v>
      </c>
      <c r="AQ779" s="5" t="s">
        <v>2265</v>
      </c>
      <c r="AR779" s="5" t="s">
        <v>246</v>
      </c>
      <c r="AS779" s="5" t="s">
        <v>247</v>
      </c>
      <c r="AT779" s="20"/>
      <c r="AU779" s="21"/>
      <c r="AV779" s="21"/>
      <c r="AW779" s="144" t="str">
        <f t="shared" si="226"/>
        <v>&gt;20</v>
      </c>
      <c r="AX779" s="21" t="s">
        <v>3135</v>
      </c>
      <c r="AY779" s="21" t="s">
        <v>3132</v>
      </c>
      <c r="AZ779" s="21"/>
      <c r="BA779" s="21"/>
    </row>
    <row r="780" spans="1:53" ht="20" customHeight="1">
      <c r="A780" s="86" t="s">
        <v>318</v>
      </c>
      <c r="B780" s="372" t="s">
        <v>3110</v>
      </c>
      <c r="C780" s="5" t="s">
        <v>51</v>
      </c>
      <c r="D780" s="5" t="s">
        <v>52</v>
      </c>
      <c r="E780" s="5" t="s">
        <v>319</v>
      </c>
      <c r="F780" s="5" t="s">
        <v>2241</v>
      </c>
      <c r="G780" s="5" t="s">
        <v>2242</v>
      </c>
      <c r="H780" s="6">
        <v>41023</v>
      </c>
      <c r="I780" s="5" t="s">
        <v>243</v>
      </c>
      <c r="J780" s="5" t="s">
        <v>243</v>
      </c>
      <c r="K780" s="5" t="s">
        <v>84</v>
      </c>
      <c r="L780" s="7">
        <v>2</v>
      </c>
      <c r="M780" s="7">
        <v>3</v>
      </c>
      <c r="N780" s="8">
        <v>6622</v>
      </c>
      <c r="O780" s="88">
        <v>0.03</v>
      </c>
      <c r="P780" s="10">
        <f t="shared" si="231"/>
        <v>199</v>
      </c>
      <c r="Q780" s="88">
        <v>0</v>
      </c>
      <c r="R780" s="10">
        <f t="shared" si="232"/>
        <v>0</v>
      </c>
      <c r="S780" s="88">
        <f t="shared" si="233"/>
        <v>3.0051344004832378E-2</v>
      </c>
      <c r="T780" s="10">
        <f t="shared" si="234"/>
        <v>199</v>
      </c>
      <c r="U780" s="10">
        <f t="shared" si="235"/>
        <v>6821</v>
      </c>
      <c r="V780" s="11">
        <v>6821</v>
      </c>
      <c r="W780" s="12">
        <f t="shared" si="236"/>
        <v>199</v>
      </c>
      <c r="X780" s="92">
        <f t="shared" si="230"/>
        <v>3.0099999999999998E-2</v>
      </c>
      <c r="Y780" s="93" t="str">
        <f t="shared" si="237"/>
        <v>2.40%-3.61%</v>
      </c>
      <c r="Z780" s="15"/>
      <c r="AA780" s="15"/>
      <c r="AB780" s="15"/>
      <c r="AC780" s="95"/>
      <c r="AD780" s="8">
        <f t="shared" si="242"/>
        <v>0</v>
      </c>
      <c r="AE780" s="17">
        <f t="shared" si="238"/>
        <v>6821</v>
      </c>
      <c r="AF780" s="18">
        <f t="shared" si="239"/>
        <v>199</v>
      </c>
      <c r="AG780" s="97">
        <f t="shared" si="240"/>
        <v>3.0051344004832448E-2</v>
      </c>
      <c r="AH780" s="20">
        <v>14</v>
      </c>
      <c r="AI780" s="20">
        <v>550</v>
      </c>
      <c r="AJ780" s="20"/>
      <c r="AK780" s="20">
        <v>688</v>
      </c>
      <c r="AL780" s="20">
        <f t="shared" si="241"/>
        <v>102782</v>
      </c>
      <c r="AM780" s="7">
        <v>3</v>
      </c>
      <c r="AN780" s="20"/>
      <c r="AO780" s="21"/>
      <c r="AP780" s="21"/>
      <c r="AQ780" s="5" t="s">
        <v>2265</v>
      </c>
      <c r="AR780" s="5" t="s">
        <v>246</v>
      </c>
      <c r="AS780" s="5" t="s">
        <v>247</v>
      </c>
      <c r="AT780" s="20"/>
      <c r="AU780" s="21"/>
      <c r="AV780" s="21"/>
      <c r="AW780" s="144" t="str">
        <f t="shared" si="226"/>
        <v>OK</v>
      </c>
      <c r="AX780" s="21" t="s">
        <v>3135</v>
      </c>
      <c r="AY780" s="21" t="s">
        <v>3132</v>
      </c>
      <c r="AZ780" s="21"/>
      <c r="BA780" s="21"/>
    </row>
    <row r="781" spans="1:53" ht="20" customHeight="1">
      <c r="A781" s="86" t="s">
        <v>318</v>
      </c>
      <c r="B781" s="372" t="s">
        <v>3111</v>
      </c>
      <c r="C781" s="5" t="s">
        <v>51</v>
      </c>
      <c r="D781" s="5" t="s">
        <v>52</v>
      </c>
      <c r="E781" s="5" t="s">
        <v>319</v>
      </c>
      <c r="F781" s="5" t="s">
        <v>2241</v>
      </c>
      <c r="G781" s="5" t="s">
        <v>2242</v>
      </c>
      <c r="H781" s="6">
        <v>38566</v>
      </c>
      <c r="I781" s="5" t="s">
        <v>250</v>
      </c>
      <c r="J781" s="5" t="s">
        <v>2266</v>
      </c>
      <c r="K781" s="5" t="s">
        <v>76</v>
      </c>
      <c r="L781" s="7">
        <v>2</v>
      </c>
      <c r="M781" s="7">
        <v>3</v>
      </c>
      <c r="N781" s="8">
        <v>9600</v>
      </c>
      <c r="O781" s="88">
        <v>2.5000000000000001E-2</v>
      </c>
      <c r="P781" s="10">
        <f t="shared" si="231"/>
        <v>240</v>
      </c>
      <c r="Q781" s="88">
        <v>0</v>
      </c>
      <c r="R781" s="10">
        <f t="shared" si="232"/>
        <v>0</v>
      </c>
      <c r="S781" s="88">
        <f t="shared" si="233"/>
        <v>2.5000000000000001E-2</v>
      </c>
      <c r="T781" s="10">
        <f t="shared" si="234"/>
        <v>240</v>
      </c>
      <c r="U781" s="10">
        <f t="shared" si="235"/>
        <v>9840</v>
      </c>
      <c r="V781" s="11">
        <v>10000</v>
      </c>
      <c r="W781" s="12">
        <f t="shared" si="236"/>
        <v>400</v>
      </c>
      <c r="X781" s="92">
        <f t="shared" si="230"/>
        <v>4.1700000000000001E-2</v>
      </c>
      <c r="Y781" s="93" t="str">
        <f t="shared" si="237"/>
        <v>2.00%-3.00%</v>
      </c>
      <c r="Z781" s="15"/>
      <c r="AA781" s="15"/>
      <c r="AB781" s="15"/>
      <c r="AC781" s="95"/>
      <c r="AD781" s="8">
        <f t="shared" si="242"/>
        <v>0</v>
      </c>
      <c r="AE781" s="17">
        <f t="shared" si="238"/>
        <v>10000</v>
      </c>
      <c r="AF781" s="18">
        <f t="shared" si="239"/>
        <v>400</v>
      </c>
      <c r="AG781" s="97">
        <f t="shared" si="240"/>
        <v>4.1666666666666741E-2</v>
      </c>
      <c r="AH781" s="20">
        <v>14</v>
      </c>
      <c r="AI781" s="20">
        <v>450</v>
      </c>
      <c r="AJ781" s="20"/>
      <c r="AK781" s="20">
        <v>688</v>
      </c>
      <c r="AL781" s="20">
        <f t="shared" si="241"/>
        <v>146088</v>
      </c>
      <c r="AM781" s="7">
        <v>3</v>
      </c>
      <c r="AN781" s="20"/>
      <c r="AO781" s="21" t="s">
        <v>128</v>
      </c>
      <c r="AP781" s="21" t="s">
        <v>128</v>
      </c>
      <c r="AQ781" s="5" t="s">
        <v>2265</v>
      </c>
      <c r="AR781" s="5" t="s">
        <v>246</v>
      </c>
      <c r="AS781" s="5" t="s">
        <v>247</v>
      </c>
      <c r="AT781" s="20"/>
      <c r="AU781" s="21"/>
      <c r="AV781" s="21"/>
      <c r="AW781" s="144" t="str">
        <f t="shared" si="226"/>
        <v>&gt;20</v>
      </c>
      <c r="AX781" s="21" t="s">
        <v>3129</v>
      </c>
      <c r="AY781" s="21" t="s">
        <v>3130</v>
      </c>
      <c r="AZ781" s="21"/>
      <c r="BA781" s="21"/>
    </row>
    <row r="782" spans="1:53" ht="20" customHeight="1">
      <c r="A782" s="86" t="s">
        <v>318</v>
      </c>
      <c r="B782" s="372" t="s">
        <v>3112</v>
      </c>
      <c r="C782" s="5" t="s">
        <v>51</v>
      </c>
      <c r="D782" s="5" t="s">
        <v>52</v>
      </c>
      <c r="E782" s="5" t="s">
        <v>319</v>
      </c>
      <c r="F782" s="5" t="s">
        <v>2241</v>
      </c>
      <c r="G782" s="5" t="s">
        <v>2242</v>
      </c>
      <c r="H782" s="6">
        <v>40843</v>
      </c>
      <c r="I782" s="5" t="s">
        <v>250</v>
      </c>
      <c r="J782" s="5" t="s">
        <v>2266</v>
      </c>
      <c r="K782" s="5" t="s">
        <v>76</v>
      </c>
      <c r="L782" s="7">
        <v>2</v>
      </c>
      <c r="M782" s="7">
        <v>4</v>
      </c>
      <c r="N782" s="8">
        <v>10500</v>
      </c>
      <c r="O782" s="88">
        <v>3.7500000000000006E-2</v>
      </c>
      <c r="P782" s="10">
        <f t="shared" si="231"/>
        <v>394</v>
      </c>
      <c r="Q782" s="88">
        <v>1.55E-2</v>
      </c>
      <c r="R782" s="10">
        <f t="shared" si="232"/>
        <v>163</v>
      </c>
      <c r="S782" s="88">
        <f t="shared" si="233"/>
        <v>5.3047619047619045E-2</v>
      </c>
      <c r="T782" s="10">
        <f t="shared" si="234"/>
        <v>557</v>
      </c>
      <c r="U782" s="10">
        <f t="shared" si="235"/>
        <v>11057</v>
      </c>
      <c r="V782" s="11">
        <v>10950</v>
      </c>
      <c r="W782" s="12">
        <f t="shared" si="236"/>
        <v>450</v>
      </c>
      <c r="X782" s="92">
        <f t="shared" si="230"/>
        <v>4.2900000000000001E-2</v>
      </c>
      <c r="Y782" s="93" t="str">
        <f t="shared" si="237"/>
        <v>4.24%-6.37%</v>
      </c>
      <c r="Z782" s="15" t="s">
        <v>87</v>
      </c>
      <c r="AA782" s="15" t="s">
        <v>60</v>
      </c>
      <c r="AB782" s="15" t="s">
        <v>89</v>
      </c>
      <c r="AC782" s="95">
        <v>0.05</v>
      </c>
      <c r="AD782" s="8">
        <f t="shared" si="242"/>
        <v>525</v>
      </c>
      <c r="AE782" s="17">
        <f t="shared" si="238"/>
        <v>11475</v>
      </c>
      <c r="AF782" s="18">
        <f t="shared" si="239"/>
        <v>975</v>
      </c>
      <c r="AG782" s="97">
        <f t="shared" si="240"/>
        <v>9.2857142857142749E-2</v>
      </c>
      <c r="AH782" s="20">
        <v>14</v>
      </c>
      <c r="AI782" s="20">
        <v>450</v>
      </c>
      <c r="AJ782" s="20"/>
      <c r="AK782" s="20">
        <v>688</v>
      </c>
      <c r="AL782" s="20">
        <f t="shared" si="241"/>
        <v>166738</v>
      </c>
      <c r="AM782" s="7">
        <v>4</v>
      </c>
      <c r="AN782" s="20"/>
      <c r="AO782" s="21" t="s">
        <v>2267</v>
      </c>
      <c r="AP782" s="21"/>
      <c r="AQ782" s="5" t="s">
        <v>2265</v>
      </c>
      <c r="AR782" s="5" t="s">
        <v>246</v>
      </c>
      <c r="AS782" s="5" t="s">
        <v>247</v>
      </c>
      <c r="AT782" s="20"/>
      <c r="AU782" s="21" t="s">
        <v>2268</v>
      </c>
      <c r="AV782" s="21"/>
      <c r="AW782" s="144" t="str">
        <f t="shared" si="226"/>
        <v>OK</v>
      </c>
      <c r="AX782" s="21" t="s">
        <v>3135</v>
      </c>
      <c r="AY782" s="21" t="s">
        <v>3130</v>
      </c>
      <c r="AZ782" s="21"/>
      <c r="BA782" s="21"/>
    </row>
    <row r="783" spans="1:53" ht="20" customHeight="1">
      <c r="A783" s="86" t="s">
        <v>318</v>
      </c>
      <c r="B783" s="372" t="s">
        <v>3113</v>
      </c>
      <c r="C783" s="5" t="s">
        <v>51</v>
      </c>
      <c r="D783" s="5" t="s">
        <v>52</v>
      </c>
      <c r="E783" s="5" t="s">
        <v>319</v>
      </c>
      <c r="F783" s="5" t="s">
        <v>2269</v>
      </c>
      <c r="G783" s="5" t="s">
        <v>2270</v>
      </c>
      <c r="H783" s="6">
        <v>40994</v>
      </c>
      <c r="I783" s="5" t="s">
        <v>71</v>
      </c>
      <c r="J783" s="5" t="s">
        <v>2271</v>
      </c>
      <c r="K783" s="5" t="s">
        <v>61</v>
      </c>
      <c r="L783" s="7">
        <v>2</v>
      </c>
      <c r="M783" s="7">
        <v>3</v>
      </c>
      <c r="N783" s="8">
        <v>15300</v>
      </c>
      <c r="O783" s="88">
        <v>2.5000000000000001E-2</v>
      </c>
      <c r="P783" s="10">
        <f t="shared" si="231"/>
        <v>383</v>
      </c>
      <c r="Q783" s="88">
        <v>0</v>
      </c>
      <c r="R783" s="10">
        <f t="shared" si="232"/>
        <v>0</v>
      </c>
      <c r="S783" s="88">
        <f t="shared" si="233"/>
        <v>2.5032679738562092E-2</v>
      </c>
      <c r="T783" s="10">
        <f t="shared" si="234"/>
        <v>383</v>
      </c>
      <c r="U783" s="10">
        <f t="shared" si="235"/>
        <v>15683</v>
      </c>
      <c r="V783" s="11">
        <v>15683</v>
      </c>
      <c r="W783" s="12">
        <f t="shared" si="236"/>
        <v>383</v>
      </c>
      <c r="X783" s="92">
        <f t="shared" si="230"/>
        <v>2.5000000000000001E-2</v>
      </c>
      <c r="Y783" s="93" t="str">
        <f t="shared" si="237"/>
        <v>2.00%-3.00%</v>
      </c>
      <c r="Z783" s="15"/>
      <c r="AA783" s="15"/>
      <c r="AB783" s="15"/>
      <c r="AC783" s="95"/>
      <c r="AD783" s="8">
        <f t="shared" si="242"/>
        <v>0</v>
      </c>
      <c r="AE783" s="17">
        <f t="shared" si="238"/>
        <v>15683</v>
      </c>
      <c r="AF783" s="18">
        <f t="shared" si="239"/>
        <v>383</v>
      </c>
      <c r="AG783" s="97">
        <f t="shared" si="240"/>
        <v>2.5032679738562047E-2</v>
      </c>
      <c r="AH783" s="20">
        <v>14</v>
      </c>
      <c r="AI783" s="20">
        <v>450</v>
      </c>
      <c r="AJ783" s="20"/>
      <c r="AK783" s="20">
        <v>688</v>
      </c>
      <c r="AL783" s="20">
        <f t="shared" si="241"/>
        <v>225650</v>
      </c>
      <c r="AM783" s="7">
        <v>3</v>
      </c>
      <c r="AN783" s="20"/>
      <c r="AO783" s="21"/>
      <c r="AP783" s="21"/>
      <c r="AQ783" s="5" t="s">
        <v>290</v>
      </c>
      <c r="AR783" s="5" t="s">
        <v>246</v>
      </c>
      <c r="AS783" s="5" t="s">
        <v>218</v>
      </c>
      <c r="AT783" s="20"/>
      <c r="AU783" s="21"/>
      <c r="AV783" s="21"/>
      <c r="AW783" s="144" t="str">
        <f t="shared" si="226"/>
        <v>OK</v>
      </c>
      <c r="AX783" s="21" t="s">
        <v>3135</v>
      </c>
      <c r="AY783" s="21" t="s">
        <v>3130</v>
      </c>
      <c r="AZ783" s="21"/>
      <c r="BA783" s="21"/>
    </row>
    <row r="784" spans="1:53" ht="20" customHeight="1">
      <c r="A784" s="86" t="s">
        <v>318</v>
      </c>
      <c r="B784" s="372" t="s">
        <v>3114</v>
      </c>
      <c r="C784" s="5" t="s">
        <v>51</v>
      </c>
      <c r="D784" s="5" t="s">
        <v>52</v>
      </c>
      <c r="E784" s="5" t="s">
        <v>319</v>
      </c>
      <c r="F784" s="5" t="s">
        <v>2269</v>
      </c>
      <c r="G784" s="5" t="s">
        <v>2270</v>
      </c>
      <c r="H784" s="6">
        <v>39295</v>
      </c>
      <c r="I784" s="5" t="s">
        <v>82</v>
      </c>
      <c r="J784" s="5" t="s">
        <v>82</v>
      </c>
      <c r="K784" s="5" t="s">
        <v>84</v>
      </c>
      <c r="L784" s="7">
        <v>2</v>
      </c>
      <c r="M784" s="7">
        <v>3</v>
      </c>
      <c r="N784" s="8">
        <v>6926</v>
      </c>
      <c r="O784" s="88">
        <v>0.03</v>
      </c>
      <c r="P784" s="10">
        <f t="shared" si="231"/>
        <v>208</v>
      </c>
      <c r="Q784" s="88">
        <v>0</v>
      </c>
      <c r="R784" s="10">
        <f t="shared" si="232"/>
        <v>0</v>
      </c>
      <c r="S784" s="88">
        <f t="shared" si="233"/>
        <v>3.003176436615651E-2</v>
      </c>
      <c r="T784" s="10">
        <f t="shared" si="234"/>
        <v>208</v>
      </c>
      <c r="U784" s="10">
        <f t="shared" si="235"/>
        <v>7134</v>
      </c>
      <c r="V784" s="11">
        <v>7285</v>
      </c>
      <c r="W784" s="12">
        <f t="shared" si="236"/>
        <v>359</v>
      </c>
      <c r="X784" s="92">
        <f t="shared" si="230"/>
        <v>5.1799999999999999E-2</v>
      </c>
      <c r="Y784" s="93" t="str">
        <f t="shared" si="237"/>
        <v>2.40%-3.60%</v>
      </c>
      <c r="Z784" s="15"/>
      <c r="AA784" s="15"/>
      <c r="AB784" s="15"/>
      <c r="AC784" s="95"/>
      <c r="AD784" s="8">
        <f t="shared" si="242"/>
        <v>0</v>
      </c>
      <c r="AE784" s="17">
        <f t="shared" si="238"/>
        <v>7285</v>
      </c>
      <c r="AF784" s="18">
        <f t="shared" si="239"/>
        <v>359</v>
      </c>
      <c r="AG784" s="97">
        <f t="shared" si="240"/>
        <v>5.1833670228125905E-2</v>
      </c>
      <c r="AH784" s="20">
        <v>14</v>
      </c>
      <c r="AI784" s="20">
        <v>550</v>
      </c>
      <c r="AJ784" s="20"/>
      <c r="AK784" s="20">
        <v>688</v>
      </c>
      <c r="AL784" s="20">
        <f t="shared" si="241"/>
        <v>109278</v>
      </c>
      <c r="AM784" s="7">
        <v>3</v>
      </c>
      <c r="AN784" s="20"/>
      <c r="AO784" s="21" t="s">
        <v>128</v>
      </c>
      <c r="AP784" s="21" t="s">
        <v>128</v>
      </c>
      <c r="AQ784" s="5" t="s">
        <v>290</v>
      </c>
      <c r="AR784" s="5" t="s">
        <v>246</v>
      </c>
      <c r="AS784" s="5" t="s">
        <v>218</v>
      </c>
      <c r="AT784" s="20"/>
      <c r="AU784" s="21"/>
      <c r="AV784" s="21"/>
      <c r="AW784" s="144" t="str">
        <f t="shared" si="226"/>
        <v>&gt;20</v>
      </c>
      <c r="AX784" s="21" t="s">
        <v>3129</v>
      </c>
      <c r="AY784" s="21" t="s">
        <v>3132</v>
      </c>
      <c r="AZ784" s="21"/>
      <c r="BA784" s="21"/>
    </row>
    <row r="785" spans="1:53" ht="20" customHeight="1">
      <c r="A785" s="86" t="s">
        <v>318</v>
      </c>
      <c r="B785" s="372" t="s">
        <v>3115</v>
      </c>
      <c r="C785" s="5" t="s">
        <v>51</v>
      </c>
      <c r="D785" s="5" t="s">
        <v>52</v>
      </c>
      <c r="E785" s="5" t="s">
        <v>319</v>
      </c>
      <c r="F785" s="5" t="s">
        <v>2269</v>
      </c>
      <c r="G785" s="5" t="s">
        <v>2270</v>
      </c>
      <c r="H785" s="6">
        <v>43899</v>
      </c>
      <c r="I785" s="5" t="s">
        <v>74</v>
      </c>
      <c r="J785" s="5" t="s">
        <v>2272</v>
      </c>
      <c r="K785" s="5" t="s">
        <v>76</v>
      </c>
      <c r="L785" s="7">
        <v>2</v>
      </c>
      <c r="M785" s="7">
        <v>2</v>
      </c>
      <c r="N785" s="8">
        <v>10426</v>
      </c>
      <c r="O785" s="88">
        <v>0</v>
      </c>
      <c r="P785" s="10">
        <f t="shared" si="231"/>
        <v>0</v>
      </c>
      <c r="Q785" s="88">
        <v>0</v>
      </c>
      <c r="R785" s="10">
        <f t="shared" si="232"/>
        <v>0</v>
      </c>
      <c r="S785" s="88">
        <f t="shared" si="233"/>
        <v>0</v>
      </c>
      <c r="T785" s="10">
        <f t="shared" si="234"/>
        <v>0</v>
      </c>
      <c r="U785" s="10">
        <f t="shared" si="235"/>
        <v>10426</v>
      </c>
      <c r="V785" s="11">
        <v>10426</v>
      </c>
      <c r="W785" s="12">
        <f t="shared" si="236"/>
        <v>0</v>
      </c>
      <c r="X785" s="92">
        <f t="shared" si="230"/>
        <v>0</v>
      </c>
      <c r="Y785" s="93" t="str">
        <f t="shared" si="237"/>
        <v>0.00%-0.00%</v>
      </c>
      <c r="Z785" s="15"/>
      <c r="AA785" s="15"/>
      <c r="AB785" s="15"/>
      <c r="AC785" s="95"/>
      <c r="AD785" s="8">
        <f t="shared" si="242"/>
        <v>0</v>
      </c>
      <c r="AE785" s="17">
        <f t="shared" si="238"/>
        <v>10426</v>
      </c>
      <c r="AF785" s="18">
        <f t="shared" si="239"/>
        <v>0</v>
      </c>
      <c r="AG785" s="97">
        <f t="shared" si="240"/>
        <v>0</v>
      </c>
      <c r="AH785" s="20">
        <v>14</v>
      </c>
      <c r="AI785" s="20">
        <v>850</v>
      </c>
      <c r="AJ785" s="20"/>
      <c r="AK785" s="20">
        <v>688</v>
      </c>
      <c r="AL785" s="20">
        <f t="shared" si="241"/>
        <v>156852</v>
      </c>
      <c r="AM785" s="7">
        <v>2</v>
      </c>
      <c r="AN785" s="20"/>
      <c r="AO785" s="21"/>
      <c r="AP785" s="21"/>
      <c r="AQ785" s="5" t="s">
        <v>290</v>
      </c>
      <c r="AR785" s="5" t="s">
        <v>246</v>
      </c>
      <c r="AS785" s="5" t="s">
        <v>218</v>
      </c>
      <c r="AT785" s="20"/>
      <c r="AU785" s="21"/>
      <c r="AV785" s="21"/>
      <c r="AW785" s="144" t="str">
        <f t="shared" ref="AW785:AW795" si="243">_xlfn.LET(_xlpm.actual,X785,_xlpm.low,VALUE(_xlfn.TEXTBEFORE(Y785,"-")),_xlpm.high,VALUE(_xlfn.TEXTAFTER(Y785,"-")),IF(AND(_xlpm.actual=0,OR(_xlpm.low&lt;&gt;0,_xlpm.high&lt;&gt;0)),"0 increase",IF(_xlpm.actual&gt;_xlpm.high*1.2,"&gt;20",IF(_xlpm.actual&lt;_xlpm.low*0.8,"&lt;20","OK"))))</f>
        <v>OK</v>
      </c>
      <c r="AX785" s="21" t="s">
        <v>3133</v>
      </c>
      <c r="AY785" s="21">
        <v>0</v>
      </c>
      <c r="AZ785" s="21"/>
      <c r="BA785" s="21"/>
    </row>
    <row r="786" spans="1:53" ht="20" customHeight="1">
      <c r="A786" s="86" t="s">
        <v>318</v>
      </c>
      <c r="B786" s="372" t="s">
        <v>3116</v>
      </c>
      <c r="C786" s="5" t="s">
        <v>51</v>
      </c>
      <c r="D786" s="5" t="s">
        <v>52</v>
      </c>
      <c r="E786" s="5" t="s">
        <v>319</v>
      </c>
      <c r="F786" s="5" t="s">
        <v>2269</v>
      </c>
      <c r="G786" s="5" t="s">
        <v>2270</v>
      </c>
      <c r="H786" s="6">
        <v>44207</v>
      </c>
      <c r="I786" s="5" t="s">
        <v>74</v>
      </c>
      <c r="J786" s="5" t="s">
        <v>2273</v>
      </c>
      <c r="K786" s="5" t="s">
        <v>76</v>
      </c>
      <c r="L786" s="7">
        <v>2</v>
      </c>
      <c r="M786" s="7">
        <v>3</v>
      </c>
      <c r="N786" s="8">
        <v>12110</v>
      </c>
      <c r="O786" s="88">
        <v>0.03</v>
      </c>
      <c r="P786" s="10">
        <f t="shared" si="231"/>
        <v>363</v>
      </c>
      <c r="Q786" s="88">
        <v>0</v>
      </c>
      <c r="R786" s="10">
        <f t="shared" si="232"/>
        <v>0</v>
      </c>
      <c r="S786" s="88">
        <f t="shared" si="233"/>
        <v>2.9975227085053676E-2</v>
      </c>
      <c r="T786" s="10">
        <f t="shared" si="234"/>
        <v>363</v>
      </c>
      <c r="U786" s="10">
        <f t="shared" si="235"/>
        <v>12473</v>
      </c>
      <c r="V786" s="11">
        <v>12500</v>
      </c>
      <c r="W786" s="12">
        <f t="shared" si="236"/>
        <v>390</v>
      </c>
      <c r="X786" s="92">
        <f t="shared" si="230"/>
        <v>3.2199999999999999E-2</v>
      </c>
      <c r="Y786" s="93" t="str">
        <f t="shared" si="237"/>
        <v>2.40%-3.60%</v>
      </c>
      <c r="Z786" s="15"/>
      <c r="AA786" s="15"/>
      <c r="AB786" s="15"/>
      <c r="AC786" s="95"/>
      <c r="AD786" s="8">
        <f t="shared" si="242"/>
        <v>0</v>
      </c>
      <c r="AE786" s="17">
        <f t="shared" si="238"/>
        <v>12500</v>
      </c>
      <c r="AF786" s="18">
        <f t="shared" si="239"/>
        <v>390</v>
      </c>
      <c r="AG786" s="97">
        <f t="shared" si="240"/>
        <v>3.2204789430222869E-2</v>
      </c>
      <c r="AH786" s="20">
        <v>14</v>
      </c>
      <c r="AI786" s="20">
        <v>450</v>
      </c>
      <c r="AJ786" s="20"/>
      <c r="AK786" s="20">
        <v>688</v>
      </c>
      <c r="AL786" s="20">
        <f t="shared" si="241"/>
        <v>181088</v>
      </c>
      <c r="AM786" s="7">
        <v>4</v>
      </c>
      <c r="AN786" s="20"/>
      <c r="AO786" s="21"/>
      <c r="AP786" s="21"/>
      <c r="AQ786" s="5" t="s">
        <v>290</v>
      </c>
      <c r="AR786" s="5" t="s">
        <v>246</v>
      </c>
      <c r="AS786" s="5" t="s">
        <v>218</v>
      </c>
      <c r="AT786" s="20"/>
      <c r="AU786" s="21"/>
      <c r="AV786" s="21"/>
      <c r="AW786" s="144" t="str">
        <f t="shared" si="243"/>
        <v>OK</v>
      </c>
      <c r="AX786" s="21" t="s">
        <v>3131</v>
      </c>
      <c r="AY786" s="21" t="s">
        <v>3132</v>
      </c>
      <c r="AZ786" s="21"/>
      <c r="BA786" s="21"/>
    </row>
    <row r="787" spans="1:53" ht="20" customHeight="1">
      <c r="A787" s="86" t="s">
        <v>318</v>
      </c>
      <c r="B787" s="372" t="s">
        <v>3117</v>
      </c>
      <c r="C787" s="5" t="s">
        <v>51</v>
      </c>
      <c r="D787" s="5" t="s">
        <v>52</v>
      </c>
      <c r="E787" s="5" t="s">
        <v>319</v>
      </c>
      <c r="F787" s="5" t="s">
        <v>2269</v>
      </c>
      <c r="G787" s="5" t="s">
        <v>2270</v>
      </c>
      <c r="H787" s="6">
        <v>44314</v>
      </c>
      <c r="I787" s="5" t="s">
        <v>82</v>
      </c>
      <c r="J787" s="5" t="s">
        <v>2274</v>
      </c>
      <c r="K787" s="5" t="s">
        <v>84</v>
      </c>
      <c r="L787" s="7">
        <v>2</v>
      </c>
      <c r="M787" s="7">
        <v>5</v>
      </c>
      <c r="N787" s="8">
        <v>10600</v>
      </c>
      <c r="O787" s="88">
        <v>0.03</v>
      </c>
      <c r="P787" s="10">
        <f t="shared" si="231"/>
        <v>318</v>
      </c>
      <c r="Q787" s="88">
        <v>0</v>
      </c>
      <c r="R787" s="10">
        <f t="shared" si="232"/>
        <v>0</v>
      </c>
      <c r="S787" s="88">
        <f t="shared" si="233"/>
        <v>0.03</v>
      </c>
      <c r="T787" s="10">
        <f t="shared" si="234"/>
        <v>318</v>
      </c>
      <c r="U787" s="10">
        <f t="shared" si="235"/>
        <v>10918</v>
      </c>
      <c r="V787" s="11">
        <v>10750</v>
      </c>
      <c r="W787" s="12">
        <f t="shared" si="236"/>
        <v>150</v>
      </c>
      <c r="X787" s="92">
        <f t="shared" si="230"/>
        <v>1.4200000000000001E-2</v>
      </c>
      <c r="Y787" s="93" t="str">
        <f t="shared" si="237"/>
        <v>2.40%-3.60%</v>
      </c>
      <c r="Z787" s="15" t="s">
        <v>87</v>
      </c>
      <c r="AA787" s="15" t="s">
        <v>74</v>
      </c>
      <c r="AB787" s="15" t="s">
        <v>139</v>
      </c>
      <c r="AC787" s="95">
        <v>7.0000000000000007E-2</v>
      </c>
      <c r="AD787" s="8">
        <f t="shared" si="242"/>
        <v>742</v>
      </c>
      <c r="AE787" s="17">
        <f t="shared" si="238"/>
        <v>11492</v>
      </c>
      <c r="AF787" s="18">
        <f t="shared" si="239"/>
        <v>892</v>
      </c>
      <c r="AG787" s="97">
        <f t="shared" si="240"/>
        <v>8.4150943396226419E-2</v>
      </c>
      <c r="AH787" s="20">
        <v>14</v>
      </c>
      <c r="AI787" s="20">
        <v>850</v>
      </c>
      <c r="AJ787" s="20"/>
      <c r="AK787" s="20">
        <v>688</v>
      </c>
      <c r="AL787" s="20">
        <f t="shared" si="241"/>
        <v>171776</v>
      </c>
      <c r="AM787" s="7">
        <v>3</v>
      </c>
      <c r="AN787" s="20"/>
      <c r="AO787" s="21" t="s">
        <v>173</v>
      </c>
      <c r="AP787" s="21" t="s">
        <v>173</v>
      </c>
      <c r="AQ787" s="5" t="s">
        <v>290</v>
      </c>
      <c r="AR787" s="5" t="s">
        <v>246</v>
      </c>
      <c r="AS787" s="5" t="s">
        <v>218</v>
      </c>
      <c r="AT787" s="20"/>
      <c r="AU787" s="21" t="s">
        <v>2275</v>
      </c>
      <c r="AV787" s="21"/>
      <c r="AW787" s="144" t="str">
        <f t="shared" si="243"/>
        <v>&lt;20</v>
      </c>
      <c r="AX787" s="21" t="s">
        <v>3131</v>
      </c>
      <c r="AY787" s="21" t="s">
        <v>3138</v>
      </c>
      <c r="AZ787" s="21"/>
      <c r="BA787" s="21"/>
    </row>
    <row r="788" spans="1:53" ht="20" customHeight="1">
      <c r="A788" s="86" t="s">
        <v>318</v>
      </c>
      <c r="B788" s="374" t="s">
        <v>3118</v>
      </c>
      <c r="C788" s="106" t="s">
        <v>51</v>
      </c>
      <c r="D788" s="106" t="s">
        <v>52</v>
      </c>
      <c r="E788" s="5" t="s">
        <v>319</v>
      </c>
      <c r="F788" s="106" t="s">
        <v>2269</v>
      </c>
      <c r="G788" s="106" t="s">
        <v>2270</v>
      </c>
      <c r="H788" s="107">
        <v>44582</v>
      </c>
      <c r="I788" s="106" t="s">
        <v>82</v>
      </c>
      <c r="J788" s="106" t="s">
        <v>2276</v>
      </c>
      <c r="K788" s="106" t="s">
        <v>84</v>
      </c>
      <c r="L788" s="108">
        <v>2</v>
      </c>
      <c r="M788" s="108">
        <v>4</v>
      </c>
      <c r="N788" s="229">
        <v>9930</v>
      </c>
      <c r="O788" s="230">
        <v>0.03</v>
      </c>
      <c r="P788" s="231">
        <f t="shared" si="231"/>
        <v>298</v>
      </c>
      <c r="Q788" s="230">
        <v>0</v>
      </c>
      <c r="R788" s="231">
        <f t="shared" si="232"/>
        <v>0</v>
      </c>
      <c r="S788" s="230">
        <f t="shared" si="233"/>
        <v>3.001007049345418E-2</v>
      </c>
      <c r="T788" s="231">
        <f t="shared" si="234"/>
        <v>298</v>
      </c>
      <c r="U788" s="231">
        <f t="shared" si="235"/>
        <v>10228</v>
      </c>
      <c r="V788" s="232">
        <v>10200</v>
      </c>
      <c r="W788" s="233">
        <f t="shared" si="236"/>
        <v>270</v>
      </c>
      <c r="X788" s="234">
        <f t="shared" si="230"/>
        <v>2.7199999999999998E-2</v>
      </c>
      <c r="Y788" s="235" t="str">
        <f t="shared" si="237"/>
        <v>2.40%-3.60%</v>
      </c>
      <c r="Z788" s="236"/>
      <c r="AA788" s="236"/>
      <c r="AB788" s="236"/>
      <c r="AC788" s="237"/>
      <c r="AD788" s="229">
        <f t="shared" si="242"/>
        <v>0</v>
      </c>
      <c r="AE788" s="238">
        <f t="shared" si="238"/>
        <v>10200</v>
      </c>
      <c r="AF788" s="109">
        <f t="shared" si="239"/>
        <v>270</v>
      </c>
      <c r="AG788" s="239">
        <f t="shared" si="240"/>
        <v>2.7190332326284095E-2</v>
      </c>
      <c r="AH788" s="110">
        <v>14</v>
      </c>
      <c r="AI788" s="110">
        <v>450</v>
      </c>
      <c r="AJ788" s="110"/>
      <c r="AK788" s="110">
        <v>688</v>
      </c>
      <c r="AL788" s="110">
        <f t="shared" si="241"/>
        <v>148888</v>
      </c>
      <c r="AM788" s="108">
        <v>3</v>
      </c>
      <c r="AN788" s="110"/>
      <c r="AO788" s="111"/>
      <c r="AP788" s="111"/>
      <c r="AQ788" s="106" t="s">
        <v>290</v>
      </c>
      <c r="AR788" s="106" t="s">
        <v>246</v>
      </c>
      <c r="AS788" s="106" t="s">
        <v>218</v>
      </c>
      <c r="AT788" s="110"/>
      <c r="AU788" s="111"/>
      <c r="AV788" s="111"/>
      <c r="AW788" s="144" t="str">
        <f t="shared" si="243"/>
        <v>OK</v>
      </c>
      <c r="AX788" s="21" t="s">
        <v>3131</v>
      </c>
      <c r="AY788" s="21" t="s">
        <v>3136</v>
      </c>
      <c r="AZ788" s="21"/>
      <c r="BA788" s="21"/>
    </row>
    <row r="789" spans="1:53" ht="20" customHeight="1">
      <c r="A789" s="86" t="s">
        <v>318</v>
      </c>
      <c r="B789" s="372" t="s">
        <v>3119</v>
      </c>
      <c r="C789" s="5" t="s">
        <v>51</v>
      </c>
      <c r="D789" s="5" t="s">
        <v>52</v>
      </c>
      <c r="E789" s="5" t="s">
        <v>62</v>
      </c>
      <c r="F789" s="5" t="s">
        <v>154</v>
      </c>
      <c r="G789" s="5" t="s">
        <v>155</v>
      </c>
      <c r="H789" s="6">
        <v>45910</v>
      </c>
      <c r="I789" s="5" t="s">
        <v>74</v>
      </c>
      <c r="J789" s="5" t="s">
        <v>156</v>
      </c>
      <c r="K789" s="5" t="s">
        <v>76</v>
      </c>
      <c r="L789" s="7">
        <v>2</v>
      </c>
      <c r="M789" s="7">
        <v>3</v>
      </c>
      <c r="N789" s="8">
        <v>13550</v>
      </c>
      <c r="O789" s="88">
        <v>0</v>
      </c>
      <c r="P789" s="10">
        <f t="shared" si="231"/>
        <v>0</v>
      </c>
      <c r="Q789" s="88">
        <v>0</v>
      </c>
      <c r="R789" s="10">
        <f t="shared" si="232"/>
        <v>0</v>
      </c>
      <c r="S789" s="88">
        <f t="shared" si="233"/>
        <v>0</v>
      </c>
      <c r="T789" s="10">
        <f t="shared" si="234"/>
        <v>0</v>
      </c>
      <c r="U789" s="10">
        <f t="shared" si="235"/>
        <v>13550</v>
      </c>
      <c r="V789" s="11">
        <f t="shared" ref="V789:V792" si="244">U789</f>
        <v>13550</v>
      </c>
      <c r="W789" s="12">
        <f t="shared" si="236"/>
        <v>0</v>
      </c>
      <c r="X789" s="92">
        <f t="shared" si="230"/>
        <v>0</v>
      </c>
      <c r="Y789" s="93" t="str">
        <f t="shared" si="237"/>
        <v>0.00%-0.00%</v>
      </c>
      <c r="Z789" s="15"/>
      <c r="AA789" s="15"/>
      <c r="AB789" s="15"/>
      <c r="AC789" s="95"/>
      <c r="AD789" s="8">
        <f t="shared" si="242"/>
        <v>0</v>
      </c>
      <c r="AE789" s="17">
        <f t="shared" si="238"/>
        <v>13550</v>
      </c>
      <c r="AF789" s="18">
        <f t="shared" si="239"/>
        <v>0</v>
      </c>
      <c r="AG789" s="97">
        <f t="shared" si="240"/>
        <v>0</v>
      </c>
      <c r="AH789" s="20">
        <v>14</v>
      </c>
      <c r="AI789" s="20">
        <v>450</v>
      </c>
      <c r="AJ789" s="20"/>
      <c r="AK789" s="20">
        <v>688</v>
      </c>
      <c r="AL789" s="20">
        <f t="shared" si="241"/>
        <v>195788</v>
      </c>
      <c r="AM789" s="7" t="e">
        <v>#N/A</v>
      </c>
      <c r="AN789" s="20"/>
      <c r="AO789" s="21"/>
      <c r="AP789" s="21"/>
      <c r="AQ789" s="5" t="s">
        <v>157</v>
      </c>
      <c r="AR789" s="5" t="s">
        <v>124</v>
      </c>
      <c r="AS789" s="5"/>
      <c r="AT789" s="20"/>
      <c r="AU789" s="21"/>
      <c r="AV789" s="21"/>
      <c r="AW789" s="144" t="str">
        <f t="shared" si="243"/>
        <v>OK</v>
      </c>
      <c r="AX789" s="21" t="s">
        <v>3131</v>
      </c>
      <c r="AY789" s="21" t="s">
        <v>3134</v>
      </c>
      <c r="AZ789" s="21"/>
      <c r="BA789" s="21"/>
    </row>
    <row r="790" spans="1:53" ht="20" customHeight="1">
      <c r="A790" s="86" t="s">
        <v>318</v>
      </c>
      <c r="B790" s="372" t="s">
        <v>3120</v>
      </c>
      <c r="C790" s="5" t="s">
        <v>51</v>
      </c>
      <c r="D790" s="5" t="s">
        <v>52</v>
      </c>
      <c r="E790" s="5" t="s">
        <v>62</v>
      </c>
      <c r="F790" s="5" t="s">
        <v>154</v>
      </c>
      <c r="G790" s="5" t="s">
        <v>155</v>
      </c>
      <c r="H790" s="6">
        <v>40057</v>
      </c>
      <c r="I790" s="5" t="s">
        <v>74</v>
      </c>
      <c r="J790" s="5" t="s">
        <v>156</v>
      </c>
      <c r="K790" s="5" t="s">
        <v>76</v>
      </c>
      <c r="L790" s="7">
        <v>2</v>
      </c>
      <c r="M790" s="7">
        <v>4</v>
      </c>
      <c r="N790" s="8">
        <v>15852</v>
      </c>
      <c r="O790" s="88">
        <v>2.2499999999999999E-2</v>
      </c>
      <c r="P790" s="10">
        <f t="shared" si="231"/>
        <v>357</v>
      </c>
      <c r="Q790" s="88">
        <v>0</v>
      </c>
      <c r="R790" s="10">
        <f t="shared" si="232"/>
        <v>0</v>
      </c>
      <c r="S790" s="88">
        <f t="shared" si="233"/>
        <v>2.2520817562452687E-2</v>
      </c>
      <c r="T790" s="10">
        <f t="shared" si="234"/>
        <v>357</v>
      </c>
      <c r="U790" s="10">
        <f t="shared" si="235"/>
        <v>16209</v>
      </c>
      <c r="V790" s="11">
        <f>16284</f>
        <v>16284</v>
      </c>
      <c r="W790" s="12">
        <f t="shared" si="236"/>
        <v>432</v>
      </c>
      <c r="X790" s="92">
        <f t="shared" si="230"/>
        <v>2.7300000000000001E-2</v>
      </c>
      <c r="Y790" s="93" t="str">
        <f t="shared" si="237"/>
        <v>1.80%-2.70%</v>
      </c>
      <c r="Z790" s="15"/>
      <c r="AA790" s="15"/>
      <c r="AB790" s="15"/>
      <c r="AC790" s="95"/>
      <c r="AD790" s="8">
        <f t="shared" si="242"/>
        <v>0</v>
      </c>
      <c r="AE790" s="17">
        <f t="shared" si="238"/>
        <v>16284</v>
      </c>
      <c r="AF790" s="18">
        <f t="shared" si="239"/>
        <v>432</v>
      </c>
      <c r="AG790" s="97">
        <f t="shared" si="240"/>
        <v>2.7252081756245161E-2</v>
      </c>
      <c r="AH790" s="20">
        <v>14</v>
      </c>
      <c r="AI790" s="20">
        <v>450</v>
      </c>
      <c r="AJ790" s="20"/>
      <c r="AK790" s="20">
        <v>688</v>
      </c>
      <c r="AL790" s="20">
        <f t="shared" si="241"/>
        <v>234064</v>
      </c>
      <c r="AM790" s="7">
        <v>3</v>
      </c>
      <c r="AN790" s="20"/>
      <c r="AO790" s="21"/>
      <c r="AP790" s="21"/>
      <c r="AQ790" s="5" t="s">
        <v>157</v>
      </c>
      <c r="AR790" s="5" t="s">
        <v>124</v>
      </c>
      <c r="AS790" s="5"/>
      <c r="AT790" s="20"/>
      <c r="AU790" s="21"/>
      <c r="AV790" s="21"/>
      <c r="AW790" s="144" t="str">
        <f t="shared" si="243"/>
        <v>OK</v>
      </c>
      <c r="AX790" s="21" t="s">
        <v>3139</v>
      </c>
      <c r="AY790" s="21" t="s">
        <v>3138</v>
      </c>
      <c r="AZ790" s="21"/>
      <c r="BA790" s="21"/>
    </row>
    <row r="791" spans="1:53" ht="20" customHeight="1">
      <c r="A791" s="86" t="s">
        <v>318</v>
      </c>
      <c r="B791" s="372" t="s">
        <v>3121</v>
      </c>
      <c r="C791" s="5" t="s">
        <v>51</v>
      </c>
      <c r="D791" s="5" t="s">
        <v>52</v>
      </c>
      <c r="E791" s="5" t="s">
        <v>62</v>
      </c>
      <c r="F791" s="5" t="s">
        <v>154</v>
      </c>
      <c r="G791" s="5" t="s">
        <v>155</v>
      </c>
      <c r="H791" s="6">
        <v>45931</v>
      </c>
      <c r="I791" s="5" t="s">
        <v>74</v>
      </c>
      <c r="J791" s="5" t="s">
        <v>156</v>
      </c>
      <c r="K791" s="5" t="s">
        <v>76</v>
      </c>
      <c r="L791" s="7">
        <v>2</v>
      </c>
      <c r="M791" s="7">
        <v>3</v>
      </c>
      <c r="N791" s="8">
        <v>18000</v>
      </c>
      <c r="O791" s="88">
        <v>0</v>
      </c>
      <c r="P791" s="10">
        <f t="shared" si="231"/>
        <v>0</v>
      </c>
      <c r="Q791" s="88">
        <v>0</v>
      </c>
      <c r="R791" s="10">
        <f t="shared" si="232"/>
        <v>0</v>
      </c>
      <c r="S791" s="88">
        <f t="shared" si="233"/>
        <v>0</v>
      </c>
      <c r="T791" s="10">
        <f t="shared" si="234"/>
        <v>0</v>
      </c>
      <c r="U791" s="10">
        <f t="shared" si="235"/>
        <v>18000</v>
      </c>
      <c r="V791" s="11">
        <v>18050</v>
      </c>
      <c r="W791" s="12">
        <f t="shared" si="236"/>
        <v>50</v>
      </c>
      <c r="X791" s="92">
        <f t="shared" si="230"/>
        <v>2.8E-3</v>
      </c>
      <c r="Y791" s="93" t="str">
        <f t="shared" si="237"/>
        <v>0.00%-0.00%</v>
      </c>
      <c r="Z791" s="15"/>
      <c r="AA791" s="15"/>
      <c r="AB791" s="15"/>
      <c r="AC791" s="95"/>
      <c r="AD791" s="8">
        <f t="shared" si="242"/>
        <v>0</v>
      </c>
      <c r="AE791" s="17">
        <f t="shared" si="238"/>
        <v>18050</v>
      </c>
      <c r="AF791" s="18">
        <f t="shared" si="239"/>
        <v>50</v>
      </c>
      <c r="AG791" s="97">
        <f t="shared" si="240"/>
        <v>2.7777777777777679E-3</v>
      </c>
      <c r="AH791" s="20">
        <v>14</v>
      </c>
      <c r="AI791" s="20">
        <v>450</v>
      </c>
      <c r="AJ791" s="20"/>
      <c r="AK791" s="20">
        <v>688</v>
      </c>
      <c r="AL791" s="20">
        <f t="shared" si="241"/>
        <v>258788</v>
      </c>
      <c r="AM791" s="7" t="e">
        <v>#N/A</v>
      </c>
      <c r="AN791" s="20"/>
      <c r="AO791" s="21"/>
      <c r="AP791" s="21"/>
      <c r="AQ791" s="5" t="s">
        <v>157</v>
      </c>
      <c r="AR791" s="5" t="s">
        <v>124</v>
      </c>
      <c r="AS791" s="5"/>
      <c r="AT791" s="20"/>
      <c r="AU791" s="21"/>
      <c r="AV791" s="21"/>
      <c r="AW791" s="144" t="str">
        <f t="shared" si="243"/>
        <v>&gt;20</v>
      </c>
      <c r="AX791" s="21" t="s">
        <v>3131</v>
      </c>
      <c r="AY791" s="21" t="s">
        <v>3134</v>
      </c>
      <c r="AZ791" s="21"/>
      <c r="BA791" s="21"/>
    </row>
    <row r="792" spans="1:53" ht="20" customHeight="1">
      <c r="A792" s="86" t="s">
        <v>318</v>
      </c>
      <c r="B792" s="372" t="s">
        <v>3122</v>
      </c>
      <c r="C792" s="5" t="s">
        <v>51</v>
      </c>
      <c r="D792" s="5" t="s">
        <v>52</v>
      </c>
      <c r="E792" s="5" t="s">
        <v>62</v>
      </c>
      <c r="F792" s="5" t="s">
        <v>154</v>
      </c>
      <c r="G792" s="5" t="s">
        <v>155</v>
      </c>
      <c r="H792" s="6">
        <v>44230</v>
      </c>
      <c r="I792" s="5" t="s">
        <v>82</v>
      </c>
      <c r="J792" s="5" t="s">
        <v>158</v>
      </c>
      <c r="K792" s="5" t="s">
        <v>84</v>
      </c>
      <c r="L792" s="7">
        <v>2</v>
      </c>
      <c r="M792" s="7">
        <v>1</v>
      </c>
      <c r="N792" s="8">
        <v>10113</v>
      </c>
      <c r="O792" s="88">
        <v>0</v>
      </c>
      <c r="P792" s="10">
        <f t="shared" si="231"/>
        <v>0</v>
      </c>
      <c r="Q792" s="88">
        <v>0</v>
      </c>
      <c r="R792" s="10">
        <f t="shared" si="232"/>
        <v>0</v>
      </c>
      <c r="S792" s="88">
        <f t="shared" si="233"/>
        <v>0</v>
      </c>
      <c r="T792" s="10">
        <f t="shared" si="234"/>
        <v>0</v>
      </c>
      <c r="U792" s="10">
        <f t="shared" si="235"/>
        <v>10113</v>
      </c>
      <c r="V792" s="11">
        <f t="shared" si="244"/>
        <v>10113</v>
      </c>
      <c r="W792" s="12">
        <f t="shared" si="236"/>
        <v>0</v>
      </c>
      <c r="X792" s="92">
        <f t="shared" si="230"/>
        <v>0</v>
      </c>
      <c r="Y792" s="93" t="str">
        <f t="shared" si="237"/>
        <v>0.00%-0.00%</v>
      </c>
      <c r="Z792" s="15"/>
      <c r="AA792" s="15"/>
      <c r="AB792" s="15"/>
      <c r="AC792" s="95"/>
      <c r="AD792" s="8">
        <f t="shared" si="242"/>
        <v>0</v>
      </c>
      <c r="AE792" s="17">
        <f t="shared" si="238"/>
        <v>10113</v>
      </c>
      <c r="AF792" s="18">
        <f t="shared" si="239"/>
        <v>0</v>
      </c>
      <c r="AG792" s="97">
        <f t="shared" si="240"/>
        <v>0</v>
      </c>
      <c r="AH792" s="20">
        <v>14</v>
      </c>
      <c r="AI792" s="20">
        <v>550</v>
      </c>
      <c r="AJ792" s="20"/>
      <c r="AK792" s="20">
        <v>688</v>
      </c>
      <c r="AL792" s="20">
        <f t="shared" si="241"/>
        <v>148870</v>
      </c>
      <c r="AM792" s="7">
        <v>3</v>
      </c>
      <c r="AN792" s="20"/>
      <c r="AO792" s="21"/>
      <c r="AP792" s="21"/>
      <c r="AQ792" s="5" t="s">
        <v>157</v>
      </c>
      <c r="AR792" s="5" t="s">
        <v>124</v>
      </c>
      <c r="AS792" s="5"/>
      <c r="AT792" s="20"/>
      <c r="AU792" s="21"/>
      <c r="AV792" s="21"/>
      <c r="AW792" s="144" t="str">
        <f t="shared" si="243"/>
        <v>OK</v>
      </c>
      <c r="AX792" s="21" t="s">
        <v>3131</v>
      </c>
      <c r="AY792" s="21">
        <v>0</v>
      </c>
      <c r="AZ792" s="21"/>
      <c r="BA792" s="21"/>
    </row>
    <row r="793" spans="1:53" ht="20" customHeight="1">
      <c r="A793" s="86" t="s">
        <v>318</v>
      </c>
      <c r="B793" s="372" t="s">
        <v>3123</v>
      </c>
      <c r="C793" s="5" t="s">
        <v>51</v>
      </c>
      <c r="D793" s="5" t="s">
        <v>52</v>
      </c>
      <c r="E793" s="5" t="s">
        <v>62</v>
      </c>
      <c r="F793" s="5" t="s">
        <v>154</v>
      </c>
      <c r="G793" s="5" t="s">
        <v>155</v>
      </c>
      <c r="H793" s="6">
        <v>45300</v>
      </c>
      <c r="I793" s="5" t="s">
        <v>74</v>
      </c>
      <c r="J793" s="5" t="s">
        <v>156</v>
      </c>
      <c r="K793" s="5" t="s">
        <v>76</v>
      </c>
      <c r="L793" s="7">
        <v>2</v>
      </c>
      <c r="M793" s="7">
        <v>3</v>
      </c>
      <c r="N793" s="8">
        <v>20066</v>
      </c>
      <c r="O793" s="88">
        <v>0</v>
      </c>
      <c r="P793" s="10">
        <f t="shared" si="231"/>
        <v>0</v>
      </c>
      <c r="Q793" s="88">
        <v>0</v>
      </c>
      <c r="R793" s="10">
        <f t="shared" si="232"/>
        <v>0</v>
      </c>
      <c r="S793" s="88">
        <f t="shared" si="233"/>
        <v>0</v>
      </c>
      <c r="T793" s="10">
        <f t="shared" si="234"/>
        <v>0</v>
      </c>
      <c r="U793" s="10">
        <f t="shared" si="235"/>
        <v>20066</v>
      </c>
      <c r="V793" s="11">
        <v>20116</v>
      </c>
      <c r="W793" s="12">
        <f t="shared" si="236"/>
        <v>50</v>
      </c>
      <c r="X793" s="92">
        <f t="shared" si="230"/>
        <v>2.5000000000000001E-3</v>
      </c>
      <c r="Y793" s="93" t="str">
        <f t="shared" si="237"/>
        <v>0.00%-0.00%</v>
      </c>
      <c r="Z793" s="15"/>
      <c r="AA793" s="15"/>
      <c r="AB793" s="15"/>
      <c r="AC793" s="95"/>
      <c r="AD793" s="8">
        <f t="shared" si="242"/>
        <v>0</v>
      </c>
      <c r="AE793" s="17">
        <f t="shared" si="238"/>
        <v>20116</v>
      </c>
      <c r="AF793" s="18">
        <f t="shared" si="239"/>
        <v>50</v>
      </c>
      <c r="AG793" s="97">
        <f t="shared" si="240"/>
        <v>2.4917771354528995E-3</v>
      </c>
      <c r="AH793" s="20">
        <v>14</v>
      </c>
      <c r="AI793" s="20">
        <v>450</v>
      </c>
      <c r="AJ793" s="20"/>
      <c r="AK793" s="20">
        <v>688</v>
      </c>
      <c r="AL793" s="20">
        <f t="shared" si="241"/>
        <v>287712</v>
      </c>
      <c r="AM793" s="7">
        <v>3</v>
      </c>
      <c r="AN793" s="20"/>
      <c r="AO793" s="21"/>
      <c r="AP793" s="21"/>
      <c r="AQ793" s="5" t="s">
        <v>157</v>
      </c>
      <c r="AR793" s="5" t="s">
        <v>124</v>
      </c>
      <c r="AS793" s="5"/>
      <c r="AT793" s="20"/>
      <c r="AU793" s="21"/>
      <c r="AV793" s="21"/>
      <c r="AW793" s="144" t="str">
        <f t="shared" si="243"/>
        <v>&gt;20</v>
      </c>
      <c r="AX793" s="21" t="s">
        <v>3131</v>
      </c>
      <c r="AY793" s="21" t="s">
        <v>3134</v>
      </c>
      <c r="AZ793" s="21"/>
      <c r="BA793" s="21"/>
    </row>
    <row r="794" spans="1:53" ht="20" customHeight="1">
      <c r="A794" s="86" t="s">
        <v>318</v>
      </c>
      <c r="B794" s="372" t="s">
        <v>3124</v>
      </c>
      <c r="C794" s="5" t="s">
        <v>51</v>
      </c>
      <c r="D794" s="5" t="s">
        <v>52</v>
      </c>
      <c r="E794" s="5" t="s">
        <v>62</v>
      </c>
      <c r="F794" s="5" t="s">
        <v>154</v>
      </c>
      <c r="G794" s="5" t="s">
        <v>155</v>
      </c>
      <c r="H794" s="6">
        <v>45314</v>
      </c>
      <c r="I794" s="5" t="s">
        <v>82</v>
      </c>
      <c r="J794" s="5" t="s">
        <v>158</v>
      </c>
      <c r="K794" s="5" t="s">
        <v>84</v>
      </c>
      <c r="L794" s="7">
        <v>2</v>
      </c>
      <c r="M794" s="7">
        <v>4</v>
      </c>
      <c r="N794" s="8">
        <v>15000</v>
      </c>
      <c r="O794" s="88">
        <v>1.4999999999999998E-2</v>
      </c>
      <c r="P794" s="10">
        <f t="shared" si="231"/>
        <v>225</v>
      </c>
      <c r="Q794" s="88">
        <v>0</v>
      </c>
      <c r="R794" s="10">
        <f t="shared" si="232"/>
        <v>0</v>
      </c>
      <c r="S794" s="88">
        <f t="shared" si="233"/>
        <v>1.4999999999999999E-2</v>
      </c>
      <c r="T794" s="10">
        <f t="shared" si="234"/>
        <v>225</v>
      </c>
      <c r="U794" s="10">
        <f t="shared" si="235"/>
        <v>15225</v>
      </c>
      <c r="V794" s="11">
        <v>15000</v>
      </c>
      <c r="W794" s="12">
        <f t="shared" si="236"/>
        <v>0</v>
      </c>
      <c r="X794" s="92">
        <f t="shared" si="230"/>
        <v>0</v>
      </c>
      <c r="Y794" s="93" t="str">
        <f t="shared" si="237"/>
        <v>1.20%-1.80%</v>
      </c>
      <c r="Z794" s="15"/>
      <c r="AA794" s="15"/>
      <c r="AB794" s="15"/>
      <c r="AC794" s="95"/>
      <c r="AD794" s="8">
        <f t="shared" si="242"/>
        <v>0</v>
      </c>
      <c r="AE794" s="17">
        <f t="shared" si="238"/>
        <v>15000</v>
      </c>
      <c r="AF794" s="18">
        <f t="shared" si="239"/>
        <v>0</v>
      </c>
      <c r="AG794" s="97">
        <f t="shared" si="240"/>
        <v>0</v>
      </c>
      <c r="AH794" s="20">
        <v>14</v>
      </c>
      <c r="AI794" s="20">
        <v>550</v>
      </c>
      <c r="AJ794" s="20"/>
      <c r="AK794" s="20">
        <v>688</v>
      </c>
      <c r="AL794" s="20">
        <f t="shared" si="241"/>
        <v>217288</v>
      </c>
      <c r="AM794" s="7">
        <v>4</v>
      </c>
      <c r="AN794" s="20"/>
      <c r="AO794" s="21"/>
      <c r="AP794" s="21"/>
      <c r="AQ794" s="5" t="s">
        <v>157</v>
      </c>
      <c r="AR794" s="5" t="s">
        <v>124</v>
      </c>
      <c r="AS794" s="5"/>
      <c r="AT794" s="20"/>
      <c r="AU794" s="21"/>
      <c r="AV794" s="21"/>
      <c r="AW794" s="144" t="str">
        <f t="shared" si="243"/>
        <v>0 increase</v>
      </c>
      <c r="AX794" s="21" t="s">
        <v>3131</v>
      </c>
      <c r="AY794" s="21" t="s">
        <v>3142</v>
      </c>
      <c r="AZ794" s="21"/>
      <c r="BA794" s="21"/>
    </row>
    <row r="795" spans="1:53" ht="20" customHeight="1">
      <c r="A795" s="86" t="s">
        <v>318</v>
      </c>
      <c r="B795" s="374" t="s">
        <v>3125</v>
      </c>
      <c r="C795" s="106" t="s">
        <v>51</v>
      </c>
      <c r="D795" s="106" t="s">
        <v>52</v>
      </c>
      <c r="E795" s="5" t="s">
        <v>62</v>
      </c>
      <c r="F795" s="106" t="s">
        <v>154</v>
      </c>
      <c r="G795" s="106" t="s">
        <v>155</v>
      </c>
      <c r="H795" s="107">
        <v>44398</v>
      </c>
      <c r="I795" s="106" t="s">
        <v>82</v>
      </c>
      <c r="J795" s="106" t="s">
        <v>158</v>
      </c>
      <c r="K795" s="106" t="s">
        <v>84</v>
      </c>
      <c r="L795" s="108">
        <v>2</v>
      </c>
      <c r="M795" s="108">
        <v>2</v>
      </c>
      <c r="N795" s="229">
        <v>10599</v>
      </c>
      <c r="O795" s="230">
        <v>0</v>
      </c>
      <c r="P795" s="231">
        <f t="shared" si="231"/>
        <v>0</v>
      </c>
      <c r="Q795" s="230">
        <v>0</v>
      </c>
      <c r="R795" s="231">
        <f t="shared" si="232"/>
        <v>0</v>
      </c>
      <c r="S795" s="230">
        <f t="shared" si="233"/>
        <v>0</v>
      </c>
      <c r="T795" s="231">
        <f t="shared" si="234"/>
        <v>0</v>
      </c>
      <c r="U795" s="231">
        <f t="shared" si="235"/>
        <v>10599</v>
      </c>
      <c r="V795" s="232">
        <f>10649-50</f>
        <v>10599</v>
      </c>
      <c r="W795" s="233">
        <f t="shared" si="236"/>
        <v>0</v>
      </c>
      <c r="X795" s="234">
        <f t="shared" si="230"/>
        <v>0</v>
      </c>
      <c r="Y795" s="235" t="str">
        <f t="shared" si="237"/>
        <v>0.00%-0.00%</v>
      </c>
      <c r="Z795" s="236"/>
      <c r="AA795" s="236"/>
      <c r="AB795" s="236"/>
      <c r="AC795" s="237"/>
      <c r="AD795" s="229">
        <f t="shared" si="242"/>
        <v>0</v>
      </c>
      <c r="AE795" s="238">
        <f t="shared" si="238"/>
        <v>10599</v>
      </c>
      <c r="AF795" s="109">
        <f t="shared" si="239"/>
        <v>0</v>
      </c>
      <c r="AG795" s="239">
        <f t="shared" si="240"/>
        <v>0</v>
      </c>
      <c r="AH795" s="110">
        <v>14</v>
      </c>
      <c r="AI795" s="110">
        <v>450</v>
      </c>
      <c r="AJ795" s="110"/>
      <c r="AK795" s="110">
        <v>688</v>
      </c>
      <c r="AL795" s="110">
        <f t="shared" si="241"/>
        <v>154474</v>
      </c>
      <c r="AM795" s="108">
        <v>3</v>
      </c>
      <c r="AN795" s="110"/>
      <c r="AO795" s="111"/>
      <c r="AP795" s="111"/>
      <c r="AQ795" s="106" t="s">
        <v>157</v>
      </c>
      <c r="AR795" s="106" t="s">
        <v>124</v>
      </c>
      <c r="AS795" s="106"/>
      <c r="AT795" s="110"/>
      <c r="AU795" s="111"/>
      <c r="AV795" s="111"/>
      <c r="AW795" s="144" t="str">
        <f t="shared" si="243"/>
        <v>OK</v>
      </c>
      <c r="AX795" s="111" t="s">
        <v>3131</v>
      </c>
      <c r="AY795" s="111">
        <v>0</v>
      </c>
      <c r="AZ795" s="111"/>
      <c r="BA795" s="111"/>
    </row>
  </sheetData>
  <protectedRanges>
    <protectedRange sqref="AO63:AP69 Z63:AC69 V63:V69" name="Green_1_1_1"/>
    <protectedRange sqref="AN99:AO100 Z99:AC100 V99:V100" name="Green_4_2"/>
    <protectedRange sqref="Z23:AC39 V23:V39" name="Green_10_1"/>
    <protectedRange sqref="AO101:AP105 Z101:AC105 V101:V105" name="Green_11_1"/>
    <protectedRange sqref="AU106:AV129 V106:V129 Z106:AC129 AO106:AP129" name="Green_6"/>
    <protectedRange sqref="AO130:AP141 AU130:AV141 V130:V141 Z130:AC141" name="Green_1_3"/>
    <protectedRange sqref="AO142:AP171 AU142:AV171 V142:V171 Z142:AC171" name="Green_2_2"/>
    <protectedRange sqref="AO172:AP196 Z172:AC196 V172:V196 AU172:AV196" name="Green_3_2"/>
    <protectedRange sqref="V197:V236 AU197:AV236 AO197:AP236 Z197:AC236" name="Green_4_3"/>
    <protectedRange sqref="AO237:AP256 Z237:AC256 V237:V256 AU237:AV256" name="Green_5_2"/>
    <protectedRange sqref="AO257:AP271 Z257:AC271 V257:V271" name="Green_7"/>
    <protectedRange sqref="AO424:AP432 Z424:AC432 V424:V432" name="Green_9"/>
    <protectedRange sqref="AO433:AP448 Z433:AC448 V433:V448" name="Green_10"/>
    <protectedRange sqref="AO449:AP471 Z449:AC471 V449:V471" name="Green_11"/>
    <protectedRange sqref="AO472:AP557 Z472:AC557 V472:V557" name="Green_12"/>
    <protectedRange sqref="AO558:AP571 Z558:AC571 V558:V571 AU558:AV571" name="Green_14"/>
    <protectedRange sqref="AO272:AP277 Z272:AC277 V272:V277" name="Green_3"/>
    <protectedRange sqref="AO278:AP284 Z278:AC284 V278:V284" name="Green_1_1"/>
    <protectedRange sqref="AO285:AP325 Z285:AC325 V285:V325" name="Green_2_1"/>
    <protectedRange sqref="AO326:AP337 Z326:AC337 V326:V337" name="Green_3_3"/>
    <protectedRange sqref="V338:V423 Z338:AC423 AO338:AP423" name="Green_4_1"/>
    <protectedRange sqref="AO572:AP609 Z572:AC609 V572:V609" name="Green_5"/>
    <protectedRange sqref="AO610:AP627 Z610:AC627 V610:V627 AU610:AV627" name="Green_15"/>
    <protectedRange sqref="AO628:AP632 Z628:AC632 V628:V632 AU628:AV632" name="Green_1_2"/>
    <protectedRange sqref="Z633:AC635 V633:V635 AU633:AV635 AO633:AP635" name="Green_1_1_2"/>
    <protectedRange sqref="AU636:AV641 V636:V641 Z636:AC641 AO636:AP641" name="Green_2_3"/>
    <protectedRange sqref="AU642:AV652 V642:V652 Z642:AC652 AO642:AP652" name="Green_3_4"/>
    <protectedRange sqref="AU653:AV657 AO653:AP657 Z653:AC657 V653:V657" name="Green_4_4"/>
    <protectedRange sqref="AO658:AP659 Z658:AC659 V658:V659 AU658:AV659" name="Green_1_1_1_1"/>
    <protectedRange sqref="AO660:AP672 Z660:AC672 V660:V672 AU660:AV672" name="Green_2_1_1"/>
    <protectedRange sqref="AU673:AV675 V673:V675 Z673:AC675 AO673:AP675" name="Green_3_1_1"/>
    <protectedRange sqref="AO676:AP681 Z676:AC681 V676:V681 AU676:AV681" name="Green_4_1_2"/>
    <protectedRange sqref="AO682:AP703 Z682:AC703 V682:V703 AU682:AV703" name="Green_5_1"/>
    <protectedRange sqref="Z704:AC709 AU704:AV709 AP704:AP709" name="Green_6_1"/>
    <protectedRange sqref="AO704:AO709" name="Green_1_1_2_1"/>
    <protectedRange sqref="V704:V709" name="Green_1_2_1"/>
    <protectedRange sqref="AO710:AP729 Z710:AC729 V710:V729 AU710:AV729" name="Green_7_1"/>
    <protectedRange sqref="AO730:AP751 Z730:AC751 V730:V751 AU730:AV751" name="Green_9_1"/>
    <protectedRange sqref="AO752:AP764 Z752:AC764 V752:V764 AU752:AV764" name="Green_8_1"/>
    <protectedRange sqref="AO765:AP765 Z765:AC765 V765 AU765:AV765" name="Green_1_3_1"/>
    <protectedRange sqref="AU766:AV770 V766:V770 Z766:AC770 AO766:AP770" name="Green_2_2_1"/>
    <protectedRange sqref="AO771:AP777 Z771:AC777 V771:V777 AU771:AV777" name="Green_3_2_1"/>
    <protectedRange sqref="AO778:AP782 Z778:AC782 V778:V782 AU778:AV782" name="Green_4_2_1"/>
    <protectedRange sqref="Z783:AC786 AU783:AV788 Z788:AC788 Z787 AC787 AO788:AP788 AP787 AO783:AP786" name="Green_7_1_1"/>
    <protectedRange sqref="V783:V788" name="Green_8_1_1"/>
    <protectedRange sqref="AA787:AB787" name="Green_9_1_1"/>
    <protectedRange sqref="AO787" name="Green_10_2"/>
    <protectedRange sqref="AO789:AP795 Z789:AC795 V789:V795" name="Green_17"/>
  </protectedRanges>
  <phoneticPr fontId="29" type="noConversion"/>
  <conditionalFormatting sqref="X2:X69">
    <cfRule type="expression" dxfId="186" priority="206">
      <formula>IF(OR($L2=1,$L2=2,$L2=4),     OR($X2&lt;--LEFT($Y2,FIND("-",$Y2)-1),$X2&gt;--RIGHT($Y2,LEN($Y2)-FIND("-",$Y2))),     OR($X2=0,        $X2&lt;--LEFT($Y2,FIND("-",$Y2)-1),        $X2&gt;--RIGHT($Y2,LEN($Y2)-FIND("-",$Y2))) )</formula>
    </cfRule>
  </conditionalFormatting>
  <conditionalFormatting sqref="X99:X100">
    <cfRule type="expression" dxfId="185" priority="217">
      <formula>IF(OR($M99=1,$M99=2,$M99=4),     OR($Y99&lt;--LEFT($Z99,FIND("-",$Z99)-1),$Y99&gt;--RIGHT($Z99,LEN($Z99)-FIND("-",$Z99))),     OR($Y99=0,        $Y99&lt;--LEFT($Z99,FIND("-",$Z99)-1),        $Y99&gt;--RIGHT($Z99,LEN($Z99)-FIND("-",$Z99))) )</formula>
    </cfRule>
  </conditionalFormatting>
  <conditionalFormatting sqref="X101:X277">
    <cfRule type="expression" dxfId="184" priority="33">
      <formula>IF(OR($L101=1,$L101=2,$L101=4),     OR($X101&lt;--LEFT($Y101,FIND("-",$Y101)-1),$X101&gt;--RIGHT($Y101,LEN($Y101)-FIND("-",$Y101))),     OR($X101=0,        $X101&lt;--LEFT($Y101,FIND("-",$Y101)-1),        $X101&gt;--RIGHT($Y101,LEN($Y101)-FIND("-",$Y101))) )</formula>
    </cfRule>
  </conditionalFormatting>
  <conditionalFormatting sqref="X278">
    <cfRule type="expression" dxfId="183" priority="26">
      <formula>IF(OR($L278=1,$L278=2,$L278=4),OR($X278&lt;--LEFT($Y278,FIND("-",$Y278)-1),$X278&gt;--RIGHT($Y278,LEN($Y278)-FIND("-",$Y278))),OR($X278=0,$X278&lt;--LEFT($Y278,FIND("-",$Y278)-1),$X278&gt;--RIGHT($Y278,LEN($Y278)-FIND("-",$Y278))))</formula>
    </cfRule>
  </conditionalFormatting>
  <conditionalFormatting sqref="X279">
    <cfRule type="expression" dxfId="182" priority="27">
      <formula>IF(OR($L278=1,$L278=2,$L278=4),OR($X278&lt;--LEFT($Y278,FIND("-",$Y278)-1),$X278&gt;--RIGHT($Y278,LEN($Y278)-FIND("-",$Y278))),OR($X278=0,$X278&lt;--LEFT($Y278,FIND("-",$Y278)-1),$X278&gt;--RIGHT($Y278,LEN($Y278)-FIND("-",$Y278))))</formula>
    </cfRule>
  </conditionalFormatting>
  <conditionalFormatting sqref="X280">
    <cfRule type="expression" dxfId="181" priority="28">
      <formula>IF(OR($L278=1,$L278=2,$L278=4),OR($X278&lt;--LEFT($Y278,FIND("-",$Y278)-1),$X278&gt;--RIGHT($Y278,LEN($Y278)-FIND("-",$Y278))),OR($X278=0,$X278&lt;--LEFT($Y278,FIND("-",$Y278)-1),$X278&gt;--RIGHT($Y278,LEN($Y278)-FIND("-",$Y278))))</formula>
    </cfRule>
  </conditionalFormatting>
  <conditionalFormatting sqref="X281">
    <cfRule type="expression" dxfId="180" priority="29">
      <formula>IF(OR($L278=1,$L278=2,$L278=4),OR($X278&lt;--LEFT($Y278,FIND("-",$Y278)-1),$X278&gt;--RIGHT($Y278,LEN($Y278)-FIND("-",$Y278))),OR($X278=0,$X278&lt;--LEFT($Y278,FIND("-",$Y278)-1),$X278&gt;--RIGHT($Y278,LEN($Y278)-FIND("-",$Y278))))</formula>
    </cfRule>
  </conditionalFormatting>
  <conditionalFormatting sqref="X282">
    <cfRule type="expression" dxfId="179" priority="30">
      <formula>IF(OR($L278=1,$L278=2,$L278=4),OR($X278&lt;--LEFT($Y278,FIND("-",$Y278)-1),$X278&gt;--RIGHT($Y278,LEN($Y278)-FIND("-",$Y278))),OR($X278=0,$X278&lt;--LEFT($Y278,FIND("-",$Y278)-1),$X278&gt;--RIGHT($Y278,LEN($Y278)-FIND("-",$Y278))))</formula>
    </cfRule>
  </conditionalFormatting>
  <conditionalFormatting sqref="X283">
    <cfRule type="expression" dxfId="178" priority="31">
      <formula>IF(OR($L278=1,$L278=2,$L278=4),OR($X278&lt;--LEFT($Y278,FIND("-",$Y278)-1),$X278&gt;--RIGHT($Y278,LEN($Y278)-FIND("-",$Y278))),OR($X278=0,$X278&lt;--LEFT($Y278,FIND("-",$Y278)-1),$X278&gt;--RIGHT($Y278,LEN($Y278)-FIND("-",$Y278))))</formula>
    </cfRule>
  </conditionalFormatting>
  <conditionalFormatting sqref="X284">
    <cfRule type="expression" dxfId="177" priority="32">
      <formula>IF(OR($L278=1,$L278=2,$L278=4),OR($X278&lt;--LEFT($Y278,FIND("-",$Y278)-1),$X278&gt;--RIGHT($Y278,LEN($Y278)-FIND("-",$Y278))),OR($X278=0,$X278&lt;--LEFT($Y278,FIND("-",$Y278)-1),$X278&gt;--RIGHT($Y278,LEN($Y278)-FIND("-",$Y278))))</formula>
    </cfRule>
  </conditionalFormatting>
  <conditionalFormatting sqref="X285:X325">
    <cfRule type="expression" dxfId="176" priority="25">
      <formula>IF(OR($L285=1,$L285=2,$L285=4),     OR($X285&lt;--LEFT($Y285,FIND("-",$Y285)-1),$X285&gt;--RIGHT($Y285,LEN($Y285)-FIND("-",$Y285))),     OR($X285=0,        $X285&lt;--LEFT($Y285,FIND("-",$Y285)-1),        $X285&gt;--RIGHT($Y285,LEN($Y285)-FIND("-",$Y285))) )</formula>
    </cfRule>
  </conditionalFormatting>
  <conditionalFormatting sqref="X326">
    <cfRule type="expression" dxfId="175" priority="13">
      <formula>IF(OR($L326=1,$L326=2,$L326=4),OR($X326&lt;--LEFT($Y326,FIND("-",$Y326)-1),$X326&gt;--RIGHT($Y326,LEN($Y326)-FIND("-",$Y326))),OR($X326=0,$X326&lt;--LEFT($Y326,FIND("-",$Y326)-1),$X326&gt;--RIGHT($Y326,LEN($Y326)-FIND("-",$Y326))))</formula>
    </cfRule>
  </conditionalFormatting>
  <conditionalFormatting sqref="X327">
    <cfRule type="expression" dxfId="174" priority="14">
      <formula>IF(OR($L326=1,$L326=2,$L326=4),OR($X326&lt;--LEFT($Y326,FIND("-",$Y326)-1),$X326&gt;--RIGHT($Y326,LEN($Y326)-FIND("-",$Y326))),OR($X326=0,$X326&lt;--LEFT($Y326,FIND("-",$Y326)-1),$X326&gt;--RIGHT($Y326,LEN($Y326)-FIND("-",$Y326))))</formula>
    </cfRule>
  </conditionalFormatting>
  <conditionalFormatting sqref="X328">
    <cfRule type="expression" dxfId="173" priority="15">
      <formula>IF(OR($L326=1,$L326=2,$L326=4),OR($X326&lt;--LEFT($Y326,FIND("-",$Y326)-1),$X326&gt;--RIGHT($Y326,LEN($Y326)-FIND("-",$Y326))),OR($X326=0,$X326&lt;--LEFT($Y326,FIND("-",$Y326)-1),$X326&gt;--RIGHT($Y326,LEN($Y326)-FIND("-",$Y326))))</formula>
    </cfRule>
  </conditionalFormatting>
  <conditionalFormatting sqref="X329">
    <cfRule type="expression" dxfId="172" priority="16">
      <formula>IF(OR($L326=1,$L326=2,$L326=4),OR($X326&lt;--LEFT($Y326,FIND("-",$Y326)-1),$X326&gt;--RIGHT($Y326,LEN($Y326)-FIND("-",$Y326))),OR($X326=0,$X326&lt;--LEFT($Y326,FIND("-",$Y326)-1),$X326&gt;--RIGHT($Y326,LEN($Y326)-FIND("-",$Y326))))</formula>
    </cfRule>
  </conditionalFormatting>
  <conditionalFormatting sqref="X330">
    <cfRule type="expression" dxfId="171" priority="17">
      <formula>IF(OR($L326=1,$L326=2,$L326=4),OR($X326&lt;--LEFT($Y326,FIND("-",$Y326)-1),$X326&gt;--RIGHT($Y326,LEN($Y326)-FIND("-",$Y326))),OR($X326=0,$X326&lt;--LEFT($Y326,FIND("-",$Y326)-1),$X326&gt;--RIGHT($Y326,LEN($Y326)-FIND("-",$Y326))))</formula>
    </cfRule>
  </conditionalFormatting>
  <conditionalFormatting sqref="X331">
    <cfRule type="expression" dxfId="170" priority="18">
      <formula>IF(OR($L326=1,$L326=2,$L326=4),OR($X326&lt;--LEFT($Y326,FIND("-",$Y326)-1),$X326&gt;--RIGHT($Y326,LEN($Y326)-FIND("-",$Y326))),OR($X326=0,$X326&lt;--LEFT($Y326,FIND("-",$Y326)-1),$X326&gt;--RIGHT($Y326,LEN($Y326)-FIND("-",$Y326))))</formula>
    </cfRule>
  </conditionalFormatting>
  <conditionalFormatting sqref="X332">
    <cfRule type="expression" dxfId="169" priority="19">
      <formula>IF(OR($L326=1,$L326=2,$L326=4),OR($X326&lt;--LEFT($Y326,FIND("-",$Y326)-1),$X326&gt;--RIGHT($Y326,LEN($Y326)-FIND("-",$Y326))),OR($X326=0,$X326&lt;--LEFT($Y326,FIND("-",$Y326)-1),$X326&gt;--RIGHT($Y326,LEN($Y326)-FIND("-",$Y326))))</formula>
    </cfRule>
  </conditionalFormatting>
  <conditionalFormatting sqref="X333">
    <cfRule type="expression" dxfId="168" priority="20">
      <formula>IF(OR($L326=1,$L326=2,$L326=4),OR($X326&lt;--LEFT($Y326,FIND("-",$Y326)-1),$X326&gt;--RIGHT($Y326,LEN($Y326)-FIND("-",$Y326))),OR($X326=0,$X326&lt;--LEFT($Y326,FIND("-",$Y326)-1),$X326&gt;--RIGHT($Y326,LEN($Y326)-FIND("-",$Y326))))</formula>
    </cfRule>
  </conditionalFormatting>
  <conditionalFormatting sqref="X334">
    <cfRule type="expression" dxfId="167" priority="21">
      <formula>IF(OR($L326=1,$L326=2,$L326=4),OR($X326&lt;--LEFT($Y326,FIND("-",$Y326)-1),$X326&gt;--RIGHT($Y326,LEN($Y326)-FIND("-",$Y326))),OR($X326=0,$X326&lt;--LEFT($Y326,FIND("-",$Y326)-1),$X326&gt;--RIGHT($Y326,LEN($Y326)-FIND("-",$Y326))))</formula>
    </cfRule>
  </conditionalFormatting>
  <conditionalFormatting sqref="X335">
    <cfRule type="expression" dxfId="166" priority="22">
      <formula>IF(OR($L326=1,$L326=2,$L326=4),OR($X326&lt;--LEFT($Y326,FIND("-",$Y326)-1),$X326&gt;--RIGHT($Y326,LEN($Y326)-FIND("-",$Y326))),OR($X326=0,$X326&lt;--LEFT($Y326,FIND("-",$Y326)-1),$X326&gt;--RIGHT($Y326,LEN($Y326)-FIND("-",$Y326))))</formula>
    </cfRule>
  </conditionalFormatting>
  <conditionalFormatting sqref="X336">
    <cfRule type="expression" dxfId="165" priority="23">
      <formula>IF(OR($L326=1,$L326=2,$L326=4),OR($X326&lt;--LEFT($Y326,FIND("-",$Y326)-1),$X326&gt;--RIGHT($Y326,LEN($Y326)-FIND("-",$Y326))),OR($X326=0,$X326&lt;--LEFT($Y326,FIND("-",$Y326)-1),$X326&gt;--RIGHT($Y326,LEN($Y326)-FIND("-",$Y326))))</formula>
    </cfRule>
  </conditionalFormatting>
  <conditionalFormatting sqref="X337">
    <cfRule type="expression" dxfId="164" priority="24">
      <formula>IF(OR($L326=1,$L326=2,$L326=4),OR($X326&lt;--LEFT($Y326,FIND("-",$Y326)-1),$X326&gt;--RIGHT($Y326,LEN($Y326)-FIND("-",$Y326))),OR($X326=0,$X326&lt;--LEFT($Y326,FIND("-",$Y326)-1),$X326&gt;--RIGHT($Y326,LEN($Y326)-FIND("-",$Y326))))</formula>
    </cfRule>
  </conditionalFormatting>
  <conditionalFormatting sqref="X338:X423">
    <cfRule type="expression" dxfId="163" priority="12">
      <formula>IF(OR(#REF!=1,#REF!=2,#REF!=4),OR(#REF!&lt;--LEFT(#REF!,FIND("-",#REF!)-1),#REF!&gt;--RIGHT(#REF!,LEN(#REF!)-FIND("-",#REF!))),OR(#REF!=0,#REF!&lt;--LEFT(#REF!,FIND("-",#REF!)-1),#REF!&gt;--RIGHT(#REF!,LEN(#REF!)-FIND("-",#REF!))))</formula>
    </cfRule>
  </conditionalFormatting>
  <conditionalFormatting sqref="X424:X795">
    <cfRule type="expression" dxfId="162" priority="1">
      <formula>IF(OR($L424=1,$L424=2,$L424=4),     OR($X424&lt;--LEFT($Y424,FIND("-",$Y424)-1),$X424&gt;--RIGHT($Y424,LEN($Y424)-FIND("-",$Y424))),     OR($X424=0,        $X424&lt;--LEFT($Y424,FIND("-",$Y424)-1),        $X424&gt;--RIGHT($Y424,LEN($Y424)-FIND("-",$Y424))) )</formula>
    </cfRule>
  </conditionalFormatting>
  <conditionalFormatting sqref="X450">
    <cfRule type="expression" dxfId="161" priority="140">
      <formula>IF(OR($L449=1,$L449=2,$L449=4),OR($X449&lt;--LEFT($Y449,FIND("-",$Y449)-1),$X449&gt;--RIGHT($Y449,LEN($Y449)-FIND("-",$Y449))),OR($X449=0,$X449&lt;--LEFT($Y449,FIND("-",$Y449)-1),$X449&gt;--RIGHT($Y449,LEN($Y449)-FIND("-",$Y449))))</formula>
    </cfRule>
  </conditionalFormatting>
  <conditionalFormatting sqref="X451">
    <cfRule type="expression" dxfId="160" priority="141">
      <formula>IF(OR($L449=1,$L449=2,$L449=4),OR($X449&lt;--LEFT($Y449,FIND("-",$Y449)-1),$X449&gt;--RIGHT($Y449,LEN($Y449)-FIND("-",$Y449))),OR($X449=0,$X449&lt;--LEFT($Y449,FIND("-",$Y449)-1),$X449&gt;--RIGHT($Y449,LEN($Y449)-FIND("-",$Y449))))</formula>
    </cfRule>
  </conditionalFormatting>
  <conditionalFormatting sqref="X452">
    <cfRule type="expression" dxfId="159" priority="142">
      <formula>IF(OR($L449=1,$L449=2,$L449=4),OR($X449&lt;--LEFT($Y449,FIND("-",$Y449)-1),$X449&gt;--RIGHT($Y449,LEN($Y449)-FIND("-",$Y449))),OR($X449=0,$X449&lt;--LEFT($Y449,FIND("-",$Y449)-1),$X449&gt;--RIGHT($Y449,LEN($Y449)-FIND("-",$Y449))))</formula>
    </cfRule>
  </conditionalFormatting>
  <conditionalFormatting sqref="X453">
    <cfRule type="expression" dxfId="158" priority="143">
      <formula>IF(OR($L449=1,$L449=2,$L449=4),OR($X449&lt;--LEFT($Y449,FIND("-",$Y449)-1),$X449&gt;--RIGHT($Y449,LEN($Y449)-FIND("-",$Y449))),OR($X449=0,$X449&lt;--LEFT($Y449,FIND("-",$Y449)-1),$X449&gt;--RIGHT($Y449,LEN($Y449)-FIND("-",$Y449))))</formula>
    </cfRule>
  </conditionalFormatting>
  <conditionalFormatting sqref="X454">
    <cfRule type="expression" dxfId="157" priority="144">
      <formula>IF(OR($L449=1,$L449=2,$L449=4),OR($X449&lt;--LEFT($Y449,FIND("-",$Y449)-1),$X449&gt;--RIGHT($Y449,LEN($Y449)-FIND("-",$Y449))),OR($X449=0,$X449&lt;--LEFT($Y449,FIND("-",$Y449)-1),$X449&gt;--RIGHT($Y449,LEN($Y449)-FIND("-",$Y449))))</formula>
    </cfRule>
  </conditionalFormatting>
  <conditionalFormatting sqref="X455">
    <cfRule type="expression" dxfId="156" priority="145">
      <formula>IF(OR($L449=1,$L449=2,$L449=4),OR($X449&lt;--LEFT($Y449,FIND("-",$Y449)-1),$X449&gt;--RIGHT($Y449,LEN($Y449)-FIND("-",$Y449))),OR($X449=0,$X449&lt;--LEFT($Y449,FIND("-",$Y449)-1),$X449&gt;--RIGHT($Y449,LEN($Y449)-FIND("-",$Y449))))</formula>
    </cfRule>
  </conditionalFormatting>
  <conditionalFormatting sqref="X456">
    <cfRule type="expression" dxfId="155" priority="146">
      <formula>IF(OR($L449=1,$L449=2,$L449=4),OR($X449&lt;--LEFT($Y449,FIND("-",$Y449)-1),$X449&gt;--RIGHT($Y449,LEN($Y449)-FIND("-",$Y449))),OR($X449=0,$X449&lt;--LEFT($Y449,FIND("-",$Y449)-1),$X449&gt;--RIGHT($Y449,LEN($Y449)-FIND("-",$Y449))))</formula>
    </cfRule>
  </conditionalFormatting>
  <conditionalFormatting sqref="X457">
    <cfRule type="expression" dxfId="154" priority="147">
      <formula>IF(OR($L449=1,$L449=2,$L449=4),OR($X449&lt;--LEFT($Y449,FIND("-",$Y449)-1),$X449&gt;--RIGHT($Y449,LEN($Y449)-FIND("-",$Y449))),OR($X449=0,$X449&lt;--LEFT($Y449,FIND("-",$Y449)-1),$X449&gt;--RIGHT($Y449,LEN($Y449)-FIND("-",$Y449))))</formula>
    </cfRule>
  </conditionalFormatting>
  <conditionalFormatting sqref="X458">
    <cfRule type="expression" dxfId="153" priority="148">
      <formula>IF(OR($L449=1,$L449=2,$L449=4),OR($X449&lt;--LEFT($Y449,FIND("-",$Y449)-1),$X449&gt;--RIGHT($Y449,LEN($Y449)-FIND("-",$Y449))),OR($X449=0,$X449&lt;--LEFT($Y449,FIND("-",$Y449)-1),$X449&gt;--RIGHT($Y449,LEN($Y449)-FIND("-",$Y449))))</formula>
    </cfRule>
  </conditionalFormatting>
  <conditionalFormatting sqref="X459">
    <cfRule type="expression" dxfId="152" priority="149">
      <formula>IF(OR($L449=1,$L449=2,$L449=4),OR($X449&lt;--LEFT($Y449,FIND("-",$Y449)-1),$X449&gt;--RIGHT($Y449,LEN($Y449)-FIND("-",$Y449))),OR($X449=0,$X449&lt;--LEFT($Y449,FIND("-",$Y449)-1),$X449&gt;--RIGHT($Y449,LEN($Y449)-FIND("-",$Y449))))</formula>
    </cfRule>
  </conditionalFormatting>
  <conditionalFormatting sqref="X460">
    <cfRule type="expression" dxfId="151" priority="150">
      <formula>IF(OR($L449=1,$L449=2,$L449=4),OR($X449&lt;--LEFT($Y449,FIND("-",$Y449)-1),$X449&gt;--RIGHT($Y449,LEN($Y449)-FIND("-",$Y449))),OR($X449=0,$X449&lt;--LEFT($Y449,FIND("-",$Y449)-1),$X449&gt;--RIGHT($Y449,LEN($Y449)-FIND("-",$Y449))))</formula>
    </cfRule>
  </conditionalFormatting>
  <conditionalFormatting sqref="X461">
    <cfRule type="expression" dxfId="150" priority="151">
      <formula>IF(OR($L449=1,$L449=2,$L449=4),OR($X449&lt;--LEFT($Y449,FIND("-",$Y449)-1),$X449&gt;--RIGHT($Y449,LEN($Y449)-FIND("-",$Y449))),OR($X449=0,$X449&lt;--LEFT($Y449,FIND("-",$Y449)-1),$X449&gt;--RIGHT($Y449,LEN($Y449)-FIND("-",$Y449))))</formula>
    </cfRule>
  </conditionalFormatting>
  <conditionalFormatting sqref="X462">
    <cfRule type="expression" dxfId="149" priority="152">
      <formula>IF(OR($L449=1,$L449=2,$L449=4),OR($X449&lt;--LEFT($Y449,FIND("-",$Y449)-1),$X449&gt;--RIGHT($Y449,LEN($Y449)-FIND("-",$Y449))),OR($X449=0,$X449&lt;--LEFT($Y449,FIND("-",$Y449)-1),$X449&gt;--RIGHT($Y449,LEN($Y449)-FIND("-",$Y449))))</formula>
    </cfRule>
  </conditionalFormatting>
  <conditionalFormatting sqref="X463">
    <cfRule type="expression" dxfId="148" priority="153">
      <formula>IF(OR($L449=1,$L449=2,$L449=4),OR($X449&lt;--LEFT($Y449,FIND("-",$Y449)-1),$X449&gt;--RIGHT($Y449,LEN($Y449)-FIND("-",$Y449))),OR($X449=0,$X449&lt;--LEFT($Y449,FIND("-",$Y449)-1),$X449&gt;--RIGHT($Y449,LEN($Y449)-FIND("-",$Y449))))</formula>
    </cfRule>
  </conditionalFormatting>
  <conditionalFormatting sqref="X464">
    <cfRule type="expression" dxfId="147" priority="154">
      <formula>IF(OR($L449=1,$L449=2,$L449=4),OR($X449&lt;--LEFT($Y449,FIND("-",$Y449)-1),$X449&gt;--RIGHT($Y449,LEN($Y449)-FIND("-",$Y449))),OR($X449=0,$X449&lt;--LEFT($Y449,FIND("-",$Y449)-1),$X449&gt;--RIGHT($Y449,LEN($Y449)-FIND("-",$Y449))))</formula>
    </cfRule>
  </conditionalFormatting>
  <conditionalFormatting sqref="X465">
    <cfRule type="expression" dxfId="146" priority="155">
      <formula>IF(OR($L449=1,$L449=2,$L449=4),OR($X449&lt;--LEFT($Y449,FIND("-",$Y449)-1),$X449&gt;--RIGHT($Y449,LEN($Y449)-FIND("-",$Y449))),OR($X449=0,$X449&lt;--LEFT($Y449,FIND("-",$Y449)-1),$X449&gt;--RIGHT($Y449,LEN($Y449)-FIND("-",$Y449))))</formula>
    </cfRule>
  </conditionalFormatting>
  <conditionalFormatting sqref="X466">
    <cfRule type="expression" dxfId="145" priority="156">
      <formula>IF(OR($L449=1,$L449=2,$L449=4),OR($X449&lt;--LEFT($Y449,FIND("-",$Y449)-1),$X449&gt;--RIGHT($Y449,LEN($Y449)-FIND("-",$Y449))),OR($X449=0,$X449&lt;--LEFT($Y449,FIND("-",$Y449)-1),$X449&gt;--RIGHT($Y449,LEN($Y449)-FIND("-",$Y449))))</formula>
    </cfRule>
  </conditionalFormatting>
  <conditionalFormatting sqref="X467">
    <cfRule type="expression" dxfId="144" priority="157">
      <formula>IF(OR($L449=1,$L449=2,$L449=4),OR($X449&lt;--LEFT($Y449,FIND("-",$Y449)-1),$X449&gt;--RIGHT($Y449,LEN($Y449)-FIND("-",$Y449))),OR($X449=0,$X449&lt;--LEFT($Y449,FIND("-",$Y449)-1),$X449&gt;--RIGHT($Y449,LEN($Y449)-FIND("-",$Y449))))</formula>
    </cfRule>
  </conditionalFormatting>
  <conditionalFormatting sqref="X468">
    <cfRule type="expression" dxfId="143" priority="158">
      <formula>IF(OR($L449=1,$L449=2,$L449=4),OR($X449&lt;--LEFT($Y449,FIND("-",$Y449)-1),$X449&gt;--RIGHT($Y449,LEN($Y449)-FIND("-",$Y449))),OR($X449=0,$X449&lt;--LEFT($Y449,FIND("-",$Y449)-1),$X449&gt;--RIGHT($Y449,LEN($Y449)-FIND("-",$Y449))))</formula>
    </cfRule>
  </conditionalFormatting>
  <conditionalFormatting sqref="X469">
    <cfRule type="expression" dxfId="142" priority="159">
      <formula>IF(OR($L449=1,$L449=2,$L449=4),OR($X449&lt;--LEFT($Y449,FIND("-",$Y449)-1),$X449&gt;--RIGHT($Y449,LEN($Y449)-FIND("-",$Y449))),OR($X449=0,$X449&lt;--LEFT($Y449,FIND("-",$Y449)-1),$X449&gt;--RIGHT($Y449,LEN($Y449)-FIND("-",$Y449))))</formula>
    </cfRule>
  </conditionalFormatting>
  <conditionalFormatting sqref="X470">
    <cfRule type="expression" dxfId="141" priority="160">
      <formula>IF(OR($L449=1,$L449=2,$L449=4),OR($X449&lt;--LEFT($Y449,FIND("-",$Y449)-1),$X449&gt;--RIGHT($Y449,LEN($Y449)-FIND("-",$Y449))),OR($X449=0,$X449&lt;--LEFT($Y449,FIND("-",$Y449)-1),$X449&gt;--RIGHT($Y449,LEN($Y449)-FIND("-",$Y449))))</formula>
    </cfRule>
  </conditionalFormatting>
  <conditionalFormatting sqref="X471">
    <cfRule type="expression" dxfId="140" priority="161">
      <formula>IF(OR($L449=1,$L449=2,$L449=4),OR($X449&lt;--LEFT($Y449,FIND("-",$Y449)-1),$X449&gt;--RIGHT($Y449,LEN($Y449)-FIND("-",$Y449))),OR($X449=0,$X449&lt;--LEFT($Y449,FIND("-",$Y449)-1),$X449&gt;--RIGHT($Y449,LEN($Y449)-FIND("-",$Y449))))</formula>
    </cfRule>
  </conditionalFormatting>
  <conditionalFormatting sqref="X473">
    <cfRule type="expression" dxfId="139" priority="52">
      <formula>IF(OR($L472=1,$L472=2,$L472=4),OR($X472&lt;--LEFT($Y472,FIND("-",$Y472)-1),$X472&gt;--RIGHT($Y472,LEN($Y472)-FIND("-",$Y472))),OR($X472=0,$X472&lt;--LEFT($Y472,FIND("-",$Y472)-1),$X472&gt;--RIGHT($Y472,LEN($Y472)-FIND("-",$Y472))))</formula>
    </cfRule>
  </conditionalFormatting>
  <conditionalFormatting sqref="X474">
    <cfRule type="expression" dxfId="138" priority="53">
      <formula>IF(OR($L472=1,$L472=2,$L472=4),OR($X472&lt;--LEFT($Y472,FIND("-",$Y472)-1),$X472&gt;--RIGHT($Y472,LEN($Y472)-FIND("-",$Y472))),OR($X472=0,$X472&lt;--LEFT($Y472,FIND("-",$Y472)-1),$X472&gt;--RIGHT($Y472,LEN($Y472)-FIND("-",$Y472))))</formula>
    </cfRule>
  </conditionalFormatting>
  <conditionalFormatting sqref="X475">
    <cfRule type="expression" dxfId="137" priority="54">
      <formula>IF(OR($L472=1,$L472=2,$L472=4),OR($X472&lt;--LEFT($Y472,FIND("-",$Y472)-1),$X472&gt;--RIGHT($Y472,LEN($Y472)-FIND("-",$Y472))),OR($X472=0,$X472&lt;--LEFT($Y472,FIND("-",$Y472)-1),$X472&gt;--RIGHT($Y472,LEN($Y472)-FIND("-",$Y472))))</formula>
    </cfRule>
  </conditionalFormatting>
  <conditionalFormatting sqref="X476">
    <cfRule type="expression" dxfId="136" priority="55">
      <formula>IF(OR($L472=1,$L472=2,$L472=4),OR($X472&lt;--LEFT($Y472,FIND("-",$Y472)-1),$X472&gt;--RIGHT($Y472,LEN($Y472)-FIND("-",$Y472))),OR($X472=0,$X472&lt;--LEFT($Y472,FIND("-",$Y472)-1),$X472&gt;--RIGHT($Y472,LEN($Y472)-FIND("-",$Y472))))</formula>
    </cfRule>
  </conditionalFormatting>
  <conditionalFormatting sqref="X477">
    <cfRule type="expression" dxfId="135" priority="56">
      <formula>IF(OR($L472=1,$L472=2,$L472=4),OR($X472&lt;--LEFT($Y472,FIND("-",$Y472)-1),$X472&gt;--RIGHT($Y472,LEN($Y472)-FIND("-",$Y472))),OR($X472=0,$X472&lt;--LEFT($Y472,FIND("-",$Y472)-1),$X472&gt;--RIGHT($Y472,LEN($Y472)-FIND("-",$Y472))))</formula>
    </cfRule>
  </conditionalFormatting>
  <conditionalFormatting sqref="X478">
    <cfRule type="expression" dxfId="134" priority="57">
      <formula>IF(OR($L472=1,$L472=2,$L472=4),OR($X472&lt;--LEFT($Y472,FIND("-",$Y472)-1),$X472&gt;--RIGHT($Y472,LEN($Y472)-FIND("-",$Y472))),OR($X472=0,$X472&lt;--LEFT($Y472,FIND("-",$Y472)-1),$X472&gt;--RIGHT($Y472,LEN($Y472)-FIND("-",$Y472))))</formula>
    </cfRule>
  </conditionalFormatting>
  <conditionalFormatting sqref="X479">
    <cfRule type="expression" dxfId="133" priority="58">
      <formula>IF(OR($L472=1,$L472=2,$L472=4),OR($X472&lt;--LEFT($Y472,FIND("-",$Y472)-1),$X472&gt;--RIGHT($Y472,LEN($Y472)-FIND("-",$Y472))),OR($X472=0,$X472&lt;--LEFT($Y472,FIND("-",$Y472)-1),$X472&gt;--RIGHT($Y472,LEN($Y472)-FIND("-",$Y472))))</formula>
    </cfRule>
  </conditionalFormatting>
  <conditionalFormatting sqref="X480">
    <cfRule type="expression" dxfId="132" priority="59">
      <formula>IF(OR($L472=1,$L472=2,$L472=4),OR($X472&lt;--LEFT($Y472,FIND("-",$Y472)-1),$X472&gt;--RIGHT($Y472,LEN($Y472)-FIND("-",$Y472))),OR($X472=0,$X472&lt;--LEFT($Y472,FIND("-",$Y472)-1),$X472&gt;--RIGHT($Y472,LEN($Y472)-FIND("-",$Y472))))</formula>
    </cfRule>
  </conditionalFormatting>
  <conditionalFormatting sqref="X481">
    <cfRule type="expression" dxfId="131" priority="60">
      <formula>IF(OR($L472=1,$L472=2,$L472=4),OR($X472&lt;--LEFT($Y472,FIND("-",$Y472)-1),$X472&gt;--RIGHT($Y472,LEN($Y472)-FIND("-",$Y472))),OR($X472=0,$X472&lt;--LEFT($Y472,FIND("-",$Y472)-1),$X472&gt;--RIGHT($Y472,LEN($Y472)-FIND("-",$Y472))))</formula>
    </cfRule>
  </conditionalFormatting>
  <conditionalFormatting sqref="X482">
    <cfRule type="expression" dxfId="130" priority="61">
      <formula>IF(OR($L472=1,$L472=2,$L472=4),OR($X472&lt;--LEFT($Y472,FIND("-",$Y472)-1),$X472&gt;--RIGHT($Y472,LEN($Y472)-FIND("-",$Y472))),OR($X472=0,$X472&lt;--LEFT($Y472,FIND("-",$Y472)-1),$X472&gt;--RIGHT($Y472,LEN($Y472)-FIND("-",$Y472))))</formula>
    </cfRule>
  </conditionalFormatting>
  <conditionalFormatting sqref="X483">
    <cfRule type="expression" dxfId="129" priority="62">
      <formula>IF(OR($L472=1,$L472=2,$L472=4),OR($X472&lt;--LEFT($Y472,FIND("-",$Y472)-1),$X472&gt;--RIGHT($Y472,LEN($Y472)-FIND("-",$Y472))),OR($X472=0,$X472&lt;--LEFT($Y472,FIND("-",$Y472)-1),$X472&gt;--RIGHT($Y472,LEN($Y472)-FIND("-",$Y472))))</formula>
    </cfRule>
  </conditionalFormatting>
  <conditionalFormatting sqref="X484">
    <cfRule type="expression" dxfId="128" priority="63">
      <formula>IF(OR($L472=1,$L472=2,$L472=4),OR($X472&lt;--LEFT($Y472,FIND("-",$Y472)-1),$X472&gt;--RIGHT($Y472,LEN($Y472)-FIND("-",$Y472))),OR($X472=0,$X472&lt;--LEFT($Y472,FIND("-",$Y472)-1),$X472&gt;--RIGHT($Y472,LEN($Y472)-FIND("-",$Y472))))</formula>
    </cfRule>
  </conditionalFormatting>
  <conditionalFormatting sqref="X485">
    <cfRule type="expression" dxfId="127" priority="64">
      <formula>IF(OR($L472=1,$L472=2,$L472=4),OR($X472&lt;--LEFT($Y472,FIND("-",$Y472)-1),$X472&gt;--RIGHT($Y472,LEN($Y472)-FIND("-",$Y472))),OR($X472=0,$X472&lt;--LEFT($Y472,FIND("-",$Y472)-1),$X472&gt;--RIGHT($Y472,LEN($Y472)-FIND("-",$Y472))))</formula>
    </cfRule>
  </conditionalFormatting>
  <conditionalFormatting sqref="X486">
    <cfRule type="expression" dxfId="126" priority="65">
      <formula>IF(OR($L472=1,$L472=2,$L472=4),OR($X472&lt;--LEFT($Y472,FIND("-",$Y472)-1),$X472&gt;--RIGHT($Y472,LEN($Y472)-FIND("-",$Y472))),OR($X472=0,$X472&lt;--LEFT($Y472,FIND("-",$Y472)-1),$X472&gt;--RIGHT($Y472,LEN($Y472)-FIND("-",$Y472))))</formula>
    </cfRule>
  </conditionalFormatting>
  <conditionalFormatting sqref="X487">
    <cfRule type="expression" dxfId="125" priority="66">
      <formula>IF(OR($L472=1,$L472=2,$L472=4),OR($X472&lt;--LEFT($Y472,FIND("-",$Y472)-1),$X472&gt;--RIGHT($Y472,LEN($Y472)-FIND("-",$Y472))),OR($X472=0,$X472&lt;--LEFT($Y472,FIND("-",$Y472)-1),$X472&gt;--RIGHT($Y472,LEN($Y472)-FIND("-",$Y472))))</formula>
    </cfRule>
  </conditionalFormatting>
  <conditionalFormatting sqref="X488">
    <cfRule type="expression" dxfId="124" priority="67">
      <formula>IF(OR($L472=1,$L472=2,$L472=4),OR($X472&lt;--LEFT($Y472,FIND("-",$Y472)-1),$X472&gt;--RIGHT($Y472,LEN($Y472)-FIND("-",$Y472))),OR($X472=0,$X472&lt;--LEFT($Y472,FIND("-",$Y472)-1),$X472&gt;--RIGHT($Y472,LEN($Y472)-FIND("-",$Y472))))</formula>
    </cfRule>
  </conditionalFormatting>
  <conditionalFormatting sqref="X489">
    <cfRule type="expression" dxfId="123" priority="68">
      <formula>IF(OR($L472=1,$L472=2,$L472=4),OR($X472&lt;--LEFT($Y472,FIND("-",$Y472)-1),$X472&gt;--RIGHT($Y472,LEN($Y472)-FIND("-",$Y472))),OR($X472=0,$X472&lt;--LEFT($Y472,FIND("-",$Y472)-1),$X472&gt;--RIGHT($Y472,LEN($Y472)-FIND("-",$Y472))))</formula>
    </cfRule>
  </conditionalFormatting>
  <conditionalFormatting sqref="X490">
    <cfRule type="expression" dxfId="122" priority="69">
      <formula>IF(OR($L472=1,$L472=2,$L472=4),OR($X472&lt;--LEFT($Y472,FIND("-",$Y472)-1),$X472&gt;--RIGHT($Y472,LEN($Y472)-FIND("-",$Y472))),OR($X472=0,$X472&lt;--LEFT($Y472,FIND("-",$Y472)-1),$X472&gt;--RIGHT($Y472,LEN($Y472)-FIND("-",$Y472))))</formula>
    </cfRule>
  </conditionalFormatting>
  <conditionalFormatting sqref="X491">
    <cfRule type="expression" dxfId="121" priority="70">
      <formula>IF(OR($L472=1,$L472=2,$L472=4),OR($X472&lt;--LEFT($Y472,FIND("-",$Y472)-1),$X472&gt;--RIGHT($Y472,LEN($Y472)-FIND("-",$Y472))),OR($X472=0,$X472&lt;--LEFT($Y472,FIND("-",$Y472)-1),$X472&gt;--RIGHT($Y472,LEN($Y472)-FIND("-",$Y472))))</formula>
    </cfRule>
  </conditionalFormatting>
  <conditionalFormatting sqref="X492">
    <cfRule type="expression" dxfId="120" priority="71">
      <formula>IF(OR($L472=1,$L472=2,$L472=4),OR($X472&lt;--LEFT($Y472,FIND("-",$Y472)-1),$X472&gt;--RIGHT($Y472,LEN($Y472)-FIND("-",$Y472))),OR($X472=0,$X472&lt;--LEFT($Y472,FIND("-",$Y472)-1),$X472&gt;--RIGHT($Y472,LEN($Y472)-FIND("-",$Y472))))</formula>
    </cfRule>
  </conditionalFormatting>
  <conditionalFormatting sqref="X493">
    <cfRule type="expression" dxfId="119" priority="72">
      <formula>IF(OR($L472=1,$L472=2,$L472=4),OR($X472&lt;--LEFT($Y472,FIND("-",$Y472)-1),$X472&gt;--RIGHT($Y472,LEN($Y472)-FIND("-",$Y472))),OR($X472=0,$X472&lt;--LEFT($Y472,FIND("-",$Y472)-1),$X472&gt;--RIGHT($Y472,LEN($Y472)-FIND("-",$Y472))))</formula>
    </cfRule>
  </conditionalFormatting>
  <conditionalFormatting sqref="X494">
    <cfRule type="expression" dxfId="118" priority="73">
      <formula>IF(OR($L472=1,$L472=2,$L472=4),OR($X472&lt;--LEFT($Y472,FIND("-",$Y472)-1),$X472&gt;--RIGHT($Y472,LEN($Y472)-FIND("-",$Y472))),OR($X472=0,$X472&lt;--LEFT($Y472,FIND("-",$Y472)-1),$X472&gt;--RIGHT($Y472,LEN($Y472)-FIND("-",$Y472))))</formula>
    </cfRule>
  </conditionalFormatting>
  <conditionalFormatting sqref="X495">
    <cfRule type="expression" dxfId="117" priority="74">
      <formula>IF(OR($L472=1,$L472=2,$L472=4),OR($X472&lt;--LEFT($Y472,FIND("-",$Y472)-1),$X472&gt;--RIGHT($Y472,LEN($Y472)-FIND("-",$Y472))),OR($X472=0,$X472&lt;--LEFT($Y472,FIND("-",$Y472)-1),$X472&gt;--RIGHT($Y472,LEN($Y472)-FIND("-",$Y472))))</formula>
    </cfRule>
  </conditionalFormatting>
  <conditionalFormatting sqref="X496">
    <cfRule type="expression" dxfId="116" priority="75">
      <formula>IF(OR($L472=1,$L472=2,$L472=4),OR($X472&lt;--LEFT($Y472,FIND("-",$Y472)-1),$X472&gt;--RIGHT($Y472,LEN($Y472)-FIND("-",$Y472))),OR($X472=0,$X472&lt;--LEFT($Y472,FIND("-",$Y472)-1),$X472&gt;--RIGHT($Y472,LEN($Y472)-FIND("-",$Y472))))</formula>
    </cfRule>
  </conditionalFormatting>
  <conditionalFormatting sqref="X497">
    <cfRule type="expression" dxfId="115" priority="76">
      <formula>IF(OR($L472=1,$L472=2,$L472=4),OR($X472&lt;--LEFT($Y472,FIND("-",$Y472)-1),$X472&gt;--RIGHT($Y472,LEN($Y472)-FIND("-",$Y472))),OR($X472=0,$X472&lt;--LEFT($Y472,FIND("-",$Y472)-1),$X472&gt;--RIGHT($Y472,LEN($Y472)-FIND("-",$Y472))))</formula>
    </cfRule>
  </conditionalFormatting>
  <conditionalFormatting sqref="X498">
    <cfRule type="expression" dxfId="114" priority="77">
      <formula>IF(OR($L472=1,$L472=2,$L472=4),OR($X472&lt;--LEFT($Y472,FIND("-",$Y472)-1),$X472&gt;--RIGHT($Y472,LEN($Y472)-FIND("-",$Y472))),OR($X472=0,$X472&lt;--LEFT($Y472,FIND("-",$Y472)-1),$X472&gt;--RIGHT($Y472,LEN($Y472)-FIND("-",$Y472))))</formula>
    </cfRule>
  </conditionalFormatting>
  <conditionalFormatting sqref="X499">
    <cfRule type="expression" dxfId="113" priority="78">
      <formula>IF(OR($L472=1,$L472=2,$L472=4),OR($X472&lt;--LEFT($Y472,FIND("-",$Y472)-1),$X472&gt;--RIGHT($Y472,LEN($Y472)-FIND("-",$Y472))),OR($X472=0,$X472&lt;--LEFT($Y472,FIND("-",$Y472)-1),$X472&gt;--RIGHT($Y472,LEN($Y472)-FIND("-",$Y472))))</formula>
    </cfRule>
  </conditionalFormatting>
  <conditionalFormatting sqref="X500">
    <cfRule type="expression" dxfId="112" priority="79">
      <formula>IF(OR($L472=1,$L472=2,$L472=4),OR($X472&lt;--LEFT($Y472,FIND("-",$Y472)-1),$X472&gt;--RIGHT($Y472,LEN($Y472)-FIND("-",$Y472))),OR($X472=0,$X472&lt;--LEFT($Y472,FIND("-",$Y472)-1),$X472&gt;--RIGHT($Y472,LEN($Y472)-FIND("-",$Y472))))</formula>
    </cfRule>
  </conditionalFormatting>
  <conditionalFormatting sqref="X501">
    <cfRule type="expression" dxfId="111" priority="80">
      <formula>IF(OR($L472=1,$L472=2,$L472=4),OR($X472&lt;--LEFT($Y472,FIND("-",$Y472)-1),$X472&gt;--RIGHT($Y472,LEN($Y472)-FIND("-",$Y472))),OR($X472=0,$X472&lt;--LEFT($Y472,FIND("-",$Y472)-1),$X472&gt;--RIGHT($Y472,LEN($Y472)-FIND("-",$Y472))))</formula>
    </cfRule>
  </conditionalFormatting>
  <conditionalFormatting sqref="X502">
    <cfRule type="expression" dxfId="110" priority="81">
      <formula>IF(OR($L472=1,$L472=2,$L472=4),OR($X472&lt;--LEFT($Y472,FIND("-",$Y472)-1),$X472&gt;--RIGHT($Y472,LEN($Y472)-FIND("-",$Y472))),OR($X472=0,$X472&lt;--LEFT($Y472,FIND("-",$Y472)-1),$X472&gt;--RIGHT($Y472,LEN($Y472)-FIND("-",$Y472))))</formula>
    </cfRule>
  </conditionalFormatting>
  <conditionalFormatting sqref="X503">
    <cfRule type="expression" dxfId="109" priority="82">
      <formula>IF(OR($L472=1,$L472=2,$L472=4),OR($X472&lt;--LEFT($Y472,FIND("-",$Y472)-1),$X472&gt;--RIGHT($Y472,LEN($Y472)-FIND("-",$Y472))),OR($X472=0,$X472&lt;--LEFT($Y472,FIND("-",$Y472)-1),$X472&gt;--RIGHT($Y472,LEN($Y472)-FIND("-",$Y472))))</formula>
    </cfRule>
  </conditionalFormatting>
  <conditionalFormatting sqref="X504">
    <cfRule type="expression" dxfId="108" priority="83">
      <formula>IF(OR($L472=1,$L472=2,$L472=4),OR($X472&lt;--LEFT($Y472,FIND("-",$Y472)-1),$X472&gt;--RIGHT($Y472,LEN($Y472)-FIND("-",$Y472))),OR($X472=0,$X472&lt;--LEFT($Y472,FIND("-",$Y472)-1),$X472&gt;--RIGHT($Y472,LEN($Y472)-FIND("-",$Y472))))</formula>
    </cfRule>
  </conditionalFormatting>
  <conditionalFormatting sqref="X505">
    <cfRule type="expression" dxfId="107" priority="84">
      <formula>IF(OR($L472=1,$L472=2,$L472=4),OR($X472&lt;--LEFT($Y472,FIND("-",$Y472)-1),$X472&gt;--RIGHT($Y472,LEN($Y472)-FIND("-",$Y472))),OR($X472=0,$X472&lt;--LEFT($Y472,FIND("-",$Y472)-1),$X472&gt;--RIGHT($Y472,LEN($Y472)-FIND("-",$Y472))))</formula>
    </cfRule>
  </conditionalFormatting>
  <conditionalFormatting sqref="X506">
    <cfRule type="expression" dxfId="106" priority="85">
      <formula>IF(OR($L472=1,$L472=2,$L472=4),OR($X472&lt;--LEFT($Y472,FIND("-",$Y472)-1),$X472&gt;--RIGHT($Y472,LEN($Y472)-FIND("-",$Y472))),OR($X472=0,$X472&lt;--LEFT($Y472,FIND("-",$Y472)-1),$X472&gt;--RIGHT($Y472,LEN($Y472)-FIND("-",$Y472))))</formula>
    </cfRule>
  </conditionalFormatting>
  <conditionalFormatting sqref="X507">
    <cfRule type="expression" dxfId="105" priority="86">
      <formula>IF(OR($L472=1,$L472=2,$L472=4),OR($X472&lt;--LEFT($Y472,FIND("-",$Y472)-1),$X472&gt;--RIGHT($Y472,LEN($Y472)-FIND("-",$Y472))),OR($X472=0,$X472&lt;--LEFT($Y472,FIND("-",$Y472)-1),$X472&gt;--RIGHT($Y472,LEN($Y472)-FIND("-",$Y472))))</formula>
    </cfRule>
  </conditionalFormatting>
  <conditionalFormatting sqref="X508">
    <cfRule type="expression" dxfId="104" priority="87">
      <formula>IF(OR($L472=1,$L472=2,$L472=4),OR($X472&lt;--LEFT($Y472,FIND("-",$Y472)-1),$X472&gt;--RIGHT($Y472,LEN($Y472)-FIND("-",$Y472))),OR($X472=0,$X472&lt;--LEFT($Y472,FIND("-",$Y472)-1),$X472&gt;--RIGHT($Y472,LEN($Y472)-FIND("-",$Y472))))</formula>
    </cfRule>
  </conditionalFormatting>
  <conditionalFormatting sqref="X509">
    <cfRule type="expression" dxfId="103" priority="88">
      <formula>IF(OR($L472=1,$L472=2,$L472=4),OR($X472&lt;--LEFT($Y472,FIND("-",$Y472)-1),$X472&gt;--RIGHT($Y472,LEN($Y472)-FIND("-",$Y472))),OR($X472=0,$X472&lt;--LEFT($Y472,FIND("-",$Y472)-1),$X472&gt;--RIGHT($Y472,LEN($Y472)-FIND("-",$Y472))))</formula>
    </cfRule>
  </conditionalFormatting>
  <conditionalFormatting sqref="X510">
    <cfRule type="expression" dxfId="102" priority="89">
      <formula>IF(OR($L472=1,$L472=2,$L472=4),OR($X472&lt;--LEFT($Y472,FIND("-",$Y472)-1),$X472&gt;--RIGHT($Y472,LEN($Y472)-FIND("-",$Y472))),OR($X472=0,$X472&lt;--LEFT($Y472,FIND("-",$Y472)-1),$X472&gt;--RIGHT($Y472,LEN($Y472)-FIND("-",$Y472))))</formula>
    </cfRule>
  </conditionalFormatting>
  <conditionalFormatting sqref="X511">
    <cfRule type="expression" dxfId="101" priority="90">
      <formula>IF(OR($L472=1,$L472=2,$L472=4),OR($X472&lt;--LEFT($Y472,FIND("-",$Y472)-1),$X472&gt;--RIGHT($Y472,LEN($Y472)-FIND("-",$Y472))),OR($X472=0,$X472&lt;--LEFT($Y472,FIND("-",$Y472)-1),$X472&gt;--RIGHT($Y472,LEN($Y472)-FIND("-",$Y472))))</formula>
    </cfRule>
  </conditionalFormatting>
  <conditionalFormatting sqref="X512">
    <cfRule type="expression" dxfId="100" priority="91">
      <formula>IF(OR($L472=1,$L472=2,$L472=4),OR($X472&lt;--LEFT($Y472,FIND("-",$Y472)-1),$X472&gt;--RIGHT($Y472,LEN($Y472)-FIND("-",$Y472))),OR($X472=0,$X472&lt;--LEFT($Y472,FIND("-",$Y472)-1),$X472&gt;--RIGHT($Y472,LEN($Y472)-FIND("-",$Y472))))</formula>
    </cfRule>
  </conditionalFormatting>
  <conditionalFormatting sqref="X513">
    <cfRule type="expression" dxfId="99" priority="92">
      <formula>IF(OR($L472=1,$L472=2,$L472=4),OR($X472&lt;--LEFT($Y472,FIND("-",$Y472)-1),$X472&gt;--RIGHT($Y472,LEN($Y472)-FIND("-",$Y472))),OR($X472=0,$X472&lt;--LEFT($Y472,FIND("-",$Y472)-1),$X472&gt;--RIGHT($Y472,LEN($Y472)-FIND("-",$Y472))))</formula>
    </cfRule>
  </conditionalFormatting>
  <conditionalFormatting sqref="X514">
    <cfRule type="expression" dxfId="98" priority="93">
      <formula>IF(OR($L472=1,$L472=2,$L472=4),OR($X472&lt;--LEFT($Y472,FIND("-",$Y472)-1),$X472&gt;--RIGHT($Y472,LEN($Y472)-FIND("-",$Y472))),OR($X472=0,$X472&lt;--LEFT($Y472,FIND("-",$Y472)-1),$X472&gt;--RIGHT($Y472,LEN($Y472)-FIND("-",$Y472))))</formula>
    </cfRule>
  </conditionalFormatting>
  <conditionalFormatting sqref="X515">
    <cfRule type="expression" dxfId="97" priority="94">
      <formula>IF(OR($L472=1,$L472=2,$L472=4),OR($X472&lt;--LEFT($Y472,FIND("-",$Y472)-1),$X472&gt;--RIGHT($Y472,LEN($Y472)-FIND("-",$Y472))),OR($X472=0,$X472&lt;--LEFT($Y472,FIND("-",$Y472)-1),$X472&gt;--RIGHT($Y472,LEN($Y472)-FIND("-",$Y472))))</formula>
    </cfRule>
  </conditionalFormatting>
  <conditionalFormatting sqref="X516">
    <cfRule type="expression" dxfId="96" priority="95">
      <formula>IF(OR($L472=1,$L472=2,$L472=4),OR($X472&lt;--LEFT($Y472,FIND("-",$Y472)-1),$X472&gt;--RIGHT($Y472,LEN($Y472)-FIND("-",$Y472))),OR($X472=0,$X472&lt;--LEFT($Y472,FIND("-",$Y472)-1),$X472&gt;--RIGHT($Y472,LEN($Y472)-FIND("-",$Y472))))</formula>
    </cfRule>
  </conditionalFormatting>
  <conditionalFormatting sqref="X517">
    <cfRule type="expression" dxfId="95" priority="96">
      <formula>IF(OR($L472=1,$L472=2,$L472=4),OR($X472&lt;--LEFT($Y472,FIND("-",$Y472)-1),$X472&gt;--RIGHT($Y472,LEN($Y472)-FIND("-",$Y472))),OR($X472=0,$X472&lt;--LEFT($Y472,FIND("-",$Y472)-1),$X472&gt;--RIGHT($Y472,LEN($Y472)-FIND("-",$Y472))))</formula>
    </cfRule>
  </conditionalFormatting>
  <conditionalFormatting sqref="X518">
    <cfRule type="expression" dxfId="94" priority="97">
      <formula>IF(OR($L472=1,$L472=2,$L472=4),OR($X472&lt;--LEFT($Y472,FIND("-",$Y472)-1),$X472&gt;--RIGHT($Y472,LEN($Y472)-FIND("-",$Y472))),OR($X472=0,$X472&lt;--LEFT($Y472,FIND("-",$Y472)-1),$X472&gt;--RIGHT($Y472,LEN($Y472)-FIND("-",$Y472))))</formula>
    </cfRule>
  </conditionalFormatting>
  <conditionalFormatting sqref="X519">
    <cfRule type="expression" dxfId="93" priority="98">
      <formula>IF(OR($L472=1,$L472=2,$L472=4),OR($X472&lt;--LEFT($Y472,FIND("-",$Y472)-1),$X472&gt;--RIGHT($Y472,LEN($Y472)-FIND("-",$Y472))),OR($X472=0,$X472&lt;--LEFT($Y472,FIND("-",$Y472)-1),$X472&gt;--RIGHT($Y472,LEN($Y472)-FIND("-",$Y472))))</formula>
    </cfRule>
  </conditionalFormatting>
  <conditionalFormatting sqref="X520">
    <cfRule type="expression" dxfId="92" priority="99">
      <formula>IF(OR($L472=1,$L472=2,$L472=4),OR($X472&lt;--LEFT($Y472,FIND("-",$Y472)-1),$X472&gt;--RIGHT($Y472,LEN($Y472)-FIND("-",$Y472))),OR($X472=0,$X472&lt;--LEFT($Y472,FIND("-",$Y472)-1),$X472&gt;--RIGHT($Y472,LEN($Y472)-FIND("-",$Y472))))</formula>
    </cfRule>
  </conditionalFormatting>
  <conditionalFormatting sqref="X521">
    <cfRule type="expression" dxfId="91" priority="100">
      <formula>IF(OR($L472=1,$L472=2,$L472=4),OR($X472&lt;--LEFT($Y472,FIND("-",$Y472)-1),$X472&gt;--RIGHT($Y472,LEN($Y472)-FIND("-",$Y472))),OR($X472=0,$X472&lt;--LEFT($Y472,FIND("-",$Y472)-1),$X472&gt;--RIGHT($Y472,LEN($Y472)-FIND("-",$Y472))))</formula>
    </cfRule>
  </conditionalFormatting>
  <conditionalFormatting sqref="X522">
    <cfRule type="expression" dxfId="90" priority="101">
      <formula>IF(OR($L472=1,$L472=2,$L472=4),OR($X472&lt;--LEFT($Y472,FIND("-",$Y472)-1),$X472&gt;--RIGHT($Y472,LEN($Y472)-FIND("-",$Y472))),OR($X472=0,$X472&lt;--LEFT($Y472,FIND("-",$Y472)-1),$X472&gt;--RIGHT($Y472,LEN($Y472)-FIND("-",$Y472))))</formula>
    </cfRule>
  </conditionalFormatting>
  <conditionalFormatting sqref="X523">
    <cfRule type="expression" dxfId="89" priority="102">
      <formula>IF(OR($L472=1,$L472=2,$L472=4),OR($X472&lt;--LEFT($Y472,FIND("-",$Y472)-1),$X472&gt;--RIGHT($Y472,LEN($Y472)-FIND("-",$Y472))),OR($X472=0,$X472&lt;--LEFT($Y472,FIND("-",$Y472)-1),$X472&gt;--RIGHT($Y472,LEN($Y472)-FIND("-",$Y472))))</formula>
    </cfRule>
  </conditionalFormatting>
  <conditionalFormatting sqref="X524">
    <cfRule type="expression" dxfId="88" priority="103">
      <formula>IF(OR($L472=1,$L472=2,$L472=4),OR($X472&lt;--LEFT($Y472,FIND("-",$Y472)-1),$X472&gt;--RIGHT($Y472,LEN($Y472)-FIND("-",$Y472))),OR($X472=0,$X472&lt;--LEFT($Y472,FIND("-",$Y472)-1),$X472&gt;--RIGHT($Y472,LEN($Y472)-FIND("-",$Y472))))</formula>
    </cfRule>
  </conditionalFormatting>
  <conditionalFormatting sqref="X525">
    <cfRule type="expression" dxfId="87" priority="104">
      <formula>IF(OR($L472=1,$L472=2,$L472=4),OR($X472&lt;--LEFT($Y472,FIND("-",$Y472)-1),$X472&gt;--RIGHT($Y472,LEN($Y472)-FIND("-",$Y472))),OR($X472=0,$X472&lt;--LEFT($Y472,FIND("-",$Y472)-1),$X472&gt;--RIGHT($Y472,LEN($Y472)-FIND("-",$Y472))))</formula>
    </cfRule>
  </conditionalFormatting>
  <conditionalFormatting sqref="X526">
    <cfRule type="expression" dxfId="86" priority="105">
      <formula>IF(OR($L472=1,$L472=2,$L472=4),OR($X472&lt;--LEFT($Y472,FIND("-",$Y472)-1),$X472&gt;--RIGHT($Y472,LEN($Y472)-FIND("-",$Y472))),OR($X472=0,$X472&lt;--LEFT($Y472,FIND("-",$Y472)-1),$X472&gt;--RIGHT($Y472,LEN($Y472)-FIND("-",$Y472))))</formula>
    </cfRule>
  </conditionalFormatting>
  <conditionalFormatting sqref="X527">
    <cfRule type="expression" dxfId="85" priority="106">
      <formula>IF(OR($L472=1,$L472=2,$L472=4),OR($X472&lt;--LEFT($Y472,FIND("-",$Y472)-1),$X472&gt;--RIGHT($Y472,LEN($Y472)-FIND("-",$Y472))),OR($X472=0,$X472&lt;--LEFT($Y472,FIND("-",$Y472)-1),$X472&gt;--RIGHT($Y472,LEN($Y472)-FIND("-",$Y472))))</formula>
    </cfRule>
  </conditionalFormatting>
  <conditionalFormatting sqref="X528">
    <cfRule type="expression" dxfId="84" priority="107">
      <formula>IF(OR($L472=1,$L472=2,$L472=4),OR($X472&lt;--LEFT($Y472,FIND("-",$Y472)-1),$X472&gt;--RIGHT($Y472,LEN($Y472)-FIND("-",$Y472))),OR($X472=0,$X472&lt;--LEFT($Y472,FIND("-",$Y472)-1),$X472&gt;--RIGHT($Y472,LEN($Y472)-FIND("-",$Y472))))</formula>
    </cfRule>
  </conditionalFormatting>
  <conditionalFormatting sqref="X529">
    <cfRule type="expression" dxfId="83" priority="108">
      <formula>IF(OR($L472=1,$L472=2,$L472=4),OR($X472&lt;--LEFT($Y472,FIND("-",$Y472)-1),$X472&gt;--RIGHT($Y472,LEN($Y472)-FIND("-",$Y472))),OR($X472=0,$X472&lt;--LEFT($Y472,FIND("-",$Y472)-1),$X472&gt;--RIGHT($Y472,LEN($Y472)-FIND("-",$Y472))))</formula>
    </cfRule>
  </conditionalFormatting>
  <conditionalFormatting sqref="X530">
    <cfRule type="expression" dxfId="82" priority="109">
      <formula>IF(OR($L472=1,$L472=2,$L472=4),OR($X472&lt;--LEFT($Y472,FIND("-",$Y472)-1),$X472&gt;--RIGHT($Y472,LEN($Y472)-FIND("-",$Y472))),OR($X472=0,$X472&lt;--LEFT($Y472,FIND("-",$Y472)-1),$X472&gt;--RIGHT($Y472,LEN($Y472)-FIND("-",$Y472))))</formula>
    </cfRule>
  </conditionalFormatting>
  <conditionalFormatting sqref="X531">
    <cfRule type="expression" dxfId="81" priority="110">
      <formula>IF(OR($L472=1,$L472=2,$L472=4),OR($X472&lt;--LEFT($Y472,FIND("-",$Y472)-1),$X472&gt;--RIGHT($Y472,LEN($Y472)-FIND("-",$Y472))),OR($X472=0,$X472&lt;--LEFT($Y472,FIND("-",$Y472)-1),$X472&gt;--RIGHT($Y472,LEN($Y472)-FIND("-",$Y472))))</formula>
    </cfRule>
  </conditionalFormatting>
  <conditionalFormatting sqref="X532">
    <cfRule type="expression" dxfId="80" priority="111">
      <formula>IF(OR($L472=1,$L472=2,$L472=4),OR($X472&lt;--LEFT($Y472,FIND("-",$Y472)-1),$X472&gt;--RIGHT($Y472,LEN($Y472)-FIND("-",$Y472))),OR($X472=0,$X472&lt;--LEFT($Y472,FIND("-",$Y472)-1),$X472&gt;--RIGHT($Y472,LEN($Y472)-FIND("-",$Y472))))</formula>
    </cfRule>
  </conditionalFormatting>
  <conditionalFormatting sqref="X533">
    <cfRule type="expression" dxfId="79" priority="112">
      <formula>IF(OR($L472=1,$L472=2,$L472=4),OR($X472&lt;--LEFT($Y472,FIND("-",$Y472)-1),$X472&gt;--RIGHT($Y472,LEN($Y472)-FIND("-",$Y472))),OR($X472=0,$X472&lt;--LEFT($Y472,FIND("-",$Y472)-1),$X472&gt;--RIGHT($Y472,LEN($Y472)-FIND("-",$Y472))))</formula>
    </cfRule>
  </conditionalFormatting>
  <conditionalFormatting sqref="X534">
    <cfRule type="expression" dxfId="78" priority="113">
      <formula>IF(OR($L472=1,$L472=2,$L472=4),OR($X472&lt;--LEFT($Y472,FIND("-",$Y472)-1),$X472&gt;--RIGHT($Y472,LEN($Y472)-FIND("-",$Y472))),OR($X472=0,$X472&lt;--LEFT($Y472,FIND("-",$Y472)-1),$X472&gt;--RIGHT($Y472,LEN($Y472)-FIND("-",$Y472))))</formula>
    </cfRule>
  </conditionalFormatting>
  <conditionalFormatting sqref="X535">
    <cfRule type="expression" dxfId="77" priority="114">
      <formula>IF(OR($L472=1,$L472=2,$L472=4),OR($X472&lt;--LEFT($Y472,FIND("-",$Y472)-1),$X472&gt;--RIGHT($Y472,LEN($Y472)-FIND("-",$Y472))),OR($X472=0,$X472&lt;--LEFT($Y472,FIND("-",$Y472)-1),$X472&gt;--RIGHT($Y472,LEN($Y472)-FIND("-",$Y472))))</formula>
    </cfRule>
  </conditionalFormatting>
  <conditionalFormatting sqref="X536">
    <cfRule type="expression" dxfId="76" priority="115">
      <formula>IF(OR($L472=1,$L472=2,$L472=4),OR($X472&lt;--LEFT($Y472,FIND("-",$Y472)-1),$X472&gt;--RIGHT($Y472,LEN($Y472)-FIND("-",$Y472))),OR($X472=0,$X472&lt;--LEFT($Y472,FIND("-",$Y472)-1),$X472&gt;--RIGHT($Y472,LEN($Y472)-FIND("-",$Y472))))</formula>
    </cfRule>
  </conditionalFormatting>
  <conditionalFormatting sqref="X537">
    <cfRule type="expression" dxfId="75" priority="116">
      <formula>IF(OR($L472=1,$L472=2,$L472=4),OR($X472&lt;--LEFT($Y472,FIND("-",$Y472)-1),$X472&gt;--RIGHT($Y472,LEN($Y472)-FIND("-",$Y472))),OR($X472=0,$X472&lt;--LEFT($Y472,FIND("-",$Y472)-1),$X472&gt;--RIGHT($Y472,LEN($Y472)-FIND("-",$Y472))))</formula>
    </cfRule>
  </conditionalFormatting>
  <conditionalFormatting sqref="X538">
    <cfRule type="expression" dxfId="74" priority="117">
      <formula>IF(OR($L472=1,$L472=2,$L472=4),OR($X472&lt;--LEFT($Y472,FIND("-",$Y472)-1),$X472&gt;--RIGHT($Y472,LEN($Y472)-FIND("-",$Y472))),OR($X472=0,$X472&lt;--LEFT($Y472,FIND("-",$Y472)-1),$X472&gt;--RIGHT($Y472,LEN($Y472)-FIND("-",$Y472))))</formula>
    </cfRule>
  </conditionalFormatting>
  <conditionalFormatting sqref="X539">
    <cfRule type="expression" dxfId="73" priority="118">
      <formula>IF(OR($L472=1,$L472=2,$L472=4),OR($X472&lt;--LEFT($Y472,FIND("-",$Y472)-1),$X472&gt;--RIGHT($Y472,LEN($Y472)-FIND("-",$Y472))),OR($X472=0,$X472&lt;--LEFT($Y472,FIND("-",$Y472)-1),$X472&gt;--RIGHT($Y472,LEN($Y472)-FIND("-",$Y472))))</formula>
    </cfRule>
  </conditionalFormatting>
  <conditionalFormatting sqref="X540">
    <cfRule type="expression" dxfId="72" priority="119">
      <formula>IF(OR($L472=1,$L472=2,$L472=4),OR($X472&lt;--LEFT($Y472,FIND("-",$Y472)-1),$X472&gt;--RIGHT($Y472,LEN($Y472)-FIND("-",$Y472))),OR($X472=0,$X472&lt;--LEFT($Y472,FIND("-",$Y472)-1),$X472&gt;--RIGHT($Y472,LEN($Y472)-FIND("-",$Y472))))</formula>
    </cfRule>
  </conditionalFormatting>
  <conditionalFormatting sqref="X541">
    <cfRule type="expression" dxfId="71" priority="120">
      <formula>IF(OR($L472=1,$L472=2,$L472=4),OR($X472&lt;--LEFT($Y472,FIND("-",$Y472)-1),$X472&gt;--RIGHT($Y472,LEN($Y472)-FIND("-",$Y472))),OR($X472=0,$X472&lt;--LEFT($Y472,FIND("-",$Y472)-1),$X472&gt;--RIGHT($Y472,LEN($Y472)-FIND("-",$Y472))))</formula>
    </cfRule>
  </conditionalFormatting>
  <conditionalFormatting sqref="X542">
    <cfRule type="expression" dxfId="70" priority="121">
      <formula>IF(OR($L472=1,$L472=2,$L472=4),OR($X472&lt;--LEFT($Y472,FIND("-",$Y472)-1),$X472&gt;--RIGHT($Y472,LEN($Y472)-FIND("-",$Y472))),OR($X472=0,$X472&lt;--LEFT($Y472,FIND("-",$Y472)-1),$X472&gt;--RIGHT($Y472,LEN($Y472)-FIND("-",$Y472))))</formula>
    </cfRule>
  </conditionalFormatting>
  <conditionalFormatting sqref="X543">
    <cfRule type="expression" dxfId="69" priority="122">
      <formula>IF(OR($L472=1,$L472=2,$L472=4),OR($X472&lt;--LEFT($Y472,FIND("-",$Y472)-1),$X472&gt;--RIGHT($Y472,LEN($Y472)-FIND("-",$Y472))),OR($X472=0,$X472&lt;--LEFT($Y472,FIND("-",$Y472)-1),$X472&gt;--RIGHT($Y472,LEN($Y472)-FIND("-",$Y472))))</formula>
    </cfRule>
  </conditionalFormatting>
  <conditionalFormatting sqref="X544">
    <cfRule type="expression" dxfId="68" priority="123">
      <formula>IF(OR($L472=1,$L472=2,$L472=4),OR($X472&lt;--LEFT($Y472,FIND("-",$Y472)-1),$X472&gt;--RIGHT($Y472,LEN($Y472)-FIND("-",$Y472))),OR($X472=0,$X472&lt;--LEFT($Y472,FIND("-",$Y472)-1),$X472&gt;--RIGHT($Y472,LEN($Y472)-FIND("-",$Y472))))</formula>
    </cfRule>
  </conditionalFormatting>
  <conditionalFormatting sqref="X545">
    <cfRule type="expression" dxfId="67" priority="124">
      <formula>IF(OR($L472=1,$L472=2,$L472=4),OR($X472&lt;--LEFT($Y472,FIND("-",$Y472)-1),$X472&gt;--RIGHT($Y472,LEN($Y472)-FIND("-",$Y472))),OR($X472=0,$X472&lt;--LEFT($Y472,FIND("-",$Y472)-1),$X472&gt;--RIGHT($Y472,LEN($Y472)-FIND("-",$Y472))))</formula>
    </cfRule>
  </conditionalFormatting>
  <conditionalFormatting sqref="X546">
    <cfRule type="expression" dxfId="66" priority="125">
      <formula>IF(OR($L472=1,$L472=2,$L472=4),OR($X472&lt;--LEFT($Y472,FIND("-",$Y472)-1),$X472&gt;--RIGHT($Y472,LEN($Y472)-FIND("-",$Y472))),OR($X472=0,$X472&lt;--LEFT($Y472,FIND("-",$Y472)-1),$X472&gt;--RIGHT($Y472,LEN($Y472)-FIND("-",$Y472))))</formula>
    </cfRule>
  </conditionalFormatting>
  <conditionalFormatting sqref="X547">
    <cfRule type="expression" dxfId="65" priority="126">
      <formula>IF(OR($L472=1,$L472=2,$L472=4),OR($X472&lt;--LEFT($Y472,FIND("-",$Y472)-1),$X472&gt;--RIGHT($Y472,LEN($Y472)-FIND("-",$Y472))),OR($X472=0,$X472&lt;--LEFT($Y472,FIND("-",$Y472)-1),$X472&gt;--RIGHT($Y472,LEN($Y472)-FIND("-",$Y472))))</formula>
    </cfRule>
  </conditionalFormatting>
  <conditionalFormatting sqref="X548">
    <cfRule type="expression" dxfId="64" priority="127">
      <formula>IF(OR($L472=1,$L472=2,$L472=4),OR($X472&lt;--LEFT($Y472,FIND("-",$Y472)-1),$X472&gt;--RIGHT($Y472,LEN($Y472)-FIND("-",$Y472))),OR($X472=0,$X472&lt;--LEFT($Y472,FIND("-",$Y472)-1),$X472&gt;--RIGHT($Y472,LEN($Y472)-FIND("-",$Y472))))</formula>
    </cfRule>
  </conditionalFormatting>
  <conditionalFormatting sqref="X549">
    <cfRule type="expression" dxfId="63" priority="128">
      <formula>IF(OR($L472=1,$L472=2,$L472=4),OR($X472&lt;--LEFT($Y472,FIND("-",$Y472)-1),$X472&gt;--RIGHT($Y472,LEN($Y472)-FIND("-",$Y472))),OR($X472=0,$X472&lt;--LEFT($Y472,FIND("-",$Y472)-1),$X472&gt;--RIGHT($Y472,LEN($Y472)-FIND("-",$Y472))))</formula>
    </cfRule>
  </conditionalFormatting>
  <conditionalFormatting sqref="X550">
    <cfRule type="expression" dxfId="62" priority="129">
      <formula>IF(OR($L472=1,$L472=2,$L472=4),OR($X472&lt;--LEFT($Y472,FIND("-",$Y472)-1),$X472&gt;--RIGHT($Y472,LEN($Y472)-FIND("-",$Y472))),OR($X472=0,$X472&lt;--LEFT($Y472,FIND("-",$Y472)-1),$X472&gt;--RIGHT($Y472,LEN($Y472)-FIND("-",$Y472))))</formula>
    </cfRule>
  </conditionalFormatting>
  <conditionalFormatting sqref="X551">
    <cfRule type="expression" dxfId="61" priority="130">
      <formula>IF(OR($L472=1,$L472=2,$L472=4),OR($X472&lt;--LEFT($Y472,FIND("-",$Y472)-1),$X472&gt;--RIGHT($Y472,LEN($Y472)-FIND("-",$Y472))),OR($X472=0,$X472&lt;--LEFT($Y472,FIND("-",$Y472)-1),$X472&gt;--RIGHT($Y472,LEN($Y472)-FIND("-",$Y472))))</formula>
    </cfRule>
  </conditionalFormatting>
  <conditionalFormatting sqref="X552">
    <cfRule type="expression" dxfId="60" priority="131">
      <formula>IF(OR($L472=1,$L472=2,$L472=4),OR($X472&lt;--LEFT($Y472,FIND("-",$Y472)-1),$X472&gt;--RIGHT($Y472,LEN($Y472)-FIND("-",$Y472))),OR($X472=0,$X472&lt;--LEFT($Y472,FIND("-",$Y472)-1),$X472&gt;--RIGHT($Y472,LEN($Y472)-FIND("-",$Y472))))</formula>
    </cfRule>
  </conditionalFormatting>
  <conditionalFormatting sqref="X553">
    <cfRule type="expression" dxfId="59" priority="132">
      <formula>IF(OR($L472=1,$L472=2,$L472=4),OR($X472&lt;--LEFT($Y472,FIND("-",$Y472)-1),$X472&gt;--RIGHT($Y472,LEN($Y472)-FIND("-",$Y472))),OR($X472=0,$X472&lt;--LEFT($Y472,FIND("-",$Y472)-1),$X472&gt;--RIGHT($Y472,LEN($Y472)-FIND("-",$Y472))))</formula>
    </cfRule>
  </conditionalFormatting>
  <conditionalFormatting sqref="X554">
    <cfRule type="expression" dxfId="58" priority="133">
      <formula>IF(OR($L472=1,$L472=2,$L472=4),OR($X472&lt;--LEFT($Y472,FIND("-",$Y472)-1),$X472&gt;--RIGHT($Y472,LEN($Y472)-FIND("-",$Y472))),OR($X472=0,$X472&lt;--LEFT($Y472,FIND("-",$Y472)-1),$X472&gt;--RIGHT($Y472,LEN($Y472)-FIND("-",$Y472))))</formula>
    </cfRule>
  </conditionalFormatting>
  <conditionalFormatting sqref="X555">
    <cfRule type="expression" dxfId="57" priority="134">
      <formula>IF(OR($L472=1,$L472=2,$L472=4),OR($X472&lt;--LEFT($Y472,FIND("-",$Y472)-1),$X472&gt;--RIGHT($Y472,LEN($Y472)-FIND("-",$Y472))),OR($X472=0,$X472&lt;--LEFT($Y472,FIND("-",$Y472)-1),$X472&gt;--RIGHT($Y472,LEN($Y472)-FIND("-",$Y472))))</formula>
    </cfRule>
  </conditionalFormatting>
  <conditionalFormatting sqref="X556">
    <cfRule type="expression" dxfId="56" priority="135">
      <formula>IF(OR($L472=1,$L472=2,$L472=4),OR($X472&lt;--LEFT($Y472,FIND("-",$Y472)-1),$X472&gt;--RIGHT($Y472,LEN($Y472)-FIND("-",$Y472))),OR($X472=0,$X472&lt;--LEFT($Y472,FIND("-",$Y472)-1),$X472&gt;--RIGHT($Y472,LEN($Y472)-FIND("-",$Y472))))</formula>
    </cfRule>
  </conditionalFormatting>
  <conditionalFormatting sqref="X557">
    <cfRule type="expression" dxfId="55" priority="136">
      <formula>IF(OR($L472=1,$L472=2,$L472=4),OR($X472&lt;--LEFT($Y472,FIND("-",$Y472)-1),$X472&gt;--RIGHT($Y472,LEN($Y472)-FIND("-",$Y472))),OR($X472=0,$X472&lt;--LEFT($Y472,FIND("-",$Y472)-1),$X472&gt;--RIGHT($Y472,LEN($Y472)-FIND("-",$Y472))))</formula>
    </cfRule>
  </conditionalFormatting>
  <conditionalFormatting sqref="AC2:AC69">
    <cfRule type="cellIs" dxfId="54" priority="207" operator="lessThan">
      <formula>-0.2</formula>
    </cfRule>
    <cfRule type="cellIs" dxfId="53" priority="208" operator="greaterThan">
      <formula>0.2</formula>
    </cfRule>
  </conditionalFormatting>
  <conditionalFormatting sqref="AC99:AC795">
    <cfRule type="cellIs" dxfId="52" priority="2" operator="lessThan">
      <formula>-0.2</formula>
    </cfRule>
    <cfRule type="cellIs" dxfId="51" priority="3" operator="greaterThan">
      <formula>0.2</formula>
    </cfRule>
  </conditionalFormatting>
  <dataValidations count="89">
    <dataValidation type="custom" errorStyle="information" allowBlank="1" showInputMessage="1" showErrorMessage="1" error="promotion increase 5%~20%" sqref="AC62 AC164 AC194 AC128 AC494 AC471 AC307" xr:uid="{822DEBD3-A415-4D3B-B2B5-39DF57CA0070}">
      <formula1>IF(OR(AND(AC40&gt;=-0.2,AC40&lt;=-0.05),AND(AC40&gt;=0.05,AC40&lt;=0.2)),AC40,0)</formula1>
    </dataValidation>
    <dataValidation type="custom" errorStyle="information" allowBlank="1" showInputMessage="1" showErrorMessage="1" error="promotion increase 5%~20%" sqref="AC61 AC127 AC163 AC193 AC493 AC470 AC306 AC751" xr:uid="{EB83C8FE-D2F8-4E22-BCF5-7AA1271B9CF0}">
      <formula1>IF(OR(AND(AC40&gt;=-0.2,AC40&lt;=-0.05),AND(AC40&gt;=0.05,AC40&lt;=0.2)),AC40,0)</formula1>
    </dataValidation>
    <dataValidation type="custom" errorStyle="information" allowBlank="1" showInputMessage="1" showErrorMessage="1" error="promotion increase 5%~20%" sqref="AC60 AC126 AC162 AC192 AC492 AC469 AC305 AC750" xr:uid="{0A87684C-7170-4199-B0A7-A67F8C51BEB9}">
      <formula1>IF(OR(AND(AC40&gt;=-0.2,AC40&lt;=-0.05),AND(AC40&gt;=0.05,AC40&lt;=0.2)),AC40,0)</formula1>
    </dataValidation>
    <dataValidation type="custom" errorStyle="information" allowBlank="1" showInputMessage="1" showErrorMessage="1" error="promotion increase 5%~20%" sqref="AC59 AC125 AC161 AC191 AC256 AC491 AC468 AC304 AC729 AC749" xr:uid="{34ACA13C-A260-4307-9B39-EB3D5EB4F9F9}">
      <formula1>IF(OR(AND(AC40&gt;=-0.2,AC40&lt;=-0.05),AND(AC40&gt;=0.05,AC40&lt;=0.2)),AC40,0)</formula1>
    </dataValidation>
    <dataValidation type="custom" errorStyle="information" allowBlank="1" showInputMessage="1" showErrorMessage="1" error="promotion increase 5%~20%" sqref="AC58 AC124 AC160 AC190 AC255 AC490 AC467 AC303 AC728 AC748" xr:uid="{926AD998-C252-4696-8710-24C679E23222}">
      <formula1>IF(OR(AND(AC40&gt;=-0.2,AC40&lt;=-0.05),AND(AC40&gt;=0.05,AC40&lt;=0.2)),AC40,0)</formula1>
    </dataValidation>
    <dataValidation type="custom" errorStyle="information" allowBlank="1" showInputMessage="1" showErrorMessage="1" error="promotion increase 5%~20%" sqref="AC57 AC123 AC159 AC189 AC254 AC489 AC466 AC302 AC627 AC727 AC747" xr:uid="{8F3C6F8E-6FF5-4AB9-8E8D-B7CACD318C4C}">
      <formula1>IF(OR(AND(AC40&gt;=-0.2,AC40&lt;=-0.05),AND(AC40&gt;=0.05,AC40&lt;=0.2)),AC40,0)</formula1>
    </dataValidation>
    <dataValidation type="custom" errorStyle="information" allowBlank="1" showInputMessage="1" showErrorMessage="1" error="promotion increase 5%~20%" sqref="AC64 AC41 AC24 AC102 AC107 AC131 AC143 AC173 AC238 AC258 AC450 AC473 AC559 AC425 AC434 AC273 AC279 AC286 AC327 AC611 AC643 AC705 AC711 AC731 AC772 AC779 AC790" xr:uid="{B6D37EDF-6CE1-4B7A-9A91-101F772B1EB4}">
      <formula1>IF(OR(AND(AC23&gt;=-0.2,AC23&lt;=-0.05),AND(AC23&gt;=0.05,AC23&lt;=0.2)),AC23,0)</formula1>
    </dataValidation>
    <dataValidation type="custom" errorStyle="information" allowBlank="1" showInputMessage="1" showErrorMessage="1" error="promotion increase 5%~20%" sqref="AC65 AC42 AC25 AC103 AC108 AC132 AC144 AC174 AC239 AC259 AC451 AC474 AC560 AC426 AC435 AC274 AC280 AC287 AC328 AC612 AC644 AC706 AC712 AC732 AC773 AC780 AC791" xr:uid="{4B410159-4C66-44D1-BBB0-9C0F531F894C}">
      <formula1>IF(OR(AND(AC23&gt;=-0.2,AC23&lt;=-0.05),AND(AC23&gt;=0.05,AC23&lt;=0.2)),AC23,0)</formula1>
    </dataValidation>
    <dataValidation type="custom" errorStyle="information" allowBlank="1" showInputMessage="1" showErrorMessage="1" error="promotion increase 5%~20%" sqref="AC66 AC43 AC26 AC104 AC109 AC133 AC145 AC175 AC240 AC260 AC452 AC475 AC561 AC427 AC436 AC275 AC281 AC288 AC329 AC613 AC645 AC707 AC713 AC733 AC774 AC781 AC792" xr:uid="{9D54F5B6-0AE0-4231-B36F-4C3F8A515AAF}">
      <formula1>IF(OR(AND(AC23&gt;=-0.2,AC23&lt;=-0.05),AND(AC23&gt;=0.05,AC23&lt;=0.2)),AC23,0)</formula1>
    </dataValidation>
    <dataValidation type="custom" errorStyle="information" allowBlank="1" showInputMessage="1" showErrorMessage="1" error="promotion increase 5%~20%" sqref="AC67 AC44 AC27 AC105 AC110 AC134 AC146 AC176 AC241 AC261 AC453 AC476 AC562 AC428 AC437 AC276 AC282 AC289 AC330 AC614 AC646 AC708 AC714 AC734 AC775 AC782 AC793" xr:uid="{4EB25A7A-1338-4C75-98A4-5F7A0BC3FB37}">
      <formula1>IF(OR(AND(AC23&gt;=-0.2,AC23&lt;=-0.05),AND(AC23&gt;=0.05,AC23&lt;=0.2)),AC23,0)</formula1>
    </dataValidation>
    <dataValidation type="custom" errorStyle="information" allowBlank="1" showInputMessage="1" showErrorMessage="1" error="promotion increase 5%~20%" sqref="AC68 AC45 AC28 AC111 AC135 AC147 AC177 AC242 AC262 AC454 AC477 AC563 AC429 AC438 AC277 AC283 AC290 AC331 AC615 AC647 AC709 AC715 AC735 AC776 AC794" xr:uid="{F52E99EA-53D7-41BF-967A-A9251D75526E}">
      <formula1>IF(OR(AND(AC23&gt;=-0.2,AC23&lt;=-0.05),AND(AC23&gt;=0.05,AC23&lt;=0.2)),AC23,0)</formula1>
    </dataValidation>
    <dataValidation type="custom" errorStyle="information" allowBlank="1" showInputMessage="1" showErrorMessage="1" error="promotion increase 5%~20%" sqref="AC69 AC46 AC29 AC112 AC136 AC148 AC178 AC243 AC263 AC478 AC564 AC430 AC439 AC455 AC284 AC291 AC332 AC616 AC648 AC716 AC736 AC777 AC795" xr:uid="{DE3C43E2-B39A-47CC-8C96-DD3804FD91FB}">
      <formula1>IF(OR(AND(AC23&gt;=-0.2,AC23&lt;=-0.05),AND(AC23&gt;=0.05,AC23&lt;=0.2)),AC23,0)</formula1>
    </dataValidation>
    <dataValidation type="custom" errorStyle="information" allowBlank="1" showInputMessage="1" showErrorMessage="1" error="promotion increase 5%~20%" sqref="AC47 AC30 AC113 AC137 AC149 AC179 AC244 AC264 AC479 AC565 AC431 AC440 AC456 AC292 AC333 AC617 AC649 AC717 AC737" xr:uid="{60F1F047-1C69-406C-BB00-B51DDF2D8600}">
      <formula1>IF(OR(AND(AC23&gt;=-0.2,AC23&lt;=-0.05),AND(AC23&gt;=0.05,AC23&lt;=0.2)),AC23,0)</formula1>
    </dataValidation>
    <dataValidation type="custom" errorStyle="information" allowBlank="1" showInputMessage="1" showErrorMessage="1" error="promotion increase 5%~20%" sqref="AC48 AC31 AC114 AC138 AC150 AC180 AC245 AC265 AC480 AC566 AC432 AC441 AC457 AC293 AC334 AC618 AC650 AC718 AC738" xr:uid="{62E2C758-0501-41E4-8C69-A3F0DC756D9B}">
      <formula1>IF(OR(AND(AC23&gt;=-0.2,AC23&lt;=-0.05),AND(AC23&gt;=0.05,AC23&lt;=0.2)),AC23,0)</formula1>
    </dataValidation>
    <dataValidation type="custom" errorStyle="information" allowBlank="1" showInputMessage="1" showErrorMessage="1" error="promotion increase 5%~20%" sqref="AC49 AC32 AC115 AC139 AC151 AC181 AC246 AC266 AC481 AC567 AC442 AC458 AC294 AC335 AC619 AC651 AC719 AC739" xr:uid="{EBCD1EA8-FC3F-4B00-968A-DA2A334327DD}">
      <formula1>IF(OR(AND(AC23&gt;=-0.2,AC23&lt;=-0.05),AND(AC23&gt;=0.05,AC23&lt;=0.2)),AC23,0)</formula1>
    </dataValidation>
    <dataValidation type="custom" errorStyle="information" allowBlank="1" showInputMessage="1" showErrorMessage="1" error="promotion increase 5%~20%" sqref="AC50 AC33 AC116 AC140 AC152 AC182 AC247 AC267 AC482 AC568 AC443 AC459 AC295 AC336 AC620 AC652 AC720 AC740" xr:uid="{160DE895-3E07-4BB4-AC7D-F2DBBB9CB645}">
      <formula1>IF(OR(AND(AC23&gt;=-0.2,AC23&lt;=-0.05),AND(AC23&gt;=0.05,AC23&lt;=0.2)),AC23,0)</formula1>
    </dataValidation>
    <dataValidation type="custom" errorStyle="information" allowBlank="1" showInputMessage="1" showErrorMessage="1" error="promotion increase 5%~20%" sqref="AC51 AC34 AC117 AC141 AC153 AC183 AC248 AC268 AC483 AC569 AC444 AC460 AC296 AC337 AC621 AC721 AC741" xr:uid="{9D62B1C8-DADA-4D7F-8F9C-806CEF171D3A}">
      <formula1>IF(OR(AND(AC23&gt;=-0.2,AC23&lt;=-0.05),AND(AC23&gt;=0.05,AC23&lt;=0.2)),AC23,0)</formula1>
    </dataValidation>
    <dataValidation type="custom" errorStyle="information" allowBlank="1" showInputMessage="1" showErrorMessage="1" error="promotion increase 5%~20%" sqref="AC52 AC35 AC118 AC154 AC184 AC249 AC269 AC570 AC445 AC461 AC484 AC297 AC622 AC722 AC742" xr:uid="{DFB92116-9994-41B7-B802-EE13D74FC8C7}">
      <formula1>IF(OR(AND(AC23&gt;=-0.2,AC23&lt;=-0.05),AND(AC23&gt;=0.05,AC23&lt;=0.2)),AC23,0)</formula1>
    </dataValidation>
    <dataValidation type="custom" errorStyle="information" allowBlank="1" showInputMessage="1" showErrorMessage="1" error="promotion increase 5%~20%" sqref="AC53 AC36 AC119 AC155 AC185 AC250 AC270 AC571 AC446 AC462 AC485 AC298 AC623 AC723 AC743" xr:uid="{82A69220-735D-43C9-9356-7516A7D13393}">
      <formula1>IF(OR(AND(AC23&gt;=-0.2,AC23&lt;=-0.05),AND(AC23&gt;=0.05,AC23&lt;=0.2)),AC23,0)</formula1>
    </dataValidation>
    <dataValidation type="custom" errorStyle="information" allowBlank="1" showInputMessage="1" showErrorMessage="1" error="promotion increase 5%~20%" sqref="AC54 AC37 AC120 AC156 AC186 AC251 AC271 AC486 AC447 AC463 AC299 AC624 AC724 AC744" xr:uid="{43B14568-9FB5-4767-98DC-D9FD16FB88B1}">
      <formula1>IF(OR(AND(AC23&gt;=-0.2,AC23&lt;=-0.05),AND(AC23&gt;=0.05,AC23&lt;=0.2)),AC23,0)</formula1>
    </dataValidation>
    <dataValidation type="custom" errorStyle="information" allowBlank="1" showInputMessage="1" showErrorMessage="1" error="promotion increase 5%~20%" sqref="AC55 AC38 AC121 AC157 AC187 AC252 AC487 AC448 AC464 AC300 AC625 AC725 AC745" xr:uid="{0EFC1A96-C534-452A-9CF6-93EC563EA4F8}">
      <formula1>IF(OR(AND(AC23&gt;=-0.2,AC23&lt;=-0.05),AND(AC23&gt;=0.05,AC23&lt;=0.2)),AC23,0)</formula1>
    </dataValidation>
    <dataValidation type="custom" errorStyle="information" allowBlank="1" showInputMessage="1" showErrorMessage="1" error="promotion increase 5%~20%" sqref="AC56 AC39 AC122 AC158 AC188 AC253 AC488 AC465 AC301 AC626 AC726 AC746" xr:uid="{A0084132-DF60-4852-AA4B-34E7548E9D5E}">
      <formula1>IF(OR(AND(AC23&gt;=-0.2,AC23&lt;=-0.05),AND(AC23&gt;=0.05,AC23&lt;=0.2)),AC23,0)</formula1>
    </dataValidation>
    <dataValidation type="custom" errorStyle="information" allowBlank="1" showInputMessage="1" showErrorMessage="1" error="promotion increase 5%~20%" sqref="AC99:AC795 AC2:AC69" xr:uid="{1D3E11C9-F82C-4E36-AF49-D20DD7D7CEA9}">
      <formula1>IF(OR(AND(AC2&gt;=-0.2,AC2&lt;=-0.05),AND(AC2&gt;=0.05,AC2&lt;=0.2)),AC2,0)</formula1>
    </dataValidation>
    <dataValidation type="custom" errorStyle="information" allowBlank="1" showInputMessage="1" showErrorMessage="1" error="promotion increase 5%~20%" sqref="AC167 AC497 AC310" xr:uid="{61ACEB11-99B9-4CA6-8FC6-F5AEC4DDE003}">
      <formula1>IF(OR(AND(AC142&gt;=-0.2,AC142&lt;=-0.05),AND(AC142&gt;=0.05,AC142&lt;=0.2)),AC142,0)</formula1>
    </dataValidation>
    <dataValidation type="custom" errorStyle="information" allowBlank="1" showInputMessage="1" showErrorMessage="1" error="promotion increase 5%~20%" sqref="AC168 AC498 AC311" xr:uid="{0593BB5D-9BFF-4F77-93AC-438F29012513}">
      <formula1>IF(OR(AND(AC142&gt;=-0.2,AC142&lt;=-0.05),AND(AC142&gt;=0.05,AC142&lt;=0.2)),AC142,0)</formula1>
    </dataValidation>
    <dataValidation type="custom" errorStyle="information" allowBlank="1" showInputMessage="1" showErrorMessage="1" error="promotion increase 5%~20%" sqref="AC169 AC499 AC312" xr:uid="{5E05DD68-3C64-4253-87ED-276CF7C424BE}">
      <formula1>IF(OR(AND(AC142&gt;=-0.2,AC142&lt;=-0.05),AND(AC142&gt;=0.05,AC142&lt;=0.2)),AC142,0)</formula1>
    </dataValidation>
    <dataValidation type="custom" errorStyle="information" allowBlank="1" showInputMessage="1" showErrorMessage="1" error="promotion increase 5%~20%" sqref="AC170 AC500 AC313" xr:uid="{FF62B729-04E9-4AAF-9F7B-3B506C29B0CD}">
      <formula1>IF(OR(AND(AC142&gt;=-0.2,AC142&lt;=-0.05),AND(AC142&gt;=0.05,AC142&lt;=0.2)),AC142,0)</formula1>
    </dataValidation>
    <dataValidation type="custom" errorStyle="information" allowBlank="1" showInputMessage="1" showErrorMessage="1" error="promotion increase 5%~20%" sqref="AC171 AC501 AC314" xr:uid="{0A61927D-3A7B-42DE-AC9D-5009B8425C0B}">
      <formula1>IF(OR(AND(AC142&gt;=-0.2,AC142&lt;=-0.05),AND(AC142&gt;=0.05,AC142&lt;=0.2)),AC142,0)</formula1>
    </dataValidation>
    <dataValidation type="custom" errorStyle="information" allowBlank="1" showInputMessage="1" showErrorMessage="1" error="promotion increase 5%~20%" sqref="AC166 AC196 AC496 AC309" xr:uid="{FC353369-FF53-4480-88B0-ADF4E4EF39F8}">
      <formula1>IF(OR(AND(AC142&gt;=-0.2,AC142&lt;=-0.05),AND(AC142&gt;=0.05,AC142&lt;=0.2)),AC142,0)</formula1>
    </dataValidation>
    <dataValidation type="custom" errorStyle="information" allowBlank="1" showInputMessage="1" showErrorMessage="1" error="promotion increase 5%~20%" sqref="AC165 AC195 AC129 AC495 AC308" xr:uid="{C2A4DDC2-C976-4585-8E29-7B6A360BE45A}">
      <formula1>IF(OR(AND(AC106&gt;=-0.2,AC106&lt;=-0.05),AND(AC106&gt;=0.05,AC106&lt;=0.2)),AC106,0)</formula1>
    </dataValidation>
    <dataValidation type="custom" errorStyle="information" allowBlank="1" showInputMessage="1" showErrorMessage="1" error="promotion increase 5%~20%" sqref="AC512 AC325" xr:uid="{7E0F2D3A-FC80-47D2-B668-60501C04EF24}">
      <formula1>IF(OR(AND(AC285&gt;=-0.2,AC285&lt;=-0.05),AND(AC285&gt;=0.05,AC285&lt;=0.2)),AC285,0)</formula1>
    </dataValidation>
    <dataValidation type="custom" errorStyle="information" allowBlank="1" showInputMessage="1" showErrorMessage="1" error="promotion increase 5%~20%" sqref="AC511 AC324" xr:uid="{198BE95A-83C1-4285-803B-0E433B3A85A6}">
      <formula1>IF(OR(AND(AC285&gt;=-0.2,AC285&lt;=-0.05),AND(AC285&gt;=0.05,AC285&lt;=0.2)),AC285,0)</formula1>
    </dataValidation>
    <dataValidation type="custom" errorStyle="information" allowBlank="1" showInputMessage="1" showErrorMessage="1" error="promotion increase 5%~20%" sqref="AC510 AC323" xr:uid="{1D827AFA-B526-4CAF-A236-0719A3BB0824}">
      <formula1>IF(OR(AND(AC285&gt;=-0.2,AC285&lt;=-0.05),AND(AC285&gt;=0.05,AC285&lt;=0.2)),AC285,0)</formula1>
    </dataValidation>
    <dataValidation type="custom" errorStyle="information" allowBlank="1" showInputMessage="1" showErrorMessage="1" error="promotion increase 5%~20%" sqref="AC509 AC322" xr:uid="{EFC295BA-C16B-4712-AB38-209BDEA9A3BA}">
      <formula1>IF(OR(AND(AC285&gt;=-0.2,AC285&lt;=-0.05),AND(AC285&gt;=0.05,AC285&lt;=0.2)),AC285,0)</formula1>
    </dataValidation>
    <dataValidation type="custom" errorStyle="information" allowBlank="1" showInputMessage="1" showErrorMessage="1" error="promotion increase 5%~20%" sqref="AC508 AC321" xr:uid="{4A581A90-F755-42D1-88E7-0CECEA9F7FBD}">
      <formula1>IF(OR(AND(AC285&gt;=-0.2,AC285&lt;=-0.05),AND(AC285&gt;=0.05,AC285&lt;=0.2)),AC285,0)</formula1>
    </dataValidation>
    <dataValidation type="custom" errorStyle="information" allowBlank="1" showInputMessage="1" showErrorMessage="1" error="promotion increase 5%~20%" sqref="AC507 AC320" xr:uid="{E98ABA48-3BB1-4797-9815-13C1A240CA78}">
      <formula1>IF(OR(AND(AC285&gt;=-0.2,AC285&lt;=-0.05),AND(AC285&gt;=0.05,AC285&lt;=0.2)),AC285,0)</formula1>
    </dataValidation>
    <dataValidation type="custom" errorStyle="information" allowBlank="1" showInputMessage="1" showErrorMessage="1" error="promotion increase 5%~20%" sqref="AC506 AC319" xr:uid="{B6D26BD8-0261-4C6B-937A-05F39381F296}">
      <formula1>IF(OR(AND(AC285&gt;=-0.2,AC285&lt;=-0.05),AND(AC285&gt;=0.05,AC285&lt;=0.2)),AC285,0)</formula1>
    </dataValidation>
    <dataValidation type="custom" errorStyle="information" allowBlank="1" showInputMessage="1" showErrorMessage="1" error="promotion increase 5%~20%" sqref="AC505 AC318" xr:uid="{89E1357C-E7E1-434E-88D9-C7368A1666A0}">
      <formula1>IF(OR(AND(AC285&gt;=-0.2,AC285&lt;=-0.05),AND(AC285&gt;=0.05,AC285&lt;=0.2)),AC285,0)</formula1>
    </dataValidation>
    <dataValidation type="custom" errorStyle="information" allowBlank="1" showInputMessage="1" showErrorMessage="1" error="promotion increase 5%~20%" sqref="AC504 AC317" xr:uid="{B99B3094-3C79-4CD4-A1B8-5C12FD29D95F}">
      <formula1>IF(OR(AND(AC285&gt;=-0.2,AC285&lt;=-0.05),AND(AC285&gt;=0.05,AC285&lt;=0.2)),AC285,0)</formula1>
    </dataValidation>
    <dataValidation type="custom" errorStyle="information" allowBlank="1" showInputMessage="1" showErrorMessage="1" error="promotion increase 5%~20%" sqref="AC503 AC316" xr:uid="{DE2976E2-1FEF-4188-AFAD-14765607C43E}">
      <formula1>IF(OR(AND(AC285&gt;=-0.2,AC285&lt;=-0.05),AND(AC285&gt;=0.05,AC285&lt;=0.2)),AC285,0)</formula1>
    </dataValidation>
    <dataValidation type="custom" errorStyle="information" allowBlank="1" showInputMessage="1" showErrorMessage="1" error="promotion increase 5%~20%" sqref="AC502 AC315" xr:uid="{829C7326-DC84-48AE-9CF1-3386FE62D96A}">
      <formula1>IF(OR(AND(AC285&gt;=-0.2,AC285&lt;=-0.05),AND(AC285&gt;=0.05,AC285&lt;=0.2)),AC285,0)</formula1>
    </dataValidation>
    <dataValidation type="custom" errorStyle="information" allowBlank="1" showInputMessage="1" showErrorMessage="1" error="promotion increase 5%~20%" sqref="AC338:AC423 AC653:AC703 AC628:AC641 AC783:AC788 AC752:AC770" xr:uid="{3D9903AE-DC96-4B40-BA98-D1AF85723349}">
      <formula1>IF(OR(AND(#REF!&gt;=-0.2,#REF!&lt;=-0.05),AND(#REF!&gt;=0.05,#REF!&lt;=0.2)),#REF!,0)</formula1>
    </dataValidation>
    <dataValidation type="custom" errorStyle="information" allowBlank="1" showInputMessage="1" showErrorMessage="1" error="promotion increase 5%~20%" sqref="AC557" xr:uid="{CB9FE5FA-F8BC-4006-A8A3-690A0154C12E}">
      <formula1>IF(OR(AND(AC472&gt;=-0.2,AC472&lt;=-0.05),AND(AC472&gt;=0.05,AC472&lt;=0.2)),AC472,0)</formula1>
    </dataValidation>
    <dataValidation type="custom" errorStyle="information" allowBlank="1" showInputMessage="1" showErrorMessage="1" error="promotion increase 5%~20%" sqref="AC556" xr:uid="{9C8B205B-F8FB-496B-9367-0D877B5A7644}">
      <formula1>IF(OR(AND(AC472&gt;=-0.2,AC472&lt;=-0.05),AND(AC472&gt;=0.05,AC472&lt;=0.2)),AC472,0)</formula1>
    </dataValidation>
    <dataValidation type="custom" errorStyle="information" allowBlank="1" showInputMessage="1" showErrorMessage="1" error="promotion increase 5%~20%" sqref="AC555" xr:uid="{05B3458D-CCF1-4897-9859-90C56BFBECD3}">
      <formula1>IF(OR(AND(AC472&gt;=-0.2,AC472&lt;=-0.05),AND(AC472&gt;=0.05,AC472&lt;=0.2)),AC472,0)</formula1>
    </dataValidation>
    <dataValidation type="custom" errorStyle="information" allowBlank="1" showInputMessage="1" showErrorMessage="1" error="promotion increase 5%~20%" sqref="AC554" xr:uid="{01A2C181-DDEB-40D4-BFD3-979CEBD169E1}">
      <formula1>IF(OR(AND(AC472&gt;=-0.2,AC472&lt;=-0.05),AND(AC472&gt;=0.05,AC472&lt;=0.2)),AC472,0)</formula1>
    </dataValidation>
    <dataValidation type="custom" errorStyle="information" allowBlank="1" showInputMessage="1" showErrorMessage="1" error="promotion increase 5%~20%" sqref="AC553" xr:uid="{03920DAA-3739-4204-877B-91284D4C01B3}">
      <formula1>IF(OR(AND(AC472&gt;=-0.2,AC472&lt;=-0.05),AND(AC472&gt;=0.05,AC472&lt;=0.2)),AC472,0)</formula1>
    </dataValidation>
    <dataValidation type="custom" errorStyle="information" allowBlank="1" showInputMessage="1" showErrorMessage="1" error="promotion increase 5%~20%" sqref="AC552" xr:uid="{A62FF9A6-9043-45BC-9223-AC5831E092AD}">
      <formula1>IF(OR(AND(AC472&gt;=-0.2,AC472&lt;=-0.05),AND(AC472&gt;=0.05,AC472&lt;=0.2)),AC472,0)</formula1>
    </dataValidation>
    <dataValidation type="custom" errorStyle="information" allowBlank="1" showInputMessage="1" showErrorMessage="1" error="promotion increase 5%~20%" sqref="AC551" xr:uid="{F64A71BD-8F42-407E-A548-424C7FF03BDA}">
      <formula1>IF(OR(AND(AC472&gt;=-0.2,AC472&lt;=-0.05),AND(AC472&gt;=0.05,AC472&lt;=0.2)),AC472,0)</formula1>
    </dataValidation>
    <dataValidation type="custom" errorStyle="information" allowBlank="1" showInputMessage="1" showErrorMessage="1" error="promotion increase 5%~20%" sqref="AC550" xr:uid="{8BEA99BB-39B4-4D8A-ACAF-7F8EBF90BC20}">
      <formula1>IF(OR(AND(AC472&gt;=-0.2,AC472&lt;=-0.05),AND(AC472&gt;=0.05,AC472&lt;=0.2)),AC472,0)</formula1>
    </dataValidation>
    <dataValidation type="custom" errorStyle="information" allowBlank="1" showInputMessage="1" showErrorMessage="1" error="promotion increase 5%~20%" sqref="AC549" xr:uid="{30BCD4FA-3A45-4202-B2D1-EA79B70DF6B2}">
      <formula1>IF(OR(AND(AC472&gt;=-0.2,AC472&lt;=-0.05),AND(AC472&gt;=0.05,AC472&lt;=0.2)),AC472,0)</formula1>
    </dataValidation>
    <dataValidation type="custom" errorStyle="information" allowBlank="1" showInputMessage="1" showErrorMessage="1" error="promotion increase 5%~20%" sqref="AC548" xr:uid="{6A706222-0ECE-4FB6-96D4-16F211FAC747}">
      <formula1>IF(OR(AND(AC472&gt;=-0.2,AC472&lt;=-0.05),AND(AC472&gt;=0.05,AC472&lt;=0.2)),AC472,0)</formula1>
    </dataValidation>
    <dataValidation type="custom" errorStyle="information" allowBlank="1" showInputMessage="1" showErrorMessage="1" error="promotion increase 5%~20%" sqref="AC547" xr:uid="{743E1BC0-B076-4672-A113-2BA95730643B}">
      <formula1>IF(OR(AND(AC472&gt;=-0.2,AC472&lt;=-0.05),AND(AC472&gt;=0.05,AC472&lt;=0.2)),AC472,0)</formula1>
    </dataValidation>
    <dataValidation type="custom" errorStyle="information" allowBlank="1" showInputMessage="1" showErrorMessage="1" error="promotion increase 5%~20%" sqref="AC546" xr:uid="{BCD21C16-B177-46D5-AB63-8AD491A51F35}">
      <formula1>IF(OR(AND(AC472&gt;=-0.2,AC472&lt;=-0.05),AND(AC472&gt;=0.05,AC472&lt;=0.2)),AC472,0)</formula1>
    </dataValidation>
    <dataValidation type="custom" errorStyle="information" allowBlank="1" showInputMessage="1" showErrorMessage="1" error="promotion increase 5%~20%" sqref="AC545" xr:uid="{E1A9C561-F37C-4A83-8E10-55C32C86E3D5}">
      <formula1>IF(OR(AND(AC472&gt;=-0.2,AC472&lt;=-0.05),AND(AC472&gt;=0.05,AC472&lt;=0.2)),AC472,0)</formula1>
    </dataValidation>
    <dataValidation type="custom" errorStyle="information" allowBlank="1" showInputMessage="1" showErrorMessage="1" error="promotion increase 5%~20%" sqref="AC544" xr:uid="{BCD633DA-5782-4372-BCA4-ACF1B92E662E}">
      <formula1>IF(OR(AND(AC472&gt;=-0.2,AC472&lt;=-0.05),AND(AC472&gt;=0.05,AC472&lt;=0.2)),AC472,0)</formula1>
    </dataValidation>
    <dataValidation type="custom" errorStyle="information" allowBlank="1" showInputMessage="1" showErrorMessage="1" error="promotion increase 5%~20%" sqref="AC543" xr:uid="{A5DE5B87-B37E-4AAE-96CB-DFDFBA0682D7}">
      <formula1>IF(OR(AND(AC472&gt;=-0.2,AC472&lt;=-0.05),AND(AC472&gt;=0.05,AC472&lt;=0.2)),AC472,0)</formula1>
    </dataValidation>
    <dataValidation type="custom" errorStyle="information" allowBlank="1" showInputMessage="1" showErrorMessage="1" error="promotion increase 5%~20%" sqref="AC542" xr:uid="{3B876D10-5938-4A8D-9FDA-048979841E51}">
      <formula1>IF(OR(AND(AC472&gt;=-0.2,AC472&lt;=-0.05),AND(AC472&gt;=0.05,AC472&lt;=0.2)),AC472,0)</formula1>
    </dataValidation>
    <dataValidation type="custom" errorStyle="information" allowBlank="1" showInputMessage="1" showErrorMessage="1" error="promotion increase 5%~20%" sqref="AC541" xr:uid="{425567D3-BDA7-4809-8124-345ED8BE5D47}">
      <formula1>IF(OR(AND(AC472&gt;=-0.2,AC472&lt;=-0.05),AND(AC472&gt;=0.05,AC472&lt;=0.2)),AC472,0)</formula1>
    </dataValidation>
    <dataValidation type="custom" errorStyle="information" allowBlank="1" showInputMessage="1" showErrorMessage="1" error="promotion increase 5%~20%" sqref="AC540" xr:uid="{B8EB82AA-9E59-495B-AA0D-E3C98AA7D7E1}">
      <formula1>IF(OR(AND(AC472&gt;=-0.2,AC472&lt;=-0.05),AND(AC472&gt;=0.05,AC472&lt;=0.2)),AC472,0)</formula1>
    </dataValidation>
    <dataValidation type="custom" errorStyle="information" allowBlank="1" showInputMessage="1" showErrorMessage="1" error="promotion increase 5%~20%" sqref="AC539" xr:uid="{A129BA6A-591F-4763-99B6-5F1BD513346C}">
      <formula1>IF(OR(AND(AC472&gt;=-0.2,AC472&lt;=-0.05),AND(AC472&gt;=0.05,AC472&lt;=0.2)),AC472,0)</formula1>
    </dataValidation>
    <dataValidation type="custom" errorStyle="information" allowBlank="1" showInputMessage="1" showErrorMessage="1" error="promotion increase 5%~20%" sqref="AC538" xr:uid="{8B28928E-E95B-4CE2-90D1-9939B5F97CEB}">
      <formula1>IF(OR(AND(AC472&gt;=-0.2,AC472&lt;=-0.05),AND(AC472&gt;=0.05,AC472&lt;=0.2)),AC472,0)</formula1>
    </dataValidation>
    <dataValidation type="custom" errorStyle="information" allowBlank="1" showInputMessage="1" showErrorMessage="1" error="promotion increase 5%~20%" sqref="AC537" xr:uid="{C1599F0A-AF4D-4D61-A89A-6C1A5C0B81E3}">
      <formula1>IF(OR(AND(AC472&gt;=-0.2,AC472&lt;=-0.05),AND(AC472&gt;=0.05,AC472&lt;=0.2)),AC472,0)</formula1>
    </dataValidation>
    <dataValidation type="custom" errorStyle="information" allowBlank="1" showInputMessage="1" showErrorMessage="1" error="promotion increase 5%~20%" sqref="AC536" xr:uid="{E8FA5B7E-9F37-4924-9EF2-7FE4C1144702}">
      <formula1>IF(OR(AND(AC472&gt;=-0.2,AC472&lt;=-0.05),AND(AC472&gt;=0.05,AC472&lt;=0.2)),AC472,0)</formula1>
    </dataValidation>
    <dataValidation type="custom" errorStyle="information" allowBlank="1" showInputMessage="1" showErrorMessage="1" error="promotion increase 5%~20%" sqref="AC535" xr:uid="{F257EEA6-CFA5-4CAF-9874-8D1D77CE8E74}">
      <formula1>IF(OR(AND(AC472&gt;=-0.2,AC472&lt;=-0.05),AND(AC472&gt;=0.05,AC472&lt;=0.2)),AC472,0)</formula1>
    </dataValidation>
    <dataValidation type="custom" errorStyle="information" allowBlank="1" showInputMessage="1" showErrorMessage="1" error="promotion increase 5%~20%" sqref="AC534" xr:uid="{CBD0E7AB-E77A-4177-B8B6-E3C6D2AF9BD1}">
      <formula1>IF(OR(AND(AC472&gt;=-0.2,AC472&lt;=-0.05),AND(AC472&gt;=0.05,AC472&lt;=0.2)),AC472,0)</formula1>
    </dataValidation>
    <dataValidation type="custom" errorStyle="information" allowBlank="1" showInputMessage="1" showErrorMessage="1" error="promotion increase 5%~20%" sqref="AC533" xr:uid="{A22B8682-D572-4F39-A322-810907512987}">
      <formula1>IF(OR(AND(AC472&gt;=-0.2,AC472&lt;=-0.05),AND(AC472&gt;=0.05,AC472&lt;=0.2)),AC472,0)</formula1>
    </dataValidation>
    <dataValidation type="custom" errorStyle="information" allowBlank="1" showInputMessage="1" showErrorMessage="1" error="promotion increase 5%~20%" sqref="AC532" xr:uid="{D85229F5-BAA3-416D-865A-84FBEC90BF78}">
      <formula1>IF(OR(AND(AC472&gt;=-0.2,AC472&lt;=-0.05),AND(AC472&gt;=0.05,AC472&lt;=0.2)),AC472,0)</formula1>
    </dataValidation>
    <dataValidation type="custom" errorStyle="information" allowBlank="1" showInputMessage="1" showErrorMessage="1" error="promotion increase 5%~20%" sqref="AC531" xr:uid="{15CF1A85-0327-41A3-9A57-4F4A78DA7E6D}">
      <formula1>IF(OR(AND(AC472&gt;=-0.2,AC472&lt;=-0.05),AND(AC472&gt;=0.05,AC472&lt;=0.2)),AC472,0)</formula1>
    </dataValidation>
    <dataValidation type="custom" errorStyle="information" allowBlank="1" showInputMessage="1" showErrorMessage="1" error="promotion increase 5%~20%" sqref="AC530" xr:uid="{63EB50A8-E188-49E1-A2E4-AEEF19BB21D1}">
      <formula1>IF(OR(AND(AC472&gt;=-0.2,AC472&lt;=-0.05),AND(AC472&gt;=0.05,AC472&lt;=0.2)),AC472,0)</formula1>
    </dataValidation>
    <dataValidation type="custom" errorStyle="information" allowBlank="1" showInputMessage="1" showErrorMessage="1" error="promotion increase 5%~20%" sqref="AC529" xr:uid="{5F2977E1-8D4D-484A-B6F1-C6CC3731D58E}">
      <formula1>IF(OR(AND(AC472&gt;=-0.2,AC472&lt;=-0.05),AND(AC472&gt;=0.05,AC472&lt;=0.2)),AC472,0)</formula1>
    </dataValidation>
    <dataValidation type="custom" errorStyle="information" allowBlank="1" showInputMessage="1" showErrorMessage="1" error="promotion increase 5%~20%" sqref="AC528" xr:uid="{9E54767B-23BD-4A50-B763-7D04ABBC33A9}">
      <formula1>IF(OR(AND(AC472&gt;=-0.2,AC472&lt;=-0.05),AND(AC472&gt;=0.05,AC472&lt;=0.2)),AC472,0)</formula1>
    </dataValidation>
    <dataValidation type="custom" errorStyle="information" allowBlank="1" showInputMessage="1" showErrorMessage="1" error="promotion increase 5%~20%" sqref="AC527" xr:uid="{47DE64A1-9E64-4D2D-BC53-9FEE342C58AF}">
      <formula1>IF(OR(AND(AC472&gt;=-0.2,AC472&lt;=-0.05),AND(AC472&gt;=0.05,AC472&lt;=0.2)),AC472,0)</formula1>
    </dataValidation>
    <dataValidation type="custom" errorStyle="information" allowBlank="1" showInputMessage="1" showErrorMessage="1" error="promotion increase 5%~20%" sqref="AC526" xr:uid="{2A53C4AD-EB41-4EAA-877E-BDC9E9C5902E}">
      <formula1>IF(OR(AND(AC472&gt;=-0.2,AC472&lt;=-0.05),AND(AC472&gt;=0.05,AC472&lt;=0.2)),AC472,0)</formula1>
    </dataValidation>
    <dataValidation type="custom" errorStyle="information" allowBlank="1" showInputMessage="1" showErrorMessage="1" error="promotion increase 5%~20%" sqref="AC525" xr:uid="{4E2FD91F-5D51-4163-ADB4-75F89D95040F}">
      <formula1>IF(OR(AND(AC472&gt;=-0.2,AC472&lt;=-0.05),AND(AC472&gt;=0.05,AC472&lt;=0.2)),AC472,0)</formula1>
    </dataValidation>
    <dataValidation type="custom" errorStyle="information" allowBlank="1" showInputMessage="1" showErrorMessage="1" error="promotion increase 5%~20%" sqref="AC524" xr:uid="{E21AED28-44FD-427F-B56D-B77444E709DC}">
      <formula1>IF(OR(AND(AC472&gt;=-0.2,AC472&lt;=-0.05),AND(AC472&gt;=0.05,AC472&lt;=0.2)),AC472,0)</formula1>
    </dataValidation>
    <dataValidation type="custom" errorStyle="information" allowBlank="1" showInputMessage="1" showErrorMessage="1" error="promotion increase 5%~20%" sqref="AC523" xr:uid="{62443775-1DA3-4308-B5A5-E7289B78385A}">
      <formula1>IF(OR(AND(AC472&gt;=-0.2,AC472&lt;=-0.05),AND(AC472&gt;=0.05,AC472&lt;=0.2)),AC472,0)</formula1>
    </dataValidation>
    <dataValidation type="custom" errorStyle="information" allowBlank="1" showInputMessage="1" showErrorMessage="1" error="promotion increase 5%~20%" sqref="AC522" xr:uid="{1C8AB2F1-7682-4ECB-B18D-4E8C9DD19617}">
      <formula1>IF(OR(AND(AC472&gt;=-0.2,AC472&lt;=-0.05),AND(AC472&gt;=0.05,AC472&lt;=0.2)),AC472,0)</formula1>
    </dataValidation>
    <dataValidation type="custom" errorStyle="information" allowBlank="1" showInputMessage="1" showErrorMessage="1" error="promotion increase 5%~20%" sqref="AC521" xr:uid="{45E57A49-5AE8-4F1C-B8D2-1ED14282549C}">
      <formula1>IF(OR(AND(AC472&gt;=-0.2,AC472&lt;=-0.05),AND(AC472&gt;=0.05,AC472&lt;=0.2)),AC472,0)</formula1>
    </dataValidation>
    <dataValidation type="custom" errorStyle="information" allowBlank="1" showInputMessage="1" showErrorMessage="1" error="promotion increase 5%~20%" sqref="AC520" xr:uid="{BF7A9CAE-A91C-4891-8543-2B35A1F1E5F2}">
      <formula1>IF(OR(AND(AC472&gt;=-0.2,AC472&lt;=-0.05),AND(AC472&gt;=0.05,AC472&lt;=0.2)),AC472,0)</formula1>
    </dataValidation>
    <dataValidation type="custom" errorStyle="information" allowBlank="1" showInputMessage="1" showErrorMessage="1" error="promotion increase 5%~20%" sqref="AC519" xr:uid="{0628DAA0-E911-4F35-BA77-40122410AB4B}">
      <formula1>IF(OR(AND(AC472&gt;=-0.2,AC472&lt;=-0.05),AND(AC472&gt;=0.05,AC472&lt;=0.2)),AC472,0)</formula1>
    </dataValidation>
    <dataValidation type="custom" errorStyle="information" allowBlank="1" showInputMessage="1" showErrorMessage="1" error="promotion increase 5%~20%" sqref="AC518" xr:uid="{A277AE91-7B91-4B73-8876-15940E8017C3}">
      <formula1>IF(OR(AND(AC472&gt;=-0.2,AC472&lt;=-0.05),AND(AC472&gt;=0.05,AC472&lt;=0.2)),AC472,0)</formula1>
    </dataValidation>
    <dataValidation type="custom" errorStyle="information" allowBlank="1" showInputMessage="1" showErrorMessage="1" error="promotion increase 5%~20%" sqref="AC517" xr:uid="{B4979CFA-F8EB-4D7B-8D93-B06C6E1606F9}">
      <formula1>IF(OR(AND(AC472&gt;=-0.2,AC472&lt;=-0.05),AND(AC472&gt;=0.05,AC472&lt;=0.2)),AC472,0)</formula1>
    </dataValidation>
    <dataValidation type="custom" errorStyle="information" allowBlank="1" showInputMessage="1" showErrorMessage="1" error="promotion increase 5%~20%" sqref="AC516" xr:uid="{BA594EB5-712A-46E3-9E13-A025F57EB17F}">
      <formula1>IF(OR(AND(AC472&gt;=-0.2,AC472&lt;=-0.05),AND(AC472&gt;=0.05,AC472&lt;=0.2)),AC472,0)</formula1>
    </dataValidation>
    <dataValidation type="custom" errorStyle="information" allowBlank="1" showInputMessage="1" showErrorMessage="1" error="promotion increase 5%~20%" sqref="AC515" xr:uid="{3D077A8B-1DA5-45D1-8D87-7AC649444FEA}">
      <formula1>IF(OR(AND(AC472&gt;=-0.2,AC472&lt;=-0.05),AND(AC472&gt;=0.05,AC472&lt;=0.2)),AC472,0)</formula1>
    </dataValidation>
    <dataValidation type="custom" errorStyle="information" allowBlank="1" showInputMessage="1" showErrorMessage="1" error="promotion increase 5%~20%" sqref="AC514" xr:uid="{2DBEF807-E0B2-440C-AC6D-B70C04EEC29F}">
      <formula1>IF(OR(AND(AC472&gt;=-0.2,AC472&lt;=-0.05),AND(AC472&gt;=0.05,AC472&lt;=0.2)),AC472,0)</formula1>
    </dataValidation>
    <dataValidation type="custom" errorStyle="information" allowBlank="1" showInputMessage="1" showErrorMessage="1" error="promotion increase 5%~20%" sqref="AC513" xr:uid="{49F7C913-2B79-4129-A097-5F195B47633D}">
      <formula1>IF(OR(AND(AC472&gt;=-0.2,AC472&lt;=-0.05),AND(AC472&gt;=0.05,AC472&lt;=0.2)),AC472,0)</formula1>
    </dataValidation>
    <dataValidation allowBlank="1" showInputMessage="1" showErrorMessage="1" errorTitle="Over budget" error="You are over budget,please adjust." sqref="Q558 O558 Q642 O642 P2:P795 Y2:Y795 R2:U795" xr:uid="{8478398D-E616-441D-A9DE-3716565B017C}"/>
    <dataValidation type="list" showInputMessage="1" showErrorMessage="1" sqref="Z2:Z795" xr:uid="{A333CB59-0273-407E-A1D1-2EDA75DC4527}">
      <formula1>"Promotion,Demotion"</formula1>
    </dataValidation>
  </dataValidations>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38BF-2F7F-4506-8F47-D6E5F3D560CB}">
  <dimension ref="A1:AV59"/>
  <sheetViews>
    <sheetView topLeftCell="B1" workbookViewId="0">
      <selection activeCell="C1" sqref="C1:D1048576"/>
    </sheetView>
  </sheetViews>
  <sheetFormatPr defaultRowHeight="20" customHeight="1"/>
  <cols>
    <col min="1" max="1" width="0" hidden="1" customWidth="1"/>
    <col min="3" max="3" width="10.90625" hidden="1" customWidth="1"/>
    <col min="4" max="4" width="0" hidden="1" customWidth="1"/>
    <col min="6" max="9" width="0" hidden="1" customWidth="1"/>
    <col min="12" max="12" width="0" hidden="1" customWidth="1"/>
    <col min="15" max="25" width="0" hidden="1" customWidth="1"/>
    <col min="29" max="30" width="0" hidden="1" customWidth="1"/>
    <col min="32" max="32" width="0" hidden="1" customWidth="1"/>
    <col min="34" max="38" width="0" hidden="1" customWidth="1"/>
    <col min="40" max="40" width="0" hidden="1" customWidth="1"/>
    <col min="43" max="45" width="0" hidden="1" customWidth="1"/>
  </cols>
  <sheetData>
    <row r="1" spans="1:48" ht="20" customHeight="1">
      <c r="A1" t="s">
        <v>87</v>
      </c>
    </row>
    <row r="2" spans="1:48" ht="48.5" customHeight="1">
      <c r="A2" s="253" t="s">
        <v>313</v>
      </c>
      <c r="B2" s="332" t="s">
        <v>2</v>
      </c>
      <c r="C2" s="254" t="s">
        <v>4</v>
      </c>
      <c r="D2" s="254" t="s">
        <v>5</v>
      </c>
      <c r="E2" s="332" t="s">
        <v>6</v>
      </c>
      <c r="F2" s="254" t="s">
        <v>7</v>
      </c>
      <c r="G2" s="254" t="s">
        <v>8</v>
      </c>
      <c r="H2" s="255" t="s">
        <v>9</v>
      </c>
      <c r="I2" s="254" t="s">
        <v>314</v>
      </c>
      <c r="J2" s="332" t="s">
        <v>11</v>
      </c>
      <c r="K2" s="332" t="s">
        <v>12</v>
      </c>
      <c r="L2" s="256" t="s">
        <v>13</v>
      </c>
      <c r="M2" s="333" t="s">
        <v>14</v>
      </c>
      <c r="N2" s="332" t="s">
        <v>15</v>
      </c>
      <c r="O2" s="334" t="s">
        <v>16</v>
      </c>
      <c r="P2" s="334" t="s">
        <v>17</v>
      </c>
      <c r="Q2" s="334" t="s">
        <v>18</v>
      </c>
      <c r="R2" s="334" t="s">
        <v>19</v>
      </c>
      <c r="S2" s="334" t="s">
        <v>2313</v>
      </c>
      <c r="T2" s="334" t="s">
        <v>21</v>
      </c>
      <c r="U2" s="343" t="s">
        <v>22</v>
      </c>
      <c r="V2" s="344" t="s">
        <v>2314</v>
      </c>
      <c r="W2" s="345" t="s">
        <v>24</v>
      </c>
      <c r="X2" s="345" t="s">
        <v>25</v>
      </c>
      <c r="Y2" s="345" t="s">
        <v>26</v>
      </c>
      <c r="Z2" s="337" t="s">
        <v>27</v>
      </c>
      <c r="AA2" s="337" t="s">
        <v>28</v>
      </c>
      <c r="AB2" s="337" t="s">
        <v>29</v>
      </c>
      <c r="AC2" s="335" t="s">
        <v>30</v>
      </c>
      <c r="AD2" s="336" t="s">
        <v>31</v>
      </c>
      <c r="AE2" s="338" t="s">
        <v>32</v>
      </c>
      <c r="AF2" s="338" t="s">
        <v>315</v>
      </c>
      <c r="AG2" s="338" t="s">
        <v>316</v>
      </c>
      <c r="AH2" s="339" t="s">
        <v>35</v>
      </c>
      <c r="AI2" s="339" t="s">
        <v>36</v>
      </c>
      <c r="AJ2" s="339" t="s">
        <v>37</v>
      </c>
      <c r="AK2" s="339" t="s">
        <v>38</v>
      </c>
      <c r="AL2" s="339" t="s">
        <v>39</v>
      </c>
      <c r="AM2" s="339" t="s">
        <v>40</v>
      </c>
      <c r="AN2" s="339" t="s">
        <v>317</v>
      </c>
      <c r="AO2" s="340" t="s">
        <v>42</v>
      </c>
      <c r="AP2" s="340" t="s">
        <v>43</v>
      </c>
      <c r="AQ2" s="341" t="s">
        <v>44</v>
      </c>
      <c r="AR2" s="341" t="s">
        <v>45</v>
      </c>
      <c r="AS2" s="341" t="s">
        <v>46</v>
      </c>
      <c r="AT2" s="340" t="s">
        <v>48</v>
      </c>
      <c r="AU2" s="340" t="s">
        <v>49</v>
      </c>
      <c r="AV2" s="342" t="s">
        <v>2002</v>
      </c>
    </row>
    <row r="3" spans="1:48" ht="20" customHeight="1">
      <c r="A3" s="5" t="s">
        <v>318</v>
      </c>
      <c r="B3" s="271">
        <v>15021373</v>
      </c>
      <c r="C3" s="271" t="s">
        <v>51</v>
      </c>
      <c r="D3" s="271" t="s">
        <v>52</v>
      </c>
      <c r="E3" s="271" t="s">
        <v>1604</v>
      </c>
      <c r="F3" s="271" t="s">
        <v>1540</v>
      </c>
      <c r="G3" s="271" t="s">
        <v>1453</v>
      </c>
      <c r="H3" s="272">
        <v>44349</v>
      </c>
      <c r="I3" s="271" t="s">
        <v>74</v>
      </c>
      <c r="J3" s="271" t="s">
        <v>1446</v>
      </c>
      <c r="K3" s="271" t="s">
        <v>76</v>
      </c>
      <c r="L3" s="273">
        <v>2</v>
      </c>
      <c r="M3" s="273">
        <v>5</v>
      </c>
      <c r="N3" s="290">
        <v>15564</v>
      </c>
      <c r="O3" s="275">
        <v>0.04</v>
      </c>
      <c r="P3" s="291">
        <v>623</v>
      </c>
      <c r="Q3" s="275">
        <v>0</v>
      </c>
      <c r="R3" s="291">
        <v>0</v>
      </c>
      <c r="S3" s="275">
        <v>4.002827036751478E-2</v>
      </c>
      <c r="T3" s="291">
        <v>623</v>
      </c>
      <c r="U3" s="291">
        <v>16187</v>
      </c>
      <c r="V3" s="292">
        <v>15564</v>
      </c>
      <c r="W3" s="293">
        <v>0</v>
      </c>
      <c r="X3" s="279">
        <v>0</v>
      </c>
      <c r="Y3" s="280" t="s">
        <v>261</v>
      </c>
      <c r="Z3" s="294" t="s">
        <v>87</v>
      </c>
      <c r="AA3" s="294" t="s">
        <v>60</v>
      </c>
      <c r="AB3" s="294" t="s">
        <v>89</v>
      </c>
      <c r="AC3" s="282">
        <v>7.0000000000000007E-2</v>
      </c>
      <c r="AD3" s="290">
        <v>1089</v>
      </c>
      <c r="AE3" s="295">
        <v>16653</v>
      </c>
      <c r="AF3" s="284">
        <v>1089</v>
      </c>
      <c r="AG3" s="285">
        <v>6.9969159599074793E-2</v>
      </c>
      <c r="AH3" s="286">
        <v>14</v>
      </c>
      <c r="AI3" s="286">
        <v>450</v>
      </c>
      <c r="AJ3" s="286"/>
      <c r="AK3" s="286">
        <v>688</v>
      </c>
      <c r="AL3" s="286">
        <v>239230</v>
      </c>
      <c r="AM3" s="273">
        <v>3</v>
      </c>
      <c r="AN3" s="286"/>
      <c r="AO3" s="287" t="s">
        <v>1541</v>
      </c>
      <c r="AP3" s="287" t="s">
        <v>173</v>
      </c>
      <c r="AQ3" s="271" t="s">
        <v>1538</v>
      </c>
      <c r="AR3" s="271" t="s">
        <v>164</v>
      </c>
      <c r="AS3" s="271" t="s">
        <v>59</v>
      </c>
      <c r="AT3" s="287"/>
      <c r="AU3" s="287" t="s">
        <v>2311</v>
      </c>
      <c r="AV3" s="288" t="s">
        <v>2297</v>
      </c>
    </row>
    <row r="4" spans="1:48" ht="20" customHeight="1">
      <c r="A4" s="5" t="s">
        <v>318</v>
      </c>
      <c r="B4" s="271">
        <v>15020450</v>
      </c>
      <c r="C4" s="271" t="s">
        <v>1577</v>
      </c>
      <c r="D4" s="271" t="s">
        <v>52</v>
      </c>
      <c r="E4" s="271" t="s">
        <v>1604</v>
      </c>
      <c r="F4" s="271" t="s">
        <v>1573</v>
      </c>
      <c r="G4" s="271" t="s">
        <v>1476</v>
      </c>
      <c r="H4" s="272">
        <v>44378</v>
      </c>
      <c r="I4" s="271" t="s">
        <v>377</v>
      </c>
      <c r="J4" s="271" t="s">
        <v>377</v>
      </c>
      <c r="K4" s="271" t="s">
        <v>324</v>
      </c>
      <c r="L4" s="273">
        <v>2</v>
      </c>
      <c r="M4" s="273">
        <v>3</v>
      </c>
      <c r="N4" s="301">
        <v>5100</v>
      </c>
      <c r="O4" s="296">
        <v>0</v>
      </c>
      <c r="P4" s="302">
        <v>0</v>
      </c>
      <c r="Q4" s="296">
        <v>0</v>
      </c>
      <c r="R4" s="302">
        <v>0</v>
      </c>
      <c r="S4" s="296">
        <v>0</v>
      </c>
      <c r="T4" s="302">
        <v>0</v>
      </c>
      <c r="U4" s="302">
        <v>5100</v>
      </c>
      <c r="V4" s="303">
        <v>5100</v>
      </c>
      <c r="W4" s="304">
        <v>0</v>
      </c>
      <c r="X4" s="297">
        <v>0</v>
      </c>
      <c r="Y4" s="298" t="s">
        <v>225</v>
      </c>
      <c r="Z4" s="305" t="s">
        <v>87</v>
      </c>
      <c r="AA4" s="305" t="s">
        <v>1578</v>
      </c>
      <c r="AB4" s="305" t="s">
        <v>439</v>
      </c>
      <c r="AC4" s="299">
        <v>0.1356</v>
      </c>
      <c r="AD4" s="301">
        <v>692</v>
      </c>
      <c r="AE4" s="306">
        <v>5792</v>
      </c>
      <c r="AF4" s="284">
        <v>692</v>
      </c>
      <c r="AG4" s="300">
        <v>0.13568627450980397</v>
      </c>
      <c r="AH4" s="286">
        <v>14</v>
      </c>
      <c r="AI4" s="286">
        <v>500</v>
      </c>
      <c r="AJ4" s="286"/>
      <c r="AK4" s="286">
        <v>688</v>
      </c>
      <c r="AL4" s="286">
        <v>87776</v>
      </c>
      <c r="AM4" s="273">
        <v>4</v>
      </c>
      <c r="AN4" s="286"/>
      <c r="AO4" s="354" t="s">
        <v>1579</v>
      </c>
      <c r="AP4" s="287" t="s">
        <v>239</v>
      </c>
      <c r="AQ4" s="271" t="s">
        <v>1559</v>
      </c>
      <c r="AR4" s="271" t="s">
        <v>164</v>
      </c>
      <c r="AS4" s="271" t="s">
        <v>59</v>
      </c>
      <c r="AT4" s="287"/>
      <c r="AU4" s="287" t="s">
        <v>2311</v>
      </c>
      <c r="AV4" s="288" t="s">
        <v>2295</v>
      </c>
    </row>
    <row r="5" spans="1:48" ht="20" customHeight="1">
      <c r="A5" s="5" t="s">
        <v>318</v>
      </c>
      <c r="B5" s="271">
        <v>1120211</v>
      </c>
      <c r="C5" s="271" t="s">
        <v>51</v>
      </c>
      <c r="D5" s="271" t="s">
        <v>52</v>
      </c>
      <c r="E5" s="271" t="s">
        <v>1604</v>
      </c>
      <c r="F5" s="271" t="s">
        <v>1597</v>
      </c>
      <c r="G5" s="271" t="s">
        <v>1456</v>
      </c>
      <c r="H5" s="272">
        <v>43200</v>
      </c>
      <c r="I5" s="271" t="s">
        <v>74</v>
      </c>
      <c r="J5" s="271" t="s">
        <v>1581</v>
      </c>
      <c r="K5" s="271" t="s">
        <v>76</v>
      </c>
      <c r="L5" s="273">
        <v>2</v>
      </c>
      <c r="M5" s="273">
        <v>5</v>
      </c>
      <c r="N5" s="290">
        <v>10987</v>
      </c>
      <c r="O5" s="296">
        <v>0.05</v>
      </c>
      <c r="P5" s="291">
        <v>549</v>
      </c>
      <c r="Q5" s="296">
        <v>2.7E-2</v>
      </c>
      <c r="R5" s="291">
        <v>297</v>
      </c>
      <c r="S5" s="296">
        <v>7.7000091016656044E-2</v>
      </c>
      <c r="T5" s="291">
        <v>846</v>
      </c>
      <c r="U5" s="291">
        <v>11833</v>
      </c>
      <c r="V5" s="292">
        <v>11500</v>
      </c>
      <c r="W5" s="293">
        <v>513</v>
      </c>
      <c r="X5" s="297">
        <v>4.6699999999999998E-2</v>
      </c>
      <c r="Y5" s="298" t="s">
        <v>237</v>
      </c>
      <c r="Z5" s="294" t="s">
        <v>87</v>
      </c>
      <c r="AA5" s="294" t="s">
        <v>238</v>
      </c>
      <c r="AB5" s="294" t="s">
        <v>89</v>
      </c>
      <c r="AC5" s="299">
        <v>0.12180000000000001</v>
      </c>
      <c r="AD5" s="290">
        <v>1338</v>
      </c>
      <c r="AE5" s="295">
        <v>12838</v>
      </c>
      <c r="AF5" s="284">
        <v>1851</v>
      </c>
      <c r="AG5" s="300">
        <v>0.16847183034495306</v>
      </c>
      <c r="AH5" s="286">
        <v>14</v>
      </c>
      <c r="AI5" s="286">
        <v>450</v>
      </c>
      <c r="AJ5" s="286"/>
      <c r="AK5" s="286">
        <v>688</v>
      </c>
      <c r="AL5" s="286">
        <v>185820</v>
      </c>
      <c r="AM5" s="273">
        <v>3</v>
      </c>
      <c r="AN5" s="286"/>
      <c r="AO5" s="355" t="s">
        <v>1600</v>
      </c>
      <c r="AP5" s="287" t="s">
        <v>173</v>
      </c>
      <c r="AQ5" s="271" t="s">
        <v>1589</v>
      </c>
      <c r="AR5" s="271" t="s">
        <v>164</v>
      </c>
      <c r="AS5" s="271" t="s">
        <v>59</v>
      </c>
      <c r="AT5" s="287"/>
      <c r="AU5" s="287" t="s">
        <v>2311</v>
      </c>
      <c r="AV5" s="289" t="s">
        <v>129</v>
      </c>
    </row>
    <row r="6" spans="1:48" ht="20" customHeight="1">
      <c r="A6" s="5" t="s">
        <v>318</v>
      </c>
      <c r="B6" s="271">
        <v>1132124</v>
      </c>
      <c r="C6" s="271" t="s">
        <v>51</v>
      </c>
      <c r="D6" s="271" t="s">
        <v>52</v>
      </c>
      <c r="E6" s="271" t="s">
        <v>2035</v>
      </c>
      <c r="F6" s="271" t="s">
        <v>2100</v>
      </c>
      <c r="G6" s="271" t="s">
        <v>2101</v>
      </c>
      <c r="H6" s="272">
        <v>37823</v>
      </c>
      <c r="I6" s="271" t="s">
        <v>74</v>
      </c>
      <c r="J6" s="271" t="s">
        <v>74</v>
      </c>
      <c r="K6" s="271" t="s">
        <v>76</v>
      </c>
      <c r="L6" s="273">
        <v>2</v>
      </c>
      <c r="M6" s="273">
        <v>4</v>
      </c>
      <c r="N6" s="290">
        <v>12754</v>
      </c>
      <c r="O6" s="275">
        <v>3.7500000000000006E-2</v>
      </c>
      <c r="P6" s="291">
        <v>478</v>
      </c>
      <c r="Q6" s="275">
        <v>1.55E-2</v>
      </c>
      <c r="R6" s="291">
        <v>198</v>
      </c>
      <c r="S6" s="275">
        <v>5.3002979457425124E-2</v>
      </c>
      <c r="T6" s="291">
        <v>676</v>
      </c>
      <c r="U6" s="291">
        <v>13430</v>
      </c>
      <c r="V6" s="292">
        <v>13430</v>
      </c>
      <c r="W6" s="293">
        <v>676</v>
      </c>
      <c r="X6" s="279">
        <v>5.2999999999999999E-2</v>
      </c>
      <c r="Y6" s="280" t="s">
        <v>222</v>
      </c>
      <c r="Z6" s="294" t="s">
        <v>87</v>
      </c>
      <c r="AA6" s="294" t="s">
        <v>2106</v>
      </c>
      <c r="AB6" s="294"/>
      <c r="AC6" s="282">
        <v>0.1</v>
      </c>
      <c r="AD6" s="290">
        <v>1275</v>
      </c>
      <c r="AE6" s="295">
        <v>14705</v>
      </c>
      <c r="AF6" s="284">
        <v>1951</v>
      </c>
      <c r="AG6" s="285">
        <v>0.15297161674768689</v>
      </c>
      <c r="AH6" s="286">
        <v>14</v>
      </c>
      <c r="AI6" s="286">
        <v>450</v>
      </c>
      <c r="AJ6" s="286"/>
      <c r="AK6" s="286">
        <v>688</v>
      </c>
      <c r="AL6" s="286">
        <v>211958</v>
      </c>
      <c r="AM6" s="273">
        <v>3</v>
      </c>
      <c r="AN6" s="286"/>
      <c r="AO6" s="287"/>
      <c r="AP6" s="287"/>
      <c r="AQ6" s="271" t="s">
        <v>2074</v>
      </c>
      <c r="AR6" s="271" t="s">
        <v>2075</v>
      </c>
      <c r="AS6" s="271" t="s">
        <v>247</v>
      </c>
      <c r="AT6" s="287"/>
      <c r="AU6" s="287" t="s">
        <v>2311</v>
      </c>
      <c r="AV6" s="288" t="s">
        <v>2295</v>
      </c>
    </row>
    <row r="7" spans="1:48" ht="20" customHeight="1">
      <c r="A7" s="5" t="s">
        <v>318</v>
      </c>
      <c r="B7" s="271">
        <v>11018246</v>
      </c>
      <c r="C7" s="271" t="s">
        <v>51</v>
      </c>
      <c r="D7" s="271" t="s">
        <v>52</v>
      </c>
      <c r="E7" s="271" t="s">
        <v>1753</v>
      </c>
      <c r="F7" s="271" t="s">
        <v>1742</v>
      </c>
      <c r="G7" s="271" t="s">
        <v>1743</v>
      </c>
      <c r="H7" s="272">
        <v>44298</v>
      </c>
      <c r="I7" s="271" t="s">
        <v>226</v>
      </c>
      <c r="J7" s="271" t="s">
        <v>226</v>
      </c>
      <c r="K7" s="271" t="s">
        <v>84</v>
      </c>
      <c r="L7" s="273">
        <v>2</v>
      </c>
      <c r="M7" s="273">
        <v>5</v>
      </c>
      <c r="N7" s="290">
        <v>11300</v>
      </c>
      <c r="O7" s="296">
        <v>0.03</v>
      </c>
      <c r="P7" s="291">
        <v>339</v>
      </c>
      <c r="Q7" s="296">
        <v>0</v>
      </c>
      <c r="R7" s="291">
        <v>0</v>
      </c>
      <c r="S7" s="296">
        <v>0.03</v>
      </c>
      <c r="T7" s="291">
        <v>339</v>
      </c>
      <c r="U7" s="291">
        <v>11639</v>
      </c>
      <c r="V7" s="292">
        <v>11300</v>
      </c>
      <c r="W7" s="293">
        <v>0</v>
      </c>
      <c r="X7" s="297">
        <v>0</v>
      </c>
      <c r="Y7" s="298" t="s">
        <v>233</v>
      </c>
      <c r="Z7" s="294" t="s">
        <v>87</v>
      </c>
      <c r="AA7" s="294"/>
      <c r="AB7" s="294" t="s">
        <v>76</v>
      </c>
      <c r="AC7" s="299">
        <v>0.155</v>
      </c>
      <c r="AD7" s="290">
        <v>1752</v>
      </c>
      <c r="AE7" s="295">
        <v>13052</v>
      </c>
      <c r="AF7" s="284">
        <v>1752</v>
      </c>
      <c r="AG7" s="300">
        <v>0.15504424778761061</v>
      </c>
      <c r="AH7" s="286">
        <v>14</v>
      </c>
      <c r="AI7" s="286">
        <v>550</v>
      </c>
      <c r="AJ7" s="286"/>
      <c r="AK7" s="286">
        <v>688</v>
      </c>
      <c r="AL7" s="286">
        <v>190016</v>
      </c>
      <c r="AM7" s="273">
        <v>3</v>
      </c>
      <c r="AN7" s="286"/>
      <c r="AO7" s="287" t="s">
        <v>1847</v>
      </c>
      <c r="AP7" s="287"/>
      <c r="AQ7" s="271" t="s">
        <v>1761</v>
      </c>
      <c r="AR7" s="271" t="s">
        <v>124</v>
      </c>
      <c r="AS7" s="358"/>
      <c r="AT7" s="358"/>
      <c r="AU7" s="358" t="s">
        <v>2312</v>
      </c>
      <c r="AV7" s="289" t="s">
        <v>2297</v>
      </c>
    </row>
    <row r="8" spans="1:48" ht="20" customHeight="1">
      <c r="A8" s="5" t="s">
        <v>318</v>
      </c>
      <c r="B8" s="271">
        <v>11017101</v>
      </c>
      <c r="C8" s="271" t="s">
        <v>51</v>
      </c>
      <c r="D8" s="271" t="s">
        <v>52</v>
      </c>
      <c r="E8" s="271" t="s">
        <v>1902</v>
      </c>
      <c r="F8" s="271" t="s">
        <v>1902</v>
      </c>
      <c r="G8" s="271" t="s">
        <v>1903</v>
      </c>
      <c r="H8" s="272">
        <v>43864</v>
      </c>
      <c r="I8" s="271" t="s">
        <v>85</v>
      </c>
      <c r="J8" s="271" t="s">
        <v>1906</v>
      </c>
      <c r="K8" s="271" t="s">
        <v>76</v>
      </c>
      <c r="L8" s="273">
        <v>2</v>
      </c>
      <c r="M8" s="273">
        <v>4</v>
      </c>
      <c r="N8" s="290">
        <v>15188</v>
      </c>
      <c r="O8" s="275">
        <v>3.7500000000000006E-2</v>
      </c>
      <c r="P8" s="291">
        <v>570</v>
      </c>
      <c r="Q8" s="275">
        <v>1.55E-2</v>
      </c>
      <c r="R8" s="291">
        <v>235</v>
      </c>
      <c r="S8" s="275">
        <v>5.3002370292336058E-2</v>
      </c>
      <c r="T8" s="291">
        <v>805</v>
      </c>
      <c r="U8" s="291">
        <v>15993</v>
      </c>
      <c r="V8" s="292">
        <v>15990</v>
      </c>
      <c r="W8" s="293">
        <v>802</v>
      </c>
      <c r="X8" s="279">
        <v>5.28E-2</v>
      </c>
      <c r="Y8" s="280" t="s">
        <v>222</v>
      </c>
      <c r="Z8" s="294" t="s">
        <v>87</v>
      </c>
      <c r="AA8" s="294" t="s">
        <v>1729</v>
      </c>
      <c r="AB8" s="294" t="s">
        <v>89</v>
      </c>
      <c r="AC8" s="282">
        <v>6.6500000000000004E-2</v>
      </c>
      <c r="AD8" s="290">
        <v>1010</v>
      </c>
      <c r="AE8" s="295">
        <v>17000</v>
      </c>
      <c r="AF8" s="284">
        <v>1812</v>
      </c>
      <c r="AG8" s="285">
        <v>0.11930471424809053</v>
      </c>
      <c r="AH8" s="286">
        <v>14</v>
      </c>
      <c r="AI8" s="286">
        <v>450</v>
      </c>
      <c r="AJ8" s="286"/>
      <c r="AK8" s="286">
        <v>688</v>
      </c>
      <c r="AL8" s="286">
        <v>244088</v>
      </c>
      <c r="AM8" s="273">
        <v>3</v>
      </c>
      <c r="AN8" s="286"/>
      <c r="AO8" s="287" t="s">
        <v>90</v>
      </c>
      <c r="AP8" s="287" t="s">
        <v>90</v>
      </c>
      <c r="AQ8" s="271" t="s">
        <v>1904</v>
      </c>
      <c r="AR8" s="271" t="s">
        <v>69</v>
      </c>
      <c r="AS8" s="358"/>
      <c r="AT8" s="358"/>
      <c r="AU8" s="358" t="s">
        <v>2312</v>
      </c>
      <c r="AV8" s="288" t="s">
        <v>2295</v>
      </c>
    </row>
    <row r="9" spans="1:48" ht="20" customHeight="1">
      <c r="A9" s="5" t="s">
        <v>318</v>
      </c>
      <c r="B9" s="271">
        <v>15012982</v>
      </c>
      <c r="C9" s="271" t="s">
        <v>51</v>
      </c>
      <c r="D9" s="271" t="s">
        <v>52</v>
      </c>
      <c r="E9" s="271" t="s">
        <v>1914</v>
      </c>
      <c r="F9" s="271" t="s">
        <v>1917</v>
      </c>
      <c r="G9" s="271" t="s">
        <v>1918</v>
      </c>
      <c r="H9" s="272">
        <v>41821</v>
      </c>
      <c r="I9" s="271" t="s">
        <v>85</v>
      </c>
      <c r="J9" s="271" t="s">
        <v>1907</v>
      </c>
      <c r="K9" s="271" t="s">
        <v>76</v>
      </c>
      <c r="L9" s="273">
        <v>2</v>
      </c>
      <c r="M9" s="273">
        <v>4</v>
      </c>
      <c r="N9" s="290">
        <v>16004</v>
      </c>
      <c r="O9" s="275">
        <v>3.7500000000000006E-2</v>
      </c>
      <c r="P9" s="291">
        <v>600</v>
      </c>
      <c r="Q9" s="275">
        <v>1.55E-2</v>
      </c>
      <c r="R9" s="291">
        <v>248</v>
      </c>
      <c r="S9" s="275">
        <v>5.2986753311672082E-2</v>
      </c>
      <c r="T9" s="291">
        <v>848</v>
      </c>
      <c r="U9" s="291">
        <v>16852</v>
      </c>
      <c r="V9" s="292">
        <v>16852</v>
      </c>
      <c r="W9" s="293">
        <v>848</v>
      </c>
      <c r="X9" s="279">
        <v>5.2999999999999999E-2</v>
      </c>
      <c r="Y9" s="280" t="s">
        <v>222</v>
      </c>
      <c r="Z9" s="294" t="s">
        <v>87</v>
      </c>
      <c r="AA9" s="294" t="s">
        <v>1729</v>
      </c>
      <c r="AB9" s="294" t="s">
        <v>89</v>
      </c>
      <c r="AC9" s="282">
        <v>0.122</v>
      </c>
      <c r="AD9" s="290">
        <v>1952</v>
      </c>
      <c r="AE9" s="295">
        <v>18804</v>
      </c>
      <c r="AF9" s="284">
        <v>2800</v>
      </c>
      <c r="AG9" s="285">
        <v>0.17495626093476635</v>
      </c>
      <c r="AH9" s="286">
        <v>14</v>
      </c>
      <c r="AI9" s="286">
        <v>450</v>
      </c>
      <c r="AJ9" s="286"/>
      <c r="AK9" s="286">
        <v>688</v>
      </c>
      <c r="AL9" s="286">
        <v>269344</v>
      </c>
      <c r="AM9" s="273">
        <v>3</v>
      </c>
      <c r="AN9" s="286"/>
      <c r="AO9" s="287" t="s">
        <v>1921</v>
      </c>
      <c r="AP9" s="287" t="s">
        <v>90</v>
      </c>
      <c r="AQ9" s="271" t="s">
        <v>1916</v>
      </c>
      <c r="AR9" s="271" t="s">
        <v>69</v>
      </c>
      <c r="AS9" s="358"/>
      <c r="AT9" s="200"/>
      <c r="AU9" s="200" t="s">
        <v>2312</v>
      </c>
      <c r="AV9" s="144" t="s">
        <v>2295</v>
      </c>
    </row>
    <row r="10" spans="1:48" ht="20" customHeight="1">
      <c r="A10" s="5" t="s">
        <v>318</v>
      </c>
      <c r="B10" s="5">
        <v>11016645</v>
      </c>
      <c r="C10" s="5" t="s">
        <v>51</v>
      </c>
      <c r="D10" s="5" t="s">
        <v>52</v>
      </c>
      <c r="E10" s="5" t="s">
        <v>1935</v>
      </c>
      <c r="F10" s="5" t="s">
        <v>1929</v>
      </c>
      <c r="G10" s="5" t="s">
        <v>1927</v>
      </c>
      <c r="H10" s="6">
        <v>43332</v>
      </c>
      <c r="I10" s="5" t="s">
        <v>1728</v>
      </c>
      <c r="J10" s="5" t="s">
        <v>1729</v>
      </c>
      <c r="K10" s="5" t="s">
        <v>61</v>
      </c>
      <c r="L10" s="7">
        <v>2</v>
      </c>
      <c r="M10" s="7">
        <v>4</v>
      </c>
      <c r="N10" s="308">
        <v>21710</v>
      </c>
      <c r="O10" s="319">
        <v>3.7500000000000006E-2</v>
      </c>
      <c r="P10" s="310">
        <v>814</v>
      </c>
      <c r="Q10" s="319">
        <v>1.55E-2</v>
      </c>
      <c r="R10" s="310">
        <v>337</v>
      </c>
      <c r="S10" s="319">
        <v>5.301704283740212E-2</v>
      </c>
      <c r="T10" s="310">
        <v>1151</v>
      </c>
      <c r="U10" s="310">
        <v>22861</v>
      </c>
      <c r="V10" s="311">
        <v>22650</v>
      </c>
      <c r="W10" s="312">
        <v>940</v>
      </c>
      <c r="X10" s="320">
        <v>4.3299999999999998E-2</v>
      </c>
      <c r="Y10" s="321" t="s">
        <v>222</v>
      </c>
      <c r="Z10" s="315" t="s">
        <v>87</v>
      </c>
      <c r="AA10" s="315" t="s">
        <v>1909</v>
      </c>
      <c r="AB10" s="315" t="s">
        <v>1931</v>
      </c>
      <c r="AC10" s="322">
        <v>0.08</v>
      </c>
      <c r="AD10" s="308">
        <v>1737</v>
      </c>
      <c r="AE10" s="317">
        <v>24387</v>
      </c>
      <c r="AF10" s="18">
        <v>2677</v>
      </c>
      <c r="AG10" s="323">
        <v>0.12330723169046531</v>
      </c>
      <c r="AH10" s="20">
        <v>14</v>
      </c>
      <c r="AI10" s="20">
        <v>450</v>
      </c>
      <c r="AJ10" s="20"/>
      <c r="AK10" s="20">
        <v>688</v>
      </c>
      <c r="AL10" s="20">
        <v>347506</v>
      </c>
      <c r="AM10" s="7">
        <v>3</v>
      </c>
      <c r="AN10" s="20"/>
      <c r="AO10" s="21" t="s">
        <v>1932</v>
      </c>
      <c r="AP10" s="21" t="s">
        <v>90</v>
      </c>
      <c r="AQ10" s="5" t="s">
        <v>1928</v>
      </c>
      <c r="AR10" s="5" t="s">
        <v>69</v>
      </c>
      <c r="AS10" s="356"/>
      <c r="AT10" s="356"/>
      <c r="AU10" s="358" t="s">
        <v>2312</v>
      </c>
      <c r="AV10" s="307" t="s">
        <v>2295</v>
      </c>
    </row>
    <row r="11" spans="1:48" ht="20" customHeight="1">
      <c r="A11" s="5" t="s">
        <v>318</v>
      </c>
      <c r="B11" s="5">
        <v>15020888</v>
      </c>
      <c r="C11" s="5" t="s">
        <v>51</v>
      </c>
      <c r="D11" s="5" t="s">
        <v>52</v>
      </c>
      <c r="E11" s="5" t="s">
        <v>1935</v>
      </c>
      <c r="F11" s="5" t="s">
        <v>1926</v>
      </c>
      <c r="G11" s="5" t="s">
        <v>1927</v>
      </c>
      <c r="H11" s="6">
        <v>44202</v>
      </c>
      <c r="I11" s="5" t="s">
        <v>85</v>
      </c>
      <c r="J11" s="5" t="s">
        <v>1936</v>
      </c>
      <c r="K11" s="5" t="s">
        <v>76</v>
      </c>
      <c r="L11" s="7">
        <v>2</v>
      </c>
      <c r="M11" s="7">
        <v>4</v>
      </c>
      <c r="N11" s="308">
        <v>18376</v>
      </c>
      <c r="O11" s="319">
        <v>3.7500000000000006E-2</v>
      </c>
      <c r="P11" s="310">
        <v>689</v>
      </c>
      <c r="Q11" s="319">
        <v>1.55E-2</v>
      </c>
      <c r="R11" s="310">
        <v>285</v>
      </c>
      <c r="S11" s="319">
        <v>5.3003918154114059E-2</v>
      </c>
      <c r="T11" s="310">
        <v>974</v>
      </c>
      <c r="U11" s="310">
        <v>19350</v>
      </c>
      <c r="V11" s="311">
        <v>19160</v>
      </c>
      <c r="W11" s="312">
        <v>784</v>
      </c>
      <c r="X11" s="320">
        <v>4.2700000000000002E-2</v>
      </c>
      <c r="Y11" s="321" t="s">
        <v>222</v>
      </c>
      <c r="Z11" s="315" t="s">
        <v>87</v>
      </c>
      <c r="AA11" s="315" t="s">
        <v>1729</v>
      </c>
      <c r="AB11" s="315" t="s">
        <v>89</v>
      </c>
      <c r="AC11" s="322">
        <v>7.0000000000000007E-2</v>
      </c>
      <c r="AD11" s="308">
        <v>1286</v>
      </c>
      <c r="AE11" s="317">
        <v>20446</v>
      </c>
      <c r="AF11" s="18">
        <v>2070</v>
      </c>
      <c r="AG11" s="323">
        <v>0.11264693077927723</v>
      </c>
      <c r="AH11" s="20">
        <v>14</v>
      </c>
      <c r="AI11" s="20">
        <v>450</v>
      </c>
      <c r="AJ11" s="20"/>
      <c r="AK11" s="20">
        <v>688</v>
      </c>
      <c r="AL11" s="20">
        <v>292332</v>
      </c>
      <c r="AM11" s="7">
        <v>3</v>
      </c>
      <c r="AN11" s="20"/>
      <c r="AO11" s="21" t="s">
        <v>1937</v>
      </c>
      <c r="AP11" s="21" t="s">
        <v>90</v>
      </c>
      <c r="AQ11" s="5" t="s">
        <v>1928</v>
      </c>
      <c r="AR11" s="5" t="s">
        <v>69</v>
      </c>
      <c r="AS11" s="356"/>
      <c r="AT11" s="356"/>
      <c r="AU11" s="358" t="s">
        <v>2312</v>
      </c>
      <c r="AV11" s="144" t="s">
        <v>2295</v>
      </c>
    </row>
    <row r="12" spans="1:48" ht="20" customHeight="1">
      <c r="A12" s="5" t="s">
        <v>318</v>
      </c>
      <c r="B12" s="5">
        <v>15002828</v>
      </c>
      <c r="C12" s="5" t="s">
        <v>51</v>
      </c>
      <c r="D12" s="5" t="s">
        <v>52</v>
      </c>
      <c r="E12" s="5" t="s">
        <v>2001</v>
      </c>
      <c r="F12" s="5" t="s">
        <v>1962</v>
      </c>
      <c r="G12" s="5" t="s">
        <v>1963</v>
      </c>
      <c r="H12" s="6">
        <v>40269</v>
      </c>
      <c r="I12" s="5" t="s">
        <v>377</v>
      </c>
      <c r="J12" s="5" t="s">
        <v>377</v>
      </c>
      <c r="K12" s="5" t="s">
        <v>324</v>
      </c>
      <c r="L12" s="7">
        <v>2</v>
      </c>
      <c r="M12" s="7">
        <v>4</v>
      </c>
      <c r="N12" s="308">
        <v>5342</v>
      </c>
      <c r="O12" s="319">
        <v>0.03</v>
      </c>
      <c r="P12" s="310">
        <v>160</v>
      </c>
      <c r="Q12" s="319">
        <v>0</v>
      </c>
      <c r="R12" s="310">
        <v>0</v>
      </c>
      <c r="S12" s="319">
        <v>2.9951329090228379E-2</v>
      </c>
      <c r="T12" s="310">
        <v>160</v>
      </c>
      <c r="U12" s="310">
        <v>5502</v>
      </c>
      <c r="V12" s="311">
        <v>6103</v>
      </c>
      <c r="W12" s="312">
        <v>761</v>
      </c>
      <c r="X12" s="320">
        <v>0.14249999999999999</v>
      </c>
      <c r="Y12" s="321" t="s">
        <v>2303</v>
      </c>
      <c r="Z12" s="315" t="s">
        <v>87</v>
      </c>
      <c r="AA12" s="315" t="s">
        <v>174</v>
      </c>
      <c r="AB12" s="315" t="s">
        <v>439</v>
      </c>
      <c r="AC12" s="322">
        <v>0.14099999999999999</v>
      </c>
      <c r="AD12" s="308">
        <v>753</v>
      </c>
      <c r="AE12" s="317">
        <v>6856</v>
      </c>
      <c r="AF12" s="18">
        <v>1514</v>
      </c>
      <c r="AG12" s="323">
        <v>0.28341445151628597</v>
      </c>
      <c r="AH12" s="20">
        <v>14</v>
      </c>
      <c r="AI12" s="20">
        <v>550</v>
      </c>
      <c r="AJ12" s="20"/>
      <c r="AK12" s="20">
        <v>688</v>
      </c>
      <c r="AL12" s="20">
        <v>103272</v>
      </c>
      <c r="AM12" s="7">
        <v>3</v>
      </c>
      <c r="AN12" s="20"/>
      <c r="AO12" s="21" t="s">
        <v>1978</v>
      </c>
      <c r="AP12" s="21" t="s">
        <v>90</v>
      </c>
      <c r="AQ12" s="5" t="s">
        <v>1948</v>
      </c>
      <c r="AR12" s="5" t="s">
        <v>69</v>
      </c>
      <c r="AS12" s="356"/>
      <c r="AT12" s="356"/>
      <c r="AU12" s="358" t="s">
        <v>2312</v>
      </c>
      <c r="AV12" s="307" t="s">
        <v>103</v>
      </c>
    </row>
    <row r="13" spans="1:48" ht="20" customHeight="1">
      <c r="A13" s="5" t="s">
        <v>318</v>
      </c>
      <c r="B13" s="5">
        <v>15009624</v>
      </c>
      <c r="C13" s="5" t="s">
        <v>51</v>
      </c>
      <c r="D13" s="5" t="s">
        <v>52</v>
      </c>
      <c r="E13" s="5" t="s">
        <v>2001</v>
      </c>
      <c r="F13" s="5" t="s">
        <v>1971</v>
      </c>
      <c r="G13" s="5" t="s">
        <v>1957</v>
      </c>
      <c r="H13" s="6">
        <v>41347</v>
      </c>
      <c r="I13" s="5" t="s">
        <v>377</v>
      </c>
      <c r="J13" s="5" t="s">
        <v>377</v>
      </c>
      <c r="K13" s="5" t="s">
        <v>175</v>
      </c>
      <c r="L13" s="7">
        <v>2</v>
      </c>
      <c r="M13" s="7">
        <v>4</v>
      </c>
      <c r="N13" s="308">
        <v>8111</v>
      </c>
      <c r="O13" s="319">
        <v>4.4999999999999998E-2</v>
      </c>
      <c r="P13" s="310">
        <v>365</v>
      </c>
      <c r="Q13" s="319">
        <v>1.55E-2</v>
      </c>
      <c r="R13" s="310">
        <v>126</v>
      </c>
      <c r="S13" s="319">
        <v>6.0535075822956481E-2</v>
      </c>
      <c r="T13" s="310">
        <v>491</v>
      </c>
      <c r="U13" s="310">
        <v>8602</v>
      </c>
      <c r="V13" s="311">
        <v>8510</v>
      </c>
      <c r="W13" s="312">
        <v>399</v>
      </c>
      <c r="X13" s="320">
        <v>4.9200000000000001E-2</v>
      </c>
      <c r="Y13" s="321" t="s">
        <v>2304</v>
      </c>
      <c r="Z13" s="315" t="s">
        <v>87</v>
      </c>
      <c r="AA13" s="315" t="s">
        <v>373</v>
      </c>
      <c r="AB13" s="315" t="s">
        <v>439</v>
      </c>
      <c r="AC13" s="322">
        <v>0.10100000000000001</v>
      </c>
      <c r="AD13" s="308">
        <v>819</v>
      </c>
      <c r="AE13" s="317">
        <v>9329</v>
      </c>
      <c r="AF13" s="18">
        <v>1218</v>
      </c>
      <c r="AG13" s="323">
        <v>0.15016644063617313</v>
      </c>
      <c r="AH13" s="20">
        <v>14</v>
      </c>
      <c r="AI13" s="20">
        <v>450</v>
      </c>
      <c r="AJ13" s="20"/>
      <c r="AK13" s="20">
        <v>688</v>
      </c>
      <c r="AL13" s="20">
        <v>136694</v>
      </c>
      <c r="AM13" s="7">
        <v>4</v>
      </c>
      <c r="AN13" s="20"/>
      <c r="AO13" s="21" t="s">
        <v>90</v>
      </c>
      <c r="AP13" s="21" t="s">
        <v>90</v>
      </c>
      <c r="AQ13" s="5" t="s">
        <v>1948</v>
      </c>
      <c r="AR13" s="5" t="s">
        <v>69</v>
      </c>
      <c r="AS13" s="356"/>
      <c r="AT13" s="356"/>
      <c r="AU13" s="358" t="s">
        <v>2312</v>
      </c>
      <c r="AV13" s="144" t="s">
        <v>2295</v>
      </c>
    </row>
    <row r="14" spans="1:48" ht="20" customHeight="1">
      <c r="A14" s="5" t="s">
        <v>318</v>
      </c>
      <c r="B14" s="5">
        <v>1213118</v>
      </c>
      <c r="C14" s="5" t="s">
        <v>51</v>
      </c>
      <c r="D14" s="5" t="s">
        <v>52</v>
      </c>
      <c r="E14" s="5" t="s">
        <v>2035</v>
      </c>
      <c r="F14" s="5" t="s">
        <v>2083</v>
      </c>
      <c r="G14" s="5" t="s">
        <v>2072</v>
      </c>
      <c r="H14" s="6">
        <v>38924</v>
      </c>
      <c r="I14" s="5" t="s">
        <v>71</v>
      </c>
      <c r="J14" s="5" t="s">
        <v>2084</v>
      </c>
      <c r="K14" s="5" t="s">
        <v>61</v>
      </c>
      <c r="L14" s="7">
        <v>2</v>
      </c>
      <c r="M14" s="7">
        <v>5</v>
      </c>
      <c r="N14" s="308">
        <v>17489</v>
      </c>
      <c r="O14" s="319">
        <v>0.04</v>
      </c>
      <c r="P14" s="310">
        <v>700</v>
      </c>
      <c r="Q14" s="319">
        <v>0</v>
      </c>
      <c r="R14" s="310">
        <v>0</v>
      </c>
      <c r="S14" s="319">
        <v>4.0025158671164733E-2</v>
      </c>
      <c r="T14" s="310">
        <v>700</v>
      </c>
      <c r="U14" s="310">
        <v>18189</v>
      </c>
      <c r="V14" s="311">
        <v>18059</v>
      </c>
      <c r="W14" s="312">
        <v>570</v>
      </c>
      <c r="X14" s="320">
        <v>3.2599999999999997E-2</v>
      </c>
      <c r="Y14" s="321" t="s">
        <v>261</v>
      </c>
      <c r="Z14" s="315" t="s">
        <v>87</v>
      </c>
      <c r="AA14" s="315" t="s">
        <v>2083</v>
      </c>
      <c r="AB14" s="315"/>
      <c r="AC14" s="322">
        <v>0.1</v>
      </c>
      <c r="AD14" s="308">
        <v>1749</v>
      </c>
      <c r="AE14" s="317">
        <v>19808</v>
      </c>
      <c r="AF14" s="18">
        <v>2319</v>
      </c>
      <c r="AG14" s="323">
        <v>0.13259763279775849</v>
      </c>
      <c r="AH14" s="20">
        <v>14</v>
      </c>
      <c r="AI14" s="20">
        <v>450</v>
      </c>
      <c r="AJ14" s="20"/>
      <c r="AK14" s="20">
        <v>688</v>
      </c>
      <c r="AL14" s="20">
        <v>283400</v>
      </c>
      <c r="AM14" s="7">
        <v>4</v>
      </c>
      <c r="AN14" s="20"/>
      <c r="AO14" s="21" t="s">
        <v>2085</v>
      </c>
      <c r="AP14" s="21"/>
      <c r="AQ14" s="5" t="s">
        <v>2074</v>
      </c>
      <c r="AR14" s="5" t="s">
        <v>2075</v>
      </c>
      <c r="AS14" s="5" t="s">
        <v>247</v>
      </c>
      <c r="AT14" s="21"/>
      <c r="AU14" s="287" t="s">
        <v>2312</v>
      </c>
      <c r="AV14" s="144" t="s">
        <v>2295</v>
      </c>
    </row>
    <row r="15" spans="1:48" ht="20" customHeight="1">
      <c r="A15" s="5" t="s">
        <v>318</v>
      </c>
      <c r="B15" s="5">
        <v>1214051</v>
      </c>
      <c r="C15" s="5" t="s">
        <v>51</v>
      </c>
      <c r="D15" s="5" t="s">
        <v>52</v>
      </c>
      <c r="E15" s="5" t="s">
        <v>2035</v>
      </c>
      <c r="F15" s="5" t="s">
        <v>2116</v>
      </c>
      <c r="G15" s="5" t="s">
        <v>2117</v>
      </c>
      <c r="H15" s="6">
        <v>39638</v>
      </c>
      <c r="I15" s="5" t="s">
        <v>71</v>
      </c>
      <c r="J15" s="5" t="s">
        <v>2118</v>
      </c>
      <c r="K15" s="5" t="s">
        <v>61</v>
      </c>
      <c r="L15" s="7">
        <v>2</v>
      </c>
      <c r="M15" s="7">
        <v>5</v>
      </c>
      <c r="N15" s="308">
        <v>18500</v>
      </c>
      <c r="O15" s="319">
        <v>0.05</v>
      </c>
      <c r="P15" s="310">
        <v>925</v>
      </c>
      <c r="Q15" s="319">
        <v>2.7E-2</v>
      </c>
      <c r="R15" s="310">
        <v>500</v>
      </c>
      <c r="S15" s="319">
        <v>7.7027027027027031E-2</v>
      </c>
      <c r="T15" s="310">
        <v>1425</v>
      </c>
      <c r="U15" s="310">
        <v>19925</v>
      </c>
      <c r="V15" s="311">
        <v>20325</v>
      </c>
      <c r="W15" s="312">
        <v>1825</v>
      </c>
      <c r="X15" s="320">
        <v>9.8599999999999993E-2</v>
      </c>
      <c r="Y15" s="321" t="s">
        <v>237</v>
      </c>
      <c r="Z15" s="315" t="s">
        <v>87</v>
      </c>
      <c r="AA15" s="315" t="s">
        <v>111</v>
      </c>
      <c r="AB15" s="315" t="s">
        <v>1931</v>
      </c>
      <c r="AC15" s="322">
        <v>0.05</v>
      </c>
      <c r="AD15" s="308">
        <v>925</v>
      </c>
      <c r="AE15" s="317">
        <v>21250</v>
      </c>
      <c r="AF15" s="18">
        <v>2750</v>
      </c>
      <c r="AG15" s="323">
        <v>0.14864864864864868</v>
      </c>
      <c r="AH15" s="20">
        <v>14</v>
      </c>
      <c r="AI15" s="20">
        <v>900</v>
      </c>
      <c r="AJ15" s="20"/>
      <c r="AK15" s="20">
        <v>688</v>
      </c>
      <c r="AL15" s="20">
        <v>308988</v>
      </c>
      <c r="AM15" s="7">
        <v>5</v>
      </c>
      <c r="AN15" s="20"/>
      <c r="AO15" s="21" t="s">
        <v>2119</v>
      </c>
      <c r="AP15" s="21"/>
      <c r="AQ15" s="5" t="s">
        <v>2074</v>
      </c>
      <c r="AR15" s="5" t="s">
        <v>2075</v>
      </c>
      <c r="AS15" s="5" t="s">
        <v>247</v>
      </c>
      <c r="AT15" s="21"/>
      <c r="AU15" s="21" t="s">
        <v>2312</v>
      </c>
      <c r="AV15" s="144" t="s">
        <v>2295</v>
      </c>
    </row>
    <row r="16" spans="1:48" ht="20" customHeight="1">
      <c r="A16" s="5" t="s">
        <v>318</v>
      </c>
      <c r="B16" s="5">
        <v>1421203</v>
      </c>
      <c r="C16" s="5" t="s">
        <v>51</v>
      </c>
      <c r="D16" s="5" t="s">
        <v>52</v>
      </c>
      <c r="E16" s="5" t="s">
        <v>319</v>
      </c>
      <c r="F16" s="5" t="s">
        <v>2227</v>
      </c>
      <c r="G16" s="5" t="s">
        <v>2224</v>
      </c>
      <c r="H16" s="6">
        <v>41939</v>
      </c>
      <c r="I16" s="5" t="s">
        <v>71</v>
      </c>
      <c r="J16" s="5" t="s">
        <v>2234</v>
      </c>
      <c r="K16" s="5" t="s">
        <v>61</v>
      </c>
      <c r="L16" s="7">
        <v>2</v>
      </c>
      <c r="M16" s="7">
        <v>5</v>
      </c>
      <c r="N16" s="308">
        <v>16206</v>
      </c>
      <c r="O16" s="319">
        <v>0.05</v>
      </c>
      <c r="P16" s="310">
        <v>810</v>
      </c>
      <c r="Q16" s="319">
        <v>0</v>
      </c>
      <c r="R16" s="310">
        <v>0</v>
      </c>
      <c r="S16" s="319">
        <v>4.9981488337652723E-2</v>
      </c>
      <c r="T16" s="310">
        <v>810</v>
      </c>
      <c r="U16" s="310">
        <v>17016</v>
      </c>
      <c r="V16" s="311">
        <v>17016</v>
      </c>
      <c r="W16" s="312">
        <v>810</v>
      </c>
      <c r="X16" s="320">
        <v>0.05</v>
      </c>
      <c r="Y16" s="321" t="s">
        <v>2309</v>
      </c>
      <c r="Z16" s="315" t="s">
        <v>87</v>
      </c>
      <c r="AA16" s="315" t="s">
        <v>111</v>
      </c>
      <c r="AB16" s="315" t="s">
        <v>1931</v>
      </c>
      <c r="AC16" s="322">
        <v>0.05</v>
      </c>
      <c r="AD16" s="308">
        <v>810</v>
      </c>
      <c r="AE16" s="317">
        <v>17826</v>
      </c>
      <c r="AF16" s="18">
        <v>1620</v>
      </c>
      <c r="AG16" s="323">
        <v>9.9962976675305404E-2</v>
      </c>
      <c r="AH16" s="20">
        <v>14</v>
      </c>
      <c r="AI16" s="20">
        <v>900</v>
      </c>
      <c r="AJ16" s="20"/>
      <c r="AK16" s="20">
        <v>688</v>
      </c>
      <c r="AL16" s="20">
        <v>261052</v>
      </c>
      <c r="AM16" s="7">
        <v>5</v>
      </c>
      <c r="AN16" s="20"/>
      <c r="AO16" s="21" t="s">
        <v>2235</v>
      </c>
      <c r="AP16" s="21" t="s">
        <v>128</v>
      </c>
      <c r="AQ16" s="5" t="s">
        <v>245</v>
      </c>
      <c r="AR16" s="5" t="s">
        <v>246</v>
      </c>
      <c r="AS16" s="5" t="s">
        <v>247</v>
      </c>
      <c r="AT16" s="21" t="s">
        <v>2236</v>
      </c>
      <c r="AU16" s="287" t="s">
        <v>2312</v>
      </c>
      <c r="AV16" s="144" t="s">
        <v>2295</v>
      </c>
    </row>
    <row r="17" spans="1:48" ht="20" customHeight="1">
      <c r="A17" s="5" t="s">
        <v>318</v>
      </c>
      <c r="B17" s="5">
        <v>1707038</v>
      </c>
      <c r="C17" s="5" t="s">
        <v>51</v>
      </c>
      <c r="D17" s="5" t="s">
        <v>52</v>
      </c>
      <c r="E17" s="5" t="s">
        <v>319</v>
      </c>
      <c r="F17" s="5" t="s">
        <v>2258</v>
      </c>
      <c r="G17" s="5" t="s">
        <v>2259</v>
      </c>
      <c r="H17" s="6">
        <v>40392</v>
      </c>
      <c r="I17" s="5" t="s">
        <v>71</v>
      </c>
      <c r="J17" s="5" t="s">
        <v>2260</v>
      </c>
      <c r="K17" s="5" t="s">
        <v>61</v>
      </c>
      <c r="L17" s="7">
        <v>2</v>
      </c>
      <c r="M17" s="7">
        <v>4</v>
      </c>
      <c r="N17" s="308">
        <v>9294</v>
      </c>
      <c r="O17" s="319">
        <v>4.4999999999999998E-2</v>
      </c>
      <c r="P17" s="310">
        <v>418</v>
      </c>
      <c r="Q17" s="319">
        <v>4.2099999999999999E-2</v>
      </c>
      <c r="R17" s="310">
        <v>391</v>
      </c>
      <c r="S17" s="319">
        <v>8.7045405638046053E-2</v>
      </c>
      <c r="T17" s="310">
        <v>809</v>
      </c>
      <c r="U17" s="310">
        <v>10103</v>
      </c>
      <c r="V17" s="311">
        <v>10000</v>
      </c>
      <c r="W17" s="312">
        <v>706</v>
      </c>
      <c r="X17" s="320">
        <v>7.5999999999999998E-2</v>
      </c>
      <c r="Y17" s="321" t="s">
        <v>2310</v>
      </c>
      <c r="Z17" s="315" t="s">
        <v>87</v>
      </c>
      <c r="AA17" s="315" t="s">
        <v>2261</v>
      </c>
      <c r="AB17" s="315" t="s">
        <v>1931</v>
      </c>
      <c r="AC17" s="322">
        <v>0.1</v>
      </c>
      <c r="AD17" s="308">
        <v>929</v>
      </c>
      <c r="AE17" s="317">
        <v>10929</v>
      </c>
      <c r="AF17" s="18">
        <v>1635</v>
      </c>
      <c r="AG17" s="323">
        <v>0.17591994835377656</v>
      </c>
      <c r="AH17" s="20">
        <v>14</v>
      </c>
      <c r="AI17" s="20">
        <v>450</v>
      </c>
      <c r="AJ17" s="20"/>
      <c r="AK17" s="20">
        <v>688</v>
      </c>
      <c r="AL17" s="20">
        <v>159094</v>
      </c>
      <c r="AM17" s="7">
        <v>4</v>
      </c>
      <c r="AN17" s="20"/>
      <c r="AO17" s="21"/>
      <c r="AP17" s="21"/>
      <c r="AQ17" s="5" t="s">
        <v>2249</v>
      </c>
      <c r="AR17" s="5" t="s">
        <v>246</v>
      </c>
      <c r="AS17" s="5" t="s">
        <v>247</v>
      </c>
      <c r="AT17" s="21" t="s">
        <v>2262</v>
      </c>
      <c r="AU17" s="287" t="s">
        <v>2312</v>
      </c>
      <c r="AV17" s="307" t="s">
        <v>2295</v>
      </c>
    </row>
    <row r="18" spans="1:48" ht="20" customHeight="1">
      <c r="A18" s="5" t="s">
        <v>318</v>
      </c>
      <c r="B18" s="5">
        <v>15014810</v>
      </c>
      <c r="C18" s="5" t="s">
        <v>51</v>
      </c>
      <c r="D18" s="5" t="s">
        <v>52</v>
      </c>
      <c r="E18" s="5" t="s">
        <v>62</v>
      </c>
      <c r="F18" s="5" t="s">
        <v>70</v>
      </c>
      <c r="G18" s="5" t="s">
        <v>65</v>
      </c>
      <c r="H18" s="6">
        <v>42248</v>
      </c>
      <c r="I18" s="5" t="s">
        <v>85</v>
      </c>
      <c r="J18" s="5" t="s">
        <v>86</v>
      </c>
      <c r="K18" s="5" t="s">
        <v>76</v>
      </c>
      <c r="L18" s="7">
        <v>2</v>
      </c>
      <c r="M18" s="7">
        <v>4</v>
      </c>
      <c r="N18" s="348">
        <v>11666</v>
      </c>
      <c r="O18" s="319">
        <v>3.7500000000000006E-2</v>
      </c>
      <c r="P18" s="349">
        <v>437</v>
      </c>
      <c r="Q18" s="319">
        <v>1.55E-2</v>
      </c>
      <c r="R18" s="349">
        <v>181</v>
      </c>
      <c r="S18" s="319">
        <v>5.2974455683181897E-2</v>
      </c>
      <c r="T18" s="349">
        <v>618</v>
      </c>
      <c r="U18" s="349">
        <v>12284</v>
      </c>
      <c r="V18" s="350">
        <v>12312</v>
      </c>
      <c r="W18" s="351">
        <v>646</v>
      </c>
      <c r="X18" s="320">
        <v>5.5399999999999998E-2</v>
      </c>
      <c r="Y18" s="321" t="s">
        <v>222</v>
      </c>
      <c r="Z18" s="352" t="s">
        <v>87</v>
      </c>
      <c r="AA18" s="352" t="s">
        <v>88</v>
      </c>
      <c r="AB18" s="352" t="s">
        <v>89</v>
      </c>
      <c r="AC18" s="322">
        <v>6.4600000000000005E-2</v>
      </c>
      <c r="AD18" s="348">
        <v>754</v>
      </c>
      <c r="AE18" s="353">
        <v>13066</v>
      </c>
      <c r="AF18" s="18">
        <v>1400</v>
      </c>
      <c r="AG18" s="323">
        <v>0.12000685753471618</v>
      </c>
      <c r="AH18" s="20">
        <v>14</v>
      </c>
      <c r="AI18" s="20">
        <v>550</v>
      </c>
      <c r="AJ18" s="20"/>
      <c r="AK18" s="20">
        <v>688</v>
      </c>
      <c r="AL18" s="20">
        <v>190212</v>
      </c>
      <c r="AM18" s="7">
        <v>4</v>
      </c>
      <c r="AN18" s="20"/>
      <c r="AO18" s="21" t="s">
        <v>90</v>
      </c>
      <c r="AP18" s="21" t="s">
        <v>90</v>
      </c>
      <c r="AQ18" s="5" t="s">
        <v>68</v>
      </c>
      <c r="AR18" s="5" t="s">
        <v>69</v>
      </c>
      <c r="AS18" s="5" t="s">
        <v>59</v>
      </c>
      <c r="AT18" s="21"/>
      <c r="AU18" s="287" t="s">
        <v>2295</v>
      </c>
      <c r="AV18" s="307" t="s">
        <v>2295</v>
      </c>
    </row>
    <row r="19" spans="1:48" ht="20" customHeight="1">
      <c r="A19" s="5" t="s">
        <v>318</v>
      </c>
      <c r="B19" s="5">
        <v>15013255</v>
      </c>
      <c r="C19" s="5" t="s">
        <v>51</v>
      </c>
      <c r="D19" s="5" t="s">
        <v>52</v>
      </c>
      <c r="E19" s="5" t="s">
        <v>62</v>
      </c>
      <c r="F19" s="5" t="s">
        <v>113</v>
      </c>
      <c r="G19" s="5" t="s">
        <v>92</v>
      </c>
      <c r="H19" s="6">
        <v>41801</v>
      </c>
      <c r="I19" s="5" t="s">
        <v>111</v>
      </c>
      <c r="J19" s="5" t="s">
        <v>114</v>
      </c>
      <c r="K19" s="5" t="s">
        <v>56</v>
      </c>
      <c r="L19" s="7">
        <v>2</v>
      </c>
      <c r="M19" s="7">
        <v>4</v>
      </c>
      <c r="N19" s="348">
        <v>23800</v>
      </c>
      <c r="O19" s="319">
        <v>0.03</v>
      </c>
      <c r="P19" s="349">
        <v>714</v>
      </c>
      <c r="Q19" s="319">
        <v>0</v>
      </c>
      <c r="R19" s="349">
        <v>0</v>
      </c>
      <c r="S19" s="319">
        <v>0.03</v>
      </c>
      <c r="T19" s="349">
        <v>714</v>
      </c>
      <c r="U19" s="349">
        <v>24514</v>
      </c>
      <c r="V19" s="350">
        <v>24514</v>
      </c>
      <c r="W19" s="351">
        <v>714</v>
      </c>
      <c r="X19" s="320">
        <v>0.03</v>
      </c>
      <c r="Y19" s="321" t="s">
        <v>233</v>
      </c>
      <c r="Z19" s="352" t="s">
        <v>87</v>
      </c>
      <c r="AA19" s="352" t="s">
        <v>114</v>
      </c>
      <c r="AB19" s="352" t="s">
        <v>115</v>
      </c>
      <c r="AC19" s="322">
        <v>0.09</v>
      </c>
      <c r="AD19" s="348">
        <v>2142</v>
      </c>
      <c r="AE19" s="353">
        <v>26656</v>
      </c>
      <c r="AF19" s="18">
        <v>2856</v>
      </c>
      <c r="AG19" s="323">
        <v>0.12000000000000011</v>
      </c>
      <c r="AH19" s="20">
        <v>14</v>
      </c>
      <c r="AI19" s="20">
        <v>450</v>
      </c>
      <c r="AJ19" s="20"/>
      <c r="AK19" s="20">
        <v>688</v>
      </c>
      <c r="AL19" s="20">
        <v>391272</v>
      </c>
      <c r="AM19" s="7">
        <v>5</v>
      </c>
      <c r="AN19" s="20"/>
      <c r="AO19" s="21" t="s">
        <v>90</v>
      </c>
      <c r="AP19" s="21" t="s">
        <v>90</v>
      </c>
      <c r="AQ19" s="5" t="s">
        <v>112</v>
      </c>
      <c r="AR19" s="5" t="s">
        <v>69</v>
      </c>
      <c r="AS19" s="5" t="s">
        <v>59</v>
      </c>
      <c r="AT19" s="21"/>
      <c r="AU19" s="287" t="s">
        <v>2295</v>
      </c>
      <c r="AV19" s="144" t="s">
        <v>2295</v>
      </c>
    </row>
    <row r="20" spans="1:48" ht="20" customHeight="1">
      <c r="A20" s="5" t="s">
        <v>318</v>
      </c>
      <c r="B20" s="5">
        <v>15005811</v>
      </c>
      <c r="C20" s="5" t="s">
        <v>51</v>
      </c>
      <c r="D20" s="5" t="s">
        <v>52</v>
      </c>
      <c r="E20" s="5" t="s">
        <v>62</v>
      </c>
      <c r="F20" s="5" t="s">
        <v>116</v>
      </c>
      <c r="G20" s="5" t="s">
        <v>65</v>
      </c>
      <c r="H20" s="6">
        <v>40646</v>
      </c>
      <c r="I20" s="5" t="s">
        <v>111</v>
      </c>
      <c r="J20" s="5" t="s">
        <v>117</v>
      </c>
      <c r="K20" s="5" t="s">
        <v>56</v>
      </c>
      <c r="L20" s="7">
        <v>2</v>
      </c>
      <c r="M20" s="7">
        <v>5</v>
      </c>
      <c r="N20" s="348">
        <v>24500</v>
      </c>
      <c r="O20" s="319">
        <v>0.04</v>
      </c>
      <c r="P20" s="349">
        <v>980</v>
      </c>
      <c r="Q20" s="319">
        <v>0</v>
      </c>
      <c r="R20" s="349">
        <v>0</v>
      </c>
      <c r="S20" s="319">
        <v>0.04</v>
      </c>
      <c r="T20" s="349">
        <v>980</v>
      </c>
      <c r="U20" s="349">
        <v>25480</v>
      </c>
      <c r="V20" s="350">
        <v>25480</v>
      </c>
      <c r="W20" s="351">
        <v>980</v>
      </c>
      <c r="X20" s="320">
        <v>0.04</v>
      </c>
      <c r="Y20" s="321" t="s">
        <v>261</v>
      </c>
      <c r="Z20" s="352" t="s">
        <v>87</v>
      </c>
      <c r="AA20" s="352" t="s">
        <v>117</v>
      </c>
      <c r="AB20" s="352" t="s">
        <v>115</v>
      </c>
      <c r="AC20" s="322">
        <v>0.08</v>
      </c>
      <c r="AD20" s="348">
        <v>1960</v>
      </c>
      <c r="AE20" s="353">
        <v>27440</v>
      </c>
      <c r="AF20" s="18">
        <v>2940</v>
      </c>
      <c r="AG20" s="323">
        <v>0.12000000000000011</v>
      </c>
      <c r="AH20" s="20">
        <v>14</v>
      </c>
      <c r="AI20" s="20">
        <v>450</v>
      </c>
      <c r="AJ20" s="20"/>
      <c r="AK20" s="20">
        <v>688</v>
      </c>
      <c r="AL20" s="20">
        <v>402248</v>
      </c>
      <c r="AM20" s="7">
        <v>3</v>
      </c>
      <c r="AN20" s="20"/>
      <c r="AO20" s="21" t="s">
        <v>90</v>
      </c>
      <c r="AP20" s="21" t="s">
        <v>90</v>
      </c>
      <c r="AQ20" s="5" t="s">
        <v>112</v>
      </c>
      <c r="AR20" s="5" t="s">
        <v>69</v>
      </c>
      <c r="AS20" s="5" t="s">
        <v>59</v>
      </c>
      <c r="AT20" s="21"/>
      <c r="AU20" s="287" t="s">
        <v>2295</v>
      </c>
      <c r="AV20" s="307" t="s">
        <v>2295</v>
      </c>
    </row>
    <row r="21" spans="1:48" ht="20" customHeight="1">
      <c r="A21" s="5" t="s">
        <v>318</v>
      </c>
      <c r="B21" s="5">
        <v>15021547</v>
      </c>
      <c r="C21" s="5" t="s">
        <v>51</v>
      </c>
      <c r="D21" s="5" t="s">
        <v>52</v>
      </c>
      <c r="E21" s="5" t="s">
        <v>62</v>
      </c>
      <c r="F21" s="5" t="s">
        <v>120</v>
      </c>
      <c r="G21" s="5" t="s">
        <v>121</v>
      </c>
      <c r="H21" s="6">
        <v>44391</v>
      </c>
      <c r="I21" s="5" t="s">
        <v>82</v>
      </c>
      <c r="J21" s="5" t="s">
        <v>137</v>
      </c>
      <c r="K21" s="5" t="s">
        <v>84</v>
      </c>
      <c r="L21" s="7">
        <v>2</v>
      </c>
      <c r="M21" s="7">
        <v>4</v>
      </c>
      <c r="N21" s="308">
        <v>10500</v>
      </c>
      <c r="O21" s="319">
        <v>3.7500000000000006E-2</v>
      </c>
      <c r="P21" s="310">
        <v>394</v>
      </c>
      <c r="Q21" s="319">
        <v>0</v>
      </c>
      <c r="R21" s="310">
        <v>0</v>
      </c>
      <c r="S21" s="319">
        <v>3.7523809523809522E-2</v>
      </c>
      <c r="T21" s="310">
        <v>394</v>
      </c>
      <c r="U21" s="310">
        <v>10894</v>
      </c>
      <c r="V21" s="311">
        <v>10827</v>
      </c>
      <c r="W21" s="312">
        <v>327</v>
      </c>
      <c r="X21" s="320">
        <v>3.1099999999999999E-2</v>
      </c>
      <c r="Y21" s="321" t="s">
        <v>2296</v>
      </c>
      <c r="Z21" s="315" t="s">
        <v>87</v>
      </c>
      <c r="AA21" s="315" t="s">
        <v>138</v>
      </c>
      <c r="AB21" s="315" t="s">
        <v>139</v>
      </c>
      <c r="AC21" s="322">
        <v>0.11169999999999999</v>
      </c>
      <c r="AD21" s="308">
        <v>1173</v>
      </c>
      <c r="AE21" s="317">
        <v>12000</v>
      </c>
      <c r="AF21" s="18">
        <v>1500</v>
      </c>
      <c r="AG21" s="323">
        <v>0.14285714285714279</v>
      </c>
      <c r="AH21" s="20">
        <v>14</v>
      </c>
      <c r="AI21" s="20">
        <v>500</v>
      </c>
      <c r="AJ21" s="20"/>
      <c r="AK21" s="20">
        <v>688</v>
      </c>
      <c r="AL21" s="20">
        <v>174688</v>
      </c>
      <c r="AM21" s="7">
        <v>3</v>
      </c>
      <c r="AN21" s="20"/>
      <c r="AO21" s="21"/>
      <c r="AP21" s="21" t="s">
        <v>90</v>
      </c>
      <c r="AQ21" s="5" t="s">
        <v>123</v>
      </c>
      <c r="AR21" s="5" t="s">
        <v>124</v>
      </c>
      <c r="AS21" s="5" t="s">
        <v>59</v>
      </c>
      <c r="AT21" s="21"/>
      <c r="AU21" s="21" t="s">
        <v>2295</v>
      </c>
      <c r="AV21" s="307" t="s">
        <v>2295</v>
      </c>
    </row>
    <row r="22" spans="1:48" ht="20" customHeight="1">
      <c r="A22" s="5" t="s">
        <v>318</v>
      </c>
      <c r="B22" s="5">
        <v>15022075</v>
      </c>
      <c r="C22" s="5" t="s">
        <v>51</v>
      </c>
      <c r="D22" s="5" t="s">
        <v>52</v>
      </c>
      <c r="E22" s="5" t="s">
        <v>62</v>
      </c>
      <c r="F22" s="5" t="s">
        <v>160</v>
      </c>
      <c r="G22" s="5" t="s">
        <v>161</v>
      </c>
      <c r="H22" s="6">
        <v>44524</v>
      </c>
      <c r="I22" s="5" t="s">
        <v>82</v>
      </c>
      <c r="J22" s="5" t="s">
        <v>170</v>
      </c>
      <c r="K22" s="5" t="s">
        <v>84</v>
      </c>
      <c r="L22" s="7">
        <v>2</v>
      </c>
      <c r="M22" s="7">
        <v>4</v>
      </c>
      <c r="N22" s="308">
        <v>12645</v>
      </c>
      <c r="O22" s="309">
        <v>0.03</v>
      </c>
      <c r="P22" s="310">
        <v>379</v>
      </c>
      <c r="Q22" s="309">
        <v>0</v>
      </c>
      <c r="R22" s="310">
        <v>0</v>
      </c>
      <c r="S22" s="309">
        <v>2.9972321075523924E-2</v>
      </c>
      <c r="T22" s="310">
        <v>379</v>
      </c>
      <c r="U22" s="310">
        <v>13024</v>
      </c>
      <c r="V22" s="311">
        <v>12645</v>
      </c>
      <c r="W22" s="312">
        <v>0</v>
      </c>
      <c r="X22" s="313">
        <v>0</v>
      </c>
      <c r="Y22" s="314" t="s">
        <v>233</v>
      </c>
      <c r="Z22" s="315" t="s">
        <v>87</v>
      </c>
      <c r="AA22" s="315" t="s">
        <v>171</v>
      </c>
      <c r="AB22" s="315" t="s">
        <v>139</v>
      </c>
      <c r="AC22" s="316">
        <v>0.1</v>
      </c>
      <c r="AD22" s="308">
        <v>1265</v>
      </c>
      <c r="AE22" s="317">
        <v>13910</v>
      </c>
      <c r="AF22" s="18">
        <v>1265</v>
      </c>
      <c r="AG22" s="318">
        <v>0.10003954132068005</v>
      </c>
      <c r="AH22" s="20">
        <v>14</v>
      </c>
      <c r="AI22" s="20">
        <v>450</v>
      </c>
      <c r="AJ22" s="20"/>
      <c r="AK22" s="20">
        <v>688</v>
      </c>
      <c r="AL22" s="20">
        <v>200828</v>
      </c>
      <c r="AM22" s="7">
        <v>4</v>
      </c>
      <c r="AN22" s="20"/>
      <c r="AO22" s="21" t="s">
        <v>172</v>
      </c>
      <c r="AP22" s="21" t="s">
        <v>173</v>
      </c>
      <c r="AQ22" s="5" t="s">
        <v>163</v>
      </c>
      <c r="AR22" s="5" t="s">
        <v>164</v>
      </c>
      <c r="AS22" s="5" t="s">
        <v>59</v>
      </c>
      <c r="AT22" s="21" t="s">
        <v>98</v>
      </c>
      <c r="AU22" s="21" t="s">
        <v>2295</v>
      </c>
      <c r="AV22" s="307" t="s">
        <v>2297</v>
      </c>
    </row>
    <row r="23" spans="1:48" ht="20" customHeight="1">
      <c r="A23" s="5" t="s">
        <v>318</v>
      </c>
      <c r="B23" s="271">
        <v>15021416</v>
      </c>
      <c r="C23" s="271" t="s">
        <v>51</v>
      </c>
      <c r="D23" s="271" t="s">
        <v>52</v>
      </c>
      <c r="E23" s="271" t="s">
        <v>62</v>
      </c>
      <c r="F23" s="271" t="s">
        <v>160</v>
      </c>
      <c r="G23" s="271" t="s">
        <v>161</v>
      </c>
      <c r="H23" s="272">
        <v>44370</v>
      </c>
      <c r="I23" s="271" t="s">
        <v>82</v>
      </c>
      <c r="J23" s="271" t="s">
        <v>182</v>
      </c>
      <c r="K23" s="271" t="s">
        <v>84</v>
      </c>
      <c r="L23" s="273">
        <v>2</v>
      </c>
      <c r="M23" s="273">
        <v>5</v>
      </c>
      <c r="N23" s="290">
        <v>12793</v>
      </c>
      <c r="O23" s="296">
        <v>0.04</v>
      </c>
      <c r="P23" s="291">
        <v>512</v>
      </c>
      <c r="Q23" s="296">
        <v>0</v>
      </c>
      <c r="R23" s="291">
        <v>0</v>
      </c>
      <c r="S23" s="296">
        <v>4.0021886969436413E-2</v>
      </c>
      <c r="T23" s="291">
        <v>512</v>
      </c>
      <c r="U23" s="291">
        <v>13305</v>
      </c>
      <c r="V23" s="292">
        <v>12793</v>
      </c>
      <c r="W23" s="293">
        <v>0</v>
      </c>
      <c r="X23" s="297">
        <v>0</v>
      </c>
      <c r="Y23" s="298" t="s">
        <v>261</v>
      </c>
      <c r="Z23" s="294" t="s">
        <v>87</v>
      </c>
      <c r="AA23" s="294" t="s">
        <v>183</v>
      </c>
      <c r="AB23" s="294" t="s">
        <v>139</v>
      </c>
      <c r="AC23" s="299">
        <v>0.11</v>
      </c>
      <c r="AD23" s="290">
        <v>1407</v>
      </c>
      <c r="AE23" s="295">
        <v>14200</v>
      </c>
      <c r="AF23" s="284">
        <v>1407</v>
      </c>
      <c r="AG23" s="300">
        <v>0.10998202141796298</v>
      </c>
      <c r="AH23" s="286">
        <v>14</v>
      </c>
      <c r="AI23" s="286">
        <v>450</v>
      </c>
      <c r="AJ23" s="286"/>
      <c r="AK23" s="286">
        <v>688</v>
      </c>
      <c r="AL23" s="286">
        <v>204888</v>
      </c>
      <c r="AM23" s="273">
        <v>3</v>
      </c>
      <c r="AN23" s="286"/>
      <c r="AO23" s="287" t="s">
        <v>184</v>
      </c>
      <c r="AP23" s="287" t="s">
        <v>173</v>
      </c>
      <c r="AQ23" s="271" t="s">
        <v>163</v>
      </c>
      <c r="AR23" s="271" t="s">
        <v>164</v>
      </c>
      <c r="AS23" s="357" t="s">
        <v>59</v>
      </c>
      <c r="AT23" s="359" t="s">
        <v>98</v>
      </c>
      <c r="AU23" s="287" t="s">
        <v>2295</v>
      </c>
      <c r="AV23" s="144" t="s">
        <v>2297</v>
      </c>
    </row>
    <row r="24" spans="1:48" ht="20" customHeight="1">
      <c r="A24" s="5" t="s">
        <v>318</v>
      </c>
      <c r="B24" s="271">
        <v>15021808</v>
      </c>
      <c r="C24" s="271" t="s">
        <v>51</v>
      </c>
      <c r="D24" s="271" t="s">
        <v>52</v>
      </c>
      <c r="E24" s="271" t="s">
        <v>319</v>
      </c>
      <c r="F24" s="271" t="s">
        <v>271</v>
      </c>
      <c r="G24" s="271" t="s">
        <v>272</v>
      </c>
      <c r="H24" s="272">
        <v>44480</v>
      </c>
      <c r="I24" s="271" t="s">
        <v>250</v>
      </c>
      <c r="J24" s="271" t="s">
        <v>250</v>
      </c>
      <c r="K24" s="271" t="s">
        <v>76</v>
      </c>
      <c r="L24" s="273">
        <v>2</v>
      </c>
      <c r="M24" s="273">
        <v>4</v>
      </c>
      <c r="N24" s="301">
        <v>11375</v>
      </c>
      <c r="O24" s="296">
        <v>0.03</v>
      </c>
      <c r="P24" s="302">
        <v>341</v>
      </c>
      <c r="Q24" s="296">
        <v>0</v>
      </c>
      <c r="R24" s="302">
        <v>0</v>
      </c>
      <c r="S24" s="296">
        <v>2.9978021978021976E-2</v>
      </c>
      <c r="T24" s="302">
        <v>341</v>
      </c>
      <c r="U24" s="302">
        <v>11716</v>
      </c>
      <c r="V24" s="303">
        <v>11700</v>
      </c>
      <c r="W24" s="304">
        <v>325</v>
      </c>
      <c r="X24" s="297">
        <v>2.86E-2</v>
      </c>
      <c r="Y24" s="298" t="s">
        <v>233</v>
      </c>
      <c r="Z24" s="305" t="s">
        <v>87</v>
      </c>
      <c r="AA24" s="305" t="s">
        <v>60</v>
      </c>
      <c r="AB24" s="305" t="s">
        <v>89</v>
      </c>
      <c r="AC24" s="299">
        <v>0.05</v>
      </c>
      <c r="AD24" s="301">
        <v>569</v>
      </c>
      <c r="AE24" s="306">
        <v>12269</v>
      </c>
      <c r="AF24" s="284">
        <v>894</v>
      </c>
      <c r="AG24" s="300">
        <v>7.8593406593406634E-2</v>
      </c>
      <c r="AH24" s="286">
        <v>14</v>
      </c>
      <c r="AI24" s="286">
        <v>900</v>
      </c>
      <c r="AJ24" s="286"/>
      <c r="AK24" s="286">
        <v>688</v>
      </c>
      <c r="AL24" s="286">
        <v>183254</v>
      </c>
      <c r="AM24" s="273">
        <v>4</v>
      </c>
      <c r="AN24" s="286"/>
      <c r="AO24" s="287"/>
      <c r="AP24" s="287"/>
      <c r="AQ24" s="271" t="s">
        <v>284</v>
      </c>
      <c r="AR24" s="271" t="s">
        <v>246</v>
      </c>
      <c r="AS24" s="357" t="s">
        <v>59</v>
      </c>
      <c r="AT24" s="200"/>
      <c r="AU24" s="200" t="s">
        <v>2295</v>
      </c>
      <c r="AV24" s="307" t="s">
        <v>2295</v>
      </c>
    </row>
    <row r="25" spans="1:48" ht="20" customHeight="1">
      <c r="A25" s="5" t="s">
        <v>318</v>
      </c>
      <c r="B25" s="271">
        <v>1705052</v>
      </c>
      <c r="C25" s="271" t="s">
        <v>51</v>
      </c>
      <c r="D25" s="271" t="s">
        <v>52</v>
      </c>
      <c r="E25" s="271" t="s">
        <v>1604</v>
      </c>
      <c r="F25" s="271" t="s">
        <v>1461</v>
      </c>
      <c r="G25" s="271" t="s">
        <v>1462</v>
      </c>
      <c r="H25" s="272">
        <v>39664</v>
      </c>
      <c r="I25" s="271" t="s">
        <v>82</v>
      </c>
      <c r="J25" s="271" t="s">
        <v>82</v>
      </c>
      <c r="K25" s="271" t="s">
        <v>84</v>
      </c>
      <c r="L25" s="273">
        <v>2</v>
      </c>
      <c r="M25" s="273">
        <v>5</v>
      </c>
      <c r="N25" s="290">
        <v>9678</v>
      </c>
      <c r="O25" s="296">
        <v>0.06</v>
      </c>
      <c r="P25" s="291">
        <v>581</v>
      </c>
      <c r="Q25" s="296">
        <v>7.7799999999999994E-2</v>
      </c>
      <c r="R25" s="291">
        <v>753</v>
      </c>
      <c r="S25" s="296">
        <v>0.13783839636288489</v>
      </c>
      <c r="T25" s="291">
        <v>1334</v>
      </c>
      <c r="U25" s="291">
        <v>11012</v>
      </c>
      <c r="V25" s="292">
        <v>11012</v>
      </c>
      <c r="W25" s="293">
        <v>1334</v>
      </c>
      <c r="X25" s="297">
        <v>0.13780000000000001</v>
      </c>
      <c r="Y25" s="298" t="s">
        <v>2298</v>
      </c>
      <c r="Z25" s="294" t="s">
        <v>87</v>
      </c>
      <c r="AA25" s="294" t="s">
        <v>1465</v>
      </c>
      <c r="AB25" s="294" t="s">
        <v>139</v>
      </c>
      <c r="AC25" s="299">
        <v>0.05</v>
      </c>
      <c r="AD25" s="290">
        <v>484</v>
      </c>
      <c r="AE25" s="295">
        <v>11496</v>
      </c>
      <c r="AF25" s="284">
        <v>1818</v>
      </c>
      <c r="AG25" s="300">
        <v>0.18784872907625538</v>
      </c>
      <c r="AH25" s="286">
        <v>14</v>
      </c>
      <c r="AI25" s="286">
        <v>450</v>
      </c>
      <c r="AJ25" s="286"/>
      <c r="AK25" s="286">
        <v>688</v>
      </c>
      <c r="AL25" s="286">
        <v>167032</v>
      </c>
      <c r="AM25" s="273">
        <v>3</v>
      </c>
      <c r="AN25" s="286"/>
      <c r="AO25" s="287" t="s">
        <v>1466</v>
      </c>
      <c r="AP25" s="287" t="s">
        <v>239</v>
      </c>
      <c r="AQ25" s="271" t="s">
        <v>1444</v>
      </c>
      <c r="AR25" s="271" t="s">
        <v>164</v>
      </c>
      <c r="AS25" s="357" t="s">
        <v>59</v>
      </c>
      <c r="AT25" s="359"/>
      <c r="AU25" s="287" t="s">
        <v>2295</v>
      </c>
      <c r="AV25" s="144" t="s">
        <v>2295</v>
      </c>
    </row>
    <row r="26" spans="1:48" ht="20" customHeight="1">
      <c r="A26" s="5" t="s">
        <v>318</v>
      </c>
      <c r="B26" s="271">
        <v>1120271</v>
      </c>
      <c r="C26" s="271" t="s">
        <v>51</v>
      </c>
      <c r="D26" s="271" t="s">
        <v>52</v>
      </c>
      <c r="E26" s="271" t="s">
        <v>1604</v>
      </c>
      <c r="F26" s="271" t="s">
        <v>1467</v>
      </c>
      <c r="G26" s="271" t="s">
        <v>1468</v>
      </c>
      <c r="H26" s="272">
        <v>44113</v>
      </c>
      <c r="I26" s="271" t="s">
        <v>82</v>
      </c>
      <c r="J26" s="271" t="s">
        <v>1469</v>
      </c>
      <c r="K26" s="271" t="s">
        <v>84</v>
      </c>
      <c r="L26" s="273">
        <v>2</v>
      </c>
      <c r="M26" s="273">
        <v>4</v>
      </c>
      <c r="N26" s="290">
        <v>9350</v>
      </c>
      <c r="O26" s="296">
        <v>3.7500000000000006E-2</v>
      </c>
      <c r="P26" s="291">
        <v>351</v>
      </c>
      <c r="Q26" s="296">
        <v>1.55E-2</v>
      </c>
      <c r="R26" s="291">
        <v>145</v>
      </c>
      <c r="S26" s="296">
        <v>5.3048128342245988E-2</v>
      </c>
      <c r="T26" s="291">
        <v>496</v>
      </c>
      <c r="U26" s="291">
        <v>9846</v>
      </c>
      <c r="V26" s="292">
        <v>9846</v>
      </c>
      <c r="W26" s="293">
        <v>496</v>
      </c>
      <c r="X26" s="297">
        <v>5.2999999999999999E-2</v>
      </c>
      <c r="Y26" s="298" t="s">
        <v>2299</v>
      </c>
      <c r="Z26" s="294" t="s">
        <v>87</v>
      </c>
      <c r="AA26" s="294" t="s">
        <v>1465</v>
      </c>
      <c r="AB26" s="294" t="s">
        <v>139</v>
      </c>
      <c r="AC26" s="299">
        <v>0.1</v>
      </c>
      <c r="AD26" s="290">
        <v>935</v>
      </c>
      <c r="AE26" s="295">
        <v>10781</v>
      </c>
      <c r="AF26" s="284">
        <v>1431</v>
      </c>
      <c r="AG26" s="300">
        <v>0.15304812834224601</v>
      </c>
      <c r="AH26" s="286">
        <v>14</v>
      </c>
      <c r="AI26" s="286">
        <v>450</v>
      </c>
      <c r="AJ26" s="286"/>
      <c r="AK26" s="286">
        <v>688</v>
      </c>
      <c r="AL26" s="286">
        <v>157022</v>
      </c>
      <c r="AM26" s="273">
        <v>4</v>
      </c>
      <c r="AN26" s="286"/>
      <c r="AO26" s="287" t="s">
        <v>1470</v>
      </c>
      <c r="AP26" s="287" t="s">
        <v>90</v>
      </c>
      <c r="AQ26" s="271" t="s">
        <v>1444</v>
      </c>
      <c r="AR26" s="271" t="s">
        <v>164</v>
      </c>
      <c r="AS26" s="357" t="s">
        <v>59</v>
      </c>
      <c r="AT26" s="359"/>
      <c r="AU26" s="287" t="s">
        <v>2295</v>
      </c>
      <c r="AV26" s="307" t="s">
        <v>2295</v>
      </c>
    </row>
    <row r="27" spans="1:48" ht="20" customHeight="1">
      <c r="A27" s="5" t="s">
        <v>318</v>
      </c>
      <c r="B27" s="271">
        <v>1211016</v>
      </c>
      <c r="C27" s="271" t="s">
        <v>51</v>
      </c>
      <c r="D27" s="271" t="s">
        <v>52</v>
      </c>
      <c r="E27" s="271" t="s">
        <v>1604</v>
      </c>
      <c r="F27" s="271" t="s">
        <v>1441</v>
      </c>
      <c r="G27" s="271" t="s">
        <v>1442</v>
      </c>
      <c r="H27" s="272">
        <v>37999</v>
      </c>
      <c r="I27" s="271" t="s">
        <v>82</v>
      </c>
      <c r="J27" s="271" t="s">
        <v>1482</v>
      </c>
      <c r="K27" s="271" t="s">
        <v>84</v>
      </c>
      <c r="L27" s="273">
        <v>2</v>
      </c>
      <c r="M27" s="273">
        <v>4</v>
      </c>
      <c r="N27" s="290">
        <v>8558</v>
      </c>
      <c r="O27" s="296">
        <v>3.7500000000000006E-2</v>
      </c>
      <c r="P27" s="291">
        <v>321</v>
      </c>
      <c r="Q27" s="296">
        <v>1.55E-2</v>
      </c>
      <c r="R27" s="291">
        <v>133</v>
      </c>
      <c r="S27" s="296">
        <v>5.3049777985510631E-2</v>
      </c>
      <c r="T27" s="291">
        <v>454</v>
      </c>
      <c r="U27" s="291">
        <v>9012</v>
      </c>
      <c r="V27" s="292">
        <v>9012</v>
      </c>
      <c r="W27" s="293">
        <v>454</v>
      </c>
      <c r="X27" s="297">
        <v>5.2999999999999999E-2</v>
      </c>
      <c r="Y27" s="298" t="s">
        <v>2299</v>
      </c>
      <c r="Z27" s="294" t="s">
        <v>87</v>
      </c>
      <c r="AA27" s="294" t="s">
        <v>1465</v>
      </c>
      <c r="AB27" s="294" t="s">
        <v>139</v>
      </c>
      <c r="AC27" s="299">
        <v>0.1</v>
      </c>
      <c r="AD27" s="290">
        <v>856</v>
      </c>
      <c r="AE27" s="295">
        <v>9868</v>
      </c>
      <c r="AF27" s="284">
        <v>1310</v>
      </c>
      <c r="AG27" s="300">
        <v>0.15307314793175975</v>
      </c>
      <c r="AH27" s="286">
        <v>14</v>
      </c>
      <c r="AI27" s="286">
        <v>450</v>
      </c>
      <c r="AJ27" s="286"/>
      <c r="AK27" s="286">
        <v>688</v>
      </c>
      <c r="AL27" s="286">
        <v>144240</v>
      </c>
      <c r="AM27" s="273">
        <v>4</v>
      </c>
      <c r="AN27" s="286"/>
      <c r="AO27" s="287" t="s">
        <v>1483</v>
      </c>
      <c r="AP27" s="287" t="s">
        <v>90</v>
      </c>
      <c r="AQ27" s="271" t="s">
        <v>1444</v>
      </c>
      <c r="AR27" s="271" t="s">
        <v>164</v>
      </c>
      <c r="AS27" s="357" t="s">
        <v>59</v>
      </c>
      <c r="AT27" s="359"/>
      <c r="AU27" s="287" t="s">
        <v>2295</v>
      </c>
      <c r="AV27" s="144" t="s">
        <v>2295</v>
      </c>
    </row>
    <row r="28" spans="1:48" ht="20" customHeight="1">
      <c r="A28" s="5" t="s">
        <v>318</v>
      </c>
      <c r="B28" s="271">
        <v>15021228</v>
      </c>
      <c r="C28" s="271" t="s">
        <v>51</v>
      </c>
      <c r="D28" s="271" t="s">
        <v>52</v>
      </c>
      <c r="E28" s="271" t="s">
        <v>1604</v>
      </c>
      <c r="F28" s="271" t="s">
        <v>1484</v>
      </c>
      <c r="G28" s="271" t="s">
        <v>1485</v>
      </c>
      <c r="H28" s="272">
        <v>44300</v>
      </c>
      <c r="I28" s="271" t="s">
        <v>82</v>
      </c>
      <c r="J28" s="271" t="s">
        <v>1492</v>
      </c>
      <c r="K28" s="271" t="s">
        <v>84</v>
      </c>
      <c r="L28" s="273">
        <v>2</v>
      </c>
      <c r="M28" s="273">
        <v>4</v>
      </c>
      <c r="N28" s="290">
        <v>8306</v>
      </c>
      <c r="O28" s="275">
        <v>3.7500000000000006E-2</v>
      </c>
      <c r="P28" s="291">
        <v>311</v>
      </c>
      <c r="Q28" s="275">
        <v>1.55E-2</v>
      </c>
      <c r="R28" s="291">
        <v>129</v>
      </c>
      <c r="S28" s="275">
        <v>5.2973753912834098E-2</v>
      </c>
      <c r="T28" s="291">
        <v>440</v>
      </c>
      <c r="U28" s="291">
        <v>8746</v>
      </c>
      <c r="V28" s="292">
        <v>8350</v>
      </c>
      <c r="W28" s="293">
        <v>44</v>
      </c>
      <c r="X28" s="279">
        <v>5.3E-3</v>
      </c>
      <c r="Y28" s="280" t="s">
        <v>222</v>
      </c>
      <c r="Z28" s="294" t="s">
        <v>87</v>
      </c>
      <c r="AA28" s="294" t="s">
        <v>1465</v>
      </c>
      <c r="AB28" s="294" t="s">
        <v>139</v>
      </c>
      <c r="AC28" s="282">
        <v>7.2599999999999998E-2</v>
      </c>
      <c r="AD28" s="290">
        <v>603</v>
      </c>
      <c r="AE28" s="295">
        <v>8953</v>
      </c>
      <c r="AF28" s="284">
        <v>647</v>
      </c>
      <c r="AG28" s="285">
        <v>7.7895497230917377E-2</v>
      </c>
      <c r="AH28" s="286">
        <v>14</v>
      </c>
      <c r="AI28" s="286">
        <v>450</v>
      </c>
      <c r="AJ28" s="286"/>
      <c r="AK28" s="286">
        <v>688</v>
      </c>
      <c r="AL28" s="286">
        <v>131430</v>
      </c>
      <c r="AM28" s="273">
        <v>3</v>
      </c>
      <c r="AN28" s="286"/>
      <c r="AO28" s="287" t="s">
        <v>1493</v>
      </c>
      <c r="AP28" s="287" t="s">
        <v>173</v>
      </c>
      <c r="AQ28" s="271" t="s">
        <v>1490</v>
      </c>
      <c r="AR28" s="271" t="s">
        <v>164</v>
      </c>
      <c r="AS28" s="357" t="s">
        <v>247</v>
      </c>
      <c r="AT28" s="359"/>
      <c r="AU28" s="287" t="s">
        <v>2295</v>
      </c>
      <c r="AV28" s="307" t="s">
        <v>129</v>
      </c>
    </row>
    <row r="29" spans="1:48" ht="20" customHeight="1">
      <c r="A29" s="5" t="s">
        <v>318</v>
      </c>
      <c r="B29" s="271">
        <v>1213149</v>
      </c>
      <c r="C29" s="271" t="s">
        <v>51</v>
      </c>
      <c r="D29" s="271" t="s">
        <v>52</v>
      </c>
      <c r="E29" s="271" t="s">
        <v>1604</v>
      </c>
      <c r="F29" s="271" t="s">
        <v>1501</v>
      </c>
      <c r="G29" s="271" t="s">
        <v>1450</v>
      </c>
      <c r="H29" s="272">
        <v>40725</v>
      </c>
      <c r="I29" s="271" t="s">
        <v>82</v>
      </c>
      <c r="J29" s="271" t="s">
        <v>1502</v>
      </c>
      <c r="K29" s="271" t="s">
        <v>84</v>
      </c>
      <c r="L29" s="273">
        <v>2</v>
      </c>
      <c r="M29" s="273">
        <v>4</v>
      </c>
      <c r="N29" s="290">
        <v>10342</v>
      </c>
      <c r="O29" s="296">
        <v>0.03</v>
      </c>
      <c r="P29" s="291">
        <v>310</v>
      </c>
      <c r="Q29" s="296">
        <v>0</v>
      </c>
      <c r="R29" s="291">
        <v>0</v>
      </c>
      <c r="S29" s="296">
        <v>2.9974859795010637E-2</v>
      </c>
      <c r="T29" s="291">
        <v>310</v>
      </c>
      <c r="U29" s="291">
        <v>10652</v>
      </c>
      <c r="V29" s="292">
        <v>10342</v>
      </c>
      <c r="W29" s="293">
        <v>0</v>
      </c>
      <c r="X29" s="297">
        <v>0</v>
      </c>
      <c r="Y29" s="298" t="s">
        <v>233</v>
      </c>
      <c r="Z29" s="294" t="s">
        <v>87</v>
      </c>
      <c r="AA29" s="294" t="s">
        <v>1465</v>
      </c>
      <c r="AB29" s="294" t="s">
        <v>139</v>
      </c>
      <c r="AC29" s="299">
        <v>0.16800000000000001</v>
      </c>
      <c r="AD29" s="290">
        <v>1737</v>
      </c>
      <c r="AE29" s="295">
        <v>12079</v>
      </c>
      <c r="AF29" s="284">
        <v>1737</v>
      </c>
      <c r="AG29" s="300">
        <v>0.1679559079481725</v>
      </c>
      <c r="AH29" s="286">
        <v>14</v>
      </c>
      <c r="AI29" s="286">
        <v>450</v>
      </c>
      <c r="AJ29" s="286"/>
      <c r="AK29" s="286">
        <v>688</v>
      </c>
      <c r="AL29" s="286">
        <v>175194</v>
      </c>
      <c r="AM29" s="273">
        <v>3</v>
      </c>
      <c r="AN29" s="286"/>
      <c r="AO29" s="287" t="s">
        <v>1503</v>
      </c>
      <c r="AP29" s="287" t="s">
        <v>173</v>
      </c>
      <c r="AQ29" s="271" t="s">
        <v>1504</v>
      </c>
      <c r="AR29" s="271" t="s">
        <v>164</v>
      </c>
      <c r="AS29" s="357" t="s">
        <v>59</v>
      </c>
      <c r="AT29" s="359"/>
      <c r="AU29" s="287" t="s">
        <v>2295</v>
      </c>
      <c r="AV29" s="144" t="s">
        <v>2297</v>
      </c>
    </row>
    <row r="30" spans="1:48" ht="20" customHeight="1">
      <c r="A30" s="5" t="s">
        <v>318</v>
      </c>
      <c r="B30" s="271">
        <v>15021707</v>
      </c>
      <c r="C30" s="271" t="s">
        <v>51</v>
      </c>
      <c r="D30" s="271" t="s">
        <v>52</v>
      </c>
      <c r="E30" s="271" t="s">
        <v>1604</v>
      </c>
      <c r="F30" s="271" t="s">
        <v>1542</v>
      </c>
      <c r="G30" s="271" t="s">
        <v>1453</v>
      </c>
      <c r="H30" s="272">
        <v>44440</v>
      </c>
      <c r="I30" s="271" t="s">
        <v>82</v>
      </c>
      <c r="J30" s="271" t="s">
        <v>1510</v>
      </c>
      <c r="K30" s="271" t="s">
        <v>84</v>
      </c>
      <c r="L30" s="273">
        <v>2</v>
      </c>
      <c r="M30" s="273">
        <v>4</v>
      </c>
      <c r="N30" s="290">
        <v>13000</v>
      </c>
      <c r="O30" s="275">
        <v>0.03</v>
      </c>
      <c r="P30" s="291">
        <v>390</v>
      </c>
      <c r="Q30" s="275">
        <v>0</v>
      </c>
      <c r="R30" s="291">
        <v>0</v>
      </c>
      <c r="S30" s="275">
        <v>0.03</v>
      </c>
      <c r="T30" s="291">
        <v>390</v>
      </c>
      <c r="U30" s="291">
        <v>13390</v>
      </c>
      <c r="V30" s="292">
        <v>13000</v>
      </c>
      <c r="W30" s="293">
        <v>0</v>
      </c>
      <c r="X30" s="279">
        <v>0</v>
      </c>
      <c r="Y30" s="280" t="s">
        <v>233</v>
      </c>
      <c r="Z30" s="294" t="s">
        <v>87</v>
      </c>
      <c r="AA30" s="294" t="s">
        <v>1446</v>
      </c>
      <c r="AB30" s="294" t="s">
        <v>139</v>
      </c>
      <c r="AC30" s="282">
        <v>7.6999999999999999E-2</v>
      </c>
      <c r="AD30" s="290">
        <v>1001</v>
      </c>
      <c r="AE30" s="295">
        <v>14001</v>
      </c>
      <c r="AF30" s="284">
        <v>1001</v>
      </c>
      <c r="AG30" s="285">
        <v>7.6999999999999957E-2</v>
      </c>
      <c r="AH30" s="286">
        <v>14</v>
      </c>
      <c r="AI30" s="286">
        <v>450</v>
      </c>
      <c r="AJ30" s="286"/>
      <c r="AK30" s="286">
        <v>688</v>
      </c>
      <c r="AL30" s="286">
        <v>202102</v>
      </c>
      <c r="AM30" s="273">
        <v>3</v>
      </c>
      <c r="AN30" s="286"/>
      <c r="AO30" s="287" t="s">
        <v>1543</v>
      </c>
      <c r="AP30" s="287" t="s">
        <v>173</v>
      </c>
      <c r="AQ30" s="271" t="s">
        <v>1538</v>
      </c>
      <c r="AR30" s="271" t="s">
        <v>164</v>
      </c>
      <c r="AS30" s="357" t="s">
        <v>59</v>
      </c>
      <c r="AT30" s="359"/>
      <c r="AU30" s="287" t="s">
        <v>2295</v>
      </c>
      <c r="AV30" s="144" t="s">
        <v>2297</v>
      </c>
    </row>
    <row r="31" spans="1:48" ht="20" customHeight="1">
      <c r="A31" s="5" t="s">
        <v>318</v>
      </c>
      <c r="B31" s="5">
        <v>15002626</v>
      </c>
      <c r="C31" s="5" t="s">
        <v>51</v>
      </c>
      <c r="D31" s="5" t="s">
        <v>52</v>
      </c>
      <c r="E31" s="5" t="s">
        <v>1604</v>
      </c>
      <c r="F31" s="5" t="s">
        <v>1557</v>
      </c>
      <c r="G31" s="5" t="s">
        <v>1558</v>
      </c>
      <c r="H31" s="6">
        <v>40360</v>
      </c>
      <c r="I31" s="5" t="s">
        <v>82</v>
      </c>
      <c r="J31" s="5" t="s">
        <v>1510</v>
      </c>
      <c r="K31" s="5" t="s">
        <v>84</v>
      </c>
      <c r="L31" s="7">
        <v>2</v>
      </c>
      <c r="M31" s="7">
        <v>5</v>
      </c>
      <c r="N31" s="324">
        <v>9860</v>
      </c>
      <c r="O31" s="309">
        <v>0.03</v>
      </c>
      <c r="P31" s="325">
        <v>296</v>
      </c>
      <c r="Q31" s="309">
        <v>0</v>
      </c>
      <c r="R31" s="325">
        <v>0</v>
      </c>
      <c r="S31" s="309">
        <v>3.0020283975659229E-2</v>
      </c>
      <c r="T31" s="325">
        <v>296</v>
      </c>
      <c r="U31" s="325">
        <v>10156</v>
      </c>
      <c r="V31" s="326">
        <v>10200</v>
      </c>
      <c r="W31" s="327">
        <v>340</v>
      </c>
      <c r="X31" s="313">
        <v>3.4500000000000003E-2</v>
      </c>
      <c r="Y31" s="314" t="s">
        <v>233</v>
      </c>
      <c r="Z31" s="328" t="s">
        <v>87</v>
      </c>
      <c r="AA31" s="328" t="s">
        <v>1446</v>
      </c>
      <c r="AB31" s="328" t="s">
        <v>139</v>
      </c>
      <c r="AC31" s="316">
        <v>0.05</v>
      </c>
      <c r="AD31" s="324">
        <v>493</v>
      </c>
      <c r="AE31" s="329">
        <v>10693</v>
      </c>
      <c r="AF31" s="18">
        <v>833</v>
      </c>
      <c r="AG31" s="318">
        <v>8.4482758620689546E-2</v>
      </c>
      <c r="AH31" s="20">
        <v>14</v>
      </c>
      <c r="AI31" s="20">
        <v>450</v>
      </c>
      <c r="AJ31" s="20"/>
      <c r="AK31" s="20">
        <v>688</v>
      </c>
      <c r="AL31" s="20">
        <v>155790</v>
      </c>
      <c r="AM31" s="7">
        <v>3</v>
      </c>
      <c r="AN31" s="20"/>
      <c r="AO31" s="22" t="s">
        <v>1560</v>
      </c>
      <c r="AP31" s="21" t="s">
        <v>239</v>
      </c>
      <c r="AQ31" s="5" t="s">
        <v>1559</v>
      </c>
      <c r="AR31" s="5" t="s">
        <v>164</v>
      </c>
      <c r="AS31" s="357" t="s">
        <v>59</v>
      </c>
      <c r="AT31" s="359"/>
      <c r="AU31" s="359" t="s">
        <v>2295</v>
      </c>
      <c r="AV31" s="307" t="s">
        <v>2295</v>
      </c>
    </row>
    <row r="32" spans="1:48" ht="20" customHeight="1">
      <c r="A32" s="5" t="s">
        <v>318</v>
      </c>
      <c r="B32" s="5">
        <v>15020110</v>
      </c>
      <c r="C32" s="5" t="s">
        <v>51</v>
      </c>
      <c r="D32" s="5" t="s">
        <v>52</v>
      </c>
      <c r="E32" s="5" t="s">
        <v>1604</v>
      </c>
      <c r="F32" s="5" t="s">
        <v>1563</v>
      </c>
      <c r="G32" s="5" t="s">
        <v>1564</v>
      </c>
      <c r="H32" s="6">
        <v>44013</v>
      </c>
      <c r="I32" s="5" t="s">
        <v>82</v>
      </c>
      <c r="J32" s="5" t="s">
        <v>1565</v>
      </c>
      <c r="K32" s="5" t="s">
        <v>84</v>
      </c>
      <c r="L32" s="7">
        <v>2</v>
      </c>
      <c r="M32" s="7">
        <v>4</v>
      </c>
      <c r="N32" s="324">
        <v>8720</v>
      </c>
      <c r="O32" s="309">
        <v>0.03</v>
      </c>
      <c r="P32" s="325">
        <v>262</v>
      </c>
      <c r="Q32" s="309">
        <v>0</v>
      </c>
      <c r="R32" s="325">
        <v>0</v>
      </c>
      <c r="S32" s="309">
        <v>3.0045871559633029E-2</v>
      </c>
      <c r="T32" s="325">
        <v>262</v>
      </c>
      <c r="U32" s="325">
        <v>8982</v>
      </c>
      <c r="V32" s="326">
        <v>9020</v>
      </c>
      <c r="W32" s="327">
        <v>300</v>
      </c>
      <c r="X32" s="313">
        <v>3.44E-2</v>
      </c>
      <c r="Y32" s="314" t="s">
        <v>252</v>
      </c>
      <c r="Z32" s="328" t="s">
        <v>87</v>
      </c>
      <c r="AA32" s="328" t="s">
        <v>1446</v>
      </c>
      <c r="AB32" s="328" t="s">
        <v>139</v>
      </c>
      <c r="AC32" s="316">
        <v>0.05</v>
      </c>
      <c r="AD32" s="324">
        <v>436</v>
      </c>
      <c r="AE32" s="329">
        <v>9456</v>
      </c>
      <c r="AF32" s="18">
        <v>736</v>
      </c>
      <c r="AG32" s="318">
        <v>8.4403669724770536E-2</v>
      </c>
      <c r="AH32" s="20">
        <v>14</v>
      </c>
      <c r="AI32" s="20">
        <v>450</v>
      </c>
      <c r="AJ32" s="20"/>
      <c r="AK32" s="20">
        <v>688</v>
      </c>
      <c r="AL32" s="20">
        <v>138472</v>
      </c>
      <c r="AM32" s="7">
        <v>3</v>
      </c>
      <c r="AN32" s="20"/>
      <c r="AO32" s="22" t="s">
        <v>1566</v>
      </c>
      <c r="AP32" s="21" t="s">
        <v>239</v>
      </c>
      <c r="AQ32" s="5" t="s">
        <v>1559</v>
      </c>
      <c r="AR32" s="5" t="s">
        <v>164</v>
      </c>
      <c r="AS32" s="357" t="s">
        <v>59</v>
      </c>
      <c r="AT32" s="359"/>
      <c r="AU32" s="359" t="s">
        <v>2295</v>
      </c>
      <c r="AV32" s="144" t="s">
        <v>2295</v>
      </c>
    </row>
    <row r="33" spans="1:48" ht="20" customHeight="1">
      <c r="A33" s="5" t="s">
        <v>318</v>
      </c>
      <c r="B33" s="5">
        <v>1708021</v>
      </c>
      <c r="C33" s="5" t="s">
        <v>51</v>
      </c>
      <c r="D33" s="5" t="s">
        <v>52</v>
      </c>
      <c r="E33" s="5" t="s">
        <v>1604</v>
      </c>
      <c r="F33" s="5" t="s">
        <v>1569</v>
      </c>
      <c r="G33" s="5" t="s">
        <v>1564</v>
      </c>
      <c r="H33" s="6">
        <v>40764</v>
      </c>
      <c r="I33" s="5" t="s">
        <v>82</v>
      </c>
      <c r="J33" s="5" t="s">
        <v>82</v>
      </c>
      <c r="K33" s="5" t="s">
        <v>84</v>
      </c>
      <c r="L33" s="7">
        <v>2</v>
      </c>
      <c r="M33" s="7">
        <v>5</v>
      </c>
      <c r="N33" s="324">
        <v>7903</v>
      </c>
      <c r="O33" s="309">
        <v>0.06</v>
      </c>
      <c r="P33" s="325">
        <v>474</v>
      </c>
      <c r="Q33" s="309">
        <v>7.7799999999999994E-2</v>
      </c>
      <c r="R33" s="325">
        <v>615</v>
      </c>
      <c r="S33" s="309">
        <v>0.13779577375680122</v>
      </c>
      <c r="T33" s="325">
        <v>1089</v>
      </c>
      <c r="U33" s="325">
        <v>8992</v>
      </c>
      <c r="V33" s="326">
        <v>8800</v>
      </c>
      <c r="W33" s="327">
        <v>897</v>
      </c>
      <c r="X33" s="313">
        <v>0.1135</v>
      </c>
      <c r="Y33" s="314" t="s">
        <v>2300</v>
      </c>
      <c r="Z33" s="328" t="s">
        <v>87</v>
      </c>
      <c r="AA33" s="328" t="s">
        <v>1446</v>
      </c>
      <c r="AB33" s="328" t="s">
        <v>139</v>
      </c>
      <c r="AC33" s="316">
        <v>0.05</v>
      </c>
      <c r="AD33" s="324">
        <v>395</v>
      </c>
      <c r="AE33" s="329">
        <v>9195</v>
      </c>
      <c r="AF33" s="18">
        <v>1292</v>
      </c>
      <c r="AG33" s="318">
        <v>0.16348222194103501</v>
      </c>
      <c r="AH33" s="20">
        <v>14</v>
      </c>
      <c r="AI33" s="20">
        <v>450</v>
      </c>
      <c r="AJ33" s="20"/>
      <c r="AK33" s="20">
        <v>688</v>
      </c>
      <c r="AL33" s="20">
        <v>134818</v>
      </c>
      <c r="AM33" s="7">
        <v>4</v>
      </c>
      <c r="AN33" s="20"/>
      <c r="AO33" s="22" t="s">
        <v>1572</v>
      </c>
      <c r="AP33" s="21" t="s">
        <v>239</v>
      </c>
      <c r="AQ33" s="5" t="s">
        <v>1559</v>
      </c>
      <c r="AR33" s="5" t="s">
        <v>164</v>
      </c>
      <c r="AS33" s="357" t="s">
        <v>59</v>
      </c>
      <c r="AT33" s="359"/>
      <c r="AU33" s="359" t="s">
        <v>2295</v>
      </c>
      <c r="AV33" s="307" t="s">
        <v>2295</v>
      </c>
    </row>
    <row r="34" spans="1:48" ht="20" customHeight="1">
      <c r="A34" s="5" t="s">
        <v>318</v>
      </c>
      <c r="B34" s="5">
        <v>15020957</v>
      </c>
      <c r="C34" s="5" t="s">
        <v>51</v>
      </c>
      <c r="D34" s="5" t="s">
        <v>52</v>
      </c>
      <c r="E34" s="5" t="s">
        <v>1604</v>
      </c>
      <c r="F34" s="5" t="s">
        <v>1573</v>
      </c>
      <c r="G34" s="5" t="s">
        <v>1476</v>
      </c>
      <c r="H34" s="6">
        <v>44265</v>
      </c>
      <c r="I34" s="5" t="s">
        <v>82</v>
      </c>
      <c r="J34" s="5" t="s">
        <v>1574</v>
      </c>
      <c r="K34" s="5" t="s">
        <v>84</v>
      </c>
      <c r="L34" s="7">
        <v>2</v>
      </c>
      <c r="M34" s="7">
        <v>4</v>
      </c>
      <c r="N34" s="324">
        <v>12634</v>
      </c>
      <c r="O34" s="309">
        <v>3.7500000000000006E-2</v>
      </c>
      <c r="P34" s="325">
        <v>474</v>
      </c>
      <c r="Q34" s="309">
        <v>1.55E-2</v>
      </c>
      <c r="R34" s="325">
        <v>196</v>
      </c>
      <c r="S34" s="309">
        <v>5.3031502295393385E-2</v>
      </c>
      <c r="T34" s="325">
        <v>670</v>
      </c>
      <c r="U34" s="325">
        <v>13304</v>
      </c>
      <c r="V34" s="326">
        <v>13304</v>
      </c>
      <c r="W34" s="327">
        <v>670</v>
      </c>
      <c r="X34" s="313">
        <v>5.2999999999999999E-2</v>
      </c>
      <c r="Y34" s="314" t="s">
        <v>222</v>
      </c>
      <c r="Z34" s="328" t="s">
        <v>87</v>
      </c>
      <c r="AA34" s="328" t="s">
        <v>1575</v>
      </c>
      <c r="AB34" s="328" t="s">
        <v>139</v>
      </c>
      <c r="AC34" s="316">
        <v>0.05</v>
      </c>
      <c r="AD34" s="324">
        <v>632</v>
      </c>
      <c r="AE34" s="329">
        <v>13936</v>
      </c>
      <c r="AF34" s="18">
        <v>1302</v>
      </c>
      <c r="AG34" s="318">
        <v>0.1030552477441824</v>
      </c>
      <c r="AH34" s="20">
        <v>14</v>
      </c>
      <c r="AI34" s="20">
        <v>450</v>
      </c>
      <c r="AJ34" s="20"/>
      <c r="AK34" s="20">
        <v>688</v>
      </c>
      <c r="AL34" s="20">
        <v>201192</v>
      </c>
      <c r="AM34" s="7">
        <v>4</v>
      </c>
      <c r="AN34" s="20"/>
      <c r="AO34" s="22" t="s">
        <v>1576</v>
      </c>
      <c r="AP34" s="21" t="s">
        <v>239</v>
      </c>
      <c r="AQ34" s="5" t="s">
        <v>1559</v>
      </c>
      <c r="AR34" s="5" t="s">
        <v>164</v>
      </c>
      <c r="AS34" s="357" t="s">
        <v>59</v>
      </c>
      <c r="AT34" s="359"/>
      <c r="AU34" s="359" t="s">
        <v>2295</v>
      </c>
      <c r="AV34" s="144" t="s">
        <v>2295</v>
      </c>
    </row>
    <row r="35" spans="1:48" ht="20" customHeight="1">
      <c r="A35" s="5" t="s">
        <v>318</v>
      </c>
      <c r="B35" s="5">
        <v>11010005</v>
      </c>
      <c r="C35" s="5" t="s">
        <v>51</v>
      </c>
      <c r="D35" s="5" t="s">
        <v>52</v>
      </c>
      <c r="E35" s="5" t="s">
        <v>1753</v>
      </c>
      <c r="F35" s="5" t="s">
        <v>1838</v>
      </c>
      <c r="G35" s="5" t="s">
        <v>1743</v>
      </c>
      <c r="H35" s="6">
        <v>41526</v>
      </c>
      <c r="I35" s="5" t="s">
        <v>226</v>
      </c>
      <c r="J35" s="5" t="s">
        <v>226</v>
      </c>
      <c r="K35" s="5" t="s">
        <v>84</v>
      </c>
      <c r="L35" s="7">
        <v>2</v>
      </c>
      <c r="M35" s="7">
        <v>4</v>
      </c>
      <c r="N35" s="308">
        <v>9200</v>
      </c>
      <c r="O35" s="309">
        <v>0.03</v>
      </c>
      <c r="P35" s="310">
        <v>276</v>
      </c>
      <c r="Q35" s="309">
        <v>0</v>
      </c>
      <c r="R35" s="310">
        <v>0</v>
      </c>
      <c r="S35" s="309">
        <v>0.03</v>
      </c>
      <c r="T35" s="310">
        <v>276</v>
      </c>
      <c r="U35" s="310">
        <v>9476</v>
      </c>
      <c r="V35" s="311">
        <v>9200</v>
      </c>
      <c r="W35" s="312">
        <v>0</v>
      </c>
      <c r="X35" s="313">
        <v>0</v>
      </c>
      <c r="Y35" s="314" t="s">
        <v>233</v>
      </c>
      <c r="Z35" s="315" t="s">
        <v>87</v>
      </c>
      <c r="AA35" s="315"/>
      <c r="AB35" s="315" t="s">
        <v>139</v>
      </c>
      <c r="AC35" s="316">
        <v>0.14080000000000001</v>
      </c>
      <c r="AD35" s="308">
        <v>1295</v>
      </c>
      <c r="AE35" s="317">
        <v>10495</v>
      </c>
      <c r="AF35" s="18">
        <v>1295</v>
      </c>
      <c r="AG35" s="318">
        <v>0.14076086956521738</v>
      </c>
      <c r="AH35" s="20">
        <v>14</v>
      </c>
      <c r="AI35" s="20">
        <v>450</v>
      </c>
      <c r="AJ35" s="20"/>
      <c r="AK35" s="20">
        <v>688</v>
      </c>
      <c r="AL35" s="20">
        <v>153018</v>
      </c>
      <c r="AM35" s="7">
        <v>3</v>
      </c>
      <c r="AN35" s="20"/>
      <c r="AO35" s="21"/>
      <c r="AP35" s="21"/>
      <c r="AQ35" s="5" t="s">
        <v>1761</v>
      </c>
      <c r="AR35" s="5" t="s">
        <v>124</v>
      </c>
      <c r="AS35" s="200"/>
      <c r="AT35" s="200"/>
      <c r="AU35" s="359" t="s">
        <v>2295</v>
      </c>
      <c r="AV35" s="307" t="s">
        <v>2297</v>
      </c>
    </row>
    <row r="36" spans="1:48" ht="20" customHeight="1">
      <c r="A36" s="5" t="s">
        <v>318</v>
      </c>
      <c r="B36" s="5">
        <v>11002805</v>
      </c>
      <c r="C36" s="5" t="s">
        <v>51</v>
      </c>
      <c r="D36" s="5" t="s">
        <v>52</v>
      </c>
      <c r="E36" s="5" t="s">
        <v>1753</v>
      </c>
      <c r="F36" s="5" t="s">
        <v>1860</v>
      </c>
      <c r="G36" s="5" t="s">
        <v>1861</v>
      </c>
      <c r="H36" s="6">
        <v>38504</v>
      </c>
      <c r="I36" s="5" t="s">
        <v>1866</v>
      </c>
      <c r="J36" s="5" t="s">
        <v>1866</v>
      </c>
      <c r="K36" s="5" t="s">
        <v>324</v>
      </c>
      <c r="L36" s="7">
        <v>2</v>
      </c>
      <c r="M36" s="7">
        <v>5</v>
      </c>
      <c r="N36" s="308">
        <v>8717</v>
      </c>
      <c r="O36" s="319">
        <v>0.03</v>
      </c>
      <c r="P36" s="310">
        <v>262</v>
      </c>
      <c r="Q36" s="319">
        <v>0</v>
      </c>
      <c r="R36" s="310">
        <v>0</v>
      </c>
      <c r="S36" s="319">
        <v>3.0056211999541126E-2</v>
      </c>
      <c r="T36" s="310">
        <v>262</v>
      </c>
      <c r="U36" s="310">
        <v>8979</v>
      </c>
      <c r="V36" s="311">
        <v>8717</v>
      </c>
      <c r="W36" s="312">
        <v>0</v>
      </c>
      <c r="X36" s="320">
        <v>0</v>
      </c>
      <c r="Y36" s="321" t="s">
        <v>252</v>
      </c>
      <c r="Z36" s="315" t="s">
        <v>87</v>
      </c>
      <c r="AA36" s="315" t="s">
        <v>85</v>
      </c>
      <c r="AB36" s="315" t="s">
        <v>139</v>
      </c>
      <c r="AC36" s="322">
        <v>0.113</v>
      </c>
      <c r="AD36" s="308">
        <v>985</v>
      </c>
      <c r="AE36" s="317">
        <v>9702</v>
      </c>
      <c r="AF36" s="18">
        <v>985</v>
      </c>
      <c r="AG36" s="323">
        <v>0.11299759091430528</v>
      </c>
      <c r="AH36" s="20">
        <v>14</v>
      </c>
      <c r="AI36" s="20">
        <v>1050</v>
      </c>
      <c r="AJ36" s="20"/>
      <c r="AK36" s="20">
        <v>688</v>
      </c>
      <c r="AL36" s="20">
        <v>149116</v>
      </c>
      <c r="AM36" s="7">
        <v>4</v>
      </c>
      <c r="AN36" s="20"/>
      <c r="AO36" s="21"/>
      <c r="AP36" s="21"/>
      <c r="AQ36" s="5" t="s">
        <v>1854</v>
      </c>
      <c r="AR36" s="5" t="s">
        <v>124</v>
      </c>
      <c r="AS36" s="200"/>
      <c r="AT36" s="200"/>
      <c r="AU36" s="359" t="s">
        <v>2295</v>
      </c>
      <c r="AV36" s="307" t="s">
        <v>2297</v>
      </c>
    </row>
    <row r="37" spans="1:48" ht="20" customHeight="1">
      <c r="A37" s="5" t="s">
        <v>318</v>
      </c>
      <c r="B37" s="5">
        <v>11011160</v>
      </c>
      <c r="C37" s="5" t="s">
        <v>51</v>
      </c>
      <c r="D37" s="5" t="s">
        <v>52</v>
      </c>
      <c r="E37" s="5" t="s">
        <v>1753</v>
      </c>
      <c r="F37" s="5" t="s">
        <v>1875</v>
      </c>
      <c r="G37" s="5" t="s">
        <v>1876</v>
      </c>
      <c r="H37" s="6">
        <v>41827</v>
      </c>
      <c r="I37" s="5" t="s">
        <v>1865</v>
      </c>
      <c r="J37" s="5" t="s">
        <v>1865</v>
      </c>
      <c r="K37" s="5" t="s">
        <v>324</v>
      </c>
      <c r="L37" s="7">
        <v>2</v>
      </c>
      <c r="M37" s="7">
        <v>4</v>
      </c>
      <c r="N37" s="308">
        <v>8300</v>
      </c>
      <c r="O37" s="319">
        <v>2.2499999999999999E-2</v>
      </c>
      <c r="P37" s="310">
        <v>187</v>
      </c>
      <c r="Q37" s="319">
        <v>0</v>
      </c>
      <c r="R37" s="310">
        <v>0</v>
      </c>
      <c r="S37" s="319">
        <v>2.253012048192771E-2</v>
      </c>
      <c r="T37" s="310">
        <v>187</v>
      </c>
      <c r="U37" s="310">
        <v>8487</v>
      </c>
      <c r="V37" s="311">
        <v>8300</v>
      </c>
      <c r="W37" s="312">
        <v>0</v>
      </c>
      <c r="X37" s="320">
        <v>0</v>
      </c>
      <c r="Y37" s="321" t="s">
        <v>2301</v>
      </c>
      <c r="Z37" s="315" t="s">
        <v>87</v>
      </c>
      <c r="AA37" s="315" t="s">
        <v>85</v>
      </c>
      <c r="AB37" s="315" t="s">
        <v>139</v>
      </c>
      <c r="AC37" s="322">
        <v>0.16</v>
      </c>
      <c r="AD37" s="308">
        <v>1328</v>
      </c>
      <c r="AE37" s="317">
        <v>9628</v>
      </c>
      <c r="AF37" s="18">
        <v>1328</v>
      </c>
      <c r="AG37" s="323">
        <v>0.15999999999999992</v>
      </c>
      <c r="AH37" s="20">
        <v>14</v>
      </c>
      <c r="AI37" s="20">
        <v>1650</v>
      </c>
      <c r="AJ37" s="20"/>
      <c r="AK37" s="20">
        <v>688</v>
      </c>
      <c r="AL37" s="20">
        <v>155280</v>
      </c>
      <c r="AM37" s="7">
        <v>3</v>
      </c>
      <c r="AN37" s="20"/>
      <c r="AO37" s="21"/>
      <c r="AP37" s="21"/>
      <c r="AQ37" s="5" t="s">
        <v>1854</v>
      </c>
      <c r="AR37" s="5" t="s">
        <v>124</v>
      </c>
      <c r="AS37" s="200"/>
      <c r="AT37" s="200"/>
      <c r="AU37" s="287" t="s">
        <v>2295</v>
      </c>
      <c r="AV37" s="144" t="s">
        <v>2297</v>
      </c>
    </row>
    <row r="38" spans="1:48" ht="20" customHeight="1">
      <c r="A38" s="5" t="s">
        <v>318</v>
      </c>
      <c r="B38" s="5">
        <v>11013956</v>
      </c>
      <c r="C38" s="5" t="s">
        <v>51</v>
      </c>
      <c r="D38" s="5" t="s">
        <v>52</v>
      </c>
      <c r="E38" s="5" t="s">
        <v>1753</v>
      </c>
      <c r="F38" s="5" t="s">
        <v>1868</v>
      </c>
      <c r="G38" s="5" t="s">
        <v>1869</v>
      </c>
      <c r="H38" s="6">
        <v>42562</v>
      </c>
      <c r="I38" s="5" t="s">
        <v>1865</v>
      </c>
      <c r="J38" s="5" t="s">
        <v>1865</v>
      </c>
      <c r="K38" s="5" t="s">
        <v>324</v>
      </c>
      <c r="L38" s="7">
        <v>2</v>
      </c>
      <c r="M38" s="7">
        <v>5</v>
      </c>
      <c r="N38" s="308">
        <v>9217</v>
      </c>
      <c r="O38" s="319">
        <v>1.9999999999999997E-2</v>
      </c>
      <c r="P38" s="310">
        <v>184</v>
      </c>
      <c r="Q38" s="319">
        <v>0</v>
      </c>
      <c r="R38" s="310">
        <v>0</v>
      </c>
      <c r="S38" s="319">
        <v>1.9963111641531951E-2</v>
      </c>
      <c r="T38" s="310">
        <v>184</v>
      </c>
      <c r="U38" s="310">
        <v>9401</v>
      </c>
      <c r="V38" s="311">
        <v>9217</v>
      </c>
      <c r="W38" s="312">
        <v>0</v>
      </c>
      <c r="X38" s="320">
        <v>0</v>
      </c>
      <c r="Y38" s="321" t="s">
        <v>2302</v>
      </c>
      <c r="Z38" s="315" t="s">
        <v>87</v>
      </c>
      <c r="AA38" s="315" t="s">
        <v>85</v>
      </c>
      <c r="AB38" s="315" t="s">
        <v>139</v>
      </c>
      <c r="AC38" s="322">
        <v>0.1101</v>
      </c>
      <c r="AD38" s="308">
        <v>1015</v>
      </c>
      <c r="AE38" s="317">
        <v>10232</v>
      </c>
      <c r="AF38" s="18">
        <v>1015</v>
      </c>
      <c r="AG38" s="323">
        <v>0.11012259954432024</v>
      </c>
      <c r="AH38" s="20">
        <v>14</v>
      </c>
      <c r="AI38" s="20">
        <v>2150</v>
      </c>
      <c r="AJ38" s="20"/>
      <c r="AK38" s="20">
        <v>688</v>
      </c>
      <c r="AL38" s="20">
        <v>169736</v>
      </c>
      <c r="AM38" s="7">
        <v>5</v>
      </c>
      <c r="AN38" s="20"/>
      <c r="AO38" s="21"/>
      <c r="AP38" s="21"/>
      <c r="AQ38" s="5" t="s">
        <v>1854</v>
      </c>
      <c r="AR38" s="5" t="s">
        <v>124</v>
      </c>
      <c r="AS38" s="200"/>
      <c r="AT38" s="200"/>
      <c r="AU38" s="359" t="s">
        <v>2295</v>
      </c>
      <c r="AV38" s="307" t="s">
        <v>2297</v>
      </c>
    </row>
    <row r="39" spans="1:48" ht="20" customHeight="1">
      <c r="A39" s="5" t="s">
        <v>318</v>
      </c>
      <c r="B39" s="5">
        <v>11015490</v>
      </c>
      <c r="C39" s="5" t="s">
        <v>51</v>
      </c>
      <c r="D39" s="5" t="s">
        <v>52</v>
      </c>
      <c r="E39" s="5" t="s">
        <v>1753</v>
      </c>
      <c r="F39" s="5" t="s">
        <v>1872</v>
      </c>
      <c r="G39" s="5" t="s">
        <v>1873</v>
      </c>
      <c r="H39" s="6">
        <v>43017</v>
      </c>
      <c r="I39" s="5" t="s">
        <v>1871</v>
      </c>
      <c r="J39" s="5" t="s">
        <v>1871</v>
      </c>
      <c r="K39" s="5" t="s">
        <v>324</v>
      </c>
      <c r="L39" s="7">
        <v>2</v>
      </c>
      <c r="M39" s="7">
        <v>5</v>
      </c>
      <c r="N39" s="308">
        <v>9723</v>
      </c>
      <c r="O39" s="319">
        <v>0.04</v>
      </c>
      <c r="P39" s="310">
        <v>389</v>
      </c>
      <c r="Q39" s="319">
        <v>0</v>
      </c>
      <c r="R39" s="310">
        <v>0</v>
      </c>
      <c r="S39" s="319">
        <v>4.0008227913195513E-2</v>
      </c>
      <c r="T39" s="310">
        <v>389</v>
      </c>
      <c r="U39" s="310">
        <v>10112</v>
      </c>
      <c r="V39" s="311">
        <v>9723</v>
      </c>
      <c r="W39" s="312">
        <v>0</v>
      </c>
      <c r="X39" s="320">
        <v>0</v>
      </c>
      <c r="Y39" s="321" t="s">
        <v>261</v>
      </c>
      <c r="Z39" s="315" t="s">
        <v>87</v>
      </c>
      <c r="AA39" s="315" t="s">
        <v>85</v>
      </c>
      <c r="AB39" s="315" t="s">
        <v>139</v>
      </c>
      <c r="AC39" s="322">
        <v>0.1</v>
      </c>
      <c r="AD39" s="308">
        <v>972</v>
      </c>
      <c r="AE39" s="317">
        <v>10695</v>
      </c>
      <c r="AF39" s="18">
        <v>972</v>
      </c>
      <c r="AG39" s="323">
        <v>9.9969145325516706E-2</v>
      </c>
      <c r="AH39" s="20">
        <v>14</v>
      </c>
      <c r="AI39" s="20">
        <v>450</v>
      </c>
      <c r="AJ39" s="20"/>
      <c r="AK39" s="20">
        <v>688</v>
      </c>
      <c r="AL39" s="20">
        <v>155818</v>
      </c>
      <c r="AM39" s="7">
        <v>3</v>
      </c>
      <c r="AN39" s="20"/>
      <c r="AO39" s="21"/>
      <c r="AP39" s="21"/>
      <c r="AQ39" s="5" t="s">
        <v>1854</v>
      </c>
      <c r="AR39" s="5" t="s">
        <v>124</v>
      </c>
      <c r="AS39" s="200"/>
      <c r="AT39" s="200"/>
      <c r="AU39" s="287" t="s">
        <v>2295</v>
      </c>
      <c r="AV39" s="144" t="s">
        <v>2297</v>
      </c>
    </row>
    <row r="40" spans="1:48" ht="20" customHeight="1">
      <c r="A40" s="5" t="s">
        <v>318</v>
      </c>
      <c r="B40" s="5">
        <v>11017418</v>
      </c>
      <c r="C40" s="5" t="s">
        <v>51</v>
      </c>
      <c r="D40" s="5" t="s">
        <v>52</v>
      </c>
      <c r="E40" s="5" t="s">
        <v>1753</v>
      </c>
      <c r="F40" s="5" t="s">
        <v>1885</v>
      </c>
      <c r="G40" s="5" t="s">
        <v>1886</v>
      </c>
      <c r="H40" s="6">
        <v>44053</v>
      </c>
      <c r="I40" s="5" t="s">
        <v>1865</v>
      </c>
      <c r="J40" s="5" t="s">
        <v>1865</v>
      </c>
      <c r="K40" s="5" t="s">
        <v>324</v>
      </c>
      <c r="L40" s="7">
        <v>2</v>
      </c>
      <c r="M40" s="7">
        <v>5</v>
      </c>
      <c r="N40" s="308">
        <v>8922</v>
      </c>
      <c r="O40" s="319">
        <v>0.03</v>
      </c>
      <c r="P40" s="310">
        <v>268</v>
      </c>
      <c r="Q40" s="319">
        <v>0</v>
      </c>
      <c r="R40" s="310">
        <v>0</v>
      </c>
      <c r="S40" s="319">
        <v>3.0038108047522976E-2</v>
      </c>
      <c r="T40" s="310">
        <v>268</v>
      </c>
      <c r="U40" s="310">
        <v>9190</v>
      </c>
      <c r="V40" s="311">
        <v>8922</v>
      </c>
      <c r="W40" s="312">
        <v>0</v>
      </c>
      <c r="X40" s="320">
        <v>0</v>
      </c>
      <c r="Y40" s="321" t="s">
        <v>233</v>
      </c>
      <c r="Z40" s="315" t="s">
        <v>87</v>
      </c>
      <c r="AA40" s="315" t="s">
        <v>85</v>
      </c>
      <c r="AB40" s="315" t="s">
        <v>139</v>
      </c>
      <c r="AC40" s="322">
        <v>0.129</v>
      </c>
      <c r="AD40" s="308">
        <v>1151</v>
      </c>
      <c r="AE40" s="317">
        <v>10073</v>
      </c>
      <c r="AF40" s="18">
        <v>1151</v>
      </c>
      <c r="AG40" s="323">
        <v>0.12900694911454824</v>
      </c>
      <c r="AH40" s="20">
        <v>14</v>
      </c>
      <c r="AI40" s="20">
        <v>2650</v>
      </c>
      <c r="AJ40" s="20"/>
      <c r="AK40" s="20">
        <v>688</v>
      </c>
      <c r="AL40" s="20">
        <v>173510</v>
      </c>
      <c r="AM40" s="7">
        <v>4</v>
      </c>
      <c r="AN40" s="20"/>
      <c r="AO40" s="21"/>
      <c r="AP40" s="21"/>
      <c r="AQ40" s="5" t="s">
        <v>1854</v>
      </c>
      <c r="AR40" s="5" t="s">
        <v>124</v>
      </c>
      <c r="AS40" s="200"/>
      <c r="AT40" s="200"/>
      <c r="AU40" s="287" t="s">
        <v>2295</v>
      </c>
      <c r="AV40" s="307" t="s">
        <v>2297</v>
      </c>
    </row>
    <row r="41" spans="1:48" ht="20" customHeight="1">
      <c r="A41" s="5" t="s">
        <v>318</v>
      </c>
      <c r="B41" s="5">
        <v>11017501</v>
      </c>
      <c r="C41" s="5" t="s">
        <v>51</v>
      </c>
      <c r="D41" s="5" t="s">
        <v>52</v>
      </c>
      <c r="E41" s="5" t="s">
        <v>1753</v>
      </c>
      <c r="F41" s="5" t="s">
        <v>1899</v>
      </c>
      <c r="G41" s="5" t="s">
        <v>1880</v>
      </c>
      <c r="H41" s="6">
        <v>44075</v>
      </c>
      <c r="I41" s="5" t="s">
        <v>1862</v>
      </c>
      <c r="J41" s="5" t="s">
        <v>1862</v>
      </c>
      <c r="K41" s="5" t="s">
        <v>324</v>
      </c>
      <c r="L41" s="7">
        <v>2</v>
      </c>
      <c r="M41" s="7">
        <v>5</v>
      </c>
      <c r="N41" s="308">
        <v>9755</v>
      </c>
      <c r="O41" s="319">
        <v>0.04</v>
      </c>
      <c r="P41" s="310">
        <v>390</v>
      </c>
      <c r="Q41" s="319">
        <v>0</v>
      </c>
      <c r="R41" s="310">
        <v>0</v>
      </c>
      <c r="S41" s="319">
        <v>3.9979497693490518E-2</v>
      </c>
      <c r="T41" s="310">
        <v>390</v>
      </c>
      <c r="U41" s="310">
        <v>10145</v>
      </c>
      <c r="V41" s="311">
        <v>9755</v>
      </c>
      <c r="W41" s="312">
        <v>0</v>
      </c>
      <c r="X41" s="320">
        <v>0</v>
      </c>
      <c r="Y41" s="321" t="s">
        <v>261</v>
      </c>
      <c r="Z41" s="315" t="s">
        <v>87</v>
      </c>
      <c r="AA41" s="315" t="s">
        <v>85</v>
      </c>
      <c r="AB41" s="315" t="s">
        <v>139</v>
      </c>
      <c r="AC41" s="322">
        <v>0.1</v>
      </c>
      <c r="AD41" s="308">
        <v>976</v>
      </c>
      <c r="AE41" s="317">
        <v>10731</v>
      </c>
      <c r="AF41" s="18">
        <v>976</v>
      </c>
      <c r="AG41" s="323">
        <v>0.10005125576627361</v>
      </c>
      <c r="AH41" s="20">
        <v>14</v>
      </c>
      <c r="AI41" s="20">
        <v>450</v>
      </c>
      <c r="AJ41" s="20"/>
      <c r="AK41" s="20">
        <v>688</v>
      </c>
      <c r="AL41" s="20">
        <v>156322</v>
      </c>
      <c r="AM41" s="7">
        <v>4</v>
      </c>
      <c r="AN41" s="20"/>
      <c r="AO41" s="21"/>
      <c r="AP41" s="21"/>
      <c r="AQ41" s="5" t="s">
        <v>1854</v>
      </c>
      <c r="AR41" s="5" t="s">
        <v>124</v>
      </c>
      <c r="AS41" s="200"/>
      <c r="AT41" s="200"/>
      <c r="AU41" s="359" t="s">
        <v>2295</v>
      </c>
      <c r="AV41" s="144" t="s">
        <v>2297</v>
      </c>
    </row>
    <row r="42" spans="1:48" ht="20" customHeight="1">
      <c r="A42" s="5" t="s">
        <v>318</v>
      </c>
      <c r="B42" s="5">
        <v>15014796</v>
      </c>
      <c r="C42" s="5" t="s">
        <v>51</v>
      </c>
      <c r="D42" s="5" t="s">
        <v>52</v>
      </c>
      <c r="E42" s="5" t="s">
        <v>2001</v>
      </c>
      <c r="F42" s="5" t="s">
        <v>1962</v>
      </c>
      <c r="G42" s="5" t="s">
        <v>1980</v>
      </c>
      <c r="H42" s="6">
        <v>42256</v>
      </c>
      <c r="I42" s="5" t="s">
        <v>82</v>
      </c>
      <c r="J42" s="5" t="s">
        <v>1984</v>
      </c>
      <c r="K42" s="5" t="s">
        <v>84</v>
      </c>
      <c r="L42" s="7">
        <v>2</v>
      </c>
      <c r="M42" s="7">
        <v>4</v>
      </c>
      <c r="N42" s="308">
        <v>12030</v>
      </c>
      <c r="O42" s="319">
        <v>0.03</v>
      </c>
      <c r="P42" s="310">
        <v>361</v>
      </c>
      <c r="Q42" s="319">
        <v>0</v>
      </c>
      <c r="R42" s="310">
        <v>0</v>
      </c>
      <c r="S42" s="319">
        <v>3.000831255195345E-2</v>
      </c>
      <c r="T42" s="310">
        <v>361</v>
      </c>
      <c r="U42" s="310">
        <v>12391</v>
      </c>
      <c r="V42" s="311">
        <v>12320</v>
      </c>
      <c r="W42" s="312">
        <v>290</v>
      </c>
      <c r="X42" s="320">
        <v>2.41E-2</v>
      </c>
      <c r="Y42" s="321" t="s">
        <v>233</v>
      </c>
      <c r="Z42" s="315" t="s">
        <v>87</v>
      </c>
      <c r="AA42" s="315" t="s">
        <v>74</v>
      </c>
      <c r="AB42" s="315" t="s">
        <v>139</v>
      </c>
      <c r="AC42" s="322">
        <v>5.5E-2</v>
      </c>
      <c r="AD42" s="308">
        <v>662</v>
      </c>
      <c r="AE42" s="317">
        <v>12982</v>
      </c>
      <c r="AF42" s="18">
        <v>952</v>
      </c>
      <c r="AG42" s="323">
        <v>7.9135494596841216E-2</v>
      </c>
      <c r="AH42" s="20">
        <v>14</v>
      </c>
      <c r="AI42" s="20">
        <v>450</v>
      </c>
      <c r="AJ42" s="20"/>
      <c r="AK42" s="20">
        <v>688</v>
      </c>
      <c r="AL42" s="20">
        <v>187836</v>
      </c>
      <c r="AM42" s="7">
        <v>4</v>
      </c>
      <c r="AN42" s="20"/>
      <c r="AO42" s="21" t="s">
        <v>90</v>
      </c>
      <c r="AP42" s="21" t="s">
        <v>90</v>
      </c>
      <c r="AQ42" s="5" t="s">
        <v>1948</v>
      </c>
      <c r="AR42" s="5" t="s">
        <v>69</v>
      </c>
      <c r="AS42" s="356"/>
      <c r="AT42" s="356"/>
      <c r="AU42" s="21" t="s">
        <v>2295</v>
      </c>
      <c r="AV42" s="307" t="s">
        <v>2295</v>
      </c>
    </row>
    <row r="43" spans="1:48" ht="20" customHeight="1">
      <c r="A43" s="5" t="s">
        <v>318</v>
      </c>
      <c r="B43" s="5">
        <v>15003876</v>
      </c>
      <c r="C43" s="5" t="s">
        <v>51</v>
      </c>
      <c r="D43" s="5" t="s">
        <v>52</v>
      </c>
      <c r="E43" s="5" t="s">
        <v>2001</v>
      </c>
      <c r="F43" s="5" t="s">
        <v>1966</v>
      </c>
      <c r="G43" s="5" t="s">
        <v>1980</v>
      </c>
      <c r="H43" s="6">
        <v>40322</v>
      </c>
      <c r="I43" s="5" t="s">
        <v>174</v>
      </c>
      <c r="J43" s="5" t="s">
        <v>174</v>
      </c>
      <c r="K43" s="5" t="s">
        <v>175</v>
      </c>
      <c r="L43" s="7">
        <v>2</v>
      </c>
      <c r="M43" s="7">
        <v>5</v>
      </c>
      <c r="N43" s="308">
        <v>7746</v>
      </c>
      <c r="O43" s="319">
        <v>0.05</v>
      </c>
      <c r="P43" s="310">
        <v>387</v>
      </c>
      <c r="Q43" s="319">
        <v>2.7E-2</v>
      </c>
      <c r="R43" s="310">
        <v>209</v>
      </c>
      <c r="S43" s="319">
        <v>7.6942938290730706E-2</v>
      </c>
      <c r="T43" s="310">
        <v>596</v>
      </c>
      <c r="U43" s="310">
        <v>8342</v>
      </c>
      <c r="V43" s="311">
        <v>8230</v>
      </c>
      <c r="W43" s="312">
        <v>484</v>
      </c>
      <c r="X43" s="320">
        <v>6.25E-2</v>
      </c>
      <c r="Y43" s="321" t="s">
        <v>2305</v>
      </c>
      <c r="Z43" s="315" t="s">
        <v>87</v>
      </c>
      <c r="AA43" s="315" t="s">
        <v>1584</v>
      </c>
      <c r="AB43" s="315" t="s">
        <v>1993</v>
      </c>
      <c r="AC43" s="322">
        <v>6.5000000000000002E-2</v>
      </c>
      <c r="AD43" s="308">
        <v>503</v>
      </c>
      <c r="AE43" s="317">
        <v>8733</v>
      </c>
      <c r="AF43" s="18">
        <v>987</v>
      </c>
      <c r="AG43" s="323">
        <v>0.1274206041828041</v>
      </c>
      <c r="AH43" s="20">
        <v>14</v>
      </c>
      <c r="AI43" s="20">
        <v>450</v>
      </c>
      <c r="AJ43" s="20"/>
      <c r="AK43" s="20">
        <v>688</v>
      </c>
      <c r="AL43" s="20">
        <v>128350</v>
      </c>
      <c r="AM43" s="7">
        <v>3</v>
      </c>
      <c r="AN43" s="20"/>
      <c r="AO43" s="21" t="s">
        <v>90</v>
      </c>
      <c r="AP43" s="21" t="s">
        <v>90</v>
      </c>
      <c r="AQ43" s="5" t="s">
        <v>1948</v>
      </c>
      <c r="AR43" s="5" t="s">
        <v>69</v>
      </c>
      <c r="AS43" s="356"/>
      <c r="AT43" s="356"/>
      <c r="AU43" s="358" t="s">
        <v>2295</v>
      </c>
      <c r="AV43" s="144" t="s">
        <v>2295</v>
      </c>
    </row>
    <row r="44" spans="1:48" ht="20" customHeight="1">
      <c r="A44" s="5" t="s">
        <v>318</v>
      </c>
      <c r="B44" s="5">
        <v>15013982</v>
      </c>
      <c r="C44" s="5" t="s">
        <v>51</v>
      </c>
      <c r="D44" s="5" t="s">
        <v>52</v>
      </c>
      <c r="E44" s="5" t="s">
        <v>2001</v>
      </c>
      <c r="F44" s="5" t="s">
        <v>1976</v>
      </c>
      <c r="G44" s="5" t="s">
        <v>1980</v>
      </c>
      <c r="H44" s="6">
        <v>42032</v>
      </c>
      <c r="I44" s="5" t="s">
        <v>82</v>
      </c>
      <c r="J44" s="5" t="s">
        <v>1994</v>
      </c>
      <c r="K44" s="5" t="s">
        <v>84</v>
      </c>
      <c r="L44" s="7">
        <v>2</v>
      </c>
      <c r="M44" s="7">
        <v>4</v>
      </c>
      <c r="N44" s="308">
        <v>16369</v>
      </c>
      <c r="O44" s="319">
        <v>0.03</v>
      </c>
      <c r="P44" s="310">
        <v>491</v>
      </c>
      <c r="Q44" s="319">
        <v>0</v>
      </c>
      <c r="R44" s="310">
        <v>0</v>
      </c>
      <c r="S44" s="319">
        <v>2.9995723623923269E-2</v>
      </c>
      <c r="T44" s="310">
        <v>491</v>
      </c>
      <c r="U44" s="310">
        <v>16860</v>
      </c>
      <c r="V44" s="311">
        <v>16770</v>
      </c>
      <c r="W44" s="312">
        <v>401</v>
      </c>
      <c r="X44" s="320">
        <v>2.4500000000000001E-2</v>
      </c>
      <c r="Y44" s="321" t="s">
        <v>233</v>
      </c>
      <c r="Z44" s="315" t="s">
        <v>87</v>
      </c>
      <c r="AA44" s="315" t="s">
        <v>74</v>
      </c>
      <c r="AB44" s="315" t="s">
        <v>139</v>
      </c>
      <c r="AC44" s="322">
        <v>0.05</v>
      </c>
      <c r="AD44" s="308">
        <v>818</v>
      </c>
      <c r="AE44" s="317">
        <v>17588</v>
      </c>
      <c r="AF44" s="18">
        <v>1219</v>
      </c>
      <c r="AG44" s="323">
        <v>7.4470034821919384E-2</v>
      </c>
      <c r="AH44" s="20">
        <v>14</v>
      </c>
      <c r="AI44" s="20">
        <v>450</v>
      </c>
      <c r="AJ44" s="20"/>
      <c r="AK44" s="20">
        <v>688</v>
      </c>
      <c r="AL44" s="20">
        <v>252320</v>
      </c>
      <c r="AM44" s="7">
        <v>3</v>
      </c>
      <c r="AN44" s="20"/>
      <c r="AO44" s="21" t="s">
        <v>90</v>
      </c>
      <c r="AP44" s="21" t="s">
        <v>90</v>
      </c>
      <c r="AQ44" s="5" t="s">
        <v>1948</v>
      </c>
      <c r="AR44" s="5" t="s">
        <v>69</v>
      </c>
      <c r="AS44" s="356"/>
      <c r="AT44" s="356"/>
      <c r="AU44" s="287" t="s">
        <v>2295</v>
      </c>
      <c r="AV44" s="307" t="s">
        <v>2295</v>
      </c>
    </row>
    <row r="45" spans="1:48" ht="20" customHeight="1">
      <c r="A45" s="330" t="s">
        <v>318</v>
      </c>
      <c r="B45" s="5">
        <v>15020884</v>
      </c>
      <c r="C45" s="5" t="s">
        <v>51</v>
      </c>
      <c r="D45" s="5" t="s">
        <v>52</v>
      </c>
      <c r="E45" s="5" t="s">
        <v>2001</v>
      </c>
      <c r="F45" s="5" t="s">
        <v>1973</v>
      </c>
      <c r="G45" s="5" t="s">
        <v>1981</v>
      </c>
      <c r="H45" s="6">
        <v>44230</v>
      </c>
      <c r="I45" s="5" t="s">
        <v>82</v>
      </c>
      <c r="J45" s="5" t="s">
        <v>1999</v>
      </c>
      <c r="K45" s="5" t="s">
        <v>84</v>
      </c>
      <c r="L45" s="7">
        <v>2</v>
      </c>
      <c r="M45" s="7">
        <v>4</v>
      </c>
      <c r="N45" s="308">
        <v>13215</v>
      </c>
      <c r="O45" s="319">
        <v>3.7500000000000006E-2</v>
      </c>
      <c r="P45" s="310">
        <v>496</v>
      </c>
      <c r="Q45" s="319">
        <v>0</v>
      </c>
      <c r="R45" s="310">
        <v>0</v>
      </c>
      <c r="S45" s="319">
        <v>3.7533106318577376E-2</v>
      </c>
      <c r="T45" s="310">
        <v>496</v>
      </c>
      <c r="U45" s="310">
        <v>13711</v>
      </c>
      <c r="V45" s="311">
        <v>13777</v>
      </c>
      <c r="W45" s="312">
        <v>562</v>
      </c>
      <c r="X45" s="320">
        <v>4.2500000000000003E-2</v>
      </c>
      <c r="Y45" s="321" t="s">
        <v>2296</v>
      </c>
      <c r="Z45" s="315" t="s">
        <v>87</v>
      </c>
      <c r="AA45" s="315" t="s">
        <v>138</v>
      </c>
      <c r="AB45" s="315" t="s">
        <v>139</v>
      </c>
      <c r="AC45" s="322">
        <v>0.1</v>
      </c>
      <c r="AD45" s="308">
        <v>1322</v>
      </c>
      <c r="AE45" s="317">
        <v>15099</v>
      </c>
      <c r="AF45" s="18">
        <v>1884</v>
      </c>
      <c r="AG45" s="323">
        <v>0.14256526674233827</v>
      </c>
      <c r="AH45" s="20">
        <v>14</v>
      </c>
      <c r="AI45" s="20">
        <v>550</v>
      </c>
      <c r="AJ45" s="20"/>
      <c r="AK45" s="20">
        <v>688</v>
      </c>
      <c r="AL45" s="20">
        <v>218674</v>
      </c>
      <c r="AM45" s="7">
        <v>4</v>
      </c>
      <c r="AN45" s="20"/>
      <c r="AO45" s="21" t="s">
        <v>90</v>
      </c>
      <c r="AP45" s="21" t="s">
        <v>90</v>
      </c>
      <c r="AQ45" s="5" t="s">
        <v>1948</v>
      </c>
      <c r="AR45" s="5" t="s">
        <v>69</v>
      </c>
      <c r="AS45" s="356"/>
      <c r="AT45" s="356"/>
      <c r="AU45" s="21" t="s">
        <v>2295</v>
      </c>
      <c r="AV45" s="144" t="s">
        <v>2295</v>
      </c>
    </row>
    <row r="46" spans="1:48" ht="20" customHeight="1">
      <c r="A46" s="5" t="s">
        <v>318</v>
      </c>
      <c r="B46" s="5">
        <v>11017114</v>
      </c>
      <c r="C46" s="5" t="s">
        <v>51</v>
      </c>
      <c r="D46" s="5" t="s">
        <v>52</v>
      </c>
      <c r="E46" s="5" t="s">
        <v>2001</v>
      </c>
      <c r="F46" s="5" t="s">
        <v>1956</v>
      </c>
      <c r="G46" s="5" t="s">
        <v>2000</v>
      </c>
      <c r="H46" s="6">
        <v>43928</v>
      </c>
      <c r="I46" s="5" t="s">
        <v>74</v>
      </c>
      <c r="J46" s="5" t="s">
        <v>74</v>
      </c>
      <c r="K46" s="5" t="s">
        <v>76</v>
      </c>
      <c r="L46" s="7">
        <v>2</v>
      </c>
      <c r="M46" s="7">
        <v>4</v>
      </c>
      <c r="N46" s="308">
        <v>17016</v>
      </c>
      <c r="O46" s="319">
        <v>2.2499999999999999E-2</v>
      </c>
      <c r="P46" s="310">
        <v>383</v>
      </c>
      <c r="Q46" s="319">
        <v>0</v>
      </c>
      <c r="R46" s="310">
        <v>0</v>
      </c>
      <c r="S46" s="319">
        <v>2.2508227550540667E-2</v>
      </c>
      <c r="T46" s="310">
        <v>383</v>
      </c>
      <c r="U46" s="310">
        <v>17399</v>
      </c>
      <c r="V46" s="311">
        <v>17399</v>
      </c>
      <c r="W46" s="312">
        <v>383</v>
      </c>
      <c r="X46" s="320">
        <v>2.2499999999999999E-2</v>
      </c>
      <c r="Y46" s="321" t="s">
        <v>2301</v>
      </c>
      <c r="Z46" s="315" t="s">
        <v>87</v>
      </c>
      <c r="AA46" s="315" t="s">
        <v>60</v>
      </c>
      <c r="AB46" s="315" t="s">
        <v>89</v>
      </c>
      <c r="AC46" s="322">
        <v>0.13</v>
      </c>
      <c r="AD46" s="308">
        <v>2212</v>
      </c>
      <c r="AE46" s="317">
        <v>19611</v>
      </c>
      <c r="AF46" s="18">
        <v>2595</v>
      </c>
      <c r="AG46" s="323">
        <v>0.15250352609308893</v>
      </c>
      <c r="AH46" s="20">
        <v>14</v>
      </c>
      <c r="AI46" s="20">
        <v>450</v>
      </c>
      <c r="AJ46" s="20"/>
      <c r="AK46" s="20">
        <v>688</v>
      </c>
      <c r="AL46" s="20">
        <v>280642</v>
      </c>
      <c r="AM46" s="7">
        <v>5</v>
      </c>
      <c r="AN46" s="20"/>
      <c r="AO46" s="21" t="s">
        <v>90</v>
      </c>
      <c r="AP46" s="21" t="s">
        <v>90</v>
      </c>
      <c r="AQ46" s="5" t="s">
        <v>1948</v>
      </c>
      <c r="AR46" s="5" t="s">
        <v>69</v>
      </c>
      <c r="AS46" s="356"/>
      <c r="AT46" s="356"/>
      <c r="AU46" s="356" t="s">
        <v>2295</v>
      </c>
      <c r="AV46" s="307" t="s">
        <v>2295</v>
      </c>
    </row>
    <row r="47" spans="1:48" ht="20" customHeight="1">
      <c r="A47" s="5" t="s">
        <v>318</v>
      </c>
      <c r="B47" s="5">
        <v>11014818</v>
      </c>
      <c r="C47" s="5" t="s">
        <v>51</v>
      </c>
      <c r="D47" s="5" t="s">
        <v>52</v>
      </c>
      <c r="E47" s="5" t="s">
        <v>2032</v>
      </c>
      <c r="F47" s="5" t="s">
        <v>2029</v>
      </c>
      <c r="G47" s="5" t="s">
        <v>2030</v>
      </c>
      <c r="H47" s="6">
        <v>42891</v>
      </c>
      <c r="I47" s="5" t="s">
        <v>74</v>
      </c>
      <c r="J47" s="5" t="s">
        <v>74</v>
      </c>
      <c r="K47" s="5" t="s">
        <v>76</v>
      </c>
      <c r="L47" s="7">
        <v>2</v>
      </c>
      <c r="M47" s="7">
        <v>4</v>
      </c>
      <c r="N47" s="308">
        <v>20519</v>
      </c>
      <c r="O47" s="319">
        <v>0.03</v>
      </c>
      <c r="P47" s="310">
        <v>616</v>
      </c>
      <c r="Q47" s="319">
        <v>0</v>
      </c>
      <c r="R47" s="310">
        <v>0</v>
      </c>
      <c r="S47" s="319">
        <v>3.002095618694868E-2</v>
      </c>
      <c r="T47" s="310">
        <v>616</v>
      </c>
      <c r="U47" s="310">
        <v>21135</v>
      </c>
      <c r="V47" s="311">
        <v>21135</v>
      </c>
      <c r="W47" s="312">
        <v>616</v>
      </c>
      <c r="X47" s="320">
        <v>0.03</v>
      </c>
      <c r="Y47" s="321" t="s">
        <v>233</v>
      </c>
      <c r="Z47" s="315" t="s">
        <v>87</v>
      </c>
      <c r="AA47" s="315"/>
      <c r="AB47" s="315" t="s">
        <v>89</v>
      </c>
      <c r="AC47" s="322">
        <v>7.0000000000000007E-2</v>
      </c>
      <c r="AD47" s="308">
        <v>1436</v>
      </c>
      <c r="AE47" s="317">
        <v>22571</v>
      </c>
      <c r="AF47" s="18">
        <v>2052</v>
      </c>
      <c r="AG47" s="323">
        <v>0.10000487353184861</v>
      </c>
      <c r="AH47" s="20">
        <v>14</v>
      </c>
      <c r="AI47" s="20">
        <v>450</v>
      </c>
      <c r="AJ47" s="20"/>
      <c r="AK47" s="20">
        <v>688</v>
      </c>
      <c r="AL47" s="20">
        <v>322082</v>
      </c>
      <c r="AM47" s="7">
        <v>4</v>
      </c>
      <c r="AN47" s="20"/>
      <c r="AO47" s="21"/>
      <c r="AP47" s="21"/>
      <c r="AQ47" s="5" t="s">
        <v>2023</v>
      </c>
      <c r="AR47" s="5" t="s">
        <v>124</v>
      </c>
      <c r="AS47" s="5" t="s">
        <v>218</v>
      </c>
      <c r="AT47" s="21"/>
      <c r="AU47" s="21" t="s">
        <v>2295</v>
      </c>
      <c r="AV47" s="144" t="s">
        <v>2295</v>
      </c>
    </row>
    <row r="48" spans="1:48" ht="20" customHeight="1">
      <c r="A48" s="5" t="s">
        <v>318</v>
      </c>
      <c r="B48" s="5">
        <v>11016622</v>
      </c>
      <c r="C48" s="5" t="s">
        <v>51</v>
      </c>
      <c r="D48" s="5" t="s">
        <v>52</v>
      </c>
      <c r="E48" s="5" t="s">
        <v>1414</v>
      </c>
      <c r="F48" s="5" t="s">
        <v>1404</v>
      </c>
      <c r="G48" s="5" t="s">
        <v>1405</v>
      </c>
      <c r="H48" s="6">
        <v>44013</v>
      </c>
      <c r="I48" s="5" t="s">
        <v>226</v>
      </c>
      <c r="J48" s="5" t="s">
        <v>226</v>
      </c>
      <c r="K48" s="5" t="s">
        <v>84</v>
      </c>
      <c r="L48" s="7">
        <v>2</v>
      </c>
      <c r="M48" s="7">
        <v>5</v>
      </c>
      <c r="N48" s="308">
        <v>7962</v>
      </c>
      <c r="O48" s="319">
        <v>0.04</v>
      </c>
      <c r="P48" s="310">
        <v>318</v>
      </c>
      <c r="Q48" s="319">
        <v>0</v>
      </c>
      <c r="R48" s="310">
        <v>0</v>
      </c>
      <c r="S48" s="319">
        <v>3.9939713639788994E-2</v>
      </c>
      <c r="T48" s="310">
        <v>318</v>
      </c>
      <c r="U48" s="310">
        <v>8280</v>
      </c>
      <c r="V48" s="311">
        <v>8300</v>
      </c>
      <c r="W48" s="312">
        <v>338</v>
      </c>
      <c r="X48" s="320">
        <v>4.2500000000000003E-2</v>
      </c>
      <c r="Y48" s="321" t="s">
        <v>2306</v>
      </c>
      <c r="Z48" s="315" t="s">
        <v>87</v>
      </c>
      <c r="AA48" s="315" t="s">
        <v>1407</v>
      </c>
      <c r="AB48" s="315" t="s">
        <v>139</v>
      </c>
      <c r="AC48" s="322">
        <v>0.11</v>
      </c>
      <c r="AD48" s="308">
        <v>876</v>
      </c>
      <c r="AE48" s="317">
        <v>9176</v>
      </c>
      <c r="AF48" s="18">
        <v>1214</v>
      </c>
      <c r="AG48" s="323">
        <v>0.15247425270032644</v>
      </c>
      <c r="AH48" s="20">
        <v>14</v>
      </c>
      <c r="AI48" s="20">
        <v>450</v>
      </c>
      <c r="AJ48" s="20"/>
      <c r="AK48" s="20">
        <v>688</v>
      </c>
      <c r="AL48" s="20">
        <v>134552</v>
      </c>
      <c r="AM48" s="7">
        <v>5</v>
      </c>
      <c r="AN48" s="20"/>
      <c r="AO48" s="21" t="s">
        <v>1408</v>
      </c>
      <c r="AP48" s="21" t="s">
        <v>239</v>
      </c>
      <c r="AQ48" s="5" t="s">
        <v>1406</v>
      </c>
      <c r="AR48" s="5" t="s">
        <v>164</v>
      </c>
      <c r="AS48" s="5" t="s">
        <v>218</v>
      </c>
      <c r="AT48" s="21"/>
      <c r="AU48" s="21" t="s">
        <v>2295</v>
      </c>
      <c r="AV48" s="307" t="s">
        <v>2295</v>
      </c>
    </row>
    <row r="49" spans="1:48" ht="20" customHeight="1">
      <c r="A49" s="5" t="s">
        <v>318</v>
      </c>
      <c r="B49" s="5">
        <v>1120346</v>
      </c>
      <c r="C49" s="5" t="s">
        <v>51</v>
      </c>
      <c r="D49" s="5" t="s">
        <v>52</v>
      </c>
      <c r="E49" s="5" t="s">
        <v>1414</v>
      </c>
      <c r="F49" s="5" t="s">
        <v>1415</v>
      </c>
      <c r="G49" s="5" t="s">
        <v>220</v>
      </c>
      <c r="H49" s="6">
        <v>44440</v>
      </c>
      <c r="I49" s="5" t="s">
        <v>82</v>
      </c>
      <c r="J49" s="5" t="s">
        <v>1417</v>
      </c>
      <c r="K49" s="5" t="s">
        <v>84</v>
      </c>
      <c r="L49" s="7">
        <v>2</v>
      </c>
      <c r="M49" s="7">
        <v>4</v>
      </c>
      <c r="N49" s="308">
        <v>9580</v>
      </c>
      <c r="O49" s="319">
        <v>3.7500000000000006E-2</v>
      </c>
      <c r="P49" s="310">
        <v>359</v>
      </c>
      <c r="Q49" s="319">
        <v>1.55E-2</v>
      </c>
      <c r="R49" s="310">
        <v>148</v>
      </c>
      <c r="S49" s="319">
        <v>5.2922755741127349E-2</v>
      </c>
      <c r="T49" s="310">
        <v>507</v>
      </c>
      <c r="U49" s="310">
        <v>10087</v>
      </c>
      <c r="V49" s="311">
        <v>10000</v>
      </c>
      <c r="W49" s="312">
        <v>420</v>
      </c>
      <c r="X49" s="320">
        <v>4.3799999999999999E-2</v>
      </c>
      <c r="Y49" s="321" t="s">
        <v>2307</v>
      </c>
      <c r="Z49" s="315" t="s">
        <v>87</v>
      </c>
      <c r="AA49" s="315" t="s">
        <v>74</v>
      </c>
      <c r="AB49" s="315" t="s">
        <v>139</v>
      </c>
      <c r="AC49" s="322">
        <v>9.2999999999999999E-2</v>
      </c>
      <c r="AD49" s="308">
        <v>891</v>
      </c>
      <c r="AE49" s="317">
        <v>10891</v>
      </c>
      <c r="AF49" s="18">
        <v>1311</v>
      </c>
      <c r="AG49" s="323">
        <v>0.13684759916492695</v>
      </c>
      <c r="AH49" s="20">
        <v>14</v>
      </c>
      <c r="AI49" s="20">
        <v>450</v>
      </c>
      <c r="AJ49" s="20"/>
      <c r="AK49" s="20">
        <v>688</v>
      </c>
      <c r="AL49" s="20">
        <v>158562</v>
      </c>
      <c r="AM49" s="7">
        <v>3</v>
      </c>
      <c r="AN49" s="20"/>
      <c r="AO49" s="21" t="s">
        <v>2016</v>
      </c>
      <c r="AP49" s="21" t="s">
        <v>239</v>
      </c>
      <c r="AQ49" s="5" t="s">
        <v>1413</v>
      </c>
      <c r="AR49" s="5" t="s">
        <v>164</v>
      </c>
      <c r="AS49" s="5" t="s">
        <v>218</v>
      </c>
      <c r="AT49" s="21"/>
      <c r="AU49" s="21" t="s">
        <v>2295</v>
      </c>
      <c r="AV49" s="144" t="s">
        <v>2295</v>
      </c>
    </row>
    <row r="50" spans="1:48" ht="20" customHeight="1">
      <c r="A50" s="5" t="s">
        <v>318</v>
      </c>
      <c r="B50" s="5">
        <v>15013014</v>
      </c>
      <c r="C50" s="5" t="s">
        <v>51</v>
      </c>
      <c r="D50" s="5" t="s">
        <v>52</v>
      </c>
      <c r="E50" s="5" t="s">
        <v>1414</v>
      </c>
      <c r="F50" s="5" t="s">
        <v>219</v>
      </c>
      <c r="G50" s="5" t="s">
        <v>220</v>
      </c>
      <c r="H50" s="6">
        <v>41766</v>
      </c>
      <c r="I50" s="5" t="s">
        <v>74</v>
      </c>
      <c r="J50" s="5" t="s">
        <v>236</v>
      </c>
      <c r="K50" s="5" t="s">
        <v>76</v>
      </c>
      <c r="L50" s="7">
        <v>2</v>
      </c>
      <c r="M50" s="7">
        <v>5</v>
      </c>
      <c r="N50" s="308">
        <v>12600</v>
      </c>
      <c r="O50" s="319">
        <v>0.05</v>
      </c>
      <c r="P50" s="310">
        <v>630</v>
      </c>
      <c r="Q50" s="319">
        <v>2.7E-2</v>
      </c>
      <c r="R50" s="310">
        <v>340</v>
      </c>
      <c r="S50" s="319">
        <v>7.6984126984126988E-2</v>
      </c>
      <c r="T50" s="310">
        <v>970</v>
      </c>
      <c r="U50" s="310">
        <v>13570</v>
      </c>
      <c r="V50" s="311">
        <v>13400</v>
      </c>
      <c r="W50" s="312">
        <v>800</v>
      </c>
      <c r="X50" s="320">
        <v>6.3500000000000001E-2</v>
      </c>
      <c r="Y50" s="321" t="s">
        <v>237</v>
      </c>
      <c r="Z50" s="315" t="s">
        <v>87</v>
      </c>
      <c r="AA50" s="315" t="s">
        <v>238</v>
      </c>
      <c r="AB50" s="315" t="s">
        <v>89</v>
      </c>
      <c r="AC50" s="322">
        <v>8.4000000000000005E-2</v>
      </c>
      <c r="AD50" s="308">
        <v>1058</v>
      </c>
      <c r="AE50" s="317">
        <v>14458</v>
      </c>
      <c r="AF50" s="18">
        <v>1858</v>
      </c>
      <c r="AG50" s="323">
        <v>0.14746031746031751</v>
      </c>
      <c r="AH50" s="20">
        <v>14</v>
      </c>
      <c r="AI50" s="20">
        <v>450</v>
      </c>
      <c r="AJ50" s="20"/>
      <c r="AK50" s="20">
        <v>688</v>
      </c>
      <c r="AL50" s="20">
        <v>208500</v>
      </c>
      <c r="AM50" s="7">
        <v>4</v>
      </c>
      <c r="AN50" s="20"/>
      <c r="AO50" s="21" t="s">
        <v>2019</v>
      </c>
      <c r="AP50" s="21" t="s">
        <v>239</v>
      </c>
      <c r="AQ50" s="5" t="s">
        <v>217</v>
      </c>
      <c r="AR50" s="5" t="s">
        <v>164</v>
      </c>
      <c r="AS50" s="5" t="s">
        <v>218</v>
      </c>
      <c r="AT50" s="21"/>
      <c r="AU50" s="287" t="s">
        <v>2295</v>
      </c>
      <c r="AV50" s="307" t="s">
        <v>2295</v>
      </c>
    </row>
    <row r="51" spans="1:48" ht="20" customHeight="1">
      <c r="A51" s="5" t="s">
        <v>318</v>
      </c>
      <c r="B51" s="5">
        <v>1116073</v>
      </c>
      <c r="C51" s="5" t="s">
        <v>51</v>
      </c>
      <c r="D51" s="5" t="s">
        <v>52</v>
      </c>
      <c r="E51" s="5" t="s">
        <v>2035</v>
      </c>
      <c r="F51" s="5" t="s">
        <v>2110</v>
      </c>
      <c r="G51" s="5" t="s">
        <v>2111</v>
      </c>
      <c r="H51" s="6">
        <v>38566</v>
      </c>
      <c r="I51" s="5" t="s">
        <v>82</v>
      </c>
      <c r="J51" s="5" t="s">
        <v>2144</v>
      </c>
      <c r="K51" s="5" t="s">
        <v>84</v>
      </c>
      <c r="L51" s="7">
        <v>2</v>
      </c>
      <c r="M51" s="7">
        <v>5</v>
      </c>
      <c r="N51" s="308">
        <v>8880</v>
      </c>
      <c r="O51" s="319">
        <v>0.05</v>
      </c>
      <c r="P51" s="310">
        <v>444</v>
      </c>
      <c r="Q51" s="319">
        <v>2.7E-2</v>
      </c>
      <c r="R51" s="310">
        <v>240</v>
      </c>
      <c r="S51" s="319">
        <v>7.7027027027027031E-2</v>
      </c>
      <c r="T51" s="310">
        <v>684</v>
      </c>
      <c r="U51" s="310">
        <v>9564</v>
      </c>
      <c r="V51" s="311">
        <v>10200</v>
      </c>
      <c r="W51" s="312">
        <v>1320</v>
      </c>
      <c r="X51" s="320">
        <v>0.14860000000000001</v>
      </c>
      <c r="Y51" s="321" t="s">
        <v>237</v>
      </c>
      <c r="Z51" s="315" t="s">
        <v>87</v>
      </c>
      <c r="AA51" s="315" t="s">
        <v>138</v>
      </c>
      <c r="AB51" s="315" t="s">
        <v>139</v>
      </c>
      <c r="AC51" s="322">
        <v>8.9700000000000002E-2</v>
      </c>
      <c r="AD51" s="308">
        <v>797</v>
      </c>
      <c r="AE51" s="317">
        <v>10997</v>
      </c>
      <c r="AF51" s="18">
        <v>2117</v>
      </c>
      <c r="AG51" s="323">
        <v>0.23840090090090094</v>
      </c>
      <c r="AH51" s="20">
        <v>14</v>
      </c>
      <c r="AI51" s="20">
        <v>450</v>
      </c>
      <c r="AJ51" s="20"/>
      <c r="AK51" s="20">
        <v>688</v>
      </c>
      <c r="AL51" s="20">
        <v>160046</v>
      </c>
      <c r="AM51" s="7">
        <v>4</v>
      </c>
      <c r="AN51" s="20"/>
      <c r="AO51" s="21" t="s">
        <v>2145</v>
      </c>
      <c r="AP51" s="21"/>
      <c r="AQ51" s="5" t="s">
        <v>2074</v>
      </c>
      <c r="AR51" s="5" t="s">
        <v>2075</v>
      </c>
      <c r="AS51" s="5" t="s">
        <v>247</v>
      </c>
      <c r="AT51" s="21"/>
      <c r="AU51" s="21" t="s">
        <v>2295</v>
      </c>
      <c r="AV51" s="144" t="s">
        <v>103</v>
      </c>
    </row>
    <row r="52" spans="1:48" ht="20" customHeight="1">
      <c r="A52" s="5" t="s">
        <v>318</v>
      </c>
      <c r="B52" s="5">
        <v>1705021</v>
      </c>
      <c r="C52" s="5" t="s">
        <v>51</v>
      </c>
      <c r="D52" s="5" t="s">
        <v>52</v>
      </c>
      <c r="E52" s="5" t="s">
        <v>2035</v>
      </c>
      <c r="F52" s="5" t="s">
        <v>2110</v>
      </c>
      <c r="G52" s="5" t="s">
        <v>2111</v>
      </c>
      <c r="H52" s="6">
        <v>39664</v>
      </c>
      <c r="I52" s="5" t="s">
        <v>74</v>
      </c>
      <c r="J52" s="5" t="s">
        <v>2159</v>
      </c>
      <c r="K52" s="5" t="s">
        <v>76</v>
      </c>
      <c r="L52" s="7">
        <v>2</v>
      </c>
      <c r="M52" s="7">
        <v>4</v>
      </c>
      <c r="N52" s="308">
        <v>11633</v>
      </c>
      <c r="O52" s="319">
        <v>3.7500000000000006E-2</v>
      </c>
      <c r="P52" s="310">
        <v>436</v>
      </c>
      <c r="Q52" s="319">
        <v>1.55E-2</v>
      </c>
      <c r="R52" s="310">
        <v>180</v>
      </c>
      <c r="S52" s="319">
        <v>5.295280667067824E-2</v>
      </c>
      <c r="T52" s="310">
        <v>616</v>
      </c>
      <c r="U52" s="310">
        <v>12249</v>
      </c>
      <c r="V52" s="311">
        <v>12800</v>
      </c>
      <c r="W52" s="312">
        <v>1167</v>
      </c>
      <c r="X52" s="320">
        <v>0.1003</v>
      </c>
      <c r="Y52" s="321" t="s">
        <v>2308</v>
      </c>
      <c r="Z52" s="315" t="s">
        <v>87</v>
      </c>
      <c r="AA52" s="315" t="s">
        <v>2160</v>
      </c>
      <c r="AB52" s="315" t="s">
        <v>89</v>
      </c>
      <c r="AC52" s="322">
        <v>0.05</v>
      </c>
      <c r="AD52" s="308">
        <v>582</v>
      </c>
      <c r="AE52" s="317">
        <v>13382</v>
      </c>
      <c r="AF52" s="18">
        <v>1749</v>
      </c>
      <c r="AG52" s="323">
        <v>0.15034814751138992</v>
      </c>
      <c r="AH52" s="20">
        <v>14</v>
      </c>
      <c r="AI52" s="20">
        <v>450</v>
      </c>
      <c r="AJ52" s="20"/>
      <c r="AK52" s="20">
        <v>688</v>
      </c>
      <c r="AL52" s="20">
        <v>193436</v>
      </c>
      <c r="AM52" s="7">
        <v>4</v>
      </c>
      <c r="AN52" s="20"/>
      <c r="AO52" s="21" t="s">
        <v>2161</v>
      </c>
      <c r="AP52" s="21"/>
      <c r="AQ52" s="5" t="s">
        <v>2074</v>
      </c>
      <c r="AR52" s="5" t="s">
        <v>2075</v>
      </c>
      <c r="AS52" s="5" t="s">
        <v>247</v>
      </c>
      <c r="AT52" s="21"/>
      <c r="AU52" s="21" t="s">
        <v>2295</v>
      </c>
      <c r="AV52" s="307" t="s">
        <v>103</v>
      </c>
    </row>
    <row r="53" spans="1:48" ht="20" customHeight="1">
      <c r="A53" s="5" t="s">
        <v>318</v>
      </c>
      <c r="B53" s="5">
        <v>1120158</v>
      </c>
      <c r="C53" s="5" t="s">
        <v>51</v>
      </c>
      <c r="D53" s="5" t="s">
        <v>52</v>
      </c>
      <c r="E53" s="5" t="s">
        <v>2035</v>
      </c>
      <c r="F53" s="5" t="s">
        <v>2170</v>
      </c>
      <c r="G53" s="5" t="s">
        <v>2171</v>
      </c>
      <c r="H53" s="6">
        <v>44179</v>
      </c>
      <c r="I53" s="5" t="s">
        <v>74</v>
      </c>
      <c r="J53" s="5" t="s">
        <v>135</v>
      </c>
      <c r="K53" s="5" t="s">
        <v>76</v>
      </c>
      <c r="L53" s="7">
        <v>2</v>
      </c>
      <c r="M53" s="7">
        <v>5</v>
      </c>
      <c r="N53" s="308">
        <v>16000</v>
      </c>
      <c r="O53" s="319">
        <v>0.04</v>
      </c>
      <c r="P53" s="310">
        <v>640</v>
      </c>
      <c r="Q53" s="319">
        <v>0</v>
      </c>
      <c r="R53" s="310">
        <v>0</v>
      </c>
      <c r="S53" s="319">
        <v>0.04</v>
      </c>
      <c r="T53" s="310">
        <v>640</v>
      </c>
      <c r="U53" s="310">
        <v>16640</v>
      </c>
      <c r="V53" s="311">
        <v>16200</v>
      </c>
      <c r="W53" s="312">
        <v>200</v>
      </c>
      <c r="X53" s="320">
        <v>1.2500000000000001E-2</v>
      </c>
      <c r="Y53" s="321" t="s">
        <v>261</v>
      </c>
      <c r="Z53" s="315" t="s">
        <v>87</v>
      </c>
      <c r="AA53" s="315" t="s">
        <v>2176</v>
      </c>
      <c r="AB53" s="315" t="s">
        <v>89</v>
      </c>
      <c r="AC53" s="322">
        <v>9.2999999999999999E-2</v>
      </c>
      <c r="AD53" s="308">
        <v>1488</v>
      </c>
      <c r="AE53" s="317">
        <v>17688</v>
      </c>
      <c r="AF53" s="18">
        <v>1688</v>
      </c>
      <c r="AG53" s="323">
        <v>0.10549999999999993</v>
      </c>
      <c r="AH53" s="20">
        <v>14</v>
      </c>
      <c r="AI53" s="20">
        <v>450</v>
      </c>
      <c r="AJ53" s="20"/>
      <c r="AK53" s="20">
        <v>688</v>
      </c>
      <c r="AL53" s="20">
        <v>253720</v>
      </c>
      <c r="AM53" s="7">
        <v>4</v>
      </c>
      <c r="AN53" s="20"/>
      <c r="AO53" s="21" t="s">
        <v>2177</v>
      </c>
      <c r="AP53" s="21"/>
      <c r="AQ53" s="5" t="s">
        <v>2172</v>
      </c>
      <c r="AR53" s="5" t="s">
        <v>58</v>
      </c>
      <c r="AS53" s="5" t="s">
        <v>247</v>
      </c>
      <c r="AT53" s="21"/>
      <c r="AU53" s="287" t="s">
        <v>2295</v>
      </c>
      <c r="AV53" s="144" t="s">
        <v>129</v>
      </c>
    </row>
    <row r="54" spans="1:48" ht="20" customHeight="1">
      <c r="A54" s="5" t="s">
        <v>318</v>
      </c>
      <c r="B54" s="5">
        <v>1120255</v>
      </c>
      <c r="C54" s="5" t="s">
        <v>51</v>
      </c>
      <c r="D54" s="5" t="s">
        <v>52</v>
      </c>
      <c r="E54" s="5" t="s">
        <v>2035</v>
      </c>
      <c r="F54" s="5" t="s">
        <v>2206</v>
      </c>
      <c r="G54" s="5" t="s">
        <v>161</v>
      </c>
      <c r="H54" s="6">
        <v>44010</v>
      </c>
      <c r="I54" s="5" t="s">
        <v>82</v>
      </c>
      <c r="J54" s="5" t="s">
        <v>2208</v>
      </c>
      <c r="K54" s="5" t="s">
        <v>84</v>
      </c>
      <c r="L54" s="7">
        <v>2</v>
      </c>
      <c r="M54" s="7">
        <v>4</v>
      </c>
      <c r="N54" s="308">
        <v>9207</v>
      </c>
      <c r="O54" s="319">
        <v>3.7500000000000006E-2</v>
      </c>
      <c r="P54" s="310">
        <v>345</v>
      </c>
      <c r="Q54" s="319">
        <v>1.55E-2</v>
      </c>
      <c r="R54" s="310">
        <v>143</v>
      </c>
      <c r="S54" s="319">
        <v>5.3003149777343328E-2</v>
      </c>
      <c r="T54" s="310">
        <v>488</v>
      </c>
      <c r="U54" s="310">
        <v>9695</v>
      </c>
      <c r="V54" s="311">
        <v>9559</v>
      </c>
      <c r="W54" s="312">
        <v>352</v>
      </c>
      <c r="X54" s="320">
        <v>3.8199999999999998E-2</v>
      </c>
      <c r="Y54" s="321" t="s">
        <v>222</v>
      </c>
      <c r="Z54" s="315" t="s">
        <v>87</v>
      </c>
      <c r="AA54" s="315" t="s">
        <v>74</v>
      </c>
      <c r="AB54" s="315" t="s">
        <v>139</v>
      </c>
      <c r="AC54" s="322">
        <v>7.4999999999999997E-2</v>
      </c>
      <c r="AD54" s="308">
        <v>691</v>
      </c>
      <c r="AE54" s="317">
        <v>10250</v>
      </c>
      <c r="AF54" s="18">
        <v>1043</v>
      </c>
      <c r="AG54" s="323">
        <v>0.11328337134788757</v>
      </c>
      <c r="AH54" s="20">
        <v>14</v>
      </c>
      <c r="AI54" s="20">
        <v>450</v>
      </c>
      <c r="AJ54" s="20"/>
      <c r="AK54" s="20">
        <v>688</v>
      </c>
      <c r="AL54" s="20">
        <v>149588</v>
      </c>
      <c r="AM54" s="7">
        <v>3</v>
      </c>
      <c r="AN54" s="20"/>
      <c r="AO54" s="21"/>
      <c r="AP54" s="21" t="s">
        <v>90</v>
      </c>
      <c r="AQ54" s="5" t="s">
        <v>2201</v>
      </c>
      <c r="AR54" s="5" t="s">
        <v>2202</v>
      </c>
      <c r="AS54" s="5" t="s">
        <v>247</v>
      </c>
      <c r="AT54" s="21"/>
      <c r="AU54" s="21" t="s">
        <v>2295</v>
      </c>
      <c r="AV54" s="307" t="s">
        <v>2295</v>
      </c>
    </row>
    <row r="55" spans="1:48" ht="20" customHeight="1">
      <c r="A55" s="5" t="s">
        <v>318</v>
      </c>
      <c r="B55" s="5">
        <v>1120264</v>
      </c>
      <c r="C55" s="5" t="s">
        <v>51</v>
      </c>
      <c r="D55" s="5" t="s">
        <v>52</v>
      </c>
      <c r="E55" s="5" t="s">
        <v>2035</v>
      </c>
      <c r="F55" s="5" t="s">
        <v>2206</v>
      </c>
      <c r="G55" s="5" t="s">
        <v>161</v>
      </c>
      <c r="H55" s="6">
        <v>44075</v>
      </c>
      <c r="I55" s="5" t="s">
        <v>74</v>
      </c>
      <c r="J55" s="5" t="s">
        <v>2209</v>
      </c>
      <c r="K55" s="5" t="s">
        <v>76</v>
      </c>
      <c r="L55" s="7">
        <v>2</v>
      </c>
      <c r="M55" s="7">
        <v>4</v>
      </c>
      <c r="N55" s="308">
        <v>11125</v>
      </c>
      <c r="O55" s="319">
        <v>4.4999999999999998E-2</v>
      </c>
      <c r="P55" s="310">
        <v>501</v>
      </c>
      <c r="Q55" s="319">
        <v>1.55E-2</v>
      </c>
      <c r="R55" s="310">
        <v>172</v>
      </c>
      <c r="S55" s="319">
        <v>6.0494382022471913E-2</v>
      </c>
      <c r="T55" s="310">
        <v>673</v>
      </c>
      <c r="U55" s="310">
        <v>11798</v>
      </c>
      <c r="V55" s="311">
        <v>11666</v>
      </c>
      <c r="W55" s="312">
        <v>541</v>
      </c>
      <c r="X55" s="320">
        <v>4.8599999999999997E-2</v>
      </c>
      <c r="Y55" s="321" t="s">
        <v>2304</v>
      </c>
      <c r="Z55" s="315" t="s">
        <v>87</v>
      </c>
      <c r="AA55" s="315" t="s">
        <v>238</v>
      </c>
      <c r="AB55" s="315" t="s">
        <v>89</v>
      </c>
      <c r="AC55" s="322">
        <v>7.4999999999999997E-2</v>
      </c>
      <c r="AD55" s="308">
        <v>834</v>
      </c>
      <c r="AE55" s="317">
        <v>12500</v>
      </c>
      <c r="AF55" s="18">
        <v>1375</v>
      </c>
      <c r="AG55" s="323">
        <v>0.12359550561797761</v>
      </c>
      <c r="AH55" s="20">
        <v>14</v>
      </c>
      <c r="AI55" s="20">
        <v>450</v>
      </c>
      <c r="AJ55" s="20"/>
      <c r="AK55" s="20">
        <v>688</v>
      </c>
      <c r="AL55" s="20">
        <v>181088</v>
      </c>
      <c r="AM55" s="7">
        <v>5</v>
      </c>
      <c r="AN55" s="20"/>
      <c r="AO55" s="21"/>
      <c r="AP55" s="21" t="s">
        <v>90</v>
      </c>
      <c r="AQ55" s="5" t="s">
        <v>2201</v>
      </c>
      <c r="AR55" s="5" t="s">
        <v>2202</v>
      </c>
      <c r="AS55" s="5" t="s">
        <v>247</v>
      </c>
      <c r="AT55" s="21"/>
      <c r="AU55" s="21" t="s">
        <v>2295</v>
      </c>
      <c r="AV55" s="144" t="s">
        <v>2295</v>
      </c>
    </row>
    <row r="56" spans="1:48" ht="20" customHeight="1">
      <c r="A56" s="5" t="s">
        <v>318</v>
      </c>
      <c r="B56" s="5">
        <v>1230108</v>
      </c>
      <c r="C56" s="5" t="s">
        <v>51</v>
      </c>
      <c r="D56" s="5" t="s">
        <v>52</v>
      </c>
      <c r="E56" s="5" t="s">
        <v>319</v>
      </c>
      <c r="F56" s="5" t="s">
        <v>2225</v>
      </c>
      <c r="G56" s="5" t="s">
        <v>2224</v>
      </c>
      <c r="H56" s="6">
        <v>42877</v>
      </c>
      <c r="I56" s="5" t="s">
        <v>250</v>
      </c>
      <c r="J56" s="5" t="s">
        <v>251</v>
      </c>
      <c r="K56" s="5" t="s">
        <v>76</v>
      </c>
      <c r="L56" s="7">
        <v>2</v>
      </c>
      <c r="M56" s="7">
        <v>4</v>
      </c>
      <c r="N56" s="308">
        <v>9451</v>
      </c>
      <c r="O56" s="319">
        <v>4.4999999999999998E-2</v>
      </c>
      <c r="P56" s="310">
        <v>425</v>
      </c>
      <c r="Q56" s="319">
        <v>4.2099999999999999E-2</v>
      </c>
      <c r="R56" s="310">
        <v>398</v>
      </c>
      <c r="S56" s="319">
        <v>8.7080732197651042E-2</v>
      </c>
      <c r="T56" s="310">
        <v>823</v>
      </c>
      <c r="U56" s="310">
        <v>10274</v>
      </c>
      <c r="V56" s="311">
        <v>10110</v>
      </c>
      <c r="W56" s="312">
        <v>659</v>
      </c>
      <c r="X56" s="320">
        <v>6.9699999999999998E-2</v>
      </c>
      <c r="Y56" s="321" t="s">
        <v>264</v>
      </c>
      <c r="Z56" s="315" t="s">
        <v>87</v>
      </c>
      <c r="AA56" s="315" t="s">
        <v>2228</v>
      </c>
      <c r="AB56" s="315" t="s">
        <v>89</v>
      </c>
      <c r="AC56" s="322">
        <v>0.05</v>
      </c>
      <c r="AD56" s="308">
        <v>473</v>
      </c>
      <c r="AE56" s="317">
        <v>10583</v>
      </c>
      <c r="AF56" s="18">
        <v>1132</v>
      </c>
      <c r="AG56" s="323">
        <v>0.11977568511268655</v>
      </c>
      <c r="AH56" s="20">
        <v>14</v>
      </c>
      <c r="AI56" s="20">
        <v>450</v>
      </c>
      <c r="AJ56" s="20"/>
      <c r="AK56" s="20">
        <v>688</v>
      </c>
      <c r="AL56" s="20">
        <v>154250</v>
      </c>
      <c r="AM56" s="7">
        <v>4</v>
      </c>
      <c r="AN56" s="20"/>
      <c r="AO56" s="22" t="s">
        <v>2229</v>
      </c>
      <c r="AP56" s="21"/>
      <c r="AQ56" s="5" t="s">
        <v>245</v>
      </c>
      <c r="AR56" s="5" t="s">
        <v>246</v>
      </c>
      <c r="AS56" s="5" t="s">
        <v>247</v>
      </c>
      <c r="AT56" s="21"/>
      <c r="AU56" s="21" t="s">
        <v>2295</v>
      </c>
      <c r="AV56" s="307" t="s">
        <v>2295</v>
      </c>
    </row>
    <row r="57" spans="1:48" ht="20" customHeight="1">
      <c r="A57" s="5" t="s">
        <v>318</v>
      </c>
      <c r="B57" s="5">
        <v>11008282</v>
      </c>
      <c r="C57" s="5" t="s">
        <v>51</v>
      </c>
      <c r="D57" s="5" t="s">
        <v>52</v>
      </c>
      <c r="E57" s="5" t="s">
        <v>319</v>
      </c>
      <c r="F57" s="5" t="s">
        <v>2241</v>
      </c>
      <c r="G57" s="5" t="s">
        <v>2242</v>
      </c>
      <c r="H57" s="6">
        <v>40843</v>
      </c>
      <c r="I57" s="5" t="s">
        <v>250</v>
      </c>
      <c r="J57" s="5" t="s">
        <v>2266</v>
      </c>
      <c r="K57" s="5" t="s">
        <v>76</v>
      </c>
      <c r="L57" s="7">
        <v>2</v>
      </c>
      <c r="M57" s="7">
        <v>4</v>
      </c>
      <c r="N57" s="308">
        <v>10500</v>
      </c>
      <c r="O57" s="319">
        <v>3.7500000000000006E-2</v>
      </c>
      <c r="P57" s="310">
        <v>394</v>
      </c>
      <c r="Q57" s="319">
        <v>1.55E-2</v>
      </c>
      <c r="R57" s="310">
        <v>163</v>
      </c>
      <c r="S57" s="319">
        <v>5.3047619047619045E-2</v>
      </c>
      <c r="T57" s="310">
        <v>557</v>
      </c>
      <c r="U57" s="310">
        <v>11057</v>
      </c>
      <c r="V57" s="311">
        <v>10950</v>
      </c>
      <c r="W57" s="312">
        <v>450</v>
      </c>
      <c r="X57" s="320">
        <v>4.2900000000000001E-2</v>
      </c>
      <c r="Y57" s="321" t="s">
        <v>2299</v>
      </c>
      <c r="Z57" s="315" t="s">
        <v>87</v>
      </c>
      <c r="AA57" s="315" t="s">
        <v>60</v>
      </c>
      <c r="AB57" s="315" t="s">
        <v>89</v>
      </c>
      <c r="AC57" s="322">
        <v>0.05</v>
      </c>
      <c r="AD57" s="308">
        <v>525</v>
      </c>
      <c r="AE57" s="317">
        <v>11475</v>
      </c>
      <c r="AF57" s="18">
        <v>975</v>
      </c>
      <c r="AG57" s="323">
        <v>9.2857142857142749E-2</v>
      </c>
      <c r="AH57" s="20">
        <v>14</v>
      </c>
      <c r="AI57" s="20">
        <v>450</v>
      </c>
      <c r="AJ57" s="20"/>
      <c r="AK57" s="20">
        <v>688</v>
      </c>
      <c r="AL57" s="20">
        <v>166738</v>
      </c>
      <c r="AM57" s="7">
        <v>4</v>
      </c>
      <c r="AN57" s="20"/>
      <c r="AO57" s="21" t="s">
        <v>2267</v>
      </c>
      <c r="AP57" s="21"/>
      <c r="AQ57" s="5" t="s">
        <v>2265</v>
      </c>
      <c r="AR57" s="5" t="s">
        <v>246</v>
      </c>
      <c r="AS57" s="5" t="s">
        <v>247</v>
      </c>
      <c r="AT57" s="21" t="s">
        <v>2268</v>
      </c>
      <c r="AU57" s="21" t="s">
        <v>2295</v>
      </c>
      <c r="AV57" s="144" t="s">
        <v>2295</v>
      </c>
    </row>
    <row r="58" spans="1:48" ht="20" customHeight="1">
      <c r="A58" s="5" t="s">
        <v>318</v>
      </c>
      <c r="B58" s="5">
        <v>1120312</v>
      </c>
      <c r="C58" s="5" t="s">
        <v>51</v>
      </c>
      <c r="D58" s="5" t="s">
        <v>52</v>
      </c>
      <c r="E58" s="5" t="s">
        <v>319</v>
      </c>
      <c r="F58" s="5" t="s">
        <v>2269</v>
      </c>
      <c r="G58" s="5" t="s">
        <v>2270</v>
      </c>
      <c r="H58" s="6">
        <v>44314</v>
      </c>
      <c r="I58" s="5" t="s">
        <v>82</v>
      </c>
      <c r="J58" s="5" t="s">
        <v>2274</v>
      </c>
      <c r="K58" s="5" t="s">
        <v>84</v>
      </c>
      <c r="L58" s="7">
        <v>2</v>
      </c>
      <c r="M58" s="7">
        <v>5</v>
      </c>
      <c r="N58" s="308">
        <v>10600</v>
      </c>
      <c r="O58" s="319">
        <v>0.03</v>
      </c>
      <c r="P58" s="310">
        <v>318</v>
      </c>
      <c r="Q58" s="319">
        <v>0</v>
      </c>
      <c r="R58" s="310">
        <v>0</v>
      </c>
      <c r="S58" s="319">
        <v>0.03</v>
      </c>
      <c r="T58" s="310">
        <v>318</v>
      </c>
      <c r="U58" s="310">
        <v>10918</v>
      </c>
      <c r="V58" s="311">
        <v>10750</v>
      </c>
      <c r="W58" s="312">
        <v>150</v>
      </c>
      <c r="X58" s="320">
        <v>1.4200000000000001E-2</v>
      </c>
      <c r="Y58" s="321" t="s">
        <v>233</v>
      </c>
      <c r="Z58" s="315" t="s">
        <v>87</v>
      </c>
      <c r="AA58" s="315" t="s">
        <v>74</v>
      </c>
      <c r="AB58" s="315" t="s">
        <v>139</v>
      </c>
      <c r="AC58" s="322">
        <v>7.0000000000000007E-2</v>
      </c>
      <c r="AD58" s="308">
        <v>742</v>
      </c>
      <c r="AE58" s="317">
        <v>11492</v>
      </c>
      <c r="AF58" s="18">
        <v>892</v>
      </c>
      <c r="AG58" s="323">
        <v>8.4150943396226419E-2</v>
      </c>
      <c r="AH58" s="20">
        <v>14</v>
      </c>
      <c r="AI58" s="20">
        <v>850</v>
      </c>
      <c r="AJ58" s="20"/>
      <c r="AK58" s="20">
        <v>688</v>
      </c>
      <c r="AL58" s="20">
        <v>171776</v>
      </c>
      <c r="AM58" s="7">
        <v>3</v>
      </c>
      <c r="AN58" s="20"/>
      <c r="AO58" s="21" t="s">
        <v>173</v>
      </c>
      <c r="AP58" s="21" t="s">
        <v>173</v>
      </c>
      <c r="AQ58" s="5" t="s">
        <v>290</v>
      </c>
      <c r="AR58" s="5" t="s">
        <v>246</v>
      </c>
      <c r="AS58" s="5" t="s">
        <v>218</v>
      </c>
      <c r="AT58" s="21" t="s">
        <v>2275</v>
      </c>
      <c r="AU58" s="21" t="s">
        <v>2295</v>
      </c>
      <c r="AV58" s="307" t="s">
        <v>129</v>
      </c>
    </row>
    <row r="59" spans="1:48" ht="20" customHeight="1">
      <c r="A59" s="5" t="s">
        <v>318</v>
      </c>
      <c r="B59" s="5">
        <v>1132015</v>
      </c>
      <c r="C59" s="5" t="s">
        <v>51</v>
      </c>
      <c r="D59" s="5" t="s">
        <v>52</v>
      </c>
      <c r="E59" s="5" t="s">
        <v>2035</v>
      </c>
      <c r="F59" s="5" t="s">
        <v>2116</v>
      </c>
      <c r="G59" s="5" t="s">
        <v>2117</v>
      </c>
      <c r="H59" s="6">
        <v>34182</v>
      </c>
      <c r="I59" s="5" t="s">
        <v>82</v>
      </c>
      <c r="J59" s="5" t="s">
        <v>2135</v>
      </c>
      <c r="K59" s="5" t="s">
        <v>84</v>
      </c>
      <c r="L59" s="7">
        <v>2</v>
      </c>
      <c r="M59" s="7">
        <v>1</v>
      </c>
      <c r="N59" s="308">
        <v>8937</v>
      </c>
      <c r="O59" s="319">
        <v>0</v>
      </c>
      <c r="P59" s="310">
        <v>0</v>
      </c>
      <c r="Q59" s="319">
        <v>0</v>
      </c>
      <c r="R59" s="310">
        <v>0</v>
      </c>
      <c r="S59" s="319">
        <v>0</v>
      </c>
      <c r="T59" s="310">
        <v>0</v>
      </c>
      <c r="U59" s="310">
        <v>8937</v>
      </c>
      <c r="V59" s="311">
        <v>8740</v>
      </c>
      <c r="W59" s="312">
        <v>-197</v>
      </c>
      <c r="X59" s="320">
        <v>-2.1999999999999999E-2</v>
      </c>
      <c r="Y59" s="321" t="s">
        <v>225</v>
      </c>
      <c r="Z59" s="315" t="s">
        <v>2136</v>
      </c>
      <c r="AA59" s="315" t="s">
        <v>2137</v>
      </c>
      <c r="AB59" s="315" t="s">
        <v>2138</v>
      </c>
      <c r="AC59" s="322"/>
      <c r="AD59" s="308">
        <v>0</v>
      </c>
      <c r="AE59" s="317">
        <v>8740</v>
      </c>
      <c r="AF59" s="18">
        <v>-197</v>
      </c>
      <c r="AG59" s="323">
        <v>-2.2043191227481218E-2</v>
      </c>
      <c r="AH59" s="20">
        <v>14</v>
      </c>
      <c r="AI59" s="20">
        <v>450</v>
      </c>
      <c r="AJ59" s="20"/>
      <c r="AK59" s="20">
        <v>688</v>
      </c>
      <c r="AL59" s="20">
        <v>128448</v>
      </c>
      <c r="AM59" s="7">
        <v>1</v>
      </c>
      <c r="AN59" s="20"/>
      <c r="AO59" s="21" t="s">
        <v>2136</v>
      </c>
      <c r="AP59" s="21" t="s">
        <v>2139</v>
      </c>
      <c r="AQ59" s="5" t="s">
        <v>2074</v>
      </c>
      <c r="AR59" s="5" t="s">
        <v>2075</v>
      </c>
      <c r="AS59" s="5" t="s">
        <v>247</v>
      </c>
      <c r="AT59" s="21"/>
      <c r="AU59" s="287" t="s">
        <v>2136</v>
      </c>
      <c r="AV59" s="331" t="s">
        <v>129</v>
      </c>
    </row>
  </sheetData>
  <protectedRanges>
    <protectedRange sqref="Z6:AC6 V6" name="Green_10_1"/>
    <protectedRange sqref="V10:V11 Z10:AC11 AO10:AP11" name="Green_6"/>
    <protectedRange sqref="AT10:AT11" name="Green_6_1"/>
    <protectedRange sqref="V12 Z12:AC12 AO12:AP12" name="Green_6_2"/>
    <protectedRange sqref="AT12" name="Green_6_3"/>
    <protectedRange sqref="AO13:AP13 V13 Z13:AC13" name="Green_1_3"/>
    <protectedRange sqref="AT13" name="Green_1_3_1"/>
    <protectedRange sqref="AO14:AP14 V14 Z14:AC14" name="Green_2_2"/>
    <protectedRange sqref="AT14" name="Green_2_2_1"/>
    <protectedRange sqref="AO15:AP15 Z15:AC15 V15" name="Green_3_2"/>
    <protectedRange sqref="AT15:AU15" name="Green_3_2_1"/>
    <protectedRange sqref="AO16:AP16 Z16:AC16 V16" name="Green_3_2_2"/>
    <protectedRange sqref="AT16" name="Green_3_2_3"/>
    <protectedRange sqref="V17 AO17:AP17 Z17:AC17" name="Green_4_3"/>
    <protectedRange sqref="AT17" name="Green_4_3_1"/>
    <protectedRange sqref="V18 AO18:AP18 Z18:AC18" name="Green_4_3_2"/>
    <protectedRange sqref="AT18" name="Green_4_3_3"/>
    <protectedRange sqref="V19 AO19:AP19 Z19:AC19" name="Green_4_3_4"/>
    <protectedRange sqref="AT19" name="Green_4_3_5"/>
    <protectedRange sqref="V20 AO20:AP20 Z20:AC20" name="Green_4_3_6"/>
    <protectedRange sqref="AT20" name="Green_4_3_7"/>
    <protectedRange sqref="V21 AO21:AP21 Z21:AC21" name="Green_4_3_8"/>
    <protectedRange sqref="AT21:AU21" name="Green_4_3_9"/>
    <protectedRange sqref="AO22:AP22 Z22:AC22 V22" name="Green_5_2"/>
    <protectedRange sqref="AT22:AU22" name="Green_5_2_1"/>
    <protectedRange sqref="AO23:AP23 Z23:AC23 V23" name="Green_2_1"/>
    <protectedRange sqref="AO24:AP24 Z24:AC24 V24" name="Green_2_1_1"/>
    <protectedRange sqref="V25 Z25:AC25 AO25:AP25" name="Green_4_1"/>
    <protectedRange sqref="V26 Z26:AC26 AO26:AP26" name="Green_4_1_1"/>
    <protectedRange sqref="V27 Z27:AC27 AO27:AP27" name="Green_4_1_2"/>
    <protectedRange sqref="V28 Z28:AC28 AO28:AP28" name="Green_4_1_3"/>
    <protectedRange sqref="V29 Z29:AC29 AO29:AP29" name="Green_4_1_4"/>
    <protectedRange sqref="V30 Z30:AC30 AO30:AP30" name="Green_4_1_5"/>
    <protectedRange sqref="AO31:AP31 Z31:AC31 V31" name="Green_9"/>
    <protectedRange sqref="AO32:AP32 Z32:AC32 V32" name="Green_10"/>
    <protectedRange sqref="AO33:AP33 Z33:AC33 V33" name="Green_11"/>
    <protectedRange sqref="AO34:AP34 Z34:AC34 V34" name="Green_11_1"/>
    <protectedRange sqref="AO35:AP35 Z35:AC35 V35" name="Green_12"/>
    <protectedRange sqref="AO36:AP36 Z36:AC36 V36" name="Green_12_1"/>
    <protectedRange sqref="AO37:AP37 Z37:AC37 V37" name="Green_12_2"/>
    <protectedRange sqref="AO38:AP38 Z38:AC38 V38" name="Green_12_3"/>
    <protectedRange sqref="AO39:AP39 Z39:AC39 V39" name="Green_12_4"/>
    <protectedRange sqref="AO40:AP40 Z40:AC40 V40" name="Green_12_5"/>
    <protectedRange sqref="AO41:AP41 Z41:AC41 V41" name="Green_12_6"/>
    <protectedRange sqref="AO42:AP42 Z42:AC42 V42" name="Green_14"/>
    <protectedRange sqref="AT42:AU42" name="Green_14_1"/>
    <protectedRange sqref="AO43:AP43 Z43:AC43 V43" name="Green_5"/>
    <protectedRange sqref="AO44:AP44 Z44:AC44 V44" name="Green_5_1"/>
    <protectedRange sqref="AO45:AP45 Z45:AC45 V45" name="Green_5_3"/>
    <protectedRange sqref="AO46:AP46 Z46:AC46 V46" name="Green_1_2"/>
    <protectedRange sqref="AT46:AU46" name="Green_1_2_1"/>
    <protectedRange sqref="V47 Z47:AC47 AO47:AP47" name="Green_3_4"/>
    <protectedRange sqref="AT47:AU47" name="Green_3_4_1"/>
    <protectedRange sqref="AO48:AP48 Z48:AC48 V48" name="Green_4_4"/>
    <protectedRange sqref="AT48:AU48" name="Green_4_4_1"/>
    <protectedRange sqref="V49 Z49:AC49 AO49:AP49" name="Green_3_1_1"/>
    <protectedRange sqref="AT49:AU49" name="Green_3_1_1_1"/>
    <protectedRange sqref="AO50:AP50 Z50:AC50 V50" name="Green_5_1_1"/>
    <protectedRange sqref="AT50" name="Green_5_1_2"/>
    <protectedRange sqref="AO51:AP51 Z51:AC51 V51" name="Green_5_1_3"/>
    <protectedRange sqref="AT51:AU51" name="Green_5_1_4"/>
    <protectedRange sqref="AO52:AP52 Z52:AC52 V52" name="Green_7_1"/>
    <protectedRange sqref="AT52:AU52" name="Green_7_1_1"/>
    <protectedRange sqref="AO53:AP54 Z53:AC54 V53:V54" name="Green_9_1"/>
    <protectedRange sqref="AT54:AU54 AT53" name="Green_9_1_1"/>
    <protectedRange sqref="AO55:AP55 Z55:AC55 V55" name="Green_8_1"/>
    <protectedRange sqref="AT55:AU55" name="Green_8_1_1"/>
    <protectedRange sqref="AO56:AP56 Z56:AC56 V56" name="Green_8_1_2"/>
    <protectedRange sqref="AT56:AU56" name="Green_8_1_3"/>
    <protectedRange sqref="AO57:AP57 Z57:AC57 V57" name="Green_3_2_1_1"/>
    <protectedRange sqref="AT57:AU57" name="Green_3_2_1_2"/>
    <protectedRange sqref="AO58:AP58 Z58:AC58 V58" name="Green_4_2_1"/>
    <protectedRange sqref="AT58:AU58" name="Green_4_2_1_1"/>
    <protectedRange sqref="Z59 AC59 AP59" name="Green_7_1_1_1"/>
    <protectedRange sqref="V59" name="Green_8_1_1_1"/>
    <protectedRange sqref="AA59:AB59" name="Green_9_1_1_1"/>
    <protectedRange sqref="AO59" name="Green_10_2"/>
    <protectedRange sqref="AT59" name="Green_7_1_1_2"/>
  </protectedRanges>
  <autoFilter ref="A2:AV59" xr:uid="{95CC38BF-2F7F-4506-8F47-D6E5F3D560CB}">
    <sortState xmlns:xlrd2="http://schemas.microsoft.com/office/spreadsheetml/2017/richdata2" ref="A3:AV59">
      <sortCondition descending="1" ref="AU2:AU59"/>
    </sortState>
  </autoFilter>
  <conditionalFormatting sqref="X3:X8">
    <cfRule type="expression" dxfId="50" priority="23">
      <formula>IF(OR($L3=1,$L3=2,$L3=4),     OR($X3&lt;--LEFT($Y3,FIND("-",$Y3)-1),$X3&gt;--RIGHT($Y3,LEN($Y3)-FIND("-",$Y3))),     OR($X3=0,        $X3&lt;--LEFT($Y3,FIND("-",$Y3)-1),        $X3&gt;--RIGHT($Y3,LEN($Y3)-FIND("-",$Y3))) )</formula>
    </cfRule>
  </conditionalFormatting>
  <conditionalFormatting sqref="X10:X24">
    <cfRule type="expression" dxfId="49" priority="21">
      <formula>IF(OR($L10=1,$L10=2,$L10=4),     OR($X10&lt;--LEFT($Y10,FIND("-",$Y10)-1),$X10&gt;--RIGHT($Y10,LEN($Y10)-FIND("-",$Y10))),     OR($X10=0,        $X10&lt;--LEFT($Y10,FIND("-",$Y10)-1),        $X10&gt;--RIGHT($Y10,LEN($Y10)-FIND("-",$Y10))) )</formula>
    </cfRule>
  </conditionalFormatting>
  <conditionalFormatting sqref="X25:X30">
    <cfRule type="expression" dxfId="48" priority="18">
      <formula>IF(OR(#REF!=1,#REF!=2,#REF!=4),OR(#REF!&lt;--LEFT(#REF!,FIND("-",#REF!)-1),#REF!&gt;--RIGHT(#REF!,LEN(#REF!)-FIND("-",#REF!))),OR(#REF!=0,#REF!&lt;--LEFT(#REF!,FIND("-",#REF!)-1),#REF!&gt;--RIGHT(#REF!,LEN(#REF!)-FIND("-",#REF!))))</formula>
    </cfRule>
  </conditionalFormatting>
  <conditionalFormatting sqref="X31:X59">
    <cfRule type="expression" dxfId="47" priority="3">
      <formula>IF(OR($L31=1,$L31=2,$L31=4),     OR($X31&lt;--LEFT($Y31,FIND("-",$Y31)-1),$X31&gt;--RIGHT($Y31,LEN($Y31)-FIND("-",$Y31))),     OR($X31=0,        $X31&lt;--LEFT($Y31,FIND("-",$Y31)-1),        $X31&gt;--RIGHT($Y31,LEN($Y31)-FIND("-",$Y31))) )</formula>
    </cfRule>
  </conditionalFormatting>
  <conditionalFormatting sqref="X33">
    <cfRule type="expression" dxfId="46" priority="16">
      <formula>IF(OR($L27=1,$L27=2,$L27=4),OR($X27&lt;--LEFT($Y27,FIND("-",$Y27)-1),$X27&gt;--RIGHT($Y27,LEN($Y27)-FIND("-",$Y27))),OR($X27=0,$X27&lt;--LEFT($Y27,FIND("-",$Y27)-1),$X27&gt;--RIGHT($Y27,LEN($Y27)-FIND("-",$Y27))))</formula>
    </cfRule>
  </conditionalFormatting>
  <conditionalFormatting sqref="X34">
    <cfRule type="expression" dxfId="45" priority="15">
      <formula>IF(OR($L23=1,$L23=2,$L23=4),OR($X23&lt;--LEFT($Y23,FIND("-",$Y23)-1),$X23&gt;--RIGHT($Y23,LEN($Y23)-FIND("-",$Y23))),OR($X23=0,$X23&lt;--LEFT($Y23,FIND("-",$Y23)-1),$X23&gt;--RIGHT($Y23,LEN($Y23)-FIND("-",$Y23))))</formula>
    </cfRule>
  </conditionalFormatting>
  <conditionalFormatting sqref="X35">
    <cfRule type="expression" dxfId="44" priority="14">
      <formula>IF(OR($L5=1,$L5=2,$L5=4),OR($X5&lt;--LEFT($Y5,FIND("-",$Y5)-1),$X5&gt;--RIGHT($Y5,LEN($Y5)-FIND("-",$Y5))),OR($X5=0,$X5&lt;--LEFT($Y5,FIND("-",$Y5)-1),$X5&gt;--RIGHT($Y5,LEN($Y5)-FIND("-",$Y5))))</formula>
    </cfRule>
  </conditionalFormatting>
  <conditionalFormatting sqref="X36">
    <cfRule type="expression" dxfId="43" priority="13">
      <formula>IF(OR($L1048576=1,$L1048576=2,$L1048576=4),OR($X1048576&lt;--LEFT($Y1048576,FIND("-",$Y1048576)-1),$X1048576&gt;--RIGHT($Y1048576,LEN($Y1048576)-FIND("-",$Y1048576))),OR($X1048576=0,$X1048576&lt;--LEFT($Y1048576,FIND("-",$Y1048576)-1),$X1048576&gt;--RIGHT($Y1048576,LEN($Y1048576)-FIND("-",$Y1048576))))</formula>
    </cfRule>
  </conditionalFormatting>
  <conditionalFormatting sqref="X37">
    <cfRule type="expression" dxfId="42" priority="12">
      <formula>IF(OR($L1048564=1,$L1048564=2,$L1048564=4),OR($X1048564&lt;--LEFT($Y1048564,FIND("-",$Y1048564)-1),$X1048564&gt;--RIGHT($Y1048564,LEN($Y1048564)-FIND("-",$Y1048564))),OR($X1048564=0,$X1048564&lt;--LEFT($Y1048564,FIND("-",$Y1048564)-1),$X1048564&gt;--RIGHT($Y1048564,LEN($Y1048564)-FIND("-",$Y1048564))))</formula>
    </cfRule>
  </conditionalFormatting>
  <conditionalFormatting sqref="X38">
    <cfRule type="expression" dxfId="41" priority="11">
      <formula>IF(OR($L1048553=1,$L1048553=2,$L1048553=4),OR($X1048553&lt;--LEFT($Y1048553,FIND("-",$Y1048553)-1),$X1048553&gt;--RIGHT($Y1048553,LEN($Y1048553)-FIND("-",$Y1048553))),OR($X1048553=0,$X1048553&lt;--LEFT($Y1048553,FIND("-",$Y1048553)-1),$X1048553&gt;--RIGHT($Y1048553,LEN($Y1048553)-FIND("-",$Y1048553))))</formula>
    </cfRule>
  </conditionalFormatting>
  <conditionalFormatting sqref="X39">
    <cfRule type="expression" dxfId="40" priority="10">
      <formula>IF(OR($L1048551=1,$L1048551=2,$L1048551=4),OR($X1048551&lt;--LEFT($Y1048551,FIND("-",$Y1048551)-1),$X1048551&gt;--RIGHT($Y1048551,LEN($Y1048551)-FIND("-",$Y1048551))),OR($X1048551=0,$X1048551&lt;--LEFT($Y1048551,FIND("-",$Y1048551)-1),$X1048551&gt;--RIGHT($Y1048551,LEN($Y1048551)-FIND("-",$Y1048551))))</formula>
    </cfRule>
  </conditionalFormatting>
  <conditionalFormatting sqref="X40">
    <cfRule type="expression" dxfId="39" priority="9">
      <formula>IF(OR($L1048540=1,$L1048540=2,$L1048540=4),OR($X1048540&lt;--LEFT($Y1048540,FIND("-",$Y1048540)-1),$X1048540&gt;--RIGHT($Y1048540,LEN($Y1048540)-FIND("-",$Y1048540))),OR($X1048540=0,$X1048540&lt;--LEFT($Y1048540,FIND("-",$Y1048540)-1),$X1048540&gt;--RIGHT($Y1048540,LEN($Y1048540)-FIND("-",$Y1048540))))</formula>
    </cfRule>
  </conditionalFormatting>
  <conditionalFormatting sqref="X41">
    <cfRule type="expression" dxfId="38" priority="8">
      <formula>IF(OR($L1048536=1,$L1048536=2,$L1048536=4),OR($X1048536&lt;--LEFT($Y1048536,FIND("-",$Y1048536)-1),$X1048536&gt;--RIGHT($Y1048536,LEN($Y1048536)-FIND("-",$Y1048536))),OR($X1048536=0,$X1048536&lt;--LEFT($Y1048536,FIND("-",$Y1048536)-1),$X1048536&gt;--RIGHT($Y1048536,LEN($Y1048536)-FIND("-",$Y1048536))))</formula>
    </cfRule>
  </conditionalFormatting>
  <conditionalFormatting sqref="AC3:AC8">
    <cfRule type="cellIs" dxfId="37" priority="24" operator="lessThan">
      <formula>-0.2</formula>
    </cfRule>
    <cfRule type="cellIs" dxfId="36" priority="25" operator="greaterThan">
      <formula>0.2</formula>
    </cfRule>
  </conditionalFormatting>
  <conditionalFormatting sqref="AC10:AC59">
    <cfRule type="cellIs" dxfId="35" priority="1" operator="lessThan">
      <formula>-0.2</formula>
    </cfRule>
    <cfRule type="cellIs" dxfId="34" priority="2" operator="greaterThan">
      <formula>0.2</formula>
    </cfRule>
  </conditionalFormatting>
  <dataValidations count="26">
    <dataValidation type="list" showInputMessage="1" showErrorMessage="1" sqref="Z3:Z59" xr:uid="{E081214F-AABF-493F-B16C-730BC65E0006}">
      <formula1>"Promotion,Demotion"</formula1>
    </dataValidation>
    <dataValidation allowBlank="1" showInputMessage="1" showErrorMessage="1" errorTitle="Over budget" error="You are over budget,please adjust." sqref="P3:P59 Y3:Y59 R3:U59" xr:uid="{2E02E5D5-7E9F-4A75-B1BF-C5312EEE956D}"/>
    <dataValidation type="custom" errorStyle="information" allowBlank="1" showInputMessage="1" showErrorMessage="1" error="promotion increase 5%~20%" sqref="AC3:AC8 AC10:AC59" xr:uid="{C78E7A1C-E893-4EB0-AFF2-C273C3C67945}">
      <formula1>IF(OR(AND(AC3&gt;=-0.2,AC3&lt;=-0.05),AND(AC3&gt;=0.05,AC3&lt;=0.2)),AC3,0)</formula1>
    </dataValidation>
    <dataValidation type="custom" errorStyle="information" allowBlank="1" showInputMessage="1" showErrorMessage="1" error="promotion increase 5%~20%" sqref="AC6 AC42 AC54 AC57" xr:uid="{25D8C613-4F87-422A-9088-CB93D463C215}">
      <formula1>IF(OR(AND(AC1&gt;=-0.2,AC1&lt;=-0.05),AND(AC1&gt;=0.05,AC1&lt;=0.2)),AC1,0)</formula1>
    </dataValidation>
    <dataValidation type="custom" errorStyle="information" allowBlank="1" showInputMessage="1" showErrorMessage="1" error="promotion increase 5%~20%" sqref="AC7 AC33" xr:uid="{E6BE18E2-4635-46D0-99A7-32E2035F507B}">
      <formula1>IF(OR(AND(AC1&gt;=-0.2,AC1&lt;=-0.05),AND(AC1&gt;=0.05,AC1&lt;=0.2)),AC1,0)</formula1>
    </dataValidation>
    <dataValidation type="custom" errorStyle="information" allowBlank="1" showInputMessage="1" showErrorMessage="1" error="promotion increase 5%~20%" sqref="AC8" xr:uid="{FCA91E88-2F86-415E-A4E8-0BB1A9EA3768}">
      <formula1>IF(OR(AND(AC1048574&gt;=-0.2,AC1048574&lt;=-0.05),AND(AC1048574&gt;=0.05,AC1048574&lt;=0.2)),AC1048574,0)</formula1>
    </dataValidation>
    <dataValidation type="custom" errorStyle="information" allowBlank="1" showInputMessage="1" showErrorMessage="1" error="promotion increase 5%~20%" sqref="AC11" xr:uid="{7A010022-61F1-4E2A-B763-324B9CEA9019}">
      <formula1>IF(OR(AND(AC1048574&gt;=-0.2,AC1048574&lt;=-0.05),AND(AC1048574&gt;=0.05,AC1048574&lt;=0.2)),AC1048574,0)</formula1>
    </dataValidation>
    <dataValidation type="custom" errorStyle="information" allowBlank="1" showInputMessage="1" showErrorMessage="1" error="promotion increase 5%~20%" sqref="AC10" xr:uid="{448EE026-FB54-44BE-93B4-9398D98B6F16}">
      <formula1>IF(OR(AND(AC1048574&gt;=-0.2,AC1048574&lt;=-0.05),AND(AC1048574&gt;=0.05,AC1048574&lt;=0.2)),AC1048574,0)</formula1>
    </dataValidation>
    <dataValidation type="custom" errorStyle="information" allowBlank="1" showInputMessage="1" showErrorMessage="1" error="promotion increase 5%~20%" sqref="AC12" xr:uid="{6546B5B0-7E9F-4110-9C63-823D16A88895}">
      <formula1>IF(OR(AND(AC1048567&gt;=-0.2,AC1048567&lt;=-0.05),AND(AC1048567&gt;=0.05,AC1048567&lt;=0.2)),AC1048567,0)</formula1>
    </dataValidation>
    <dataValidation type="custom" errorStyle="information" allowBlank="1" showInputMessage="1" showErrorMessage="1" error="promotion increase 5%~20%" sqref="AC13 AC15 AC31" xr:uid="{D9D884F1-2FBD-4FE1-B471-536D3B286982}">
      <formula1>IF(OR(AND(AC10&gt;=-0.2,AC10&lt;=-0.05),AND(AC10&gt;=0.05,AC10&lt;=0.2)),AC10,0)</formula1>
    </dataValidation>
    <dataValidation type="custom" errorStyle="information" allowBlank="1" showInputMessage="1" showErrorMessage="1" error="promotion increase 5%~20%" sqref="AC16 AC32" xr:uid="{961444E8-718F-44BC-9882-18F263695A9D}">
      <formula1>IF(OR(AND(AC8&gt;=-0.2,AC8&lt;=-0.05),AND(AC8&gt;=0.05,AC8&lt;=0.2)),AC8,0)</formula1>
    </dataValidation>
    <dataValidation type="custom" errorStyle="information" allowBlank="1" showInputMessage="1" showErrorMessage="1" error="promotion increase 5%~20%" sqref="AC22" xr:uid="{221EFB48-CCC6-41EF-AEFC-ACAA88E95451}">
      <formula1>IF(OR(AND(AC13&gt;=-0.2,AC13&lt;=-0.05),AND(AC13&gt;=0.05,AC13&lt;=0.2)),AC13,0)</formula1>
    </dataValidation>
    <dataValidation type="custom" errorStyle="information" allowBlank="1" showInputMessage="1" showErrorMessage="1" error="promotion increase 5%~20%" sqref="AC23" xr:uid="{DC415B87-30ED-4014-8D03-8EDD8A249274}">
      <formula1>IF(OR(AND(AC1048576&gt;=-0.2,AC1048576&lt;=-0.05),AND(AC1048576&gt;=0.05,AC1048576&lt;=0.2)),AC1048576,0)</formula1>
    </dataValidation>
    <dataValidation type="custom" errorStyle="information" allowBlank="1" showInputMessage="1" showErrorMessage="1" error="promotion increase 5%~20%" sqref="AC24" xr:uid="{C2AA0CAD-AAA6-4C92-80EA-08A806B3F917}">
      <formula1>IF(OR(AND(AC1048569&gt;=-0.2,AC1048569&lt;=-0.05),AND(AC1048569&gt;=0.05,AC1048569&lt;=0.2)),AC1048569,0)</formula1>
    </dataValidation>
    <dataValidation type="custom" errorStyle="information" allowBlank="1" showInputMessage="1" showErrorMessage="1" error="promotion increase 5%~20%" sqref="AC25:AC30 AC46 AC48:AC51 AC55:AC56 AC59" xr:uid="{42C6AFA6-0B86-42AB-B8EC-D19E596971AF}">
      <formula1>IF(OR(AND(#REF!&gt;=-0.2,#REF!&lt;=-0.05),AND(#REF!&gt;=0.05,#REF!&lt;=0.2)),#REF!,0)</formula1>
    </dataValidation>
    <dataValidation type="custom" errorStyle="information" allowBlank="1" showInputMessage="1" showErrorMessage="1" error="promotion increase 5%~20%" sqref="AC34" xr:uid="{8A856D23-0AF7-434E-B359-4DA9ED1A5578}">
      <formula1>IF(OR(AND(AC23&gt;=-0.2,AC23&lt;=-0.05),AND(AC23&gt;=0.05,AC23&lt;=0.2)),AC23,0)</formula1>
    </dataValidation>
    <dataValidation type="custom" errorStyle="information" allowBlank="1" showInputMessage="1" showErrorMessage="1" error="promotion increase 5%~20%" sqref="AC35" xr:uid="{8146CF8B-AF61-4F47-9C97-26CB47C0E2D3}">
      <formula1>IF(OR(AND(AC5&gt;=-0.2,AC5&lt;=-0.05),AND(AC5&gt;=0.05,AC5&lt;=0.2)),AC5,0)</formula1>
    </dataValidation>
    <dataValidation type="custom" errorStyle="information" allowBlank="1" showInputMessage="1" showErrorMessage="1" error="promotion increase 5%~20%" sqref="AC36" xr:uid="{27C0AC24-E89C-4B08-8D0E-41BB97ED6C57}">
      <formula1>IF(OR(AND(AC1048576&gt;=-0.2,AC1048576&lt;=-0.05),AND(AC1048576&gt;=0.05,AC1048576&lt;=0.2)),AC1048576,0)</formula1>
    </dataValidation>
    <dataValidation type="custom" errorStyle="information" allowBlank="1" showInputMessage="1" showErrorMessage="1" error="promotion increase 5%~20%" sqref="AC37" xr:uid="{28FCA0FC-1B9F-42B1-9626-8D05BFE0C06C}">
      <formula1>IF(OR(AND(AC1048564&gt;=-0.2,AC1048564&lt;=-0.05),AND(AC1048564&gt;=0.05,AC1048564&lt;=0.2)),AC1048564,0)</formula1>
    </dataValidation>
    <dataValidation type="custom" errorStyle="information" allowBlank="1" showInputMessage="1" showErrorMessage="1" error="promotion increase 5%~20%" sqref="AC38" xr:uid="{BECED591-BE0A-49AA-901F-86679C4CA10A}">
      <formula1>IF(OR(AND(AC1048553&gt;=-0.2,AC1048553&lt;=-0.05),AND(AC1048553&gt;=0.05,AC1048553&lt;=0.2)),AC1048553,0)</formula1>
    </dataValidation>
    <dataValidation type="custom" errorStyle="information" allowBlank="1" showInputMessage="1" showErrorMessage="1" error="promotion increase 5%~20%" sqref="AC39" xr:uid="{176DAF33-BF63-4E4D-B2A0-1E92D1889BD5}">
      <formula1>IF(OR(AND(AC1048551&gt;=-0.2,AC1048551&lt;=-0.05),AND(AC1048551&gt;=0.05,AC1048551&lt;=0.2)),AC1048551,0)</formula1>
    </dataValidation>
    <dataValidation type="custom" errorStyle="information" allowBlank="1" showInputMessage="1" showErrorMessage="1" error="promotion increase 5%~20%" sqref="AC40" xr:uid="{EF5BED39-7DDB-498B-818A-8DB779E44900}">
      <formula1>IF(OR(AND(AC1048540&gt;=-0.2,AC1048540&lt;=-0.05),AND(AC1048540&gt;=0.05,AC1048540&lt;=0.2)),AC1048540,0)</formula1>
    </dataValidation>
    <dataValidation type="custom" errorStyle="information" allowBlank="1" showInputMessage="1" showErrorMessage="1" error="promotion increase 5%~20%" sqref="AC41" xr:uid="{1B7DD72B-948A-47A9-A1DD-8E6A46F3B5B7}">
      <formula1>IF(OR(AND(AC1048536&gt;=-0.2,AC1048536&lt;=-0.05),AND(AC1048536&gt;=0.05,AC1048536&lt;=0.2)),AC1048536,0)</formula1>
    </dataValidation>
    <dataValidation type="custom" errorStyle="information" allowBlank="1" showInputMessage="1" showErrorMessage="1" error="promotion increase 5%~20%" sqref="AC47" xr:uid="{9AC6414F-EE7D-4539-BA9E-CA77F6BBE112}">
      <formula1>IF(OR(AND(AC40&gt;=-0.2,AC40&lt;=-0.05),AND(AC40&gt;=0.05,AC40&lt;=0.2)),AC40,0)</formula1>
    </dataValidation>
    <dataValidation type="custom" errorStyle="information" allowBlank="1" showInputMessage="1" showErrorMessage="1" error="promotion increase 5%~20%" sqref="AC52" xr:uid="{4224EA12-9DAE-4FA8-AF31-2C74E48D30BC}">
      <formula1>IF(OR(AND(AC50&gt;=-0.2,AC50&lt;=-0.05),AND(AC50&gt;=0.05,AC50&lt;=0.2)),AC50,0)</formula1>
    </dataValidation>
    <dataValidation type="custom" errorStyle="information" allowBlank="1" showInputMessage="1" showErrorMessage="1" error="promotion increase 5%~20%" sqref="AC53 AC58" xr:uid="{ABEA3985-550C-4B58-9E78-00B0B847C90F}">
      <formula1>IF(OR(AND(AC49&gt;=-0.2,AC49&lt;=-0.05),AND(AC49&gt;=0.05,AC49&lt;=0.2)),AC49,0)</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A768-6FEC-4E9C-BB9D-E9034382050F}">
  <dimension ref="A1:AX159"/>
  <sheetViews>
    <sheetView workbookViewId="0">
      <selection activeCell="D3" sqref="D1:E1048576"/>
    </sheetView>
  </sheetViews>
  <sheetFormatPr defaultRowHeight="20" customHeight="1"/>
  <cols>
    <col min="1" max="1" width="10.453125" style="347" customWidth="1"/>
    <col min="2" max="2" width="0" hidden="1" customWidth="1"/>
    <col min="4" max="6" width="0" hidden="1" customWidth="1"/>
    <col min="8" max="10" width="0" hidden="1" customWidth="1"/>
    <col min="13" max="13" width="0" hidden="1" customWidth="1"/>
    <col min="16" max="22" width="0" hidden="1" customWidth="1"/>
    <col min="25" max="25" width="11.453125" customWidth="1"/>
    <col min="26" max="26" width="13.7265625" customWidth="1"/>
    <col min="27" max="39" width="0" hidden="1" customWidth="1"/>
    <col min="41" max="41" width="0" hidden="1" customWidth="1"/>
    <col min="42" max="42" width="7" customWidth="1"/>
    <col min="43" max="43" width="22.08984375" customWidth="1"/>
    <col min="44" max="48" width="8.7265625" hidden="1" customWidth="1"/>
    <col min="49" max="49" width="8.7265625" customWidth="1"/>
    <col min="50" max="50" width="12.36328125" customWidth="1"/>
  </cols>
  <sheetData>
    <row r="1" spans="1:50" ht="86" customHeight="1">
      <c r="A1" s="254" t="s">
        <v>2330</v>
      </c>
      <c r="B1" s="253" t="s">
        <v>313</v>
      </c>
      <c r="C1" s="254" t="s">
        <v>2</v>
      </c>
      <c r="D1" s="254" t="s">
        <v>4</v>
      </c>
      <c r="E1" s="254" t="s">
        <v>5</v>
      </c>
      <c r="F1" s="254" t="s">
        <v>6</v>
      </c>
      <c r="G1" s="254" t="s">
        <v>7</v>
      </c>
      <c r="H1" s="254" t="s">
        <v>8</v>
      </c>
      <c r="I1" s="255" t="s">
        <v>9</v>
      </c>
      <c r="J1" s="254" t="s">
        <v>314</v>
      </c>
      <c r="K1" s="254" t="s">
        <v>11</v>
      </c>
      <c r="L1" s="254" t="s">
        <v>12</v>
      </c>
      <c r="M1" s="256" t="s">
        <v>13</v>
      </c>
      <c r="N1" s="257" t="s">
        <v>14</v>
      </c>
      <c r="O1" s="258" t="s">
        <v>15</v>
      </c>
      <c r="P1" s="259" t="s">
        <v>16</v>
      </c>
      <c r="Q1" s="260" t="s">
        <v>17</v>
      </c>
      <c r="R1" s="259" t="s">
        <v>18</v>
      </c>
      <c r="S1" s="260" t="s">
        <v>19</v>
      </c>
      <c r="T1" s="260" t="s">
        <v>2033</v>
      </c>
      <c r="U1" s="260" t="s">
        <v>21</v>
      </c>
      <c r="V1" s="260" t="s">
        <v>22</v>
      </c>
      <c r="W1" s="261" t="s">
        <v>23</v>
      </c>
      <c r="X1" s="262" t="s">
        <v>24</v>
      </c>
      <c r="Y1" s="263" t="s">
        <v>25</v>
      </c>
      <c r="Z1" s="263" t="s">
        <v>26</v>
      </c>
      <c r="AA1" s="264" t="s">
        <v>27</v>
      </c>
      <c r="AB1" s="264" t="s">
        <v>28</v>
      </c>
      <c r="AC1" s="264" t="s">
        <v>29</v>
      </c>
      <c r="AD1" s="261" t="s">
        <v>30</v>
      </c>
      <c r="AE1" s="263" t="s">
        <v>31</v>
      </c>
      <c r="AF1" s="265" t="s">
        <v>32</v>
      </c>
      <c r="AG1" s="265" t="s">
        <v>315</v>
      </c>
      <c r="AH1" s="265" t="s">
        <v>316</v>
      </c>
      <c r="AI1" s="266" t="s">
        <v>35</v>
      </c>
      <c r="AJ1" s="267" t="s">
        <v>36</v>
      </c>
      <c r="AK1" s="267" t="s">
        <v>37</v>
      </c>
      <c r="AL1" s="266" t="s">
        <v>38</v>
      </c>
      <c r="AM1" s="267" t="s">
        <v>39</v>
      </c>
      <c r="AN1" s="267" t="s">
        <v>40</v>
      </c>
      <c r="AO1" s="267" t="s">
        <v>317</v>
      </c>
      <c r="AP1" s="268" t="s">
        <v>42</v>
      </c>
      <c r="AQ1" s="268" t="s">
        <v>43</v>
      </c>
      <c r="AR1" s="269" t="s">
        <v>44</v>
      </c>
      <c r="AS1" s="269" t="s">
        <v>45</v>
      </c>
      <c r="AT1" s="269" t="s">
        <v>46</v>
      </c>
      <c r="AU1" s="268" t="s">
        <v>48</v>
      </c>
      <c r="AV1" s="268" t="s">
        <v>49</v>
      </c>
      <c r="AW1" s="270" t="s">
        <v>2002</v>
      </c>
      <c r="AX1" s="228" t="s">
        <v>2329</v>
      </c>
    </row>
    <row r="2" spans="1:50" ht="20" customHeight="1">
      <c r="A2" s="362" t="s">
        <v>2325</v>
      </c>
      <c r="B2" s="5" t="s">
        <v>318</v>
      </c>
      <c r="C2" s="271">
        <v>15022538</v>
      </c>
      <c r="D2" s="271" t="s">
        <v>51</v>
      </c>
      <c r="E2" s="271" t="s">
        <v>52</v>
      </c>
      <c r="F2" s="271" t="s">
        <v>1604</v>
      </c>
      <c r="G2" s="271" t="s">
        <v>1573</v>
      </c>
      <c r="H2" s="271" t="s">
        <v>1476</v>
      </c>
      <c r="I2" s="272">
        <v>45748</v>
      </c>
      <c r="J2" s="271" t="s">
        <v>82</v>
      </c>
      <c r="K2" s="271" t="s">
        <v>1510</v>
      </c>
      <c r="L2" s="271" t="s">
        <v>84</v>
      </c>
      <c r="M2" s="273">
        <v>2</v>
      </c>
      <c r="N2" s="273">
        <v>5</v>
      </c>
      <c r="O2" s="301">
        <v>11700</v>
      </c>
      <c r="P2" s="296">
        <v>0.05</v>
      </c>
      <c r="Q2" s="302">
        <v>585</v>
      </c>
      <c r="R2" s="296">
        <v>2.7E-2</v>
      </c>
      <c r="S2" s="302">
        <v>316</v>
      </c>
      <c r="T2" s="296">
        <v>7.7008547008547007E-2</v>
      </c>
      <c r="U2" s="302">
        <v>901</v>
      </c>
      <c r="V2" s="302">
        <v>12601</v>
      </c>
      <c r="W2" s="303">
        <v>16700</v>
      </c>
      <c r="X2" s="304">
        <v>5000</v>
      </c>
      <c r="Y2" s="297">
        <v>0.4274</v>
      </c>
      <c r="Z2" s="298" t="s">
        <v>237</v>
      </c>
      <c r="AA2" s="305"/>
      <c r="AB2" s="305"/>
      <c r="AC2" s="305"/>
      <c r="AD2" s="299"/>
      <c r="AE2" s="301">
        <v>0</v>
      </c>
      <c r="AF2" s="306">
        <v>16700</v>
      </c>
      <c r="AG2" s="284">
        <v>5000</v>
      </c>
      <c r="AH2" s="300">
        <v>0.42735042735042739</v>
      </c>
      <c r="AI2" s="286">
        <v>14</v>
      </c>
      <c r="AJ2" s="286">
        <v>450</v>
      </c>
      <c r="AK2" s="286"/>
      <c r="AL2" s="286">
        <v>688</v>
      </c>
      <c r="AM2" s="286">
        <v>239888</v>
      </c>
      <c r="AN2" s="273" t="e">
        <v>#N/A</v>
      </c>
      <c r="AO2" s="286"/>
      <c r="AP2" s="287" t="s">
        <v>1721</v>
      </c>
      <c r="AQ2" s="287" t="s">
        <v>194</v>
      </c>
      <c r="AR2" s="271" t="s">
        <v>1559</v>
      </c>
      <c r="AS2" s="271" t="s">
        <v>164</v>
      </c>
      <c r="AT2" s="271" t="s">
        <v>59</v>
      </c>
      <c r="AU2" s="287"/>
      <c r="AV2" s="287"/>
      <c r="AW2" s="288" t="s">
        <v>103</v>
      </c>
      <c r="AX2" t="s">
        <v>2329</v>
      </c>
    </row>
    <row r="3" spans="1:50" ht="20" customHeight="1">
      <c r="A3" s="362"/>
      <c r="B3" s="5" t="s">
        <v>318</v>
      </c>
      <c r="C3" s="271">
        <v>1706037</v>
      </c>
      <c r="D3" s="271" t="s">
        <v>51</v>
      </c>
      <c r="E3" s="271" t="s">
        <v>52</v>
      </c>
      <c r="F3" s="271" t="s">
        <v>1604</v>
      </c>
      <c r="G3" s="271" t="s">
        <v>1529</v>
      </c>
      <c r="H3" s="271" t="s">
        <v>1530</v>
      </c>
      <c r="I3" s="272">
        <v>40023</v>
      </c>
      <c r="J3" s="271" t="s">
        <v>82</v>
      </c>
      <c r="K3" s="271" t="s">
        <v>1508</v>
      </c>
      <c r="L3" s="271" t="s">
        <v>84</v>
      </c>
      <c r="M3" s="273">
        <v>2</v>
      </c>
      <c r="N3" s="273">
        <v>5</v>
      </c>
      <c r="O3" s="290">
        <v>6492</v>
      </c>
      <c r="P3" s="296">
        <v>0.05</v>
      </c>
      <c r="Q3" s="291">
        <v>325</v>
      </c>
      <c r="R3" s="296">
        <v>2.7E-2</v>
      </c>
      <c r="S3" s="291">
        <v>175</v>
      </c>
      <c r="T3" s="296">
        <v>7.7017868145409729E-2</v>
      </c>
      <c r="U3" s="291">
        <v>500</v>
      </c>
      <c r="V3" s="291">
        <v>6992</v>
      </c>
      <c r="W3" s="292">
        <v>7790</v>
      </c>
      <c r="X3" s="293">
        <v>1298</v>
      </c>
      <c r="Y3" s="297">
        <v>0.19989999999999999</v>
      </c>
      <c r="Z3" s="298" t="s">
        <v>237</v>
      </c>
      <c r="AA3" s="294"/>
      <c r="AB3" s="294"/>
      <c r="AC3" s="294"/>
      <c r="AD3" s="299"/>
      <c r="AE3" s="290">
        <v>0</v>
      </c>
      <c r="AF3" s="295">
        <v>7790</v>
      </c>
      <c r="AG3" s="284">
        <v>1298</v>
      </c>
      <c r="AH3" s="300">
        <v>0.19993838570548372</v>
      </c>
      <c r="AI3" s="286">
        <v>14</v>
      </c>
      <c r="AJ3" s="286">
        <v>450</v>
      </c>
      <c r="AK3" s="286"/>
      <c r="AL3" s="286">
        <v>688</v>
      </c>
      <c r="AM3" s="286">
        <v>115148</v>
      </c>
      <c r="AN3" s="273">
        <v>4</v>
      </c>
      <c r="AO3" s="286"/>
      <c r="AP3" s="287" t="s">
        <v>1536</v>
      </c>
      <c r="AQ3" s="287" t="s">
        <v>229</v>
      </c>
      <c r="AR3" s="271" t="s">
        <v>1504</v>
      </c>
      <c r="AS3" s="271" t="s">
        <v>164</v>
      </c>
      <c r="AT3" s="271" t="s">
        <v>59</v>
      </c>
      <c r="AU3" s="287"/>
      <c r="AV3" s="287"/>
      <c r="AW3" s="289" t="s">
        <v>103</v>
      </c>
    </row>
    <row r="4" spans="1:50" ht="20" customHeight="1">
      <c r="A4" s="362"/>
      <c r="B4" s="5" t="s">
        <v>318</v>
      </c>
      <c r="C4" s="271">
        <v>1706029</v>
      </c>
      <c r="D4" s="271" t="s">
        <v>51</v>
      </c>
      <c r="E4" s="271" t="s">
        <v>52</v>
      </c>
      <c r="F4" s="271" t="s">
        <v>2035</v>
      </c>
      <c r="G4" s="271" t="s">
        <v>2107</v>
      </c>
      <c r="H4" s="271" t="s">
        <v>2108</v>
      </c>
      <c r="I4" s="272">
        <v>40023</v>
      </c>
      <c r="J4" s="271" t="s">
        <v>82</v>
      </c>
      <c r="K4" s="271" t="s">
        <v>82</v>
      </c>
      <c r="L4" s="271" t="s">
        <v>84</v>
      </c>
      <c r="M4" s="273">
        <v>2</v>
      </c>
      <c r="N4" s="273">
        <v>5</v>
      </c>
      <c r="O4" s="290">
        <v>8050</v>
      </c>
      <c r="P4" s="275">
        <v>0.06</v>
      </c>
      <c r="Q4" s="291">
        <v>483</v>
      </c>
      <c r="R4" s="275">
        <v>2.7E-2</v>
      </c>
      <c r="S4" s="291">
        <v>217</v>
      </c>
      <c r="T4" s="275">
        <v>8.6956521739130432E-2</v>
      </c>
      <c r="U4" s="291">
        <v>700</v>
      </c>
      <c r="V4" s="291">
        <v>8750</v>
      </c>
      <c r="W4" s="292">
        <v>9600</v>
      </c>
      <c r="X4" s="293">
        <v>1550</v>
      </c>
      <c r="Y4" s="279">
        <v>0.1925</v>
      </c>
      <c r="Z4" s="280" t="s">
        <v>2322</v>
      </c>
      <c r="AA4" s="294"/>
      <c r="AB4" s="294"/>
      <c r="AC4" s="294"/>
      <c r="AD4" s="282"/>
      <c r="AE4" s="290">
        <v>0</v>
      </c>
      <c r="AF4" s="295">
        <v>9600</v>
      </c>
      <c r="AG4" s="284">
        <v>1550</v>
      </c>
      <c r="AH4" s="285">
        <v>0.19254658385093171</v>
      </c>
      <c r="AI4" s="286">
        <v>14</v>
      </c>
      <c r="AJ4" s="286">
        <v>450</v>
      </c>
      <c r="AK4" s="286"/>
      <c r="AL4" s="286">
        <v>688</v>
      </c>
      <c r="AM4" s="286">
        <v>140488</v>
      </c>
      <c r="AN4" s="273">
        <v>3</v>
      </c>
      <c r="AO4" s="286"/>
      <c r="AP4" s="287" t="s">
        <v>2130</v>
      </c>
      <c r="AQ4" s="287" t="s">
        <v>151</v>
      </c>
      <c r="AR4" s="271" t="s">
        <v>2074</v>
      </c>
      <c r="AS4" s="271" t="s">
        <v>2075</v>
      </c>
      <c r="AT4" s="271" t="s">
        <v>247</v>
      </c>
      <c r="AU4" s="287"/>
      <c r="AV4" s="287"/>
      <c r="AW4" s="288" t="s">
        <v>103</v>
      </c>
    </row>
    <row r="5" spans="1:50" ht="20" customHeight="1">
      <c r="A5" s="362"/>
      <c r="B5" s="5" t="s">
        <v>318</v>
      </c>
      <c r="C5" s="271">
        <v>15010296</v>
      </c>
      <c r="D5" s="271" t="s">
        <v>51</v>
      </c>
      <c r="E5" s="271" t="s">
        <v>52</v>
      </c>
      <c r="F5" s="271" t="s">
        <v>2035</v>
      </c>
      <c r="G5" s="271" t="s">
        <v>2035</v>
      </c>
      <c r="H5" s="271" t="s">
        <v>2051</v>
      </c>
      <c r="I5" s="272">
        <v>41408</v>
      </c>
      <c r="J5" s="271" t="s">
        <v>266</v>
      </c>
      <c r="K5" s="271" t="s">
        <v>266</v>
      </c>
      <c r="L5" s="271" t="s">
        <v>56</v>
      </c>
      <c r="M5" s="273">
        <v>2</v>
      </c>
      <c r="N5" s="273">
        <v>5</v>
      </c>
      <c r="O5" s="290">
        <v>21200</v>
      </c>
      <c r="P5" s="275">
        <v>0.06</v>
      </c>
      <c r="Q5" s="291">
        <v>1272</v>
      </c>
      <c r="R5" s="275">
        <v>2.7E-2</v>
      </c>
      <c r="S5" s="291">
        <v>572</v>
      </c>
      <c r="T5" s="275">
        <v>8.6981132075471701E-2</v>
      </c>
      <c r="U5" s="291">
        <v>1844</v>
      </c>
      <c r="V5" s="291">
        <v>23044</v>
      </c>
      <c r="W5" s="292">
        <v>25000</v>
      </c>
      <c r="X5" s="293">
        <v>3800</v>
      </c>
      <c r="Y5" s="279">
        <v>0.1792</v>
      </c>
      <c r="Z5" s="280" t="s">
        <v>216</v>
      </c>
      <c r="AA5" s="294"/>
      <c r="AB5" s="294"/>
      <c r="AC5" s="294"/>
      <c r="AD5" s="282"/>
      <c r="AE5" s="290">
        <v>0</v>
      </c>
      <c r="AF5" s="295">
        <v>25000</v>
      </c>
      <c r="AG5" s="284">
        <v>3800</v>
      </c>
      <c r="AH5" s="285">
        <v>0.179245283018868</v>
      </c>
      <c r="AI5" s="286">
        <v>14</v>
      </c>
      <c r="AJ5" s="286">
        <v>450</v>
      </c>
      <c r="AK5" s="286"/>
      <c r="AL5" s="286">
        <v>688</v>
      </c>
      <c r="AM5" s="286">
        <v>356088</v>
      </c>
      <c r="AN5" s="273">
        <v>4</v>
      </c>
      <c r="AO5" s="286"/>
      <c r="AP5" s="287"/>
      <c r="AQ5" s="287" t="s">
        <v>179</v>
      </c>
      <c r="AR5" s="271" t="s">
        <v>2047</v>
      </c>
      <c r="AS5" s="271" t="s">
        <v>2048</v>
      </c>
      <c r="AT5" s="271" t="s">
        <v>59</v>
      </c>
      <c r="AU5" s="287"/>
      <c r="AV5" s="287"/>
      <c r="AW5" s="289" t="s">
        <v>103</v>
      </c>
    </row>
    <row r="6" spans="1:50" ht="20" customHeight="1">
      <c r="A6" s="362"/>
      <c r="B6" s="5" t="s">
        <v>318</v>
      </c>
      <c r="C6" s="271">
        <v>1132162</v>
      </c>
      <c r="D6" s="271" t="s">
        <v>51</v>
      </c>
      <c r="E6" s="271" t="s">
        <v>52</v>
      </c>
      <c r="F6" s="271" t="s">
        <v>1414</v>
      </c>
      <c r="G6" s="271" t="s">
        <v>1415</v>
      </c>
      <c r="H6" s="271" t="s">
        <v>220</v>
      </c>
      <c r="I6" s="272">
        <v>40735</v>
      </c>
      <c r="J6" s="271" t="s">
        <v>74</v>
      </c>
      <c r="K6" s="271" t="s">
        <v>1419</v>
      </c>
      <c r="L6" s="271" t="s">
        <v>76</v>
      </c>
      <c r="M6" s="273">
        <v>2</v>
      </c>
      <c r="N6" s="273">
        <v>4</v>
      </c>
      <c r="O6" s="290">
        <v>8140</v>
      </c>
      <c r="P6" s="275">
        <v>5.2500000000000005E-2</v>
      </c>
      <c r="Q6" s="291">
        <v>427</v>
      </c>
      <c r="R6" s="275">
        <v>4.2099999999999999E-2</v>
      </c>
      <c r="S6" s="291">
        <v>343</v>
      </c>
      <c r="T6" s="275">
        <v>9.45945945945946E-2</v>
      </c>
      <c r="U6" s="291">
        <v>770</v>
      </c>
      <c r="V6" s="291">
        <v>8910</v>
      </c>
      <c r="W6" s="292">
        <v>9500</v>
      </c>
      <c r="X6" s="293">
        <v>1360</v>
      </c>
      <c r="Y6" s="279">
        <v>0.1671</v>
      </c>
      <c r="Z6" s="280" t="s">
        <v>2321</v>
      </c>
      <c r="AA6" s="294"/>
      <c r="AB6" s="294"/>
      <c r="AC6" s="294"/>
      <c r="AD6" s="282"/>
      <c r="AE6" s="290">
        <v>0</v>
      </c>
      <c r="AF6" s="295">
        <v>9500</v>
      </c>
      <c r="AG6" s="284">
        <v>1360</v>
      </c>
      <c r="AH6" s="285">
        <v>0.16707616707616713</v>
      </c>
      <c r="AI6" s="286">
        <v>14</v>
      </c>
      <c r="AJ6" s="286">
        <v>450</v>
      </c>
      <c r="AK6" s="286"/>
      <c r="AL6" s="286">
        <v>688</v>
      </c>
      <c r="AM6" s="286">
        <v>139088</v>
      </c>
      <c r="AN6" s="273">
        <v>3</v>
      </c>
      <c r="AO6" s="286"/>
      <c r="AP6" s="354" t="s">
        <v>2017</v>
      </c>
      <c r="AQ6" s="287" t="s">
        <v>239</v>
      </c>
      <c r="AR6" s="271" t="s">
        <v>1413</v>
      </c>
      <c r="AS6" s="271" t="s">
        <v>164</v>
      </c>
      <c r="AT6" s="271" t="s">
        <v>218</v>
      </c>
      <c r="AU6" s="287"/>
      <c r="AV6" s="287"/>
      <c r="AW6" s="288" t="s">
        <v>103</v>
      </c>
    </row>
    <row r="7" spans="1:50" ht="20" customHeight="1">
      <c r="A7" s="362"/>
      <c r="B7" s="5" t="s">
        <v>318</v>
      </c>
      <c r="C7" s="271">
        <v>1116073</v>
      </c>
      <c r="D7" s="271" t="s">
        <v>51</v>
      </c>
      <c r="E7" s="271" t="s">
        <v>52</v>
      </c>
      <c r="F7" s="271" t="s">
        <v>2035</v>
      </c>
      <c r="G7" s="271" t="s">
        <v>2110</v>
      </c>
      <c r="H7" s="271" t="s">
        <v>2111</v>
      </c>
      <c r="I7" s="272">
        <v>38566</v>
      </c>
      <c r="J7" s="271" t="s">
        <v>82</v>
      </c>
      <c r="K7" s="271" t="s">
        <v>2144</v>
      </c>
      <c r="L7" s="271" t="s">
        <v>84</v>
      </c>
      <c r="M7" s="273">
        <v>2</v>
      </c>
      <c r="N7" s="273">
        <v>5</v>
      </c>
      <c r="O7" s="290">
        <v>8880</v>
      </c>
      <c r="P7" s="275">
        <v>0.05</v>
      </c>
      <c r="Q7" s="291">
        <v>444</v>
      </c>
      <c r="R7" s="275">
        <v>2.7E-2</v>
      </c>
      <c r="S7" s="291">
        <v>240</v>
      </c>
      <c r="T7" s="275">
        <v>7.7027027027027031E-2</v>
      </c>
      <c r="U7" s="291">
        <v>684</v>
      </c>
      <c r="V7" s="291">
        <v>9564</v>
      </c>
      <c r="W7" s="292">
        <v>10200</v>
      </c>
      <c r="X7" s="293">
        <v>1320</v>
      </c>
      <c r="Y7" s="279">
        <v>0.14860000000000001</v>
      </c>
      <c r="Z7" s="280" t="s">
        <v>237</v>
      </c>
      <c r="AA7" s="294" t="s">
        <v>87</v>
      </c>
      <c r="AB7" s="294" t="s">
        <v>138</v>
      </c>
      <c r="AC7" s="294" t="s">
        <v>139</v>
      </c>
      <c r="AD7" s="282">
        <v>8.9700000000000002E-2</v>
      </c>
      <c r="AE7" s="290">
        <v>797</v>
      </c>
      <c r="AF7" s="295">
        <v>10997</v>
      </c>
      <c r="AG7" s="284">
        <v>2117</v>
      </c>
      <c r="AH7" s="285">
        <v>0.23840090090090094</v>
      </c>
      <c r="AI7" s="286">
        <v>14</v>
      </c>
      <c r="AJ7" s="286">
        <v>450</v>
      </c>
      <c r="AK7" s="286"/>
      <c r="AL7" s="286">
        <v>688</v>
      </c>
      <c r="AM7" s="286">
        <v>160046</v>
      </c>
      <c r="AN7" s="273">
        <v>4</v>
      </c>
      <c r="AO7" s="286"/>
      <c r="AP7" s="287" t="s">
        <v>2145</v>
      </c>
      <c r="AQ7" s="287" t="s">
        <v>173</v>
      </c>
      <c r="AR7" s="271" t="s">
        <v>2074</v>
      </c>
      <c r="AS7" s="271" t="s">
        <v>2075</v>
      </c>
      <c r="AT7" s="271" t="s">
        <v>247</v>
      </c>
      <c r="AU7" s="287"/>
      <c r="AV7" s="287"/>
      <c r="AW7" s="289" t="s">
        <v>103</v>
      </c>
    </row>
    <row r="8" spans="1:50" ht="20" customHeight="1">
      <c r="A8" s="362"/>
      <c r="B8" s="5" t="s">
        <v>318</v>
      </c>
      <c r="C8" s="271">
        <v>15002828</v>
      </c>
      <c r="D8" s="271" t="s">
        <v>51</v>
      </c>
      <c r="E8" s="271" t="s">
        <v>52</v>
      </c>
      <c r="F8" s="271" t="s">
        <v>2001</v>
      </c>
      <c r="G8" s="271" t="s">
        <v>1962</v>
      </c>
      <c r="H8" s="271" t="s">
        <v>1963</v>
      </c>
      <c r="I8" s="272">
        <v>40269</v>
      </c>
      <c r="J8" s="271" t="s">
        <v>377</v>
      </c>
      <c r="K8" s="271" t="s">
        <v>377</v>
      </c>
      <c r="L8" s="271" t="s">
        <v>324</v>
      </c>
      <c r="M8" s="273">
        <v>2</v>
      </c>
      <c r="N8" s="273">
        <v>4</v>
      </c>
      <c r="O8" s="290">
        <v>5342</v>
      </c>
      <c r="P8" s="275">
        <v>0.03</v>
      </c>
      <c r="Q8" s="291">
        <v>160</v>
      </c>
      <c r="R8" s="275">
        <v>0</v>
      </c>
      <c r="S8" s="291">
        <v>0</v>
      </c>
      <c r="T8" s="275">
        <v>2.9951329090228379E-2</v>
      </c>
      <c r="U8" s="291">
        <v>160</v>
      </c>
      <c r="V8" s="291">
        <v>5502</v>
      </c>
      <c r="W8" s="292">
        <v>6103</v>
      </c>
      <c r="X8" s="293">
        <v>761</v>
      </c>
      <c r="Y8" s="279">
        <v>0.14249999999999999</v>
      </c>
      <c r="Z8" s="280" t="s">
        <v>2303</v>
      </c>
      <c r="AA8" s="294" t="s">
        <v>87</v>
      </c>
      <c r="AB8" s="294" t="s">
        <v>174</v>
      </c>
      <c r="AC8" s="294" t="s">
        <v>439</v>
      </c>
      <c r="AD8" s="282">
        <v>0.14099999999999999</v>
      </c>
      <c r="AE8" s="290">
        <v>753</v>
      </c>
      <c r="AF8" s="295">
        <v>6856</v>
      </c>
      <c r="AG8" s="284">
        <v>1514</v>
      </c>
      <c r="AH8" s="285">
        <v>0.28341445151628597</v>
      </c>
      <c r="AI8" s="286">
        <v>14</v>
      </c>
      <c r="AJ8" s="286">
        <v>550</v>
      </c>
      <c r="AK8" s="286"/>
      <c r="AL8" s="286">
        <v>688</v>
      </c>
      <c r="AM8" s="286">
        <v>103272</v>
      </c>
      <c r="AN8" s="273">
        <v>3</v>
      </c>
      <c r="AO8" s="286"/>
      <c r="AP8" s="287" t="s">
        <v>1978</v>
      </c>
      <c r="AQ8" s="287" t="s">
        <v>173</v>
      </c>
      <c r="AR8" s="271" t="s">
        <v>1948</v>
      </c>
      <c r="AS8" s="271" t="s">
        <v>69</v>
      </c>
      <c r="AT8" s="358"/>
      <c r="AU8" s="358"/>
      <c r="AV8" s="358"/>
      <c r="AW8" s="288" t="s">
        <v>103</v>
      </c>
    </row>
    <row r="9" spans="1:50" ht="20" customHeight="1">
      <c r="A9" s="362"/>
      <c r="B9" s="5" t="s">
        <v>318</v>
      </c>
      <c r="C9" s="271">
        <v>1120273</v>
      </c>
      <c r="D9" s="271" t="s">
        <v>51</v>
      </c>
      <c r="E9" s="271" t="s">
        <v>52</v>
      </c>
      <c r="F9" s="271" t="s">
        <v>2035</v>
      </c>
      <c r="G9" s="271" t="s">
        <v>2066</v>
      </c>
      <c r="H9" s="271" t="s">
        <v>2067</v>
      </c>
      <c r="I9" s="272">
        <v>44124</v>
      </c>
      <c r="J9" s="271" t="s">
        <v>60</v>
      </c>
      <c r="K9" s="271" t="s">
        <v>60</v>
      </c>
      <c r="L9" s="271" t="s">
        <v>61</v>
      </c>
      <c r="M9" s="273">
        <v>2</v>
      </c>
      <c r="N9" s="273">
        <v>3</v>
      </c>
      <c r="O9" s="290">
        <v>12302</v>
      </c>
      <c r="P9" s="275">
        <v>0.03</v>
      </c>
      <c r="Q9" s="291">
        <v>369</v>
      </c>
      <c r="R9" s="275">
        <v>0</v>
      </c>
      <c r="S9" s="291">
        <v>0</v>
      </c>
      <c r="T9" s="275">
        <v>2.9995122744269225E-2</v>
      </c>
      <c r="U9" s="291">
        <v>369</v>
      </c>
      <c r="V9" s="291">
        <v>12671</v>
      </c>
      <c r="W9" s="292">
        <v>13808</v>
      </c>
      <c r="X9" s="293">
        <v>1506</v>
      </c>
      <c r="Y9" s="279">
        <v>0.12239999999999999</v>
      </c>
      <c r="Z9" s="280" t="s">
        <v>233</v>
      </c>
      <c r="AA9" s="294"/>
      <c r="AB9" s="294"/>
      <c r="AC9" s="294"/>
      <c r="AD9" s="282"/>
      <c r="AE9" s="290">
        <v>0</v>
      </c>
      <c r="AF9" s="295">
        <v>13808</v>
      </c>
      <c r="AG9" s="284">
        <v>1506</v>
      </c>
      <c r="AH9" s="285">
        <v>0.12241911884246459</v>
      </c>
      <c r="AI9" s="286">
        <v>14</v>
      </c>
      <c r="AJ9" s="286">
        <v>450</v>
      </c>
      <c r="AK9" s="286"/>
      <c r="AL9" s="286">
        <v>688</v>
      </c>
      <c r="AM9" s="286">
        <v>199400</v>
      </c>
      <c r="AN9" s="273">
        <v>4</v>
      </c>
      <c r="AO9" s="286"/>
      <c r="AP9" s="287"/>
      <c r="AQ9" s="287" t="s">
        <v>101</v>
      </c>
      <c r="AR9" s="271" t="s">
        <v>2047</v>
      </c>
      <c r="AS9" s="271" t="s">
        <v>2048</v>
      </c>
      <c r="AT9" s="271" t="s">
        <v>59</v>
      </c>
      <c r="AU9" s="287"/>
      <c r="AV9" s="287"/>
      <c r="AW9" s="288" t="s">
        <v>103</v>
      </c>
    </row>
    <row r="10" spans="1:50" ht="20" customHeight="1">
      <c r="A10" s="362"/>
      <c r="B10" s="5" t="s">
        <v>318</v>
      </c>
      <c r="C10" s="271">
        <v>15021739</v>
      </c>
      <c r="D10" s="271" t="s">
        <v>51</v>
      </c>
      <c r="E10" s="271" t="s">
        <v>52</v>
      </c>
      <c r="F10" s="271" t="s">
        <v>2001</v>
      </c>
      <c r="G10" s="271" t="s">
        <v>1977</v>
      </c>
      <c r="H10" s="271" t="s">
        <v>1981</v>
      </c>
      <c r="I10" s="272">
        <v>44454</v>
      </c>
      <c r="J10" s="271" t="s">
        <v>74</v>
      </c>
      <c r="K10" s="271" t="s">
        <v>74</v>
      </c>
      <c r="L10" s="271" t="s">
        <v>76</v>
      </c>
      <c r="M10" s="273">
        <v>2</v>
      </c>
      <c r="N10" s="273">
        <v>5</v>
      </c>
      <c r="O10" s="290">
        <v>11507</v>
      </c>
      <c r="P10" s="275">
        <v>0.05</v>
      </c>
      <c r="Q10" s="291">
        <v>575</v>
      </c>
      <c r="R10" s="275">
        <v>2.7E-2</v>
      </c>
      <c r="S10" s="291">
        <v>311</v>
      </c>
      <c r="T10" s="275">
        <v>7.6996610758668635E-2</v>
      </c>
      <c r="U10" s="291">
        <v>886</v>
      </c>
      <c r="V10" s="291">
        <v>12393</v>
      </c>
      <c r="W10" s="292">
        <v>12807</v>
      </c>
      <c r="X10" s="293">
        <v>1300</v>
      </c>
      <c r="Y10" s="279">
        <v>0.113</v>
      </c>
      <c r="Z10" s="280" t="s">
        <v>237</v>
      </c>
      <c r="AA10" s="294"/>
      <c r="AB10" s="294"/>
      <c r="AC10" s="294"/>
      <c r="AD10" s="282"/>
      <c r="AE10" s="290">
        <v>0</v>
      </c>
      <c r="AF10" s="295">
        <v>12807</v>
      </c>
      <c r="AG10" s="284">
        <v>1300</v>
      </c>
      <c r="AH10" s="285">
        <v>0.11297471104545065</v>
      </c>
      <c r="AI10" s="286">
        <v>14</v>
      </c>
      <c r="AJ10" s="286">
        <v>550</v>
      </c>
      <c r="AK10" s="286"/>
      <c r="AL10" s="286">
        <v>688</v>
      </c>
      <c r="AM10" s="286">
        <v>186586</v>
      </c>
      <c r="AN10" s="273">
        <v>2</v>
      </c>
      <c r="AO10" s="286"/>
      <c r="AP10" s="287" t="s">
        <v>1985</v>
      </c>
      <c r="AQ10" s="287" t="s">
        <v>90</v>
      </c>
      <c r="AR10" s="271" t="s">
        <v>1948</v>
      </c>
      <c r="AS10" s="271" t="s">
        <v>69</v>
      </c>
      <c r="AT10" s="358"/>
      <c r="AU10" s="358"/>
      <c r="AV10" s="358"/>
      <c r="AW10" s="289" t="s">
        <v>103</v>
      </c>
    </row>
    <row r="11" spans="1:50" ht="20" customHeight="1">
      <c r="A11" s="362"/>
      <c r="B11" s="5" t="s">
        <v>318</v>
      </c>
      <c r="C11" s="271">
        <v>1707015</v>
      </c>
      <c r="D11" s="271" t="s">
        <v>51</v>
      </c>
      <c r="E11" s="271" t="s">
        <v>52</v>
      </c>
      <c r="F11" s="271" t="s">
        <v>2035</v>
      </c>
      <c r="G11" s="271" t="s">
        <v>2107</v>
      </c>
      <c r="H11" s="271" t="s">
        <v>2108</v>
      </c>
      <c r="I11" s="272">
        <v>40391</v>
      </c>
      <c r="J11" s="271" t="s">
        <v>82</v>
      </c>
      <c r="K11" s="271" t="s">
        <v>82</v>
      </c>
      <c r="L11" s="271" t="s">
        <v>84</v>
      </c>
      <c r="M11" s="273">
        <v>2</v>
      </c>
      <c r="N11" s="273">
        <v>4</v>
      </c>
      <c r="O11" s="290">
        <v>7774</v>
      </c>
      <c r="P11" s="275">
        <v>3.7500000000000006E-2</v>
      </c>
      <c r="Q11" s="291">
        <v>292</v>
      </c>
      <c r="R11" s="275">
        <v>1.55E-2</v>
      </c>
      <c r="S11" s="291">
        <v>120</v>
      </c>
      <c r="T11" s="275">
        <v>5.2997170054026238E-2</v>
      </c>
      <c r="U11" s="291">
        <v>412</v>
      </c>
      <c r="V11" s="291">
        <v>8186</v>
      </c>
      <c r="W11" s="292">
        <v>8600</v>
      </c>
      <c r="X11" s="293">
        <v>826</v>
      </c>
      <c r="Y11" s="279">
        <v>0.10630000000000001</v>
      </c>
      <c r="Z11" s="280" t="s">
        <v>222</v>
      </c>
      <c r="AA11" s="294"/>
      <c r="AB11" s="294"/>
      <c r="AC11" s="294"/>
      <c r="AD11" s="282"/>
      <c r="AE11" s="290">
        <v>0</v>
      </c>
      <c r="AF11" s="295">
        <v>8600</v>
      </c>
      <c r="AG11" s="284">
        <v>826</v>
      </c>
      <c r="AH11" s="285">
        <v>0.10625160792384869</v>
      </c>
      <c r="AI11" s="286">
        <v>14</v>
      </c>
      <c r="AJ11" s="286">
        <v>450</v>
      </c>
      <c r="AK11" s="286"/>
      <c r="AL11" s="286">
        <v>688</v>
      </c>
      <c r="AM11" s="286">
        <v>126488</v>
      </c>
      <c r="AN11" s="273">
        <v>3</v>
      </c>
      <c r="AO11" s="286"/>
      <c r="AP11" s="287" t="s">
        <v>2131</v>
      </c>
      <c r="AQ11" s="287" t="s">
        <v>2328</v>
      </c>
      <c r="AR11" s="271" t="s">
        <v>2074</v>
      </c>
      <c r="AS11" s="271" t="s">
        <v>2075</v>
      </c>
      <c r="AT11" s="271" t="s">
        <v>247</v>
      </c>
      <c r="AU11" s="287"/>
      <c r="AV11" s="287"/>
      <c r="AW11" s="289" t="s">
        <v>103</v>
      </c>
    </row>
    <row r="12" spans="1:50" ht="20" customHeight="1">
      <c r="A12" s="362"/>
      <c r="B12" s="5" t="s">
        <v>318</v>
      </c>
      <c r="C12" s="271">
        <v>1711024</v>
      </c>
      <c r="D12" s="271" t="s">
        <v>51</v>
      </c>
      <c r="E12" s="271" t="s">
        <v>52</v>
      </c>
      <c r="F12" s="271" t="s">
        <v>1604</v>
      </c>
      <c r="G12" s="271" t="s">
        <v>1499</v>
      </c>
      <c r="H12" s="271" t="s">
        <v>1480</v>
      </c>
      <c r="I12" s="272">
        <v>41814</v>
      </c>
      <c r="J12" s="271" t="s">
        <v>174</v>
      </c>
      <c r="K12" s="271" t="s">
        <v>174</v>
      </c>
      <c r="L12" s="271" t="s">
        <v>175</v>
      </c>
      <c r="M12" s="273">
        <v>2</v>
      </c>
      <c r="N12" s="273" t="s">
        <v>176</v>
      </c>
      <c r="O12" s="290">
        <v>5720</v>
      </c>
      <c r="P12" s="275">
        <v>2.5000000000000001E-2</v>
      </c>
      <c r="Q12" s="291">
        <v>143</v>
      </c>
      <c r="R12" s="275">
        <v>0</v>
      </c>
      <c r="S12" s="291">
        <v>0</v>
      </c>
      <c r="T12" s="275">
        <v>2.5000000000000001E-2</v>
      </c>
      <c r="U12" s="291">
        <v>143</v>
      </c>
      <c r="V12" s="291">
        <v>5863</v>
      </c>
      <c r="W12" s="292">
        <v>6297</v>
      </c>
      <c r="X12" s="293">
        <v>577</v>
      </c>
      <c r="Y12" s="279">
        <v>0.1009</v>
      </c>
      <c r="Z12" s="280" t="s">
        <v>232</v>
      </c>
      <c r="AA12" s="294"/>
      <c r="AB12" s="294"/>
      <c r="AC12" s="294"/>
      <c r="AD12" s="282"/>
      <c r="AE12" s="290">
        <v>0</v>
      </c>
      <c r="AF12" s="295">
        <v>6297</v>
      </c>
      <c r="AG12" s="284">
        <v>577</v>
      </c>
      <c r="AH12" s="285">
        <v>0.10087412587412592</v>
      </c>
      <c r="AI12" s="286">
        <v>14</v>
      </c>
      <c r="AJ12" s="286">
        <v>450</v>
      </c>
      <c r="AK12" s="286"/>
      <c r="AL12" s="286">
        <v>688</v>
      </c>
      <c r="AM12" s="286">
        <v>94246</v>
      </c>
      <c r="AN12" s="273" t="s">
        <v>176</v>
      </c>
      <c r="AO12" s="286"/>
      <c r="AP12" s="287" t="s">
        <v>1500</v>
      </c>
      <c r="AQ12" s="287" t="s">
        <v>101</v>
      </c>
      <c r="AR12" s="271" t="s">
        <v>1490</v>
      </c>
      <c r="AS12" s="271" t="s">
        <v>164</v>
      </c>
      <c r="AT12" s="271" t="s">
        <v>247</v>
      </c>
      <c r="AU12" s="287"/>
      <c r="AV12" s="287"/>
      <c r="AW12" s="288" t="s">
        <v>103</v>
      </c>
    </row>
    <row r="13" spans="1:50" ht="20" customHeight="1">
      <c r="A13" s="362"/>
      <c r="B13" s="5" t="s">
        <v>318</v>
      </c>
      <c r="C13" s="271">
        <v>15006800</v>
      </c>
      <c r="D13" s="271" t="s">
        <v>51</v>
      </c>
      <c r="E13" s="271" t="s">
        <v>52</v>
      </c>
      <c r="F13" s="271" t="s">
        <v>62</v>
      </c>
      <c r="G13" s="271" t="s">
        <v>211</v>
      </c>
      <c r="H13" s="271" t="s">
        <v>197</v>
      </c>
      <c r="I13" s="272">
        <v>40744</v>
      </c>
      <c r="J13" s="271" t="s">
        <v>111</v>
      </c>
      <c r="K13" s="271" t="s">
        <v>212</v>
      </c>
      <c r="L13" s="271" t="s">
        <v>56</v>
      </c>
      <c r="M13" s="273">
        <v>2</v>
      </c>
      <c r="N13" s="273">
        <v>3</v>
      </c>
      <c r="O13" s="290">
        <v>15455</v>
      </c>
      <c r="P13" s="296">
        <v>0.03</v>
      </c>
      <c r="Q13" s="291">
        <v>464</v>
      </c>
      <c r="R13" s="296">
        <v>0</v>
      </c>
      <c r="S13" s="291">
        <v>0</v>
      </c>
      <c r="T13" s="296">
        <v>3.0022646392753153E-2</v>
      </c>
      <c r="U13" s="291">
        <v>464</v>
      </c>
      <c r="V13" s="291">
        <v>15919</v>
      </c>
      <c r="W13" s="292">
        <v>17010</v>
      </c>
      <c r="X13" s="293">
        <v>1555</v>
      </c>
      <c r="Y13" s="297">
        <v>0.10059999999999999</v>
      </c>
      <c r="Z13" s="298" t="s">
        <v>233</v>
      </c>
      <c r="AA13" s="294"/>
      <c r="AB13" s="294"/>
      <c r="AC13" s="294"/>
      <c r="AD13" s="299"/>
      <c r="AE13" s="290">
        <v>0</v>
      </c>
      <c r="AF13" s="295">
        <v>17010</v>
      </c>
      <c r="AG13" s="284">
        <v>1555</v>
      </c>
      <c r="AH13" s="300">
        <v>0.10061468780329985</v>
      </c>
      <c r="AI13" s="286">
        <v>14</v>
      </c>
      <c r="AJ13" s="286">
        <v>450</v>
      </c>
      <c r="AK13" s="286"/>
      <c r="AL13" s="286">
        <v>688</v>
      </c>
      <c r="AM13" s="286">
        <v>244228</v>
      </c>
      <c r="AN13" s="273">
        <v>5</v>
      </c>
      <c r="AO13" s="286"/>
      <c r="AP13" s="287" t="s">
        <v>213</v>
      </c>
      <c r="AQ13" s="287" t="s">
        <v>205</v>
      </c>
      <c r="AR13" s="271" t="s">
        <v>201</v>
      </c>
      <c r="AS13" s="271" t="s">
        <v>164</v>
      </c>
      <c r="AT13" s="271" t="s">
        <v>59</v>
      </c>
      <c r="AU13" s="359" t="s">
        <v>102</v>
      </c>
      <c r="AV13" s="359" t="s">
        <v>103</v>
      </c>
      <c r="AW13" s="307" t="s">
        <v>103</v>
      </c>
    </row>
    <row r="14" spans="1:50" ht="20" customHeight="1">
      <c r="A14" s="362"/>
      <c r="B14" s="5" t="s">
        <v>318</v>
      </c>
      <c r="C14" s="271">
        <v>1705021</v>
      </c>
      <c r="D14" s="271" t="s">
        <v>51</v>
      </c>
      <c r="E14" s="271" t="s">
        <v>52</v>
      </c>
      <c r="F14" s="271" t="s">
        <v>2035</v>
      </c>
      <c r="G14" s="271" t="s">
        <v>2110</v>
      </c>
      <c r="H14" s="271" t="s">
        <v>2111</v>
      </c>
      <c r="I14" s="272">
        <v>39664</v>
      </c>
      <c r="J14" s="271" t="s">
        <v>74</v>
      </c>
      <c r="K14" s="271" t="s">
        <v>2159</v>
      </c>
      <c r="L14" s="271" t="s">
        <v>76</v>
      </c>
      <c r="M14" s="273">
        <v>2</v>
      </c>
      <c r="N14" s="273">
        <v>4</v>
      </c>
      <c r="O14" s="290">
        <v>11633</v>
      </c>
      <c r="P14" s="275">
        <v>3.7500000000000006E-2</v>
      </c>
      <c r="Q14" s="291">
        <v>436</v>
      </c>
      <c r="R14" s="275">
        <v>1.55E-2</v>
      </c>
      <c r="S14" s="291">
        <v>180</v>
      </c>
      <c r="T14" s="275">
        <v>5.295280667067824E-2</v>
      </c>
      <c r="U14" s="291">
        <v>616</v>
      </c>
      <c r="V14" s="291">
        <v>12249</v>
      </c>
      <c r="W14" s="292">
        <v>12800</v>
      </c>
      <c r="X14" s="293">
        <v>1167</v>
      </c>
      <c r="Y14" s="279">
        <v>0.1003</v>
      </c>
      <c r="Z14" s="280" t="s">
        <v>2308</v>
      </c>
      <c r="AA14" s="294" t="s">
        <v>87</v>
      </c>
      <c r="AB14" s="294" t="s">
        <v>2160</v>
      </c>
      <c r="AC14" s="294" t="s">
        <v>89</v>
      </c>
      <c r="AD14" s="282">
        <v>0.05</v>
      </c>
      <c r="AE14" s="290">
        <v>582</v>
      </c>
      <c r="AF14" s="295">
        <v>13382</v>
      </c>
      <c r="AG14" s="284">
        <v>1749</v>
      </c>
      <c r="AH14" s="285">
        <v>0.15034814751138992</v>
      </c>
      <c r="AI14" s="286">
        <v>14</v>
      </c>
      <c r="AJ14" s="286">
        <v>450</v>
      </c>
      <c r="AK14" s="286"/>
      <c r="AL14" s="286">
        <v>688</v>
      </c>
      <c r="AM14" s="286">
        <v>193436</v>
      </c>
      <c r="AN14" s="273">
        <v>4</v>
      </c>
      <c r="AO14" s="286"/>
      <c r="AP14" s="287" t="s">
        <v>2161</v>
      </c>
      <c r="AQ14" s="287" t="s">
        <v>173</v>
      </c>
      <c r="AR14" s="271" t="s">
        <v>2074</v>
      </c>
      <c r="AS14" s="271" t="s">
        <v>2075</v>
      </c>
      <c r="AT14" s="271" t="s">
        <v>247</v>
      </c>
      <c r="AU14" s="359"/>
      <c r="AV14" s="359"/>
      <c r="AW14" s="144" t="s">
        <v>103</v>
      </c>
    </row>
    <row r="15" spans="1:50" ht="20" customHeight="1">
      <c r="A15" s="362"/>
      <c r="B15" s="5" t="s">
        <v>318</v>
      </c>
      <c r="C15" s="271">
        <v>1120196</v>
      </c>
      <c r="D15" s="271" t="s">
        <v>51</v>
      </c>
      <c r="E15" s="271" t="s">
        <v>52</v>
      </c>
      <c r="F15" s="271" t="s">
        <v>2035</v>
      </c>
      <c r="G15" s="271" t="s">
        <v>2110</v>
      </c>
      <c r="H15" s="271" t="s">
        <v>2111</v>
      </c>
      <c r="I15" s="272">
        <v>43094</v>
      </c>
      <c r="J15" s="271" t="s">
        <v>55</v>
      </c>
      <c r="K15" s="271" t="s">
        <v>55</v>
      </c>
      <c r="L15" s="271" t="s">
        <v>56</v>
      </c>
      <c r="M15" s="273">
        <v>2</v>
      </c>
      <c r="N15" s="273">
        <v>3</v>
      </c>
      <c r="O15" s="290">
        <v>17480</v>
      </c>
      <c r="P15" s="275">
        <v>0.03</v>
      </c>
      <c r="Q15" s="291">
        <v>524</v>
      </c>
      <c r="R15" s="275">
        <v>0</v>
      </c>
      <c r="S15" s="291">
        <v>0</v>
      </c>
      <c r="T15" s="275">
        <v>2.9977116704805493E-2</v>
      </c>
      <c r="U15" s="291">
        <v>524</v>
      </c>
      <c r="V15" s="291">
        <v>18004</v>
      </c>
      <c r="W15" s="292">
        <v>19228</v>
      </c>
      <c r="X15" s="293">
        <v>1748</v>
      </c>
      <c r="Y15" s="279">
        <v>0.1</v>
      </c>
      <c r="Z15" s="280" t="s">
        <v>233</v>
      </c>
      <c r="AA15" s="294"/>
      <c r="AB15" s="294"/>
      <c r="AC15" s="294"/>
      <c r="AD15" s="282"/>
      <c r="AE15" s="290">
        <v>0</v>
      </c>
      <c r="AF15" s="295">
        <v>19228</v>
      </c>
      <c r="AG15" s="284">
        <v>1748</v>
      </c>
      <c r="AH15" s="285">
        <v>0.10000000000000009</v>
      </c>
      <c r="AI15" s="286">
        <v>14</v>
      </c>
      <c r="AJ15" s="286">
        <v>450</v>
      </c>
      <c r="AK15" s="286"/>
      <c r="AL15" s="286">
        <v>688</v>
      </c>
      <c r="AM15" s="286">
        <v>275280</v>
      </c>
      <c r="AN15" s="273">
        <v>4</v>
      </c>
      <c r="AO15" s="286"/>
      <c r="AP15" s="287" t="s">
        <v>2154</v>
      </c>
      <c r="AQ15" s="287" t="s">
        <v>239</v>
      </c>
      <c r="AR15" s="271" t="s">
        <v>2074</v>
      </c>
      <c r="AS15" s="271" t="s">
        <v>2075</v>
      </c>
      <c r="AT15" s="271" t="s">
        <v>247</v>
      </c>
      <c r="AU15" s="359"/>
      <c r="AV15" s="359"/>
      <c r="AW15" s="307" t="s">
        <v>103</v>
      </c>
    </row>
    <row r="16" spans="1:50" ht="20" customHeight="1">
      <c r="A16" s="362"/>
      <c r="B16" s="5" t="s">
        <v>318</v>
      </c>
      <c r="C16" s="5">
        <v>1118259</v>
      </c>
      <c r="D16" s="5" t="s">
        <v>51</v>
      </c>
      <c r="E16" s="5" t="s">
        <v>52</v>
      </c>
      <c r="F16" s="5" t="s">
        <v>2035</v>
      </c>
      <c r="G16" s="5" t="s">
        <v>2078</v>
      </c>
      <c r="H16" s="5" t="s">
        <v>2072</v>
      </c>
      <c r="I16" s="6">
        <v>37715</v>
      </c>
      <c r="J16" s="5" t="s">
        <v>71</v>
      </c>
      <c r="K16" s="5" t="s">
        <v>2079</v>
      </c>
      <c r="L16" s="5" t="s">
        <v>61</v>
      </c>
      <c r="M16" s="7">
        <v>2</v>
      </c>
      <c r="N16" s="7">
        <v>4</v>
      </c>
      <c r="O16" s="308">
        <v>14894</v>
      </c>
      <c r="P16" s="319">
        <v>3.7500000000000006E-2</v>
      </c>
      <c r="Q16" s="310">
        <v>559</v>
      </c>
      <c r="R16" s="319">
        <v>1.55E-2</v>
      </c>
      <c r="S16" s="310">
        <v>231</v>
      </c>
      <c r="T16" s="319">
        <v>5.3041493218745801E-2</v>
      </c>
      <c r="U16" s="310">
        <v>790</v>
      </c>
      <c r="V16" s="310">
        <v>15684</v>
      </c>
      <c r="W16" s="311">
        <v>16380</v>
      </c>
      <c r="X16" s="312">
        <v>1486</v>
      </c>
      <c r="Y16" s="320">
        <v>9.98E-2</v>
      </c>
      <c r="Z16" s="321" t="s">
        <v>222</v>
      </c>
      <c r="AA16" s="315"/>
      <c r="AB16" s="315"/>
      <c r="AC16" s="315"/>
      <c r="AD16" s="322"/>
      <c r="AE16" s="308">
        <v>0</v>
      </c>
      <c r="AF16" s="317">
        <v>16380</v>
      </c>
      <c r="AG16" s="18">
        <v>1486</v>
      </c>
      <c r="AH16" s="323">
        <v>9.9771720155767518E-2</v>
      </c>
      <c r="AI16" s="20">
        <v>14</v>
      </c>
      <c r="AJ16" s="20">
        <v>450</v>
      </c>
      <c r="AK16" s="20"/>
      <c r="AL16" s="20">
        <v>688</v>
      </c>
      <c r="AM16" s="20">
        <v>235408</v>
      </c>
      <c r="AN16" s="7">
        <v>5</v>
      </c>
      <c r="AO16" s="20"/>
      <c r="AP16" s="21" t="s">
        <v>2080</v>
      </c>
      <c r="AQ16" s="21" t="s">
        <v>205</v>
      </c>
      <c r="AR16" s="5" t="s">
        <v>2074</v>
      </c>
      <c r="AS16" s="5" t="s">
        <v>2075</v>
      </c>
      <c r="AT16" s="5" t="s">
        <v>247</v>
      </c>
      <c r="AU16" s="21"/>
      <c r="AV16" s="21"/>
      <c r="AW16" s="144" t="s">
        <v>103</v>
      </c>
    </row>
    <row r="17" spans="1:50" ht="20" customHeight="1">
      <c r="A17" s="362"/>
      <c r="B17" s="5" t="s">
        <v>318</v>
      </c>
      <c r="C17" s="5">
        <v>1120353</v>
      </c>
      <c r="D17" s="5" t="s">
        <v>51</v>
      </c>
      <c r="E17" s="5" t="s">
        <v>52</v>
      </c>
      <c r="F17" s="5" t="s">
        <v>2035</v>
      </c>
      <c r="G17" s="5" t="s">
        <v>2107</v>
      </c>
      <c r="H17" s="5" t="s">
        <v>2108</v>
      </c>
      <c r="I17" s="6">
        <v>44452</v>
      </c>
      <c r="J17" s="5" t="s">
        <v>74</v>
      </c>
      <c r="K17" s="5" t="s">
        <v>74</v>
      </c>
      <c r="L17" s="5" t="s">
        <v>76</v>
      </c>
      <c r="M17" s="7">
        <v>2</v>
      </c>
      <c r="N17" s="7">
        <v>3</v>
      </c>
      <c r="O17" s="308">
        <v>9274</v>
      </c>
      <c r="P17" s="319">
        <v>0.03</v>
      </c>
      <c r="Q17" s="310">
        <v>278</v>
      </c>
      <c r="R17" s="319">
        <v>0</v>
      </c>
      <c r="S17" s="310">
        <v>0</v>
      </c>
      <c r="T17" s="319">
        <v>2.9976277765796852E-2</v>
      </c>
      <c r="U17" s="310">
        <v>278</v>
      </c>
      <c r="V17" s="310">
        <v>9552</v>
      </c>
      <c r="W17" s="311">
        <v>10200</v>
      </c>
      <c r="X17" s="312">
        <v>926</v>
      </c>
      <c r="Y17" s="320">
        <v>9.98E-2</v>
      </c>
      <c r="Z17" s="321" t="s">
        <v>233</v>
      </c>
      <c r="AA17" s="315"/>
      <c r="AB17" s="315"/>
      <c r="AC17" s="315"/>
      <c r="AD17" s="322"/>
      <c r="AE17" s="308">
        <v>0</v>
      </c>
      <c r="AF17" s="317">
        <v>10200</v>
      </c>
      <c r="AG17" s="18">
        <v>926</v>
      </c>
      <c r="AH17" s="323">
        <v>9.9849040327798066E-2</v>
      </c>
      <c r="AI17" s="20">
        <v>14</v>
      </c>
      <c r="AJ17" s="20">
        <v>450</v>
      </c>
      <c r="AK17" s="20"/>
      <c r="AL17" s="20">
        <v>688</v>
      </c>
      <c r="AM17" s="20">
        <v>148888</v>
      </c>
      <c r="AN17" s="7">
        <v>4</v>
      </c>
      <c r="AO17" s="20"/>
      <c r="AP17" s="21" t="s">
        <v>2128</v>
      </c>
      <c r="AQ17" s="21" t="s">
        <v>239</v>
      </c>
      <c r="AR17" s="5" t="s">
        <v>2074</v>
      </c>
      <c r="AS17" s="5" t="s">
        <v>2075</v>
      </c>
      <c r="AT17" s="5" t="s">
        <v>247</v>
      </c>
      <c r="AU17" s="21"/>
      <c r="AV17" s="21"/>
      <c r="AW17" s="144" t="s">
        <v>103</v>
      </c>
    </row>
    <row r="18" spans="1:50" ht="20" customHeight="1">
      <c r="A18" s="362"/>
      <c r="B18" s="5" t="s">
        <v>318</v>
      </c>
      <c r="C18" s="5">
        <v>1707005</v>
      </c>
      <c r="D18" s="5" t="s">
        <v>51</v>
      </c>
      <c r="E18" s="5" t="s">
        <v>52</v>
      </c>
      <c r="F18" s="5" t="s">
        <v>1604</v>
      </c>
      <c r="G18" s="5" t="s">
        <v>1494</v>
      </c>
      <c r="H18" s="5" t="s">
        <v>1495</v>
      </c>
      <c r="I18" s="6">
        <v>40391</v>
      </c>
      <c r="J18" s="5" t="s">
        <v>74</v>
      </c>
      <c r="K18" s="5" t="s">
        <v>74</v>
      </c>
      <c r="L18" s="5" t="s">
        <v>76</v>
      </c>
      <c r="M18" s="7">
        <v>2</v>
      </c>
      <c r="N18" s="7">
        <v>3</v>
      </c>
      <c r="O18" s="308">
        <v>7103</v>
      </c>
      <c r="P18" s="319">
        <v>3.5000000000000003E-2</v>
      </c>
      <c r="Q18" s="310">
        <v>249</v>
      </c>
      <c r="R18" s="319">
        <v>0</v>
      </c>
      <c r="S18" s="310">
        <v>0</v>
      </c>
      <c r="T18" s="319">
        <v>3.505561030550472E-2</v>
      </c>
      <c r="U18" s="310">
        <v>249</v>
      </c>
      <c r="V18" s="310">
        <v>7352</v>
      </c>
      <c r="W18" s="311">
        <v>7800</v>
      </c>
      <c r="X18" s="312">
        <v>697</v>
      </c>
      <c r="Y18" s="320">
        <v>9.8100000000000007E-2</v>
      </c>
      <c r="Z18" s="321" t="s">
        <v>2319</v>
      </c>
      <c r="AA18" s="315"/>
      <c r="AB18" s="315"/>
      <c r="AC18" s="315"/>
      <c r="AD18" s="322"/>
      <c r="AE18" s="308">
        <v>0</v>
      </c>
      <c r="AF18" s="317">
        <v>7800</v>
      </c>
      <c r="AG18" s="18">
        <v>697</v>
      </c>
      <c r="AH18" s="323">
        <v>9.8127551738701912E-2</v>
      </c>
      <c r="AI18" s="20">
        <v>14</v>
      </c>
      <c r="AJ18" s="20">
        <v>450</v>
      </c>
      <c r="AK18" s="20"/>
      <c r="AL18" s="20">
        <v>688</v>
      </c>
      <c r="AM18" s="20">
        <v>115288</v>
      </c>
      <c r="AN18" s="7">
        <v>3</v>
      </c>
      <c r="AO18" s="20"/>
      <c r="AP18" s="21" t="s">
        <v>1498</v>
      </c>
      <c r="AQ18" s="21" t="s">
        <v>101</v>
      </c>
      <c r="AR18" s="5" t="s">
        <v>1490</v>
      </c>
      <c r="AS18" s="5" t="s">
        <v>164</v>
      </c>
      <c r="AT18" s="5" t="s">
        <v>247</v>
      </c>
      <c r="AU18" s="21"/>
      <c r="AV18" s="21"/>
      <c r="AW18" s="144" t="s">
        <v>103</v>
      </c>
    </row>
    <row r="19" spans="1:50" ht="20" customHeight="1">
      <c r="A19" s="362"/>
      <c r="B19" s="5" t="s">
        <v>318</v>
      </c>
      <c r="C19" s="5">
        <v>1213096</v>
      </c>
      <c r="D19" s="5" t="s">
        <v>51</v>
      </c>
      <c r="E19" s="5" t="s">
        <v>52</v>
      </c>
      <c r="F19" s="5" t="s">
        <v>1604</v>
      </c>
      <c r="G19" s="5" t="s">
        <v>1501</v>
      </c>
      <c r="H19" s="5" t="s">
        <v>1450</v>
      </c>
      <c r="I19" s="6">
        <v>37088</v>
      </c>
      <c r="J19" s="5" t="s">
        <v>111</v>
      </c>
      <c r="K19" s="5" t="s">
        <v>1505</v>
      </c>
      <c r="L19" s="5" t="s">
        <v>56</v>
      </c>
      <c r="M19" s="7">
        <v>2</v>
      </c>
      <c r="N19" s="7">
        <v>4</v>
      </c>
      <c r="O19" s="308">
        <v>23768</v>
      </c>
      <c r="P19" s="309">
        <v>3.7500000000000006E-2</v>
      </c>
      <c r="Q19" s="310">
        <v>891</v>
      </c>
      <c r="R19" s="309">
        <v>1.55E-2</v>
      </c>
      <c r="S19" s="310">
        <v>368</v>
      </c>
      <c r="T19" s="309">
        <v>5.2970380343318746E-2</v>
      </c>
      <c r="U19" s="310">
        <v>1259</v>
      </c>
      <c r="V19" s="310">
        <v>25027</v>
      </c>
      <c r="W19" s="311">
        <v>26000</v>
      </c>
      <c r="X19" s="312">
        <v>2232</v>
      </c>
      <c r="Y19" s="313">
        <v>9.3899999999999997E-2</v>
      </c>
      <c r="Z19" s="314" t="s">
        <v>222</v>
      </c>
      <c r="AA19" s="315"/>
      <c r="AB19" s="315"/>
      <c r="AC19" s="315"/>
      <c r="AD19" s="316"/>
      <c r="AE19" s="308">
        <v>0</v>
      </c>
      <c r="AF19" s="317">
        <v>26000</v>
      </c>
      <c r="AG19" s="18">
        <v>2232</v>
      </c>
      <c r="AH19" s="318">
        <v>9.3907775159878915E-2</v>
      </c>
      <c r="AI19" s="20">
        <v>14</v>
      </c>
      <c r="AJ19" s="20">
        <v>450</v>
      </c>
      <c r="AK19" s="20"/>
      <c r="AL19" s="20">
        <v>688</v>
      </c>
      <c r="AM19" s="20">
        <v>370088</v>
      </c>
      <c r="AN19" s="7">
        <v>4</v>
      </c>
      <c r="AO19" s="20"/>
      <c r="AP19" s="21" t="s">
        <v>1506</v>
      </c>
      <c r="AQ19" s="21" t="s">
        <v>205</v>
      </c>
      <c r="AR19" s="5" t="s">
        <v>1504</v>
      </c>
      <c r="AS19" s="5" t="s">
        <v>164</v>
      </c>
      <c r="AT19" s="5" t="s">
        <v>59</v>
      </c>
      <c r="AU19" s="21"/>
      <c r="AV19" s="21"/>
      <c r="AW19" s="144" t="s">
        <v>103</v>
      </c>
    </row>
    <row r="20" spans="1:50" ht="20" customHeight="1">
      <c r="A20" s="362"/>
      <c r="B20" s="5" t="s">
        <v>318</v>
      </c>
      <c r="C20" s="5">
        <v>11016123</v>
      </c>
      <c r="D20" s="5" t="s">
        <v>51</v>
      </c>
      <c r="E20" s="5" t="s">
        <v>52</v>
      </c>
      <c r="F20" s="5" t="s">
        <v>1753</v>
      </c>
      <c r="G20" s="5" t="s">
        <v>1853</v>
      </c>
      <c r="H20" s="5" t="s">
        <v>1739</v>
      </c>
      <c r="I20" s="6">
        <v>43234</v>
      </c>
      <c r="J20" s="5" t="s">
        <v>71</v>
      </c>
      <c r="K20" s="5" t="s">
        <v>71</v>
      </c>
      <c r="L20" s="5" t="s">
        <v>61</v>
      </c>
      <c r="M20" s="7">
        <v>2</v>
      </c>
      <c r="N20" s="7">
        <v>4</v>
      </c>
      <c r="O20" s="308">
        <v>14800</v>
      </c>
      <c r="P20" s="319">
        <v>3.7500000000000006E-2</v>
      </c>
      <c r="Q20" s="310">
        <v>555</v>
      </c>
      <c r="R20" s="319">
        <v>1.55E-2</v>
      </c>
      <c r="S20" s="310">
        <v>229</v>
      </c>
      <c r="T20" s="319">
        <v>5.2972972972972973E-2</v>
      </c>
      <c r="U20" s="310">
        <v>784</v>
      </c>
      <c r="V20" s="310">
        <v>15584</v>
      </c>
      <c r="W20" s="311">
        <v>16184</v>
      </c>
      <c r="X20" s="312">
        <v>1384</v>
      </c>
      <c r="Y20" s="320">
        <v>9.35E-2</v>
      </c>
      <c r="Z20" s="321" t="s">
        <v>222</v>
      </c>
      <c r="AA20" s="315"/>
      <c r="AB20" s="315"/>
      <c r="AC20" s="315"/>
      <c r="AD20" s="322"/>
      <c r="AE20" s="308">
        <v>0</v>
      </c>
      <c r="AF20" s="317">
        <v>16184</v>
      </c>
      <c r="AG20" s="18">
        <v>1384</v>
      </c>
      <c r="AH20" s="323">
        <v>9.3513513513513447E-2</v>
      </c>
      <c r="AI20" s="20">
        <v>14</v>
      </c>
      <c r="AJ20" s="20">
        <v>450</v>
      </c>
      <c r="AK20" s="20"/>
      <c r="AL20" s="20">
        <v>688</v>
      </c>
      <c r="AM20" s="20">
        <v>232664</v>
      </c>
      <c r="AN20" s="7">
        <v>3</v>
      </c>
      <c r="AO20" s="20"/>
      <c r="AP20" s="21"/>
      <c r="AQ20" s="21" t="s">
        <v>205</v>
      </c>
      <c r="AR20" s="5" t="s">
        <v>1854</v>
      </c>
      <c r="AS20" s="5" t="s">
        <v>124</v>
      </c>
      <c r="AT20" s="356"/>
      <c r="AU20" s="356"/>
      <c r="AV20" s="356"/>
      <c r="AW20" s="144" t="s">
        <v>103</v>
      </c>
    </row>
    <row r="21" spans="1:50" ht="20" customHeight="1">
      <c r="A21" s="362"/>
      <c r="B21" s="5" t="s">
        <v>318</v>
      </c>
      <c r="C21" s="5">
        <v>15007522</v>
      </c>
      <c r="D21" s="5" t="s">
        <v>51</v>
      </c>
      <c r="E21" s="5" t="s">
        <v>52</v>
      </c>
      <c r="F21" s="5" t="s">
        <v>62</v>
      </c>
      <c r="G21" s="5" t="s">
        <v>95</v>
      </c>
      <c r="H21" s="5" t="s">
        <v>92</v>
      </c>
      <c r="I21" s="6">
        <v>41091</v>
      </c>
      <c r="J21" s="5" t="s">
        <v>71</v>
      </c>
      <c r="K21" s="5" t="s">
        <v>99</v>
      </c>
      <c r="L21" s="5" t="s">
        <v>61</v>
      </c>
      <c r="M21" s="7">
        <v>2</v>
      </c>
      <c r="N21" s="7">
        <v>3</v>
      </c>
      <c r="O21" s="348">
        <v>13100</v>
      </c>
      <c r="P21" s="319">
        <v>0.03</v>
      </c>
      <c r="Q21" s="349">
        <v>393</v>
      </c>
      <c r="R21" s="319">
        <v>0</v>
      </c>
      <c r="S21" s="349">
        <v>0</v>
      </c>
      <c r="T21" s="319">
        <v>0.03</v>
      </c>
      <c r="U21" s="349">
        <v>393</v>
      </c>
      <c r="V21" s="349">
        <v>13493</v>
      </c>
      <c r="W21" s="350">
        <v>14312</v>
      </c>
      <c r="X21" s="351">
        <v>1212</v>
      </c>
      <c r="Y21" s="320">
        <v>9.2499999999999999E-2</v>
      </c>
      <c r="Z21" s="321" t="s">
        <v>233</v>
      </c>
      <c r="AA21" s="352"/>
      <c r="AB21" s="352"/>
      <c r="AC21" s="352"/>
      <c r="AD21" s="322"/>
      <c r="AE21" s="348">
        <v>0</v>
      </c>
      <c r="AF21" s="353">
        <v>14312</v>
      </c>
      <c r="AG21" s="18">
        <v>1212</v>
      </c>
      <c r="AH21" s="323">
        <v>9.2519083969465621E-2</v>
      </c>
      <c r="AI21" s="20">
        <v>14</v>
      </c>
      <c r="AJ21" s="20">
        <v>450</v>
      </c>
      <c r="AK21" s="20"/>
      <c r="AL21" s="20">
        <v>688</v>
      </c>
      <c r="AM21" s="20">
        <v>206456</v>
      </c>
      <c r="AN21" s="7">
        <v>2</v>
      </c>
      <c r="AO21" s="20"/>
      <c r="AP21" s="21" t="s">
        <v>100</v>
      </c>
      <c r="AQ21" s="21" t="s">
        <v>101</v>
      </c>
      <c r="AR21" s="5" t="s">
        <v>94</v>
      </c>
      <c r="AS21" s="5" t="s">
        <v>69</v>
      </c>
      <c r="AT21" s="5" t="s">
        <v>59</v>
      </c>
      <c r="AU21" s="21" t="s">
        <v>102</v>
      </c>
      <c r="AV21" s="21" t="s">
        <v>103</v>
      </c>
      <c r="AW21" s="307" t="s">
        <v>103</v>
      </c>
      <c r="AX21" t="s">
        <v>2329</v>
      </c>
    </row>
    <row r="22" spans="1:50" ht="20" customHeight="1">
      <c r="A22" s="362"/>
      <c r="B22" s="5" t="s">
        <v>318</v>
      </c>
      <c r="C22" s="5">
        <v>11011629</v>
      </c>
      <c r="D22" s="5" t="s">
        <v>51</v>
      </c>
      <c r="E22" s="5" t="s">
        <v>52</v>
      </c>
      <c r="F22" s="5" t="s">
        <v>1753</v>
      </c>
      <c r="G22" s="5" t="s">
        <v>1884</v>
      </c>
      <c r="H22" s="5" t="s">
        <v>1748</v>
      </c>
      <c r="I22" s="6">
        <v>41920</v>
      </c>
      <c r="J22" s="5" t="s">
        <v>226</v>
      </c>
      <c r="K22" s="5" t="s">
        <v>226</v>
      </c>
      <c r="L22" s="5" t="s">
        <v>84</v>
      </c>
      <c r="M22" s="7">
        <v>2</v>
      </c>
      <c r="N22" s="7">
        <v>3</v>
      </c>
      <c r="O22" s="308">
        <v>8185</v>
      </c>
      <c r="P22" s="319">
        <v>2.5000000000000001E-2</v>
      </c>
      <c r="Q22" s="310">
        <v>205</v>
      </c>
      <c r="R22" s="319">
        <v>0</v>
      </c>
      <c r="S22" s="310">
        <v>0</v>
      </c>
      <c r="T22" s="319">
        <v>2.504581551618815E-2</v>
      </c>
      <c r="U22" s="310">
        <v>205</v>
      </c>
      <c r="V22" s="310">
        <v>8390</v>
      </c>
      <c r="W22" s="311">
        <v>8890</v>
      </c>
      <c r="X22" s="312">
        <v>705</v>
      </c>
      <c r="Y22" s="320">
        <v>8.6099999999999996E-2</v>
      </c>
      <c r="Z22" s="321" t="s">
        <v>285</v>
      </c>
      <c r="AA22" s="315"/>
      <c r="AB22" s="315"/>
      <c r="AC22" s="315"/>
      <c r="AD22" s="322"/>
      <c r="AE22" s="308">
        <v>0</v>
      </c>
      <c r="AF22" s="317">
        <v>8890</v>
      </c>
      <c r="AG22" s="18">
        <v>705</v>
      </c>
      <c r="AH22" s="323">
        <v>8.6133170433720263E-2</v>
      </c>
      <c r="AI22" s="20">
        <v>14</v>
      </c>
      <c r="AJ22" s="20">
        <v>450</v>
      </c>
      <c r="AK22" s="20"/>
      <c r="AL22" s="20">
        <v>688</v>
      </c>
      <c r="AM22" s="20">
        <v>130548</v>
      </c>
      <c r="AN22" s="7">
        <v>3</v>
      </c>
      <c r="AO22" s="20"/>
      <c r="AP22" s="21"/>
      <c r="AQ22" s="21" t="s">
        <v>128</v>
      </c>
      <c r="AR22" s="5" t="s">
        <v>1854</v>
      </c>
      <c r="AS22" s="5" t="s">
        <v>124</v>
      </c>
      <c r="AT22" s="356"/>
      <c r="AU22" s="356"/>
      <c r="AV22" s="356"/>
      <c r="AW22" s="144" t="s">
        <v>103</v>
      </c>
    </row>
    <row r="23" spans="1:50" ht="20" customHeight="1">
      <c r="A23" s="362"/>
      <c r="B23" s="5" t="s">
        <v>318</v>
      </c>
      <c r="C23" s="5">
        <v>11007521</v>
      </c>
      <c r="D23" s="5" t="s">
        <v>51</v>
      </c>
      <c r="E23" s="5" t="s">
        <v>52</v>
      </c>
      <c r="F23" s="5" t="s">
        <v>1753</v>
      </c>
      <c r="G23" s="5" t="s">
        <v>1738</v>
      </c>
      <c r="H23" s="5" t="s">
        <v>1739</v>
      </c>
      <c r="I23" s="6">
        <v>40653</v>
      </c>
      <c r="J23" s="5" t="s">
        <v>292</v>
      </c>
      <c r="K23" s="5" t="s">
        <v>1740</v>
      </c>
      <c r="L23" s="5" t="s">
        <v>294</v>
      </c>
      <c r="M23" s="7">
        <v>1</v>
      </c>
      <c r="N23" s="7">
        <v>3</v>
      </c>
      <c r="O23" s="308">
        <v>48000</v>
      </c>
      <c r="P23" s="319">
        <v>4.5025672433819608E-2</v>
      </c>
      <c r="Q23" s="310">
        <v>2161</v>
      </c>
      <c r="R23" s="319">
        <v>0</v>
      </c>
      <c r="S23" s="310">
        <v>0</v>
      </c>
      <c r="T23" s="319">
        <v>4.5020833333333336E-2</v>
      </c>
      <c r="U23" s="310">
        <v>2161</v>
      </c>
      <c r="V23" s="310">
        <v>50161</v>
      </c>
      <c r="W23" s="311">
        <v>52053</v>
      </c>
      <c r="X23" s="312">
        <v>4053</v>
      </c>
      <c r="Y23" s="320">
        <v>8.4400000000000003E-2</v>
      </c>
      <c r="Z23" s="321" t="s">
        <v>2320</v>
      </c>
      <c r="AA23" s="315"/>
      <c r="AB23" s="315"/>
      <c r="AC23" s="315"/>
      <c r="AD23" s="322"/>
      <c r="AE23" s="308">
        <v>0</v>
      </c>
      <c r="AF23" s="317">
        <v>52053</v>
      </c>
      <c r="AG23" s="18">
        <v>4053</v>
      </c>
      <c r="AH23" s="323">
        <v>8.4437499999999943E-2</v>
      </c>
      <c r="AI23" s="20">
        <v>16</v>
      </c>
      <c r="AJ23" s="20">
        <v>450</v>
      </c>
      <c r="AK23" s="20">
        <v>5000</v>
      </c>
      <c r="AL23" s="20">
        <v>0</v>
      </c>
      <c r="AM23" s="20">
        <v>898248</v>
      </c>
      <c r="AN23" s="7">
        <v>3</v>
      </c>
      <c r="AO23" s="20"/>
      <c r="AP23" s="21" t="s">
        <v>2327</v>
      </c>
      <c r="AQ23" s="21" t="s">
        <v>229</v>
      </c>
      <c r="AR23" s="5" t="s">
        <v>1741</v>
      </c>
      <c r="AS23" s="5" t="s">
        <v>124</v>
      </c>
      <c r="AT23" s="356"/>
      <c r="AU23" s="356"/>
      <c r="AV23" s="356"/>
      <c r="AW23" s="307" t="s">
        <v>103</v>
      </c>
    </row>
    <row r="24" spans="1:50" ht="20" customHeight="1">
      <c r="A24" s="362"/>
      <c r="B24" s="5" t="s">
        <v>318</v>
      </c>
      <c r="C24" s="5">
        <v>15003288</v>
      </c>
      <c r="D24" s="5" t="s">
        <v>51</v>
      </c>
      <c r="E24" s="5" t="s">
        <v>52</v>
      </c>
      <c r="F24" s="5" t="s">
        <v>1753</v>
      </c>
      <c r="G24" s="5" t="s">
        <v>1838</v>
      </c>
      <c r="H24" s="5" t="s">
        <v>1743</v>
      </c>
      <c r="I24" s="6">
        <v>40360</v>
      </c>
      <c r="J24" s="5" t="s">
        <v>226</v>
      </c>
      <c r="K24" s="5" t="s">
        <v>226</v>
      </c>
      <c r="L24" s="5" t="s">
        <v>84</v>
      </c>
      <c r="M24" s="7">
        <v>2</v>
      </c>
      <c r="N24" s="7">
        <v>4</v>
      </c>
      <c r="O24" s="308">
        <v>8300</v>
      </c>
      <c r="P24" s="309">
        <v>0.03</v>
      </c>
      <c r="Q24" s="310">
        <v>249</v>
      </c>
      <c r="R24" s="309">
        <v>0</v>
      </c>
      <c r="S24" s="310">
        <v>0</v>
      </c>
      <c r="T24" s="309">
        <v>0.03</v>
      </c>
      <c r="U24" s="310">
        <v>249</v>
      </c>
      <c r="V24" s="310">
        <v>8549</v>
      </c>
      <c r="W24" s="311">
        <v>9000</v>
      </c>
      <c r="X24" s="312">
        <v>700</v>
      </c>
      <c r="Y24" s="313">
        <v>8.43E-2</v>
      </c>
      <c r="Z24" s="314" t="s">
        <v>233</v>
      </c>
      <c r="AA24" s="315"/>
      <c r="AB24" s="315"/>
      <c r="AC24" s="315"/>
      <c r="AD24" s="316"/>
      <c r="AE24" s="308">
        <v>0</v>
      </c>
      <c r="AF24" s="317">
        <v>9000</v>
      </c>
      <c r="AG24" s="18">
        <v>700</v>
      </c>
      <c r="AH24" s="318">
        <v>8.43373493975903E-2</v>
      </c>
      <c r="AI24" s="20">
        <v>14</v>
      </c>
      <c r="AJ24" s="20">
        <v>450</v>
      </c>
      <c r="AK24" s="20"/>
      <c r="AL24" s="20">
        <v>688</v>
      </c>
      <c r="AM24" s="20">
        <v>132088</v>
      </c>
      <c r="AN24" s="7">
        <v>3</v>
      </c>
      <c r="AO24" s="20"/>
      <c r="AP24" s="21"/>
      <c r="AQ24" s="21" t="s">
        <v>90</v>
      </c>
      <c r="AR24" s="5" t="s">
        <v>1761</v>
      </c>
      <c r="AS24" s="5" t="s">
        <v>124</v>
      </c>
      <c r="AT24" s="356"/>
      <c r="AU24" s="356"/>
      <c r="AV24" s="356"/>
      <c r="AW24" s="144" t="s">
        <v>103</v>
      </c>
    </row>
    <row r="25" spans="1:50" ht="20" customHeight="1">
      <c r="A25" s="362"/>
      <c r="B25" s="5" t="s">
        <v>318</v>
      </c>
      <c r="C25" s="5">
        <v>1705001</v>
      </c>
      <c r="D25" s="5" t="s">
        <v>51</v>
      </c>
      <c r="E25" s="5" t="s">
        <v>52</v>
      </c>
      <c r="F25" s="5" t="s">
        <v>1604</v>
      </c>
      <c r="G25" s="5" t="s">
        <v>1501</v>
      </c>
      <c r="H25" s="5" t="s">
        <v>1450</v>
      </c>
      <c r="I25" s="6">
        <v>39664</v>
      </c>
      <c r="J25" s="5" t="s">
        <v>74</v>
      </c>
      <c r="K25" s="5" t="s">
        <v>74</v>
      </c>
      <c r="L25" s="5" t="s">
        <v>76</v>
      </c>
      <c r="M25" s="7">
        <v>2</v>
      </c>
      <c r="N25" s="7">
        <v>3</v>
      </c>
      <c r="O25" s="308">
        <v>8315</v>
      </c>
      <c r="P25" s="309">
        <v>0.03</v>
      </c>
      <c r="Q25" s="310">
        <v>249</v>
      </c>
      <c r="R25" s="309">
        <v>0</v>
      </c>
      <c r="S25" s="310">
        <v>0</v>
      </c>
      <c r="T25" s="309">
        <v>2.9945880938063739E-2</v>
      </c>
      <c r="U25" s="310">
        <v>249</v>
      </c>
      <c r="V25" s="310">
        <v>8564</v>
      </c>
      <c r="W25" s="311">
        <v>9000</v>
      </c>
      <c r="X25" s="312">
        <v>685</v>
      </c>
      <c r="Y25" s="313">
        <v>8.2400000000000001E-2</v>
      </c>
      <c r="Z25" s="314" t="s">
        <v>2303</v>
      </c>
      <c r="AA25" s="315"/>
      <c r="AB25" s="315"/>
      <c r="AC25" s="315"/>
      <c r="AD25" s="316"/>
      <c r="AE25" s="308">
        <v>0</v>
      </c>
      <c r="AF25" s="317">
        <v>9000</v>
      </c>
      <c r="AG25" s="18">
        <v>685</v>
      </c>
      <c r="AH25" s="318">
        <v>8.2381238725195427E-2</v>
      </c>
      <c r="AI25" s="20">
        <v>14</v>
      </c>
      <c r="AJ25" s="20">
        <v>450</v>
      </c>
      <c r="AK25" s="20"/>
      <c r="AL25" s="20">
        <v>688</v>
      </c>
      <c r="AM25" s="20">
        <v>132088</v>
      </c>
      <c r="AN25" s="7">
        <v>5</v>
      </c>
      <c r="AO25" s="20"/>
      <c r="AP25" s="21" t="s">
        <v>1522</v>
      </c>
      <c r="AQ25" s="21" t="s">
        <v>205</v>
      </c>
      <c r="AR25" s="5" t="s">
        <v>1504</v>
      </c>
      <c r="AS25" s="5" t="s">
        <v>164</v>
      </c>
      <c r="AT25" s="5" t="s">
        <v>59</v>
      </c>
      <c r="AU25" s="21"/>
      <c r="AV25" s="21"/>
      <c r="AW25" s="307" t="s">
        <v>103</v>
      </c>
    </row>
    <row r="26" spans="1:50" ht="20" customHeight="1">
      <c r="A26" s="362"/>
      <c r="B26" s="5" t="s">
        <v>318</v>
      </c>
      <c r="C26" s="5">
        <v>1709022</v>
      </c>
      <c r="D26" s="5" t="s">
        <v>51</v>
      </c>
      <c r="E26" s="5" t="s">
        <v>52</v>
      </c>
      <c r="F26" s="5" t="s">
        <v>319</v>
      </c>
      <c r="G26" s="5" t="s">
        <v>2263</v>
      </c>
      <c r="H26" s="5" t="s">
        <v>2259</v>
      </c>
      <c r="I26" s="6">
        <v>41115</v>
      </c>
      <c r="J26" s="5" t="s">
        <v>60</v>
      </c>
      <c r="K26" s="5" t="s">
        <v>2264</v>
      </c>
      <c r="L26" s="5" t="s">
        <v>61</v>
      </c>
      <c r="M26" s="7">
        <v>2</v>
      </c>
      <c r="N26" s="7">
        <v>3</v>
      </c>
      <c r="O26" s="308">
        <v>8880</v>
      </c>
      <c r="P26" s="319">
        <v>0.03</v>
      </c>
      <c r="Q26" s="310">
        <v>266</v>
      </c>
      <c r="R26" s="319">
        <v>0</v>
      </c>
      <c r="S26" s="310">
        <v>0</v>
      </c>
      <c r="T26" s="319">
        <v>2.9954954954954954E-2</v>
      </c>
      <c r="U26" s="310">
        <v>266</v>
      </c>
      <c r="V26" s="310">
        <v>9146</v>
      </c>
      <c r="W26" s="311">
        <v>9600</v>
      </c>
      <c r="X26" s="312">
        <v>720</v>
      </c>
      <c r="Y26" s="320">
        <v>8.1100000000000005E-2</v>
      </c>
      <c r="Z26" s="321" t="s">
        <v>2303</v>
      </c>
      <c r="AA26" s="315"/>
      <c r="AB26" s="315"/>
      <c r="AC26" s="315"/>
      <c r="AD26" s="322"/>
      <c r="AE26" s="308">
        <v>0</v>
      </c>
      <c r="AF26" s="317">
        <v>9600</v>
      </c>
      <c r="AG26" s="18">
        <v>720</v>
      </c>
      <c r="AH26" s="323">
        <v>8.1081081081081141E-2</v>
      </c>
      <c r="AI26" s="20">
        <v>14</v>
      </c>
      <c r="AJ26" s="20">
        <v>450</v>
      </c>
      <c r="AK26" s="20"/>
      <c r="AL26" s="20">
        <v>688</v>
      </c>
      <c r="AM26" s="20">
        <v>140488</v>
      </c>
      <c r="AN26" s="7">
        <v>3</v>
      </c>
      <c r="AO26" s="20"/>
      <c r="AP26" s="21" t="s">
        <v>128</v>
      </c>
      <c r="AQ26" s="21" t="s">
        <v>101</v>
      </c>
      <c r="AR26" s="5" t="s">
        <v>2249</v>
      </c>
      <c r="AS26" s="5" t="s">
        <v>246</v>
      </c>
      <c r="AT26" s="5" t="s">
        <v>247</v>
      </c>
      <c r="AU26" s="21"/>
      <c r="AV26" s="21"/>
      <c r="AW26" s="144" t="s">
        <v>103</v>
      </c>
    </row>
    <row r="27" spans="1:50" ht="20" customHeight="1">
      <c r="A27" s="362"/>
      <c r="B27" s="5" t="s">
        <v>318</v>
      </c>
      <c r="C27" s="5">
        <v>15001698</v>
      </c>
      <c r="D27" s="5" t="s">
        <v>51</v>
      </c>
      <c r="E27" s="5" t="s">
        <v>52</v>
      </c>
      <c r="F27" s="5" t="s">
        <v>62</v>
      </c>
      <c r="G27" s="5" t="s">
        <v>165</v>
      </c>
      <c r="H27" s="5" t="s">
        <v>161</v>
      </c>
      <c r="I27" s="6">
        <v>39616</v>
      </c>
      <c r="J27" s="5" t="s">
        <v>74</v>
      </c>
      <c r="K27" s="5" t="s">
        <v>177</v>
      </c>
      <c r="L27" s="5" t="s">
        <v>76</v>
      </c>
      <c r="M27" s="7">
        <v>2</v>
      </c>
      <c r="N27" s="7">
        <v>4</v>
      </c>
      <c r="O27" s="308">
        <v>11737</v>
      </c>
      <c r="P27" s="309">
        <v>3.7500000000000006E-2</v>
      </c>
      <c r="Q27" s="310">
        <v>440</v>
      </c>
      <c r="R27" s="309">
        <v>1.55E-2</v>
      </c>
      <c r="S27" s="310">
        <v>182</v>
      </c>
      <c r="T27" s="309">
        <v>5.2994802760500982E-2</v>
      </c>
      <c r="U27" s="310">
        <v>622</v>
      </c>
      <c r="V27" s="310">
        <v>12359</v>
      </c>
      <c r="W27" s="311">
        <v>12659</v>
      </c>
      <c r="X27" s="312">
        <v>922</v>
      </c>
      <c r="Y27" s="313">
        <v>7.8600000000000003E-2</v>
      </c>
      <c r="Z27" s="314" t="s">
        <v>222</v>
      </c>
      <c r="AA27" s="315"/>
      <c r="AB27" s="315"/>
      <c r="AC27" s="315"/>
      <c r="AD27" s="316"/>
      <c r="AE27" s="308">
        <v>0</v>
      </c>
      <c r="AF27" s="317">
        <v>12659</v>
      </c>
      <c r="AG27" s="18">
        <v>922</v>
      </c>
      <c r="AH27" s="318">
        <v>7.8554997017977302E-2</v>
      </c>
      <c r="AI27" s="20">
        <v>14</v>
      </c>
      <c r="AJ27" s="20">
        <v>450</v>
      </c>
      <c r="AK27" s="20"/>
      <c r="AL27" s="20">
        <v>688</v>
      </c>
      <c r="AM27" s="20">
        <v>183314</v>
      </c>
      <c r="AN27" s="7">
        <v>3</v>
      </c>
      <c r="AO27" s="20"/>
      <c r="AP27" s="21" t="s">
        <v>178</v>
      </c>
      <c r="AQ27" s="21" t="s">
        <v>179</v>
      </c>
      <c r="AR27" s="5" t="s">
        <v>163</v>
      </c>
      <c r="AS27" s="5" t="s">
        <v>164</v>
      </c>
      <c r="AT27" s="5" t="s">
        <v>59</v>
      </c>
      <c r="AU27" s="21" t="s">
        <v>102</v>
      </c>
      <c r="AV27" s="21" t="s">
        <v>103</v>
      </c>
      <c r="AW27" s="307" t="s">
        <v>103</v>
      </c>
    </row>
    <row r="28" spans="1:50" ht="20" customHeight="1">
      <c r="A28" s="362"/>
      <c r="B28" s="5" t="s">
        <v>318</v>
      </c>
      <c r="C28" s="271">
        <v>1120352</v>
      </c>
      <c r="D28" s="271" t="s">
        <v>51</v>
      </c>
      <c r="E28" s="271" t="s">
        <v>52</v>
      </c>
      <c r="F28" s="271" t="s">
        <v>2035</v>
      </c>
      <c r="G28" s="271" t="s">
        <v>2170</v>
      </c>
      <c r="H28" s="271" t="s">
        <v>2171</v>
      </c>
      <c r="I28" s="272">
        <v>44445</v>
      </c>
      <c r="J28" s="271" t="s">
        <v>60</v>
      </c>
      <c r="K28" s="271" t="s">
        <v>60</v>
      </c>
      <c r="L28" s="271" t="s">
        <v>61</v>
      </c>
      <c r="M28" s="273">
        <v>2</v>
      </c>
      <c r="N28" s="273">
        <v>3</v>
      </c>
      <c r="O28" s="290">
        <v>12522</v>
      </c>
      <c r="P28" s="275">
        <v>0.03</v>
      </c>
      <c r="Q28" s="291">
        <v>376</v>
      </c>
      <c r="R28" s="275">
        <v>0</v>
      </c>
      <c r="S28" s="291">
        <v>0</v>
      </c>
      <c r="T28" s="275">
        <v>3.0027152212106691E-2</v>
      </c>
      <c r="U28" s="291">
        <v>376</v>
      </c>
      <c r="V28" s="291">
        <v>12898</v>
      </c>
      <c r="W28" s="292">
        <v>13500</v>
      </c>
      <c r="X28" s="293">
        <v>978</v>
      </c>
      <c r="Y28" s="279">
        <v>7.8100000000000003E-2</v>
      </c>
      <c r="Z28" s="280" t="s">
        <v>233</v>
      </c>
      <c r="AA28" s="294"/>
      <c r="AB28" s="294"/>
      <c r="AC28" s="294"/>
      <c r="AD28" s="282"/>
      <c r="AE28" s="290">
        <v>0</v>
      </c>
      <c r="AF28" s="295">
        <v>13500</v>
      </c>
      <c r="AG28" s="284">
        <v>978</v>
      </c>
      <c r="AH28" s="285">
        <v>7.8102539530426451E-2</v>
      </c>
      <c r="AI28" s="286">
        <v>14</v>
      </c>
      <c r="AJ28" s="286">
        <v>450</v>
      </c>
      <c r="AK28" s="286"/>
      <c r="AL28" s="286">
        <v>688</v>
      </c>
      <c r="AM28" s="286">
        <v>195088</v>
      </c>
      <c r="AN28" s="273">
        <v>5</v>
      </c>
      <c r="AO28" s="286"/>
      <c r="AP28" s="287" t="s">
        <v>2181</v>
      </c>
      <c r="AQ28" s="287" t="s">
        <v>2328</v>
      </c>
      <c r="AR28" s="271" t="s">
        <v>2172</v>
      </c>
      <c r="AS28" s="271" t="s">
        <v>58</v>
      </c>
      <c r="AT28" s="357" t="s">
        <v>247</v>
      </c>
      <c r="AU28" s="359"/>
      <c r="AV28" s="359"/>
      <c r="AW28" s="307" t="s">
        <v>103</v>
      </c>
    </row>
    <row r="29" spans="1:50" ht="20" customHeight="1">
      <c r="A29" s="362"/>
      <c r="B29" s="5" t="s">
        <v>318</v>
      </c>
      <c r="C29" s="271">
        <v>15018456</v>
      </c>
      <c r="D29" s="271" t="s">
        <v>51</v>
      </c>
      <c r="E29" s="271" t="s">
        <v>52</v>
      </c>
      <c r="F29" s="271" t="s">
        <v>1414</v>
      </c>
      <c r="G29" s="271" t="s">
        <v>214</v>
      </c>
      <c r="H29" s="271" t="s">
        <v>215</v>
      </c>
      <c r="I29" s="272">
        <v>43042</v>
      </c>
      <c r="J29" s="271" t="s">
        <v>226</v>
      </c>
      <c r="K29" s="271" t="s">
        <v>226</v>
      </c>
      <c r="L29" s="271" t="s">
        <v>84</v>
      </c>
      <c r="M29" s="273">
        <v>2</v>
      </c>
      <c r="N29" s="273">
        <v>4</v>
      </c>
      <c r="O29" s="290">
        <v>6679</v>
      </c>
      <c r="P29" s="275">
        <v>3.7500000000000006E-2</v>
      </c>
      <c r="Q29" s="291">
        <v>250</v>
      </c>
      <c r="R29" s="275">
        <v>0</v>
      </c>
      <c r="S29" s="291">
        <v>0</v>
      </c>
      <c r="T29" s="275">
        <v>3.7430753106752507E-2</v>
      </c>
      <c r="U29" s="291">
        <v>250</v>
      </c>
      <c r="V29" s="291">
        <v>6929</v>
      </c>
      <c r="W29" s="292">
        <v>7185</v>
      </c>
      <c r="X29" s="293">
        <v>506</v>
      </c>
      <c r="Y29" s="279">
        <v>7.5800000000000006E-2</v>
      </c>
      <c r="Z29" s="280" t="s">
        <v>227</v>
      </c>
      <c r="AA29" s="294"/>
      <c r="AB29" s="294"/>
      <c r="AC29" s="294"/>
      <c r="AD29" s="282"/>
      <c r="AE29" s="290">
        <v>0</v>
      </c>
      <c r="AF29" s="295">
        <v>7185</v>
      </c>
      <c r="AG29" s="284">
        <v>506</v>
      </c>
      <c r="AH29" s="285">
        <v>7.5759844288067146E-2</v>
      </c>
      <c r="AI29" s="286">
        <v>14</v>
      </c>
      <c r="AJ29" s="286">
        <v>450</v>
      </c>
      <c r="AK29" s="286"/>
      <c r="AL29" s="286">
        <v>688</v>
      </c>
      <c r="AM29" s="286">
        <v>106678</v>
      </c>
      <c r="AN29" s="273">
        <v>3</v>
      </c>
      <c r="AO29" s="286"/>
      <c r="AP29" s="287" t="s">
        <v>228</v>
      </c>
      <c r="AQ29" s="287" t="s">
        <v>205</v>
      </c>
      <c r="AR29" s="271" t="s">
        <v>217</v>
      </c>
      <c r="AS29" s="271" t="s">
        <v>164</v>
      </c>
      <c r="AT29" s="357" t="s">
        <v>218</v>
      </c>
      <c r="AU29" s="359"/>
      <c r="AV29" s="359"/>
      <c r="AW29" s="144" t="s">
        <v>103</v>
      </c>
    </row>
    <row r="30" spans="1:50" ht="20" customHeight="1">
      <c r="A30" s="362"/>
      <c r="B30" s="5" t="s">
        <v>318</v>
      </c>
      <c r="C30" s="271">
        <v>15015270</v>
      </c>
      <c r="D30" s="271" t="s">
        <v>51</v>
      </c>
      <c r="E30" s="271" t="s">
        <v>52</v>
      </c>
      <c r="F30" s="271" t="s">
        <v>1604</v>
      </c>
      <c r="G30" s="271" t="s">
        <v>1440</v>
      </c>
      <c r="H30" s="271" t="s">
        <v>1442</v>
      </c>
      <c r="I30" s="272">
        <v>42552</v>
      </c>
      <c r="J30" s="271" t="s">
        <v>198</v>
      </c>
      <c r="K30" s="271" t="s">
        <v>1459</v>
      </c>
      <c r="L30" s="271" t="s">
        <v>199</v>
      </c>
      <c r="M30" s="273">
        <v>2</v>
      </c>
      <c r="N30" s="273">
        <v>3</v>
      </c>
      <c r="O30" s="290">
        <v>21000</v>
      </c>
      <c r="P30" s="296">
        <v>3.5000000000000003E-2</v>
      </c>
      <c r="Q30" s="291">
        <v>735</v>
      </c>
      <c r="R30" s="296">
        <v>0</v>
      </c>
      <c r="S30" s="291">
        <v>0</v>
      </c>
      <c r="T30" s="296">
        <v>3.5000000000000003E-2</v>
      </c>
      <c r="U30" s="291">
        <v>735</v>
      </c>
      <c r="V30" s="291">
        <v>21735</v>
      </c>
      <c r="W30" s="292">
        <v>22500</v>
      </c>
      <c r="X30" s="293">
        <v>1500</v>
      </c>
      <c r="Y30" s="297">
        <v>7.1400000000000005E-2</v>
      </c>
      <c r="Z30" s="298" t="s">
        <v>2316</v>
      </c>
      <c r="AA30" s="294"/>
      <c r="AB30" s="294"/>
      <c r="AC30" s="294"/>
      <c r="AD30" s="299"/>
      <c r="AE30" s="290">
        <v>0</v>
      </c>
      <c r="AF30" s="295">
        <v>22500</v>
      </c>
      <c r="AG30" s="284">
        <v>1500</v>
      </c>
      <c r="AH30" s="300">
        <v>7.1428571428571397E-2</v>
      </c>
      <c r="AI30" s="286">
        <v>14</v>
      </c>
      <c r="AJ30" s="286">
        <v>450</v>
      </c>
      <c r="AK30" s="286">
        <v>1000</v>
      </c>
      <c r="AL30" s="286">
        <v>688</v>
      </c>
      <c r="AM30" s="286">
        <v>333088</v>
      </c>
      <c r="AN30" s="273">
        <v>5</v>
      </c>
      <c r="AO30" s="286"/>
      <c r="AP30" s="287" t="s">
        <v>1460</v>
      </c>
      <c r="AQ30" s="287" t="s">
        <v>101</v>
      </c>
      <c r="AR30" s="271" t="s">
        <v>1444</v>
      </c>
      <c r="AS30" s="271" t="s">
        <v>164</v>
      </c>
      <c r="AT30" s="357" t="s">
        <v>59</v>
      </c>
      <c r="AU30" s="359"/>
      <c r="AV30" s="359"/>
      <c r="AW30" s="144" t="s">
        <v>103</v>
      </c>
    </row>
    <row r="31" spans="1:50" ht="20" customHeight="1">
      <c r="A31" s="362"/>
      <c r="B31" s="5" t="s">
        <v>318</v>
      </c>
      <c r="C31" s="271">
        <v>15004177</v>
      </c>
      <c r="D31" s="271" t="s">
        <v>51</v>
      </c>
      <c r="E31" s="271" t="s">
        <v>52</v>
      </c>
      <c r="F31" s="271" t="s">
        <v>1414</v>
      </c>
      <c r="G31" s="271" t="s">
        <v>219</v>
      </c>
      <c r="H31" s="271" t="s">
        <v>220</v>
      </c>
      <c r="I31" s="272">
        <v>40373</v>
      </c>
      <c r="J31" s="271" t="s">
        <v>174</v>
      </c>
      <c r="K31" s="271" t="s">
        <v>174</v>
      </c>
      <c r="L31" s="271" t="s">
        <v>175</v>
      </c>
      <c r="M31" s="273">
        <v>2</v>
      </c>
      <c r="N31" s="273">
        <v>3</v>
      </c>
      <c r="O31" s="290">
        <v>6725</v>
      </c>
      <c r="P31" s="275">
        <v>0.03</v>
      </c>
      <c r="Q31" s="291">
        <v>202</v>
      </c>
      <c r="R31" s="275">
        <v>0</v>
      </c>
      <c r="S31" s="291">
        <v>0</v>
      </c>
      <c r="T31" s="275">
        <v>3.0037174721189591E-2</v>
      </c>
      <c r="U31" s="291">
        <v>202</v>
      </c>
      <c r="V31" s="291">
        <v>6927</v>
      </c>
      <c r="W31" s="292">
        <v>7200</v>
      </c>
      <c r="X31" s="293">
        <v>475</v>
      </c>
      <c r="Y31" s="279">
        <v>7.0599999999999996E-2</v>
      </c>
      <c r="Z31" s="280" t="s">
        <v>233</v>
      </c>
      <c r="AA31" s="294"/>
      <c r="AB31" s="294"/>
      <c r="AC31" s="294"/>
      <c r="AD31" s="282"/>
      <c r="AE31" s="290">
        <v>0</v>
      </c>
      <c r="AF31" s="295">
        <v>7200</v>
      </c>
      <c r="AG31" s="284">
        <v>475</v>
      </c>
      <c r="AH31" s="285">
        <v>7.0631970260222943E-2</v>
      </c>
      <c r="AI31" s="286">
        <v>14</v>
      </c>
      <c r="AJ31" s="286">
        <v>450</v>
      </c>
      <c r="AK31" s="286"/>
      <c r="AL31" s="286">
        <v>688</v>
      </c>
      <c r="AM31" s="286">
        <v>106888</v>
      </c>
      <c r="AN31" s="273">
        <v>2</v>
      </c>
      <c r="AO31" s="286"/>
      <c r="AP31" s="287" t="s">
        <v>234</v>
      </c>
      <c r="AQ31" s="287" t="s">
        <v>205</v>
      </c>
      <c r="AR31" s="271" t="s">
        <v>217</v>
      </c>
      <c r="AS31" s="271" t="s">
        <v>164</v>
      </c>
      <c r="AT31" s="357" t="s">
        <v>218</v>
      </c>
      <c r="AU31" s="359"/>
      <c r="AV31" s="359"/>
      <c r="AW31" s="307" t="s">
        <v>103</v>
      </c>
      <c r="AX31" t="s">
        <v>2329</v>
      </c>
    </row>
    <row r="32" spans="1:50" ht="20" customHeight="1">
      <c r="A32" s="362"/>
      <c r="B32" s="5" t="s">
        <v>318</v>
      </c>
      <c r="C32" s="271">
        <v>15022342</v>
      </c>
      <c r="D32" s="271" t="s">
        <v>51</v>
      </c>
      <c r="E32" s="271" t="s">
        <v>52</v>
      </c>
      <c r="F32" s="271" t="s">
        <v>62</v>
      </c>
      <c r="G32" s="271" t="s">
        <v>160</v>
      </c>
      <c r="H32" s="271" t="s">
        <v>161</v>
      </c>
      <c r="I32" s="272">
        <v>45035</v>
      </c>
      <c r="J32" s="271" t="s">
        <v>74</v>
      </c>
      <c r="K32" s="271" t="s">
        <v>195</v>
      </c>
      <c r="L32" s="271" t="s">
        <v>76</v>
      </c>
      <c r="M32" s="273">
        <v>2</v>
      </c>
      <c r="N32" s="273">
        <v>3</v>
      </c>
      <c r="O32" s="290">
        <v>11020</v>
      </c>
      <c r="P32" s="296">
        <v>0.03</v>
      </c>
      <c r="Q32" s="291">
        <v>331</v>
      </c>
      <c r="R32" s="296">
        <v>0</v>
      </c>
      <c r="S32" s="291">
        <v>0</v>
      </c>
      <c r="T32" s="296">
        <v>3.0036297640653357E-2</v>
      </c>
      <c r="U32" s="291">
        <v>331</v>
      </c>
      <c r="V32" s="291">
        <v>11351</v>
      </c>
      <c r="W32" s="292">
        <v>11751</v>
      </c>
      <c r="X32" s="293">
        <v>731</v>
      </c>
      <c r="Y32" s="297">
        <v>6.6299999999999998E-2</v>
      </c>
      <c r="Z32" s="298" t="s">
        <v>233</v>
      </c>
      <c r="AA32" s="294"/>
      <c r="AB32" s="294"/>
      <c r="AC32" s="294"/>
      <c r="AD32" s="299"/>
      <c r="AE32" s="290">
        <v>0</v>
      </c>
      <c r="AF32" s="295">
        <v>11751</v>
      </c>
      <c r="AG32" s="284">
        <v>731</v>
      </c>
      <c r="AH32" s="300">
        <v>6.6333938294010908E-2</v>
      </c>
      <c r="AI32" s="286">
        <v>14</v>
      </c>
      <c r="AJ32" s="286">
        <v>550</v>
      </c>
      <c r="AK32" s="286"/>
      <c r="AL32" s="286">
        <v>688</v>
      </c>
      <c r="AM32" s="286">
        <v>171802</v>
      </c>
      <c r="AN32" s="273">
        <v>5</v>
      </c>
      <c r="AO32" s="286"/>
      <c r="AP32" s="287" t="s">
        <v>196</v>
      </c>
      <c r="AQ32" s="287" t="s">
        <v>101</v>
      </c>
      <c r="AR32" s="271" t="s">
        <v>163</v>
      </c>
      <c r="AS32" s="271" t="s">
        <v>164</v>
      </c>
      <c r="AT32" s="357" t="s">
        <v>59</v>
      </c>
      <c r="AU32" s="359" t="s">
        <v>102</v>
      </c>
      <c r="AV32" s="359" t="s">
        <v>103</v>
      </c>
      <c r="AW32" s="307" t="s">
        <v>103</v>
      </c>
    </row>
    <row r="33" spans="1:49" ht="20" customHeight="1">
      <c r="A33" s="362"/>
      <c r="B33" s="5" t="s">
        <v>318</v>
      </c>
      <c r="C33" s="271">
        <v>1007579</v>
      </c>
      <c r="D33" s="271" t="s">
        <v>51</v>
      </c>
      <c r="E33" s="271" t="s">
        <v>52</v>
      </c>
      <c r="F33" s="271" t="s">
        <v>319</v>
      </c>
      <c r="G33" s="271" t="s">
        <v>2241</v>
      </c>
      <c r="H33" s="271" t="s">
        <v>2242</v>
      </c>
      <c r="I33" s="272">
        <v>40994</v>
      </c>
      <c r="J33" s="271" t="s">
        <v>60</v>
      </c>
      <c r="K33" s="271" t="s">
        <v>60</v>
      </c>
      <c r="L33" s="271" t="s">
        <v>61</v>
      </c>
      <c r="M33" s="273">
        <v>2</v>
      </c>
      <c r="N33" s="273">
        <v>3</v>
      </c>
      <c r="O33" s="290">
        <v>9848</v>
      </c>
      <c r="P33" s="275">
        <v>0.03</v>
      </c>
      <c r="Q33" s="291">
        <v>295</v>
      </c>
      <c r="R33" s="275">
        <v>0</v>
      </c>
      <c r="S33" s="291">
        <v>0</v>
      </c>
      <c r="T33" s="275">
        <v>2.99553208773355E-2</v>
      </c>
      <c r="U33" s="291">
        <v>295</v>
      </c>
      <c r="V33" s="291">
        <v>10143</v>
      </c>
      <c r="W33" s="292">
        <v>10500</v>
      </c>
      <c r="X33" s="293">
        <v>652</v>
      </c>
      <c r="Y33" s="279">
        <v>6.6199999999999995E-2</v>
      </c>
      <c r="Z33" s="280" t="s">
        <v>2303</v>
      </c>
      <c r="AA33" s="294"/>
      <c r="AB33" s="294"/>
      <c r="AC33" s="294"/>
      <c r="AD33" s="282"/>
      <c r="AE33" s="290">
        <v>0</v>
      </c>
      <c r="AF33" s="295">
        <v>10500</v>
      </c>
      <c r="AG33" s="284">
        <v>652</v>
      </c>
      <c r="AH33" s="285">
        <v>6.6206336311941616E-2</v>
      </c>
      <c r="AI33" s="286">
        <v>14</v>
      </c>
      <c r="AJ33" s="286">
        <v>450</v>
      </c>
      <c r="AK33" s="286"/>
      <c r="AL33" s="286">
        <v>688</v>
      </c>
      <c r="AM33" s="286">
        <v>153088</v>
      </c>
      <c r="AN33" s="273">
        <v>4</v>
      </c>
      <c r="AO33" s="286"/>
      <c r="AP33" s="287" t="s">
        <v>128</v>
      </c>
      <c r="AQ33" s="287" t="s">
        <v>101</v>
      </c>
      <c r="AR33" s="271" t="s">
        <v>2265</v>
      </c>
      <c r="AS33" s="271" t="s">
        <v>246</v>
      </c>
      <c r="AT33" s="357" t="s">
        <v>247</v>
      </c>
      <c r="AU33" s="359"/>
      <c r="AV33" s="359"/>
      <c r="AW33" s="307" t="s">
        <v>103</v>
      </c>
    </row>
    <row r="34" spans="1:49" ht="20" customHeight="1">
      <c r="A34" s="362"/>
      <c r="B34" s="5" t="s">
        <v>318</v>
      </c>
      <c r="C34" s="271">
        <v>11018858</v>
      </c>
      <c r="D34" s="271" t="s">
        <v>51</v>
      </c>
      <c r="E34" s="271" t="s">
        <v>52</v>
      </c>
      <c r="F34" s="271" t="s">
        <v>1753</v>
      </c>
      <c r="G34" s="271" t="s">
        <v>1750</v>
      </c>
      <c r="H34" s="271" t="s">
        <v>1751</v>
      </c>
      <c r="I34" s="272">
        <v>44480</v>
      </c>
      <c r="J34" s="271" t="s">
        <v>60</v>
      </c>
      <c r="K34" s="271" t="s">
        <v>60</v>
      </c>
      <c r="L34" s="271" t="s">
        <v>61</v>
      </c>
      <c r="M34" s="273">
        <v>2</v>
      </c>
      <c r="N34" s="273">
        <v>3</v>
      </c>
      <c r="O34" s="290">
        <v>16818</v>
      </c>
      <c r="P34" s="275">
        <v>3.5000000000000003E-2</v>
      </c>
      <c r="Q34" s="291">
        <v>589</v>
      </c>
      <c r="R34" s="275">
        <v>0</v>
      </c>
      <c r="S34" s="291">
        <v>0</v>
      </c>
      <c r="T34" s="275">
        <v>3.5022000237840412E-2</v>
      </c>
      <c r="U34" s="291">
        <v>589</v>
      </c>
      <c r="V34" s="291">
        <v>17407</v>
      </c>
      <c r="W34" s="292">
        <v>17900</v>
      </c>
      <c r="X34" s="293">
        <v>1082</v>
      </c>
      <c r="Y34" s="279">
        <v>6.4299999999999996E-2</v>
      </c>
      <c r="Z34" s="280" t="s">
        <v>2316</v>
      </c>
      <c r="AA34" s="294"/>
      <c r="AB34" s="294"/>
      <c r="AC34" s="294"/>
      <c r="AD34" s="282"/>
      <c r="AE34" s="290">
        <v>0</v>
      </c>
      <c r="AF34" s="295">
        <v>17900</v>
      </c>
      <c r="AG34" s="284">
        <v>1082</v>
      </c>
      <c r="AH34" s="285">
        <v>6.4335830657628712E-2</v>
      </c>
      <c r="AI34" s="286">
        <v>14</v>
      </c>
      <c r="AJ34" s="286">
        <v>450</v>
      </c>
      <c r="AK34" s="286"/>
      <c r="AL34" s="286">
        <v>688</v>
      </c>
      <c r="AM34" s="286">
        <v>256688</v>
      </c>
      <c r="AN34" s="273">
        <v>3</v>
      </c>
      <c r="AO34" s="286"/>
      <c r="AP34" s="287"/>
      <c r="AQ34" s="287" t="s">
        <v>229</v>
      </c>
      <c r="AR34" s="271" t="s">
        <v>290</v>
      </c>
      <c r="AS34" s="271" t="s">
        <v>124</v>
      </c>
      <c r="AT34" s="200"/>
      <c r="AU34" s="200"/>
      <c r="AV34" s="200"/>
      <c r="AW34" s="144" t="s">
        <v>103</v>
      </c>
    </row>
    <row r="35" spans="1:49" ht="20" customHeight="1">
      <c r="A35" s="362"/>
      <c r="B35" s="5" t="s">
        <v>318</v>
      </c>
      <c r="C35" s="271">
        <v>15014438</v>
      </c>
      <c r="D35" s="271" t="s">
        <v>51</v>
      </c>
      <c r="E35" s="271" t="s">
        <v>52</v>
      </c>
      <c r="F35" s="271" t="s">
        <v>1604</v>
      </c>
      <c r="G35" s="271" t="s">
        <v>1484</v>
      </c>
      <c r="H35" s="271" t="s">
        <v>1485</v>
      </c>
      <c r="I35" s="272">
        <v>42156</v>
      </c>
      <c r="J35" s="271" t="s">
        <v>198</v>
      </c>
      <c r="K35" s="271" t="s">
        <v>1486</v>
      </c>
      <c r="L35" s="271" t="s">
        <v>199</v>
      </c>
      <c r="M35" s="273">
        <v>2</v>
      </c>
      <c r="N35" s="273">
        <v>3</v>
      </c>
      <c r="O35" s="290">
        <v>22367</v>
      </c>
      <c r="P35" s="296">
        <v>3.5000000000000003E-2</v>
      </c>
      <c r="Q35" s="291">
        <v>783</v>
      </c>
      <c r="R35" s="296">
        <v>0</v>
      </c>
      <c r="S35" s="291">
        <v>0</v>
      </c>
      <c r="T35" s="296">
        <v>3.5006929852014125E-2</v>
      </c>
      <c r="U35" s="291">
        <v>783</v>
      </c>
      <c r="V35" s="291">
        <v>23150</v>
      </c>
      <c r="W35" s="292">
        <v>23754</v>
      </c>
      <c r="X35" s="293">
        <v>1387</v>
      </c>
      <c r="Y35" s="297">
        <v>6.2E-2</v>
      </c>
      <c r="Z35" s="298" t="s">
        <v>2316</v>
      </c>
      <c r="AA35" s="294"/>
      <c r="AB35" s="294"/>
      <c r="AC35" s="294"/>
      <c r="AD35" s="299"/>
      <c r="AE35" s="290">
        <v>0</v>
      </c>
      <c r="AF35" s="295">
        <v>23754</v>
      </c>
      <c r="AG35" s="284">
        <v>1387</v>
      </c>
      <c r="AH35" s="300">
        <v>6.201099834577728E-2</v>
      </c>
      <c r="AI35" s="286">
        <v>14</v>
      </c>
      <c r="AJ35" s="286">
        <v>3950</v>
      </c>
      <c r="AK35" s="286">
        <v>1000</v>
      </c>
      <c r="AL35" s="286">
        <v>688</v>
      </c>
      <c r="AM35" s="286">
        <v>392644</v>
      </c>
      <c r="AN35" s="273">
        <v>3</v>
      </c>
      <c r="AO35" s="286"/>
      <c r="AP35" s="287" t="s">
        <v>1487</v>
      </c>
      <c r="AQ35" s="287" t="s">
        <v>101</v>
      </c>
      <c r="AR35" s="271" t="s">
        <v>1444</v>
      </c>
      <c r="AS35" s="271" t="s">
        <v>164</v>
      </c>
      <c r="AT35" s="357" t="s">
        <v>59</v>
      </c>
      <c r="AU35" s="359"/>
      <c r="AV35" s="359"/>
      <c r="AW35" s="307" t="s">
        <v>103</v>
      </c>
    </row>
    <row r="36" spans="1:49" ht="20" customHeight="1">
      <c r="A36" s="362"/>
      <c r="B36" s="5" t="s">
        <v>318</v>
      </c>
      <c r="C36" s="271">
        <v>15004574</v>
      </c>
      <c r="D36" s="271" t="s">
        <v>51</v>
      </c>
      <c r="E36" s="271" t="s">
        <v>52</v>
      </c>
      <c r="F36" s="271" t="s">
        <v>1604</v>
      </c>
      <c r="G36" s="271" t="s">
        <v>1587</v>
      </c>
      <c r="H36" s="271" t="s">
        <v>1588</v>
      </c>
      <c r="I36" s="272">
        <v>41456</v>
      </c>
      <c r="J36" s="271" t="s">
        <v>174</v>
      </c>
      <c r="K36" s="271" t="s">
        <v>174</v>
      </c>
      <c r="L36" s="271" t="s">
        <v>175</v>
      </c>
      <c r="M36" s="273">
        <v>2</v>
      </c>
      <c r="N36" s="273">
        <v>3</v>
      </c>
      <c r="O36" s="290">
        <v>7688</v>
      </c>
      <c r="P36" s="296">
        <v>0.03</v>
      </c>
      <c r="Q36" s="291">
        <v>231</v>
      </c>
      <c r="R36" s="296">
        <v>0</v>
      </c>
      <c r="S36" s="291">
        <v>0</v>
      </c>
      <c r="T36" s="296">
        <v>3.0046826222684703E-2</v>
      </c>
      <c r="U36" s="291">
        <v>231</v>
      </c>
      <c r="V36" s="291">
        <v>7919</v>
      </c>
      <c r="W36" s="292">
        <v>8150</v>
      </c>
      <c r="X36" s="293">
        <v>462</v>
      </c>
      <c r="Y36" s="297">
        <v>6.0100000000000001E-2</v>
      </c>
      <c r="Z36" s="298" t="s">
        <v>252</v>
      </c>
      <c r="AA36" s="294"/>
      <c r="AB36" s="294"/>
      <c r="AC36" s="294"/>
      <c r="AD36" s="299"/>
      <c r="AE36" s="290">
        <v>0</v>
      </c>
      <c r="AF36" s="295">
        <v>8150</v>
      </c>
      <c r="AG36" s="284">
        <v>462</v>
      </c>
      <c r="AH36" s="300">
        <v>6.0093652445369461E-2</v>
      </c>
      <c r="AI36" s="286">
        <v>14</v>
      </c>
      <c r="AJ36" s="286">
        <v>600</v>
      </c>
      <c r="AK36" s="286"/>
      <c r="AL36" s="286">
        <v>688</v>
      </c>
      <c r="AM36" s="286">
        <v>121988</v>
      </c>
      <c r="AN36" s="273">
        <v>3</v>
      </c>
      <c r="AO36" s="286"/>
      <c r="AP36" s="355" t="s">
        <v>1590</v>
      </c>
      <c r="AQ36" s="287" t="s">
        <v>128</v>
      </c>
      <c r="AR36" s="271" t="s">
        <v>1589</v>
      </c>
      <c r="AS36" s="271" t="s">
        <v>164</v>
      </c>
      <c r="AT36" s="357" t="s">
        <v>59</v>
      </c>
      <c r="AU36" s="359"/>
      <c r="AV36" s="359"/>
      <c r="AW36" s="144" t="s">
        <v>103</v>
      </c>
    </row>
    <row r="37" spans="1:49" ht="20" customHeight="1">
      <c r="A37" s="362"/>
      <c r="B37" s="5" t="s">
        <v>318</v>
      </c>
      <c r="C37" s="271">
        <v>15000475</v>
      </c>
      <c r="D37" s="271" t="s">
        <v>51</v>
      </c>
      <c r="E37" s="271" t="s">
        <v>52</v>
      </c>
      <c r="F37" s="271" t="s">
        <v>319</v>
      </c>
      <c r="G37" s="271" t="s">
        <v>274</v>
      </c>
      <c r="H37" s="271" t="s">
        <v>269</v>
      </c>
      <c r="I37" s="272">
        <v>38808</v>
      </c>
      <c r="J37" s="271" t="s">
        <v>71</v>
      </c>
      <c r="K37" s="271" t="s">
        <v>275</v>
      </c>
      <c r="L37" s="271" t="s">
        <v>61</v>
      </c>
      <c r="M37" s="273">
        <v>2</v>
      </c>
      <c r="N37" s="273">
        <v>4</v>
      </c>
      <c r="O37" s="301">
        <v>14690</v>
      </c>
      <c r="P37" s="296">
        <v>0.03</v>
      </c>
      <c r="Q37" s="302">
        <v>441</v>
      </c>
      <c r="R37" s="296">
        <v>0</v>
      </c>
      <c r="S37" s="302">
        <v>0</v>
      </c>
      <c r="T37" s="296">
        <v>3.0020422055820287E-2</v>
      </c>
      <c r="U37" s="302">
        <v>441</v>
      </c>
      <c r="V37" s="302">
        <v>15131</v>
      </c>
      <c r="W37" s="303">
        <v>15500</v>
      </c>
      <c r="X37" s="304">
        <v>810</v>
      </c>
      <c r="Y37" s="297">
        <v>5.5100000000000003E-2</v>
      </c>
      <c r="Z37" s="298" t="s">
        <v>233</v>
      </c>
      <c r="AA37" s="305"/>
      <c r="AB37" s="305"/>
      <c r="AC37" s="305"/>
      <c r="AD37" s="299"/>
      <c r="AE37" s="301">
        <v>0</v>
      </c>
      <c r="AF37" s="306">
        <v>15500</v>
      </c>
      <c r="AG37" s="284">
        <v>810</v>
      </c>
      <c r="AH37" s="300">
        <v>5.5139550714772056E-2</v>
      </c>
      <c r="AI37" s="286">
        <v>14</v>
      </c>
      <c r="AJ37" s="286">
        <v>450</v>
      </c>
      <c r="AK37" s="286"/>
      <c r="AL37" s="286">
        <v>688</v>
      </c>
      <c r="AM37" s="286">
        <v>223088</v>
      </c>
      <c r="AN37" s="273">
        <v>4</v>
      </c>
      <c r="AO37" s="286"/>
      <c r="AP37" s="287" t="s">
        <v>90</v>
      </c>
      <c r="AQ37" s="287" t="s">
        <v>239</v>
      </c>
      <c r="AR37" s="271" t="s">
        <v>276</v>
      </c>
      <c r="AS37" s="271" t="s">
        <v>246</v>
      </c>
      <c r="AT37" s="357" t="s">
        <v>59</v>
      </c>
      <c r="AU37" s="200"/>
      <c r="AV37" s="200"/>
      <c r="AW37" s="307" t="s">
        <v>103</v>
      </c>
    </row>
    <row r="38" spans="1:49" ht="20" customHeight="1">
      <c r="A38" s="362"/>
      <c r="B38" s="5" t="s">
        <v>318</v>
      </c>
      <c r="C38" s="271">
        <v>1009417</v>
      </c>
      <c r="D38" s="271" t="s">
        <v>51</v>
      </c>
      <c r="E38" s="271" t="s">
        <v>52</v>
      </c>
      <c r="F38" s="271" t="s">
        <v>319</v>
      </c>
      <c r="G38" s="271" t="s">
        <v>2222</v>
      </c>
      <c r="H38" s="271" t="s">
        <v>2238</v>
      </c>
      <c r="I38" s="272">
        <v>41634</v>
      </c>
      <c r="J38" s="271" t="s">
        <v>1733</v>
      </c>
      <c r="K38" s="271" t="s">
        <v>1733</v>
      </c>
      <c r="L38" s="271" t="s">
        <v>84</v>
      </c>
      <c r="M38" s="273">
        <v>2</v>
      </c>
      <c r="N38" s="273">
        <v>3</v>
      </c>
      <c r="O38" s="290">
        <v>6162</v>
      </c>
      <c r="P38" s="275">
        <v>2.5000000000000001E-2</v>
      </c>
      <c r="Q38" s="291">
        <v>154</v>
      </c>
      <c r="R38" s="275">
        <v>0</v>
      </c>
      <c r="S38" s="291">
        <v>0</v>
      </c>
      <c r="T38" s="275">
        <v>2.4991885751379422E-2</v>
      </c>
      <c r="U38" s="291">
        <v>154</v>
      </c>
      <c r="V38" s="291">
        <v>6316</v>
      </c>
      <c r="W38" s="292">
        <v>6500</v>
      </c>
      <c r="X38" s="293">
        <v>338</v>
      </c>
      <c r="Y38" s="279">
        <v>5.4899999999999997E-2</v>
      </c>
      <c r="Z38" s="280" t="s">
        <v>232</v>
      </c>
      <c r="AA38" s="294"/>
      <c r="AB38" s="294"/>
      <c r="AC38" s="294"/>
      <c r="AD38" s="282"/>
      <c r="AE38" s="290">
        <v>0</v>
      </c>
      <c r="AF38" s="295">
        <v>6500</v>
      </c>
      <c r="AG38" s="284">
        <v>338</v>
      </c>
      <c r="AH38" s="285">
        <v>5.4852320675105481E-2</v>
      </c>
      <c r="AI38" s="286">
        <v>14</v>
      </c>
      <c r="AJ38" s="286">
        <v>450</v>
      </c>
      <c r="AK38" s="286"/>
      <c r="AL38" s="286">
        <v>688</v>
      </c>
      <c r="AM38" s="286">
        <v>97088</v>
      </c>
      <c r="AN38" s="273">
        <v>3</v>
      </c>
      <c r="AO38" s="286"/>
      <c r="AP38" s="287" t="s">
        <v>128</v>
      </c>
      <c r="AQ38" s="287" t="s">
        <v>128</v>
      </c>
      <c r="AR38" s="271" t="s">
        <v>267</v>
      </c>
      <c r="AS38" s="271" t="s">
        <v>246</v>
      </c>
      <c r="AT38" s="357" t="s">
        <v>247</v>
      </c>
      <c r="AU38" s="359"/>
      <c r="AV38" s="359"/>
      <c r="AW38" s="144" t="s">
        <v>103</v>
      </c>
    </row>
    <row r="39" spans="1:49" ht="20" customHeight="1">
      <c r="A39" s="362"/>
      <c r="B39" s="5" t="s">
        <v>318</v>
      </c>
      <c r="C39" s="271">
        <v>11009910</v>
      </c>
      <c r="D39" s="271" t="s">
        <v>51</v>
      </c>
      <c r="E39" s="271" t="s">
        <v>52</v>
      </c>
      <c r="F39" s="271" t="s">
        <v>319</v>
      </c>
      <c r="G39" s="271" t="s">
        <v>288</v>
      </c>
      <c r="H39" s="271" t="s">
        <v>289</v>
      </c>
      <c r="I39" s="272">
        <v>41491</v>
      </c>
      <c r="J39" s="271" t="s">
        <v>82</v>
      </c>
      <c r="K39" s="271" t="s">
        <v>82</v>
      </c>
      <c r="L39" s="271" t="s">
        <v>84</v>
      </c>
      <c r="M39" s="273">
        <v>2</v>
      </c>
      <c r="N39" s="273">
        <v>3</v>
      </c>
      <c r="O39" s="301">
        <v>8533</v>
      </c>
      <c r="P39" s="296">
        <v>0.03</v>
      </c>
      <c r="Q39" s="302">
        <v>256</v>
      </c>
      <c r="R39" s="296">
        <v>0</v>
      </c>
      <c r="S39" s="302">
        <v>0</v>
      </c>
      <c r="T39" s="296">
        <v>3.0001171920778155E-2</v>
      </c>
      <c r="U39" s="302">
        <v>256</v>
      </c>
      <c r="V39" s="302">
        <v>8789</v>
      </c>
      <c r="W39" s="303">
        <v>9000</v>
      </c>
      <c r="X39" s="304">
        <v>467</v>
      </c>
      <c r="Y39" s="297">
        <v>5.4699999999999999E-2</v>
      </c>
      <c r="Z39" s="298" t="s">
        <v>233</v>
      </c>
      <c r="AA39" s="305"/>
      <c r="AB39" s="305"/>
      <c r="AC39" s="305"/>
      <c r="AD39" s="299"/>
      <c r="AE39" s="301">
        <v>0</v>
      </c>
      <c r="AF39" s="306">
        <v>9000</v>
      </c>
      <c r="AG39" s="284">
        <v>467</v>
      </c>
      <c r="AH39" s="300">
        <v>5.4728700339857106E-2</v>
      </c>
      <c r="AI39" s="286">
        <v>14</v>
      </c>
      <c r="AJ39" s="286">
        <v>450</v>
      </c>
      <c r="AK39" s="286"/>
      <c r="AL39" s="286">
        <v>688</v>
      </c>
      <c r="AM39" s="286">
        <v>132088</v>
      </c>
      <c r="AN39" s="273">
        <v>3</v>
      </c>
      <c r="AO39" s="286"/>
      <c r="AP39" s="287" t="s">
        <v>128</v>
      </c>
      <c r="AQ39" s="287" t="s">
        <v>128</v>
      </c>
      <c r="AR39" s="271" t="s">
        <v>290</v>
      </c>
      <c r="AS39" s="271" t="s">
        <v>246</v>
      </c>
      <c r="AT39" s="357" t="s">
        <v>218</v>
      </c>
      <c r="AU39" s="200"/>
      <c r="AV39" s="200"/>
      <c r="AW39" s="307" t="s">
        <v>103</v>
      </c>
    </row>
    <row r="40" spans="1:49" ht="20" customHeight="1">
      <c r="A40" s="362"/>
      <c r="B40" s="5" t="s">
        <v>318</v>
      </c>
      <c r="C40" s="271">
        <v>1120384</v>
      </c>
      <c r="D40" s="271" t="s">
        <v>51</v>
      </c>
      <c r="E40" s="271" t="s">
        <v>52</v>
      </c>
      <c r="F40" s="271" t="s">
        <v>2035</v>
      </c>
      <c r="G40" s="271" t="s">
        <v>2169</v>
      </c>
      <c r="H40" s="271" t="s">
        <v>2171</v>
      </c>
      <c r="I40" s="272">
        <v>44671</v>
      </c>
      <c r="J40" s="271" t="s">
        <v>82</v>
      </c>
      <c r="K40" s="271" t="s">
        <v>2183</v>
      </c>
      <c r="L40" s="271" t="s">
        <v>84</v>
      </c>
      <c r="M40" s="273">
        <v>2</v>
      </c>
      <c r="N40" s="273">
        <v>3</v>
      </c>
      <c r="O40" s="290">
        <v>8066</v>
      </c>
      <c r="P40" s="275">
        <v>0.03</v>
      </c>
      <c r="Q40" s="291">
        <v>242</v>
      </c>
      <c r="R40" s="275">
        <v>0</v>
      </c>
      <c r="S40" s="291">
        <v>0</v>
      </c>
      <c r="T40" s="275">
        <v>3.0002479543763949E-2</v>
      </c>
      <c r="U40" s="291">
        <v>242</v>
      </c>
      <c r="V40" s="291">
        <v>8308</v>
      </c>
      <c r="W40" s="292">
        <v>8500</v>
      </c>
      <c r="X40" s="293">
        <v>434</v>
      </c>
      <c r="Y40" s="279">
        <v>5.3800000000000001E-2</v>
      </c>
      <c r="Z40" s="280" t="s">
        <v>233</v>
      </c>
      <c r="AA40" s="294"/>
      <c r="AB40" s="294"/>
      <c r="AC40" s="294"/>
      <c r="AD40" s="282"/>
      <c r="AE40" s="290">
        <v>0</v>
      </c>
      <c r="AF40" s="295">
        <v>8500</v>
      </c>
      <c r="AG40" s="284">
        <v>434</v>
      </c>
      <c r="AH40" s="285">
        <v>5.3806099677659258E-2</v>
      </c>
      <c r="AI40" s="286">
        <v>14</v>
      </c>
      <c r="AJ40" s="286">
        <v>450</v>
      </c>
      <c r="AK40" s="286"/>
      <c r="AL40" s="286">
        <v>688</v>
      </c>
      <c r="AM40" s="286">
        <v>125088</v>
      </c>
      <c r="AN40" s="273">
        <v>3</v>
      </c>
      <c r="AO40" s="286"/>
      <c r="AP40" s="287" t="s">
        <v>2184</v>
      </c>
      <c r="AQ40" s="287" t="s">
        <v>2328</v>
      </c>
      <c r="AR40" s="271" t="s">
        <v>2172</v>
      </c>
      <c r="AS40" s="271" t="s">
        <v>58</v>
      </c>
      <c r="AT40" s="357" t="s">
        <v>247</v>
      </c>
      <c r="AU40" s="359"/>
      <c r="AV40" s="359"/>
      <c r="AW40" s="144" t="s">
        <v>103</v>
      </c>
    </row>
    <row r="41" spans="1:49" ht="20" customHeight="1">
      <c r="A41" s="362"/>
      <c r="B41" s="5" t="s">
        <v>318</v>
      </c>
      <c r="C41" s="271">
        <v>1118315</v>
      </c>
      <c r="D41" s="271" t="s">
        <v>51</v>
      </c>
      <c r="E41" s="271" t="s">
        <v>52</v>
      </c>
      <c r="F41" s="271" t="s">
        <v>319</v>
      </c>
      <c r="G41" s="271" t="s">
        <v>2269</v>
      </c>
      <c r="H41" s="271" t="s">
        <v>2270</v>
      </c>
      <c r="I41" s="272">
        <v>39295</v>
      </c>
      <c r="J41" s="271" t="s">
        <v>82</v>
      </c>
      <c r="K41" s="271" t="s">
        <v>82</v>
      </c>
      <c r="L41" s="271" t="s">
        <v>84</v>
      </c>
      <c r="M41" s="273">
        <v>2</v>
      </c>
      <c r="N41" s="273">
        <v>3</v>
      </c>
      <c r="O41" s="290">
        <v>6926</v>
      </c>
      <c r="P41" s="275">
        <v>0.03</v>
      </c>
      <c r="Q41" s="291">
        <v>208</v>
      </c>
      <c r="R41" s="275">
        <v>0</v>
      </c>
      <c r="S41" s="291">
        <v>0</v>
      </c>
      <c r="T41" s="275">
        <v>3.003176436615651E-2</v>
      </c>
      <c r="U41" s="291">
        <v>208</v>
      </c>
      <c r="V41" s="291">
        <v>7134</v>
      </c>
      <c r="W41" s="292">
        <v>7285</v>
      </c>
      <c r="X41" s="293">
        <v>359</v>
      </c>
      <c r="Y41" s="279">
        <v>5.1799999999999999E-2</v>
      </c>
      <c r="Z41" s="280" t="s">
        <v>233</v>
      </c>
      <c r="AA41" s="294"/>
      <c r="AB41" s="294"/>
      <c r="AC41" s="294"/>
      <c r="AD41" s="282"/>
      <c r="AE41" s="290">
        <v>0</v>
      </c>
      <c r="AF41" s="295">
        <v>7285</v>
      </c>
      <c r="AG41" s="284">
        <v>359</v>
      </c>
      <c r="AH41" s="285">
        <v>5.1833670228125905E-2</v>
      </c>
      <c r="AI41" s="286">
        <v>14</v>
      </c>
      <c r="AJ41" s="286">
        <v>550</v>
      </c>
      <c r="AK41" s="286"/>
      <c r="AL41" s="286">
        <v>688</v>
      </c>
      <c r="AM41" s="286">
        <v>109278</v>
      </c>
      <c r="AN41" s="273">
        <v>3</v>
      </c>
      <c r="AO41" s="286"/>
      <c r="AP41" s="287" t="s">
        <v>128</v>
      </c>
      <c r="AQ41" s="287" t="s">
        <v>128</v>
      </c>
      <c r="AR41" s="271" t="s">
        <v>290</v>
      </c>
      <c r="AS41" s="271" t="s">
        <v>246</v>
      </c>
      <c r="AT41" s="357" t="s">
        <v>218</v>
      </c>
      <c r="AU41" s="359"/>
      <c r="AV41" s="359"/>
      <c r="AW41" s="307" t="s">
        <v>103</v>
      </c>
    </row>
    <row r="42" spans="1:49" ht="20" customHeight="1">
      <c r="A42" s="362"/>
      <c r="B42" s="5" t="s">
        <v>318</v>
      </c>
      <c r="C42" s="5">
        <v>1716016</v>
      </c>
      <c r="D42" s="5" t="s">
        <v>51</v>
      </c>
      <c r="E42" s="5" t="s">
        <v>52</v>
      </c>
      <c r="F42" s="5" t="s">
        <v>2035</v>
      </c>
      <c r="G42" s="5" t="s">
        <v>2170</v>
      </c>
      <c r="H42" s="5" t="s">
        <v>2171</v>
      </c>
      <c r="I42" s="6">
        <v>43678</v>
      </c>
      <c r="J42" s="5" t="s">
        <v>174</v>
      </c>
      <c r="K42" s="5" t="s">
        <v>2197</v>
      </c>
      <c r="L42" s="5" t="s">
        <v>175</v>
      </c>
      <c r="M42" s="7">
        <v>2</v>
      </c>
      <c r="N42" s="7">
        <v>3</v>
      </c>
      <c r="O42" s="308">
        <v>6830</v>
      </c>
      <c r="P42" s="319">
        <v>0.03</v>
      </c>
      <c r="Q42" s="310">
        <v>205</v>
      </c>
      <c r="R42" s="319">
        <v>0</v>
      </c>
      <c r="S42" s="310">
        <v>0</v>
      </c>
      <c r="T42" s="319">
        <v>3.0014641288433383E-2</v>
      </c>
      <c r="U42" s="310">
        <v>205</v>
      </c>
      <c r="V42" s="310">
        <v>7035</v>
      </c>
      <c r="W42" s="311">
        <v>7175</v>
      </c>
      <c r="X42" s="312">
        <v>345</v>
      </c>
      <c r="Y42" s="320">
        <v>5.0500000000000003E-2</v>
      </c>
      <c r="Z42" s="321" t="s">
        <v>233</v>
      </c>
      <c r="AA42" s="315"/>
      <c r="AB42" s="315"/>
      <c r="AC42" s="315"/>
      <c r="AD42" s="322"/>
      <c r="AE42" s="308">
        <v>0</v>
      </c>
      <c r="AF42" s="317">
        <v>7175</v>
      </c>
      <c r="AG42" s="18">
        <v>345</v>
      </c>
      <c r="AH42" s="323">
        <v>5.051244509516839E-2</v>
      </c>
      <c r="AI42" s="20">
        <v>14</v>
      </c>
      <c r="AJ42" s="20">
        <v>450</v>
      </c>
      <c r="AK42" s="20"/>
      <c r="AL42" s="20">
        <v>688</v>
      </c>
      <c r="AM42" s="20">
        <v>106538</v>
      </c>
      <c r="AN42" s="7">
        <v>3</v>
      </c>
      <c r="AO42" s="20"/>
      <c r="AP42" s="21" t="s">
        <v>2184</v>
      </c>
      <c r="AQ42" s="21" t="s">
        <v>2328</v>
      </c>
      <c r="AR42" s="5" t="s">
        <v>2172</v>
      </c>
      <c r="AS42" s="5" t="s">
        <v>58</v>
      </c>
      <c r="AT42" s="357" t="s">
        <v>247</v>
      </c>
      <c r="AU42" s="359"/>
      <c r="AV42" s="359"/>
      <c r="AW42" s="144" t="s">
        <v>103</v>
      </c>
    </row>
    <row r="43" spans="1:49" ht="20" customHeight="1">
      <c r="A43" s="362"/>
      <c r="B43" s="5" t="s">
        <v>318</v>
      </c>
      <c r="C43" s="5">
        <v>1707035</v>
      </c>
      <c r="D43" s="5" t="s">
        <v>51</v>
      </c>
      <c r="E43" s="5" t="s">
        <v>52</v>
      </c>
      <c r="F43" s="5" t="s">
        <v>2035</v>
      </c>
      <c r="G43" s="5" t="s">
        <v>2190</v>
      </c>
      <c r="H43" s="5" t="s">
        <v>2174</v>
      </c>
      <c r="I43" s="6">
        <v>40391</v>
      </c>
      <c r="J43" s="5" t="s">
        <v>71</v>
      </c>
      <c r="K43" s="5" t="s">
        <v>2191</v>
      </c>
      <c r="L43" s="5" t="s">
        <v>61</v>
      </c>
      <c r="M43" s="7">
        <v>2</v>
      </c>
      <c r="N43" s="7">
        <v>3</v>
      </c>
      <c r="O43" s="308">
        <v>10680</v>
      </c>
      <c r="P43" s="319">
        <v>0.03</v>
      </c>
      <c r="Q43" s="310">
        <v>320</v>
      </c>
      <c r="R43" s="319">
        <v>0</v>
      </c>
      <c r="S43" s="310">
        <v>0</v>
      </c>
      <c r="T43" s="319">
        <v>2.9962546816479401E-2</v>
      </c>
      <c r="U43" s="310">
        <v>320</v>
      </c>
      <c r="V43" s="310">
        <v>11000</v>
      </c>
      <c r="W43" s="311">
        <v>11215</v>
      </c>
      <c r="X43" s="312">
        <v>535</v>
      </c>
      <c r="Y43" s="320">
        <v>5.0099999999999999E-2</v>
      </c>
      <c r="Z43" s="321" t="s">
        <v>233</v>
      </c>
      <c r="AA43" s="315"/>
      <c r="AB43" s="315"/>
      <c r="AC43" s="315"/>
      <c r="AD43" s="322"/>
      <c r="AE43" s="308">
        <v>0</v>
      </c>
      <c r="AF43" s="317">
        <v>11215</v>
      </c>
      <c r="AG43" s="18">
        <v>535</v>
      </c>
      <c r="AH43" s="323">
        <v>5.0093632958801537E-2</v>
      </c>
      <c r="AI43" s="20">
        <v>14</v>
      </c>
      <c r="AJ43" s="20">
        <v>450</v>
      </c>
      <c r="AK43" s="20"/>
      <c r="AL43" s="20">
        <v>688</v>
      </c>
      <c r="AM43" s="20">
        <v>163098</v>
      </c>
      <c r="AN43" s="7">
        <v>3</v>
      </c>
      <c r="AO43" s="20"/>
      <c r="AP43" s="21" t="s">
        <v>2192</v>
      </c>
      <c r="AQ43" s="21" t="s">
        <v>2328</v>
      </c>
      <c r="AR43" s="5" t="s">
        <v>2172</v>
      </c>
      <c r="AS43" s="5" t="s">
        <v>58</v>
      </c>
      <c r="AT43" s="357" t="s">
        <v>247</v>
      </c>
      <c r="AU43" s="359"/>
      <c r="AV43" s="359"/>
      <c r="AW43" s="144" t="s">
        <v>103</v>
      </c>
    </row>
    <row r="44" spans="1:49" ht="20" customHeight="1">
      <c r="A44" s="362"/>
      <c r="B44" s="5" t="s">
        <v>318</v>
      </c>
      <c r="C44" s="5">
        <v>1710029</v>
      </c>
      <c r="D44" s="5" t="s">
        <v>51</v>
      </c>
      <c r="E44" s="5" t="s">
        <v>52</v>
      </c>
      <c r="F44" s="5" t="s">
        <v>2035</v>
      </c>
      <c r="G44" s="5" t="s">
        <v>2178</v>
      </c>
      <c r="H44" s="5" t="s">
        <v>2171</v>
      </c>
      <c r="I44" s="6">
        <v>41460</v>
      </c>
      <c r="J44" s="5" t="s">
        <v>226</v>
      </c>
      <c r="K44" s="5" t="s">
        <v>2195</v>
      </c>
      <c r="L44" s="5" t="s">
        <v>175</v>
      </c>
      <c r="M44" s="7">
        <v>2</v>
      </c>
      <c r="N44" s="7">
        <v>3</v>
      </c>
      <c r="O44" s="308">
        <v>7000</v>
      </c>
      <c r="P44" s="319">
        <v>2.5000000000000001E-2</v>
      </c>
      <c r="Q44" s="310">
        <v>175</v>
      </c>
      <c r="R44" s="319">
        <v>0</v>
      </c>
      <c r="S44" s="310">
        <v>0</v>
      </c>
      <c r="T44" s="319">
        <v>2.5000000000000001E-2</v>
      </c>
      <c r="U44" s="310">
        <v>175</v>
      </c>
      <c r="V44" s="310">
        <v>7175</v>
      </c>
      <c r="W44" s="311">
        <v>7350</v>
      </c>
      <c r="X44" s="312">
        <v>350</v>
      </c>
      <c r="Y44" s="320">
        <v>0.05</v>
      </c>
      <c r="Z44" s="321" t="s">
        <v>232</v>
      </c>
      <c r="AA44" s="315"/>
      <c r="AB44" s="315"/>
      <c r="AC44" s="315"/>
      <c r="AD44" s="322"/>
      <c r="AE44" s="308">
        <v>0</v>
      </c>
      <c r="AF44" s="317">
        <v>7350</v>
      </c>
      <c r="AG44" s="18">
        <v>350</v>
      </c>
      <c r="AH44" s="323">
        <v>5.0000000000000044E-2</v>
      </c>
      <c r="AI44" s="20">
        <v>14</v>
      </c>
      <c r="AJ44" s="20">
        <v>550</v>
      </c>
      <c r="AK44" s="20"/>
      <c r="AL44" s="20">
        <v>688</v>
      </c>
      <c r="AM44" s="20">
        <v>110188</v>
      </c>
      <c r="AN44" s="7">
        <v>3</v>
      </c>
      <c r="AO44" s="20"/>
      <c r="AP44" s="21" t="s">
        <v>2184</v>
      </c>
      <c r="AQ44" s="21" t="s">
        <v>2328</v>
      </c>
      <c r="AR44" s="5" t="s">
        <v>2172</v>
      </c>
      <c r="AS44" s="5" t="s">
        <v>58</v>
      </c>
      <c r="AT44" s="357" t="s">
        <v>247</v>
      </c>
      <c r="AU44" s="359"/>
      <c r="AV44" s="359"/>
      <c r="AW44" s="307" t="s">
        <v>103</v>
      </c>
    </row>
    <row r="45" spans="1:49" ht="20" customHeight="1">
      <c r="A45" s="362"/>
      <c r="B45" s="5" t="s">
        <v>318</v>
      </c>
      <c r="C45" s="5">
        <v>1120179</v>
      </c>
      <c r="D45" s="5" t="s">
        <v>51</v>
      </c>
      <c r="E45" s="5" t="s">
        <v>52</v>
      </c>
      <c r="F45" s="5" t="s">
        <v>2035</v>
      </c>
      <c r="G45" s="5" t="s">
        <v>2113</v>
      </c>
      <c r="H45" s="5" t="s">
        <v>2114</v>
      </c>
      <c r="I45" s="6">
        <v>42835</v>
      </c>
      <c r="J45" s="5" t="s">
        <v>82</v>
      </c>
      <c r="K45" s="5" t="s">
        <v>82</v>
      </c>
      <c r="L45" s="5" t="s">
        <v>84</v>
      </c>
      <c r="M45" s="7">
        <v>2</v>
      </c>
      <c r="N45" s="7">
        <v>3</v>
      </c>
      <c r="O45" s="308">
        <v>8780</v>
      </c>
      <c r="P45" s="319">
        <v>2.5000000000000001E-2</v>
      </c>
      <c r="Q45" s="310">
        <v>220</v>
      </c>
      <c r="R45" s="319">
        <v>0</v>
      </c>
      <c r="S45" s="310">
        <v>0</v>
      </c>
      <c r="T45" s="319">
        <v>2.5056947608200455E-2</v>
      </c>
      <c r="U45" s="310">
        <v>220</v>
      </c>
      <c r="V45" s="310">
        <v>9000</v>
      </c>
      <c r="W45" s="311">
        <v>9200</v>
      </c>
      <c r="X45" s="312">
        <v>420</v>
      </c>
      <c r="Y45" s="320">
        <v>4.7800000000000002E-2</v>
      </c>
      <c r="Z45" s="321" t="s">
        <v>285</v>
      </c>
      <c r="AA45" s="315"/>
      <c r="AB45" s="315"/>
      <c r="AC45" s="315"/>
      <c r="AD45" s="322"/>
      <c r="AE45" s="308">
        <v>0</v>
      </c>
      <c r="AF45" s="317">
        <v>9200</v>
      </c>
      <c r="AG45" s="18">
        <v>420</v>
      </c>
      <c r="AH45" s="323">
        <v>4.7835990888382751E-2</v>
      </c>
      <c r="AI45" s="20">
        <v>14</v>
      </c>
      <c r="AJ45" s="20">
        <v>450</v>
      </c>
      <c r="AK45" s="20"/>
      <c r="AL45" s="20">
        <v>688</v>
      </c>
      <c r="AM45" s="20">
        <v>134888</v>
      </c>
      <c r="AN45" s="7">
        <v>3</v>
      </c>
      <c r="AO45" s="20"/>
      <c r="AP45" s="245" t="s">
        <v>2140</v>
      </c>
      <c r="AQ45" s="21" t="s">
        <v>2328</v>
      </c>
      <c r="AR45" s="5" t="s">
        <v>2074</v>
      </c>
      <c r="AS45" s="5" t="s">
        <v>2075</v>
      </c>
      <c r="AT45" s="357" t="s">
        <v>247</v>
      </c>
      <c r="AU45" s="359"/>
      <c r="AV45" s="359"/>
      <c r="AW45" s="307" t="s">
        <v>103</v>
      </c>
    </row>
    <row r="46" spans="1:49" ht="20" customHeight="1">
      <c r="A46" s="362"/>
      <c r="B46" s="5" t="s">
        <v>318</v>
      </c>
      <c r="C46" s="5">
        <v>1132189</v>
      </c>
      <c r="D46" s="5" t="s">
        <v>51</v>
      </c>
      <c r="E46" s="5" t="s">
        <v>52</v>
      </c>
      <c r="F46" s="5" t="s">
        <v>2035</v>
      </c>
      <c r="G46" s="5" t="s">
        <v>2178</v>
      </c>
      <c r="H46" s="5" t="s">
        <v>2171</v>
      </c>
      <c r="I46" s="6">
        <v>40735</v>
      </c>
      <c r="J46" s="5" t="s">
        <v>174</v>
      </c>
      <c r="K46" s="5" t="s">
        <v>174</v>
      </c>
      <c r="L46" s="5" t="s">
        <v>175</v>
      </c>
      <c r="M46" s="7">
        <v>2</v>
      </c>
      <c r="N46" s="7">
        <v>3</v>
      </c>
      <c r="O46" s="308">
        <v>8000</v>
      </c>
      <c r="P46" s="319">
        <v>2.5000000000000001E-2</v>
      </c>
      <c r="Q46" s="310">
        <v>200</v>
      </c>
      <c r="R46" s="319">
        <v>0</v>
      </c>
      <c r="S46" s="310">
        <v>0</v>
      </c>
      <c r="T46" s="319">
        <v>2.5000000000000001E-2</v>
      </c>
      <c r="U46" s="310">
        <v>200</v>
      </c>
      <c r="V46" s="310">
        <v>8200</v>
      </c>
      <c r="W46" s="311">
        <v>8360</v>
      </c>
      <c r="X46" s="312">
        <v>360</v>
      </c>
      <c r="Y46" s="320">
        <v>4.4999999999999998E-2</v>
      </c>
      <c r="Z46" s="321" t="s">
        <v>232</v>
      </c>
      <c r="AA46" s="315"/>
      <c r="AB46" s="315"/>
      <c r="AC46" s="315"/>
      <c r="AD46" s="322"/>
      <c r="AE46" s="308">
        <v>0</v>
      </c>
      <c r="AF46" s="317">
        <v>8360</v>
      </c>
      <c r="AG46" s="18">
        <v>360</v>
      </c>
      <c r="AH46" s="323">
        <v>4.4999999999999929E-2</v>
      </c>
      <c r="AI46" s="20">
        <v>14</v>
      </c>
      <c r="AJ46" s="20">
        <v>450</v>
      </c>
      <c r="AK46" s="20"/>
      <c r="AL46" s="20">
        <v>688</v>
      </c>
      <c r="AM46" s="20">
        <v>123128</v>
      </c>
      <c r="AN46" s="7">
        <v>3</v>
      </c>
      <c r="AO46" s="20"/>
      <c r="AP46" s="21" t="s">
        <v>2185</v>
      </c>
      <c r="AQ46" s="21" t="s">
        <v>2328</v>
      </c>
      <c r="AR46" s="5" t="s">
        <v>2172</v>
      </c>
      <c r="AS46" s="5" t="s">
        <v>58</v>
      </c>
      <c r="AT46" s="357" t="s">
        <v>247</v>
      </c>
      <c r="AU46" s="359"/>
      <c r="AV46" s="359"/>
      <c r="AW46" s="307" t="s">
        <v>103</v>
      </c>
    </row>
    <row r="47" spans="1:49" ht="20" customHeight="1">
      <c r="A47" s="362"/>
      <c r="B47" s="5" t="s">
        <v>318</v>
      </c>
      <c r="C47" s="5">
        <v>11021405</v>
      </c>
      <c r="D47" s="5" t="s">
        <v>1409</v>
      </c>
      <c r="E47" s="5" t="s">
        <v>52</v>
      </c>
      <c r="F47" s="5" t="s">
        <v>1414</v>
      </c>
      <c r="G47" s="5" t="s">
        <v>1404</v>
      </c>
      <c r="H47" s="5" t="s">
        <v>1405</v>
      </c>
      <c r="I47" s="6">
        <v>45553</v>
      </c>
      <c r="J47" s="5" t="s">
        <v>226</v>
      </c>
      <c r="K47" s="5" t="s">
        <v>226</v>
      </c>
      <c r="L47" s="5" t="s">
        <v>84</v>
      </c>
      <c r="M47" s="7">
        <v>2</v>
      </c>
      <c r="N47" s="7">
        <v>3</v>
      </c>
      <c r="O47" s="308">
        <v>7050</v>
      </c>
      <c r="P47" s="319">
        <v>0</v>
      </c>
      <c r="Q47" s="310">
        <v>0</v>
      </c>
      <c r="R47" s="319">
        <v>0</v>
      </c>
      <c r="S47" s="310">
        <v>0</v>
      </c>
      <c r="T47" s="319">
        <v>0</v>
      </c>
      <c r="U47" s="310">
        <v>0</v>
      </c>
      <c r="V47" s="310">
        <v>7050</v>
      </c>
      <c r="W47" s="311">
        <v>7350</v>
      </c>
      <c r="X47" s="312">
        <v>300</v>
      </c>
      <c r="Y47" s="320">
        <v>4.2599999999999999E-2</v>
      </c>
      <c r="Z47" s="321" t="s">
        <v>225</v>
      </c>
      <c r="AA47" s="315"/>
      <c r="AB47" s="315"/>
      <c r="AC47" s="315"/>
      <c r="AD47" s="322"/>
      <c r="AE47" s="308">
        <v>0</v>
      </c>
      <c r="AF47" s="317">
        <v>7350</v>
      </c>
      <c r="AG47" s="18">
        <v>300</v>
      </c>
      <c r="AH47" s="323">
        <v>4.2553191489361764E-2</v>
      </c>
      <c r="AI47" s="20">
        <v>14</v>
      </c>
      <c r="AJ47" s="20">
        <v>450</v>
      </c>
      <c r="AK47" s="20"/>
      <c r="AL47" s="20">
        <v>0</v>
      </c>
      <c r="AM47" s="20">
        <v>108300</v>
      </c>
      <c r="AN47" s="7">
        <v>3</v>
      </c>
      <c r="AO47" s="20"/>
      <c r="AP47" s="21" t="s">
        <v>1410</v>
      </c>
      <c r="AQ47" s="21" t="s">
        <v>205</v>
      </c>
      <c r="AR47" s="5" t="s">
        <v>1406</v>
      </c>
      <c r="AS47" s="5" t="s">
        <v>164</v>
      </c>
      <c r="AT47" s="357" t="s">
        <v>218</v>
      </c>
      <c r="AU47" s="359"/>
      <c r="AV47" s="359"/>
      <c r="AW47" s="144" t="s">
        <v>103</v>
      </c>
    </row>
    <row r="48" spans="1:49" ht="20" customHeight="1">
      <c r="A48" s="362"/>
      <c r="B48" s="5" t="s">
        <v>318</v>
      </c>
      <c r="C48" s="5">
        <v>1117218</v>
      </c>
      <c r="D48" s="5" t="s">
        <v>51</v>
      </c>
      <c r="E48" s="5" t="s">
        <v>52</v>
      </c>
      <c r="F48" s="5" t="s">
        <v>319</v>
      </c>
      <c r="G48" s="5" t="s">
        <v>2241</v>
      </c>
      <c r="H48" s="5" t="s">
        <v>2242</v>
      </c>
      <c r="I48" s="6">
        <v>38566</v>
      </c>
      <c r="J48" s="5" t="s">
        <v>250</v>
      </c>
      <c r="K48" s="5" t="s">
        <v>2266</v>
      </c>
      <c r="L48" s="5" t="s">
        <v>76</v>
      </c>
      <c r="M48" s="7">
        <v>2</v>
      </c>
      <c r="N48" s="7">
        <v>3</v>
      </c>
      <c r="O48" s="308">
        <v>9600</v>
      </c>
      <c r="P48" s="319">
        <v>2.5000000000000001E-2</v>
      </c>
      <c r="Q48" s="310">
        <v>240</v>
      </c>
      <c r="R48" s="319">
        <v>0</v>
      </c>
      <c r="S48" s="310">
        <v>0</v>
      </c>
      <c r="T48" s="319">
        <v>2.5000000000000001E-2</v>
      </c>
      <c r="U48" s="310">
        <v>240</v>
      </c>
      <c r="V48" s="310">
        <v>9840</v>
      </c>
      <c r="W48" s="311">
        <v>10000</v>
      </c>
      <c r="X48" s="312">
        <v>400</v>
      </c>
      <c r="Y48" s="320">
        <v>4.1700000000000001E-2</v>
      </c>
      <c r="Z48" s="321" t="s">
        <v>232</v>
      </c>
      <c r="AA48" s="315"/>
      <c r="AB48" s="315"/>
      <c r="AC48" s="315"/>
      <c r="AD48" s="322"/>
      <c r="AE48" s="308">
        <v>0</v>
      </c>
      <c r="AF48" s="317">
        <v>10000</v>
      </c>
      <c r="AG48" s="18">
        <v>400</v>
      </c>
      <c r="AH48" s="323">
        <v>4.1666666666666741E-2</v>
      </c>
      <c r="AI48" s="20">
        <v>14</v>
      </c>
      <c r="AJ48" s="20">
        <v>450</v>
      </c>
      <c r="AK48" s="20"/>
      <c r="AL48" s="20">
        <v>688</v>
      </c>
      <c r="AM48" s="20">
        <v>146088</v>
      </c>
      <c r="AN48" s="7">
        <v>3</v>
      </c>
      <c r="AO48" s="20"/>
      <c r="AP48" s="21" t="s">
        <v>128</v>
      </c>
      <c r="AQ48" s="21" t="s">
        <v>128</v>
      </c>
      <c r="AR48" s="5" t="s">
        <v>2265</v>
      </c>
      <c r="AS48" s="5" t="s">
        <v>246</v>
      </c>
      <c r="AT48" s="357" t="s">
        <v>247</v>
      </c>
      <c r="AU48" s="359"/>
      <c r="AV48" s="359"/>
      <c r="AW48" s="144" t="s">
        <v>103</v>
      </c>
    </row>
    <row r="49" spans="1:50" ht="20" customHeight="1">
      <c r="A49" s="362"/>
      <c r="B49" s="5" t="s">
        <v>318</v>
      </c>
      <c r="C49" s="5">
        <v>15004087</v>
      </c>
      <c r="D49" s="5" t="s">
        <v>51</v>
      </c>
      <c r="E49" s="5" t="s">
        <v>52</v>
      </c>
      <c r="F49" s="5" t="s">
        <v>1902</v>
      </c>
      <c r="G49" s="5" t="s">
        <v>1902</v>
      </c>
      <c r="H49" s="5" t="s">
        <v>1903</v>
      </c>
      <c r="I49" s="6">
        <v>40360</v>
      </c>
      <c r="J49" s="5" t="s">
        <v>1908</v>
      </c>
      <c r="K49" s="5" t="s">
        <v>1909</v>
      </c>
      <c r="L49" s="5" t="s">
        <v>56</v>
      </c>
      <c r="M49" s="7">
        <v>2</v>
      </c>
      <c r="N49" s="7">
        <v>3</v>
      </c>
      <c r="O49" s="308">
        <v>21000</v>
      </c>
      <c r="P49" s="319">
        <v>2.5000000000000001E-2</v>
      </c>
      <c r="Q49" s="310">
        <v>525</v>
      </c>
      <c r="R49" s="319">
        <v>0</v>
      </c>
      <c r="S49" s="310">
        <v>0</v>
      </c>
      <c r="T49" s="319">
        <v>2.5000000000000001E-2</v>
      </c>
      <c r="U49" s="310">
        <v>525</v>
      </c>
      <c r="V49" s="310">
        <v>21525</v>
      </c>
      <c r="W49" s="311">
        <v>21800</v>
      </c>
      <c r="X49" s="312">
        <v>800</v>
      </c>
      <c r="Y49" s="320">
        <v>3.8100000000000002E-2</v>
      </c>
      <c r="Z49" s="321" t="s">
        <v>232</v>
      </c>
      <c r="AA49" s="315"/>
      <c r="AB49" s="315"/>
      <c r="AC49" s="315"/>
      <c r="AD49" s="322"/>
      <c r="AE49" s="308">
        <v>0</v>
      </c>
      <c r="AF49" s="317">
        <v>21800</v>
      </c>
      <c r="AG49" s="18">
        <v>800</v>
      </c>
      <c r="AH49" s="323">
        <v>3.8095238095238182E-2</v>
      </c>
      <c r="AI49" s="20">
        <v>14</v>
      </c>
      <c r="AJ49" s="20">
        <v>450</v>
      </c>
      <c r="AK49" s="20"/>
      <c r="AL49" s="20">
        <v>688</v>
      </c>
      <c r="AM49" s="20">
        <v>311288</v>
      </c>
      <c r="AN49" s="7">
        <v>3</v>
      </c>
      <c r="AO49" s="20"/>
      <c r="AP49" s="21" t="s">
        <v>1910</v>
      </c>
      <c r="AQ49" s="21" t="s">
        <v>90</v>
      </c>
      <c r="AR49" s="5" t="s">
        <v>1904</v>
      </c>
      <c r="AS49" s="5" t="s">
        <v>69</v>
      </c>
      <c r="AT49" s="200"/>
      <c r="AU49" s="200"/>
      <c r="AV49" s="200"/>
      <c r="AW49" s="144" t="s">
        <v>103</v>
      </c>
    </row>
    <row r="50" spans="1:50" ht="20" customHeight="1">
      <c r="A50" s="362"/>
      <c r="B50" s="5" t="s">
        <v>318</v>
      </c>
      <c r="C50" s="5">
        <v>11016857</v>
      </c>
      <c r="D50" s="5" t="s">
        <v>51</v>
      </c>
      <c r="E50" s="5" t="s">
        <v>52</v>
      </c>
      <c r="F50" s="5" t="s">
        <v>1753</v>
      </c>
      <c r="G50" s="5" t="s">
        <v>1855</v>
      </c>
      <c r="H50" s="5" t="s">
        <v>1856</v>
      </c>
      <c r="I50" s="6">
        <v>43633</v>
      </c>
      <c r="J50" s="5" t="s">
        <v>85</v>
      </c>
      <c r="K50" s="5" t="s">
        <v>85</v>
      </c>
      <c r="L50" s="5" t="s">
        <v>76</v>
      </c>
      <c r="M50" s="7">
        <v>2</v>
      </c>
      <c r="N50" s="7">
        <v>4</v>
      </c>
      <c r="O50" s="308">
        <v>14900</v>
      </c>
      <c r="P50" s="319">
        <v>2.2499999999999999E-2</v>
      </c>
      <c r="Q50" s="310">
        <v>335</v>
      </c>
      <c r="R50" s="319">
        <v>0</v>
      </c>
      <c r="S50" s="310">
        <v>0</v>
      </c>
      <c r="T50" s="319">
        <v>2.2483221476510069E-2</v>
      </c>
      <c r="U50" s="310">
        <v>335</v>
      </c>
      <c r="V50" s="310">
        <v>15235</v>
      </c>
      <c r="W50" s="311">
        <v>15410</v>
      </c>
      <c r="X50" s="312">
        <v>510</v>
      </c>
      <c r="Y50" s="320">
        <v>3.4200000000000001E-2</v>
      </c>
      <c r="Z50" s="321" t="s">
        <v>2301</v>
      </c>
      <c r="AA50" s="315"/>
      <c r="AB50" s="315"/>
      <c r="AC50" s="315"/>
      <c r="AD50" s="322"/>
      <c r="AE50" s="308">
        <v>0</v>
      </c>
      <c r="AF50" s="317">
        <v>15410</v>
      </c>
      <c r="AG50" s="18">
        <v>510</v>
      </c>
      <c r="AH50" s="323">
        <v>3.4228187919463027E-2</v>
      </c>
      <c r="AI50" s="20">
        <v>14</v>
      </c>
      <c r="AJ50" s="20">
        <v>450</v>
      </c>
      <c r="AK50" s="20"/>
      <c r="AL50" s="20">
        <v>688</v>
      </c>
      <c r="AM50" s="20">
        <v>221828</v>
      </c>
      <c r="AN50" s="7">
        <v>3</v>
      </c>
      <c r="AO50" s="20"/>
      <c r="AP50" s="21"/>
      <c r="AQ50" s="21" t="s">
        <v>151</v>
      </c>
      <c r="AR50" s="5" t="s">
        <v>1854</v>
      </c>
      <c r="AS50" s="5" t="s">
        <v>124</v>
      </c>
      <c r="AT50" s="200"/>
      <c r="AU50" s="200"/>
      <c r="AV50" s="200"/>
      <c r="AW50" s="307" t="s">
        <v>103</v>
      </c>
    </row>
    <row r="51" spans="1:50" ht="20" customHeight="1">
      <c r="A51" s="362"/>
      <c r="B51" s="330" t="s">
        <v>318</v>
      </c>
      <c r="C51" s="5">
        <v>15022173</v>
      </c>
      <c r="D51" s="5" t="s">
        <v>51</v>
      </c>
      <c r="E51" s="5" t="s">
        <v>52</v>
      </c>
      <c r="F51" s="5" t="s">
        <v>62</v>
      </c>
      <c r="G51" s="5" t="s">
        <v>160</v>
      </c>
      <c r="H51" s="5" t="s">
        <v>161</v>
      </c>
      <c r="I51" s="6">
        <v>44671</v>
      </c>
      <c r="J51" s="5" t="s">
        <v>82</v>
      </c>
      <c r="K51" s="5" t="s">
        <v>137</v>
      </c>
      <c r="L51" s="5" t="s">
        <v>84</v>
      </c>
      <c r="M51" s="7">
        <v>2</v>
      </c>
      <c r="N51" s="7">
        <v>3</v>
      </c>
      <c r="O51" s="308">
        <v>10712</v>
      </c>
      <c r="P51" s="309">
        <v>0</v>
      </c>
      <c r="Q51" s="310">
        <v>0</v>
      </c>
      <c r="R51" s="309">
        <v>0</v>
      </c>
      <c r="S51" s="310">
        <v>0</v>
      </c>
      <c r="T51" s="309">
        <v>0</v>
      </c>
      <c r="U51" s="310">
        <v>0</v>
      </c>
      <c r="V51" s="310">
        <v>10712</v>
      </c>
      <c r="W51" s="311">
        <v>11067</v>
      </c>
      <c r="X51" s="312">
        <v>355</v>
      </c>
      <c r="Y51" s="313">
        <v>3.3099999999999997E-2</v>
      </c>
      <c r="Z51" s="314" t="s">
        <v>225</v>
      </c>
      <c r="AA51" s="315"/>
      <c r="AB51" s="315"/>
      <c r="AC51" s="315"/>
      <c r="AD51" s="316"/>
      <c r="AE51" s="308">
        <v>0</v>
      </c>
      <c r="AF51" s="317">
        <v>11067</v>
      </c>
      <c r="AG51" s="18">
        <v>355</v>
      </c>
      <c r="AH51" s="318">
        <v>3.3140403286034292E-2</v>
      </c>
      <c r="AI51" s="20">
        <v>14</v>
      </c>
      <c r="AJ51" s="20">
        <v>450</v>
      </c>
      <c r="AK51" s="20"/>
      <c r="AL51" s="20">
        <v>688</v>
      </c>
      <c r="AM51" s="20">
        <v>161026</v>
      </c>
      <c r="AN51" s="7">
        <v>2</v>
      </c>
      <c r="AO51" s="20"/>
      <c r="AP51" s="21" t="s">
        <v>166</v>
      </c>
      <c r="AQ51" s="21" t="s">
        <v>101</v>
      </c>
      <c r="AR51" s="5" t="s">
        <v>163</v>
      </c>
      <c r="AS51" s="5" t="s">
        <v>164</v>
      </c>
      <c r="AT51" s="5" t="s">
        <v>59</v>
      </c>
      <c r="AU51" s="21" t="s">
        <v>102</v>
      </c>
      <c r="AV51" s="21" t="s">
        <v>103</v>
      </c>
      <c r="AW51" s="144" t="s">
        <v>103</v>
      </c>
      <c r="AX51" t="s">
        <v>2329</v>
      </c>
    </row>
    <row r="52" spans="1:50" ht="20" customHeight="1">
      <c r="A52" s="362"/>
      <c r="B52" s="5" t="s">
        <v>318</v>
      </c>
      <c r="C52" s="5">
        <v>1421065</v>
      </c>
      <c r="D52" s="5" t="s">
        <v>51</v>
      </c>
      <c r="E52" s="5" t="s">
        <v>52</v>
      </c>
      <c r="F52" s="5" t="s">
        <v>319</v>
      </c>
      <c r="G52" s="5" t="s">
        <v>2241</v>
      </c>
      <c r="H52" s="5" t="s">
        <v>2242</v>
      </c>
      <c r="I52" s="6">
        <v>39630</v>
      </c>
      <c r="J52" s="5" t="s">
        <v>111</v>
      </c>
      <c r="K52" s="5" t="s">
        <v>273</v>
      </c>
      <c r="L52" s="5" t="s">
        <v>56</v>
      </c>
      <c r="M52" s="7">
        <v>2</v>
      </c>
      <c r="N52" s="7">
        <v>3</v>
      </c>
      <c r="O52" s="308">
        <v>23249</v>
      </c>
      <c r="P52" s="319">
        <v>0</v>
      </c>
      <c r="Q52" s="310">
        <v>0</v>
      </c>
      <c r="R52" s="319">
        <v>0</v>
      </c>
      <c r="S52" s="310">
        <v>0</v>
      </c>
      <c r="T52" s="319">
        <v>0</v>
      </c>
      <c r="U52" s="310">
        <v>0</v>
      </c>
      <c r="V52" s="310">
        <v>23249</v>
      </c>
      <c r="W52" s="311">
        <v>24000</v>
      </c>
      <c r="X52" s="312">
        <v>751</v>
      </c>
      <c r="Y52" s="320">
        <v>3.2300000000000002E-2</v>
      </c>
      <c r="Z52" s="321" t="s">
        <v>225</v>
      </c>
      <c r="AA52" s="315"/>
      <c r="AB52" s="315"/>
      <c r="AC52" s="315"/>
      <c r="AD52" s="322"/>
      <c r="AE52" s="308">
        <v>0</v>
      </c>
      <c r="AF52" s="317">
        <v>24000</v>
      </c>
      <c r="AG52" s="18">
        <v>751</v>
      </c>
      <c r="AH52" s="323">
        <v>3.2302464622134375E-2</v>
      </c>
      <c r="AI52" s="20">
        <v>14</v>
      </c>
      <c r="AJ52" s="20">
        <v>950</v>
      </c>
      <c r="AK52" s="20"/>
      <c r="AL52" s="20">
        <v>688</v>
      </c>
      <c r="AM52" s="20">
        <v>348088</v>
      </c>
      <c r="AN52" s="7">
        <v>3</v>
      </c>
      <c r="AO52" s="20"/>
      <c r="AP52" s="21" t="s">
        <v>2243</v>
      </c>
      <c r="AQ52" s="21" t="s">
        <v>128</v>
      </c>
      <c r="AR52" s="5" t="s">
        <v>267</v>
      </c>
      <c r="AS52" s="5" t="s">
        <v>246</v>
      </c>
      <c r="AT52" s="5" t="s">
        <v>247</v>
      </c>
      <c r="AU52" s="21"/>
      <c r="AV52" s="21"/>
      <c r="AW52" s="307" t="s">
        <v>103</v>
      </c>
    </row>
    <row r="53" spans="1:50" ht="20" customHeight="1">
      <c r="A53" s="362"/>
      <c r="B53" s="330" t="s">
        <v>318</v>
      </c>
      <c r="C53" s="5">
        <v>1120359</v>
      </c>
      <c r="D53" s="5" t="s">
        <v>51</v>
      </c>
      <c r="E53" s="5" t="s">
        <v>52</v>
      </c>
      <c r="F53" s="5" t="s">
        <v>2035</v>
      </c>
      <c r="G53" s="5" t="s">
        <v>2214</v>
      </c>
      <c r="H53" s="5" t="s">
        <v>161</v>
      </c>
      <c r="I53" s="6">
        <v>44491</v>
      </c>
      <c r="J53" s="5" t="s">
        <v>74</v>
      </c>
      <c r="K53" s="5" t="s">
        <v>74</v>
      </c>
      <c r="L53" s="5" t="s">
        <v>76</v>
      </c>
      <c r="M53" s="7">
        <v>2</v>
      </c>
      <c r="N53" s="7">
        <v>2</v>
      </c>
      <c r="O53" s="308">
        <v>10210</v>
      </c>
      <c r="P53" s="319">
        <v>0</v>
      </c>
      <c r="Q53" s="310">
        <v>0</v>
      </c>
      <c r="R53" s="319">
        <v>0</v>
      </c>
      <c r="S53" s="310">
        <v>0</v>
      </c>
      <c r="T53" s="319">
        <v>0</v>
      </c>
      <c r="U53" s="310">
        <v>0</v>
      </c>
      <c r="V53" s="310">
        <v>10210</v>
      </c>
      <c r="W53" s="311">
        <v>10510</v>
      </c>
      <c r="X53" s="312">
        <v>300</v>
      </c>
      <c r="Y53" s="320">
        <v>2.9399999999999999E-2</v>
      </c>
      <c r="Z53" s="321" t="s">
        <v>225</v>
      </c>
      <c r="AA53" s="315"/>
      <c r="AB53" s="315"/>
      <c r="AC53" s="315"/>
      <c r="AD53" s="322"/>
      <c r="AE53" s="308">
        <v>0</v>
      </c>
      <c r="AF53" s="317">
        <v>10510</v>
      </c>
      <c r="AG53" s="18">
        <v>300</v>
      </c>
      <c r="AH53" s="323">
        <v>2.938295788442713E-2</v>
      </c>
      <c r="AI53" s="20">
        <v>14</v>
      </c>
      <c r="AJ53" s="20">
        <v>450</v>
      </c>
      <c r="AK53" s="20"/>
      <c r="AL53" s="20">
        <v>688</v>
      </c>
      <c r="AM53" s="20">
        <v>153228</v>
      </c>
      <c r="AN53" s="7">
        <v>4</v>
      </c>
      <c r="AO53" s="20"/>
      <c r="AP53" s="21" t="s">
        <v>2215</v>
      </c>
      <c r="AQ53" s="21" t="s">
        <v>151</v>
      </c>
      <c r="AR53" s="5" t="s">
        <v>2201</v>
      </c>
      <c r="AS53" s="5" t="s">
        <v>2202</v>
      </c>
      <c r="AT53" s="5" t="s">
        <v>247</v>
      </c>
      <c r="AU53" s="21"/>
      <c r="AV53" s="21"/>
      <c r="AW53" s="307" t="s">
        <v>103</v>
      </c>
    </row>
    <row r="54" spans="1:50" ht="20" customHeight="1">
      <c r="A54" s="362"/>
      <c r="B54" s="5" t="s">
        <v>318</v>
      </c>
      <c r="C54" s="5">
        <v>15022537</v>
      </c>
      <c r="D54" s="5" t="s">
        <v>51</v>
      </c>
      <c r="E54" s="5" t="s">
        <v>52</v>
      </c>
      <c r="F54" s="5" t="s">
        <v>1604</v>
      </c>
      <c r="G54" s="5" t="s">
        <v>1549</v>
      </c>
      <c r="H54" s="5" t="s">
        <v>1550</v>
      </c>
      <c r="I54" s="6">
        <v>45839</v>
      </c>
      <c r="J54" s="5" t="s">
        <v>82</v>
      </c>
      <c r="K54" s="5" t="s">
        <v>1551</v>
      </c>
      <c r="L54" s="5" t="s">
        <v>84</v>
      </c>
      <c r="M54" s="7">
        <v>2</v>
      </c>
      <c r="N54" s="7">
        <v>3</v>
      </c>
      <c r="O54" s="308">
        <v>10500</v>
      </c>
      <c r="P54" s="319">
        <v>0</v>
      </c>
      <c r="Q54" s="310">
        <v>0</v>
      </c>
      <c r="R54" s="319">
        <v>0</v>
      </c>
      <c r="S54" s="310">
        <v>0</v>
      </c>
      <c r="T54" s="319">
        <v>0</v>
      </c>
      <c r="U54" s="310">
        <v>0</v>
      </c>
      <c r="V54" s="310">
        <v>10500</v>
      </c>
      <c r="W54" s="311">
        <v>10800</v>
      </c>
      <c r="X54" s="312">
        <v>300</v>
      </c>
      <c r="Y54" s="320">
        <v>2.86E-2</v>
      </c>
      <c r="Z54" s="321" t="s">
        <v>225</v>
      </c>
      <c r="AA54" s="315"/>
      <c r="AB54" s="315"/>
      <c r="AC54" s="315"/>
      <c r="AD54" s="322"/>
      <c r="AE54" s="308">
        <v>0</v>
      </c>
      <c r="AF54" s="317">
        <v>10800</v>
      </c>
      <c r="AG54" s="18">
        <v>300</v>
      </c>
      <c r="AH54" s="323">
        <v>2.857142857142847E-2</v>
      </c>
      <c r="AI54" s="20">
        <v>14</v>
      </c>
      <c r="AJ54" s="20">
        <v>450</v>
      </c>
      <c r="AK54" s="20"/>
      <c r="AL54" s="20">
        <v>688</v>
      </c>
      <c r="AM54" s="20">
        <v>157288</v>
      </c>
      <c r="AN54" s="7" t="e">
        <v>#N/A</v>
      </c>
      <c r="AO54" s="20"/>
      <c r="AP54" s="21" t="s">
        <v>1552</v>
      </c>
      <c r="AQ54" s="21" t="s">
        <v>239</v>
      </c>
      <c r="AR54" s="5" t="s">
        <v>1538</v>
      </c>
      <c r="AS54" s="5" t="s">
        <v>164</v>
      </c>
      <c r="AT54" s="5" t="s">
        <v>59</v>
      </c>
      <c r="AU54" s="21"/>
      <c r="AV54" s="21"/>
      <c r="AW54" s="144" t="s">
        <v>103</v>
      </c>
    </row>
    <row r="55" spans="1:50" ht="20" customHeight="1">
      <c r="A55" s="362"/>
      <c r="B55" s="330" t="s">
        <v>318</v>
      </c>
      <c r="C55" s="5">
        <v>1421147</v>
      </c>
      <c r="D55" s="5" t="s">
        <v>51</v>
      </c>
      <c r="E55" s="5" t="s">
        <v>52</v>
      </c>
      <c r="F55" s="5" t="s">
        <v>319</v>
      </c>
      <c r="G55" s="5" t="s">
        <v>2226</v>
      </c>
      <c r="H55" s="5" t="s">
        <v>2224</v>
      </c>
      <c r="I55" s="6">
        <v>40441</v>
      </c>
      <c r="J55" s="5" t="s">
        <v>71</v>
      </c>
      <c r="K55" s="5" t="s">
        <v>2231</v>
      </c>
      <c r="L55" s="5" t="s">
        <v>61</v>
      </c>
      <c r="M55" s="7">
        <v>2</v>
      </c>
      <c r="N55" s="7">
        <v>2</v>
      </c>
      <c r="O55" s="308">
        <v>12187</v>
      </c>
      <c r="P55" s="319">
        <v>0</v>
      </c>
      <c r="Q55" s="310">
        <v>0</v>
      </c>
      <c r="R55" s="319">
        <v>0</v>
      </c>
      <c r="S55" s="310">
        <v>0</v>
      </c>
      <c r="T55" s="319">
        <v>0</v>
      </c>
      <c r="U55" s="310">
        <v>0</v>
      </c>
      <c r="V55" s="310">
        <v>12187</v>
      </c>
      <c r="W55" s="311">
        <v>12500</v>
      </c>
      <c r="X55" s="312">
        <v>313</v>
      </c>
      <c r="Y55" s="320">
        <v>2.5700000000000001E-2</v>
      </c>
      <c r="Z55" s="321" t="s">
        <v>225</v>
      </c>
      <c r="AA55" s="315"/>
      <c r="AB55" s="315"/>
      <c r="AC55" s="315"/>
      <c r="AD55" s="322"/>
      <c r="AE55" s="308">
        <v>0</v>
      </c>
      <c r="AF55" s="317">
        <v>12500</v>
      </c>
      <c r="AG55" s="18">
        <v>313</v>
      </c>
      <c r="AH55" s="323">
        <v>2.5683104947895385E-2</v>
      </c>
      <c r="AI55" s="20">
        <v>14</v>
      </c>
      <c r="AJ55" s="20">
        <v>450</v>
      </c>
      <c r="AK55" s="20"/>
      <c r="AL55" s="20">
        <v>688</v>
      </c>
      <c r="AM55" s="20">
        <v>181088</v>
      </c>
      <c r="AN55" s="7">
        <v>4</v>
      </c>
      <c r="AO55" s="20"/>
      <c r="AP55" s="21" t="s">
        <v>2232</v>
      </c>
      <c r="AQ55" s="21" t="s">
        <v>128</v>
      </c>
      <c r="AR55" s="5" t="s">
        <v>245</v>
      </c>
      <c r="AS55" s="5" t="s">
        <v>246</v>
      </c>
      <c r="AT55" s="5" t="s">
        <v>247</v>
      </c>
      <c r="AU55" s="21"/>
      <c r="AV55" s="21"/>
      <c r="AW55" s="307" t="s">
        <v>103</v>
      </c>
    </row>
    <row r="56" spans="1:50" ht="20" customHeight="1">
      <c r="A56" s="362"/>
      <c r="B56" s="5" t="s">
        <v>318</v>
      </c>
      <c r="C56" s="5">
        <v>15014172</v>
      </c>
      <c r="D56" s="5" t="s">
        <v>51</v>
      </c>
      <c r="E56" s="5" t="s">
        <v>52</v>
      </c>
      <c r="F56" s="5" t="s">
        <v>1753</v>
      </c>
      <c r="G56" s="5" t="s">
        <v>1849</v>
      </c>
      <c r="H56" s="5" t="s">
        <v>1850</v>
      </c>
      <c r="I56" s="6">
        <v>40967</v>
      </c>
      <c r="J56" s="5" t="s">
        <v>71</v>
      </c>
      <c r="K56" s="5" t="s">
        <v>1852</v>
      </c>
      <c r="L56" s="5" t="s">
        <v>61</v>
      </c>
      <c r="M56" s="7">
        <v>2</v>
      </c>
      <c r="N56" s="7">
        <v>3</v>
      </c>
      <c r="O56" s="308">
        <v>15938</v>
      </c>
      <c r="P56" s="309">
        <v>0</v>
      </c>
      <c r="Q56" s="310">
        <v>0</v>
      </c>
      <c r="R56" s="309">
        <v>0</v>
      </c>
      <c r="S56" s="310">
        <v>0</v>
      </c>
      <c r="T56" s="309">
        <v>0</v>
      </c>
      <c r="U56" s="310">
        <v>0</v>
      </c>
      <c r="V56" s="310">
        <v>15938</v>
      </c>
      <c r="W56" s="311">
        <v>16300</v>
      </c>
      <c r="X56" s="312">
        <v>362</v>
      </c>
      <c r="Y56" s="313">
        <v>2.2700000000000001E-2</v>
      </c>
      <c r="Z56" s="314" t="s">
        <v>225</v>
      </c>
      <c r="AA56" s="315"/>
      <c r="AB56" s="315"/>
      <c r="AC56" s="315"/>
      <c r="AD56" s="316"/>
      <c r="AE56" s="308">
        <v>0</v>
      </c>
      <c r="AF56" s="317">
        <v>16300</v>
      </c>
      <c r="AG56" s="18">
        <v>362</v>
      </c>
      <c r="AH56" s="318">
        <v>2.2713012925084763E-2</v>
      </c>
      <c r="AI56" s="20">
        <v>14</v>
      </c>
      <c r="AJ56" s="20">
        <v>2950</v>
      </c>
      <c r="AK56" s="20"/>
      <c r="AL56" s="20">
        <v>688</v>
      </c>
      <c r="AM56" s="20">
        <v>264288</v>
      </c>
      <c r="AN56" s="7">
        <v>4</v>
      </c>
      <c r="AO56" s="20"/>
      <c r="AP56" s="21" t="s">
        <v>1851</v>
      </c>
      <c r="AQ56" s="21" t="s">
        <v>90</v>
      </c>
      <c r="AR56" s="5" t="s">
        <v>1761</v>
      </c>
      <c r="AS56" s="5" t="s">
        <v>124</v>
      </c>
      <c r="AT56" s="356"/>
      <c r="AU56" s="356"/>
      <c r="AV56" s="356"/>
      <c r="AW56" s="307" t="s">
        <v>103</v>
      </c>
    </row>
    <row r="57" spans="1:50" ht="20" customHeight="1">
      <c r="A57" s="362"/>
      <c r="B57" s="5" t="s">
        <v>318</v>
      </c>
      <c r="C57" s="5">
        <v>15003586</v>
      </c>
      <c r="D57" s="5" t="s">
        <v>51</v>
      </c>
      <c r="E57" s="5" t="s">
        <v>52</v>
      </c>
      <c r="F57" s="5" t="s">
        <v>62</v>
      </c>
      <c r="G57" s="5" t="s">
        <v>159</v>
      </c>
      <c r="H57" s="5" t="s">
        <v>197</v>
      </c>
      <c r="I57" s="6">
        <v>40269</v>
      </c>
      <c r="J57" s="5" t="s">
        <v>74</v>
      </c>
      <c r="K57" s="5" t="s">
        <v>74</v>
      </c>
      <c r="L57" s="5" t="s">
        <v>76</v>
      </c>
      <c r="M57" s="7">
        <v>2</v>
      </c>
      <c r="N57" s="7">
        <v>3</v>
      </c>
      <c r="O57" s="308">
        <v>12200</v>
      </c>
      <c r="P57" s="309">
        <v>0</v>
      </c>
      <c r="Q57" s="310">
        <v>0</v>
      </c>
      <c r="R57" s="309">
        <v>0</v>
      </c>
      <c r="S57" s="310">
        <v>0</v>
      </c>
      <c r="T57" s="309">
        <v>0</v>
      </c>
      <c r="U57" s="310">
        <v>0</v>
      </c>
      <c r="V57" s="310">
        <v>12200</v>
      </c>
      <c r="W57" s="311">
        <v>12474</v>
      </c>
      <c r="X57" s="312">
        <v>274</v>
      </c>
      <c r="Y57" s="313">
        <v>2.2499999999999999E-2</v>
      </c>
      <c r="Z57" s="314" t="s">
        <v>225</v>
      </c>
      <c r="AA57" s="315"/>
      <c r="AB57" s="315"/>
      <c r="AC57" s="315"/>
      <c r="AD57" s="316"/>
      <c r="AE57" s="308">
        <v>0</v>
      </c>
      <c r="AF57" s="317">
        <v>12474</v>
      </c>
      <c r="AG57" s="18">
        <v>274</v>
      </c>
      <c r="AH57" s="318">
        <v>2.245901639344261E-2</v>
      </c>
      <c r="AI57" s="20">
        <v>14</v>
      </c>
      <c r="AJ57" s="20">
        <v>450</v>
      </c>
      <c r="AK57" s="20"/>
      <c r="AL57" s="20">
        <v>688</v>
      </c>
      <c r="AM57" s="20">
        <v>180724</v>
      </c>
      <c r="AN57" s="7">
        <v>3</v>
      </c>
      <c r="AO57" s="20"/>
      <c r="AP57" s="21" t="s">
        <v>210</v>
      </c>
      <c r="AQ57" s="21" t="s">
        <v>205</v>
      </c>
      <c r="AR57" s="5" t="s">
        <v>201</v>
      </c>
      <c r="AS57" s="5" t="s">
        <v>164</v>
      </c>
      <c r="AT57" s="5" t="s">
        <v>59</v>
      </c>
      <c r="AU57" s="21" t="s">
        <v>102</v>
      </c>
      <c r="AV57" s="21" t="s">
        <v>103</v>
      </c>
      <c r="AW57" s="144" t="s">
        <v>103</v>
      </c>
    </row>
    <row r="58" spans="1:50" ht="20" customHeight="1">
      <c r="A58" s="362"/>
      <c r="B58" s="5" t="s">
        <v>318</v>
      </c>
      <c r="C58" s="5">
        <v>15013583</v>
      </c>
      <c r="D58" s="5" t="s">
        <v>51</v>
      </c>
      <c r="E58" s="5" t="s">
        <v>52</v>
      </c>
      <c r="F58" s="5" t="s">
        <v>1902</v>
      </c>
      <c r="G58" s="5" t="s">
        <v>1902</v>
      </c>
      <c r="H58" s="5" t="s">
        <v>1911</v>
      </c>
      <c r="I58" s="6">
        <v>41857</v>
      </c>
      <c r="J58" s="5" t="s">
        <v>73</v>
      </c>
      <c r="K58" s="5" t="s">
        <v>73</v>
      </c>
      <c r="L58" s="5" t="s">
        <v>61</v>
      </c>
      <c r="M58" s="7">
        <v>2</v>
      </c>
      <c r="N58" s="7">
        <v>3</v>
      </c>
      <c r="O58" s="308">
        <v>23030</v>
      </c>
      <c r="P58" s="319">
        <v>0</v>
      </c>
      <c r="Q58" s="310">
        <v>0</v>
      </c>
      <c r="R58" s="319">
        <v>0</v>
      </c>
      <c r="S58" s="310">
        <v>0</v>
      </c>
      <c r="T58" s="319">
        <v>0</v>
      </c>
      <c r="U58" s="310">
        <v>0</v>
      </c>
      <c r="V58" s="310">
        <v>23030</v>
      </c>
      <c r="W58" s="311">
        <v>23530</v>
      </c>
      <c r="X58" s="312">
        <v>500</v>
      </c>
      <c r="Y58" s="320">
        <v>2.1700000000000001E-2</v>
      </c>
      <c r="Z58" s="321" t="s">
        <v>225</v>
      </c>
      <c r="AA58" s="315"/>
      <c r="AB58" s="315"/>
      <c r="AC58" s="315"/>
      <c r="AD58" s="322"/>
      <c r="AE58" s="308">
        <v>0</v>
      </c>
      <c r="AF58" s="317">
        <v>23530</v>
      </c>
      <c r="AG58" s="18">
        <v>500</v>
      </c>
      <c r="AH58" s="323">
        <v>2.1710811984368306E-2</v>
      </c>
      <c r="AI58" s="20">
        <v>14</v>
      </c>
      <c r="AJ58" s="20">
        <v>450</v>
      </c>
      <c r="AK58" s="20"/>
      <c r="AL58" s="20">
        <v>688</v>
      </c>
      <c r="AM58" s="20">
        <v>335508</v>
      </c>
      <c r="AN58" s="7">
        <v>5</v>
      </c>
      <c r="AO58" s="20"/>
      <c r="AP58" s="21" t="s">
        <v>1912</v>
      </c>
      <c r="AQ58" s="21" t="s">
        <v>90</v>
      </c>
      <c r="AR58" s="5" t="s">
        <v>1904</v>
      </c>
      <c r="AS58" s="5" t="s">
        <v>69</v>
      </c>
      <c r="AT58" s="356"/>
      <c r="AU58" s="356"/>
      <c r="AV58" s="356"/>
      <c r="AW58" s="307" t="s">
        <v>103</v>
      </c>
    </row>
    <row r="59" spans="1:50" ht="20" customHeight="1">
      <c r="A59" s="362"/>
      <c r="B59" s="5" t="s">
        <v>318</v>
      </c>
      <c r="C59" s="5">
        <v>15014543</v>
      </c>
      <c r="D59" s="5" t="s">
        <v>51</v>
      </c>
      <c r="E59" s="5" t="s">
        <v>52</v>
      </c>
      <c r="F59" s="5" t="s">
        <v>1604</v>
      </c>
      <c r="G59" s="5" t="s">
        <v>1445</v>
      </c>
      <c r="H59" s="5" t="s">
        <v>1442</v>
      </c>
      <c r="I59" s="6">
        <v>42193</v>
      </c>
      <c r="J59" s="5" t="s">
        <v>55</v>
      </c>
      <c r="K59" s="5" t="s">
        <v>55</v>
      </c>
      <c r="L59" s="5" t="s">
        <v>56</v>
      </c>
      <c r="M59" s="7">
        <v>2</v>
      </c>
      <c r="N59" s="7">
        <v>2</v>
      </c>
      <c r="O59" s="308">
        <v>17580</v>
      </c>
      <c r="P59" s="309">
        <v>0</v>
      </c>
      <c r="Q59" s="310">
        <v>0</v>
      </c>
      <c r="R59" s="309">
        <v>0</v>
      </c>
      <c r="S59" s="310">
        <v>0</v>
      </c>
      <c r="T59" s="309">
        <v>0</v>
      </c>
      <c r="U59" s="310">
        <v>0</v>
      </c>
      <c r="V59" s="310">
        <v>17580</v>
      </c>
      <c r="W59" s="311">
        <v>17922</v>
      </c>
      <c r="X59" s="312">
        <v>342</v>
      </c>
      <c r="Y59" s="313">
        <v>1.95E-2</v>
      </c>
      <c r="Z59" s="314" t="s">
        <v>225</v>
      </c>
      <c r="AA59" s="315"/>
      <c r="AB59" s="315"/>
      <c r="AC59" s="315"/>
      <c r="AD59" s="316"/>
      <c r="AE59" s="308">
        <v>0</v>
      </c>
      <c r="AF59" s="317">
        <v>17922</v>
      </c>
      <c r="AG59" s="18">
        <v>342</v>
      </c>
      <c r="AH59" s="318">
        <v>1.945392491467568E-2</v>
      </c>
      <c r="AI59" s="20">
        <v>14</v>
      </c>
      <c r="AJ59" s="20">
        <v>450</v>
      </c>
      <c r="AK59" s="20"/>
      <c r="AL59" s="20">
        <v>688</v>
      </c>
      <c r="AM59" s="20">
        <v>256996</v>
      </c>
      <c r="AN59" s="7">
        <v>5</v>
      </c>
      <c r="AO59" s="20"/>
      <c r="AP59" s="21" t="s">
        <v>1458</v>
      </c>
      <c r="AQ59" s="21" t="s">
        <v>90</v>
      </c>
      <c r="AR59" s="5" t="s">
        <v>1444</v>
      </c>
      <c r="AS59" s="5" t="s">
        <v>164</v>
      </c>
      <c r="AT59" s="5" t="s">
        <v>59</v>
      </c>
      <c r="AU59" s="21"/>
      <c r="AV59" s="21"/>
      <c r="AW59" s="307" t="s">
        <v>103</v>
      </c>
    </row>
    <row r="60" spans="1:50" ht="20" customHeight="1">
      <c r="A60" s="362"/>
      <c r="B60" s="5" t="s">
        <v>318</v>
      </c>
      <c r="C60" s="5">
        <v>15001064</v>
      </c>
      <c r="D60" s="5" t="s">
        <v>51</v>
      </c>
      <c r="E60" s="5" t="s">
        <v>52</v>
      </c>
      <c r="F60" s="5" t="s">
        <v>2001</v>
      </c>
      <c r="G60" s="5" t="s">
        <v>1966</v>
      </c>
      <c r="H60" s="5" t="s">
        <v>1963</v>
      </c>
      <c r="I60" s="6">
        <v>39448</v>
      </c>
      <c r="J60" s="5" t="s">
        <v>377</v>
      </c>
      <c r="K60" s="5" t="s">
        <v>1970</v>
      </c>
      <c r="L60" s="5" t="s">
        <v>324</v>
      </c>
      <c r="M60" s="7">
        <v>2</v>
      </c>
      <c r="N60" s="7">
        <v>3</v>
      </c>
      <c r="O60" s="308">
        <v>5358</v>
      </c>
      <c r="P60" s="319">
        <v>0</v>
      </c>
      <c r="Q60" s="310">
        <v>0</v>
      </c>
      <c r="R60" s="319">
        <v>0</v>
      </c>
      <c r="S60" s="310">
        <v>0</v>
      </c>
      <c r="T60" s="319">
        <v>0</v>
      </c>
      <c r="U60" s="310">
        <v>0</v>
      </c>
      <c r="V60" s="310">
        <v>5358</v>
      </c>
      <c r="W60" s="311">
        <v>5458</v>
      </c>
      <c r="X60" s="312">
        <v>100</v>
      </c>
      <c r="Y60" s="320">
        <v>1.8700000000000001E-2</v>
      </c>
      <c r="Z60" s="321" t="s">
        <v>225</v>
      </c>
      <c r="AA60" s="315"/>
      <c r="AB60" s="315"/>
      <c r="AC60" s="315"/>
      <c r="AD60" s="322"/>
      <c r="AE60" s="308">
        <v>0</v>
      </c>
      <c r="AF60" s="317">
        <v>5458</v>
      </c>
      <c r="AG60" s="18">
        <v>100</v>
      </c>
      <c r="AH60" s="323">
        <v>1.8663680477790212E-2</v>
      </c>
      <c r="AI60" s="20">
        <v>14</v>
      </c>
      <c r="AJ60" s="20">
        <v>550</v>
      </c>
      <c r="AK60" s="20"/>
      <c r="AL60" s="20">
        <v>688</v>
      </c>
      <c r="AM60" s="20">
        <v>83700</v>
      </c>
      <c r="AN60" s="7">
        <v>3</v>
      </c>
      <c r="AO60" s="20"/>
      <c r="AP60" s="21" t="s">
        <v>1972</v>
      </c>
      <c r="AQ60" s="21" t="s">
        <v>90</v>
      </c>
      <c r="AR60" s="5" t="s">
        <v>1948</v>
      </c>
      <c r="AS60" s="5" t="s">
        <v>69</v>
      </c>
      <c r="AT60" s="356"/>
      <c r="AU60" s="356"/>
      <c r="AV60" s="356"/>
      <c r="AW60" s="144" t="s">
        <v>103</v>
      </c>
    </row>
    <row r="61" spans="1:50" ht="20" customHeight="1">
      <c r="A61" s="362"/>
      <c r="B61" s="5" t="s">
        <v>318</v>
      </c>
      <c r="C61" s="5">
        <v>15022179</v>
      </c>
      <c r="D61" s="5" t="s">
        <v>51</v>
      </c>
      <c r="E61" s="5" t="s">
        <v>52</v>
      </c>
      <c r="F61" s="5" t="s">
        <v>62</v>
      </c>
      <c r="G61" s="5" t="s">
        <v>180</v>
      </c>
      <c r="H61" s="5" t="s">
        <v>181</v>
      </c>
      <c r="I61" s="6">
        <v>44686</v>
      </c>
      <c r="J61" s="5" t="s">
        <v>82</v>
      </c>
      <c r="K61" s="5" t="s">
        <v>192</v>
      </c>
      <c r="L61" s="5" t="s">
        <v>84</v>
      </c>
      <c r="M61" s="7">
        <v>2</v>
      </c>
      <c r="N61" s="7">
        <v>3</v>
      </c>
      <c r="O61" s="308">
        <v>12472</v>
      </c>
      <c r="P61" s="309">
        <v>0</v>
      </c>
      <c r="Q61" s="310">
        <v>0</v>
      </c>
      <c r="R61" s="309">
        <v>0</v>
      </c>
      <c r="S61" s="310">
        <v>0</v>
      </c>
      <c r="T61" s="309">
        <v>0</v>
      </c>
      <c r="U61" s="310">
        <v>0</v>
      </c>
      <c r="V61" s="310">
        <v>12472</v>
      </c>
      <c r="W61" s="311">
        <v>12700</v>
      </c>
      <c r="X61" s="312">
        <v>228</v>
      </c>
      <c r="Y61" s="313">
        <v>1.83E-2</v>
      </c>
      <c r="Z61" s="314" t="s">
        <v>225</v>
      </c>
      <c r="AA61" s="315"/>
      <c r="AB61" s="315"/>
      <c r="AC61" s="315"/>
      <c r="AD61" s="316"/>
      <c r="AE61" s="308">
        <v>0</v>
      </c>
      <c r="AF61" s="317">
        <v>12700</v>
      </c>
      <c r="AG61" s="18">
        <v>228</v>
      </c>
      <c r="AH61" s="318">
        <v>1.8280949326491269E-2</v>
      </c>
      <c r="AI61" s="20">
        <v>14</v>
      </c>
      <c r="AJ61" s="20">
        <v>450</v>
      </c>
      <c r="AK61" s="20"/>
      <c r="AL61" s="20">
        <v>688</v>
      </c>
      <c r="AM61" s="20">
        <v>183888</v>
      </c>
      <c r="AN61" s="7">
        <v>3</v>
      </c>
      <c r="AO61" s="20"/>
      <c r="AP61" s="21" t="s">
        <v>193</v>
      </c>
      <c r="AQ61" s="21" t="s">
        <v>194</v>
      </c>
      <c r="AR61" s="5" t="s">
        <v>163</v>
      </c>
      <c r="AS61" s="5" t="s">
        <v>164</v>
      </c>
      <c r="AT61" s="5" t="s">
        <v>59</v>
      </c>
      <c r="AU61" s="21" t="s">
        <v>102</v>
      </c>
      <c r="AV61" s="21" t="s">
        <v>103</v>
      </c>
      <c r="AW61" s="144" t="s">
        <v>103</v>
      </c>
    </row>
    <row r="62" spans="1:50" ht="20" customHeight="1">
      <c r="A62" s="362"/>
      <c r="B62" s="5" t="s">
        <v>318</v>
      </c>
      <c r="C62" s="5">
        <v>1120133</v>
      </c>
      <c r="D62" s="5" t="s">
        <v>51</v>
      </c>
      <c r="E62" s="5" t="s">
        <v>52</v>
      </c>
      <c r="F62" s="5" t="s">
        <v>2035</v>
      </c>
      <c r="G62" s="5" t="s">
        <v>2120</v>
      </c>
      <c r="H62" s="5" t="s">
        <v>2121</v>
      </c>
      <c r="I62" s="6">
        <v>40693</v>
      </c>
      <c r="J62" s="5" t="s">
        <v>74</v>
      </c>
      <c r="K62" s="5" t="s">
        <v>2122</v>
      </c>
      <c r="L62" s="5" t="s">
        <v>76</v>
      </c>
      <c r="M62" s="7">
        <v>2</v>
      </c>
      <c r="N62" s="7">
        <v>3</v>
      </c>
      <c r="O62" s="308">
        <v>15114</v>
      </c>
      <c r="P62" s="319">
        <v>0</v>
      </c>
      <c r="Q62" s="310">
        <v>0</v>
      </c>
      <c r="R62" s="319">
        <v>0</v>
      </c>
      <c r="S62" s="310">
        <v>0</v>
      </c>
      <c r="T62" s="319">
        <v>0</v>
      </c>
      <c r="U62" s="310">
        <v>0</v>
      </c>
      <c r="V62" s="310">
        <v>15114</v>
      </c>
      <c r="W62" s="311">
        <v>15369</v>
      </c>
      <c r="X62" s="312">
        <v>255</v>
      </c>
      <c r="Y62" s="320">
        <v>1.6899999999999998E-2</v>
      </c>
      <c r="Z62" s="321" t="s">
        <v>225</v>
      </c>
      <c r="AA62" s="315"/>
      <c r="AB62" s="315"/>
      <c r="AC62" s="315"/>
      <c r="AD62" s="322"/>
      <c r="AE62" s="308">
        <v>0</v>
      </c>
      <c r="AF62" s="317">
        <v>15369</v>
      </c>
      <c r="AG62" s="18">
        <v>255</v>
      </c>
      <c r="AH62" s="323">
        <v>1.6871774513695925E-2</v>
      </c>
      <c r="AI62" s="20">
        <v>14</v>
      </c>
      <c r="AJ62" s="20">
        <v>850</v>
      </c>
      <c r="AK62" s="20"/>
      <c r="AL62" s="20">
        <v>688</v>
      </c>
      <c r="AM62" s="20">
        <v>226054</v>
      </c>
      <c r="AN62" s="7">
        <v>3</v>
      </c>
      <c r="AO62" s="20"/>
      <c r="AP62" s="21" t="s">
        <v>2123</v>
      </c>
      <c r="AQ62" s="21" t="s">
        <v>205</v>
      </c>
      <c r="AR62" s="5" t="s">
        <v>2074</v>
      </c>
      <c r="AS62" s="5" t="s">
        <v>2075</v>
      </c>
      <c r="AT62" s="5" t="s">
        <v>247</v>
      </c>
      <c r="AU62" s="21"/>
      <c r="AV62" s="21"/>
      <c r="AW62" s="307" t="s">
        <v>103</v>
      </c>
    </row>
    <row r="63" spans="1:50" ht="20" customHeight="1">
      <c r="A63" s="362"/>
      <c r="B63" s="5" t="s">
        <v>318</v>
      </c>
      <c r="C63" s="5">
        <v>51202544</v>
      </c>
      <c r="D63" s="5" t="s">
        <v>51</v>
      </c>
      <c r="E63" s="5" t="s">
        <v>52</v>
      </c>
      <c r="F63" s="5" t="s">
        <v>2035</v>
      </c>
      <c r="G63" s="5" t="s">
        <v>2203</v>
      </c>
      <c r="H63" s="5" t="s">
        <v>2204</v>
      </c>
      <c r="I63" s="6">
        <v>44137</v>
      </c>
      <c r="J63" s="5" t="s">
        <v>82</v>
      </c>
      <c r="K63" s="5" t="s">
        <v>82</v>
      </c>
      <c r="L63" s="5" t="s">
        <v>84</v>
      </c>
      <c r="M63" s="7">
        <v>2</v>
      </c>
      <c r="N63" s="7">
        <v>2</v>
      </c>
      <c r="O63" s="308">
        <v>8953</v>
      </c>
      <c r="P63" s="319">
        <v>0</v>
      </c>
      <c r="Q63" s="310">
        <v>0</v>
      </c>
      <c r="R63" s="319">
        <v>0</v>
      </c>
      <c r="S63" s="310">
        <v>0</v>
      </c>
      <c r="T63" s="319">
        <v>0</v>
      </c>
      <c r="U63" s="310">
        <v>0</v>
      </c>
      <c r="V63" s="310">
        <v>8953</v>
      </c>
      <c r="W63" s="311">
        <v>9100</v>
      </c>
      <c r="X63" s="312">
        <v>147</v>
      </c>
      <c r="Y63" s="320">
        <v>1.6400000000000001E-2</v>
      </c>
      <c r="Z63" s="321" t="s">
        <v>225</v>
      </c>
      <c r="AA63" s="315"/>
      <c r="AB63" s="315"/>
      <c r="AC63" s="315"/>
      <c r="AD63" s="322"/>
      <c r="AE63" s="308">
        <v>0</v>
      </c>
      <c r="AF63" s="317">
        <v>9100</v>
      </c>
      <c r="AG63" s="18">
        <v>147</v>
      </c>
      <c r="AH63" s="323">
        <v>1.6419077404222104E-2</v>
      </c>
      <c r="AI63" s="20">
        <v>14</v>
      </c>
      <c r="AJ63" s="20">
        <v>450</v>
      </c>
      <c r="AK63" s="20"/>
      <c r="AL63" s="20">
        <v>688</v>
      </c>
      <c r="AM63" s="20">
        <v>133488</v>
      </c>
      <c r="AN63" s="7">
        <v>5</v>
      </c>
      <c r="AO63" s="20"/>
      <c r="AP63" s="21" t="s">
        <v>2221</v>
      </c>
      <c r="AQ63" s="21" t="s">
        <v>151</v>
      </c>
      <c r="AR63" s="5" t="s">
        <v>2201</v>
      </c>
      <c r="AS63" s="5" t="s">
        <v>2202</v>
      </c>
      <c r="AT63" s="5" t="s">
        <v>247</v>
      </c>
      <c r="AU63" s="21"/>
      <c r="AV63" s="21"/>
      <c r="AW63" s="144" t="s">
        <v>103</v>
      </c>
    </row>
    <row r="64" spans="1:50" ht="20" customHeight="1">
      <c r="A64" s="362"/>
      <c r="B64" s="5" t="s">
        <v>318</v>
      </c>
      <c r="C64" s="5">
        <v>11019395</v>
      </c>
      <c r="D64" s="5" t="s">
        <v>51</v>
      </c>
      <c r="E64" s="5" t="s">
        <v>52</v>
      </c>
      <c r="F64" s="5" t="s">
        <v>1753</v>
      </c>
      <c r="G64" s="5" t="s">
        <v>1884</v>
      </c>
      <c r="H64" s="5" t="s">
        <v>1748</v>
      </c>
      <c r="I64" s="6">
        <v>44673</v>
      </c>
      <c r="J64" s="5" t="s">
        <v>85</v>
      </c>
      <c r="K64" s="5" t="s">
        <v>85</v>
      </c>
      <c r="L64" s="5" t="s">
        <v>76</v>
      </c>
      <c r="M64" s="7">
        <v>2</v>
      </c>
      <c r="N64" s="7">
        <v>3</v>
      </c>
      <c r="O64" s="308">
        <v>12384</v>
      </c>
      <c r="P64" s="319">
        <v>0</v>
      </c>
      <c r="Q64" s="310">
        <v>0</v>
      </c>
      <c r="R64" s="319">
        <v>0</v>
      </c>
      <c r="S64" s="310">
        <v>0</v>
      </c>
      <c r="T64" s="319">
        <v>0</v>
      </c>
      <c r="U64" s="310">
        <v>0</v>
      </c>
      <c r="V64" s="310">
        <v>12384</v>
      </c>
      <c r="W64" s="311">
        <v>12584</v>
      </c>
      <c r="X64" s="312">
        <v>200</v>
      </c>
      <c r="Y64" s="320">
        <v>1.61E-2</v>
      </c>
      <c r="Z64" s="321" t="s">
        <v>225</v>
      </c>
      <c r="AA64" s="315"/>
      <c r="AB64" s="315"/>
      <c r="AC64" s="315"/>
      <c r="AD64" s="322"/>
      <c r="AE64" s="308">
        <v>0</v>
      </c>
      <c r="AF64" s="317">
        <v>12584</v>
      </c>
      <c r="AG64" s="18">
        <v>200</v>
      </c>
      <c r="AH64" s="323">
        <v>1.6149870801033694E-2</v>
      </c>
      <c r="AI64" s="20">
        <v>14</v>
      </c>
      <c r="AJ64" s="20">
        <v>450</v>
      </c>
      <c r="AK64" s="20"/>
      <c r="AL64" s="20">
        <v>688</v>
      </c>
      <c r="AM64" s="20">
        <v>182264</v>
      </c>
      <c r="AN64" s="7">
        <v>4</v>
      </c>
      <c r="AO64" s="20"/>
      <c r="AP64" s="21"/>
      <c r="AQ64" s="21" t="s">
        <v>151</v>
      </c>
      <c r="AR64" s="5" t="s">
        <v>1854</v>
      </c>
      <c r="AS64" s="5" t="s">
        <v>124</v>
      </c>
      <c r="AT64" s="356"/>
      <c r="AU64" s="356"/>
      <c r="AV64" s="356"/>
      <c r="AW64" s="144" t="s">
        <v>103</v>
      </c>
    </row>
    <row r="65" spans="1:49" ht="20" customHeight="1">
      <c r="A65" s="362"/>
      <c r="B65" s="5" t="s">
        <v>318</v>
      </c>
      <c r="C65" s="5">
        <v>11010967</v>
      </c>
      <c r="D65" s="5" t="s">
        <v>51</v>
      </c>
      <c r="E65" s="5" t="s">
        <v>52</v>
      </c>
      <c r="F65" s="5" t="s">
        <v>1902</v>
      </c>
      <c r="G65" s="5" t="s">
        <v>1902</v>
      </c>
      <c r="H65" s="5" t="s">
        <v>1903</v>
      </c>
      <c r="I65" s="6">
        <v>41793</v>
      </c>
      <c r="J65" s="5" t="s">
        <v>1727</v>
      </c>
      <c r="K65" s="5" t="s">
        <v>1727</v>
      </c>
      <c r="L65" s="5" t="s">
        <v>56</v>
      </c>
      <c r="M65" s="7">
        <v>2</v>
      </c>
      <c r="N65" s="7">
        <v>3</v>
      </c>
      <c r="O65" s="308">
        <v>33125</v>
      </c>
      <c r="P65" s="319">
        <v>0</v>
      </c>
      <c r="Q65" s="310">
        <v>0</v>
      </c>
      <c r="R65" s="319">
        <v>0</v>
      </c>
      <c r="S65" s="310">
        <v>0</v>
      </c>
      <c r="T65" s="319">
        <v>0</v>
      </c>
      <c r="U65" s="310">
        <v>0</v>
      </c>
      <c r="V65" s="310">
        <v>33125</v>
      </c>
      <c r="W65" s="311">
        <v>33625</v>
      </c>
      <c r="X65" s="312">
        <v>500</v>
      </c>
      <c r="Y65" s="320">
        <v>1.5100000000000001E-2</v>
      </c>
      <c r="Z65" s="321" t="s">
        <v>225</v>
      </c>
      <c r="AA65" s="315"/>
      <c r="AB65" s="315"/>
      <c r="AC65" s="315"/>
      <c r="AD65" s="322"/>
      <c r="AE65" s="308">
        <v>0</v>
      </c>
      <c r="AF65" s="317">
        <v>33625</v>
      </c>
      <c r="AG65" s="18">
        <v>500</v>
      </c>
      <c r="AH65" s="323">
        <v>1.5094339622641506E-2</v>
      </c>
      <c r="AI65" s="20">
        <v>14</v>
      </c>
      <c r="AJ65" s="20">
        <v>450</v>
      </c>
      <c r="AK65" s="20"/>
      <c r="AL65" s="20">
        <v>688</v>
      </c>
      <c r="AM65" s="20">
        <v>476838</v>
      </c>
      <c r="AN65" s="7">
        <v>3</v>
      </c>
      <c r="AO65" s="20"/>
      <c r="AP65" s="21" t="s">
        <v>1905</v>
      </c>
      <c r="AQ65" s="21" t="s">
        <v>90</v>
      </c>
      <c r="AR65" s="5" t="s">
        <v>1904</v>
      </c>
      <c r="AS65" s="5" t="s">
        <v>69</v>
      </c>
      <c r="AT65" s="356"/>
      <c r="AU65" s="356"/>
      <c r="AV65" s="356"/>
      <c r="AW65" s="307" t="s">
        <v>103</v>
      </c>
    </row>
    <row r="66" spans="1:49" ht="20" customHeight="1">
      <c r="A66" s="362"/>
      <c r="B66" s="5" t="s">
        <v>318</v>
      </c>
      <c r="C66" s="5">
        <v>11006959</v>
      </c>
      <c r="D66" s="5" t="s">
        <v>51</v>
      </c>
      <c r="E66" s="5" t="s">
        <v>52</v>
      </c>
      <c r="F66" s="5" t="s">
        <v>1753</v>
      </c>
      <c r="G66" s="5" t="s">
        <v>1872</v>
      </c>
      <c r="H66" s="5" t="s">
        <v>1873</v>
      </c>
      <c r="I66" s="6">
        <v>40497</v>
      </c>
      <c r="J66" s="5" t="s">
        <v>1865</v>
      </c>
      <c r="K66" s="5" t="s">
        <v>1865</v>
      </c>
      <c r="L66" s="5" t="s">
        <v>324</v>
      </c>
      <c r="M66" s="7">
        <v>2</v>
      </c>
      <c r="N66" s="7">
        <v>3</v>
      </c>
      <c r="O66" s="308">
        <v>6795</v>
      </c>
      <c r="P66" s="319">
        <v>0</v>
      </c>
      <c r="Q66" s="310">
        <v>0</v>
      </c>
      <c r="R66" s="319">
        <v>0</v>
      </c>
      <c r="S66" s="310">
        <v>0</v>
      </c>
      <c r="T66" s="319">
        <v>0</v>
      </c>
      <c r="U66" s="310">
        <v>0</v>
      </c>
      <c r="V66" s="310">
        <v>6795</v>
      </c>
      <c r="W66" s="311">
        <v>6895</v>
      </c>
      <c r="X66" s="312">
        <v>100</v>
      </c>
      <c r="Y66" s="320">
        <v>1.47E-2</v>
      </c>
      <c r="Z66" s="321" t="s">
        <v>225</v>
      </c>
      <c r="AA66" s="315"/>
      <c r="AB66" s="315"/>
      <c r="AC66" s="315"/>
      <c r="AD66" s="322"/>
      <c r="AE66" s="308">
        <v>0</v>
      </c>
      <c r="AF66" s="317">
        <v>6895</v>
      </c>
      <c r="AG66" s="18">
        <v>100</v>
      </c>
      <c r="AH66" s="323">
        <v>1.471670345842524E-2</v>
      </c>
      <c r="AI66" s="20">
        <v>14</v>
      </c>
      <c r="AJ66" s="20">
        <v>2050</v>
      </c>
      <c r="AK66" s="20"/>
      <c r="AL66" s="20">
        <v>688</v>
      </c>
      <c r="AM66" s="20">
        <v>121818</v>
      </c>
      <c r="AN66" s="7">
        <v>3</v>
      </c>
      <c r="AO66" s="20"/>
      <c r="AP66" s="21"/>
      <c r="AQ66" s="21" t="s">
        <v>128</v>
      </c>
      <c r="AR66" s="5" t="s">
        <v>1854</v>
      </c>
      <c r="AS66" s="5" t="s">
        <v>124</v>
      </c>
      <c r="AT66" s="356"/>
      <c r="AU66" s="356"/>
      <c r="AV66" s="356"/>
      <c r="AW66" s="144" t="s">
        <v>103</v>
      </c>
    </row>
    <row r="67" spans="1:49" ht="20" customHeight="1">
      <c r="A67" s="362"/>
      <c r="B67" s="5" t="s">
        <v>318</v>
      </c>
      <c r="C67" s="5">
        <v>10069647</v>
      </c>
      <c r="D67" s="5" t="s">
        <v>51</v>
      </c>
      <c r="E67" s="5" t="s">
        <v>52</v>
      </c>
      <c r="F67" s="5" t="s">
        <v>1753</v>
      </c>
      <c r="G67" s="5" t="s">
        <v>1863</v>
      </c>
      <c r="H67" s="5" t="s">
        <v>1864</v>
      </c>
      <c r="I67" s="6">
        <v>43922</v>
      </c>
      <c r="J67" s="5" t="s">
        <v>1865</v>
      </c>
      <c r="K67" s="5" t="s">
        <v>1865</v>
      </c>
      <c r="L67" s="5" t="s">
        <v>324</v>
      </c>
      <c r="M67" s="7">
        <v>2</v>
      </c>
      <c r="N67" s="7">
        <v>3</v>
      </c>
      <c r="O67" s="308">
        <v>6831</v>
      </c>
      <c r="P67" s="319">
        <v>0</v>
      </c>
      <c r="Q67" s="310">
        <v>0</v>
      </c>
      <c r="R67" s="319">
        <v>0</v>
      </c>
      <c r="S67" s="310">
        <v>0</v>
      </c>
      <c r="T67" s="319">
        <v>0</v>
      </c>
      <c r="U67" s="310">
        <v>0</v>
      </c>
      <c r="V67" s="310">
        <v>6831</v>
      </c>
      <c r="W67" s="311">
        <v>6931</v>
      </c>
      <c r="X67" s="312">
        <v>100</v>
      </c>
      <c r="Y67" s="320">
        <v>1.46E-2</v>
      </c>
      <c r="Z67" s="321" t="s">
        <v>225</v>
      </c>
      <c r="AA67" s="315"/>
      <c r="AB67" s="315"/>
      <c r="AC67" s="315"/>
      <c r="AD67" s="322"/>
      <c r="AE67" s="308">
        <v>0</v>
      </c>
      <c r="AF67" s="317">
        <v>6931</v>
      </c>
      <c r="AG67" s="18">
        <v>100</v>
      </c>
      <c r="AH67" s="323">
        <v>1.4639145073927606E-2</v>
      </c>
      <c r="AI67" s="20">
        <v>14</v>
      </c>
      <c r="AJ67" s="20">
        <v>650</v>
      </c>
      <c r="AK67" s="20"/>
      <c r="AL67" s="20">
        <v>688</v>
      </c>
      <c r="AM67" s="20">
        <v>105522</v>
      </c>
      <c r="AN67" s="7">
        <v>3</v>
      </c>
      <c r="AO67" s="20"/>
      <c r="AP67" s="21"/>
      <c r="AQ67" s="21" t="s">
        <v>128</v>
      </c>
      <c r="AR67" s="5" t="s">
        <v>1854</v>
      </c>
      <c r="AS67" s="5" t="s">
        <v>124</v>
      </c>
      <c r="AT67" s="356"/>
      <c r="AU67" s="356"/>
      <c r="AV67" s="356"/>
      <c r="AW67" s="144" t="s">
        <v>103</v>
      </c>
    </row>
    <row r="68" spans="1:49" ht="20" customHeight="1">
      <c r="A68" s="362"/>
      <c r="B68" s="5" t="s">
        <v>318</v>
      </c>
      <c r="C68" s="5">
        <v>15000580</v>
      </c>
      <c r="D68" s="5" t="s">
        <v>51</v>
      </c>
      <c r="E68" s="5" t="s">
        <v>52</v>
      </c>
      <c r="F68" s="5" t="s">
        <v>62</v>
      </c>
      <c r="G68" s="5" t="s">
        <v>207</v>
      </c>
      <c r="H68" s="5" t="s">
        <v>197</v>
      </c>
      <c r="I68" s="6">
        <v>38916</v>
      </c>
      <c r="J68" s="5" t="s">
        <v>198</v>
      </c>
      <c r="K68" s="5" t="s">
        <v>208</v>
      </c>
      <c r="L68" s="5" t="s">
        <v>199</v>
      </c>
      <c r="M68" s="7">
        <v>2</v>
      </c>
      <c r="N68" s="7">
        <v>3</v>
      </c>
      <c r="O68" s="308">
        <v>42080</v>
      </c>
      <c r="P68" s="309">
        <v>0</v>
      </c>
      <c r="Q68" s="310">
        <v>0</v>
      </c>
      <c r="R68" s="309">
        <v>0</v>
      </c>
      <c r="S68" s="310">
        <v>0</v>
      </c>
      <c r="T68" s="309">
        <v>0</v>
      </c>
      <c r="U68" s="310">
        <v>0</v>
      </c>
      <c r="V68" s="310">
        <v>42080</v>
      </c>
      <c r="W68" s="311">
        <v>42686</v>
      </c>
      <c r="X68" s="312">
        <v>606</v>
      </c>
      <c r="Y68" s="313">
        <v>1.44E-2</v>
      </c>
      <c r="Z68" s="314" t="s">
        <v>225</v>
      </c>
      <c r="AA68" s="315"/>
      <c r="AB68" s="315"/>
      <c r="AC68" s="315"/>
      <c r="AD68" s="316"/>
      <c r="AE68" s="308">
        <v>0</v>
      </c>
      <c r="AF68" s="317">
        <v>42686</v>
      </c>
      <c r="AG68" s="18">
        <v>606</v>
      </c>
      <c r="AH68" s="318">
        <v>1.4401140684410674E-2</v>
      </c>
      <c r="AI68" s="20">
        <v>14</v>
      </c>
      <c r="AJ68" s="20">
        <v>450</v>
      </c>
      <c r="AK68" s="20">
        <v>1000</v>
      </c>
      <c r="AL68" s="20">
        <v>688</v>
      </c>
      <c r="AM68" s="20">
        <v>615692</v>
      </c>
      <c r="AN68" s="7">
        <v>3</v>
      </c>
      <c r="AO68" s="20"/>
      <c r="AP68" s="21" t="s">
        <v>209</v>
      </c>
      <c r="AQ68" s="21" t="s">
        <v>205</v>
      </c>
      <c r="AR68" s="5" t="s">
        <v>201</v>
      </c>
      <c r="AS68" s="5" t="s">
        <v>164</v>
      </c>
      <c r="AT68" s="5" t="s">
        <v>59</v>
      </c>
      <c r="AU68" s="21" t="s">
        <v>102</v>
      </c>
      <c r="AV68" s="21" t="s">
        <v>103</v>
      </c>
      <c r="AW68" s="307" t="s">
        <v>103</v>
      </c>
    </row>
    <row r="69" spans="1:49" ht="20" customHeight="1">
      <c r="A69" s="362"/>
      <c r="B69" s="5" t="s">
        <v>318</v>
      </c>
      <c r="C69" s="5">
        <v>11007163</v>
      </c>
      <c r="D69" s="5" t="s">
        <v>51</v>
      </c>
      <c r="E69" s="5" t="s">
        <v>52</v>
      </c>
      <c r="F69" s="5" t="s">
        <v>1753</v>
      </c>
      <c r="G69" s="5" t="s">
        <v>1885</v>
      </c>
      <c r="H69" s="5" t="s">
        <v>1886</v>
      </c>
      <c r="I69" s="6">
        <v>40583</v>
      </c>
      <c r="J69" s="5" t="s">
        <v>1866</v>
      </c>
      <c r="K69" s="5" t="s">
        <v>1866</v>
      </c>
      <c r="L69" s="5" t="s">
        <v>324</v>
      </c>
      <c r="M69" s="7">
        <v>2</v>
      </c>
      <c r="N69" s="7">
        <v>3</v>
      </c>
      <c r="O69" s="308">
        <v>7056</v>
      </c>
      <c r="P69" s="319">
        <v>0</v>
      </c>
      <c r="Q69" s="310">
        <v>0</v>
      </c>
      <c r="R69" s="319">
        <v>0</v>
      </c>
      <c r="S69" s="310">
        <v>0</v>
      </c>
      <c r="T69" s="319">
        <v>0</v>
      </c>
      <c r="U69" s="310">
        <v>0</v>
      </c>
      <c r="V69" s="310">
        <v>7056</v>
      </c>
      <c r="W69" s="311">
        <v>7156</v>
      </c>
      <c r="X69" s="312">
        <v>100</v>
      </c>
      <c r="Y69" s="320">
        <v>1.4200000000000001E-2</v>
      </c>
      <c r="Z69" s="321" t="s">
        <v>225</v>
      </c>
      <c r="AA69" s="315"/>
      <c r="AB69" s="315"/>
      <c r="AC69" s="315"/>
      <c r="AD69" s="322"/>
      <c r="AE69" s="308">
        <v>0</v>
      </c>
      <c r="AF69" s="317">
        <v>7156</v>
      </c>
      <c r="AG69" s="18">
        <v>100</v>
      </c>
      <c r="AH69" s="323">
        <v>1.4172335600907138E-2</v>
      </c>
      <c r="AI69" s="20">
        <v>14</v>
      </c>
      <c r="AJ69" s="20">
        <v>750</v>
      </c>
      <c r="AK69" s="20"/>
      <c r="AL69" s="20">
        <v>688</v>
      </c>
      <c r="AM69" s="20">
        <v>109872</v>
      </c>
      <c r="AN69" s="7">
        <v>3</v>
      </c>
      <c r="AO69" s="20"/>
      <c r="AP69" s="21"/>
      <c r="AQ69" s="21" t="s">
        <v>128</v>
      </c>
      <c r="AR69" s="5" t="s">
        <v>1854</v>
      </c>
      <c r="AS69" s="5" t="s">
        <v>124</v>
      </c>
      <c r="AT69" s="356"/>
      <c r="AU69" s="356"/>
      <c r="AV69" s="356"/>
      <c r="AW69" s="307" t="s">
        <v>103</v>
      </c>
    </row>
    <row r="70" spans="1:49" ht="20" customHeight="1">
      <c r="A70" s="362"/>
      <c r="B70" s="5" t="s">
        <v>318</v>
      </c>
      <c r="C70" s="5">
        <v>15000525</v>
      </c>
      <c r="D70" s="5" t="s">
        <v>51</v>
      </c>
      <c r="E70" s="5" t="s">
        <v>52</v>
      </c>
      <c r="F70" s="5" t="s">
        <v>62</v>
      </c>
      <c r="G70" s="5" t="s">
        <v>145</v>
      </c>
      <c r="H70" s="5" t="s">
        <v>146</v>
      </c>
      <c r="I70" s="6">
        <v>38869</v>
      </c>
      <c r="J70" s="5" t="s">
        <v>147</v>
      </c>
      <c r="K70" s="5" t="s">
        <v>148</v>
      </c>
      <c r="L70" s="5" t="s">
        <v>84</v>
      </c>
      <c r="M70" s="7">
        <v>2</v>
      </c>
      <c r="N70" s="7">
        <v>3</v>
      </c>
      <c r="O70" s="308">
        <v>7900</v>
      </c>
      <c r="P70" s="319">
        <v>0</v>
      </c>
      <c r="Q70" s="310">
        <v>0</v>
      </c>
      <c r="R70" s="319">
        <v>0</v>
      </c>
      <c r="S70" s="310">
        <v>0</v>
      </c>
      <c r="T70" s="319">
        <v>0</v>
      </c>
      <c r="U70" s="310">
        <v>0</v>
      </c>
      <c r="V70" s="310">
        <v>7900</v>
      </c>
      <c r="W70" s="311">
        <v>8000</v>
      </c>
      <c r="X70" s="312">
        <v>100</v>
      </c>
      <c r="Y70" s="320">
        <v>1.2699999999999999E-2</v>
      </c>
      <c r="Z70" s="321" t="s">
        <v>225</v>
      </c>
      <c r="AA70" s="315"/>
      <c r="AB70" s="315"/>
      <c r="AC70" s="315"/>
      <c r="AD70" s="322"/>
      <c r="AE70" s="308">
        <v>0</v>
      </c>
      <c r="AF70" s="317">
        <v>8000</v>
      </c>
      <c r="AG70" s="18">
        <v>100</v>
      </c>
      <c r="AH70" s="323">
        <v>1.2658227848101333E-2</v>
      </c>
      <c r="AI70" s="20">
        <v>14</v>
      </c>
      <c r="AJ70" s="20">
        <v>650</v>
      </c>
      <c r="AK70" s="20"/>
      <c r="AL70" s="20">
        <v>688</v>
      </c>
      <c r="AM70" s="20">
        <v>120488</v>
      </c>
      <c r="AN70" s="7">
        <v>3</v>
      </c>
      <c r="AO70" s="20"/>
      <c r="AP70" s="21"/>
      <c r="AQ70" s="21" t="s">
        <v>128</v>
      </c>
      <c r="AR70" s="5" t="s">
        <v>123</v>
      </c>
      <c r="AS70" s="5" t="s">
        <v>124</v>
      </c>
      <c r="AT70" s="5" t="s">
        <v>59</v>
      </c>
      <c r="AU70" s="21" t="s">
        <v>102</v>
      </c>
      <c r="AV70" s="21" t="s">
        <v>103</v>
      </c>
      <c r="AW70" s="307" t="s">
        <v>103</v>
      </c>
    </row>
    <row r="71" spans="1:49" ht="20" customHeight="1">
      <c r="A71" s="362"/>
      <c r="B71" s="5" t="s">
        <v>318</v>
      </c>
      <c r="C71" s="5">
        <v>11017687</v>
      </c>
      <c r="D71" s="5" t="s">
        <v>51</v>
      </c>
      <c r="E71" s="5" t="s">
        <v>52</v>
      </c>
      <c r="F71" s="5" t="s">
        <v>1753</v>
      </c>
      <c r="G71" s="5" t="s">
        <v>1872</v>
      </c>
      <c r="H71" s="5" t="s">
        <v>1873</v>
      </c>
      <c r="I71" s="6">
        <v>44130</v>
      </c>
      <c r="J71" s="5" t="s">
        <v>1866</v>
      </c>
      <c r="K71" s="5" t="s">
        <v>1866</v>
      </c>
      <c r="L71" s="5" t="s">
        <v>324</v>
      </c>
      <c r="M71" s="7">
        <v>2</v>
      </c>
      <c r="N71" s="7">
        <v>3</v>
      </c>
      <c r="O71" s="308">
        <v>8013</v>
      </c>
      <c r="P71" s="319">
        <v>0</v>
      </c>
      <c r="Q71" s="310">
        <v>0</v>
      </c>
      <c r="R71" s="319">
        <v>0</v>
      </c>
      <c r="S71" s="310">
        <v>0</v>
      </c>
      <c r="T71" s="319">
        <v>0</v>
      </c>
      <c r="U71" s="310">
        <v>0</v>
      </c>
      <c r="V71" s="310">
        <v>8013</v>
      </c>
      <c r="W71" s="311">
        <v>8113</v>
      </c>
      <c r="X71" s="312">
        <v>100</v>
      </c>
      <c r="Y71" s="320">
        <v>1.2500000000000001E-2</v>
      </c>
      <c r="Z71" s="321" t="s">
        <v>225</v>
      </c>
      <c r="AA71" s="315"/>
      <c r="AB71" s="315"/>
      <c r="AC71" s="315"/>
      <c r="AD71" s="322"/>
      <c r="AE71" s="308">
        <v>0</v>
      </c>
      <c r="AF71" s="317">
        <v>8113</v>
      </c>
      <c r="AG71" s="18">
        <v>100</v>
      </c>
      <c r="AH71" s="323">
        <v>1.2479720454261933E-2</v>
      </c>
      <c r="AI71" s="20">
        <v>14</v>
      </c>
      <c r="AJ71" s="20">
        <v>1650</v>
      </c>
      <c r="AK71" s="20"/>
      <c r="AL71" s="20">
        <v>688</v>
      </c>
      <c r="AM71" s="20">
        <v>134070</v>
      </c>
      <c r="AN71" s="7">
        <v>2</v>
      </c>
      <c r="AO71" s="20"/>
      <c r="AP71" s="21"/>
      <c r="AQ71" s="21" t="s">
        <v>128</v>
      </c>
      <c r="AR71" s="5" t="s">
        <v>1854</v>
      </c>
      <c r="AS71" s="5" t="s">
        <v>124</v>
      </c>
      <c r="AT71" s="356"/>
      <c r="AU71" s="356"/>
      <c r="AV71" s="356"/>
      <c r="AW71" s="307" t="s">
        <v>103</v>
      </c>
    </row>
    <row r="72" spans="1:49" ht="20" customHeight="1">
      <c r="A72" s="362"/>
      <c r="B72" s="5" t="s">
        <v>318</v>
      </c>
      <c r="C72" s="5">
        <v>15001281</v>
      </c>
      <c r="D72" s="5" t="s">
        <v>51</v>
      </c>
      <c r="E72" s="5" t="s">
        <v>52</v>
      </c>
      <c r="F72" s="5" t="s">
        <v>1753</v>
      </c>
      <c r="G72" s="5" t="s">
        <v>1750</v>
      </c>
      <c r="H72" s="5" t="s">
        <v>1751</v>
      </c>
      <c r="I72" s="6">
        <v>42891</v>
      </c>
      <c r="J72" s="5" t="s">
        <v>111</v>
      </c>
      <c r="K72" s="5" t="s">
        <v>111</v>
      </c>
      <c r="L72" s="5" t="s">
        <v>56</v>
      </c>
      <c r="M72" s="7">
        <v>2</v>
      </c>
      <c r="N72" s="7">
        <v>3</v>
      </c>
      <c r="O72" s="308">
        <v>29042</v>
      </c>
      <c r="P72" s="319">
        <v>0</v>
      </c>
      <c r="Q72" s="310">
        <v>0</v>
      </c>
      <c r="R72" s="319">
        <v>0</v>
      </c>
      <c r="S72" s="310">
        <v>0</v>
      </c>
      <c r="T72" s="319">
        <v>0</v>
      </c>
      <c r="U72" s="310">
        <v>0</v>
      </c>
      <c r="V72" s="310">
        <v>29042</v>
      </c>
      <c r="W72" s="311">
        <v>29392</v>
      </c>
      <c r="X72" s="312">
        <v>350</v>
      </c>
      <c r="Y72" s="320">
        <v>1.21E-2</v>
      </c>
      <c r="Z72" s="321" t="s">
        <v>225</v>
      </c>
      <c r="AA72" s="315"/>
      <c r="AB72" s="315"/>
      <c r="AC72" s="315"/>
      <c r="AD72" s="322"/>
      <c r="AE72" s="308">
        <v>0</v>
      </c>
      <c r="AF72" s="317">
        <v>29392</v>
      </c>
      <c r="AG72" s="18">
        <v>350</v>
      </c>
      <c r="AH72" s="323">
        <v>1.2051511603883958E-2</v>
      </c>
      <c r="AI72" s="20">
        <v>14</v>
      </c>
      <c r="AJ72" s="20">
        <v>450</v>
      </c>
      <c r="AK72" s="20"/>
      <c r="AL72" s="20">
        <v>688</v>
      </c>
      <c r="AM72" s="20">
        <v>417576</v>
      </c>
      <c r="AN72" s="7">
        <v>3</v>
      </c>
      <c r="AO72" s="20"/>
      <c r="AP72" s="21"/>
      <c r="AQ72" s="21" t="s">
        <v>205</v>
      </c>
      <c r="AR72" s="5" t="s">
        <v>290</v>
      </c>
      <c r="AS72" s="5" t="s">
        <v>124</v>
      </c>
      <c r="AT72" s="356"/>
      <c r="AU72" s="356"/>
      <c r="AV72" s="356"/>
      <c r="AW72" s="307" t="s">
        <v>103</v>
      </c>
    </row>
    <row r="73" spans="1:49" ht="20" customHeight="1">
      <c r="A73" s="362"/>
      <c r="B73" s="5" t="s">
        <v>318</v>
      </c>
      <c r="C73" s="5">
        <v>15021832</v>
      </c>
      <c r="D73" s="5" t="s">
        <v>51</v>
      </c>
      <c r="E73" s="5" t="s">
        <v>52</v>
      </c>
      <c r="F73" s="5" t="s">
        <v>2001</v>
      </c>
      <c r="G73" s="5" t="s">
        <v>1951</v>
      </c>
      <c r="H73" s="5" t="s">
        <v>1981</v>
      </c>
      <c r="I73" s="6">
        <v>44480</v>
      </c>
      <c r="J73" s="5" t="s">
        <v>74</v>
      </c>
      <c r="K73" s="5" t="s">
        <v>74</v>
      </c>
      <c r="L73" s="5" t="s">
        <v>76</v>
      </c>
      <c r="M73" s="7">
        <v>2</v>
      </c>
      <c r="N73" s="7">
        <v>3</v>
      </c>
      <c r="O73" s="308">
        <v>16997</v>
      </c>
      <c r="P73" s="319">
        <v>0</v>
      </c>
      <c r="Q73" s="310">
        <v>0</v>
      </c>
      <c r="R73" s="319">
        <v>0</v>
      </c>
      <c r="S73" s="310">
        <v>0</v>
      </c>
      <c r="T73" s="319">
        <v>0</v>
      </c>
      <c r="U73" s="310">
        <v>0</v>
      </c>
      <c r="V73" s="310">
        <v>16997</v>
      </c>
      <c r="W73" s="311">
        <v>17197</v>
      </c>
      <c r="X73" s="312">
        <v>200</v>
      </c>
      <c r="Y73" s="320">
        <v>1.18E-2</v>
      </c>
      <c r="Z73" s="321" t="s">
        <v>225</v>
      </c>
      <c r="AA73" s="315"/>
      <c r="AB73" s="315"/>
      <c r="AC73" s="315"/>
      <c r="AD73" s="322"/>
      <c r="AE73" s="308">
        <v>0</v>
      </c>
      <c r="AF73" s="317">
        <v>17197</v>
      </c>
      <c r="AG73" s="18">
        <v>200</v>
      </c>
      <c r="AH73" s="323">
        <v>1.1766782373360041E-2</v>
      </c>
      <c r="AI73" s="20">
        <v>14</v>
      </c>
      <c r="AJ73" s="20">
        <v>450</v>
      </c>
      <c r="AK73" s="20"/>
      <c r="AL73" s="20">
        <v>688</v>
      </c>
      <c r="AM73" s="20">
        <v>246846</v>
      </c>
      <c r="AN73" s="7">
        <v>5</v>
      </c>
      <c r="AO73" s="20"/>
      <c r="AP73" s="21" t="s">
        <v>1998</v>
      </c>
      <c r="AQ73" s="21" t="s">
        <v>90</v>
      </c>
      <c r="AR73" s="5" t="s">
        <v>1948</v>
      </c>
      <c r="AS73" s="5" t="s">
        <v>69</v>
      </c>
      <c r="AT73" s="356"/>
      <c r="AU73" s="356"/>
      <c r="AV73" s="356"/>
      <c r="AW73" s="307" t="s">
        <v>103</v>
      </c>
    </row>
    <row r="74" spans="1:49" ht="20" customHeight="1">
      <c r="A74" s="362"/>
      <c r="B74" s="5" t="s">
        <v>318</v>
      </c>
      <c r="C74" s="5">
        <v>15021942</v>
      </c>
      <c r="D74" s="5" t="s">
        <v>51</v>
      </c>
      <c r="E74" s="5" t="s">
        <v>52</v>
      </c>
      <c r="F74" s="5" t="s">
        <v>1935</v>
      </c>
      <c r="G74" s="5" t="s">
        <v>1929</v>
      </c>
      <c r="H74" s="5" t="s">
        <v>1927</v>
      </c>
      <c r="I74" s="6">
        <v>44487</v>
      </c>
      <c r="J74" s="5" t="s">
        <v>85</v>
      </c>
      <c r="K74" s="5" t="s">
        <v>85</v>
      </c>
      <c r="L74" s="5" t="s">
        <v>76</v>
      </c>
      <c r="M74" s="7">
        <v>2</v>
      </c>
      <c r="N74" s="7">
        <v>3</v>
      </c>
      <c r="O74" s="308">
        <v>18127</v>
      </c>
      <c r="P74" s="319">
        <v>0</v>
      </c>
      <c r="Q74" s="310">
        <v>0</v>
      </c>
      <c r="R74" s="319">
        <v>0</v>
      </c>
      <c r="S74" s="310">
        <v>0</v>
      </c>
      <c r="T74" s="319">
        <v>0</v>
      </c>
      <c r="U74" s="310">
        <v>0</v>
      </c>
      <c r="V74" s="310">
        <v>18127</v>
      </c>
      <c r="W74" s="311">
        <v>18310</v>
      </c>
      <c r="X74" s="312">
        <v>183</v>
      </c>
      <c r="Y74" s="320">
        <v>1.01E-2</v>
      </c>
      <c r="Z74" s="321" t="s">
        <v>225</v>
      </c>
      <c r="AA74" s="315"/>
      <c r="AB74" s="315"/>
      <c r="AC74" s="315"/>
      <c r="AD74" s="322"/>
      <c r="AE74" s="308">
        <v>0</v>
      </c>
      <c r="AF74" s="317">
        <v>18310</v>
      </c>
      <c r="AG74" s="18">
        <v>183</v>
      </c>
      <c r="AH74" s="323">
        <v>1.0095437744800595E-2</v>
      </c>
      <c r="AI74" s="20">
        <v>14</v>
      </c>
      <c r="AJ74" s="20">
        <v>450</v>
      </c>
      <c r="AK74" s="20"/>
      <c r="AL74" s="20">
        <v>688</v>
      </c>
      <c r="AM74" s="20">
        <v>262428</v>
      </c>
      <c r="AN74" s="7">
        <v>4</v>
      </c>
      <c r="AO74" s="20"/>
      <c r="AP74" s="21" t="s">
        <v>1938</v>
      </c>
      <c r="AQ74" s="21" t="s">
        <v>90</v>
      </c>
      <c r="AR74" s="5" t="s">
        <v>1928</v>
      </c>
      <c r="AS74" s="5" t="s">
        <v>69</v>
      </c>
      <c r="AT74" s="356"/>
      <c r="AU74" s="356"/>
      <c r="AV74" s="356"/>
      <c r="AW74" s="307" t="s">
        <v>103</v>
      </c>
    </row>
    <row r="75" spans="1:49" ht="20" customHeight="1">
      <c r="A75" s="362"/>
      <c r="B75" s="5" t="s">
        <v>318</v>
      </c>
      <c r="C75" s="5">
        <v>11018344</v>
      </c>
      <c r="D75" s="5" t="s">
        <v>51</v>
      </c>
      <c r="E75" s="5" t="s">
        <v>52</v>
      </c>
      <c r="F75" s="5" t="s">
        <v>1604</v>
      </c>
      <c r="G75" s="5" t="s">
        <v>1540</v>
      </c>
      <c r="H75" s="5" t="s">
        <v>1453</v>
      </c>
      <c r="I75" s="6">
        <v>44326</v>
      </c>
      <c r="J75" s="5" t="s">
        <v>111</v>
      </c>
      <c r="K75" s="5" t="s">
        <v>1547</v>
      </c>
      <c r="L75" s="5" t="s">
        <v>56</v>
      </c>
      <c r="M75" s="7">
        <v>2</v>
      </c>
      <c r="N75" s="7">
        <v>3</v>
      </c>
      <c r="O75" s="308">
        <v>34000</v>
      </c>
      <c r="P75" s="319">
        <v>0</v>
      </c>
      <c r="Q75" s="310">
        <v>0</v>
      </c>
      <c r="R75" s="319">
        <v>0</v>
      </c>
      <c r="S75" s="310">
        <v>0</v>
      </c>
      <c r="T75" s="319">
        <v>0</v>
      </c>
      <c r="U75" s="310">
        <v>0</v>
      </c>
      <c r="V75" s="310">
        <v>34000</v>
      </c>
      <c r="W75" s="311">
        <v>34340</v>
      </c>
      <c r="X75" s="312">
        <v>340</v>
      </c>
      <c r="Y75" s="320">
        <v>0.01</v>
      </c>
      <c r="Z75" s="321" t="s">
        <v>225</v>
      </c>
      <c r="AA75" s="315"/>
      <c r="AB75" s="315"/>
      <c r="AC75" s="315"/>
      <c r="AD75" s="322"/>
      <c r="AE75" s="308">
        <v>0</v>
      </c>
      <c r="AF75" s="317">
        <v>34340</v>
      </c>
      <c r="AG75" s="18">
        <v>340</v>
      </c>
      <c r="AH75" s="323">
        <v>1.0000000000000009E-2</v>
      </c>
      <c r="AI75" s="20">
        <v>14</v>
      </c>
      <c r="AJ75" s="20">
        <v>450</v>
      </c>
      <c r="AK75" s="20"/>
      <c r="AL75" s="20">
        <v>688</v>
      </c>
      <c r="AM75" s="20">
        <v>486848</v>
      </c>
      <c r="AN75" s="7">
        <v>3</v>
      </c>
      <c r="AO75" s="20"/>
      <c r="AP75" s="21" t="s">
        <v>1548</v>
      </c>
      <c r="AQ75" s="21" t="s">
        <v>239</v>
      </c>
      <c r="AR75" s="5" t="s">
        <v>1538</v>
      </c>
      <c r="AS75" s="5" t="s">
        <v>164</v>
      </c>
      <c r="AT75" s="5" t="s">
        <v>59</v>
      </c>
      <c r="AU75" s="21"/>
      <c r="AV75" s="21"/>
      <c r="AW75" s="307" t="s">
        <v>103</v>
      </c>
    </row>
    <row r="76" spans="1:49" ht="20" customHeight="1">
      <c r="A76" s="362"/>
      <c r="B76" s="5" t="s">
        <v>318</v>
      </c>
      <c r="C76" s="5">
        <v>15022628</v>
      </c>
      <c r="D76" s="5" t="s">
        <v>51</v>
      </c>
      <c r="E76" s="5" t="s">
        <v>52</v>
      </c>
      <c r="F76" s="5" t="s">
        <v>319</v>
      </c>
      <c r="G76" s="5" t="s">
        <v>268</v>
      </c>
      <c r="H76" s="5" t="s">
        <v>269</v>
      </c>
      <c r="I76" s="6">
        <v>45839</v>
      </c>
      <c r="J76" s="5" t="s">
        <v>198</v>
      </c>
      <c r="K76" s="5" t="s">
        <v>270</v>
      </c>
      <c r="L76" s="5" t="s">
        <v>199</v>
      </c>
      <c r="M76" s="7">
        <v>2</v>
      </c>
      <c r="N76" s="7">
        <v>2</v>
      </c>
      <c r="O76" s="324">
        <v>25500</v>
      </c>
      <c r="P76" s="309">
        <v>0</v>
      </c>
      <c r="Q76" s="325">
        <v>0</v>
      </c>
      <c r="R76" s="309">
        <v>0</v>
      </c>
      <c r="S76" s="325">
        <v>0</v>
      </c>
      <c r="T76" s="309">
        <v>0</v>
      </c>
      <c r="U76" s="325">
        <v>0</v>
      </c>
      <c r="V76" s="325">
        <v>25500</v>
      </c>
      <c r="W76" s="326">
        <v>25750</v>
      </c>
      <c r="X76" s="327">
        <v>250</v>
      </c>
      <c r="Y76" s="313">
        <v>9.7999999999999997E-3</v>
      </c>
      <c r="Z76" s="314" t="s">
        <v>225</v>
      </c>
      <c r="AA76" s="328"/>
      <c r="AB76" s="328"/>
      <c r="AC76" s="328"/>
      <c r="AD76" s="316"/>
      <c r="AE76" s="324">
        <v>0</v>
      </c>
      <c r="AF76" s="329">
        <v>25750</v>
      </c>
      <c r="AG76" s="18">
        <v>250</v>
      </c>
      <c r="AH76" s="318">
        <v>9.8039215686274161E-3</v>
      </c>
      <c r="AI76" s="20">
        <v>14</v>
      </c>
      <c r="AJ76" s="20">
        <v>450</v>
      </c>
      <c r="AK76" s="20">
        <v>1000</v>
      </c>
      <c r="AL76" s="20">
        <v>688</v>
      </c>
      <c r="AM76" s="20">
        <v>378588</v>
      </c>
      <c r="AN76" s="7" t="e">
        <v>#N/A</v>
      </c>
      <c r="AO76" s="20"/>
      <c r="AP76" s="21"/>
      <c r="AQ76" s="21" t="s">
        <v>128</v>
      </c>
      <c r="AR76" s="5" t="s">
        <v>267</v>
      </c>
      <c r="AS76" s="5" t="s">
        <v>246</v>
      </c>
      <c r="AT76" s="5" t="s">
        <v>247</v>
      </c>
      <c r="AU76" s="356"/>
      <c r="AV76" s="356"/>
      <c r="AW76" s="144" t="s">
        <v>103</v>
      </c>
    </row>
    <row r="77" spans="1:49" ht="20" customHeight="1">
      <c r="A77" s="362"/>
      <c r="B77" s="5" t="s">
        <v>318</v>
      </c>
      <c r="C77" s="5">
        <v>15001306</v>
      </c>
      <c r="D77" s="5" t="s">
        <v>51</v>
      </c>
      <c r="E77" s="5" t="s">
        <v>52</v>
      </c>
      <c r="F77" s="5" t="s">
        <v>62</v>
      </c>
      <c r="G77" s="5" t="s">
        <v>133</v>
      </c>
      <c r="H77" s="5" t="s">
        <v>121</v>
      </c>
      <c r="I77" s="6">
        <v>39420</v>
      </c>
      <c r="J77" s="5" t="s">
        <v>60</v>
      </c>
      <c r="K77" s="5" t="s">
        <v>60</v>
      </c>
      <c r="L77" s="5" t="s">
        <v>61</v>
      </c>
      <c r="M77" s="7">
        <v>2</v>
      </c>
      <c r="N77" s="7">
        <v>3</v>
      </c>
      <c r="O77" s="308">
        <v>20306</v>
      </c>
      <c r="P77" s="319">
        <v>0</v>
      </c>
      <c r="Q77" s="310">
        <v>0</v>
      </c>
      <c r="R77" s="319">
        <v>0</v>
      </c>
      <c r="S77" s="310">
        <v>0</v>
      </c>
      <c r="T77" s="319">
        <v>0</v>
      </c>
      <c r="U77" s="310">
        <v>0</v>
      </c>
      <c r="V77" s="310">
        <v>20306</v>
      </c>
      <c r="W77" s="311">
        <v>20500</v>
      </c>
      <c r="X77" s="312">
        <v>194</v>
      </c>
      <c r="Y77" s="320">
        <v>9.5999999999999992E-3</v>
      </c>
      <c r="Z77" s="321" t="s">
        <v>225</v>
      </c>
      <c r="AA77" s="315"/>
      <c r="AB77" s="315"/>
      <c r="AC77" s="315"/>
      <c r="AD77" s="322"/>
      <c r="AE77" s="308">
        <v>0</v>
      </c>
      <c r="AF77" s="317">
        <v>20500</v>
      </c>
      <c r="AG77" s="18">
        <v>194</v>
      </c>
      <c r="AH77" s="323">
        <v>9.5538264552348373E-3</v>
      </c>
      <c r="AI77" s="20">
        <v>14</v>
      </c>
      <c r="AJ77" s="20">
        <v>600</v>
      </c>
      <c r="AK77" s="20"/>
      <c r="AL77" s="20">
        <v>688</v>
      </c>
      <c r="AM77" s="20">
        <v>294888</v>
      </c>
      <c r="AN77" s="7">
        <v>4</v>
      </c>
      <c r="AO77" s="20"/>
      <c r="AP77" s="21"/>
      <c r="AQ77" s="21" t="s">
        <v>90</v>
      </c>
      <c r="AR77" s="5" t="s">
        <v>123</v>
      </c>
      <c r="AS77" s="5" t="s">
        <v>124</v>
      </c>
      <c r="AT77" s="5" t="s">
        <v>59</v>
      </c>
      <c r="AU77" s="21" t="s">
        <v>102</v>
      </c>
      <c r="AV77" s="21" t="s">
        <v>103</v>
      </c>
      <c r="AW77" s="307" t="s">
        <v>103</v>
      </c>
    </row>
    <row r="78" spans="1:49" ht="20" customHeight="1">
      <c r="A78" s="362"/>
      <c r="B78" s="5" t="s">
        <v>318</v>
      </c>
      <c r="C78" s="5">
        <v>11003123</v>
      </c>
      <c r="D78" s="5" t="s">
        <v>51</v>
      </c>
      <c r="E78" s="5" t="s">
        <v>52</v>
      </c>
      <c r="F78" s="5" t="s">
        <v>1753</v>
      </c>
      <c r="G78" s="5" t="s">
        <v>1872</v>
      </c>
      <c r="H78" s="5" t="s">
        <v>1873</v>
      </c>
      <c r="I78" s="6">
        <v>38777</v>
      </c>
      <c r="J78" s="5" t="s">
        <v>1871</v>
      </c>
      <c r="K78" s="5" t="s">
        <v>1871</v>
      </c>
      <c r="L78" s="5" t="s">
        <v>324</v>
      </c>
      <c r="M78" s="7">
        <v>2</v>
      </c>
      <c r="N78" s="7">
        <v>3</v>
      </c>
      <c r="O78" s="308">
        <v>10920</v>
      </c>
      <c r="P78" s="319">
        <v>0</v>
      </c>
      <c r="Q78" s="310">
        <v>0</v>
      </c>
      <c r="R78" s="319">
        <v>0</v>
      </c>
      <c r="S78" s="310">
        <v>0</v>
      </c>
      <c r="T78" s="319">
        <v>0</v>
      </c>
      <c r="U78" s="310">
        <v>0</v>
      </c>
      <c r="V78" s="310">
        <v>10920</v>
      </c>
      <c r="W78" s="311">
        <v>11020</v>
      </c>
      <c r="X78" s="312">
        <v>100</v>
      </c>
      <c r="Y78" s="320">
        <v>9.1999999999999998E-3</v>
      </c>
      <c r="Z78" s="321" t="s">
        <v>225</v>
      </c>
      <c r="AA78" s="315"/>
      <c r="AB78" s="315"/>
      <c r="AC78" s="315"/>
      <c r="AD78" s="322"/>
      <c r="AE78" s="308">
        <v>0</v>
      </c>
      <c r="AF78" s="317">
        <v>11020</v>
      </c>
      <c r="AG78" s="18">
        <v>100</v>
      </c>
      <c r="AH78" s="323">
        <v>9.157509157509125E-3</v>
      </c>
      <c r="AI78" s="20">
        <v>14</v>
      </c>
      <c r="AJ78" s="20">
        <v>450</v>
      </c>
      <c r="AK78" s="20"/>
      <c r="AL78" s="20">
        <v>688</v>
      </c>
      <c r="AM78" s="20">
        <v>160368</v>
      </c>
      <c r="AN78" s="7">
        <v>3</v>
      </c>
      <c r="AO78" s="20"/>
      <c r="AP78" s="21"/>
      <c r="AQ78" s="21" t="s">
        <v>128</v>
      </c>
      <c r="AR78" s="5" t="s">
        <v>1854</v>
      </c>
      <c r="AS78" s="5" t="s">
        <v>124</v>
      </c>
      <c r="AT78" s="356"/>
      <c r="AU78" s="356"/>
      <c r="AV78" s="356"/>
      <c r="AW78" s="307" t="s">
        <v>103</v>
      </c>
    </row>
    <row r="79" spans="1:49" ht="20" customHeight="1">
      <c r="A79" s="362"/>
      <c r="B79" s="5" t="s">
        <v>318</v>
      </c>
      <c r="C79" s="5">
        <v>15000070</v>
      </c>
      <c r="D79" s="5" t="s">
        <v>51</v>
      </c>
      <c r="E79" s="5" t="s">
        <v>52</v>
      </c>
      <c r="F79" s="5" t="s">
        <v>1935</v>
      </c>
      <c r="G79" s="5" t="s">
        <v>1926</v>
      </c>
      <c r="H79" s="5" t="s">
        <v>1927</v>
      </c>
      <c r="I79" s="6">
        <v>38504</v>
      </c>
      <c r="J79" s="5" t="s">
        <v>1908</v>
      </c>
      <c r="K79" s="5" t="s">
        <v>1909</v>
      </c>
      <c r="L79" s="5" t="s">
        <v>56</v>
      </c>
      <c r="M79" s="7">
        <v>2</v>
      </c>
      <c r="N79" s="7">
        <v>3</v>
      </c>
      <c r="O79" s="308">
        <v>27983</v>
      </c>
      <c r="P79" s="319">
        <v>0</v>
      </c>
      <c r="Q79" s="310">
        <v>0</v>
      </c>
      <c r="R79" s="319">
        <v>0</v>
      </c>
      <c r="S79" s="310">
        <v>0</v>
      </c>
      <c r="T79" s="319">
        <v>0</v>
      </c>
      <c r="U79" s="310">
        <v>0</v>
      </c>
      <c r="V79" s="310">
        <v>27983</v>
      </c>
      <c r="W79" s="311">
        <v>28200</v>
      </c>
      <c r="X79" s="312">
        <v>217</v>
      </c>
      <c r="Y79" s="320">
        <v>7.7999999999999996E-3</v>
      </c>
      <c r="Z79" s="321" t="s">
        <v>225</v>
      </c>
      <c r="AA79" s="315"/>
      <c r="AB79" s="315"/>
      <c r="AC79" s="315"/>
      <c r="AD79" s="322"/>
      <c r="AE79" s="308">
        <v>0</v>
      </c>
      <c r="AF79" s="317">
        <v>28200</v>
      </c>
      <c r="AG79" s="18">
        <v>217</v>
      </c>
      <c r="AH79" s="323">
        <v>7.7547082157023439E-3</v>
      </c>
      <c r="AI79" s="20">
        <v>14</v>
      </c>
      <c r="AJ79" s="20">
        <v>450</v>
      </c>
      <c r="AK79" s="20"/>
      <c r="AL79" s="20">
        <v>688</v>
      </c>
      <c r="AM79" s="20">
        <v>400888</v>
      </c>
      <c r="AN79" s="7">
        <v>3</v>
      </c>
      <c r="AO79" s="20"/>
      <c r="AP79" s="21" t="s">
        <v>1933</v>
      </c>
      <c r="AQ79" s="21" t="s">
        <v>90</v>
      </c>
      <c r="AR79" s="5" t="s">
        <v>1928</v>
      </c>
      <c r="AS79" s="5" t="s">
        <v>69</v>
      </c>
      <c r="AT79" s="356"/>
      <c r="AU79" s="356"/>
      <c r="AV79" s="356"/>
      <c r="AW79" s="144" t="s">
        <v>103</v>
      </c>
    </row>
    <row r="80" spans="1:49" ht="20" customHeight="1">
      <c r="A80" s="362"/>
      <c r="B80" s="5" t="s">
        <v>318</v>
      </c>
      <c r="C80" s="5">
        <v>15002547</v>
      </c>
      <c r="D80" s="5" t="s">
        <v>51</v>
      </c>
      <c r="E80" s="5" t="s">
        <v>52</v>
      </c>
      <c r="F80" s="5" t="s">
        <v>62</v>
      </c>
      <c r="G80" s="5" t="s">
        <v>202</v>
      </c>
      <c r="H80" s="5" t="s">
        <v>197</v>
      </c>
      <c r="I80" s="6">
        <v>39993</v>
      </c>
      <c r="J80" s="5" t="s">
        <v>198</v>
      </c>
      <c r="K80" s="5" t="s">
        <v>203</v>
      </c>
      <c r="L80" s="5" t="s">
        <v>199</v>
      </c>
      <c r="M80" s="7">
        <v>2</v>
      </c>
      <c r="N80" s="7">
        <v>3</v>
      </c>
      <c r="O80" s="308">
        <v>43250</v>
      </c>
      <c r="P80" s="309">
        <v>0</v>
      </c>
      <c r="Q80" s="310">
        <v>0</v>
      </c>
      <c r="R80" s="309">
        <v>0</v>
      </c>
      <c r="S80" s="310">
        <v>0</v>
      </c>
      <c r="T80" s="309">
        <v>0</v>
      </c>
      <c r="U80" s="310">
        <v>0</v>
      </c>
      <c r="V80" s="310">
        <v>43250</v>
      </c>
      <c r="W80" s="311">
        <v>43550</v>
      </c>
      <c r="X80" s="312">
        <v>300</v>
      </c>
      <c r="Y80" s="313">
        <v>6.8999999999999999E-3</v>
      </c>
      <c r="Z80" s="314" t="s">
        <v>225</v>
      </c>
      <c r="AA80" s="315"/>
      <c r="AB80" s="315"/>
      <c r="AC80" s="315"/>
      <c r="AD80" s="316"/>
      <c r="AE80" s="308">
        <v>0</v>
      </c>
      <c r="AF80" s="317">
        <v>43550</v>
      </c>
      <c r="AG80" s="18">
        <v>300</v>
      </c>
      <c r="AH80" s="318">
        <v>6.9364161849712058E-3</v>
      </c>
      <c r="AI80" s="20">
        <v>14</v>
      </c>
      <c r="AJ80" s="20">
        <v>450</v>
      </c>
      <c r="AK80" s="20">
        <v>1000</v>
      </c>
      <c r="AL80" s="20">
        <v>688</v>
      </c>
      <c r="AM80" s="20">
        <v>627788</v>
      </c>
      <c r="AN80" s="7">
        <v>4</v>
      </c>
      <c r="AO80" s="20"/>
      <c r="AP80" s="21" t="s">
        <v>204</v>
      </c>
      <c r="AQ80" s="21" t="s">
        <v>205</v>
      </c>
      <c r="AR80" s="5" t="s">
        <v>201</v>
      </c>
      <c r="AS80" s="5" t="s">
        <v>164</v>
      </c>
      <c r="AT80" s="5" t="s">
        <v>59</v>
      </c>
      <c r="AU80" s="21" t="s">
        <v>102</v>
      </c>
      <c r="AV80" s="21" t="s">
        <v>103</v>
      </c>
      <c r="AW80" s="144" t="s">
        <v>103</v>
      </c>
    </row>
    <row r="81" spans="1:49" ht="20" customHeight="1">
      <c r="A81" s="362"/>
      <c r="B81" s="5" t="s">
        <v>318</v>
      </c>
      <c r="C81" s="5">
        <v>15000037</v>
      </c>
      <c r="D81" s="5" t="s">
        <v>51</v>
      </c>
      <c r="E81" s="5" t="s">
        <v>52</v>
      </c>
      <c r="F81" s="5" t="s">
        <v>1414</v>
      </c>
      <c r="G81" s="5" t="s">
        <v>1420</v>
      </c>
      <c r="H81" s="5" t="s">
        <v>1421</v>
      </c>
      <c r="I81" s="6">
        <v>38535</v>
      </c>
      <c r="J81" s="5" t="s">
        <v>111</v>
      </c>
      <c r="K81" s="5" t="s">
        <v>1428</v>
      </c>
      <c r="L81" s="5" t="s">
        <v>56</v>
      </c>
      <c r="M81" s="7">
        <v>2</v>
      </c>
      <c r="N81" s="7">
        <v>3</v>
      </c>
      <c r="O81" s="308">
        <v>25792</v>
      </c>
      <c r="P81" s="319">
        <v>0</v>
      </c>
      <c r="Q81" s="310">
        <v>0</v>
      </c>
      <c r="R81" s="319">
        <v>0</v>
      </c>
      <c r="S81" s="310">
        <v>0</v>
      </c>
      <c r="T81" s="319">
        <v>0</v>
      </c>
      <c r="U81" s="310">
        <v>0</v>
      </c>
      <c r="V81" s="310">
        <v>25792</v>
      </c>
      <c r="W81" s="311">
        <v>25920</v>
      </c>
      <c r="X81" s="312">
        <v>128</v>
      </c>
      <c r="Y81" s="320">
        <v>5.0000000000000001E-3</v>
      </c>
      <c r="Z81" s="321" t="s">
        <v>225</v>
      </c>
      <c r="AA81" s="315"/>
      <c r="AB81" s="315"/>
      <c r="AC81" s="315"/>
      <c r="AD81" s="322"/>
      <c r="AE81" s="308">
        <v>0</v>
      </c>
      <c r="AF81" s="317">
        <v>25920</v>
      </c>
      <c r="AG81" s="18">
        <v>128</v>
      </c>
      <c r="AH81" s="323">
        <v>4.9627791563275903E-3</v>
      </c>
      <c r="AI81" s="20">
        <v>14</v>
      </c>
      <c r="AJ81" s="20">
        <v>4250</v>
      </c>
      <c r="AK81" s="20"/>
      <c r="AL81" s="20">
        <v>688</v>
      </c>
      <c r="AM81" s="20">
        <v>414568</v>
      </c>
      <c r="AN81" s="7">
        <v>3</v>
      </c>
      <c r="AO81" s="20"/>
      <c r="AP81" s="21" t="s">
        <v>1429</v>
      </c>
      <c r="AQ81" s="21" t="s">
        <v>128</v>
      </c>
      <c r="AR81" s="5" t="s">
        <v>1413</v>
      </c>
      <c r="AS81" s="5" t="s">
        <v>164</v>
      </c>
      <c r="AT81" s="5" t="s">
        <v>218</v>
      </c>
      <c r="AU81" s="21"/>
      <c r="AV81" s="21"/>
      <c r="AW81" s="144" t="s">
        <v>103</v>
      </c>
    </row>
    <row r="82" spans="1:49" ht="20" customHeight="1">
      <c r="A82" s="362"/>
      <c r="B82" s="5" t="s">
        <v>318</v>
      </c>
      <c r="C82" s="5">
        <v>11015244</v>
      </c>
      <c r="D82" s="5" t="s">
        <v>51</v>
      </c>
      <c r="E82" s="5" t="s">
        <v>52</v>
      </c>
      <c r="F82" s="5" t="s">
        <v>1414</v>
      </c>
      <c r="G82" s="5" t="s">
        <v>1433</v>
      </c>
      <c r="H82" s="5" t="s">
        <v>1412</v>
      </c>
      <c r="I82" s="6">
        <v>41122</v>
      </c>
      <c r="J82" s="5" t="s">
        <v>111</v>
      </c>
      <c r="K82" s="5" t="s">
        <v>1435</v>
      </c>
      <c r="L82" s="5" t="s">
        <v>56</v>
      </c>
      <c r="M82" s="7">
        <v>2</v>
      </c>
      <c r="N82" s="7">
        <v>3</v>
      </c>
      <c r="O82" s="308">
        <v>31350</v>
      </c>
      <c r="P82" s="319">
        <v>0</v>
      </c>
      <c r="Q82" s="310">
        <v>0</v>
      </c>
      <c r="R82" s="319">
        <v>0</v>
      </c>
      <c r="S82" s="310">
        <v>0</v>
      </c>
      <c r="T82" s="319">
        <v>0</v>
      </c>
      <c r="U82" s="310">
        <v>0</v>
      </c>
      <c r="V82" s="310">
        <v>31350</v>
      </c>
      <c r="W82" s="311">
        <v>31478</v>
      </c>
      <c r="X82" s="312">
        <v>128</v>
      </c>
      <c r="Y82" s="320">
        <v>4.1000000000000003E-3</v>
      </c>
      <c r="Z82" s="321" t="s">
        <v>225</v>
      </c>
      <c r="AA82" s="315"/>
      <c r="AB82" s="315"/>
      <c r="AC82" s="315"/>
      <c r="AD82" s="322"/>
      <c r="AE82" s="308">
        <v>0</v>
      </c>
      <c r="AF82" s="317">
        <v>31478</v>
      </c>
      <c r="AG82" s="18">
        <v>128</v>
      </c>
      <c r="AH82" s="323">
        <v>4.0829346092503549E-3</v>
      </c>
      <c r="AI82" s="20">
        <v>14</v>
      </c>
      <c r="AJ82" s="20">
        <v>450</v>
      </c>
      <c r="AK82" s="20"/>
      <c r="AL82" s="20">
        <v>688</v>
      </c>
      <c r="AM82" s="20">
        <v>446780</v>
      </c>
      <c r="AN82" s="7">
        <v>3</v>
      </c>
      <c r="AO82" s="20"/>
      <c r="AP82" s="21" t="s">
        <v>1429</v>
      </c>
      <c r="AQ82" s="21" t="s">
        <v>128</v>
      </c>
      <c r="AR82" s="5" t="s">
        <v>217</v>
      </c>
      <c r="AS82" s="5" t="s">
        <v>164</v>
      </c>
      <c r="AT82" s="5" t="s">
        <v>218</v>
      </c>
      <c r="AU82" s="21"/>
      <c r="AV82" s="21"/>
      <c r="AW82" s="307" t="s">
        <v>103</v>
      </c>
    </row>
    <row r="83" spans="1:49" ht="20" customHeight="1">
      <c r="A83" s="362"/>
      <c r="B83" s="5" t="s">
        <v>318</v>
      </c>
      <c r="C83" s="5">
        <v>15022687</v>
      </c>
      <c r="D83" s="5" t="s">
        <v>51</v>
      </c>
      <c r="E83" s="5" t="s">
        <v>52</v>
      </c>
      <c r="F83" s="5" t="s">
        <v>62</v>
      </c>
      <c r="G83" s="5" t="s">
        <v>154</v>
      </c>
      <c r="H83" s="5" t="s">
        <v>155</v>
      </c>
      <c r="I83" s="6">
        <v>45931</v>
      </c>
      <c r="J83" s="5" t="s">
        <v>74</v>
      </c>
      <c r="K83" s="5" t="s">
        <v>156</v>
      </c>
      <c r="L83" s="5" t="s">
        <v>76</v>
      </c>
      <c r="M83" s="7">
        <v>2</v>
      </c>
      <c r="N83" s="7">
        <v>3</v>
      </c>
      <c r="O83" s="308">
        <v>18000</v>
      </c>
      <c r="P83" s="319">
        <v>0</v>
      </c>
      <c r="Q83" s="310">
        <v>0</v>
      </c>
      <c r="R83" s="319">
        <v>0</v>
      </c>
      <c r="S83" s="310">
        <v>0</v>
      </c>
      <c r="T83" s="319">
        <v>0</v>
      </c>
      <c r="U83" s="310">
        <v>0</v>
      </c>
      <c r="V83" s="310">
        <v>18000</v>
      </c>
      <c r="W83" s="311">
        <v>18050</v>
      </c>
      <c r="X83" s="312">
        <v>50</v>
      </c>
      <c r="Y83" s="320">
        <v>2.8E-3</v>
      </c>
      <c r="Z83" s="321" t="s">
        <v>225</v>
      </c>
      <c r="AA83" s="315"/>
      <c r="AB83" s="315"/>
      <c r="AC83" s="315"/>
      <c r="AD83" s="322"/>
      <c r="AE83" s="308">
        <v>0</v>
      </c>
      <c r="AF83" s="317">
        <v>18050</v>
      </c>
      <c r="AG83" s="18">
        <v>50</v>
      </c>
      <c r="AH83" s="323">
        <v>2.7777777777777679E-3</v>
      </c>
      <c r="AI83" s="20">
        <v>14</v>
      </c>
      <c r="AJ83" s="20">
        <v>450</v>
      </c>
      <c r="AK83" s="20"/>
      <c r="AL83" s="20">
        <v>688</v>
      </c>
      <c r="AM83" s="20">
        <v>258788</v>
      </c>
      <c r="AN83" s="7" t="e">
        <v>#N/A</v>
      </c>
      <c r="AO83" s="20"/>
      <c r="AP83" s="21"/>
      <c r="AQ83" s="21" t="s">
        <v>128</v>
      </c>
      <c r="AR83" s="5" t="s">
        <v>157</v>
      </c>
      <c r="AS83" s="5" t="s">
        <v>124</v>
      </c>
      <c r="AT83" s="5"/>
      <c r="AU83" s="21"/>
      <c r="AV83" s="21"/>
      <c r="AW83" s="144" t="s">
        <v>103</v>
      </c>
    </row>
    <row r="84" spans="1:49" ht="20" customHeight="1">
      <c r="A84" s="362"/>
      <c r="B84" s="5" t="s">
        <v>318</v>
      </c>
      <c r="C84" s="5">
        <v>15022527</v>
      </c>
      <c r="D84" s="5" t="s">
        <v>51</v>
      </c>
      <c r="E84" s="5" t="s">
        <v>52</v>
      </c>
      <c r="F84" s="5" t="s">
        <v>62</v>
      </c>
      <c r="G84" s="5" t="s">
        <v>154</v>
      </c>
      <c r="H84" s="5" t="s">
        <v>155</v>
      </c>
      <c r="I84" s="6">
        <v>45300</v>
      </c>
      <c r="J84" s="5" t="s">
        <v>74</v>
      </c>
      <c r="K84" s="5" t="s">
        <v>156</v>
      </c>
      <c r="L84" s="5" t="s">
        <v>76</v>
      </c>
      <c r="M84" s="7">
        <v>2</v>
      </c>
      <c r="N84" s="7">
        <v>3</v>
      </c>
      <c r="O84" s="308">
        <v>20066</v>
      </c>
      <c r="P84" s="319">
        <v>0</v>
      </c>
      <c r="Q84" s="310">
        <v>0</v>
      </c>
      <c r="R84" s="319">
        <v>0</v>
      </c>
      <c r="S84" s="310">
        <v>0</v>
      </c>
      <c r="T84" s="319">
        <v>0</v>
      </c>
      <c r="U84" s="310">
        <v>0</v>
      </c>
      <c r="V84" s="310">
        <v>20066</v>
      </c>
      <c r="W84" s="311">
        <v>20116</v>
      </c>
      <c r="X84" s="312">
        <v>50</v>
      </c>
      <c r="Y84" s="320">
        <v>2.5000000000000001E-3</v>
      </c>
      <c r="Z84" s="321" t="s">
        <v>225</v>
      </c>
      <c r="AA84" s="315"/>
      <c r="AB84" s="315"/>
      <c r="AC84" s="315"/>
      <c r="AD84" s="322"/>
      <c r="AE84" s="308">
        <v>0</v>
      </c>
      <c r="AF84" s="317">
        <v>20116</v>
      </c>
      <c r="AG84" s="18">
        <v>50</v>
      </c>
      <c r="AH84" s="323">
        <v>2.4917771354528995E-3</v>
      </c>
      <c r="AI84" s="20">
        <v>14</v>
      </c>
      <c r="AJ84" s="20">
        <v>450</v>
      </c>
      <c r="AK84" s="20"/>
      <c r="AL84" s="20">
        <v>688</v>
      </c>
      <c r="AM84" s="20">
        <v>287712</v>
      </c>
      <c r="AN84" s="7">
        <v>3</v>
      </c>
      <c r="AO84" s="20"/>
      <c r="AP84" s="21"/>
      <c r="AQ84" s="21" t="s">
        <v>128</v>
      </c>
      <c r="AR84" s="5" t="s">
        <v>157</v>
      </c>
      <c r="AS84" s="5" t="s">
        <v>124</v>
      </c>
      <c r="AT84" s="5"/>
      <c r="AU84" s="21"/>
      <c r="AV84" s="21"/>
      <c r="AW84" s="331" t="s">
        <v>103</v>
      </c>
    </row>
    <row r="85" spans="1:49" ht="20" customHeight="1">
      <c r="A85" s="361" t="s">
        <v>2326</v>
      </c>
      <c r="B85" s="5" t="s">
        <v>318</v>
      </c>
      <c r="C85" s="271">
        <v>1120211</v>
      </c>
      <c r="D85" s="271" t="s">
        <v>51</v>
      </c>
      <c r="E85" s="271" t="s">
        <v>52</v>
      </c>
      <c r="F85" s="271" t="s">
        <v>1604</v>
      </c>
      <c r="G85" s="271" t="s">
        <v>1597</v>
      </c>
      <c r="H85" s="271" t="s">
        <v>1456</v>
      </c>
      <c r="I85" s="272">
        <v>43200</v>
      </c>
      <c r="J85" s="271" t="s">
        <v>74</v>
      </c>
      <c r="K85" s="271" t="s">
        <v>1581</v>
      </c>
      <c r="L85" s="271" t="s">
        <v>76</v>
      </c>
      <c r="M85" s="273">
        <v>2</v>
      </c>
      <c r="N85" s="273">
        <v>5</v>
      </c>
      <c r="O85" s="290">
        <v>10987</v>
      </c>
      <c r="P85" s="296">
        <v>0.05</v>
      </c>
      <c r="Q85" s="291">
        <v>549</v>
      </c>
      <c r="R85" s="296">
        <v>2.7E-2</v>
      </c>
      <c r="S85" s="291">
        <v>297</v>
      </c>
      <c r="T85" s="296">
        <v>7.7000091016656044E-2</v>
      </c>
      <c r="U85" s="291">
        <v>846</v>
      </c>
      <c r="V85" s="291">
        <v>11833</v>
      </c>
      <c r="W85" s="292">
        <v>11500</v>
      </c>
      <c r="X85" s="293">
        <v>513</v>
      </c>
      <c r="Y85" s="297">
        <v>4.6699999999999998E-2</v>
      </c>
      <c r="Z85" s="298" t="s">
        <v>237</v>
      </c>
      <c r="AA85" s="294" t="s">
        <v>87</v>
      </c>
      <c r="AB85" s="294" t="s">
        <v>238</v>
      </c>
      <c r="AC85" s="294" t="s">
        <v>89</v>
      </c>
      <c r="AD85" s="299">
        <v>0.12180000000000001</v>
      </c>
      <c r="AE85" s="290">
        <v>1338</v>
      </c>
      <c r="AF85" s="295">
        <v>12838</v>
      </c>
      <c r="AG85" s="284">
        <v>1851</v>
      </c>
      <c r="AH85" s="300">
        <v>0.16847183034495306</v>
      </c>
      <c r="AI85" s="286">
        <v>14</v>
      </c>
      <c r="AJ85" s="286">
        <v>450</v>
      </c>
      <c r="AK85" s="286"/>
      <c r="AL85" s="286">
        <v>688</v>
      </c>
      <c r="AM85" s="286">
        <v>185820</v>
      </c>
      <c r="AN85" s="273">
        <v>3</v>
      </c>
      <c r="AO85" s="286"/>
      <c r="AP85" s="355" t="s">
        <v>1600</v>
      </c>
      <c r="AQ85" s="287" t="s">
        <v>173</v>
      </c>
      <c r="AR85" s="271" t="s">
        <v>1589</v>
      </c>
      <c r="AS85" s="271" t="s">
        <v>164</v>
      </c>
      <c r="AT85" s="271" t="s">
        <v>59</v>
      </c>
      <c r="AU85" s="287"/>
      <c r="AV85" s="287"/>
      <c r="AW85" s="288" t="s">
        <v>129</v>
      </c>
    </row>
    <row r="86" spans="1:49" ht="20" customHeight="1">
      <c r="A86" s="361"/>
      <c r="B86" s="5" t="s">
        <v>318</v>
      </c>
      <c r="C86" s="271">
        <v>15004523</v>
      </c>
      <c r="D86" s="271" t="s">
        <v>51</v>
      </c>
      <c r="E86" s="271" t="s">
        <v>52</v>
      </c>
      <c r="F86" s="271" t="s">
        <v>1902</v>
      </c>
      <c r="G86" s="271" t="s">
        <v>1902</v>
      </c>
      <c r="H86" s="271" t="s">
        <v>1911</v>
      </c>
      <c r="I86" s="272">
        <v>40435</v>
      </c>
      <c r="J86" s="271" t="s">
        <v>1735</v>
      </c>
      <c r="K86" s="271" t="s">
        <v>1735</v>
      </c>
      <c r="L86" s="271" t="s">
        <v>199</v>
      </c>
      <c r="M86" s="273">
        <v>2</v>
      </c>
      <c r="N86" s="273">
        <v>5</v>
      </c>
      <c r="O86" s="290">
        <v>37392</v>
      </c>
      <c r="P86" s="275">
        <v>0.06</v>
      </c>
      <c r="Q86" s="291">
        <v>2244</v>
      </c>
      <c r="R86" s="275">
        <v>2.7E-2</v>
      </c>
      <c r="S86" s="291">
        <v>1010</v>
      </c>
      <c r="T86" s="275">
        <v>8.7023962344886602E-2</v>
      </c>
      <c r="U86" s="291">
        <v>3254</v>
      </c>
      <c r="V86" s="291">
        <v>40646</v>
      </c>
      <c r="W86" s="292">
        <v>38907</v>
      </c>
      <c r="X86" s="293">
        <v>1515</v>
      </c>
      <c r="Y86" s="279">
        <v>4.0500000000000001E-2</v>
      </c>
      <c r="Z86" s="280" t="s">
        <v>216</v>
      </c>
      <c r="AA86" s="294"/>
      <c r="AB86" s="294"/>
      <c r="AC86" s="294"/>
      <c r="AD86" s="282"/>
      <c r="AE86" s="290">
        <v>0</v>
      </c>
      <c r="AF86" s="295">
        <v>38907</v>
      </c>
      <c r="AG86" s="284">
        <v>1515</v>
      </c>
      <c r="AH86" s="285">
        <v>4.0516688061617456E-2</v>
      </c>
      <c r="AI86" s="286">
        <v>14</v>
      </c>
      <c r="AJ86" s="286">
        <v>450</v>
      </c>
      <c r="AK86" s="286">
        <v>1000</v>
      </c>
      <c r="AL86" s="286">
        <v>688</v>
      </c>
      <c r="AM86" s="286">
        <v>562786</v>
      </c>
      <c r="AN86" s="273">
        <v>3</v>
      </c>
      <c r="AO86" s="286"/>
      <c r="AP86" s="287" t="s">
        <v>1913</v>
      </c>
      <c r="AQ86" s="287" t="s">
        <v>128</v>
      </c>
      <c r="AR86" s="271" t="s">
        <v>1904</v>
      </c>
      <c r="AS86" s="271" t="s">
        <v>69</v>
      </c>
      <c r="AT86" s="358"/>
      <c r="AU86" s="358"/>
      <c r="AV86" s="358"/>
      <c r="AW86" s="288" t="s">
        <v>129</v>
      </c>
    </row>
    <row r="87" spans="1:49" ht="20" customHeight="1">
      <c r="A87" s="361"/>
      <c r="B87" s="5" t="s">
        <v>318</v>
      </c>
      <c r="C87" s="271">
        <v>1220066</v>
      </c>
      <c r="D87" s="271" t="s">
        <v>51</v>
      </c>
      <c r="E87" s="271" t="s">
        <v>52</v>
      </c>
      <c r="F87" s="271" t="s">
        <v>1604</v>
      </c>
      <c r="G87" s="271" t="s">
        <v>1527</v>
      </c>
      <c r="H87" s="271" t="s">
        <v>1528</v>
      </c>
      <c r="I87" s="272">
        <v>40386</v>
      </c>
      <c r="J87" s="271" t="s">
        <v>74</v>
      </c>
      <c r="K87" s="271" t="s">
        <v>74</v>
      </c>
      <c r="L87" s="271" t="s">
        <v>76</v>
      </c>
      <c r="M87" s="273">
        <v>2</v>
      </c>
      <c r="N87" s="273">
        <v>4</v>
      </c>
      <c r="O87" s="290">
        <v>9518</v>
      </c>
      <c r="P87" s="296">
        <v>3.7500000000000006E-2</v>
      </c>
      <c r="Q87" s="291">
        <v>357</v>
      </c>
      <c r="R87" s="296">
        <v>1.55E-2</v>
      </c>
      <c r="S87" s="291">
        <v>148</v>
      </c>
      <c r="T87" s="296">
        <v>5.3057364992645517E-2</v>
      </c>
      <c r="U87" s="291">
        <v>505</v>
      </c>
      <c r="V87" s="291">
        <v>10023</v>
      </c>
      <c r="W87" s="292">
        <v>9800</v>
      </c>
      <c r="X87" s="293">
        <v>282</v>
      </c>
      <c r="Y87" s="297">
        <v>2.9600000000000001E-2</v>
      </c>
      <c r="Z87" s="298" t="s">
        <v>2299</v>
      </c>
      <c r="AA87" s="294"/>
      <c r="AB87" s="294"/>
      <c r="AC87" s="294"/>
      <c r="AD87" s="299"/>
      <c r="AE87" s="290">
        <v>0</v>
      </c>
      <c r="AF87" s="295">
        <v>9800</v>
      </c>
      <c r="AG87" s="284">
        <v>282</v>
      </c>
      <c r="AH87" s="300">
        <v>2.9628073124605914E-2</v>
      </c>
      <c r="AI87" s="286">
        <v>14</v>
      </c>
      <c r="AJ87" s="286">
        <v>550</v>
      </c>
      <c r="AK87" s="286"/>
      <c r="AL87" s="286">
        <v>688</v>
      </c>
      <c r="AM87" s="286">
        <v>144488</v>
      </c>
      <c r="AN87" s="273">
        <v>3</v>
      </c>
      <c r="AO87" s="286"/>
      <c r="AP87" s="287" t="s">
        <v>1532</v>
      </c>
      <c r="AQ87" s="287" t="s">
        <v>97</v>
      </c>
      <c r="AR87" s="271" t="s">
        <v>1504</v>
      </c>
      <c r="AS87" s="271" t="s">
        <v>164</v>
      </c>
      <c r="AT87" s="271" t="s">
        <v>59</v>
      </c>
      <c r="AU87" s="287"/>
      <c r="AV87" s="287"/>
      <c r="AW87" s="288" t="s">
        <v>129</v>
      </c>
    </row>
    <row r="88" spans="1:49" ht="20" customHeight="1">
      <c r="A88" s="361"/>
      <c r="B88" s="5" t="s">
        <v>318</v>
      </c>
      <c r="C88" s="5">
        <v>15022076</v>
      </c>
      <c r="D88" s="5" t="s">
        <v>51</v>
      </c>
      <c r="E88" s="5" t="s">
        <v>52</v>
      </c>
      <c r="F88" s="5" t="s">
        <v>1414</v>
      </c>
      <c r="G88" s="5" t="s">
        <v>219</v>
      </c>
      <c r="H88" s="5" t="s">
        <v>220</v>
      </c>
      <c r="I88" s="6">
        <v>44545</v>
      </c>
      <c r="J88" s="5" t="s">
        <v>74</v>
      </c>
      <c r="K88" s="5" t="s">
        <v>221</v>
      </c>
      <c r="L88" s="5" t="s">
        <v>76</v>
      </c>
      <c r="M88" s="7">
        <v>2</v>
      </c>
      <c r="N88" s="7">
        <v>4</v>
      </c>
      <c r="O88" s="308">
        <v>12700</v>
      </c>
      <c r="P88" s="319">
        <v>3.7500000000000006E-2</v>
      </c>
      <c r="Q88" s="310">
        <v>476</v>
      </c>
      <c r="R88" s="319">
        <v>1.55E-2</v>
      </c>
      <c r="S88" s="310">
        <v>197</v>
      </c>
      <c r="T88" s="319">
        <v>5.2992125984251966E-2</v>
      </c>
      <c r="U88" s="310">
        <v>673</v>
      </c>
      <c r="V88" s="310">
        <v>13373</v>
      </c>
      <c r="W88" s="311">
        <v>12900</v>
      </c>
      <c r="X88" s="312">
        <v>200</v>
      </c>
      <c r="Y88" s="320">
        <v>1.5699999999999999E-2</v>
      </c>
      <c r="Z88" s="321" t="s">
        <v>222</v>
      </c>
      <c r="AA88" s="315"/>
      <c r="AB88" s="315"/>
      <c r="AC88" s="315"/>
      <c r="AD88" s="322"/>
      <c r="AE88" s="308">
        <v>0</v>
      </c>
      <c r="AF88" s="317">
        <v>12900</v>
      </c>
      <c r="AG88" s="18">
        <v>200</v>
      </c>
      <c r="AH88" s="323">
        <v>1.5748031496062964E-2</v>
      </c>
      <c r="AI88" s="20">
        <v>14</v>
      </c>
      <c r="AJ88" s="20">
        <v>450</v>
      </c>
      <c r="AK88" s="20"/>
      <c r="AL88" s="20">
        <v>688</v>
      </c>
      <c r="AM88" s="20">
        <v>186688</v>
      </c>
      <c r="AN88" s="7">
        <v>3</v>
      </c>
      <c r="AO88" s="20"/>
      <c r="AP88" s="21"/>
      <c r="AQ88" s="21" t="s">
        <v>128</v>
      </c>
      <c r="AR88" s="5" t="s">
        <v>217</v>
      </c>
      <c r="AS88" s="5" t="s">
        <v>164</v>
      </c>
      <c r="AT88" s="5" t="s">
        <v>218</v>
      </c>
      <c r="AU88" s="21"/>
      <c r="AV88" s="21"/>
      <c r="AW88" s="144" t="s">
        <v>129</v>
      </c>
    </row>
    <row r="89" spans="1:49" ht="20" customHeight="1">
      <c r="A89" s="361"/>
      <c r="B89" s="5" t="s">
        <v>318</v>
      </c>
      <c r="C89" s="5">
        <v>1132006</v>
      </c>
      <c r="D89" s="5" t="s">
        <v>51</v>
      </c>
      <c r="E89" s="5" t="s">
        <v>52</v>
      </c>
      <c r="F89" s="5" t="s">
        <v>2035</v>
      </c>
      <c r="G89" s="5" t="s">
        <v>2120</v>
      </c>
      <c r="H89" s="5" t="s">
        <v>2121</v>
      </c>
      <c r="I89" s="6">
        <v>33786</v>
      </c>
      <c r="J89" s="5" t="s">
        <v>1727</v>
      </c>
      <c r="K89" s="5" t="s">
        <v>1727</v>
      </c>
      <c r="L89" s="5" t="s">
        <v>56</v>
      </c>
      <c r="M89" s="7">
        <v>2</v>
      </c>
      <c r="N89" s="7">
        <v>3</v>
      </c>
      <c r="O89" s="308">
        <v>24151</v>
      </c>
      <c r="P89" s="319">
        <v>2.5000000000000001E-2</v>
      </c>
      <c r="Q89" s="310">
        <v>604</v>
      </c>
      <c r="R89" s="319">
        <v>0</v>
      </c>
      <c r="S89" s="310">
        <v>0</v>
      </c>
      <c r="T89" s="319">
        <v>2.5009316384414722E-2</v>
      </c>
      <c r="U89" s="310">
        <v>604</v>
      </c>
      <c r="V89" s="310">
        <v>24755</v>
      </c>
      <c r="W89" s="311">
        <v>24500</v>
      </c>
      <c r="X89" s="312">
        <v>349</v>
      </c>
      <c r="Y89" s="320">
        <v>1.4500000000000001E-2</v>
      </c>
      <c r="Z89" s="321" t="s">
        <v>232</v>
      </c>
      <c r="AA89" s="315"/>
      <c r="AB89" s="315"/>
      <c r="AC89" s="315"/>
      <c r="AD89" s="322"/>
      <c r="AE89" s="308">
        <v>0</v>
      </c>
      <c r="AF89" s="317">
        <v>24500</v>
      </c>
      <c r="AG89" s="18">
        <v>349</v>
      </c>
      <c r="AH89" s="323">
        <v>1.4450747381060891E-2</v>
      </c>
      <c r="AI89" s="20">
        <v>14</v>
      </c>
      <c r="AJ89" s="20">
        <v>450</v>
      </c>
      <c r="AK89" s="20"/>
      <c r="AL89" s="20">
        <v>688</v>
      </c>
      <c r="AM89" s="20">
        <v>349088</v>
      </c>
      <c r="AN89" s="7">
        <v>2</v>
      </c>
      <c r="AO89" s="20"/>
      <c r="AP89" s="21" t="s">
        <v>2123</v>
      </c>
      <c r="AQ89" s="21" t="s">
        <v>128</v>
      </c>
      <c r="AR89" s="5" t="s">
        <v>2074</v>
      </c>
      <c r="AS89" s="5" t="s">
        <v>2075</v>
      </c>
      <c r="AT89" s="5" t="s">
        <v>247</v>
      </c>
      <c r="AU89" s="21"/>
      <c r="AV89" s="21"/>
      <c r="AW89" s="307" t="s">
        <v>129</v>
      </c>
    </row>
    <row r="90" spans="1:49" ht="20" customHeight="1">
      <c r="A90" s="361"/>
      <c r="B90" s="5" t="s">
        <v>318</v>
      </c>
      <c r="C90" s="5">
        <v>1120312</v>
      </c>
      <c r="D90" s="5" t="s">
        <v>51</v>
      </c>
      <c r="E90" s="5" t="s">
        <v>52</v>
      </c>
      <c r="F90" s="5" t="s">
        <v>319</v>
      </c>
      <c r="G90" s="5" t="s">
        <v>2269</v>
      </c>
      <c r="H90" s="5" t="s">
        <v>2270</v>
      </c>
      <c r="I90" s="6">
        <v>44314</v>
      </c>
      <c r="J90" s="5" t="s">
        <v>82</v>
      </c>
      <c r="K90" s="5" t="s">
        <v>2274</v>
      </c>
      <c r="L90" s="5" t="s">
        <v>84</v>
      </c>
      <c r="M90" s="7">
        <v>2</v>
      </c>
      <c r="N90" s="7">
        <v>5</v>
      </c>
      <c r="O90" s="308">
        <v>10600</v>
      </c>
      <c r="P90" s="319">
        <v>0.03</v>
      </c>
      <c r="Q90" s="310">
        <v>318</v>
      </c>
      <c r="R90" s="319">
        <v>0</v>
      </c>
      <c r="S90" s="310">
        <v>0</v>
      </c>
      <c r="T90" s="319">
        <v>0.03</v>
      </c>
      <c r="U90" s="310">
        <v>318</v>
      </c>
      <c r="V90" s="310">
        <v>10918</v>
      </c>
      <c r="W90" s="311">
        <v>10750</v>
      </c>
      <c r="X90" s="312">
        <v>150</v>
      </c>
      <c r="Y90" s="320">
        <v>1.4200000000000001E-2</v>
      </c>
      <c r="Z90" s="321" t="s">
        <v>233</v>
      </c>
      <c r="AA90" s="315" t="s">
        <v>87</v>
      </c>
      <c r="AB90" s="315" t="s">
        <v>74</v>
      </c>
      <c r="AC90" s="315" t="s">
        <v>139</v>
      </c>
      <c r="AD90" s="322">
        <v>7.0000000000000007E-2</v>
      </c>
      <c r="AE90" s="308">
        <v>742</v>
      </c>
      <c r="AF90" s="317">
        <v>11492</v>
      </c>
      <c r="AG90" s="18">
        <v>892</v>
      </c>
      <c r="AH90" s="323">
        <v>8.4150943396226419E-2</v>
      </c>
      <c r="AI90" s="20">
        <v>14</v>
      </c>
      <c r="AJ90" s="20">
        <v>850</v>
      </c>
      <c r="AK90" s="20"/>
      <c r="AL90" s="20">
        <v>688</v>
      </c>
      <c r="AM90" s="20">
        <v>171776</v>
      </c>
      <c r="AN90" s="7">
        <v>3</v>
      </c>
      <c r="AO90" s="20"/>
      <c r="AP90" s="21" t="s">
        <v>173</v>
      </c>
      <c r="AQ90" s="21" t="s">
        <v>173</v>
      </c>
      <c r="AR90" s="5" t="s">
        <v>290</v>
      </c>
      <c r="AS90" s="5" t="s">
        <v>246</v>
      </c>
      <c r="AT90" s="5" t="s">
        <v>218</v>
      </c>
      <c r="AU90" s="21" t="s">
        <v>2275</v>
      </c>
      <c r="AV90" s="21"/>
      <c r="AW90" s="144" t="s">
        <v>129</v>
      </c>
    </row>
    <row r="91" spans="1:49" ht="20" customHeight="1">
      <c r="A91" s="361"/>
      <c r="B91" s="5" t="s">
        <v>318</v>
      </c>
      <c r="C91" s="5">
        <v>11008930</v>
      </c>
      <c r="D91" s="5" t="s">
        <v>51</v>
      </c>
      <c r="E91" s="5" t="s">
        <v>52</v>
      </c>
      <c r="F91" s="5" t="s">
        <v>1753</v>
      </c>
      <c r="G91" s="5" t="s">
        <v>1872</v>
      </c>
      <c r="H91" s="5" t="s">
        <v>1873</v>
      </c>
      <c r="I91" s="6">
        <v>41114</v>
      </c>
      <c r="J91" s="5" t="s">
        <v>1866</v>
      </c>
      <c r="K91" s="5" t="s">
        <v>1890</v>
      </c>
      <c r="L91" s="5" t="s">
        <v>56</v>
      </c>
      <c r="M91" s="7">
        <v>2</v>
      </c>
      <c r="N91" s="7">
        <v>3</v>
      </c>
      <c r="O91" s="308">
        <v>17270</v>
      </c>
      <c r="P91" s="319">
        <v>0.03</v>
      </c>
      <c r="Q91" s="310">
        <v>518</v>
      </c>
      <c r="R91" s="319">
        <v>0</v>
      </c>
      <c r="S91" s="310">
        <v>0</v>
      </c>
      <c r="T91" s="319">
        <v>2.9994209612044007E-2</v>
      </c>
      <c r="U91" s="310">
        <v>518</v>
      </c>
      <c r="V91" s="310">
        <v>17788</v>
      </c>
      <c r="W91" s="311">
        <v>17488</v>
      </c>
      <c r="X91" s="312">
        <v>218</v>
      </c>
      <c r="Y91" s="320">
        <v>1.26E-2</v>
      </c>
      <c r="Z91" s="321" t="s">
        <v>233</v>
      </c>
      <c r="AA91" s="315"/>
      <c r="AB91" s="315"/>
      <c r="AC91" s="315"/>
      <c r="AD91" s="322"/>
      <c r="AE91" s="308">
        <v>0</v>
      </c>
      <c r="AF91" s="317">
        <v>17488</v>
      </c>
      <c r="AG91" s="18">
        <v>218</v>
      </c>
      <c r="AH91" s="323">
        <v>1.2623045744064809E-2</v>
      </c>
      <c r="AI91" s="20">
        <v>14</v>
      </c>
      <c r="AJ91" s="20">
        <v>450</v>
      </c>
      <c r="AK91" s="20"/>
      <c r="AL91" s="20">
        <v>688</v>
      </c>
      <c r="AM91" s="20">
        <v>250920</v>
      </c>
      <c r="AN91" s="7">
        <v>4</v>
      </c>
      <c r="AO91" s="20"/>
      <c r="AP91" s="21"/>
      <c r="AQ91" s="21" t="s">
        <v>128</v>
      </c>
      <c r="AR91" s="5" t="s">
        <v>1854</v>
      </c>
      <c r="AS91" s="5" t="s">
        <v>124</v>
      </c>
      <c r="AT91" s="356"/>
      <c r="AU91" s="356"/>
      <c r="AV91" s="356"/>
      <c r="AW91" s="144" t="s">
        <v>129</v>
      </c>
    </row>
    <row r="92" spans="1:49" ht="20" customHeight="1">
      <c r="A92" s="361"/>
      <c r="B92" s="5" t="s">
        <v>318</v>
      </c>
      <c r="C92" s="5">
        <v>1120349</v>
      </c>
      <c r="D92" s="5" t="s">
        <v>51</v>
      </c>
      <c r="E92" s="5" t="s">
        <v>52</v>
      </c>
      <c r="F92" s="5" t="s">
        <v>2035</v>
      </c>
      <c r="G92" s="5" t="s">
        <v>2107</v>
      </c>
      <c r="H92" s="5" t="s">
        <v>2108</v>
      </c>
      <c r="I92" s="6">
        <v>44445</v>
      </c>
      <c r="J92" s="5" t="s">
        <v>74</v>
      </c>
      <c r="K92" s="5" t="s">
        <v>2125</v>
      </c>
      <c r="L92" s="5" t="s">
        <v>76</v>
      </c>
      <c r="M92" s="7">
        <v>2</v>
      </c>
      <c r="N92" s="7">
        <v>3</v>
      </c>
      <c r="O92" s="308">
        <v>11357</v>
      </c>
      <c r="P92" s="319">
        <v>0.03</v>
      </c>
      <c r="Q92" s="310">
        <v>341</v>
      </c>
      <c r="R92" s="319">
        <v>0</v>
      </c>
      <c r="S92" s="310">
        <v>0</v>
      </c>
      <c r="T92" s="319">
        <v>3.0025534912388834E-2</v>
      </c>
      <c r="U92" s="310">
        <v>341</v>
      </c>
      <c r="V92" s="310">
        <v>11698</v>
      </c>
      <c r="W92" s="311">
        <v>11500</v>
      </c>
      <c r="X92" s="312">
        <v>143</v>
      </c>
      <c r="Y92" s="320">
        <v>1.26E-2</v>
      </c>
      <c r="Z92" s="321" t="s">
        <v>233</v>
      </c>
      <c r="AA92" s="315"/>
      <c r="AB92" s="315"/>
      <c r="AC92" s="315"/>
      <c r="AD92" s="322"/>
      <c r="AE92" s="308">
        <v>0</v>
      </c>
      <c r="AF92" s="317">
        <v>11500</v>
      </c>
      <c r="AG92" s="18">
        <v>143</v>
      </c>
      <c r="AH92" s="323">
        <v>1.2591353350356549E-2</v>
      </c>
      <c r="AI92" s="20">
        <v>14</v>
      </c>
      <c r="AJ92" s="20">
        <v>450</v>
      </c>
      <c r="AK92" s="20"/>
      <c r="AL92" s="20">
        <v>688</v>
      </c>
      <c r="AM92" s="20">
        <v>167088</v>
      </c>
      <c r="AN92" s="7">
        <v>3</v>
      </c>
      <c r="AO92" s="20"/>
      <c r="AP92" s="21" t="s">
        <v>2126</v>
      </c>
      <c r="AQ92" s="21" t="s">
        <v>128</v>
      </c>
      <c r="AR92" s="5" t="s">
        <v>2074</v>
      </c>
      <c r="AS92" s="5" t="s">
        <v>2075</v>
      </c>
      <c r="AT92" s="5" t="s">
        <v>247</v>
      </c>
      <c r="AU92" s="21"/>
      <c r="AV92" s="21"/>
      <c r="AW92" s="144" t="s">
        <v>129</v>
      </c>
    </row>
    <row r="93" spans="1:49" ht="20" customHeight="1">
      <c r="A93" s="361"/>
      <c r="B93" s="5" t="s">
        <v>318</v>
      </c>
      <c r="C93" s="5">
        <v>1120158</v>
      </c>
      <c r="D93" s="5" t="s">
        <v>51</v>
      </c>
      <c r="E93" s="5" t="s">
        <v>52</v>
      </c>
      <c r="F93" s="5" t="s">
        <v>2035</v>
      </c>
      <c r="G93" s="5" t="s">
        <v>2170</v>
      </c>
      <c r="H93" s="5" t="s">
        <v>2171</v>
      </c>
      <c r="I93" s="6">
        <v>44179</v>
      </c>
      <c r="J93" s="5" t="s">
        <v>74</v>
      </c>
      <c r="K93" s="5" t="s">
        <v>135</v>
      </c>
      <c r="L93" s="5" t="s">
        <v>76</v>
      </c>
      <c r="M93" s="7">
        <v>2</v>
      </c>
      <c r="N93" s="7">
        <v>5</v>
      </c>
      <c r="O93" s="308">
        <v>16000</v>
      </c>
      <c r="P93" s="319">
        <v>0.04</v>
      </c>
      <c r="Q93" s="310">
        <v>640</v>
      </c>
      <c r="R93" s="319">
        <v>0</v>
      </c>
      <c r="S93" s="310">
        <v>0</v>
      </c>
      <c r="T93" s="319">
        <v>0.04</v>
      </c>
      <c r="U93" s="310">
        <v>640</v>
      </c>
      <c r="V93" s="310">
        <v>16640</v>
      </c>
      <c r="W93" s="311">
        <v>16200</v>
      </c>
      <c r="X93" s="312">
        <v>200</v>
      </c>
      <c r="Y93" s="320">
        <v>1.2500000000000001E-2</v>
      </c>
      <c r="Z93" s="321" t="s">
        <v>261</v>
      </c>
      <c r="AA93" s="315" t="s">
        <v>87</v>
      </c>
      <c r="AB93" s="315" t="s">
        <v>2176</v>
      </c>
      <c r="AC93" s="315" t="s">
        <v>89</v>
      </c>
      <c r="AD93" s="322">
        <v>9.2999999999999999E-2</v>
      </c>
      <c r="AE93" s="308">
        <v>1488</v>
      </c>
      <c r="AF93" s="317">
        <v>17688</v>
      </c>
      <c r="AG93" s="18">
        <v>1688</v>
      </c>
      <c r="AH93" s="323">
        <v>0.10549999999999993</v>
      </c>
      <c r="AI93" s="20">
        <v>14</v>
      </c>
      <c r="AJ93" s="20">
        <v>450</v>
      </c>
      <c r="AK93" s="20"/>
      <c r="AL93" s="20">
        <v>688</v>
      </c>
      <c r="AM93" s="20">
        <v>253720</v>
      </c>
      <c r="AN93" s="7">
        <v>4</v>
      </c>
      <c r="AO93" s="20"/>
      <c r="AP93" s="21" t="s">
        <v>2177</v>
      </c>
      <c r="AQ93" s="21" t="s">
        <v>173</v>
      </c>
      <c r="AR93" s="5" t="s">
        <v>2172</v>
      </c>
      <c r="AS93" s="5" t="s">
        <v>58</v>
      </c>
      <c r="AT93" s="5" t="s">
        <v>247</v>
      </c>
      <c r="AU93" s="21"/>
      <c r="AV93" s="21"/>
      <c r="AW93" s="307" t="s">
        <v>129</v>
      </c>
    </row>
    <row r="94" spans="1:49" ht="20" customHeight="1">
      <c r="A94" s="361"/>
      <c r="B94" s="5" t="s">
        <v>318</v>
      </c>
      <c r="C94" s="5">
        <v>1707039</v>
      </c>
      <c r="D94" s="5" t="s">
        <v>51</v>
      </c>
      <c r="E94" s="5" t="s">
        <v>52</v>
      </c>
      <c r="F94" s="5" t="s">
        <v>1604</v>
      </c>
      <c r="G94" s="5" t="s">
        <v>1501</v>
      </c>
      <c r="H94" s="5" t="s">
        <v>1450</v>
      </c>
      <c r="I94" s="6">
        <v>40391</v>
      </c>
      <c r="J94" s="5" t="s">
        <v>60</v>
      </c>
      <c r="K94" s="5" t="s">
        <v>60</v>
      </c>
      <c r="L94" s="5" t="s">
        <v>61</v>
      </c>
      <c r="M94" s="7">
        <v>2</v>
      </c>
      <c r="N94" s="7">
        <v>3</v>
      </c>
      <c r="O94" s="308">
        <v>15491</v>
      </c>
      <c r="P94" s="309">
        <v>2.5000000000000001E-2</v>
      </c>
      <c r="Q94" s="310">
        <v>387</v>
      </c>
      <c r="R94" s="309">
        <v>0</v>
      </c>
      <c r="S94" s="310">
        <v>0</v>
      </c>
      <c r="T94" s="309">
        <v>2.4982247756761992E-2</v>
      </c>
      <c r="U94" s="310">
        <v>387</v>
      </c>
      <c r="V94" s="310">
        <v>15878</v>
      </c>
      <c r="W94" s="311">
        <v>15650</v>
      </c>
      <c r="X94" s="312">
        <v>159</v>
      </c>
      <c r="Y94" s="313">
        <v>1.03E-2</v>
      </c>
      <c r="Z94" s="314" t="s">
        <v>232</v>
      </c>
      <c r="AA94" s="315"/>
      <c r="AB94" s="315"/>
      <c r="AC94" s="315"/>
      <c r="AD94" s="316"/>
      <c r="AE94" s="308">
        <v>0</v>
      </c>
      <c r="AF94" s="317">
        <v>15650</v>
      </c>
      <c r="AG94" s="18">
        <v>159</v>
      </c>
      <c r="AH94" s="318">
        <v>1.0264024272158112E-2</v>
      </c>
      <c r="AI94" s="20">
        <v>14</v>
      </c>
      <c r="AJ94" s="20">
        <v>450</v>
      </c>
      <c r="AK94" s="20"/>
      <c r="AL94" s="20">
        <v>688</v>
      </c>
      <c r="AM94" s="20">
        <v>225188</v>
      </c>
      <c r="AN94" s="7">
        <v>4</v>
      </c>
      <c r="AO94" s="20"/>
      <c r="AP94" s="21" t="s">
        <v>1523</v>
      </c>
      <c r="AQ94" s="21" t="s">
        <v>128</v>
      </c>
      <c r="AR94" s="5" t="s">
        <v>1504</v>
      </c>
      <c r="AS94" s="5" t="s">
        <v>164</v>
      </c>
      <c r="AT94" s="5" t="s">
        <v>59</v>
      </c>
      <c r="AU94" s="21"/>
      <c r="AV94" s="21"/>
      <c r="AW94" s="307" t="s">
        <v>129</v>
      </c>
    </row>
    <row r="95" spans="1:49" ht="20" customHeight="1">
      <c r="A95" s="361"/>
      <c r="B95" s="5" t="s">
        <v>318</v>
      </c>
      <c r="C95" s="271">
        <v>1120374</v>
      </c>
      <c r="D95" s="271" t="s">
        <v>51</v>
      </c>
      <c r="E95" s="271" t="s">
        <v>52</v>
      </c>
      <c r="F95" s="271" t="s">
        <v>2035</v>
      </c>
      <c r="G95" s="271" t="s">
        <v>2110</v>
      </c>
      <c r="H95" s="271" t="s">
        <v>2111</v>
      </c>
      <c r="I95" s="272">
        <v>44554</v>
      </c>
      <c r="J95" s="271" t="s">
        <v>82</v>
      </c>
      <c r="K95" s="271" t="s">
        <v>2134</v>
      </c>
      <c r="L95" s="271" t="s">
        <v>84</v>
      </c>
      <c r="M95" s="273">
        <v>2</v>
      </c>
      <c r="N95" s="273">
        <v>3</v>
      </c>
      <c r="O95" s="290">
        <v>10000</v>
      </c>
      <c r="P95" s="275">
        <v>0.03</v>
      </c>
      <c r="Q95" s="291">
        <v>300</v>
      </c>
      <c r="R95" s="275">
        <v>0</v>
      </c>
      <c r="S95" s="291">
        <v>0</v>
      </c>
      <c r="T95" s="275">
        <v>0.03</v>
      </c>
      <c r="U95" s="291">
        <v>300</v>
      </c>
      <c r="V95" s="291">
        <v>10300</v>
      </c>
      <c r="W95" s="292">
        <v>10101</v>
      </c>
      <c r="X95" s="293">
        <v>101</v>
      </c>
      <c r="Y95" s="279">
        <v>1.01E-2</v>
      </c>
      <c r="Z95" s="280" t="s">
        <v>233</v>
      </c>
      <c r="AA95" s="294"/>
      <c r="AB95" s="294"/>
      <c r="AC95" s="294"/>
      <c r="AD95" s="282"/>
      <c r="AE95" s="290">
        <v>0</v>
      </c>
      <c r="AF95" s="295">
        <v>10101</v>
      </c>
      <c r="AG95" s="284">
        <v>101</v>
      </c>
      <c r="AH95" s="285">
        <v>1.0099999999999998E-2</v>
      </c>
      <c r="AI95" s="286">
        <v>14</v>
      </c>
      <c r="AJ95" s="286">
        <v>450</v>
      </c>
      <c r="AK95" s="286"/>
      <c r="AL95" s="286">
        <v>688</v>
      </c>
      <c r="AM95" s="286">
        <v>147502</v>
      </c>
      <c r="AN95" s="273">
        <v>3</v>
      </c>
      <c r="AO95" s="286"/>
      <c r="AP95" s="287" t="s">
        <v>2155</v>
      </c>
      <c r="AQ95" s="21" t="s">
        <v>128</v>
      </c>
      <c r="AR95" s="271" t="s">
        <v>2074</v>
      </c>
      <c r="AS95" s="271" t="s">
        <v>2075</v>
      </c>
      <c r="AT95" s="357" t="s">
        <v>247</v>
      </c>
      <c r="AU95" s="359"/>
      <c r="AV95" s="359"/>
      <c r="AW95" s="307" t="s">
        <v>129</v>
      </c>
    </row>
    <row r="96" spans="1:49" ht="20" customHeight="1">
      <c r="A96" s="361"/>
      <c r="B96" s="5" t="s">
        <v>318</v>
      </c>
      <c r="C96" s="5">
        <v>1220096</v>
      </c>
      <c r="D96" s="5" t="s">
        <v>51</v>
      </c>
      <c r="E96" s="5" t="s">
        <v>52</v>
      </c>
      <c r="F96" s="5" t="s">
        <v>1604</v>
      </c>
      <c r="G96" s="5" t="s">
        <v>1509</v>
      </c>
      <c r="H96" s="5" t="s">
        <v>1450</v>
      </c>
      <c r="I96" s="6">
        <v>42719</v>
      </c>
      <c r="J96" s="5" t="s">
        <v>82</v>
      </c>
      <c r="K96" s="5" t="s">
        <v>1518</v>
      </c>
      <c r="L96" s="5" t="s">
        <v>84</v>
      </c>
      <c r="M96" s="7">
        <v>2</v>
      </c>
      <c r="N96" s="7">
        <v>3</v>
      </c>
      <c r="O96" s="308">
        <v>7129</v>
      </c>
      <c r="P96" s="309">
        <v>3.5000000000000003E-2</v>
      </c>
      <c r="Q96" s="310">
        <v>250</v>
      </c>
      <c r="R96" s="309">
        <v>0</v>
      </c>
      <c r="S96" s="310">
        <v>0</v>
      </c>
      <c r="T96" s="309">
        <v>3.5068031982045167E-2</v>
      </c>
      <c r="U96" s="310">
        <v>250</v>
      </c>
      <c r="V96" s="310">
        <v>7379</v>
      </c>
      <c r="W96" s="311">
        <v>7200</v>
      </c>
      <c r="X96" s="312">
        <v>71</v>
      </c>
      <c r="Y96" s="313">
        <v>0.01</v>
      </c>
      <c r="Z96" s="314" t="s">
        <v>2323</v>
      </c>
      <c r="AA96" s="315"/>
      <c r="AB96" s="315"/>
      <c r="AC96" s="315"/>
      <c r="AD96" s="316"/>
      <c r="AE96" s="308">
        <v>0</v>
      </c>
      <c r="AF96" s="317">
        <v>7200</v>
      </c>
      <c r="AG96" s="18">
        <v>71</v>
      </c>
      <c r="AH96" s="318">
        <v>9.9593210829007628E-3</v>
      </c>
      <c r="AI96" s="20">
        <v>14</v>
      </c>
      <c r="AJ96" s="20">
        <v>850</v>
      </c>
      <c r="AK96" s="20"/>
      <c r="AL96" s="20">
        <v>688</v>
      </c>
      <c r="AM96" s="20">
        <v>111688</v>
      </c>
      <c r="AN96" s="7">
        <v>3</v>
      </c>
      <c r="AO96" s="20"/>
      <c r="AP96" s="21" t="s">
        <v>1519</v>
      </c>
      <c r="AQ96" s="21" t="s">
        <v>97</v>
      </c>
      <c r="AR96" s="5" t="s">
        <v>1504</v>
      </c>
      <c r="AS96" s="5" t="s">
        <v>164</v>
      </c>
      <c r="AT96" s="357" t="s">
        <v>59</v>
      </c>
      <c r="AU96" s="359"/>
      <c r="AV96" s="359"/>
      <c r="AW96" s="144" t="s">
        <v>129</v>
      </c>
    </row>
    <row r="97" spans="1:49" ht="20" customHeight="1">
      <c r="A97" s="361"/>
      <c r="B97" s="5" t="s">
        <v>318</v>
      </c>
      <c r="C97" s="5">
        <v>1120071</v>
      </c>
      <c r="D97" s="5" t="s">
        <v>51</v>
      </c>
      <c r="E97" s="5" t="s">
        <v>52</v>
      </c>
      <c r="F97" s="5" t="s">
        <v>2035</v>
      </c>
      <c r="G97" s="5" t="s">
        <v>2110</v>
      </c>
      <c r="H97" s="5" t="s">
        <v>2111</v>
      </c>
      <c r="I97" s="6">
        <v>39248</v>
      </c>
      <c r="J97" s="5" t="s">
        <v>60</v>
      </c>
      <c r="K97" s="5" t="s">
        <v>60</v>
      </c>
      <c r="L97" s="5" t="s">
        <v>61</v>
      </c>
      <c r="M97" s="7">
        <v>2</v>
      </c>
      <c r="N97" s="7">
        <v>3</v>
      </c>
      <c r="O97" s="308">
        <v>17720</v>
      </c>
      <c r="P97" s="319">
        <v>2.5000000000000001E-2</v>
      </c>
      <c r="Q97" s="310">
        <v>443</v>
      </c>
      <c r="R97" s="319">
        <v>0</v>
      </c>
      <c r="S97" s="310">
        <v>0</v>
      </c>
      <c r="T97" s="319">
        <v>2.5000000000000001E-2</v>
      </c>
      <c r="U97" s="310">
        <v>443</v>
      </c>
      <c r="V97" s="310">
        <v>18163</v>
      </c>
      <c r="W97" s="311">
        <v>17897</v>
      </c>
      <c r="X97" s="312">
        <v>177</v>
      </c>
      <c r="Y97" s="320">
        <v>0.01</v>
      </c>
      <c r="Z97" s="321" t="s">
        <v>232</v>
      </c>
      <c r="AA97" s="315"/>
      <c r="AB97" s="315"/>
      <c r="AC97" s="315"/>
      <c r="AD97" s="322"/>
      <c r="AE97" s="308">
        <v>0</v>
      </c>
      <c r="AF97" s="317">
        <v>17897</v>
      </c>
      <c r="AG97" s="18">
        <v>177</v>
      </c>
      <c r="AH97" s="323">
        <v>9.9887133182843257E-3</v>
      </c>
      <c r="AI97" s="20">
        <v>14</v>
      </c>
      <c r="AJ97" s="20">
        <v>450</v>
      </c>
      <c r="AK97" s="20"/>
      <c r="AL97" s="20">
        <v>688</v>
      </c>
      <c r="AM97" s="20">
        <v>256646</v>
      </c>
      <c r="AN97" s="7">
        <v>3</v>
      </c>
      <c r="AO97" s="20"/>
      <c r="AP97" s="21" t="s">
        <v>2146</v>
      </c>
      <c r="AQ97" s="21" t="s">
        <v>107</v>
      </c>
      <c r="AR97" s="5" t="s">
        <v>2074</v>
      </c>
      <c r="AS97" s="5" t="s">
        <v>2075</v>
      </c>
      <c r="AT97" s="5" t="s">
        <v>247</v>
      </c>
      <c r="AU97" s="21"/>
      <c r="AV97" s="21"/>
      <c r="AW97" s="144" t="s">
        <v>129</v>
      </c>
    </row>
    <row r="98" spans="1:49" ht="20" customHeight="1">
      <c r="A98" s="361"/>
      <c r="B98" s="5" t="s">
        <v>318</v>
      </c>
      <c r="C98" s="5">
        <v>1132203</v>
      </c>
      <c r="D98" s="5" t="s">
        <v>51</v>
      </c>
      <c r="E98" s="5" t="s">
        <v>52</v>
      </c>
      <c r="F98" s="5" t="s">
        <v>2035</v>
      </c>
      <c r="G98" s="5" t="s">
        <v>2110</v>
      </c>
      <c r="H98" s="5" t="s">
        <v>2111</v>
      </c>
      <c r="I98" s="6">
        <v>42040</v>
      </c>
      <c r="J98" s="5" t="s">
        <v>82</v>
      </c>
      <c r="K98" s="5" t="s">
        <v>2134</v>
      </c>
      <c r="L98" s="5" t="s">
        <v>84</v>
      </c>
      <c r="M98" s="7">
        <v>2</v>
      </c>
      <c r="N98" s="7">
        <v>3</v>
      </c>
      <c r="O98" s="308">
        <v>10336</v>
      </c>
      <c r="P98" s="319">
        <v>0.03</v>
      </c>
      <c r="Q98" s="310">
        <v>310</v>
      </c>
      <c r="R98" s="319">
        <v>0</v>
      </c>
      <c r="S98" s="310">
        <v>0</v>
      </c>
      <c r="T98" s="319">
        <v>2.9992260061919504E-2</v>
      </c>
      <c r="U98" s="310">
        <v>310</v>
      </c>
      <c r="V98" s="310">
        <v>10646</v>
      </c>
      <c r="W98" s="311">
        <v>10439</v>
      </c>
      <c r="X98" s="312">
        <v>103</v>
      </c>
      <c r="Y98" s="320">
        <v>0.01</v>
      </c>
      <c r="Z98" s="321" t="s">
        <v>233</v>
      </c>
      <c r="AA98" s="315"/>
      <c r="AB98" s="315"/>
      <c r="AC98" s="315"/>
      <c r="AD98" s="322"/>
      <c r="AE98" s="308">
        <v>0</v>
      </c>
      <c r="AF98" s="317">
        <v>10439</v>
      </c>
      <c r="AG98" s="18">
        <v>103</v>
      </c>
      <c r="AH98" s="323">
        <v>9.9651702786378582E-3</v>
      </c>
      <c r="AI98" s="20">
        <v>14</v>
      </c>
      <c r="AJ98" s="20">
        <v>550</v>
      </c>
      <c r="AK98" s="20"/>
      <c r="AL98" s="20">
        <v>688</v>
      </c>
      <c r="AM98" s="20">
        <v>153434</v>
      </c>
      <c r="AN98" s="7">
        <v>3</v>
      </c>
      <c r="AO98" s="20"/>
      <c r="AP98" s="21" t="s">
        <v>2155</v>
      </c>
      <c r="AQ98" s="21" t="s">
        <v>128</v>
      </c>
      <c r="AR98" s="5" t="s">
        <v>2074</v>
      </c>
      <c r="AS98" s="5" t="s">
        <v>2075</v>
      </c>
      <c r="AT98" s="5" t="s">
        <v>247</v>
      </c>
      <c r="AU98" s="21"/>
      <c r="AV98" s="21"/>
      <c r="AW98" s="144" t="s">
        <v>129</v>
      </c>
    </row>
    <row r="99" spans="1:49" ht="20" customHeight="1">
      <c r="A99" s="361"/>
      <c r="B99" s="5" t="s">
        <v>318</v>
      </c>
      <c r="C99" s="5">
        <v>15001287</v>
      </c>
      <c r="D99" s="5" t="s">
        <v>51</v>
      </c>
      <c r="E99" s="5" t="s">
        <v>52</v>
      </c>
      <c r="F99" s="5" t="s">
        <v>62</v>
      </c>
      <c r="G99" s="5" t="s">
        <v>120</v>
      </c>
      <c r="H99" s="5" t="s">
        <v>121</v>
      </c>
      <c r="I99" s="6">
        <v>39392</v>
      </c>
      <c r="J99" s="5" t="s">
        <v>74</v>
      </c>
      <c r="K99" s="5" t="s">
        <v>75</v>
      </c>
      <c r="L99" s="5" t="s">
        <v>76</v>
      </c>
      <c r="M99" s="7">
        <v>2</v>
      </c>
      <c r="N99" s="7">
        <v>3</v>
      </c>
      <c r="O99" s="308">
        <v>12500</v>
      </c>
      <c r="P99" s="319">
        <v>2.5000000000000001E-2</v>
      </c>
      <c r="Q99" s="310">
        <v>313</v>
      </c>
      <c r="R99" s="319">
        <v>0</v>
      </c>
      <c r="S99" s="310">
        <v>0</v>
      </c>
      <c r="T99" s="319">
        <v>2.504E-2</v>
      </c>
      <c r="U99" s="310">
        <v>313</v>
      </c>
      <c r="V99" s="310">
        <v>12813</v>
      </c>
      <c r="W99" s="311">
        <v>12600</v>
      </c>
      <c r="X99" s="312">
        <v>100</v>
      </c>
      <c r="Y99" s="320">
        <v>8.0000000000000002E-3</v>
      </c>
      <c r="Z99" s="321" t="s">
        <v>232</v>
      </c>
      <c r="AA99" s="315"/>
      <c r="AB99" s="315"/>
      <c r="AC99" s="315"/>
      <c r="AD99" s="322"/>
      <c r="AE99" s="308">
        <v>0</v>
      </c>
      <c r="AF99" s="317">
        <v>12600</v>
      </c>
      <c r="AG99" s="18">
        <v>100</v>
      </c>
      <c r="AH99" s="323">
        <v>8.0000000000000071E-3</v>
      </c>
      <c r="AI99" s="20">
        <v>14</v>
      </c>
      <c r="AJ99" s="20">
        <v>450</v>
      </c>
      <c r="AK99" s="20"/>
      <c r="AL99" s="20">
        <v>688</v>
      </c>
      <c r="AM99" s="20">
        <v>182488</v>
      </c>
      <c r="AN99" s="7">
        <v>3</v>
      </c>
      <c r="AO99" s="20"/>
      <c r="AP99" s="21"/>
      <c r="AQ99" s="21" t="s">
        <v>149</v>
      </c>
      <c r="AR99" s="5" t="s">
        <v>123</v>
      </c>
      <c r="AS99" s="5" t="s">
        <v>124</v>
      </c>
      <c r="AT99" s="5" t="s">
        <v>59</v>
      </c>
      <c r="AU99" s="21" t="s">
        <v>102</v>
      </c>
      <c r="AV99" s="21" t="s">
        <v>129</v>
      </c>
      <c r="AW99" s="144" t="s">
        <v>129</v>
      </c>
    </row>
    <row r="100" spans="1:49" ht="20" customHeight="1">
      <c r="A100" s="361"/>
      <c r="B100" s="5" t="s">
        <v>318</v>
      </c>
      <c r="C100" s="5">
        <v>1706022</v>
      </c>
      <c r="D100" s="5" t="s">
        <v>51</v>
      </c>
      <c r="E100" s="5" t="s">
        <v>52</v>
      </c>
      <c r="F100" s="5" t="s">
        <v>1604</v>
      </c>
      <c r="G100" s="5" t="s">
        <v>1527</v>
      </c>
      <c r="H100" s="5" t="s">
        <v>1528</v>
      </c>
      <c r="I100" s="6">
        <v>40023</v>
      </c>
      <c r="J100" s="5" t="s">
        <v>74</v>
      </c>
      <c r="K100" s="5" t="s">
        <v>74</v>
      </c>
      <c r="L100" s="5" t="s">
        <v>76</v>
      </c>
      <c r="M100" s="7">
        <v>2</v>
      </c>
      <c r="N100" s="7">
        <v>3</v>
      </c>
      <c r="O100" s="308">
        <v>7567</v>
      </c>
      <c r="P100" s="309">
        <v>0.03</v>
      </c>
      <c r="Q100" s="310">
        <v>227</v>
      </c>
      <c r="R100" s="309">
        <v>0</v>
      </c>
      <c r="S100" s="310">
        <v>0</v>
      </c>
      <c r="T100" s="309">
        <v>2.9998678472313994E-2</v>
      </c>
      <c r="U100" s="310">
        <v>227</v>
      </c>
      <c r="V100" s="310">
        <v>7794</v>
      </c>
      <c r="W100" s="311">
        <v>7627</v>
      </c>
      <c r="X100" s="312">
        <v>60</v>
      </c>
      <c r="Y100" s="313">
        <v>7.9000000000000008E-3</v>
      </c>
      <c r="Z100" s="314" t="s">
        <v>233</v>
      </c>
      <c r="AA100" s="315"/>
      <c r="AB100" s="315"/>
      <c r="AC100" s="315"/>
      <c r="AD100" s="316"/>
      <c r="AE100" s="308">
        <v>0</v>
      </c>
      <c r="AF100" s="317">
        <v>7627</v>
      </c>
      <c r="AG100" s="18">
        <v>60</v>
      </c>
      <c r="AH100" s="318">
        <v>7.9291661160301175E-3</v>
      </c>
      <c r="AI100" s="20">
        <v>14</v>
      </c>
      <c r="AJ100" s="20">
        <v>450</v>
      </c>
      <c r="AK100" s="20"/>
      <c r="AL100" s="20">
        <v>688</v>
      </c>
      <c r="AM100" s="20">
        <v>112866</v>
      </c>
      <c r="AN100" s="7">
        <v>3</v>
      </c>
      <c r="AO100" s="20"/>
      <c r="AP100" s="21" t="s">
        <v>1535</v>
      </c>
      <c r="AQ100" s="21" t="s">
        <v>97</v>
      </c>
      <c r="AR100" s="5" t="s">
        <v>1504</v>
      </c>
      <c r="AS100" s="5" t="s">
        <v>164</v>
      </c>
      <c r="AT100" s="5" t="s">
        <v>59</v>
      </c>
      <c r="AU100" s="21"/>
      <c r="AV100" s="21"/>
      <c r="AW100" s="144" t="s">
        <v>129</v>
      </c>
    </row>
    <row r="101" spans="1:49" ht="20" customHeight="1">
      <c r="A101" s="361"/>
      <c r="B101" s="5" t="s">
        <v>318</v>
      </c>
      <c r="C101" s="5">
        <v>15017727</v>
      </c>
      <c r="D101" s="5" t="s">
        <v>51</v>
      </c>
      <c r="E101" s="5" t="s">
        <v>52</v>
      </c>
      <c r="F101" s="5" t="s">
        <v>62</v>
      </c>
      <c r="G101" s="5" t="s">
        <v>160</v>
      </c>
      <c r="H101" s="5" t="s">
        <v>161</v>
      </c>
      <c r="I101" s="6">
        <v>42935</v>
      </c>
      <c r="J101" s="5" t="s">
        <v>140</v>
      </c>
      <c r="K101" s="5" t="s">
        <v>141</v>
      </c>
      <c r="L101" s="5" t="s">
        <v>61</v>
      </c>
      <c r="M101" s="7">
        <v>2</v>
      </c>
      <c r="N101" s="7">
        <v>3</v>
      </c>
      <c r="O101" s="308">
        <v>13202</v>
      </c>
      <c r="P101" s="309">
        <v>0.03</v>
      </c>
      <c r="Q101" s="310">
        <v>396</v>
      </c>
      <c r="R101" s="309">
        <v>0</v>
      </c>
      <c r="S101" s="310">
        <v>0</v>
      </c>
      <c r="T101" s="309">
        <v>2.9995455234055446E-2</v>
      </c>
      <c r="U101" s="310">
        <v>396</v>
      </c>
      <c r="V101" s="310">
        <v>13598</v>
      </c>
      <c r="W101" s="311">
        <v>13302</v>
      </c>
      <c r="X101" s="312">
        <v>100</v>
      </c>
      <c r="Y101" s="313">
        <v>7.6E-3</v>
      </c>
      <c r="Z101" s="314" t="s">
        <v>233</v>
      </c>
      <c r="AA101" s="315"/>
      <c r="AB101" s="315"/>
      <c r="AC101" s="315"/>
      <c r="AD101" s="316"/>
      <c r="AE101" s="308">
        <v>0</v>
      </c>
      <c r="AF101" s="317">
        <v>13302</v>
      </c>
      <c r="AG101" s="18">
        <v>100</v>
      </c>
      <c r="AH101" s="318">
        <v>7.5746099075897355E-3</v>
      </c>
      <c r="AI101" s="20">
        <v>14</v>
      </c>
      <c r="AJ101" s="20">
        <v>450</v>
      </c>
      <c r="AK101" s="20"/>
      <c r="AL101" s="20">
        <v>688</v>
      </c>
      <c r="AM101" s="20">
        <v>192316</v>
      </c>
      <c r="AN101" s="7">
        <v>3</v>
      </c>
      <c r="AO101" s="20"/>
      <c r="AP101" s="21" t="s">
        <v>167</v>
      </c>
      <c r="AQ101" s="21" t="s">
        <v>97</v>
      </c>
      <c r="AR101" s="5" t="s">
        <v>163</v>
      </c>
      <c r="AS101" s="5" t="s">
        <v>164</v>
      </c>
      <c r="AT101" s="5" t="s">
        <v>59</v>
      </c>
      <c r="AU101" s="21" t="s">
        <v>102</v>
      </c>
      <c r="AV101" s="21" t="s">
        <v>129</v>
      </c>
      <c r="AW101" s="307" t="s">
        <v>129</v>
      </c>
    </row>
    <row r="102" spans="1:49" ht="20" customHeight="1">
      <c r="A102" s="361"/>
      <c r="B102" s="5" t="s">
        <v>318</v>
      </c>
      <c r="C102" s="5">
        <v>51202067</v>
      </c>
      <c r="D102" s="5" t="s">
        <v>51</v>
      </c>
      <c r="E102" s="5" t="s">
        <v>52</v>
      </c>
      <c r="F102" s="5" t="s">
        <v>62</v>
      </c>
      <c r="G102" s="5" t="s">
        <v>169</v>
      </c>
      <c r="H102" s="5" t="s">
        <v>197</v>
      </c>
      <c r="I102" s="6">
        <v>38292</v>
      </c>
      <c r="J102" s="5" t="s">
        <v>198</v>
      </c>
      <c r="K102" s="5" t="s">
        <v>134</v>
      </c>
      <c r="L102" s="5" t="s">
        <v>199</v>
      </c>
      <c r="M102" s="7">
        <v>2</v>
      </c>
      <c r="N102" s="7">
        <v>4</v>
      </c>
      <c r="O102" s="308">
        <v>49800</v>
      </c>
      <c r="P102" s="309">
        <v>0.03</v>
      </c>
      <c r="Q102" s="310">
        <v>1494</v>
      </c>
      <c r="R102" s="309">
        <v>0</v>
      </c>
      <c r="S102" s="310">
        <v>0</v>
      </c>
      <c r="T102" s="309">
        <v>0.03</v>
      </c>
      <c r="U102" s="310">
        <v>1494</v>
      </c>
      <c r="V102" s="310">
        <v>51294</v>
      </c>
      <c r="W102" s="311">
        <v>50100</v>
      </c>
      <c r="X102" s="312">
        <v>300</v>
      </c>
      <c r="Y102" s="313">
        <v>6.0000000000000001E-3</v>
      </c>
      <c r="Z102" s="314" t="s">
        <v>233</v>
      </c>
      <c r="AA102" s="315"/>
      <c r="AB102" s="315"/>
      <c r="AC102" s="315"/>
      <c r="AD102" s="316"/>
      <c r="AE102" s="308">
        <v>0</v>
      </c>
      <c r="AF102" s="317">
        <v>50100</v>
      </c>
      <c r="AG102" s="18">
        <v>300</v>
      </c>
      <c r="AH102" s="318">
        <v>6.0240963855422436E-3</v>
      </c>
      <c r="AI102" s="20">
        <v>14</v>
      </c>
      <c r="AJ102" s="20">
        <v>450</v>
      </c>
      <c r="AK102" s="20">
        <v>1000</v>
      </c>
      <c r="AL102" s="20">
        <v>688</v>
      </c>
      <c r="AM102" s="20">
        <v>719488</v>
      </c>
      <c r="AN102" s="7">
        <v>4</v>
      </c>
      <c r="AO102" s="20"/>
      <c r="AP102" s="21" t="s">
        <v>200</v>
      </c>
      <c r="AQ102" s="21" t="s">
        <v>128</v>
      </c>
      <c r="AR102" s="5" t="s">
        <v>201</v>
      </c>
      <c r="AS102" s="5" t="s">
        <v>164</v>
      </c>
      <c r="AT102" s="5" t="s">
        <v>59</v>
      </c>
      <c r="AU102" s="21" t="s">
        <v>102</v>
      </c>
      <c r="AV102" s="21" t="s">
        <v>129</v>
      </c>
      <c r="AW102" s="307" t="s">
        <v>129</v>
      </c>
    </row>
    <row r="103" spans="1:49" ht="20" customHeight="1">
      <c r="A103" s="361"/>
      <c r="B103" s="5" t="s">
        <v>318</v>
      </c>
      <c r="C103" s="5">
        <v>15021228</v>
      </c>
      <c r="D103" s="5" t="s">
        <v>51</v>
      </c>
      <c r="E103" s="5" t="s">
        <v>52</v>
      </c>
      <c r="F103" s="5" t="s">
        <v>1604</v>
      </c>
      <c r="G103" s="5" t="s">
        <v>1484</v>
      </c>
      <c r="H103" s="5" t="s">
        <v>1485</v>
      </c>
      <c r="I103" s="6">
        <v>44300</v>
      </c>
      <c r="J103" s="5" t="s">
        <v>82</v>
      </c>
      <c r="K103" s="5" t="s">
        <v>1492</v>
      </c>
      <c r="L103" s="5" t="s">
        <v>84</v>
      </c>
      <c r="M103" s="7">
        <v>2</v>
      </c>
      <c r="N103" s="7">
        <v>4</v>
      </c>
      <c r="O103" s="308">
        <v>8306</v>
      </c>
      <c r="P103" s="319">
        <v>3.7500000000000006E-2</v>
      </c>
      <c r="Q103" s="310">
        <v>311</v>
      </c>
      <c r="R103" s="319">
        <v>1.55E-2</v>
      </c>
      <c r="S103" s="310">
        <v>129</v>
      </c>
      <c r="T103" s="319">
        <v>5.2973753912834098E-2</v>
      </c>
      <c r="U103" s="310">
        <v>440</v>
      </c>
      <c r="V103" s="310">
        <v>8746</v>
      </c>
      <c r="W103" s="311">
        <v>8350</v>
      </c>
      <c r="X103" s="312">
        <v>44</v>
      </c>
      <c r="Y103" s="320">
        <v>5.3E-3</v>
      </c>
      <c r="Z103" s="321" t="s">
        <v>222</v>
      </c>
      <c r="AA103" s="315" t="s">
        <v>87</v>
      </c>
      <c r="AB103" s="315" t="s">
        <v>1465</v>
      </c>
      <c r="AC103" s="315" t="s">
        <v>139</v>
      </c>
      <c r="AD103" s="322">
        <v>7.2599999999999998E-2</v>
      </c>
      <c r="AE103" s="308">
        <v>603</v>
      </c>
      <c r="AF103" s="317">
        <v>8953</v>
      </c>
      <c r="AG103" s="18">
        <v>647</v>
      </c>
      <c r="AH103" s="323">
        <v>7.7895497230917377E-2</v>
      </c>
      <c r="AI103" s="20">
        <v>14</v>
      </c>
      <c r="AJ103" s="20">
        <v>450</v>
      </c>
      <c r="AK103" s="20"/>
      <c r="AL103" s="20">
        <v>688</v>
      </c>
      <c r="AM103" s="20">
        <v>131430</v>
      </c>
      <c r="AN103" s="7">
        <v>3</v>
      </c>
      <c r="AO103" s="20"/>
      <c r="AP103" s="21" t="s">
        <v>1493</v>
      </c>
      <c r="AQ103" s="21" t="s">
        <v>173</v>
      </c>
      <c r="AR103" s="5" t="s">
        <v>1490</v>
      </c>
      <c r="AS103" s="5" t="s">
        <v>164</v>
      </c>
      <c r="AT103" s="5" t="s">
        <v>247</v>
      </c>
      <c r="AU103" s="21"/>
      <c r="AV103" s="21"/>
      <c r="AW103" s="307" t="s">
        <v>129</v>
      </c>
    </row>
    <row r="104" spans="1:49" ht="20" customHeight="1">
      <c r="A104" s="361"/>
      <c r="B104" s="5" t="s">
        <v>318</v>
      </c>
      <c r="C104" s="5">
        <v>1212018</v>
      </c>
      <c r="D104" s="5" t="s">
        <v>51</v>
      </c>
      <c r="E104" s="5" t="s">
        <v>52</v>
      </c>
      <c r="F104" s="5" t="s">
        <v>1604</v>
      </c>
      <c r="G104" s="5" t="s">
        <v>1527</v>
      </c>
      <c r="H104" s="5" t="s">
        <v>1528</v>
      </c>
      <c r="I104" s="6">
        <v>38845</v>
      </c>
      <c r="J104" s="5" t="s">
        <v>1510</v>
      </c>
      <c r="K104" s="5" t="s">
        <v>1510</v>
      </c>
      <c r="L104" s="5" t="s">
        <v>84</v>
      </c>
      <c r="M104" s="7">
        <v>2</v>
      </c>
      <c r="N104" s="7">
        <v>3</v>
      </c>
      <c r="O104" s="308">
        <v>10503</v>
      </c>
      <c r="P104" s="309">
        <v>2.5000000000000001E-2</v>
      </c>
      <c r="Q104" s="310">
        <v>263</v>
      </c>
      <c r="R104" s="309">
        <v>0</v>
      </c>
      <c r="S104" s="310">
        <v>0</v>
      </c>
      <c r="T104" s="309">
        <v>2.5040464629153575E-2</v>
      </c>
      <c r="U104" s="310">
        <v>263</v>
      </c>
      <c r="V104" s="310">
        <v>10766</v>
      </c>
      <c r="W104" s="311">
        <v>10550</v>
      </c>
      <c r="X104" s="312">
        <v>47</v>
      </c>
      <c r="Y104" s="313">
        <v>4.4999999999999997E-3</v>
      </c>
      <c r="Z104" s="314" t="s">
        <v>232</v>
      </c>
      <c r="AA104" s="315"/>
      <c r="AB104" s="315"/>
      <c r="AC104" s="315"/>
      <c r="AD104" s="316"/>
      <c r="AE104" s="308">
        <v>0</v>
      </c>
      <c r="AF104" s="317">
        <v>10550</v>
      </c>
      <c r="AG104" s="18">
        <v>47</v>
      </c>
      <c r="AH104" s="318">
        <v>4.4749119299247742E-3</v>
      </c>
      <c r="AI104" s="20">
        <v>14</v>
      </c>
      <c r="AJ104" s="20">
        <v>450</v>
      </c>
      <c r="AK104" s="20"/>
      <c r="AL104" s="20">
        <v>688</v>
      </c>
      <c r="AM104" s="20">
        <v>153788</v>
      </c>
      <c r="AN104" s="7">
        <v>3</v>
      </c>
      <c r="AO104" s="20"/>
      <c r="AP104" s="21" t="s">
        <v>1512</v>
      </c>
      <c r="AQ104" s="21" t="s">
        <v>128</v>
      </c>
      <c r="AR104" s="5" t="s">
        <v>1504</v>
      </c>
      <c r="AS104" s="5" t="s">
        <v>164</v>
      </c>
      <c r="AT104" s="5" t="s">
        <v>59</v>
      </c>
      <c r="AU104" s="21"/>
      <c r="AV104" s="21"/>
      <c r="AW104" s="144" t="s">
        <v>129</v>
      </c>
    </row>
    <row r="105" spans="1:49" ht="20" customHeight="1">
      <c r="A105" s="361"/>
      <c r="B105" s="5" t="s">
        <v>318</v>
      </c>
      <c r="C105" s="5">
        <v>1132015</v>
      </c>
      <c r="D105" s="5" t="s">
        <v>51</v>
      </c>
      <c r="E105" s="5" t="s">
        <v>52</v>
      </c>
      <c r="F105" s="5" t="s">
        <v>2035</v>
      </c>
      <c r="G105" s="5" t="s">
        <v>2116</v>
      </c>
      <c r="H105" s="5" t="s">
        <v>2117</v>
      </c>
      <c r="I105" s="6">
        <v>34182</v>
      </c>
      <c r="J105" s="5" t="s">
        <v>82</v>
      </c>
      <c r="K105" s="5" t="s">
        <v>2135</v>
      </c>
      <c r="L105" s="5" t="s">
        <v>84</v>
      </c>
      <c r="M105" s="7">
        <v>2</v>
      </c>
      <c r="N105" s="7">
        <v>1</v>
      </c>
      <c r="O105" s="308">
        <v>8937</v>
      </c>
      <c r="P105" s="319">
        <v>0</v>
      </c>
      <c r="Q105" s="310">
        <v>0</v>
      </c>
      <c r="R105" s="319">
        <v>0</v>
      </c>
      <c r="S105" s="310">
        <v>0</v>
      </c>
      <c r="T105" s="319">
        <v>0</v>
      </c>
      <c r="U105" s="310">
        <v>0</v>
      </c>
      <c r="V105" s="310">
        <v>8937</v>
      </c>
      <c r="W105" s="311">
        <v>8740</v>
      </c>
      <c r="X105" s="312">
        <v>-197</v>
      </c>
      <c r="Y105" s="320">
        <v>-2.1999999999999999E-2</v>
      </c>
      <c r="Z105" s="321" t="s">
        <v>225</v>
      </c>
      <c r="AA105" s="315" t="s">
        <v>2136</v>
      </c>
      <c r="AB105" s="315" t="s">
        <v>2137</v>
      </c>
      <c r="AC105" s="315" t="s">
        <v>2138</v>
      </c>
      <c r="AD105" s="322"/>
      <c r="AE105" s="308">
        <v>0</v>
      </c>
      <c r="AF105" s="317">
        <v>8740</v>
      </c>
      <c r="AG105" s="18">
        <v>-197</v>
      </c>
      <c r="AH105" s="323">
        <v>-2.2043191227481218E-2</v>
      </c>
      <c r="AI105" s="20">
        <v>14</v>
      </c>
      <c r="AJ105" s="20">
        <v>450</v>
      </c>
      <c r="AK105" s="20"/>
      <c r="AL105" s="20">
        <v>688</v>
      </c>
      <c r="AM105" s="20">
        <v>128448</v>
      </c>
      <c r="AN105" s="7">
        <v>1</v>
      </c>
      <c r="AO105" s="20"/>
      <c r="AP105" s="21" t="s">
        <v>2136</v>
      </c>
      <c r="AQ105" s="21" t="s">
        <v>107</v>
      </c>
      <c r="AR105" s="5" t="s">
        <v>2074</v>
      </c>
      <c r="AS105" s="5" t="s">
        <v>2075</v>
      </c>
      <c r="AT105" s="5" t="s">
        <v>247</v>
      </c>
      <c r="AU105" s="21"/>
      <c r="AV105" s="21"/>
      <c r="AW105" s="331" t="s">
        <v>129</v>
      </c>
    </row>
    <row r="106" spans="1:49" ht="20" customHeight="1">
      <c r="A106" s="360" t="s">
        <v>2324</v>
      </c>
      <c r="B106" s="5" t="s">
        <v>318</v>
      </c>
      <c r="C106" s="271">
        <v>15000166</v>
      </c>
      <c r="D106" s="271" t="s">
        <v>51</v>
      </c>
      <c r="E106" s="271" t="s">
        <v>52</v>
      </c>
      <c r="F106" s="271" t="s">
        <v>62</v>
      </c>
      <c r="G106" s="271" t="s">
        <v>95</v>
      </c>
      <c r="H106" s="271" t="s">
        <v>92</v>
      </c>
      <c r="I106" s="272">
        <v>38600</v>
      </c>
      <c r="J106" s="271" t="s">
        <v>74</v>
      </c>
      <c r="K106" s="271" t="s">
        <v>74</v>
      </c>
      <c r="L106" s="271" t="s">
        <v>76</v>
      </c>
      <c r="M106" s="273">
        <v>2</v>
      </c>
      <c r="N106" s="273">
        <v>3</v>
      </c>
      <c r="O106" s="274">
        <v>14610</v>
      </c>
      <c r="P106" s="275">
        <v>2.5000000000000001E-2</v>
      </c>
      <c r="Q106" s="276">
        <v>365</v>
      </c>
      <c r="R106" s="275">
        <v>0</v>
      </c>
      <c r="S106" s="276">
        <v>0</v>
      </c>
      <c r="T106" s="275">
        <v>2.4982888432580425E-2</v>
      </c>
      <c r="U106" s="276">
        <v>365</v>
      </c>
      <c r="V106" s="276">
        <v>14975</v>
      </c>
      <c r="W106" s="277">
        <v>14610</v>
      </c>
      <c r="X106" s="278">
        <v>0</v>
      </c>
      <c r="Y106" s="279">
        <v>0</v>
      </c>
      <c r="Z106" s="280" t="s">
        <v>232</v>
      </c>
      <c r="AA106" s="281"/>
      <c r="AB106" s="281"/>
      <c r="AC106" s="281"/>
      <c r="AD106" s="282"/>
      <c r="AE106" s="274">
        <v>0</v>
      </c>
      <c r="AF106" s="283">
        <v>14610</v>
      </c>
      <c r="AG106" s="284">
        <v>0</v>
      </c>
      <c r="AH106" s="285">
        <v>0</v>
      </c>
      <c r="AI106" s="286">
        <v>14</v>
      </c>
      <c r="AJ106" s="286">
        <v>450</v>
      </c>
      <c r="AK106" s="286"/>
      <c r="AL106" s="286">
        <v>688</v>
      </c>
      <c r="AM106" s="286">
        <v>210628</v>
      </c>
      <c r="AN106" s="273">
        <v>3</v>
      </c>
      <c r="AO106" s="286"/>
      <c r="AP106" s="287" t="s">
        <v>96</v>
      </c>
      <c r="AQ106" s="287" t="s">
        <v>97</v>
      </c>
      <c r="AR106" s="271" t="s">
        <v>94</v>
      </c>
      <c r="AS106" s="271" t="s">
        <v>69</v>
      </c>
      <c r="AT106" s="271" t="s">
        <v>59</v>
      </c>
      <c r="AU106" s="287" t="s">
        <v>98</v>
      </c>
      <c r="AV106" s="287"/>
      <c r="AW106" s="288" t="s">
        <v>2297</v>
      </c>
    </row>
    <row r="107" spans="1:49" ht="20" customHeight="1">
      <c r="A107" s="360"/>
      <c r="B107" s="5" t="s">
        <v>318</v>
      </c>
      <c r="C107" s="271">
        <v>15001471</v>
      </c>
      <c r="D107" s="271" t="s">
        <v>51</v>
      </c>
      <c r="E107" s="271" t="s">
        <v>52</v>
      </c>
      <c r="F107" s="271" t="s">
        <v>62</v>
      </c>
      <c r="G107" s="271" t="s">
        <v>104</v>
      </c>
      <c r="H107" s="271" t="s">
        <v>92</v>
      </c>
      <c r="I107" s="272">
        <v>39546</v>
      </c>
      <c r="J107" s="271" t="s">
        <v>71</v>
      </c>
      <c r="K107" s="271" t="s">
        <v>105</v>
      </c>
      <c r="L107" s="271" t="s">
        <v>61</v>
      </c>
      <c r="M107" s="273">
        <v>2</v>
      </c>
      <c r="N107" s="273">
        <v>3</v>
      </c>
      <c r="O107" s="274">
        <v>15326</v>
      </c>
      <c r="P107" s="275">
        <v>0.03</v>
      </c>
      <c r="Q107" s="276">
        <v>460</v>
      </c>
      <c r="R107" s="275">
        <v>0</v>
      </c>
      <c r="S107" s="276">
        <v>0</v>
      </c>
      <c r="T107" s="275">
        <v>3.0014354691374135E-2</v>
      </c>
      <c r="U107" s="276">
        <v>460</v>
      </c>
      <c r="V107" s="276">
        <v>15786</v>
      </c>
      <c r="W107" s="277">
        <v>15326</v>
      </c>
      <c r="X107" s="278">
        <v>0</v>
      </c>
      <c r="Y107" s="279">
        <v>0</v>
      </c>
      <c r="Z107" s="280" t="s">
        <v>233</v>
      </c>
      <c r="AA107" s="281"/>
      <c r="AB107" s="281"/>
      <c r="AC107" s="281"/>
      <c r="AD107" s="282"/>
      <c r="AE107" s="274">
        <v>0</v>
      </c>
      <c r="AF107" s="283">
        <v>15326</v>
      </c>
      <c r="AG107" s="284">
        <v>0</v>
      </c>
      <c r="AH107" s="285">
        <v>0</v>
      </c>
      <c r="AI107" s="286">
        <v>14</v>
      </c>
      <c r="AJ107" s="286">
        <v>450</v>
      </c>
      <c r="AK107" s="286"/>
      <c r="AL107" s="286">
        <v>688</v>
      </c>
      <c r="AM107" s="286">
        <v>220652</v>
      </c>
      <c r="AN107" s="273">
        <v>4</v>
      </c>
      <c r="AO107" s="286"/>
      <c r="AP107" s="287" t="s">
        <v>106</v>
      </c>
      <c r="AQ107" s="287" t="s">
        <v>107</v>
      </c>
      <c r="AR107" s="271" t="s">
        <v>94</v>
      </c>
      <c r="AS107" s="271" t="s">
        <v>69</v>
      </c>
      <c r="AT107" s="271" t="s">
        <v>59</v>
      </c>
      <c r="AU107" s="287" t="s">
        <v>98</v>
      </c>
      <c r="AV107" s="287"/>
      <c r="AW107" s="289" t="s">
        <v>2297</v>
      </c>
    </row>
    <row r="108" spans="1:49" ht="20" customHeight="1">
      <c r="A108" s="360"/>
      <c r="B108" s="5" t="s">
        <v>318</v>
      </c>
      <c r="C108" s="271">
        <v>15022075</v>
      </c>
      <c r="D108" s="271" t="s">
        <v>51</v>
      </c>
      <c r="E108" s="271" t="s">
        <v>52</v>
      </c>
      <c r="F108" s="271" t="s">
        <v>62</v>
      </c>
      <c r="G108" s="271" t="s">
        <v>160</v>
      </c>
      <c r="H108" s="271" t="s">
        <v>161</v>
      </c>
      <c r="I108" s="272">
        <v>44524</v>
      </c>
      <c r="J108" s="271" t="s">
        <v>82</v>
      </c>
      <c r="K108" s="271" t="s">
        <v>170</v>
      </c>
      <c r="L108" s="271" t="s">
        <v>84</v>
      </c>
      <c r="M108" s="273">
        <v>2</v>
      </c>
      <c r="N108" s="273">
        <v>4</v>
      </c>
      <c r="O108" s="290">
        <v>12645</v>
      </c>
      <c r="P108" s="296">
        <v>0.03</v>
      </c>
      <c r="Q108" s="291">
        <v>379</v>
      </c>
      <c r="R108" s="296">
        <v>0</v>
      </c>
      <c r="S108" s="291">
        <v>0</v>
      </c>
      <c r="T108" s="296">
        <v>2.9972321075523924E-2</v>
      </c>
      <c r="U108" s="291">
        <v>379</v>
      </c>
      <c r="V108" s="291">
        <v>13024</v>
      </c>
      <c r="W108" s="292">
        <v>12645</v>
      </c>
      <c r="X108" s="293">
        <v>0</v>
      </c>
      <c r="Y108" s="297">
        <v>0</v>
      </c>
      <c r="Z108" s="298" t="s">
        <v>233</v>
      </c>
      <c r="AA108" s="294" t="s">
        <v>87</v>
      </c>
      <c r="AB108" s="294" t="s">
        <v>171</v>
      </c>
      <c r="AC108" s="294" t="s">
        <v>139</v>
      </c>
      <c r="AD108" s="299">
        <v>0.1</v>
      </c>
      <c r="AE108" s="290">
        <v>1265</v>
      </c>
      <c r="AF108" s="295">
        <v>13910</v>
      </c>
      <c r="AG108" s="284">
        <v>1265</v>
      </c>
      <c r="AH108" s="300">
        <v>0.10003954132068005</v>
      </c>
      <c r="AI108" s="286">
        <v>14</v>
      </c>
      <c r="AJ108" s="286">
        <v>450</v>
      </c>
      <c r="AK108" s="286"/>
      <c r="AL108" s="286">
        <v>688</v>
      </c>
      <c r="AM108" s="286">
        <v>200828</v>
      </c>
      <c r="AN108" s="273">
        <v>4</v>
      </c>
      <c r="AO108" s="286"/>
      <c r="AP108" s="287" t="s">
        <v>172</v>
      </c>
      <c r="AQ108" s="287" t="s">
        <v>173</v>
      </c>
      <c r="AR108" s="271" t="s">
        <v>163</v>
      </c>
      <c r="AS108" s="271" t="s">
        <v>164</v>
      </c>
      <c r="AT108" s="271" t="s">
        <v>59</v>
      </c>
      <c r="AU108" s="287" t="s">
        <v>98</v>
      </c>
      <c r="AV108" s="287"/>
      <c r="AW108" s="288" t="s">
        <v>2297</v>
      </c>
    </row>
    <row r="109" spans="1:49" ht="20" customHeight="1">
      <c r="A109" s="360"/>
      <c r="B109" s="5" t="s">
        <v>318</v>
      </c>
      <c r="C109" s="271">
        <v>15021416</v>
      </c>
      <c r="D109" s="271" t="s">
        <v>51</v>
      </c>
      <c r="E109" s="271" t="s">
        <v>52</v>
      </c>
      <c r="F109" s="271" t="s">
        <v>62</v>
      </c>
      <c r="G109" s="271" t="s">
        <v>160</v>
      </c>
      <c r="H109" s="271" t="s">
        <v>161</v>
      </c>
      <c r="I109" s="272">
        <v>44370</v>
      </c>
      <c r="J109" s="271" t="s">
        <v>82</v>
      </c>
      <c r="K109" s="271" t="s">
        <v>182</v>
      </c>
      <c r="L109" s="271" t="s">
        <v>84</v>
      </c>
      <c r="M109" s="273">
        <v>2</v>
      </c>
      <c r="N109" s="273">
        <v>5</v>
      </c>
      <c r="O109" s="290">
        <v>12793</v>
      </c>
      <c r="P109" s="296">
        <v>0.04</v>
      </c>
      <c r="Q109" s="291">
        <v>512</v>
      </c>
      <c r="R109" s="296">
        <v>0</v>
      </c>
      <c r="S109" s="291">
        <v>0</v>
      </c>
      <c r="T109" s="296">
        <v>4.0021886969436413E-2</v>
      </c>
      <c r="U109" s="291">
        <v>512</v>
      </c>
      <c r="V109" s="291">
        <v>13305</v>
      </c>
      <c r="W109" s="292">
        <v>12793</v>
      </c>
      <c r="X109" s="293">
        <v>0</v>
      </c>
      <c r="Y109" s="297">
        <v>0</v>
      </c>
      <c r="Z109" s="298" t="s">
        <v>261</v>
      </c>
      <c r="AA109" s="294" t="s">
        <v>87</v>
      </c>
      <c r="AB109" s="294" t="s">
        <v>183</v>
      </c>
      <c r="AC109" s="294" t="s">
        <v>139</v>
      </c>
      <c r="AD109" s="299">
        <v>0.11</v>
      </c>
      <c r="AE109" s="290">
        <v>1407</v>
      </c>
      <c r="AF109" s="295">
        <v>14200</v>
      </c>
      <c r="AG109" s="284">
        <v>1407</v>
      </c>
      <c r="AH109" s="300">
        <v>0.10998202141796298</v>
      </c>
      <c r="AI109" s="286">
        <v>14</v>
      </c>
      <c r="AJ109" s="286">
        <v>450</v>
      </c>
      <c r="AK109" s="286"/>
      <c r="AL109" s="286">
        <v>688</v>
      </c>
      <c r="AM109" s="286">
        <v>204888</v>
      </c>
      <c r="AN109" s="273">
        <v>3</v>
      </c>
      <c r="AO109" s="286"/>
      <c r="AP109" s="287" t="s">
        <v>184</v>
      </c>
      <c r="AQ109" s="287" t="s">
        <v>173</v>
      </c>
      <c r="AR109" s="271" t="s">
        <v>163</v>
      </c>
      <c r="AS109" s="271" t="s">
        <v>164</v>
      </c>
      <c r="AT109" s="271" t="s">
        <v>59</v>
      </c>
      <c r="AU109" s="287" t="s">
        <v>98</v>
      </c>
      <c r="AV109" s="287"/>
      <c r="AW109" s="289" t="s">
        <v>2297</v>
      </c>
    </row>
    <row r="110" spans="1:49" ht="20" customHeight="1">
      <c r="A110" s="360"/>
      <c r="B110" s="5" t="s">
        <v>318</v>
      </c>
      <c r="C110" s="271">
        <v>15022143</v>
      </c>
      <c r="D110" s="271" t="s">
        <v>51</v>
      </c>
      <c r="E110" s="271" t="s">
        <v>52</v>
      </c>
      <c r="F110" s="271" t="s">
        <v>62</v>
      </c>
      <c r="G110" s="271" t="s">
        <v>160</v>
      </c>
      <c r="H110" s="271" t="s">
        <v>161</v>
      </c>
      <c r="I110" s="272">
        <v>44615</v>
      </c>
      <c r="J110" s="271" t="s">
        <v>82</v>
      </c>
      <c r="K110" s="271" t="s">
        <v>187</v>
      </c>
      <c r="L110" s="271" t="s">
        <v>84</v>
      </c>
      <c r="M110" s="273">
        <v>2</v>
      </c>
      <c r="N110" s="273">
        <v>3</v>
      </c>
      <c r="O110" s="290">
        <v>9205</v>
      </c>
      <c r="P110" s="296">
        <v>2.5000000000000001E-2</v>
      </c>
      <c r="Q110" s="291">
        <v>230</v>
      </c>
      <c r="R110" s="296">
        <v>0</v>
      </c>
      <c r="S110" s="291">
        <v>0</v>
      </c>
      <c r="T110" s="296">
        <v>2.4986420423682782E-2</v>
      </c>
      <c r="U110" s="291">
        <v>230</v>
      </c>
      <c r="V110" s="291">
        <v>9435</v>
      </c>
      <c r="W110" s="292">
        <v>9205</v>
      </c>
      <c r="X110" s="293">
        <v>0</v>
      </c>
      <c r="Y110" s="297">
        <v>0</v>
      </c>
      <c r="Z110" s="298" t="s">
        <v>232</v>
      </c>
      <c r="AA110" s="294"/>
      <c r="AB110" s="294"/>
      <c r="AC110" s="294"/>
      <c r="AD110" s="299"/>
      <c r="AE110" s="290">
        <v>0</v>
      </c>
      <c r="AF110" s="295">
        <v>9205</v>
      </c>
      <c r="AG110" s="284">
        <v>0</v>
      </c>
      <c r="AH110" s="300">
        <v>0</v>
      </c>
      <c r="AI110" s="286">
        <v>14</v>
      </c>
      <c r="AJ110" s="286">
        <v>450</v>
      </c>
      <c r="AK110" s="286"/>
      <c r="AL110" s="286">
        <v>688</v>
      </c>
      <c r="AM110" s="286">
        <v>134958</v>
      </c>
      <c r="AN110" s="273">
        <v>3</v>
      </c>
      <c r="AO110" s="286"/>
      <c r="AP110" s="287" t="s">
        <v>188</v>
      </c>
      <c r="AQ110" s="287" t="s">
        <v>149</v>
      </c>
      <c r="AR110" s="271" t="s">
        <v>163</v>
      </c>
      <c r="AS110" s="271" t="s">
        <v>164</v>
      </c>
      <c r="AT110" s="271" t="s">
        <v>59</v>
      </c>
      <c r="AU110" s="287" t="s">
        <v>98</v>
      </c>
      <c r="AV110" s="287"/>
      <c r="AW110" s="288" t="s">
        <v>2297</v>
      </c>
    </row>
    <row r="111" spans="1:49" ht="20" customHeight="1">
      <c r="A111" s="360"/>
      <c r="B111" s="5" t="s">
        <v>318</v>
      </c>
      <c r="C111" s="271">
        <v>15002964</v>
      </c>
      <c r="D111" s="271" t="s">
        <v>51</v>
      </c>
      <c r="E111" s="271" t="s">
        <v>52</v>
      </c>
      <c r="F111" s="271" t="s">
        <v>319</v>
      </c>
      <c r="G111" s="271" t="s">
        <v>277</v>
      </c>
      <c r="H111" s="271" t="s">
        <v>278</v>
      </c>
      <c r="I111" s="272">
        <v>40094</v>
      </c>
      <c r="J111" s="271" t="s">
        <v>71</v>
      </c>
      <c r="K111" s="271" t="s">
        <v>71</v>
      </c>
      <c r="L111" s="271" t="s">
        <v>61</v>
      </c>
      <c r="M111" s="273">
        <v>2</v>
      </c>
      <c r="N111" s="273">
        <v>3</v>
      </c>
      <c r="O111" s="301">
        <v>13620</v>
      </c>
      <c r="P111" s="296">
        <v>2.5000000000000001E-2</v>
      </c>
      <c r="Q111" s="302">
        <v>341</v>
      </c>
      <c r="R111" s="296">
        <v>0</v>
      </c>
      <c r="S111" s="302">
        <v>0</v>
      </c>
      <c r="T111" s="296">
        <v>2.5036710719530102E-2</v>
      </c>
      <c r="U111" s="302">
        <v>341</v>
      </c>
      <c r="V111" s="302">
        <v>13961</v>
      </c>
      <c r="W111" s="303">
        <v>13620</v>
      </c>
      <c r="X111" s="304">
        <v>0</v>
      </c>
      <c r="Y111" s="297">
        <v>0</v>
      </c>
      <c r="Z111" s="298" t="s">
        <v>232</v>
      </c>
      <c r="AA111" s="305"/>
      <c r="AB111" s="305"/>
      <c r="AC111" s="305"/>
      <c r="AD111" s="299"/>
      <c r="AE111" s="301">
        <v>0</v>
      </c>
      <c r="AF111" s="306">
        <v>13620</v>
      </c>
      <c r="AG111" s="284">
        <v>0</v>
      </c>
      <c r="AH111" s="300">
        <v>0</v>
      </c>
      <c r="AI111" s="286">
        <v>14</v>
      </c>
      <c r="AJ111" s="286">
        <v>450</v>
      </c>
      <c r="AK111" s="286"/>
      <c r="AL111" s="286">
        <v>688</v>
      </c>
      <c r="AM111" s="286">
        <v>196768</v>
      </c>
      <c r="AN111" s="273">
        <v>3</v>
      </c>
      <c r="AO111" s="286"/>
      <c r="AP111" s="287" t="s">
        <v>281</v>
      </c>
      <c r="AQ111" s="287" t="s">
        <v>281</v>
      </c>
      <c r="AR111" s="271" t="s">
        <v>276</v>
      </c>
      <c r="AS111" s="271" t="s">
        <v>246</v>
      </c>
      <c r="AT111" s="271" t="s">
        <v>59</v>
      </c>
      <c r="AU111" s="200"/>
      <c r="AV111" s="200"/>
      <c r="AW111" s="307" t="s">
        <v>2297</v>
      </c>
    </row>
    <row r="112" spans="1:49" ht="20" customHeight="1">
      <c r="A112" s="360"/>
      <c r="B112" s="5" t="s">
        <v>318</v>
      </c>
      <c r="C112" s="5">
        <v>1213149</v>
      </c>
      <c r="D112" s="5" t="s">
        <v>51</v>
      </c>
      <c r="E112" s="5" t="s">
        <v>52</v>
      </c>
      <c r="F112" s="5" t="s">
        <v>1604</v>
      </c>
      <c r="G112" s="5" t="s">
        <v>1501</v>
      </c>
      <c r="H112" s="5" t="s">
        <v>1450</v>
      </c>
      <c r="I112" s="6">
        <v>40725</v>
      </c>
      <c r="J112" s="5" t="s">
        <v>82</v>
      </c>
      <c r="K112" s="5" t="s">
        <v>1502</v>
      </c>
      <c r="L112" s="5" t="s">
        <v>84</v>
      </c>
      <c r="M112" s="7">
        <v>2</v>
      </c>
      <c r="N112" s="7">
        <v>4</v>
      </c>
      <c r="O112" s="308">
        <v>10342</v>
      </c>
      <c r="P112" s="309">
        <v>0.03</v>
      </c>
      <c r="Q112" s="310">
        <v>310</v>
      </c>
      <c r="R112" s="309">
        <v>0</v>
      </c>
      <c r="S112" s="310">
        <v>0</v>
      </c>
      <c r="T112" s="309">
        <v>2.9974859795010637E-2</v>
      </c>
      <c r="U112" s="310">
        <v>310</v>
      </c>
      <c r="V112" s="310">
        <v>10652</v>
      </c>
      <c r="W112" s="311">
        <v>10342</v>
      </c>
      <c r="X112" s="312">
        <v>0</v>
      </c>
      <c r="Y112" s="313">
        <v>0</v>
      </c>
      <c r="Z112" s="314" t="s">
        <v>233</v>
      </c>
      <c r="AA112" s="315" t="s">
        <v>87</v>
      </c>
      <c r="AB112" s="315" t="s">
        <v>1465</v>
      </c>
      <c r="AC112" s="315" t="s">
        <v>139</v>
      </c>
      <c r="AD112" s="316">
        <v>0.16800000000000001</v>
      </c>
      <c r="AE112" s="308">
        <v>1737</v>
      </c>
      <c r="AF112" s="317">
        <v>12079</v>
      </c>
      <c r="AG112" s="18">
        <v>1737</v>
      </c>
      <c r="AH112" s="318">
        <v>0.1679559079481725</v>
      </c>
      <c r="AI112" s="20">
        <v>14</v>
      </c>
      <c r="AJ112" s="20">
        <v>450</v>
      </c>
      <c r="AK112" s="20"/>
      <c r="AL112" s="20">
        <v>688</v>
      </c>
      <c r="AM112" s="20">
        <v>175194</v>
      </c>
      <c r="AN112" s="7">
        <v>3</v>
      </c>
      <c r="AO112" s="20"/>
      <c r="AP112" s="21" t="s">
        <v>1503</v>
      </c>
      <c r="AQ112" s="21" t="s">
        <v>173</v>
      </c>
      <c r="AR112" s="5" t="s">
        <v>1504</v>
      </c>
      <c r="AS112" s="5" t="s">
        <v>164</v>
      </c>
      <c r="AT112" s="5" t="s">
        <v>59</v>
      </c>
      <c r="AU112" s="21"/>
      <c r="AV112" s="21"/>
      <c r="AW112" s="307" t="s">
        <v>2297</v>
      </c>
    </row>
    <row r="113" spans="1:49" ht="20" customHeight="1">
      <c r="A113" s="360"/>
      <c r="B113" s="5" t="s">
        <v>318</v>
      </c>
      <c r="C113" s="5">
        <v>1212025</v>
      </c>
      <c r="D113" s="5" t="s">
        <v>51</v>
      </c>
      <c r="E113" s="5" t="s">
        <v>52</v>
      </c>
      <c r="F113" s="5" t="s">
        <v>1604</v>
      </c>
      <c r="G113" s="5" t="s">
        <v>1509</v>
      </c>
      <c r="H113" s="5" t="s">
        <v>1450</v>
      </c>
      <c r="I113" s="6">
        <v>39953</v>
      </c>
      <c r="J113" s="5" t="s">
        <v>140</v>
      </c>
      <c r="K113" s="5" t="s">
        <v>140</v>
      </c>
      <c r="L113" s="5" t="s">
        <v>61</v>
      </c>
      <c r="M113" s="7">
        <v>2</v>
      </c>
      <c r="N113" s="7">
        <v>3</v>
      </c>
      <c r="O113" s="308">
        <v>15530</v>
      </c>
      <c r="P113" s="309">
        <v>0.03</v>
      </c>
      <c r="Q113" s="310">
        <v>466</v>
      </c>
      <c r="R113" s="309">
        <v>0</v>
      </c>
      <c r="S113" s="310">
        <v>0</v>
      </c>
      <c r="T113" s="309">
        <v>3.0006439150032194E-2</v>
      </c>
      <c r="U113" s="310">
        <v>466</v>
      </c>
      <c r="V113" s="310">
        <v>15996</v>
      </c>
      <c r="W113" s="311">
        <v>15530</v>
      </c>
      <c r="X113" s="312">
        <v>0</v>
      </c>
      <c r="Y113" s="313">
        <v>0</v>
      </c>
      <c r="Z113" s="314" t="s">
        <v>233</v>
      </c>
      <c r="AA113" s="315"/>
      <c r="AB113" s="315"/>
      <c r="AC113" s="315"/>
      <c r="AD113" s="316"/>
      <c r="AE113" s="308">
        <v>0</v>
      </c>
      <c r="AF113" s="317">
        <v>15530</v>
      </c>
      <c r="AG113" s="18">
        <v>0</v>
      </c>
      <c r="AH113" s="318">
        <v>0</v>
      </c>
      <c r="AI113" s="20">
        <v>14</v>
      </c>
      <c r="AJ113" s="20">
        <v>850</v>
      </c>
      <c r="AK113" s="20"/>
      <c r="AL113" s="20">
        <v>688</v>
      </c>
      <c r="AM113" s="20">
        <v>228308</v>
      </c>
      <c r="AN113" s="7">
        <v>3</v>
      </c>
      <c r="AO113" s="20"/>
      <c r="AP113" s="21" t="s">
        <v>1512</v>
      </c>
      <c r="AQ113" s="21" t="s">
        <v>128</v>
      </c>
      <c r="AR113" s="5" t="s">
        <v>1504</v>
      </c>
      <c r="AS113" s="5" t="s">
        <v>164</v>
      </c>
      <c r="AT113" s="5" t="s">
        <v>59</v>
      </c>
      <c r="AU113" s="21"/>
      <c r="AV113" s="21"/>
      <c r="AW113" s="144" t="s">
        <v>2297</v>
      </c>
    </row>
    <row r="114" spans="1:49" ht="20" customHeight="1">
      <c r="A114" s="360"/>
      <c r="B114" s="5" t="s">
        <v>318</v>
      </c>
      <c r="C114" s="5">
        <v>1213114</v>
      </c>
      <c r="D114" s="5" t="s">
        <v>51</v>
      </c>
      <c r="E114" s="5" t="s">
        <v>52</v>
      </c>
      <c r="F114" s="5" t="s">
        <v>1604</v>
      </c>
      <c r="G114" s="5" t="s">
        <v>1509</v>
      </c>
      <c r="H114" s="5" t="s">
        <v>1450</v>
      </c>
      <c r="I114" s="6">
        <v>38841</v>
      </c>
      <c r="J114" s="5" t="s">
        <v>74</v>
      </c>
      <c r="K114" s="5" t="s">
        <v>74</v>
      </c>
      <c r="L114" s="5" t="s">
        <v>76</v>
      </c>
      <c r="M114" s="7">
        <v>2</v>
      </c>
      <c r="N114" s="7">
        <v>3</v>
      </c>
      <c r="O114" s="308">
        <v>14147</v>
      </c>
      <c r="P114" s="309">
        <v>2.5000000000000001E-2</v>
      </c>
      <c r="Q114" s="310">
        <v>354</v>
      </c>
      <c r="R114" s="309">
        <v>0</v>
      </c>
      <c r="S114" s="310">
        <v>0</v>
      </c>
      <c r="T114" s="309">
        <v>2.5022973068495089E-2</v>
      </c>
      <c r="U114" s="310">
        <v>354</v>
      </c>
      <c r="V114" s="310">
        <v>14501</v>
      </c>
      <c r="W114" s="311">
        <v>14147</v>
      </c>
      <c r="X114" s="312">
        <v>0</v>
      </c>
      <c r="Y114" s="313">
        <v>0</v>
      </c>
      <c r="Z114" s="314" t="s">
        <v>232</v>
      </c>
      <c r="AA114" s="315"/>
      <c r="AB114" s="315"/>
      <c r="AC114" s="315"/>
      <c r="AD114" s="316"/>
      <c r="AE114" s="308">
        <v>0</v>
      </c>
      <c r="AF114" s="317">
        <v>14147</v>
      </c>
      <c r="AG114" s="18">
        <v>0</v>
      </c>
      <c r="AH114" s="318">
        <v>0</v>
      </c>
      <c r="AI114" s="20">
        <v>14</v>
      </c>
      <c r="AJ114" s="20">
        <v>500</v>
      </c>
      <c r="AK114" s="20"/>
      <c r="AL114" s="20">
        <v>688</v>
      </c>
      <c r="AM114" s="20">
        <v>204746</v>
      </c>
      <c r="AN114" s="7">
        <v>3</v>
      </c>
      <c r="AO114" s="20"/>
      <c r="AP114" s="21" t="s">
        <v>1512</v>
      </c>
      <c r="AQ114" s="21" t="s">
        <v>128</v>
      </c>
      <c r="AR114" s="5" t="s">
        <v>1504</v>
      </c>
      <c r="AS114" s="5" t="s">
        <v>164</v>
      </c>
      <c r="AT114" s="5" t="s">
        <v>59</v>
      </c>
      <c r="AU114" s="21"/>
      <c r="AV114" s="21"/>
      <c r="AW114" s="307" t="s">
        <v>2297</v>
      </c>
    </row>
    <row r="115" spans="1:49" ht="20" customHeight="1">
      <c r="A115" s="360"/>
      <c r="B115" s="5" t="s">
        <v>318</v>
      </c>
      <c r="C115" s="5">
        <v>1213127</v>
      </c>
      <c r="D115" s="5" t="s">
        <v>51</v>
      </c>
      <c r="E115" s="5" t="s">
        <v>52</v>
      </c>
      <c r="F115" s="5" t="s">
        <v>1604</v>
      </c>
      <c r="G115" s="5" t="s">
        <v>1509</v>
      </c>
      <c r="H115" s="5" t="s">
        <v>1450</v>
      </c>
      <c r="I115" s="6">
        <v>39209</v>
      </c>
      <c r="J115" s="5" t="s">
        <v>82</v>
      </c>
      <c r="K115" s="5" t="s">
        <v>1508</v>
      </c>
      <c r="L115" s="5" t="s">
        <v>84</v>
      </c>
      <c r="M115" s="7">
        <v>2</v>
      </c>
      <c r="N115" s="7">
        <v>3</v>
      </c>
      <c r="O115" s="308">
        <v>11426</v>
      </c>
      <c r="P115" s="309">
        <v>2.5000000000000001E-2</v>
      </c>
      <c r="Q115" s="310">
        <v>286</v>
      </c>
      <c r="R115" s="309">
        <v>0</v>
      </c>
      <c r="S115" s="310">
        <v>0</v>
      </c>
      <c r="T115" s="309">
        <v>2.5030631892175741E-2</v>
      </c>
      <c r="U115" s="310">
        <v>286</v>
      </c>
      <c r="V115" s="310">
        <v>11712</v>
      </c>
      <c r="W115" s="311">
        <v>11426</v>
      </c>
      <c r="X115" s="312">
        <v>0</v>
      </c>
      <c r="Y115" s="313">
        <v>0</v>
      </c>
      <c r="Z115" s="314" t="s">
        <v>232</v>
      </c>
      <c r="AA115" s="315"/>
      <c r="AB115" s="315"/>
      <c r="AC115" s="315"/>
      <c r="AD115" s="316"/>
      <c r="AE115" s="308">
        <v>0</v>
      </c>
      <c r="AF115" s="317">
        <v>11426</v>
      </c>
      <c r="AG115" s="18">
        <v>0</v>
      </c>
      <c r="AH115" s="318">
        <v>0</v>
      </c>
      <c r="AI115" s="20">
        <v>14</v>
      </c>
      <c r="AJ115" s="20">
        <v>450</v>
      </c>
      <c r="AK115" s="20"/>
      <c r="AL115" s="20">
        <v>688</v>
      </c>
      <c r="AM115" s="20">
        <v>166052</v>
      </c>
      <c r="AN115" s="7">
        <v>5</v>
      </c>
      <c r="AO115" s="20"/>
      <c r="AP115" s="21" t="s">
        <v>1512</v>
      </c>
      <c r="AQ115" s="21" t="s">
        <v>128</v>
      </c>
      <c r="AR115" s="5" t="s">
        <v>1504</v>
      </c>
      <c r="AS115" s="5" t="s">
        <v>164</v>
      </c>
      <c r="AT115" s="5" t="s">
        <v>59</v>
      </c>
      <c r="AU115" s="21"/>
      <c r="AV115" s="21"/>
      <c r="AW115" s="144" t="s">
        <v>2297</v>
      </c>
    </row>
    <row r="116" spans="1:49" ht="20" customHeight="1">
      <c r="A116" s="360"/>
      <c r="B116" s="5" t="s">
        <v>318</v>
      </c>
      <c r="C116" s="5">
        <v>1213120</v>
      </c>
      <c r="D116" s="5" t="s">
        <v>51</v>
      </c>
      <c r="E116" s="5" t="s">
        <v>52</v>
      </c>
      <c r="F116" s="5" t="s">
        <v>1604</v>
      </c>
      <c r="G116" s="5" t="s">
        <v>1527</v>
      </c>
      <c r="H116" s="5" t="s">
        <v>1528</v>
      </c>
      <c r="I116" s="6">
        <v>39038</v>
      </c>
      <c r="J116" s="5" t="s">
        <v>71</v>
      </c>
      <c r="K116" s="5" t="s">
        <v>1531</v>
      </c>
      <c r="L116" s="5" t="s">
        <v>61</v>
      </c>
      <c r="M116" s="7">
        <v>2</v>
      </c>
      <c r="N116" s="7">
        <v>3</v>
      </c>
      <c r="O116" s="308">
        <v>16923</v>
      </c>
      <c r="P116" s="309">
        <v>2.5000000000000001E-2</v>
      </c>
      <c r="Q116" s="310">
        <v>423</v>
      </c>
      <c r="R116" s="309">
        <v>0</v>
      </c>
      <c r="S116" s="310">
        <v>0</v>
      </c>
      <c r="T116" s="309">
        <v>2.4995568161673462E-2</v>
      </c>
      <c r="U116" s="310">
        <v>423</v>
      </c>
      <c r="V116" s="310">
        <v>17346</v>
      </c>
      <c r="W116" s="311">
        <v>16923</v>
      </c>
      <c r="X116" s="312">
        <v>0</v>
      </c>
      <c r="Y116" s="313">
        <v>0</v>
      </c>
      <c r="Z116" s="314" t="s">
        <v>232</v>
      </c>
      <c r="AA116" s="315"/>
      <c r="AB116" s="315"/>
      <c r="AC116" s="315"/>
      <c r="AD116" s="316"/>
      <c r="AE116" s="308">
        <v>0</v>
      </c>
      <c r="AF116" s="317">
        <v>16923</v>
      </c>
      <c r="AG116" s="18">
        <v>0</v>
      </c>
      <c r="AH116" s="318">
        <v>0</v>
      </c>
      <c r="AI116" s="20">
        <v>14</v>
      </c>
      <c r="AJ116" s="20">
        <v>450</v>
      </c>
      <c r="AK116" s="20"/>
      <c r="AL116" s="20">
        <v>688</v>
      </c>
      <c r="AM116" s="20">
        <v>243010</v>
      </c>
      <c r="AN116" s="7">
        <v>3</v>
      </c>
      <c r="AO116" s="20"/>
      <c r="AP116" s="21" t="s">
        <v>1512</v>
      </c>
      <c r="AQ116" s="21" t="s">
        <v>128</v>
      </c>
      <c r="AR116" s="5" t="s">
        <v>1504</v>
      </c>
      <c r="AS116" s="5" t="s">
        <v>164</v>
      </c>
      <c r="AT116" s="5" t="s">
        <v>59</v>
      </c>
      <c r="AU116" s="21"/>
      <c r="AV116" s="21"/>
      <c r="AW116" s="307" t="s">
        <v>2297</v>
      </c>
    </row>
    <row r="117" spans="1:49" ht="20" customHeight="1">
      <c r="A117" s="360"/>
      <c r="B117" s="5" t="s">
        <v>318</v>
      </c>
      <c r="C117" s="5">
        <v>1220061</v>
      </c>
      <c r="D117" s="5" t="s">
        <v>51</v>
      </c>
      <c r="E117" s="5" t="s">
        <v>52</v>
      </c>
      <c r="F117" s="5" t="s">
        <v>1604</v>
      </c>
      <c r="G117" s="5" t="s">
        <v>1527</v>
      </c>
      <c r="H117" s="5" t="s">
        <v>1528</v>
      </c>
      <c r="I117" s="6">
        <v>40360</v>
      </c>
      <c r="J117" s="5" t="s">
        <v>1510</v>
      </c>
      <c r="K117" s="5" t="s">
        <v>1510</v>
      </c>
      <c r="L117" s="5" t="s">
        <v>84</v>
      </c>
      <c r="M117" s="7">
        <v>2</v>
      </c>
      <c r="N117" s="7">
        <v>3</v>
      </c>
      <c r="O117" s="308">
        <v>11097</v>
      </c>
      <c r="P117" s="309">
        <v>2.5000000000000001E-2</v>
      </c>
      <c r="Q117" s="310">
        <v>277</v>
      </c>
      <c r="R117" s="309">
        <v>0</v>
      </c>
      <c r="S117" s="310">
        <v>0</v>
      </c>
      <c r="T117" s="309">
        <v>2.4961701360728124E-2</v>
      </c>
      <c r="U117" s="310">
        <v>277</v>
      </c>
      <c r="V117" s="310">
        <v>11374</v>
      </c>
      <c r="W117" s="311">
        <v>11097</v>
      </c>
      <c r="X117" s="312">
        <v>0</v>
      </c>
      <c r="Y117" s="313">
        <v>0</v>
      </c>
      <c r="Z117" s="314" t="s">
        <v>232</v>
      </c>
      <c r="AA117" s="315"/>
      <c r="AB117" s="315"/>
      <c r="AC117" s="315"/>
      <c r="AD117" s="316"/>
      <c r="AE117" s="308">
        <v>0</v>
      </c>
      <c r="AF117" s="317">
        <v>11097</v>
      </c>
      <c r="AG117" s="18">
        <v>0</v>
      </c>
      <c r="AH117" s="318">
        <v>0</v>
      </c>
      <c r="AI117" s="20">
        <v>14</v>
      </c>
      <c r="AJ117" s="20">
        <v>450</v>
      </c>
      <c r="AK117" s="20"/>
      <c r="AL117" s="20">
        <v>688</v>
      </c>
      <c r="AM117" s="20">
        <v>161446</v>
      </c>
      <c r="AN117" s="7">
        <v>3</v>
      </c>
      <c r="AO117" s="20"/>
      <c r="AP117" s="21" t="s">
        <v>1512</v>
      </c>
      <c r="AQ117" s="21" t="s">
        <v>128</v>
      </c>
      <c r="AR117" s="5" t="s">
        <v>1504</v>
      </c>
      <c r="AS117" s="5" t="s">
        <v>164</v>
      </c>
      <c r="AT117" s="5" t="s">
        <v>59</v>
      </c>
      <c r="AU117" s="21"/>
      <c r="AV117" s="21"/>
      <c r="AW117" s="144" t="s">
        <v>2297</v>
      </c>
    </row>
    <row r="118" spans="1:49" ht="20" customHeight="1">
      <c r="A118" s="360"/>
      <c r="B118" s="5" t="s">
        <v>318</v>
      </c>
      <c r="C118" s="5">
        <v>15021373</v>
      </c>
      <c r="D118" s="5" t="s">
        <v>51</v>
      </c>
      <c r="E118" s="5" t="s">
        <v>52</v>
      </c>
      <c r="F118" s="5" t="s">
        <v>1604</v>
      </c>
      <c r="G118" s="5" t="s">
        <v>1540</v>
      </c>
      <c r="H118" s="5" t="s">
        <v>1453</v>
      </c>
      <c r="I118" s="6">
        <v>44349</v>
      </c>
      <c r="J118" s="5" t="s">
        <v>74</v>
      </c>
      <c r="K118" s="5" t="s">
        <v>1446</v>
      </c>
      <c r="L118" s="5" t="s">
        <v>76</v>
      </c>
      <c r="M118" s="7">
        <v>2</v>
      </c>
      <c r="N118" s="7">
        <v>5</v>
      </c>
      <c r="O118" s="308">
        <v>15564</v>
      </c>
      <c r="P118" s="319">
        <v>0.04</v>
      </c>
      <c r="Q118" s="310">
        <v>623</v>
      </c>
      <c r="R118" s="319">
        <v>0</v>
      </c>
      <c r="S118" s="310">
        <v>0</v>
      </c>
      <c r="T118" s="319">
        <v>4.002827036751478E-2</v>
      </c>
      <c r="U118" s="310">
        <v>623</v>
      </c>
      <c r="V118" s="310">
        <v>16187</v>
      </c>
      <c r="W118" s="311">
        <v>15564</v>
      </c>
      <c r="X118" s="312">
        <v>0</v>
      </c>
      <c r="Y118" s="320">
        <v>0</v>
      </c>
      <c r="Z118" s="321" t="s">
        <v>261</v>
      </c>
      <c r="AA118" s="315" t="s">
        <v>87</v>
      </c>
      <c r="AB118" s="315" t="s">
        <v>60</v>
      </c>
      <c r="AC118" s="315" t="s">
        <v>89</v>
      </c>
      <c r="AD118" s="322">
        <v>7.0000000000000007E-2</v>
      </c>
      <c r="AE118" s="308">
        <v>1089</v>
      </c>
      <c r="AF118" s="317">
        <v>16653</v>
      </c>
      <c r="AG118" s="18">
        <v>1089</v>
      </c>
      <c r="AH118" s="323">
        <v>6.9969159599074793E-2</v>
      </c>
      <c r="AI118" s="20">
        <v>14</v>
      </c>
      <c r="AJ118" s="20">
        <v>450</v>
      </c>
      <c r="AK118" s="20"/>
      <c r="AL118" s="20">
        <v>688</v>
      </c>
      <c r="AM118" s="20">
        <v>239230</v>
      </c>
      <c r="AN118" s="7">
        <v>3</v>
      </c>
      <c r="AO118" s="20"/>
      <c r="AP118" s="21" t="s">
        <v>1541</v>
      </c>
      <c r="AQ118" s="21" t="s">
        <v>173</v>
      </c>
      <c r="AR118" s="5" t="s">
        <v>1538</v>
      </c>
      <c r="AS118" s="5" t="s">
        <v>164</v>
      </c>
      <c r="AT118" s="5" t="s">
        <v>59</v>
      </c>
      <c r="AU118" s="21"/>
      <c r="AV118" s="21"/>
      <c r="AW118" s="307" t="s">
        <v>2297</v>
      </c>
    </row>
    <row r="119" spans="1:49" ht="20" customHeight="1">
      <c r="A119" s="360"/>
      <c r="B119" s="5" t="s">
        <v>318</v>
      </c>
      <c r="C119" s="5">
        <v>15021707</v>
      </c>
      <c r="D119" s="5" t="s">
        <v>51</v>
      </c>
      <c r="E119" s="5" t="s">
        <v>52</v>
      </c>
      <c r="F119" s="5" t="s">
        <v>1604</v>
      </c>
      <c r="G119" s="5" t="s">
        <v>1542</v>
      </c>
      <c r="H119" s="5" t="s">
        <v>1453</v>
      </c>
      <c r="I119" s="6">
        <v>44440</v>
      </c>
      <c r="J119" s="5" t="s">
        <v>82</v>
      </c>
      <c r="K119" s="5" t="s">
        <v>1510</v>
      </c>
      <c r="L119" s="5" t="s">
        <v>84</v>
      </c>
      <c r="M119" s="7">
        <v>2</v>
      </c>
      <c r="N119" s="7">
        <v>4</v>
      </c>
      <c r="O119" s="308">
        <v>13000</v>
      </c>
      <c r="P119" s="319">
        <v>0.03</v>
      </c>
      <c r="Q119" s="310">
        <v>390</v>
      </c>
      <c r="R119" s="319">
        <v>0</v>
      </c>
      <c r="S119" s="310">
        <v>0</v>
      </c>
      <c r="T119" s="319">
        <v>0.03</v>
      </c>
      <c r="U119" s="310">
        <v>390</v>
      </c>
      <c r="V119" s="310">
        <v>13390</v>
      </c>
      <c r="W119" s="311">
        <v>13000</v>
      </c>
      <c r="X119" s="312">
        <v>0</v>
      </c>
      <c r="Y119" s="320">
        <v>0</v>
      </c>
      <c r="Z119" s="321" t="s">
        <v>233</v>
      </c>
      <c r="AA119" s="315" t="s">
        <v>87</v>
      </c>
      <c r="AB119" s="315" t="s">
        <v>1446</v>
      </c>
      <c r="AC119" s="315" t="s">
        <v>139</v>
      </c>
      <c r="AD119" s="322">
        <v>7.6999999999999999E-2</v>
      </c>
      <c r="AE119" s="308">
        <v>1001</v>
      </c>
      <c r="AF119" s="317">
        <v>14001</v>
      </c>
      <c r="AG119" s="18">
        <v>1001</v>
      </c>
      <c r="AH119" s="323">
        <v>7.6999999999999957E-2</v>
      </c>
      <c r="AI119" s="20">
        <v>14</v>
      </c>
      <c r="AJ119" s="20">
        <v>450</v>
      </c>
      <c r="AK119" s="20"/>
      <c r="AL119" s="20">
        <v>688</v>
      </c>
      <c r="AM119" s="20">
        <v>202102</v>
      </c>
      <c r="AN119" s="7">
        <v>3</v>
      </c>
      <c r="AO119" s="20"/>
      <c r="AP119" s="21" t="s">
        <v>1543</v>
      </c>
      <c r="AQ119" s="21" t="s">
        <v>173</v>
      </c>
      <c r="AR119" s="5" t="s">
        <v>1538</v>
      </c>
      <c r="AS119" s="5" t="s">
        <v>164</v>
      </c>
      <c r="AT119" s="5" t="s">
        <v>59</v>
      </c>
      <c r="AU119" s="21"/>
      <c r="AV119" s="21"/>
      <c r="AW119" s="144" t="s">
        <v>2297</v>
      </c>
    </row>
    <row r="120" spans="1:49" ht="20" customHeight="1">
      <c r="A120" s="360"/>
      <c r="B120" s="5" t="s">
        <v>318</v>
      </c>
      <c r="C120" s="271">
        <v>11008077</v>
      </c>
      <c r="D120" s="271" t="s">
        <v>51</v>
      </c>
      <c r="E120" s="271" t="s">
        <v>52</v>
      </c>
      <c r="F120" s="271" t="s">
        <v>1753</v>
      </c>
      <c r="G120" s="271" t="s">
        <v>1742</v>
      </c>
      <c r="H120" s="271" t="s">
        <v>1743</v>
      </c>
      <c r="I120" s="272">
        <v>38473</v>
      </c>
      <c r="J120" s="271" t="s">
        <v>292</v>
      </c>
      <c r="K120" s="271" t="s">
        <v>1744</v>
      </c>
      <c r="L120" s="271" t="s">
        <v>294</v>
      </c>
      <c r="M120" s="273">
        <v>1</v>
      </c>
      <c r="N120" s="273">
        <v>3</v>
      </c>
      <c r="O120" s="290">
        <v>58500</v>
      </c>
      <c r="P120" s="275">
        <v>2.8849251159320615E-2</v>
      </c>
      <c r="Q120" s="291">
        <v>1688</v>
      </c>
      <c r="R120" s="275">
        <v>0</v>
      </c>
      <c r="S120" s="291">
        <v>0</v>
      </c>
      <c r="T120" s="275">
        <v>2.8854700854700856E-2</v>
      </c>
      <c r="U120" s="291">
        <v>1688</v>
      </c>
      <c r="V120" s="291">
        <v>60188</v>
      </c>
      <c r="W120" s="292">
        <v>58500</v>
      </c>
      <c r="X120" s="293">
        <v>0</v>
      </c>
      <c r="Y120" s="279">
        <v>0</v>
      </c>
      <c r="Z120" s="280" t="s">
        <v>2315</v>
      </c>
      <c r="AA120" s="294"/>
      <c r="AB120" s="294"/>
      <c r="AC120" s="294"/>
      <c r="AD120" s="282"/>
      <c r="AE120" s="290">
        <v>0</v>
      </c>
      <c r="AF120" s="295">
        <v>58500</v>
      </c>
      <c r="AG120" s="284">
        <v>0</v>
      </c>
      <c r="AH120" s="285">
        <v>0</v>
      </c>
      <c r="AI120" s="286">
        <v>16</v>
      </c>
      <c r="AJ120" s="286">
        <v>3450</v>
      </c>
      <c r="AK120" s="286">
        <v>5000</v>
      </c>
      <c r="AL120" s="286">
        <v>0</v>
      </c>
      <c r="AM120" s="286">
        <v>1037400</v>
      </c>
      <c r="AN120" s="273">
        <v>3</v>
      </c>
      <c r="AO120" s="286"/>
      <c r="AP120" s="287"/>
      <c r="AQ120" s="287" t="s">
        <v>97</v>
      </c>
      <c r="AR120" s="271" t="s">
        <v>1741</v>
      </c>
      <c r="AS120" s="271" t="s">
        <v>124</v>
      </c>
      <c r="AT120" s="200"/>
      <c r="AU120" s="200"/>
      <c r="AV120" s="200"/>
      <c r="AW120" s="307" t="s">
        <v>2297</v>
      </c>
    </row>
    <row r="121" spans="1:49" ht="20" customHeight="1">
      <c r="A121" s="360"/>
      <c r="B121" s="5" t="s">
        <v>318</v>
      </c>
      <c r="C121" s="271">
        <v>11010005</v>
      </c>
      <c r="D121" s="271" t="s">
        <v>51</v>
      </c>
      <c r="E121" s="271" t="s">
        <v>52</v>
      </c>
      <c r="F121" s="271" t="s">
        <v>1753</v>
      </c>
      <c r="G121" s="271" t="s">
        <v>1838</v>
      </c>
      <c r="H121" s="271" t="s">
        <v>1743</v>
      </c>
      <c r="I121" s="272">
        <v>41526</v>
      </c>
      <c r="J121" s="271" t="s">
        <v>226</v>
      </c>
      <c r="K121" s="271" t="s">
        <v>226</v>
      </c>
      <c r="L121" s="271" t="s">
        <v>84</v>
      </c>
      <c r="M121" s="273">
        <v>2</v>
      </c>
      <c r="N121" s="273">
        <v>4</v>
      </c>
      <c r="O121" s="290">
        <v>9200</v>
      </c>
      <c r="P121" s="296">
        <v>0.03</v>
      </c>
      <c r="Q121" s="291">
        <v>276</v>
      </c>
      <c r="R121" s="296">
        <v>0</v>
      </c>
      <c r="S121" s="291">
        <v>0</v>
      </c>
      <c r="T121" s="296">
        <v>0.03</v>
      </c>
      <c r="U121" s="291">
        <v>276</v>
      </c>
      <c r="V121" s="291">
        <v>9476</v>
      </c>
      <c r="W121" s="292">
        <v>9200</v>
      </c>
      <c r="X121" s="293">
        <v>0</v>
      </c>
      <c r="Y121" s="297">
        <v>0</v>
      </c>
      <c r="Z121" s="298" t="s">
        <v>233</v>
      </c>
      <c r="AA121" s="294" t="s">
        <v>87</v>
      </c>
      <c r="AB121" s="294"/>
      <c r="AC121" s="294" t="s">
        <v>139</v>
      </c>
      <c r="AD121" s="299">
        <v>0.14080000000000001</v>
      </c>
      <c r="AE121" s="290">
        <v>1295</v>
      </c>
      <c r="AF121" s="295">
        <v>10495</v>
      </c>
      <c r="AG121" s="284">
        <v>1295</v>
      </c>
      <c r="AH121" s="300">
        <v>0.14076086956521738</v>
      </c>
      <c r="AI121" s="286">
        <v>14</v>
      </c>
      <c r="AJ121" s="286">
        <v>450</v>
      </c>
      <c r="AK121" s="286"/>
      <c r="AL121" s="286">
        <v>688</v>
      </c>
      <c r="AM121" s="286">
        <v>153018</v>
      </c>
      <c r="AN121" s="273">
        <v>3</v>
      </c>
      <c r="AO121" s="286"/>
      <c r="AP121" s="287"/>
      <c r="AQ121" s="21" t="s">
        <v>173</v>
      </c>
      <c r="AR121" s="271" t="s">
        <v>1761</v>
      </c>
      <c r="AS121" s="271" t="s">
        <v>124</v>
      </c>
      <c r="AT121" s="200"/>
      <c r="AU121" s="200"/>
      <c r="AV121" s="200"/>
      <c r="AW121" s="144" t="s">
        <v>2297</v>
      </c>
    </row>
    <row r="122" spans="1:49" ht="20" customHeight="1">
      <c r="A122" s="360"/>
      <c r="B122" s="5" t="s">
        <v>318</v>
      </c>
      <c r="C122" s="271">
        <v>11018246</v>
      </c>
      <c r="D122" s="271" t="s">
        <v>51</v>
      </c>
      <c r="E122" s="271" t="s">
        <v>52</v>
      </c>
      <c r="F122" s="271" t="s">
        <v>1753</v>
      </c>
      <c r="G122" s="271" t="s">
        <v>1742</v>
      </c>
      <c r="H122" s="271" t="s">
        <v>1743</v>
      </c>
      <c r="I122" s="272">
        <v>44298</v>
      </c>
      <c r="J122" s="271" t="s">
        <v>226</v>
      </c>
      <c r="K122" s="271" t="s">
        <v>226</v>
      </c>
      <c r="L122" s="271" t="s">
        <v>84</v>
      </c>
      <c r="M122" s="273">
        <v>2</v>
      </c>
      <c r="N122" s="273">
        <v>5</v>
      </c>
      <c r="O122" s="290">
        <v>11300</v>
      </c>
      <c r="P122" s="296">
        <v>0.03</v>
      </c>
      <c r="Q122" s="291">
        <v>339</v>
      </c>
      <c r="R122" s="296">
        <v>0</v>
      </c>
      <c r="S122" s="291">
        <v>0</v>
      </c>
      <c r="T122" s="296">
        <v>0.03</v>
      </c>
      <c r="U122" s="291">
        <v>339</v>
      </c>
      <c r="V122" s="291">
        <v>11639</v>
      </c>
      <c r="W122" s="292">
        <v>11300</v>
      </c>
      <c r="X122" s="293">
        <v>0</v>
      </c>
      <c r="Y122" s="297">
        <v>0</v>
      </c>
      <c r="Z122" s="298" t="s">
        <v>233</v>
      </c>
      <c r="AA122" s="294" t="s">
        <v>87</v>
      </c>
      <c r="AB122" s="294"/>
      <c r="AC122" s="294" t="s">
        <v>76</v>
      </c>
      <c r="AD122" s="299">
        <v>0.155</v>
      </c>
      <c r="AE122" s="290">
        <v>1752</v>
      </c>
      <c r="AF122" s="295">
        <v>13052</v>
      </c>
      <c r="AG122" s="284">
        <v>1752</v>
      </c>
      <c r="AH122" s="300">
        <v>0.15504424778761061</v>
      </c>
      <c r="AI122" s="286">
        <v>14</v>
      </c>
      <c r="AJ122" s="286">
        <v>550</v>
      </c>
      <c r="AK122" s="286"/>
      <c r="AL122" s="286">
        <v>688</v>
      </c>
      <c r="AM122" s="286">
        <v>190016</v>
      </c>
      <c r="AN122" s="273">
        <v>3</v>
      </c>
      <c r="AO122" s="286"/>
      <c r="AP122" s="287" t="s">
        <v>1847</v>
      </c>
      <c r="AQ122" s="21" t="s">
        <v>173</v>
      </c>
      <c r="AR122" s="271" t="s">
        <v>1761</v>
      </c>
      <c r="AS122" s="271" t="s">
        <v>124</v>
      </c>
      <c r="AT122" s="200"/>
      <c r="AU122" s="200"/>
      <c r="AV122" s="200"/>
      <c r="AW122" s="307" t="s">
        <v>2297</v>
      </c>
    </row>
    <row r="123" spans="1:49" ht="20" customHeight="1">
      <c r="A123" s="360"/>
      <c r="B123" s="5" t="s">
        <v>318</v>
      </c>
      <c r="C123" s="271">
        <v>11002805</v>
      </c>
      <c r="D123" s="271" t="s">
        <v>51</v>
      </c>
      <c r="E123" s="271" t="s">
        <v>52</v>
      </c>
      <c r="F123" s="271" t="s">
        <v>1753</v>
      </c>
      <c r="G123" s="271" t="s">
        <v>1860</v>
      </c>
      <c r="H123" s="271" t="s">
        <v>1861</v>
      </c>
      <c r="I123" s="272">
        <v>38504</v>
      </c>
      <c r="J123" s="271" t="s">
        <v>1866</v>
      </c>
      <c r="K123" s="271" t="s">
        <v>1866</v>
      </c>
      <c r="L123" s="271" t="s">
        <v>324</v>
      </c>
      <c r="M123" s="273">
        <v>2</v>
      </c>
      <c r="N123" s="273">
        <v>5</v>
      </c>
      <c r="O123" s="290">
        <v>8717</v>
      </c>
      <c r="P123" s="275">
        <v>0.03</v>
      </c>
      <c r="Q123" s="291">
        <v>262</v>
      </c>
      <c r="R123" s="275">
        <v>0</v>
      </c>
      <c r="S123" s="291">
        <v>0</v>
      </c>
      <c r="T123" s="275">
        <v>3.0056211999541126E-2</v>
      </c>
      <c r="U123" s="291">
        <v>262</v>
      </c>
      <c r="V123" s="291">
        <v>8979</v>
      </c>
      <c r="W123" s="292">
        <v>8717</v>
      </c>
      <c r="X123" s="293">
        <v>0</v>
      </c>
      <c r="Y123" s="279">
        <v>0</v>
      </c>
      <c r="Z123" s="280" t="s">
        <v>252</v>
      </c>
      <c r="AA123" s="294" t="s">
        <v>87</v>
      </c>
      <c r="AB123" s="294" t="s">
        <v>85</v>
      </c>
      <c r="AC123" s="294" t="s">
        <v>139</v>
      </c>
      <c r="AD123" s="282">
        <v>0.113</v>
      </c>
      <c r="AE123" s="290">
        <v>985</v>
      </c>
      <c r="AF123" s="295">
        <v>9702</v>
      </c>
      <c r="AG123" s="284">
        <v>985</v>
      </c>
      <c r="AH123" s="285">
        <v>0.11299759091430528</v>
      </c>
      <c r="AI123" s="286">
        <v>14</v>
      </c>
      <c r="AJ123" s="286">
        <v>1050</v>
      </c>
      <c r="AK123" s="286"/>
      <c r="AL123" s="286">
        <v>688</v>
      </c>
      <c r="AM123" s="286">
        <v>149116</v>
      </c>
      <c r="AN123" s="273">
        <v>4</v>
      </c>
      <c r="AO123" s="286"/>
      <c r="AP123" s="287"/>
      <c r="AQ123" s="21" t="s">
        <v>173</v>
      </c>
      <c r="AR123" s="271" t="s">
        <v>1854</v>
      </c>
      <c r="AS123" s="271" t="s">
        <v>124</v>
      </c>
      <c r="AT123" s="200"/>
      <c r="AU123" s="200"/>
      <c r="AV123" s="200"/>
      <c r="AW123" s="144" t="s">
        <v>2297</v>
      </c>
    </row>
    <row r="124" spans="1:49" ht="20" customHeight="1">
      <c r="A124" s="360"/>
      <c r="B124" s="5" t="s">
        <v>318</v>
      </c>
      <c r="C124" s="271">
        <v>11011160</v>
      </c>
      <c r="D124" s="271" t="s">
        <v>51</v>
      </c>
      <c r="E124" s="271" t="s">
        <v>52</v>
      </c>
      <c r="F124" s="271" t="s">
        <v>1753</v>
      </c>
      <c r="G124" s="271" t="s">
        <v>1875</v>
      </c>
      <c r="H124" s="271" t="s">
        <v>1876</v>
      </c>
      <c r="I124" s="272">
        <v>41827</v>
      </c>
      <c r="J124" s="271" t="s">
        <v>1865</v>
      </c>
      <c r="K124" s="271" t="s">
        <v>1865</v>
      </c>
      <c r="L124" s="271" t="s">
        <v>324</v>
      </c>
      <c r="M124" s="273">
        <v>2</v>
      </c>
      <c r="N124" s="273">
        <v>4</v>
      </c>
      <c r="O124" s="290">
        <v>8300</v>
      </c>
      <c r="P124" s="275">
        <v>2.2499999999999999E-2</v>
      </c>
      <c r="Q124" s="291">
        <v>187</v>
      </c>
      <c r="R124" s="275">
        <v>0</v>
      </c>
      <c r="S124" s="291">
        <v>0</v>
      </c>
      <c r="T124" s="275">
        <v>2.253012048192771E-2</v>
      </c>
      <c r="U124" s="291">
        <v>187</v>
      </c>
      <c r="V124" s="291">
        <v>8487</v>
      </c>
      <c r="W124" s="292">
        <v>8300</v>
      </c>
      <c r="X124" s="293">
        <v>0</v>
      </c>
      <c r="Y124" s="279">
        <v>0</v>
      </c>
      <c r="Z124" s="280" t="s">
        <v>2301</v>
      </c>
      <c r="AA124" s="294" t="s">
        <v>87</v>
      </c>
      <c r="AB124" s="294" t="s">
        <v>85</v>
      </c>
      <c r="AC124" s="294" t="s">
        <v>139</v>
      </c>
      <c r="AD124" s="282">
        <v>0.16</v>
      </c>
      <c r="AE124" s="290">
        <v>1328</v>
      </c>
      <c r="AF124" s="295">
        <v>9628</v>
      </c>
      <c r="AG124" s="284">
        <v>1328</v>
      </c>
      <c r="AH124" s="285">
        <v>0.15999999999999992</v>
      </c>
      <c r="AI124" s="286">
        <v>14</v>
      </c>
      <c r="AJ124" s="286">
        <v>1650</v>
      </c>
      <c r="AK124" s="286"/>
      <c r="AL124" s="286">
        <v>688</v>
      </c>
      <c r="AM124" s="286">
        <v>155280</v>
      </c>
      <c r="AN124" s="273">
        <v>3</v>
      </c>
      <c r="AO124" s="286"/>
      <c r="AP124" s="287"/>
      <c r="AQ124" s="21" t="s">
        <v>173</v>
      </c>
      <c r="AR124" s="271" t="s">
        <v>1854</v>
      </c>
      <c r="AS124" s="271" t="s">
        <v>124</v>
      </c>
      <c r="AT124" s="200"/>
      <c r="AU124" s="200"/>
      <c r="AV124" s="200"/>
      <c r="AW124" s="307" t="s">
        <v>2297</v>
      </c>
    </row>
    <row r="125" spans="1:49" ht="20" customHeight="1">
      <c r="A125" s="360"/>
      <c r="B125" s="5" t="s">
        <v>318</v>
      </c>
      <c r="C125" s="271">
        <v>11013956</v>
      </c>
      <c r="D125" s="271" t="s">
        <v>51</v>
      </c>
      <c r="E125" s="271" t="s">
        <v>52</v>
      </c>
      <c r="F125" s="271" t="s">
        <v>1753</v>
      </c>
      <c r="G125" s="271" t="s">
        <v>1868</v>
      </c>
      <c r="H125" s="271" t="s">
        <v>1869</v>
      </c>
      <c r="I125" s="272">
        <v>42562</v>
      </c>
      <c r="J125" s="271" t="s">
        <v>1865</v>
      </c>
      <c r="K125" s="271" t="s">
        <v>1865</v>
      </c>
      <c r="L125" s="271" t="s">
        <v>324</v>
      </c>
      <c r="M125" s="273">
        <v>2</v>
      </c>
      <c r="N125" s="273">
        <v>5</v>
      </c>
      <c r="O125" s="290">
        <v>9217</v>
      </c>
      <c r="P125" s="275">
        <v>1.9999999999999997E-2</v>
      </c>
      <c r="Q125" s="291">
        <v>184</v>
      </c>
      <c r="R125" s="275">
        <v>0</v>
      </c>
      <c r="S125" s="291">
        <v>0</v>
      </c>
      <c r="T125" s="275">
        <v>1.9963111641531951E-2</v>
      </c>
      <c r="U125" s="291">
        <v>184</v>
      </c>
      <c r="V125" s="291">
        <v>9401</v>
      </c>
      <c r="W125" s="292">
        <v>9217</v>
      </c>
      <c r="X125" s="293">
        <v>0</v>
      </c>
      <c r="Y125" s="279">
        <v>0</v>
      </c>
      <c r="Z125" s="280" t="s">
        <v>2302</v>
      </c>
      <c r="AA125" s="294" t="s">
        <v>87</v>
      </c>
      <c r="AB125" s="294" t="s">
        <v>85</v>
      </c>
      <c r="AC125" s="294" t="s">
        <v>139</v>
      </c>
      <c r="AD125" s="282">
        <v>0.1101</v>
      </c>
      <c r="AE125" s="290">
        <v>1015</v>
      </c>
      <c r="AF125" s="295">
        <v>10232</v>
      </c>
      <c r="AG125" s="284">
        <v>1015</v>
      </c>
      <c r="AH125" s="285">
        <v>0.11012259954432024</v>
      </c>
      <c r="AI125" s="286">
        <v>14</v>
      </c>
      <c r="AJ125" s="286">
        <v>2150</v>
      </c>
      <c r="AK125" s="286"/>
      <c r="AL125" s="286">
        <v>688</v>
      </c>
      <c r="AM125" s="286">
        <v>169736</v>
      </c>
      <c r="AN125" s="273">
        <v>5</v>
      </c>
      <c r="AO125" s="286"/>
      <c r="AP125" s="287"/>
      <c r="AQ125" s="21" t="s">
        <v>173</v>
      </c>
      <c r="AR125" s="271" t="s">
        <v>1854</v>
      </c>
      <c r="AS125" s="271" t="s">
        <v>124</v>
      </c>
      <c r="AT125" s="200"/>
      <c r="AU125" s="200"/>
      <c r="AV125" s="200"/>
      <c r="AW125" s="144" t="s">
        <v>2297</v>
      </c>
    </row>
    <row r="126" spans="1:49" ht="20" customHeight="1">
      <c r="A126" s="360"/>
      <c r="B126" s="5" t="s">
        <v>318</v>
      </c>
      <c r="C126" s="271">
        <v>11015490</v>
      </c>
      <c r="D126" s="271" t="s">
        <v>51</v>
      </c>
      <c r="E126" s="271" t="s">
        <v>52</v>
      </c>
      <c r="F126" s="271" t="s">
        <v>1753</v>
      </c>
      <c r="G126" s="271" t="s">
        <v>1872</v>
      </c>
      <c r="H126" s="271" t="s">
        <v>1873</v>
      </c>
      <c r="I126" s="272">
        <v>43017</v>
      </c>
      <c r="J126" s="271" t="s">
        <v>1871</v>
      </c>
      <c r="K126" s="271" t="s">
        <v>1871</v>
      </c>
      <c r="L126" s="271" t="s">
        <v>324</v>
      </c>
      <c r="M126" s="273">
        <v>2</v>
      </c>
      <c r="N126" s="273">
        <v>5</v>
      </c>
      <c r="O126" s="290">
        <v>9723</v>
      </c>
      <c r="P126" s="275">
        <v>0.04</v>
      </c>
      <c r="Q126" s="291">
        <v>389</v>
      </c>
      <c r="R126" s="275">
        <v>0</v>
      </c>
      <c r="S126" s="291">
        <v>0</v>
      </c>
      <c r="T126" s="275">
        <v>4.0008227913195513E-2</v>
      </c>
      <c r="U126" s="291">
        <v>389</v>
      </c>
      <c r="V126" s="291">
        <v>10112</v>
      </c>
      <c r="W126" s="292">
        <v>9723</v>
      </c>
      <c r="X126" s="293">
        <v>0</v>
      </c>
      <c r="Y126" s="279">
        <v>0</v>
      </c>
      <c r="Z126" s="280" t="s">
        <v>261</v>
      </c>
      <c r="AA126" s="294" t="s">
        <v>87</v>
      </c>
      <c r="AB126" s="294" t="s">
        <v>85</v>
      </c>
      <c r="AC126" s="294" t="s">
        <v>139</v>
      </c>
      <c r="AD126" s="282">
        <v>0.1</v>
      </c>
      <c r="AE126" s="290">
        <v>972</v>
      </c>
      <c r="AF126" s="295">
        <v>10695</v>
      </c>
      <c r="AG126" s="284">
        <v>972</v>
      </c>
      <c r="AH126" s="285">
        <v>9.9969145325516706E-2</v>
      </c>
      <c r="AI126" s="286">
        <v>14</v>
      </c>
      <c r="AJ126" s="286">
        <v>450</v>
      </c>
      <c r="AK126" s="286"/>
      <c r="AL126" s="286">
        <v>688</v>
      </c>
      <c r="AM126" s="286">
        <v>155818</v>
      </c>
      <c r="AN126" s="273">
        <v>3</v>
      </c>
      <c r="AO126" s="286"/>
      <c r="AP126" s="287"/>
      <c r="AQ126" s="21" t="s">
        <v>173</v>
      </c>
      <c r="AR126" s="271" t="s">
        <v>1854</v>
      </c>
      <c r="AS126" s="271" t="s">
        <v>124</v>
      </c>
      <c r="AT126" s="200"/>
      <c r="AU126" s="200"/>
      <c r="AV126" s="200"/>
      <c r="AW126" s="307" t="s">
        <v>2297</v>
      </c>
    </row>
    <row r="127" spans="1:49" ht="20" customHeight="1">
      <c r="A127" s="360"/>
      <c r="B127" s="5" t="s">
        <v>318</v>
      </c>
      <c r="C127" s="271">
        <v>11017418</v>
      </c>
      <c r="D127" s="271" t="s">
        <v>51</v>
      </c>
      <c r="E127" s="271" t="s">
        <v>52</v>
      </c>
      <c r="F127" s="271" t="s">
        <v>1753</v>
      </c>
      <c r="G127" s="271" t="s">
        <v>1885</v>
      </c>
      <c r="H127" s="271" t="s">
        <v>1886</v>
      </c>
      <c r="I127" s="272">
        <v>44053</v>
      </c>
      <c r="J127" s="271" t="s">
        <v>1865</v>
      </c>
      <c r="K127" s="271" t="s">
        <v>1865</v>
      </c>
      <c r="L127" s="271" t="s">
        <v>324</v>
      </c>
      <c r="M127" s="273">
        <v>2</v>
      </c>
      <c r="N127" s="273">
        <v>5</v>
      </c>
      <c r="O127" s="290">
        <v>8922</v>
      </c>
      <c r="P127" s="275">
        <v>0.03</v>
      </c>
      <c r="Q127" s="291">
        <v>268</v>
      </c>
      <c r="R127" s="275">
        <v>0</v>
      </c>
      <c r="S127" s="291">
        <v>0</v>
      </c>
      <c r="T127" s="275">
        <v>3.0038108047522976E-2</v>
      </c>
      <c r="U127" s="291">
        <v>268</v>
      </c>
      <c r="V127" s="291">
        <v>9190</v>
      </c>
      <c r="W127" s="292">
        <v>8922</v>
      </c>
      <c r="X127" s="293">
        <v>0</v>
      </c>
      <c r="Y127" s="279">
        <v>0</v>
      </c>
      <c r="Z127" s="280" t="s">
        <v>233</v>
      </c>
      <c r="AA127" s="294" t="s">
        <v>87</v>
      </c>
      <c r="AB127" s="294" t="s">
        <v>85</v>
      </c>
      <c r="AC127" s="294" t="s">
        <v>139</v>
      </c>
      <c r="AD127" s="282">
        <v>0.129</v>
      </c>
      <c r="AE127" s="290">
        <v>1151</v>
      </c>
      <c r="AF127" s="295">
        <v>10073</v>
      </c>
      <c r="AG127" s="284">
        <v>1151</v>
      </c>
      <c r="AH127" s="285">
        <v>0.12900694911454824</v>
      </c>
      <c r="AI127" s="286">
        <v>14</v>
      </c>
      <c r="AJ127" s="286">
        <v>2650</v>
      </c>
      <c r="AK127" s="286"/>
      <c r="AL127" s="286">
        <v>688</v>
      </c>
      <c r="AM127" s="286">
        <v>173510</v>
      </c>
      <c r="AN127" s="273">
        <v>4</v>
      </c>
      <c r="AO127" s="286"/>
      <c r="AP127" s="287"/>
      <c r="AQ127" s="21" t="s">
        <v>173</v>
      </c>
      <c r="AR127" s="271" t="s">
        <v>1854</v>
      </c>
      <c r="AS127" s="271" t="s">
        <v>124</v>
      </c>
      <c r="AT127" s="200"/>
      <c r="AU127" s="200"/>
      <c r="AV127" s="200"/>
      <c r="AW127" s="144" t="s">
        <v>2297</v>
      </c>
    </row>
    <row r="128" spans="1:49" ht="20" customHeight="1">
      <c r="A128" s="360"/>
      <c r="B128" s="5" t="s">
        <v>318</v>
      </c>
      <c r="C128" s="271">
        <v>11017501</v>
      </c>
      <c r="D128" s="271" t="s">
        <v>51</v>
      </c>
      <c r="E128" s="271" t="s">
        <v>52</v>
      </c>
      <c r="F128" s="271" t="s">
        <v>1753</v>
      </c>
      <c r="G128" s="271" t="s">
        <v>1899</v>
      </c>
      <c r="H128" s="271" t="s">
        <v>1880</v>
      </c>
      <c r="I128" s="272">
        <v>44075</v>
      </c>
      <c r="J128" s="271" t="s">
        <v>1862</v>
      </c>
      <c r="K128" s="271" t="s">
        <v>1862</v>
      </c>
      <c r="L128" s="271" t="s">
        <v>324</v>
      </c>
      <c r="M128" s="273">
        <v>2</v>
      </c>
      <c r="N128" s="273">
        <v>5</v>
      </c>
      <c r="O128" s="290">
        <v>9755</v>
      </c>
      <c r="P128" s="275">
        <v>0.04</v>
      </c>
      <c r="Q128" s="291">
        <v>390</v>
      </c>
      <c r="R128" s="275">
        <v>0</v>
      </c>
      <c r="S128" s="291">
        <v>0</v>
      </c>
      <c r="T128" s="275">
        <v>3.9979497693490518E-2</v>
      </c>
      <c r="U128" s="291">
        <v>390</v>
      </c>
      <c r="V128" s="291">
        <v>10145</v>
      </c>
      <c r="W128" s="292">
        <v>9755</v>
      </c>
      <c r="X128" s="293">
        <v>0</v>
      </c>
      <c r="Y128" s="279">
        <v>0</v>
      </c>
      <c r="Z128" s="280" t="s">
        <v>261</v>
      </c>
      <c r="AA128" s="294" t="s">
        <v>87</v>
      </c>
      <c r="AB128" s="294" t="s">
        <v>85</v>
      </c>
      <c r="AC128" s="294" t="s">
        <v>139</v>
      </c>
      <c r="AD128" s="282">
        <v>0.1</v>
      </c>
      <c r="AE128" s="290">
        <v>976</v>
      </c>
      <c r="AF128" s="295">
        <v>10731</v>
      </c>
      <c r="AG128" s="284">
        <v>976</v>
      </c>
      <c r="AH128" s="285">
        <v>0.10005125576627361</v>
      </c>
      <c r="AI128" s="286">
        <v>14</v>
      </c>
      <c r="AJ128" s="286">
        <v>450</v>
      </c>
      <c r="AK128" s="286"/>
      <c r="AL128" s="286">
        <v>688</v>
      </c>
      <c r="AM128" s="286">
        <v>156322</v>
      </c>
      <c r="AN128" s="273">
        <v>4</v>
      </c>
      <c r="AO128" s="286"/>
      <c r="AP128" s="287"/>
      <c r="AQ128" s="21" t="s">
        <v>173</v>
      </c>
      <c r="AR128" s="271" t="s">
        <v>1854</v>
      </c>
      <c r="AS128" s="271" t="s">
        <v>124</v>
      </c>
      <c r="AT128" s="200"/>
      <c r="AU128" s="200"/>
      <c r="AV128" s="200"/>
      <c r="AW128" s="307" t="s">
        <v>2297</v>
      </c>
    </row>
    <row r="129" spans="1:49" ht="20" customHeight="1">
      <c r="A129" s="360"/>
      <c r="B129" s="5" t="s">
        <v>318</v>
      </c>
      <c r="C129" s="5">
        <v>1133009</v>
      </c>
      <c r="D129" s="5" t="s">
        <v>51</v>
      </c>
      <c r="E129" s="5" t="s">
        <v>52</v>
      </c>
      <c r="F129" s="5" t="s">
        <v>1414</v>
      </c>
      <c r="G129" s="5" t="s">
        <v>1420</v>
      </c>
      <c r="H129" s="5" t="s">
        <v>1421</v>
      </c>
      <c r="I129" s="6">
        <v>40183</v>
      </c>
      <c r="J129" s="5" t="s">
        <v>71</v>
      </c>
      <c r="K129" s="5" t="s">
        <v>1422</v>
      </c>
      <c r="L129" s="5" t="s">
        <v>61</v>
      </c>
      <c r="M129" s="7">
        <v>2</v>
      </c>
      <c r="N129" s="7">
        <v>3</v>
      </c>
      <c r="O129" s="308">
        <v>10545</v>
      </c>
      <c r="P129" s="319">
        <v>0.03</v>
      </c>
      <c r="Q129" s="310">
        <v>316</v>
      </c>
      <c r="R129" s="319">
        <v>0</v>
      </c>
      <c r="S129" s="310">
        <v>0</v>
      </c>
      <c r="T129" s="319">
        <v>2.9966808914177336E-2</v>
      </c>
      <c r="U129" s="310">
        <v>316</v>
      </c>
      <c r="V129" s="310">
        <v>10861</v>
      </c>
      <c r="W129" s="311">
        <v>10545</v>
      </c>
      <c r="X129" s="312">
        <v>0</v>
      </c>
      <c r="Y129" s="320">
        <v>0</v>
      </c>
      <c r="Z129" s="321" t="s">
        <v>233</v>
      </c>
      <c r="AA129" s="315"/>
      <c r="AB129" s="315"/>
      <c r="AC129" s="315"/>
      <c r="AD129" s="322"/>
      <c r="AE129" s="308">
        <v>0</v>
      </c>
      <c r="AF129" s="317">
        <v>10545</v>
      </c>
      <c r="AG129" s="18">
        <v>0</v>
      </c>
      <c r="AH129" s="323">
        <v>0</v>
      </c>
      <c r="AI129" s="20">
        <v>14</v>
      </c>
      <c r="AJ129" s="20">
        <v>450</v>
      </c>
      <c r="AK129" s="20"/>
      <c r="AL129" s="20">
        <v>688</v>
      </c>
      <c r="AM129" s="20">
        <v>153718</v>
      </c>
      <c r="AN129" s="7">
        <v>3</v>
      </c>
      <c r="AO129" s="20"/>
      <c r="AP129" s="21" t="s">
        <v>2018</v>
      </c>
      <c r="AQ129" s="21" t="s">
        <v>2018</v>
      </c>
      <c r="AR129" s="5" t="s">
        <v>1413</v>
      </c>
      <c r="AS129" s="5" t="s">
        <v>164</v>
      </c>
      <c r="AT129" s="5" t="s">
        <v>218</v>
      </c>
      <c r="AU129" s="21"/>
      <c r="AV129" s="21"/>
      <c r="AW129" s="144" t="s">
        <v>2297</v>
      </c>
    </row>
    <row r="130" spans="1:49" ht="20" customHeight="1">
      <c r="A130" s="360"/>
      <c r="B130" s="5" t="s">
        <v>318</v>
      </c>
      <c r="C130" s="5">
        <v>1332022</v>
      </c>
      <c r="D130" s="5" t="s">
        <v>51</v>
      </c>
      <c r="E130" s="5" t="s">
        <v>52</v>
      </c>
      <c r="F130" s="5" t="s">
        <v>1414</v>
      </c>
      <c r="G130" s="5" t="s">
        <v>1420</v>
      </c>
      <c r="H130" s="5" t="s">
        <v>1421</v>
      </c>
      <c r="I130" s="6">
        <v>37186</v>
      </c>
      <c r="J130" s="5" t="s">
        <v>71</v>
      </c>
      <c r="K130" s="5" t="s">
        <v>1424</v>
      </c>
      <c r="L130" s="5" t="s">
        <v>61</v>
      </c>
      <c r="M130" s="7">
        <v>2</v>
      </c>
      <c r="N130" s="7">
        <v>3</v>
      </c>
      <c r="O130" s="308">
        <v>9000</v>
      </c>
      <c r="P130" s="319">
        <v>3.5000000000000003E-2</v>
      </c>
      <c r="Q130" s="310">
        <v>315</v>
      </c>
      <c r="R130" s="319">
        <v>0</v>
      </c>
      <c r="S130" s="310">
        <v>0</v>
      </c>
      <c r="T130" s="319">
        <v>3.5000000000000003E-2</v>
      </c>
      <c r="U130" s="310">
        <v>315</v>
      </c>
      <c r="V130" s="310">
        <v>9315</v>
      </c>
      <c r="W130" s="311">
        <v>9000</v>
      </c>
      <c r="X130" s="312">
        <v>0</v>
      </c>
      <c r="Y130" s="320">
        <v>0</v>
      </c>
      <c r="Z130" s="321" t="s">
        <v>2316</v>
      </c>
      <c r="AA130" s="315"/>
      <c r="AB130" s="315"/>
      <c r="AC130" s="315"/>
      <c r="AD130" s="322"/>
      <c r="AE130" s="308">
        <v>0</v>
      </c>
      <c r="AF130" s="317">
        <v>9000</v>
      </c>
      <c r="AG130" s="18">
        <v>0</v>
      </c>
      <c r="AH130" s="323">
        <v>0</v>
      </c>
      <c r="AI130" s="20">
        <v>14</v>
      </c>
      <c r="AJ130" s="20">
        <v>1580</v>
      </c>
      <c r="AK130" s="20"/>
      <c r="AL130" s="20">
        <v>688</v>
      </c>
      <c r="AM130" s="20">
        <v>145648</v>
      </c>
      <c r="AN130" s="7">
        <v>3</v>
      </c>
      <c r="AO130" s="20"/>
      <c r="AP130" s="21" t="s">
        <v>2018</v>
      </c>
      <c r="AQ130" s="21" t="s">
        <v>2018</v>
      </c>
      <c r="AR130" s="5" t="s">
        <v>1413</v>
      </c>
      <c r="AS130" s="5" t="s">
        <v>164</v>
      </c>
      <c r="AT130" s="5" t="s">
        <v>218</v>
      </c>
      <c r="AU130" s="21"/>
      <c r="AV130" s="21"/>
      <c r="AW130" s="307" t="s">
        <v>2297</v>
      </c>
    </row>
    <row r="131" spans="1:49" ht="20" customHeight="1">
      <c r="A131" s="360"/>
      <c r="B131" s="5" t="s">
        <v>318</v>
      </c>
      <c r="C131" s="5">
        <v>11017464</v>
      </c>
      <c r="D131" s="5" t="s">
        <v>51</v>
      </c>
      <c r="E131" s="5" t="s">
        <v>52</v>
      </c>
      <c r="F131" s="5" t="s">
        <v>2035</v>
      </c>
      <c r="G131" s="5" t="s">
        <v>2052</v>
      </c>
      <c r="H131" s="5" t="s">
        <v>2053</v>
      </c>
      <c r="I131" s="6">
        <v>42993</v>
      </c>
      <c r="J131" s="5" t="s">
        <v>198</v>
      </c>
      <c r="K131" s="5" t="s">
        <v>2054</v>
      </c>
      <c r="L131" s="5" t="s">
        <v>199</v>
      </c>
      <c r="M131" s="7">
        <v>2</v>
      </c>
      <c r="N131" s="7">
        <v>3</v>
      </c>
      <c r="O131" s="308">
        <v>44400</v>
      </c>
      <c r="P131" s="319">
        <v>2.5000000000000001E-2</v>
      </c>
      <c r="Q131" s="310">
        <v>1110</v>
      </c>
      <c r="R131" s="319">
        <v>0</v>
      </c>
      <c r="S131" s="310">
        <v>0</v>
      </c>
      <c r="T131" s="319">
        <v>2.5000000000000001E-2</v>
      </c>
      <c r="U131" s="310">
        <v>1110</v>
      </c>
      <c r="V131" s="310">
        <v>45510</v>
      </c>
      <c r="W131" s="311">
        <v>44400</v>
      </c>
      <c r="X131" s="312">
        <v>0</v>
      </c>
      <c r="Y131" s="320">
        <v>0</v>
      </c>
      <c r="Z131" s="321" t="s">
        <v>232</v>
      </c>
      <c r="AA131" s="315"/>
      <c r="AB131" s="315"/>
      <c r="AC131" s="315"/>
      <c r="AD131" s="322"/>
      <c r="AE131" s="308">
        <v>0</v>
      </c>
      <c r="AF131" s="317">
        <v>44400</v>
      </c>
      <c r="AG131" s="18">
        <v>0</v>
      </c>
      <c r="AH131" s="323">
        <v>0</v>
      </c>
      <c r="AI131" s="20">
        <v>14</v>
      </c>
      <c r="AJ131" s="20">
        <v>450</v>
      </c>
      <c r="AK131" s="20">
        <v>1000</v>
      </c>
      <c r="AL131" s="20">
        <v>688</v>
      </c>
      <c r="AM131" s="20">
        <v>639688</v>
      </c>
      <c r="AN131" s="7">
        <v>3</v>
      </c>
      <c r="AO131" s="20"/>
      <c r="AP131" s="21"/>
      <c r="AQ131" s="21" t="s">
        <v>128</v>
      </c>
      <c r="AR131" s="5" t="s">
        <v>2047</v>
      </c>
      <c r="AS131" s="5" t="s">
        <v>2048</v>
      </c>
      <c r="AT131" s="5" t="s">
        <v>59</v>
      </c>
      <c r="AU131" s="21"/>
      <c r="AV131" s="21"/>
      <c r="AW131" s="144" t="s">
        <v>2297</v>
      </c>
    </row>
    <row r="132" spans="1:49" ht="20" customHeight="1">
      <c r="A132" s="360"/>
      <c r="B132" s="5" t="s">
        <v>318</v>
      </c>
      <c r="C132" s="5">
        <v>1120400</v>
      </c>
      <c r="D132" s="5" t="s">
        <v>51</v>
      </c>
      <c r="E132" s="5" t="s">
        <v>52</v>
      </c>
      <c r="F132" s="5" t="s">
        <v>2035</v>
      </c>
      <c r="G132" s="5" t="s">
        <v>2055</v>
      </c>
      <c r="H132" s="5" t="s">
        <v>2056</v>
      </c>
      <c r="I132" s="6">
        <v>45989</v>
      </c>
      <c r="J132" s="5" t="s">
        <v>198</v>
      </c>
      <c r="K132" s="5" t="s">
        <v>134</v>
      </c>
      <c r="L132" s="5" t="s">
        <v>199</v>
      </c>
      <c r="M132" s="7">
        <v>2</v>
      </c>
      <c r="N132" s="7" t="s">
        <v>176</v>
      </c>
      <c r="O132" s="308">
        <v>40000</v>
      </c>
      <c r="P132" s="319">
        <v>2.5000000000000001E-2</v>
      </c>
      <c r="Q132" s="310">
        <v>1000</v>
      </c>
      <c r="R132" s="319">
        <v>0</v>
      </c>
      <c r="S132" s="310">
        <v>0</v>
      </c>
      <c r="T132" s="319">
        <v>2.5000000000000001E-2</v>
      </c>
      <c r="U132" s="310">
        <v>1000</v>
      </c>
      <c r="V132" s="310">
        <v>41000</v>
      </c>
      <c r="W132" s="311">
        <v>40000</v>
      </c>
      <c r="X132" s="312">
        <v>0</v>
      </c>
      <c r="Y132" s="320">
        <v>0</v>
      </c>
      <c r="Z132" s="321" t="s">
        <v>232</v>
      </c>
      <c r="AA132" s="315"/>
      <c r="AB132" s="315"/>
      <c r="AC132" s="315"/>
      <c r="AD132" s="322"/>
      <c r="AE132" s="308">
        <v>0</v>
      </c>
      <c r="AF132" s="317">
        <v>40000</v>
      </c>
      <c r="AG132" s="18">
        <v>0</v>
      </c>
      <c r="AH132" s="323">
        <v>0</v>
      </c>
      <c r="AI132" s="20">
        <v>14</v>
      </c>
      <c r="AJ132" s="20">
        <v>9050</v>
      </c>
      <c r="AK132" s="20">
        <v>1000</v>
      </c>
      <c r="AL132" s="20">
        <v>688</v>
      </c>
      <c r="AM132" s="20">
        <v>681288</v>
      </c>
      <c r="AN132" s="7" t="e">
        <v>#N/A</v>
      </c>
      <c r="AO132" s="20"/>
      <c r="AP132" s="21"/>
      <c r="AQ132" s="21" t="s">
        <v>2057</v>
      </c>
      <c r="AR132" s="5" t="s">
        <v>2047</v>
      </c>
      <c r="AS132" s="5" t="s">
        <v>2048</v>
      </c>
      <c r="AT132" s="5" t="s">
        <v>59</v>
      </c>
      <c r="AU132" s="21"/>
      <c r="AV132" s="21"/>
      <c r="AW132" s="307" t="s">
        <v>2297</v>
      </c>
    </row>
    <row r="133" spans="1:49" ht="20" customHeight="1">
      <c r="A133" s="360"/>
      <c r="B133" s="5" t="s">
        <v>318</v>
      </c>
      <c r="C133" s="5">
        <v>1119108</v>
      </c>
      <c r="D133" s="5" t="s">
        <v>51</v>
      </c>
      <c r="E133" s="5" t="s">
        <v>52</v>
      </c>
      <c r="F133" s="5" t="s">
        <v>2035</v>
      </c>
      <c r="G133" s="5" t="s">
        <v>2060</v>
      </c>
      <c r="H133" s="5" t="s">
        <v>2061</v>
      </c>
      <c r="I133" s="6">
        <v>38201</v>
      </c>
      <c r="J133" s="5" t="s">
        <v>71</v>
      </c>
      <c r="K133" s="5" t="s">
        <v>2062</v>
      </c>
      <c r="L133" s="5" t="s">
        <v>61</v>
      </c>
      <c r="M133" s="7">
        <v>2</v>
      </c>
      <c r="N133" s="7">
        <v>3</v>
      </c>
      <c r="O133" s="308">
        <v>15234</v>
      </c>
      <c r="P133" s="319">
        <v>0.03</v>
      </c>
      <c r="Q133" s="310">
        <v>457</v>
      </c>
      <c r="R133" s="319">
        <v>0</v>
      </c>
      <c r="S133" s="310">
        <v>0</v>
      </c>
      <c r="T133" s="319">
        <v>2.9998687147170803E-2</v>
      </c>
      <c r="U133" s="310">
        <v>457</v>
      </c>
      <c r="V133" s="310">
        <v>15691</v>
      </c>
      <c r="W133" s="311">
        <v>15234</v>
      </c>
      <c r="X133" s="312">
        <v>0</v>
      </c>
      <c r="Y133" s="320">
        <v>0</v>
      </c>
      <c r="Z133" s="321" t="s">
        <v>233</v>
      </c>
      <c r="AA133" s="315"/>
      <c r="AB133" s="315"/>
      <c r="AC133" s="315"/>
      <c r="AD133" s="322"/>
      <c r="AE133" s="308">
        <v>0</v>
      </c>
      <c r="AF133" s="317">
        <v>15234</v>
      </c>
      <c r="AG133" s="18">
        <v>0</v>
      </c>
      <c r="AH133" s="323">
        <v>0</v>
      </c>
      <c r="AI133" s="20">
        <v>14</v>
      </c>
      <c r="AJ133" s="20">
        <v>600</v>
      </c>
      <c r="AK133" s="20"/>
      <c r="AL133" s="20">
        <v>688</v>
      </c>
      <c r="AM133" s="20">
        <v>221164</v>
      </c>
      <c r="AN133" s="7">
        <v>3</v>
      </c>
      <c r="AO133" s="20"/>
      <c r="AP133" s="21"/>
      <c r="AQ133" s="21" t="s">
        <v>128</v>
      </c>
      <c r="AR133" s="5" t="s">
        <v>2047</v>
      </c>
      <c r="AS133" s="5" t="s">
        <v>2048</v>
      </c>
      <c r="AT133" s="5" t="s">
        <v>59</v>
      </c>
      <c r="AU133" s="21"/>
      <c r="AV133" s="21"/>
      <c r="AW133" s="144" t="s">
        <v>2297</v>
      </c>
    </row>
    <row r="134" spans="1:49" ht="20" customHeight="1">
      <c r="A134" s="360"/>
      <c r="B134" s="5" t="s">
        <v>318</v>
      </c>
      <c r="C134" s="5">
        <v>1120097</v>
      </c>
      <c r="D134" s="5" t="s">
        <v>51</v>
      </c>
      <c r="E134" s="5" t="s">
        <v>52</v>
      </c>
      <c r="F134" s="5" t="s">
        <v>2035</v>
      </c>
      <c r="G134" s="5" t="s">
        <v>2066</v>
      </c>
      <c r="H134" s="5" t="s">
        <v>2067</v>
      </c>
      <c r="I134" s="6">
        <v>45063</v>
      </c>
      <c r="J134" s="5" t="s">
        <v>111</v>
      </c>
      <c r="K134" s="5" t="s">
        <v>2068</v>
      </c>
      <c r="L134" s="5" t="s">
        <v>56</v>
      </c>
      <c r="M134" s="7">
        <v>2</v>
      </c>
      <c r="N134" s="7">
        <v>3</v>
      </c>
      <c r="O134" s="308">
        <v>23924</v>
      </c>
      <c r="P134" s="319">
        <v>2.5000000000000001E-2</v>
      </c>
      <c r="Q134" s="310">
        <v>598</v>
      </c>
      <c r="R134" s="319">
        <v>0</v>
      </c>
      <c r="S134" s="310">
        <v>0</v>
      </c>
      <c r="T134" s="319">
        <v>2.499582009697375E-2</v>
      </c>
      <c r="U134" s="310">
        <v>598</v>
      </c>
      <c r="V134" s="310">
        <v>24522</v>
      </c>
      <c r="W134" s="311">
        <v>23924</v>
      </c>
      <c r="X134" s="312">
        <v>0</v>
      </c>
      <c r="Y134" s="320">
        <v>0</v>
      </c>
      <c r="Z134" s="321" t="s">
        <v>232</v>
      </c>
      <c r="AA134" s="315"/>
      <c r="AB134" s="315"/>
      <c r="AC134" s="315"/>
      <c r="AD134" s="322"/>
      <c r="AE134" s="308">
        <v>0</v>
      </c>
      <c r="AF134" s="317">
        <v>23924</v>
      </c>
      <c r="AG134" s="18">
        <v>0</v>
      </c>
      <c r="AH134" s="323">
        <v>0</v>
      </c>
      <c r="AI134" s="20">
        <v>14</v>
      </c>
      <c r="AJ134" s="20">
        <v>450</v>
      </c>
      <c r="AK134" s="20"/>
      <c r="AL134" s="20">
        <v>688</v>
      </c>
      <c r="AM134" s="20">
        <v>341024</v>
      </c>
      <c r="AN134" s="7">
        <v>4</v>
      </c>
      <c r="AO134" s="20"/>
      <c r="AP134" s="21"/>
      <c r="AQ134" s="21" t="s">
        <v>128</v>
      </c>
      <c r="AR134" s="5" t="s">
        <v>2047</v>
      </c>
      <c r="AS134" s="5" t="s">
        <v>2048</v>
      </c>
      <c r="AT134" s="5" t="s">
        <v>59</v>
      </c>
      <c r="AU134" s="21"/>
      <c r="AV134" s="21"/>
      <c r="AW134" s="307" t="s">
        <v>2297</v>
      </c>
    </row>
    <row r="135" spans="1:49" ht="20" customHeight="1">
      <c r="A135" s="360"/>
      <c r="B135" s="5" t="s">
        <v>318</v>
      </c>
      <c r="C135" s="5">
        <v>1120261</v>
      </c>
      <c r="D135" s="5" t="s">
        <v>51</v>
      </c>
      <c r="E135" s="5" t="s">
        <v>52</v>
      </c>
      <c r="F135" s="5" t="s">
        <v>2035</v>
      </c>
      <c r="G135" s="5" t="s">
        <v>2066</v>
      </c>
      <c r="H135" s="5" t="s">
        <v>2067</v>
      </c>
      <c r="I135" s="6">
        <v>44057</v>
      </c>
      <c r="J135" s="5" t="s">
        <v>74</v>
      </c>
      <c r="K135" s="5" t="s">
        <v>74</v>
      </c>
      <c r="L135" s="5" t="s">
        <v>76</v>
      </c>
      <c r="M135" s="7">
        <v>2</v>
      </c>
      <c r="N135" s="7">
        <v>3</v>
      </c>
      <c r="O135" s="308">
        <v>9602</v>
      </c>
      <c r="P135" s="319">
        <v>2.5000000000000001E-2</v>
      </c>
      <c r="Q135" s="310">
        <v>240</v>
      </c>
      <c r="R135" s="319">
        <v>0</v>
      </c>
      <c r="S135" s="310">
        <v>0</v>
      </c>
      <c r="T135" s="319">
        <v>2.4994792751510102E-2</v>
      </c>
      <c r="U135" s="310">
        <v>240</v>
      </c>
      <c r="V135" s="310">
        <v>9842</v>
      </c>
      <c r="W135" s="311">
        <v>9602</v>
      </c>
      <c r="X135" s="312">
        <v>0</v>
      </c>
      <c r="Y135" s="320">
        <v>0</v>
      </c>
      <c r="Z135" s="321" t="s">
        <v>232</v>
      </c>
      <c r="AA135" s="315"/>
      <c r="AB135" s="315"/>
      <c r="AC135" s="315"/>
      <c r="AD135" s="322"/>
      <c r="AE135" s="308">
        <v>0</v>
      </c>
      <c r="AF135" s="317">
        <v>9602</v>
      </c>
      <c r="AG135" s="18">
        <v>0</v>
      </c>
      <c r="AH135" s="323">
        <v>0</v>
      </c>
      <c r="AI135" s="20">
        <v>14</v>
      </c>
      <c r="AJ135" s="20">
        <v>850</v>
      </c>
      <c r="AK135" s="20"/>
      <c r="AL135" s="20">
        <v>688</v>
      </c>
      <c r="AM135" s="20">
        <v>145316</v>
      </c>
      <c r="AN135" s="7">
        <v>4</v>
      </c>
      <c r="AO135" s="20"/>
      <c r="AP135" s="21"/>
      <c r="AQ135" s="21" t="s">
        <v>128</v>
      </c>
      <c r="AR135" s="5" t="s">
        <v>2047</v>
      </c>
      <c r="AS135" s="5" t="s">
        <v>2048</v>
      </c>
      <c r="AT135" s="5" t="s">
        <v>59</v>
      </c>
      <c r="AU135" s="21"/>
      <c r="AV135" s="21"/>
      <c r="AW135" s="144" t="s">
        <v>2297</v>
      </c>
    </row>
    <row r="136" spans="1:49" ht="20" customHeight="1">
      <c r="A136" s="360"/>
      <c r="B136" s="5" t="s">
        <v>318</v>
      </c>
      <c r="C136" s="5">
        <v>1120397</v>
      </c>
      <c r="D136" s="5" t="s">
        <v>51</v>
      </c>
      <c r="E136" s="5" t="s">
        <v>52</v>
      </c>
      <c r="F136" s="5" t="s">
        <v>2035</v>
      </c>
      <c r="G136" s="5" t="s">
        <v>2035</v>
      </c>
      <c r="H136" s="5" t="s">
        <v>2056</v>
      </c>
      <c r="I136" s="6">
        <v>45840</v>
      </c>
      <c r="J136" s="5" t="s">
        <v>85</v>
      </c>
      <c r="K136" s="5" t="s">
        <v>1755</v>
      </c>
      <c r="L136" s="5" t="s">
        <v>76</v>
      </c>
      <c r="M136" s="7">
        <v>2</v>
      </c>
      <c r="N136" s="7">
        <v>3</v>
      </c>
      <c r="O136" s="308">
        <v>10500</v>
      </c>
      <c r="P136" s="319">
        <v>2.5000000000000001E-2</v>
      </c>
      <c r="Q136" s="310">
        <v>263</v>
      </c>
      <c r="R136" s="319">
        <v>0</v>
      </c>
      <c r="S136" s="310">
        <v>0</v>
      </c>
      <c r="T136" s="319">
        <v>2.5047619047619048E-2</v>
      </c>
      <c r="U136" s="310">
        <v>263</v>
      </c>
      <c r="V136" s="310">
        <v>10763</v>
      </c>
      <c r="W136" s="311">
        <v>10500</v>
      </c>
      <c r="X136" s="312">
        <v>0</v>
      </c>
      <c r="Y136" s="320">
        <v>0</v>
      </c>
      <c r="Z136" s="321" t="s">
        <v>285</v>
      </c>
      <c r="AA136" s="315"/>
      <c r="AB136" s="315"/>
      <c r="AC136" s="315"/>
      <c r="AD136" s="322"/>
      <c r="AE136" s="308">
        <v>0</v>
      </c>
      <c r="AF136" s="317">
        <v>10500</v>
      </c>
      <c r="AG136" s="18">
        <v>0</v>
      </c>
      <c r="AH136" s="323">
        <v>0</v>
      </c>
      <c r="AI136" s="20">
        <v>14</v>
      </c>
      <c r="AJ136" s="20">
        <v>450</v>
      </c>
      <c r="AK136" s="20"/>
      <c r="AL136" s="20">
        <v>688</v>
      </c>
      <c r="AM136" s="20">
        <v>153088</v>
      </c>
      <c r="AN136" s="7" t="e">
        <v>#N/A</v>
      </c>
      <c r="AO136" s="20"/>
      <c r="AP136" s="21"/>
      <c r="AQ136" s="21" t="s">
        <v>128</v>
      </c>
      <c r="AR136" s="5" t="s">
        <v>2047</v>
      </c>
      <c r="AS136" s="5" t="s">
        <v>2048</v>
      </c>
      <c r="AT136" s="5" t="s">
        <v>59</v>
      </c>
      <c r="AU136" s="21"/>
      <c r="AV136" s="21"/>
      <c r="AW136" s="307" t="s">
        <v>2297</v>
      </c>
    </row>
    <row r="137" spans="1:49" ht="20" customHeight="1">
      <c r="A137" s="360"/>
      <c r="B137" s="5" t="s">
        <v>318</v>
      </c>
      <c r="C137" s="5">
        <v>1610011</v>
      </c>
      <c r="D137" s="5" t="s">
        <v>51</v>
      </c>
      <c r="E137" s="5" t="s">
        <v>52</v>
      </c>
      <c r="F137" s="5" t="s">
        <v>2035</v>
      </c>
      <c r="G137" s="5" t="s">
        <v>2066</v>
      </c>
      <c r="H137" s="5" t="s">
        <v>2067</v>
      </c>
      <c r="I137" s="6">
        <v>37987</v>
      </c>
      <c r="J137" s="5" t="s">
        <v>82</v>
      </c>
      <c r="K137" s="5" t="s">
        <v>2070</v>
      </c>
      <c r="L137" s="5" t="s">
        <v>84</v>
      </c>
      <c r="M137" s="7">
        <v>2</v>
      </c>
      <c r="N137" s="7">
        <v>3</v>
      </c>
      <c r="O137" s="308">
        <v>9388</v>
      </c>
      <c r="P137" s="319">
        <v>2.5000000000000001E-2</v>
      </c>
      <c r="Q137" s="310">
        <v>235</v>
      </c>
      <c r="R137" s="319">
        <v>0</v>
      </c>
      <c r="S137" s="310">
        <v>0</v>
      </c>
      <c r="T137" s="319">
        <v>2.5031955688112485E-2</v>
      </c>
      <c r="U137" s="310">
        <v>235</v>
      </c>
      <c r="V137" s="310">
        <v>9623</v>
      </c>
      <c r="W137" s="311">
        <v>9388</v>
      </c>
      <c r="X137" s="312">
        <v>0</v>
      </c>
      <c r="Y137" s="320">
        <v>0</v>
      </c>
      <c r="Z137" s="321" t="s">
        <v>232</v>
      </c>
      <c r="AA137" s="315"/>
      <c r="AB137" s="315"/>
      <c r="AC137" s="315"/>
      <c r="AD137" s="322"/>
      <c r="AE137" s="308">
        <v>0</v>
      </c>
      <c r="AF137" s="317">
        <v>9388</v>
      </c>
      <c r="AG137" s="18">
        <v>0</v>
      </c>
      <c r="AH137" s="323">
        <v>0</v>
      </c>
      <c r="AI137" s="20">
        <v>14</v>
      </c>
      <c r="AJ137" s="20">
        <v>450</v>
      </c>
      <c r="AK137" s="20"/>
      <c r="AL137" s="20">
        <v>688</v>
      </c>
      <c r="AM137" s="20">
        <v>137520</v>
      </c>
      <c r="AN137" s="7">
        <v>3</v>
      </c>
      <c r="AO137" s="20"/>
      <c r="AP137" s="21"/>
      <c r="AQ137" s="21" t="s">
        <v>128</v>
      </c>
      <c r="AR137" s="5" t="s">
        <v>2047</v>
      </c>
      <c r="AS137" s="5" t="s">
        <v>2048</v>
      </c>
      <c r="AT137" s="5" t="s">
        <v>59</v>
      </c>
      <c r="AU137" s="21"/>
      <c r="AV137" s="21"/>
      <c r="AW137" s="144" t="s">
        <v>2297</v>
      </c>
    </row>
    <row r="138" spans="1:49" ht="20" customHeight="1">
      <c r="A138" s="360"/>
      <c r="B138" s="5" t="s">
        <v>318</v>
      </c>
      <c r="C138" s="5">
        <v>1120127</v>
      </c>
      <c r="D138" s="5" t="s">
        <v>51</v>
      </c>
      <c r="E138" s="5" t="s">
        <v>52</v>
      </c>
      <c r="F138" s="5" t="s">
        <v>2035</v>
      </c>
      <c r="G138" s="5" t="s">
        <v>2107</v>
      </c>
      <c r="H138" s="5" t="s">
        <v>2108</v>
      </c>
      <c r="I138" s="6">
        <v>40634</v>
      </c>
      <c r="J138" s="5" t="s">
        <v>74</v>
      </c>
      <c r="K138" s="5" t="s">
        <v>2125</v>
      </c>
      <c r="L138" s="5" t="s">
        <v>76</v>
      </c>
      <c r="M138" s="7">
        <v>2</v>
      </c>
      <c r="N138" s="7">
        <v>3</v>
      </c>
      <c r="O138" s="308">
        <v>11695</v>
      </c>
      <c r="P138" s="319">
        <v>2.5000000000000001E-2</v>
      </c>
      <c r="Q138" s="310">
        <v>292</v>
      </c>
      <c r="R138" s="319">
        <v>0</v>
      </c>
      <c r="S138" s="310">
        <v>0</v>
      </c>
      <c r="T138" s="319">
        <v>2.4967935014963659E-2</v>
      </c>
      <c r="U138" s="310">
        <v>292</v>
      </c>
      <c r="V138" s="310">
        <v>11987</v>
      </c>
      <c r="W138" s="311">
        <v>11695</v>
      </c>
      <c r="X138" s="312">
        <v>0</v>
      </c>
      <c r="Y138" s="320">
        <v>0</v>
      </c>
      <c r="Z138" s="321" t="s">
        <v>232</v>
      </c>
      <c r="AA138" s="315"/>
      <c r="AB138" s="315"/>
      <c r="AC138" s="315"/>
      <c r="AD138" s="322"/>
      <c r="AE138" s="308">
        <v>0</v>
      </c>
      <c r="AF138" s="317">
        <v>11695</v>
      </c>
      <c r="AG138" s="18">
        <v>0</v>
      </c>
      <c r="AH138" s="323">
        <v>0</v>
      </c>
      <c r="AI138" s="20">
        <v>14</v>
      </c>
      <c r="AJ138" s="20">
        <v>850</v>
      </c>
      <c r="AK138" s="20"/>
      <c r="AL138" s="20">
        <v>688</v>
      </c>
      <c r="AM138" s="20">
        <v>174618</v>
      </c>
      <c r="AN138" s="7">
        <v>3</v>
      </c>
      <c r="AO138" s="20"/>
      <c r="AP138" s="21" t="s">
        <v>2126</v>
      </c>
      <c r="AQ138" s="21" t="s">
        <v>128</v>
      </c>
      <c r="AR138" s="5" t="s">
        <v>2074</v>
      </c>
      <c r="AS138" s="5" t="s">
        <v>2075</v>
      </c>
      <c r="AT138" s="5" t="s">
        <v>247</v>
      </c>
      <c r="AU138" s="21"/>
      <c r="AV138" s="21"/>
      <c r="AW138" s="307" t="s">
        <v>2297</v>
      </c>
    </row>
    <row r="139" spans="1:49" ht="20" customHeight="1">
      <c r="A139" s="360"/>
      <c r="B139" s="5" t="s">
        <v>318</v>
      </c>
      <c r="C139" s="5">
        <v>1120306</v>
      </c>
      <c r="D139" s="5" t="s">
        <v>51</v>
      </c>
      <c r="E139" s="5" t="s">
        <v>52</v>
      </c>
      <c r="F139" s="5" t="s">
        <v>2035</v>
      </c>
      <c r="G139" s="5" t="s">
        <v>2107</v>
      </c>
      <c r="H139" s="5" t="s">
        <v>2108</v>
      </c>
      <c r="I139" s="6">
        <v>44280</v>
      </c>
      <c r="J139" s="5" t="s">
        <v>82</v>
      </c>
      <c r="K139" s="5" t="s">
        <v>2127</v>
      </c>
      <c r="L139" s="5" t="s">
        <v>84</v>
      </c>
      <c r="M139" s="7">
        <v>2</v>
      </c>
      <c r="N139" s="7">
        <v>3</v>
      </c>
      <c r="O139" s="308">
        <v>9195</v>
      </c>
      <c r="P139" s="319">
        <v>2.5000000000000001E-2</v>
      </c>
      <c r="Q139" s="310">
        <v>230</v>
      </c>
      <c r="R139" s="319">
        <v>0</v>
      </c>
      <c r="S139" s="310">
        <v>0</v>
      </c>
      <c r="T139" s="319">
        <v>2.5013594344752584E-2</v>
      </c>
      <c r="U139" s="310">
        <v>230</v>
      </c>
      <c r="V139" s="310">
        <v>9425</v>
      </c>
      <c r="W139" s="311">
        <v>9195</v>
      </c>
      <c r="X139" s="312">
        <v>0</v>
      </c>
      <c r="Y139" s="320">
        <v>0</v>
      </c>
      <c r="Z139" s="321" t="s">
        <v>232</v>
      </c>
      <c r="AA139" s="315"/>
      <c r="AB139" s="315"/>
      <c r="AC139" s="315"/>
      <c r="AD139" s="322"/>
      <c r="AE139" s="308">
        <v>0</v>
      </c>
      <c r="AF139" s="317">
        <v>9195</v>
      </c>
      <c r="AG139" s="18">
        <v>0</v>
      </c>
      <c r="AH139" s="323">
        <v>0</v>
      </c>
      <c r="AI139" s="20">
        <v>14</v>
      </c>
      <c r="AJ139" s="20">
        <v>450</v>
      </c>
      <c r="AK139" s="20"/>
      <c r="AL139" s="20">
        <v>688</v>
      </c>
      <c r="AM139" s="20">
        <v>134818</v>
      </c>
      <c r="AN139" s="7">
        <v>3</v>
      </c>
      <c r="AO139" s="20"/>
      <c r="AP139" s="21" t="s">
        <v>2126</v>
      </c>
      <c r="AQ139" s="21" t="s">
        <v>128</v>
      </c>
      <c r="AR139" s="5" t="s">
        <v>2074</v>
      </c>
      <c r="AS139" s="5" t="s">
        <v>2075</v>
      </c>
      <c r="AT139" s="5" t="s">
        <v>247</v>
      </c>
      <c r="AU139" s="21"/>
      <c r="AV139" s="21"/>
      <c r="AW139" s="144" t="s">
        <v>2297</v>
      </c>
    </row>
    <row r="140" spans="1:49" ht="20" customHeight="1">
      <c r="A140" s="360"/>
      <c r="B140" s="5" t="s">
        <v>318</v>
      </c>
      <c r="C140" s="5">
        <v>1120325</v>
      </c>
      <c r="D140" s="5" t="s">
        <v>51</v>
      </c>
      <c r="E140" s="5" t="s">
        <v>52</v>
      </c>
      <c r="F140" s="5" t="s">
        <v>2035</v>
      </c>
      <c r="G140" s="5" t="s">
        <v>2107</v>
      </c>
      <c r="H140" s="5" t="s">
        <v>2108</v>
      </c>
      <c r="I140" s="6">
        <v>44347</v>
      </c>
      <c r="J140" s="5" t="s">
        <v>74</v>
      </c>
      <c r="K140" s="5" t="s">
        <v>74</v>
      </c>
      <c r="L140" s="5" t="s">
        <v>76</v>
      </c>
      <c r="M140" s="7">
        <v>2</v>
      </c>
      <c r="N140" s="7">
        <v>3</v>
      </c>
      <c r="O140" s="308">
        <v>13000</v>
      </c>
      <c r="P140" s="319">
        <v>2.5000000000000001E-2</v>
      </c>
      <c r="Q140" s="310">
        <v>325</v>
      </c>
      <c r="R140" s="319">
        <v>0</v>
      </c>
      <c r="S140" s="310">
        <v>0</v>
      </c>
      <c r="T140" s="319">
        <v>2.5000000000000001E-2</v>
      </c>
      <c r="U140" s="310">
        <v>325</v>
      </c>
      <c r="V140" s="310">
        <v>13325</v>
      </c>
      <c r="W140" s="311">
        <v>13000</v>
      </c>
      <c r="X140" s="312">
        <v>0</v>
      </c>
      <c r="Y140" s="320">
        <v>0</v>
      </c>
      <c r="Z140" s="321" t="s">
        <v>232</v>
      </c>
      <c r="AA140" s="315"/>
      <c r="AB140" s="315"/>
      <c r="AC140" s="315"/>
      <c r="AD140" s="322"/>
      <c r="AE140" s="308">
        <v>0</v>
      </c>
      <c r="AF140" s="317">
        <v>13000</v>
      </c>
      <c r="AG140" s="18">
        <v>0</v>
      </c>
      <c r="AH140" s="323">
        <v>0</v>
      </c>
      <c r="AI140" s="20">
        <v>14</v>
      </c>
      <c r="AJ140" s="20">
        <v>450</v>
      </c>
      <c r="AK140" s="20"/>
      <c r="AL140" s="20">
        <v>688</v>
      </c>
      <c r="AM140" s="20">
        <v>188088</v>
      </c>
      <c r="AN140" s="7">
        <v>5</v>
      </c>
      <c r="AO140" s="20"/>
      <c r="AP140" s="21" t="s">
        <v>2126</v>
      </c>
      <c r="AQ140" s="21" t="s">
        <v>128</v>
      </c>
      <c r="AR140" s="5" t="s">
        <v>2074</v>
      </c>
      <c r="AS140" s="5" t="s">
        <v>2075</v>
      </c>
      <c r="AT140" s="5" t="s">
        <v>247</v>
      </c>
      <c r="AU140" s="21"/>
      <c r="AV140" s="21"/>
      <c r="AW140" s="307" t="s">
        <v>2297</v>
      </c>
    </row>
    <row r="141" spans="1:49" ht="20" customHeight="1">
      <c r="A141" s="360"/>
      <c r="B141" s="5" t="s">
        <v>318</v>
      </c>
      <c r="C141" s="5">
        <v>1120393</v>
      </c>
      <c r="D141" s="5" t="s">
        <v>51</v>
      </c>
      <c r="E141" s="5" t="s">
        <v>52</v>
      </c>
      <c r="F141" s="5" t="s">
        <v>2035</v>
      </c>
      <c r="G141" s="5" t="s">
        <v>2107</v>
      </c>
      <c r="H141" s="5" t="s">
        <v>2108</v>
      </c>
      <c r="I141" s="6">
        <v>44909</v>
      </c>
      <c r="J141" s="5" t="s">
        <v>82</v>
      </c>
      <c r="K141" s="5" t="s">
        <v>2127</v>
      </c>
      <c r="L141" s="5" t="s">
        <v>84</v>
      </c>
      <c r="M141" s="7">
        <v>2</v>
      </c>
      <c r="N141" s="7">
        <v>4</v>
      </c>
      <c r="O141" s="308">
        <v>10312</v>
      </c>
      <c r="P141" s="319">
        <v>3.7500000000000006E-2</v>
      </c>
      <c r="Q141" s="310">
        <v>387</v>
      </c>
      <c r="R141" s="319">
        <v>0</v>
      </c>
      <c r="S141" s="310">
        <v>0</v>
      </c>
      <c r="T141" s="319">
        <v>3.7529092319627616E-2</v>
      </c>
      <c r="U141" s="310">
        <v>387</v>
      </c>
      <c r="V141" s="310">
        <v>10699</v>
      </c>
      <c r="W141" s="311">
        <v>10312</v>
      </c>
      <c r="X141" s="312">
        <v>0</v>
      </c>
      <c r="Y141" s="320">
        <v>0</v>
      </c>
      <c r="Z141" s="321" t="s">
        <v>2296</v>
      </c>
      <c r="AA141" s="315"/>
      <c r="AB141" s="315"/>
      <c r="AC141" s="315"/>
      <c r="AD141" s="322"/>
      <c r="AE141" s="308">
        <v>0</v>
      </c>
      <c r="AF141" s="317">
        <v>10312</v>
      </c>
      <c r="AG141" s="18">
        <v>0</v>
      </c>
      <c r="AH141" s="323">
        <v>0</v>
      </c>
      <c r="AI141" s="20">
        <v>14</v>
      </c>
      <c r="AJ141" s="20">
        <v>450</v>
      </c>
      <c r="AK141" s="20"/>
      <c r="AL141" s="20">
        <v>688</v>
      </c>
      <c r="AM141" s="20">
        <v>150456</v>
      </c>
      <c r="AN141" s="7">
        <v>3</v>
      </c>
      <c r="AO141" s="20"/>
      <c r="AP141" s="21" t="s">
        <v>2129</v>
      </c>
      <c r="AQ141" s="21" t="s">
        <v>107</v>
      </c>
      <c r="AR141" s="5" t="s">
        <v>2074</v>
      </c>
      <c r="AS141" s="5" t="s">
        <v>2075</v>
      </c>
      <c r="AT141" s="5" t="s">
        <v>247</v>
      </c>
      <c r="AU141" s="21"/>
      <c r="AV141" s="21"/>
      <c r="AW141" s="144" t="s">
        <v>2297</v>
      </c>
    </row>
    <row r="142" spans="1:49" ht="20" customHeight="1">
      <c r="A142" s="360"/>
      <c r="B142" s="5" t="s">
        <v>318</v>
      </c>
      <c r="C142" s="5">
        <v>1708038</v>
      </c>
      <c r="D142" s="5" t="s">
        <v>51</v>
      </c>
      <c r="E142" s="5" t="s">
        <v>52</v>
      </c>
      <c r="F142" s="5" t="s">
        <v>2035</v>
      </c>
      <c r="G142" s="5" t="s">
        <v>2107</v>
      </c>
      <c r="H142" s="5" t="s">
        <v>2108</v>
      </c>
      <c r="I142" s="6">
        <v>40764</v>
      </c>
      <c r="J142" s="5" t="s">
        <v>82</v>
      </c>
      <c r="K142" s="5" t="s">
        <v>82</v>
      </c>
      <c r="L142" s="5" t="s">
        <v>84</v>
      </c>
      <c r="M142" s="7">
        <v>2</v>
      </c>
      <c r="N142" s="7">
        <v>3</v>
      </c>
      <c r="O142" s="308">
        <v>8789</v>
      </c>
      <c r="P142" s="319">
        <v>2.5000000000000001E-2</v>
      </c>
      <c r="Q142" s="310">
        <v>220</v>
      </c>
      <c r="R142" s="319">
        <v>0</v>
      </c>
      <c r="S142" s="310">
        <v>0</v>
      </c>
      <c r="T142" s="319">
        <v>2.5031289111389236E-2</v>
      </c>
      <c r="U142" s="310">
        <v>220</v>
      </c>
      <c r="V142" s="310">
        <v>9009</v>
      </c>
      <c r="W142" s="311">
        <v>8789</v>
      </c>
      <c r="X142" s="312">
        <v>0</v>
      </c>
      <c r="Y142" s="320">
        <v>0</v>
      </c>
      <c r="Z142" s="321" t="s">
        <v>232</v>
      </c>
      <c r="AA142" s="315"/>
      <c r="AB142" s="315"/>
      <c r="AC142" s="315"/>
      <c r="AD142" s="322"/>
      <c r="AE142" s="308">
        <v>0</v>
      </c>
      <c r="AF142" s="317">
        <v>8789</v>
      </c>
      <c r="AG142" s="18">
        <v>0</v>
      </c>
      <c r="AH142" s="323">
        <v>0</v>
      </c>
      <c r="AI142" s="20">
        <v>14</v>
      </c>
      <c r="AJ142" s="20">
        <v>450</v>
      </c>
      <c r="AK142" s="20"/>
      <c r="AL142" s="20">
        <v>688</v>
      </c>
      <c r="AM142" s="20">
        <v>129134</v>
      </c>
      <c r="AN142" s="7">
        <v>3</v>
      </c>
      <c r="AO142" s="20"/>
      <c r="AP142" s="21" t="s">
        <v>2132</v>
      </c>
      <c r="AQ142" s="21" t="s">
        <v>107</v>
      </c>
      <c r="AR142" s="5" t="s">
        <v>2074</v>
      </c>
      <c r="AS142" s="5" t="s">
        <v>2075</v>
      </c>
      <c r="AT142" s="5" t="s">
        <v>247</v>
      </c>
      <c r="AU142" s="21"/>
      <c r="AV142" s="21"/>
      <c r="AW142" s="307" t="s">
        <v>2297</v>
      </c>
    </row>
    <row r="143" spans="1:49" ht="20" customHeight="1">
      <c r="A143" s="360"/>
      <c r="B143" s="5" t="s">
        <v>318</v>
      </c>
      <c r="C143" s="5">
        <v>1709034</v>
      </c>
      <c r="D143" s="5" t="s">
        <v>51</v>
      </c>
      <c r="E143" s="5" t="s">
        <v>52</v>
      </c>
      <c r="F143" s="5" t="s">
        <v>2035</v>
      </c>
      <c r="G143" s="5" t="s">
        <v>2107</v>
      </c>
      <c r="H143" s="5" t="s">
        <v>2108</v>
      </c>
      <c r="I143" s="6">
        <v>41115</v>
      </c>
      <c r="J143" s="5" t="s">
        <v>174</v>
      </c>
      <c r="K143" s="5" t="s">
        <v>2133</v>
      </c>
      <c r="L143" s="5" t="s">
        <v>175</v>
      </c>
      <c r="M143" s="7">
        <v>2</v>
      </c>
      <c r="N143" s="7">
        <v>3</v>
      </c>
      <c r="O143" s="308">
        <v>7050</v>
      </c>
      <c r="P143" s="319">
        <v>2.5000000000000001E-2</v>
      </c>
      <c r="Q143" s="310">
        <v>176</v>
      </c>
      <c r="R143" s="319">
        <v>0</v>
      </c>
      <c r="S143" s="310">
        <v>0</v>
      </c>
      <c r="T143" s="319">
        <v>2.4964539007092199E-2</v>
      </c>
      <c r="U143" s="310">
        <v>176</v>
      </c>
      <c r="V143" s="310">
        <v>7226</v>
      </c>
      <c r="W143" s="311">
        <v>7050</v>
      </c>
      <c r="X143" s="312">
        <v>0</v>
      </c>
      <c r="Y143" s="320">
        <v>0</v>
      </c>
      <c r="Z143" s="321" t="s">
        <v>232</v>
      </c>
      <c r="AA143" s="315"/>
      <c r="AB143" s="315"/>
      <c r="AC143" s="315"/>
      <c r="AD143" s="322"/>
      <c r="AE143" s="308">
        <v>0</v>
      </c>
      <c r="AF143" s="317">
        <v>7050</v>
      </c>
      <c r="AG143" s="18">
        <v>0</v>
      </c>
      <c r="AH143" s="323">
        <v>0</v>
      </c>
      <c r="AI143" s="20">
        <v>14</v>
      </c>
      <c r="AJ143" s="20">
        <v>450</v>
      </c>
      <c r="AK143" s="20"/>
      <c r="AL143" s="20">
        <v>688</v>
      </c>
      <c r="AM143" s="20">
        <v>104788</v>
      </c>
      <c r="AN143" s="7">
        <v>3</v>
      </c>
      <c r="AO143" s="20"/>
      <c r="AP143" s="21" t="s">
        <v>2132</v>
      </c>
      <c r="AQ143" s="21" t="s">
        <v>107</v>
      </c>
      <c r="AR143" s="5" t="s">
        <v>2074</v>
      </c>
      <c r="AS143" s="5" t="s">
        <v>2075</v>
      </c>
      <c r="AT143" s="5" t="s">
        <v>247</v>
      </c>
      <c r="AU143" s="21"/>
      <c r="AV143" s="21"/>
      <c r="AW143" s="144" t="s">
        <v>2297</v>
      </c>
    </row>
    <row r="144" spans="1:49" ht="20" customHeight="1">
      <c r="A144" s="360"/>
      <c r="B144" s="5" t="s">
        <v>318</v>
      </c>
      <c r="C144" s="5">
        <v>1211015</v>
      </c>
      <c r="D144" s="5" t="s">
        <v>51</v>
      </c>
      <c r="E144" s="5" t="s">
        <v>52</v>
      </c>
      <c r="F144" s="5" t="s">
        <v>2035</v>
      </c>
      <c r="G144" s="5" t="s">
        <v>2113</v>
      </c>
      <c r="H144" s="5" t="s">
        <v>2114</v>
      </c>
      <c r="I144" s="6">
        <v>37890</v>
      </c>
      <c r="J144" s="5" t="s">
        <v>111</v>
      </c>
      <c r="K144" s="5" t="s">
        <v>1727</v>
      </c>
      <c r="L144" s="5" t="s">
        <v>56</v>
      </c>
      <c r="M144" s="7">
        <v>2</v>
      </c>
      <c r="N144" s="7">
        <v>3</v>
      </c>
      <c r="O144" s="308">
        <v>24174</v>
      </c>
      <c r="P144" s="319">
        <v>2.5000000000000001E-2</v>
      </c>
      <c r="Q144" s="310">
        <v>604</v>
      </c>
      <c r="R144" s="319">
        <v>0</v>
      </c>
      <c r="S144" s="310">
        <v>0</v>
      </c>
      <c r="T144" s="319">
        <v>2.4985521634814264E-2</v>
      </c>
      <c r="U144" s="310">
        <v>604</v>
      </c>
      <c r="V144" s="310">
        <v>24778</v>
      </c>
      <c r="W144" s="311">
        <v>24174</v>
      </c>
      <c r="X144" s="312">
        <v>0</v>
      </c>
      <c r="Y144" s="320">
        <v>0</v>
      </c>
      <c r="Z144" s="321" t="s">
        <v>232</v>
      </c>
      <c r="AA144" s="315"/>
      <c r="AB144" s="315"/>
      <c r="AC144" s="315"/>
      <c r="AD144" s="322"/>
      <c r="AE144" s="308">
        <v>0</v>
      </c>
      <c r="AF144" s="317">
        <v>24174</v>
      </c>
      <c r="AG144" s="18">
        <v>0</v>
      </c>
      <c r="AH144" s="323">
        <v>0</v>
      </c>
      <c r="AI144" s="20">
        <v>14</v>
      </c>
      <c r="AJ144" s="20">
        <v>450</v>
      </c>
      <c r="AK144" s="20"/>
      <c r="AL144" s="20">
        <v>688</v>
      </c>
      <c r="AM144" s="20">
        <v>344524</v>
      </c>
      <c r="AN144" s="7">
        <v>4</v>
      </c>
      <c r="AO144" s="20"/>
      <c r="AP144" s="21" t="s">
        <v>2142</v>
      </c>
      <c r="AQ144" s="21" t="s">
        <v>97</v>
      </c>
      <c r="AR144" s="5" t="s">
        <v>2074</v>
      </c>
      <c r="AS144" s="5" t="s">
        <v>2075</v>
      </c>
      <c r="AT144" s="5" t="s">
        <v>247</v>
      </c>
      <c r="AU144" s="21"/>
      <c r="AV144" s="21"/>
      <c r="AW144" s="307" t="s">
        <v>2297</v>
      </c>
    </row>
    <row r="145" spans="1:49" ht="20" customHeight="1">
      <c r="A145" s="360"/>
      <c r="B145" s="5" t="s">
        <v>318</v>
      </c>
      <c r="C145" s="5">
        <v>1120123</v>
      </c>
      <c r="D145" s="5" t="s">
        <v>51</v>
      </c>
      <c r="E145" s="5" t="s">
        <v>52</v>
      </c>
      <c r="F145" s="5" t="s">
        <v>2035</v>
      </c>
      <c r="G145" s="5" t="s">
        <v>2110</v>
      </c>
      <c r="H145" s="5" t="s">
        <v>2111</v>
      </c>
      <c r="I145" s="6">
        <v>40603</v>
      </c>
      <c r="J145" s="5" t="s">
        <v>74</v>
      </c>
      <c r="K145" s="5" t="s">
        <v>74</v>
      </c>
      <c r="L145" s="5" t="s">
        <v>76</v>
      </c>
      <c r="M145" s="7">
        <v>2</v>
      </c>
      <c r="N145" s="7">
        <v>3</v>
      </c>
      <c r="O145" s="308">
        <v>10515</v>
      </c>
      <c r="P145" s="319">
        <v>0.03</v>
      </c>
      <c r="Q145" s="310">
        <v>315</v>
      </c>
      <c r="R145" s="319">
        <v>0</v>
      </c>
      <c r="S145" s="310">
        <v>0</v>
      </c>
      <c r="T145" s="319">
        <v>2.9957203994293864E-2</v>
      </c>
      <c r="U145" s="310">
        <v>315</v>
      </c>
      <c r="V145" s="310">
        <v>10830</v>
      </c>
      <c r="W145" s="311">
        <v>10515</v>
      </c>
      <c r="X145" s="312">
        <v>0</v>
      </c>
      <c r="Y145" s="320">
        <v>0</v>
      </c>
      <c r="Z145" s="321" t="s">
        <v>2303</v>
      </c>
      <c r="AA145" s="315"/>
      <c r="AB145" s="315"/>
      <c r="AC145" s="315"/>
      <c r="AD145" s="322"/>
      <c r="AE145" s="308">
        <v>0</v>
      </c>
      <c r="AF145" s="317">
        <v>10515</v>
      </c>
      <c r="AG145" s="18">
        <v>0</v>
      </c>
      <c r="AH145" s="323">
        <v>0</v>
      </c>
      <c r="AI145" s="20">
        <v>14</v>
      </c>
      <c r="AJ145" s="20">
        <v>850</v>
      </c>
      <c r="AK145" s="20"/>
      <c r="AL145" s="20">
        <v>688</v>
      </c>
      <c r="AM145" s="20">
        <v>158098</v>
      </c>
      <c r="AN145" s="7">
        <v>3</v>
      </c>
      <c r="AO145" s="20"/>
      <c r="AP145" s="21" t="s">
        <v>2151</v>
      </c>
      <c r="AQ145" s="21" t="s">
        <v>107</v>
      </c>
      <c r="AR145" s="5" t="s">
        <v>2074</v>
      </c>
      <c r="AS145" s="5" t="s">
        <v>2075</v>
      </c>
      <c r="AT145" s="5" t="s">
        <v>247</v>
      </c>
      <c r="AU145" s="21"/>
      <c r="AV145" s="21"/>
      <c r="AW145" s="144" t="s">
        <v>2297</v>
      </c>
    </row>
    <row r="146" spans="1:49" ht="20" customHeight="1">
      <c r="A146" s="360"/>
      <c r="B146" s="5" t="s">
        <v>318</v>
      </c>
      <c r="C146" s="5">
        <v>1120124</v>
      </c>
      <c r="D146" s="5" t="s">
        <v>51</v>
      </c>
      <c r="E146" s="5" t="s">
        <v>52</v>
      </c>
      <c r="F146" s="5" t="s">
        <v>2035</v>
      </c>
      <c r="G146" s="5" t="s">
        <v>2110</v>
      </c>
      <c r="H146" s="5" t="s">
        <v>2111</v>
      </c>
      <c r="I146" s="6">
        <v>40606</v>
      </c>
      <c r="J146" s="5" t="s">
        <v>74</v>
      </c>
      <c r="K146" s="5" t="s">
        <v>2152</v>
      </c>
      <c r="L146" s="5" t="s">
        <v>76</v>
      </c>
      <c r="M146" s="7">
        <v>2</v>
      </c>
      <c r="N146" s="7">
        <v>3</v>
      </c>
      <c r="O146" s="308">
        <v>12896</v>
      </c>
      <c r="P146" s="319">
        <v>2.5000000000000001E-2</v>
      </c>
      <c r="Q146" s="310">
        <v>322</v>
      </c>
      <c r="R146" s="319">
        <v>0</v>
      </c>
      <c r="S146" s="310">
        <v>0</v>
      </c>
      <c r="T146" s="319">
        <v>2.4968982630272953E-2</v>
      </c>
      <c r="U146" s="310">
        <v>322</v>
      </c>
      <c r="V146" s="310">
        <v>13218</v>
      </c>
      <c r="W146" s="311">
        <v>12896</v>
      </c>
      <c r="X146" s="312">
        <v>0</v>
      </c>
      <c r="Y146" s="320">
        <v>0</v>
      </c>
      <c r="Z146" s="321" t="s">
        <v>232</v>
      </c>
      <c r="AA146" s="315"/>
      <c r="AB146" s="315"/>
      <c r="AC146" s="315"/>
      <c r="AD146" s="322"/>
      <c r="AE146" s="308">
        <v>0</v>
      </c>
      <c r="AF146" s="317">
        <v>12896</v>
      </c>
      <c r="AG146" s="18">
        <v>0</v>
      </c>
      <c r="AH146" s="323">
        <v>0</v>
      </c>
      <c r="AI146" s="20">
        <v>14</v>
      </c>
      <c r="AJ146" s="20">
        <v>450</v>
      </c>
      <c r="AK146" s="20"/>
      <c r="AL146" s="20">
        <v>688</v>
      </c>
      <c r="AM146" s="20">
        <v>186632</v>
      </c>
      <c r="AN146" s="7">
        <v>3</v>
      </c>
      <c r="AO146" s="20"/>
      <c r="AP146" s="21" t="s">
        <v>2151</v>
      </c>
      <c r="AQ146" s="21" t="s">
        <v>107</v>
      </c>
      <c r="AR146" s="5" t="s">
        <v>2074</v>
      </c>
      <c r="AS146" s="5" t="s">
        <v>2075</v>
      </c>
      <c r="AT146" s="5" t="s">
        <v>247</v>
      </c>
      <c r="AU146" s="21"/>
      <c r="AV146" s="21"/>
      <c r="AW146" s="307" t="s">
        <v>2297</v>
      </c>
    </row>
    <row r="147" spans="1:49" ht="20" customHeight="1">
      <c r="A147" s="360"/>
      <c r="B147" s="5" t="s">
        <v>318</v>
      </c>
      <c r="C147" s="5">
        <v>1120162</v>
      </c>
      <c r="D147" s="5" t="s">
        <v>51</v>
      </c>
      <c r="E147" s="5" t="s">
        <v>52</v>
      </c>
      <c r="F147" s="5" t="s">
        <v>2035</v>
      </c>
      <c r="G147" s="5" t="s">
        <v>2110</v>
      </c>
      <c r="H147" s="5" t="s">
        <v>2111</v>
      </c>
      <c r="I147" s="6">
        <v>41799</v>
      </c>
      <c r="J147" s="5" t="s">
        <v>140</v>
      </c>
      <c r="K147" s="5" t="s">
        <v>140</v>
      </c>
      <c r="L147" s="5" t="s">
        <v>61</v>
      </c>
      <c r="M147" s="7">
        <v>2</v>
      </c>
      <c r="N147" s="7">
        <v>3</v>
      </c>
      <c r="O147" s="308">
        <v>14427</v>
      </c>
      <c r="P147" s="319">
        <v>0.03</v>
      </c>
      <c r="Q147" s="310">
        <v>433</v>
      </c>
      <c r="R147" s="319">
        <v>0</v>
      </c>
      <c r="S147" s="310">
        <v>0</v>
      </c>
      <c r="T147" s="319">
        <v>3.0013169751161018E-2</v>
      </c>
      <c r="U147" s="310">
        <v>433</v>
      </c>
      <c r="V147" s="310">
        <v>14860</v>
      </c>
      <c r="W147" s="311">
        <v>14427</v>
      </c>
      <c r="X147" s="312">
        <v>0</v>
      </c>
      <c r="Y147" s="320">
        <v>0</v>
      </c>
      <c r="Z147" s="321" t="s">
        <v>233</v>
      </c>
      <c r="AA147" s="315"/>
      <c r="AB147" s="315"/>
      <c r="AC147" s="315"/>
      <c r="AD147" s="322"/>
      <c r="AE147" s="308">
        <v>0</v>
      </c>
      <c r="AF147" s="317">
        <v>14427</v>
      </c>
      <c r="AG147" s="18">
        <v>0</v>
      </c>
      <c r="AH147" s="323">
        <v>0</v>
      </c>
      <c r="AI147" s="20">
        <v>14</v>
      </c>
      <c r="AJ147" s="20">
        <v>450</v>
      </c>
      <c r="AK147" s="20"/>
      <c r="AL147" s="20">
        <v>688</v>
      </c>
      <c r="AM147" s="20">
        <v>208066</v>
      </c>
      <c r="AN147" s="7">
        <v>3</v>
      </c>
      <c r="AO147" s="20"/>
      <c r="AP147" s="21" t="s">
        <v>2153</v>
      </c>
      <c r="AQ147" s="21" t="s">
        <v>128</v>
      </c>
      <c r="AR147" s="5" t="s">
        <v>2074</v>
      </c>
      <c r="AS147" s="5" t="s">
        <v>2075</v>
      </c>
      <c r="AT147" s="5" t="s">
        <v>247</v>
      </c>
      <c r="AU147" s="21"/>
      <c r="AV147" s="21"/>
      <c r="AW147" s="144" t="s">
        <v>2297</v>
      </c>
    </row>
    <row r="148" spans="1:49" ht="20" customHeight="1">
      <c r="A148" s="360"/>
      <c r="B148" s="5" t="s">
        <v>318</v>
      </c>
      <c r="C148" s="5">
        <v>1132111</v>
      </c>
      <c r="D148" s="5" t="s">
        <v>51</v>
      </c>
      <c r="E148" s="5" t="s">
        <v>52</v>
      </c>
      <c r="F148" s="5" t="s">
        <v>2035</v>
      </c>
      <c r="G148" s="5" t="s">
        <v>2110</v>
      </c>
      <c r="H148" s="5" t="s">
        <v>2111</v>
      </c>
      <c r="I148" s="6">
        <v>37760</v>
      </c>
      <c r="J148" s="5" t="s">
        <v>82</v>
      </c>
      <c r="K148" s="5" t="s">
        <v>2134</v>
      </c>
      <c r="L148" s="5" t="s">
        <v>84</v>
      </c>
      <c r="M148" s="7">
        <v>2</v>
      </c>
      <c r="N148" s="7">
        <v>3</v>
      </c>
      <c r="O148" s="308">
        <v>10600</v>
      </c>
      <c r="P148" s="319">
        <v>0.03</v>
      </c>
      <c r="Q148" s="310">
        <v>318</v>
      </c>
      <c r="R148" s="319">
        <v>0</v>
      </c>
      <c r="S148" s="310">
        <v>0</v>
      </c>
      <c r="T148" s="319">
        <v>0.03</v>
      </c>
      <c r="U148" s="310">
        <v>318</v>
      </c>
      <c r="V148" s="310">
        <v>10918</v>
      </c>
      <c r="W148" s="311">
        <v>10600</v>
      </c>
      <c r="X148" s="312">
        <v>0</v>
      </c>
      <c r="Y148" s="320">
        <v>0</v>
      </c>
      <c r="Z148" s="321" t="s">
        <v>233</v>
      </c>
      <c r="AA148" s="315"/>
      <c r="AB148" s="315"/>
      <c r="AC148" s="315"/>
      <c r="AD148" s="322"/>
      <c r="AE148" s="308">
        <v>0</v>
      </c>
      <c r="AF148" s="317">
        <v>10600</v>
      </c>
      <c r="AG148" s="18">
        <v>0</v>
      </c>
      <c r="AH148" s="323">
        <v>0</v>
      </c>
      <c r="AI148" s="20">
        <v>14</v>
      </c>
      <c r="AJ148" s="20">
        <v>500</v>
      </c>
      <c r="AK148" s="20"/>
      <c r="AL148" s="20">
        <v>688</v>
      </c>
      <c r="AM148" s="20">
        <v>155088</v>
      </c>
      <c r="AN148" s="7">
        <v>3</v>
      </c>
      <c r="AO148" s="20"/>
      <c r="AP148" s="21" t="s">
        <v>2155</v>
      </c>
      <c r="AQ148" s="21" t="s">
        <v>128</v>
      </c>
      <c r="AR148" s="5" t="s">
        <v>2074</v>
      </c>
      <c r="AS148" s="5" t="s">
        <v>2075</v>
      </c>
      <c r="AT148" s="5" t="s">
        <v>247</v>
      </c>
      <c r="AU148" s="21"/>
      <c r="AV148" s="21"/>
      <c r="AW148" s="307" t="s">
        <v>2297</v>
      </c>
    </row>
    <row r="149" spans="1:49" ht="20" customHeight="1">
      <c r="A149" s="360"/>
      <c r="B149" s="5" t="s">
        <v>318</v>
      </c>
      <c r="C149" s="5">
        <v>1110027</v>
      </c>
      <c r="D149" s="5" t="s">
        <v>51</v>
      </c>
      <c r="E149" s="5" t="s">
        <v>52</v>
      </c>
      <c r="F149" s="5" t="s">
        <v>2035</v>
      </c>
      <c r="G149" s="5" t="s">
        <v>2170</v>
      </c>
      <c r="H149" s="5" t="s">
        <v>2171</v>
      </c>
      <c r="I149" s="6">
        <v>40378</v>
      </c>
      <c r="J149" s="5" t="s">
        <v>140</v>
      </c>
      <c r="K149" s="5" t="s">
        <v>140</v>
      </c>
      <c r="L149" s="5" t="s">
        <v>61</v>
      </c>
      <c r="M149" s="7">
        <v>2</v>
      </c>
      <c r="N149" s="7">
        <v>3</v>
      </c>
      <c r="O149" s="308">
        <v>16060</v>
      </c>
      <c r="P149" s="319">
        <v>2.5000000000000001E-2</v>
      </c>
      <c r="Q149" s="310">
        <v>402</v>
      </c>
      <c r="R149" s="319">
        <v>0</v>
      </c>
      <c r="S149" s="310">
        <v>0</v>
      </c>
      <c r="T149" s="319">
        <v>2.5031133250311331E-2</v>
      </c>
      <c r="U149" s="310">
        <v>402</v>
      </c>
      <c r="V149" s="310">
        <v>16462</v>
      </c>
      <c r="W149" s="311">
        <v>16060</v>
      </c>
      <c r="X149" s="312">
        <v>0</v>
      </c>
      <c r="Y149" s="320">
        <v>0</v>
      </c>
      <c r="Z149" s="321" t="s">
        <v>232</v>
      </c>
      <c r="AA149" s="315"/>
      <c r="AB149" s="315"/>
      <c r="AC149" s="315"/>
      <c r="AD149" s="322"/>
      <c r="AE149" s="308">
        <v>0</v>
      </c>
      <c r="AF149" s="317">
        <v>16060</v>
      </c>
      <c r="AG149" s="18">
        <v>0</v>
      </c>
      <c r="AH149" s="323">
        <v>0</v>
      </c>
      <c r="AI149" s="20">
        <v>14</v>
      </c>
      <c r="AJ149" s="20">
        <v>850</v>
      </c>
      <c r="AK149" s="20"/>
      <c r="AL149" s="20">
        <v>688</v>
      </c>
      <c r="AM149" s="20">
        <v>235728</v>
      </c>
      <c r="AN149" s="7">
        <v>3</v>
      </c>
      <c r="AO149" s="20"/>
      <c r="AP149" s="21"/>
      <c r="AQ149" s="21" t="s">
        <v>128</v>
      </c>
      <c r="AR149" s="5" t="s">
        <v>2172</v>
      </c>
      <c r="AS149" s="5" t="s">
        <v>58</v>
      </c>
      <c r="AT149" s="5" t="s">
        <v>247</v>
      </c>
      <c r="AU149" s="21"/>
      <c r="AV149" s="21"/>
      <c r="AW149" s="144" t="s">
        <v>2297</v>
      </c>
    </row>
    <row r="150" spans="1:49" ht="20" customHeight="1">
      <c r="A150" s="360"/>
      <c r="B150" s="5" t="s">
        <v>318</v>
      </c>
      <c r="C150" s="5">
        <v>1320017</v>
      </c>
      <c r="D150" s="5" t="s">
        <v>51</v>
      </c>
      <c r="E150" s="5" t="s">
        <v>52</v>
      </c>
      <c r="F150" s="5" t="s">
        <v>2035</v>
      </c>
      <c r="G150" s="5" t="s">
        <v>2178</v>
      </c>
      <c r="H150" s="5" t="s">
        <v>2171</v>
      </c>
      <c r="I150" s="6">
        <v>44323</v>
      </c>
      <c r="J150" s="5" t="s">
        <v>82</v>
      </c>
      <c r="K150" s="5" t="s">
        <v>122</v>
      </c>
      <c r="L150" s="5" t="s">
        <v>84</v>
      </c>
      <c r="M150" s="7">
        <v>2</v>
      </c>
      <c r="N150" s="7">
        <v>3</v>
      </c>
      <c r="O150" s="308">
        <v>9800</v>
      </c>
      <c r="P150" s="319">
        <v>2.5000000000000001E-2</v>
      </c>
      <c r="Q150" s="310">
        <v>245</v>
      </c>
      <c r="R150" s="319">
        <v>0</v>
      </c>
      <c r="S150" s="310">
        <v>0</v>
      </c>
      <c r="T150" s="319">
        <v>2.5000000000000001E-2</v>
      </c>
      <c r="U150" s="310">
        <v>245</v>
      </c>
      <c r="V150" s="310">
        <v>10045</v>
      </c>
      <c r="W150" s="311">
        <v>9800</v>
      </c>
      <c r="X150" s="312">
        <v>0</v>
      </c>
      <c r="Y150" s="320">
        <v>0</v>
      </c>
      <c r="Z150" s="321" t="s">
        <v>232</v>
      </c>
      <c r="AA150" s="315"/>
      <c r="AB150" s="315"/>
      <c r="AC150" s="315"/>
      <c r="AD150" s="322"/>
      <c r="AE150" s="308">
        <v>0</v>
      </c>
      <c r="AF150" s="317">
        <v>9800</v>
      </c>
      <c r="AG150" s="18">
        <v>0</v>
      </c>
      <c r="AH150" s="323">
        <v>0</v>
      </c>
      <c r="AI150" s="20">
        <v>14</v>
      </c>
      <c r="AJ150" s="20">
        <v>450</v>
      </c>
      <c r="AK150" s="20"/>
      <c r="AL150" s="20">
        <v>688</v>
      </c>
      <c r="AM150" s="20">
        <v>143288</v>
      </c>
      <c r="AN150" s="7">
        <v>3</v>
      </c>
      <c r="AO150" s="20"/>
      <c r="AP150" s="21"/>
      <c r="AQ150" s="21" t="s">
        <v>107</v>
      </c>
      <c r="AR150" s="5" t="s">
        <v>2172</v>
      </c>
      <c r="AS150" s="5" t="s">
        <v>58</v>
      </c>
      <c r="AT150" s="5" t="s">
        <v>247</v>
      </c>
      <c r="AU150" s="21"/>
      <c r="AV150" s="21"/>
      <c r="AW150" s="307" t="s">
        <v>2297</v>
      </c>
    </row>
    <row r="151" spans="1:49" ht="20" customHeight="1">
      <c r="A151" s="360"/>
      <c r="B151" s="5" t="s">
        <v>318</v>
      </c>
      <c r="C151" s="5">
        <v>1120289</v>
      </c>
      <c r="D151" s="5" t="s">
        <v>51</v>
      </c>
      <c r="E151" s="5" t="s">
        <v>52</v>
      </c>
      <c r="F151" s="5" t="s">
        <v>2035</v>
      </c>
      <c r="G151" s="5" t="s">
        <v>2207</v>
      </c>
      <c r="H151" s="5" t="s">
        <v>161</v>
      </c>
      <c r="I151" s="6">
        <v>44200</v>
      </c>
      <c r="J151" s="5" t="s">
        <v>140</v>
      </c>
      <c r="K151" s="5" t="s">
        <v>140</v>
      </c>
      <c r="L151" s="5" t="s">
        <v>61</v>
      </c>
      <c r="M151" s="7">
        <v>2</v>
      </c>
      <c r="N151" s="7">
        <v>3</v>
      </c>
      <c r="O151" s="308">
        <v>13624</v>
      </c>
      <c r="P151" s="319">
        <v>0.03</v>
      </c>
      <c r="Q151" s="310">
        <v>409</v>
      </c>
      <c r="R151" s="319">
        <v>0</v>
      </c>
      <c r="S151" s="310">
        <v>0</v>
      </c>
      <c r="T151" s="319">
        <v>3.0020551967116851E-2</v>
      </c>
      <c r="U151" s="310">
        <v>409</v>
      </c>
      <c r="V151" s="310">
        <v>14033</v>
      </c>
      <c r="W151" s="311">
        <v>13624</v>
      </c>
      <c r="X151" s="312">
        <v>0</v>
      </c>
      <c r="Y151" s="320">
        <v>0</v>
      </c>
      <c r="Z151" s="321" t="s">
        <v>233</v>
      </c>
      <c r="AA151" s="315"/>
      <c r="AB151" s="315"/>
      <c r="AC151" s="315"/>
      <c r="AD151" s="322"/>
      <c r="AE151" s="308">
        <v>0</v>
      </c>
      <c r="AF151" s="317">
        <v>13624</v>
      </c>
      <c r="AG151" s="18">
        <v>0</v>
      </c>
      <c r="AH151" s="323">
        <v>0</v>
      </c>
      <c r="AI151" s="20">
        <v>14</v>
      </c>
      <c r="AJ151" s="20">
        <v>450</v>
      </c>
      <c r="AK151" s="20"/>
      <c r="AL151" s="20">
        <v>688</v>
      </c>
      <c r="AM151" s="20">
        <v>196824</v>
      </c>
      <c r="AN151" s="7">
        <v>3</v>
      </c>
      <c r="AO151" s="20"/>
      <c r="AP151" s="21" t="s">
        <v>2210</v>
      </c>
      <c r="AQ151" s="21" t="s">
        <v>128</v>
      </c>
      <c r="AR151" s="5" t="s">
        <v>2201</v>
      </c>
      <c r="AS151" s="5" t="s">
        <v>2202</v>
      </c>
      <c r="AT151" s="5" t="s">
        <v>247</v>
      </c>
      <c r="AU151" s="21"/>
      <c r="AV151" s="21"/>
      <c r="AW151" s="144" t="s">
        <v>2297</v>
      </c>
    </row>
    <row r="152" spans="1:49" ht="20" customHeight="1">
      <c r="A152" s="360"/>
      <c r="B152" s="5" t="s">
        <v>318</v>
      </c>
      <c r="C152" s="5">
        <v>1710386</v>
      </c>
      <c r="D152" s="5" t="s">
        <v>51</v>
      </c>
      <c r="E152" s="5" t="s">
        <v>52</v>
      </c>
      <c r="F152" s="5" t="s">
        <v>2035</v>
      </c>
      <c r="G152" s="5" t="s">
        <v>2206</v>
      </c>
      <c r="H152" s="5" t="s">
        <v>161</v>
      </c>
      <c r="I152" s="6">
        <v>44378</v>
      </c>
      <c r="J152" s="5" t="s">
        <v>82</v>
      </c>
      <c r="K152" s="5" t="s">
        <v>1417</v>
      </c>
      <c r="L152" s="5" t="s">
        <v>84</v>
      </c>
      <c r="M152" s="7">
        <v>2</v>
      </c>
      <c r="N152" s="7">
        <v>3</v>
      </c>
      <c r="O152" s="308">
        <v>7136</v>
      </c>
      <c r="P152" s="319">
        <v>0.03</v>
      </c>
      <c r="Q152" s="310">
        <v>214</v>
      </c>
      <c r="R152" s="319">
        <v>0</v>
      </c>
      <c r="S152" s="310">
        <v>0</v>
      </c>
      <c r="T152" s="319">
        <v>2.9988789237668161E-2</v>
      </c>
      <c r="U152" s="310">
        <v>214</v>
      </c>
      <c r="V152" s="310">
        <v>7350</v>
      </c>
      <c r="W152" s="311">
        <v>7136</v>
      </c>
      <c r="X152" s="312">
        <v>0</v>
      </c>
      <c r="Y152" s="320">
        <v>0</v>
      </c>
      <c r="Z152" s="321" t="s">
        <v>233</v>
      </c>
      <c r="AA152" s="315"/>
      <c r="AB152" s="315"/>
      <c r="AC152" s="315"/>
      <c r="AD152" s="322"/>
      <c r="AE152" s="308">
        <v>0</v>
      </c>
      <c r="AF152" s="317">
        <v>7136</v>
      </c>
      <c r="AG152" s="18">
        <v>0</v>
      </c>
      <c r="AH152" s="323">
        <v>0</v>
      </c>
      <c r="AI152" s="20">
        <v>14</v>
      </c>
      <c r="AJ152" s="20">
        <v>450</v>
      </c>
      <c r="AK152" s="20"/>
      <c r="AL152" s="20">
        <v>688</v>
      </c>
      <c r="AM152" s="20">
        <v>105992</v>
      </c>
      <c r="AN152" s="7">
        <v>3</v>
      </c>
      <c r="AO152" s="20"/>
      <c r="AP152" s="21" t="s">
        <v>2210</v>
      </c>
      <c r="AQ152" s="21" t="s">
        <v>128</v>
      </c>
      <c r="AR152" s="5" t="s">
        <v>2201</v>
      </c>
      <c r="AS152" s="5" t="s">
        <v>2202</v>
      </c>
      <c r="AT152" s="5" t="s">
        <v>247</v>
      </c>
      <c r="AU152" s="21"/>
      <c r="AV152" s="21"/>
      <c r="AW152" s="307" t="s">
        <v>2297</v>
      </c>
    </row>
    <row r="153" spans="1:49" ht="20" customHeight="1">
      <c r="A153" s="360"/>
      <c r="B153" s="5" t="s">
        <v>318</v>
      </c>
      <c r="C153" s="5">
        <v>1421192</v>
      </c>
      <c r="D153" s="5" t="s">
        <v>51</v>
      </c>
      <c r="E153" s="5" t="s">
        <v>52</v>
      </c>
      <c r="F153" s="5" t="s">
        <v>319</v>
      </c>
      <c r="G153" s="5" t="s">
        <v>2226</v>
      </c>
      <c r="H153" s="5" t="s">
        <v>2224</v>
      </c>
      <c r="I153" s="6">
        <v>41500</v>
      </c>
      <c r="J153" s="5" t="s">
        <v>243</v>
      </c>
      <c r="K153" s="5" t="s">
        <v>244</v>
      </c>
      <c r="L153" s="5" t="s">
        <v>84</v>
      </c>
      <c r="M153" s="7">
        <v>2</v>
      </c>
      <c r="N153" s="7">
        <v>3</v>
      </c>
      <c r="O153" s="308">
        <v>8455</v>
      </c>
      <c r="P153" s="319">
        <v>2.5000000000000001E-2</v>
      </c>
      <c r="Q153" s="310">
        <v>211</v>
      </c>
      <c r="R153" s="319">
        <v>0</v>
      </c>
      <c r="S153" s="310">
        <v>0</v>
      </c>
      <c r="T153" s="319">
        <v>2.4955647545830871E-2</v>
      </c>
      <c r="U153" s="310">
        <v>211</v>
      </c>
      <c r="V153" s="310">
        <v>8666</v>
      </c>
      <c r="W153" s="311">
        <v>8455</v>
      </c>
      <c r="X153" s="312">
        <v>0</v>
      </c>
      <c r="Y153" s="320">
        <v>0</v>
      </c>
      <c r="Z153" s="321" t="s">
        <v>2317</v>
      </c>
      <c r="AA153" s="315"/>
      <c r="AB153" s="315"/>
      <c r="AC153" s="315"/>
      <c r="AD153" s="322"/>
      <c r="AE153" s="308">
        <v>0</v>
      </c>
      <c r="AF153" s="317">
        <v>8455</v>
      </c>
      <c r="AG153" s="18">
        <v>0</v>
      </c>
      <c r="AH153" s="323">
        <v>0</v>
      </c>
      <c r="AI153" s="20">
        <v>14</v>
      </c>
      <c r="AJ153" s="20">
        <v>950</v>
      </c>
      <c r="AK153" s="20"/>
      <c r="AL153" s="20">
        <v>688</v>
      </c>
      <c r="AM153" s="20">
        <v>130458</v>
      </c>
      <c r="AN153" s="7">
        <v>2</v>
      </c>
      <c r="AO153" s="20"/>
      <c r="AP153" s="21" t="s">
        <v>107</v>
      </c>
      <c r="AQ153" s="21" t="s">
        <v>107</v>
      </c>
      <c r="AR153" s="5" t="s">
        <v>245</v>
      </c>
      <c r="AS153" s="5" t="s">
        <v>246</v>
      </c>
      <c r="AT153" s="5" t="s">
        <v>247</v>
      </c>
      <c r="AU153" s="21"/>
      <c r="AV153" s="21"/>
      <c r="AW153" s="144" t="s">
        <v>2297</v>
      </c>
    </row>
    <row r="154" spans="1:49" ht="20" customHeight="1">
      <c r="A154" s="360"/>
      <c r="B154" s="5" t="s">
        <v>318</v>
      </c>
      <c r="C154" s="5">
        <v>1520011</v>
      </c>
      <c r="D154" s="5" t="s">
        <v>51</v>
      </c>
      <c r="E154" s="5" t="s">
        <v>52</v>
      </c>
      <c r="F154" s="5" t="s">
        <v>319</v>
      </c>
      <c r="G154" s="5" t="s">
        <v>2227</v>
      </c>
      <c r="H154" s="5" t="s">
        <v>2224</v>
      </c>
      <c r="I154" s="6">
        <v>31107</v>
      </c>
      <c r="J154" s="5" t="s">
        <v>243</v>
      </c>
      <c r="K154" s="5" t="s">
        <v>244</v>
      </c>
      <c r="L154" s="5" t="s">
        <v>84</v>
      </c>
      <c r="M154" s="7">
        <v>2</v>
      </c>
      <c r="N154" s="7">
        <v>3</v>
      </c>
      <c r="O154" s="308">
        <v>8035</v>
      </c>
      <c r="P154" s="319">
        <v>2.5000000000000001E-2</v>
      </c>
      <c r="Q154" s="310">
        <v>201</v>
      </c>
      <c r="R154" s="319">
        <v>0</v>
      </c>
      <c r="S154" s="310">
        <v>0</v>
      </c>
      <c r="T154" s="319">
        <v>2.5015556938394523E-2</v>
      </c>
      <c r="U154" s="310">
        <v>201</v>
      </c>
      <c r="V154" s="310">
        <v>8236</v>
      </c>
      <c r="W154" s="311">
        <v>8035</v>
      </c>
      <c r="X154" s="312">
        <v>0</v>
      </c>
      <c r="Y154" s="320">
        <v>0</v>
      </c>
      <c r="Z154" s="321" t="s">
        <v>232</v>
      </c>
      <c r="AA154" s="315"/>
      <c r="AB154" s="315"/>
      <c r="AC154" s="315"/>
      <c r="AD154" s="322"/>
      <c r="AE154" s="308">
        <v>0</v>
      </c>
      <c r="AF154" s="317">
        <v>8035</v>
      </c>
      <c r="AG154" s="18">
        <v>0</v>
      </c>
      <c r="AH154" s="323">
        <v>0</v>
      </c>
      <c r="AI154" s="20">
        <v>14</v>
      </c>
      <c r="AJ154" s="20">
        <v>450</v>
      </c>
      <c r="AK154" s="20"/>
      <c r="AL154" s="20">
        <v>688</v>
      </c>
      <c r="AM154" s="20">
        <v>118578</v>
      </c>
      <c r="AN154" s="7">
        <v>2</v>
      </c>
      <c r="AO154" s="20"/>
      <c r="AP154" s="21" t="s">
        <v>107</v>
      </c>
      <c r="AQ154" s="21" t="s">
        <v>107</v>
      </c>
      <c r="AR154" s="5" t="s">
        <v>245</v>
      </c>
      <c r="AS154" s="5" t="s">
        <v>246</v>
      </c>
      <c r="AT154" s="5" t="s">
        <v>247</v>
      </c>
      <c r="AU154" s="21"/>
      <c r="AV154" s="21"/>
      <c r="AW154" s="307" t="s">
        <v>2297</v>
      </c>
    </row>
    <row r="155" spans="1:49" ht="20" customHeight="1">
      <c r="A155" s="360"/>
      <c r="B155" s="5" t="s">
        <v>318</v>
      </c>
      <c r="C155" s="5">
        <v>1520004</v>
      </c>
      <c r="D155" s="5" t="s">
        <v>51</v>
      </c>
      <c r="E155" s="5" t="s">
        <v>52</v>
      </c>
      <c r="F155" s="5" t="s">
        <v>319</v>
      </c>
      <c r="G155" s="5" t="s">
        <v>2222</v>
      </c>
      <c r="H155" s="5" t="s">
        <v>2238</v>
      </c>
      <c r="I155" s="6">
        <v>33786</v>
      </c>
      <c r="J155" s="5" t="s">
        <v>71</v>
      </c>
      <c r="K155" s="5" t="s">
        <v>263</v>
      </c>
      <c r="L155" s="5" t="s">
        <v>61</v>
      </c>
      <c r="M155" s="7">
        <v>2</v>
      </c>
      <c r="N155" s="7">
        <v>3</v>
      </c>
      <c r="O155" s="308">
        <v>16374</v>
      </c>
      <c r="P155" s="319">
        <v>0.03</v>
      </c>
      <c r="Q155" s="310">
        <v>491</v>
      </c>
      <c r="R155" s="319">
        <v>0</v>
      </c>
      <c r="S155" s="310">
        <v>0</v>
      </c>
      <c r="T155" s="319">
        <v>2.9986564064981066E-2</v>
      </c>
      <c r="U155" s="310">
        <v>491</v>
      </c>
      <c r="V155" s="310">
        <v>16865</v>
      </c>
      <c r="W155" s="311">
        <v>16374</v>
      </c>
      <c r="X155" s="312">
        <v>0</v>
      </c>
      <c r="Y155" s="320">
        <v>0</v>
      </c>
      <c r="Z155" s="321" t="s">
        <v>233</v>
      </c>
      <c r="AA155" s="315"/>
      <c r="AB155" s="315"/>
      <c r="AC155" s="315"/>
      <c r="AD155" s="322"/>
      <c r="AE155" s="308">
        <v>0</v>
      </c>
      <c r="AF155" s="317">
        <v>16374</v>
      </c>
      <c r="AG155" s="18">
        <v>0</v>
      </c>
      <c r="AH155" s="323">
        <v>0</v>
      </c>
      <c r="AI155" s="20">
        <v>14</v>
      </c>
      <c r="AJ155" s="20">
        <v>450</v>
      </c>
      <c r="AK155" s="20"/>
      <c r="AL155" s="20">
        <v>688</v>
      </c>
      <c r="AM155" s="20">
        <v>235324</v>
      </c>
      <c r="AN155" s="7">
        <v>3</v>
      </c>
      <c r="AO155" s="20"/>
      <c r="AP155" s="21" t="s">
        <v>2235</v>
      </c>
      <c r="AQ155" s="21" t="s">
        <v>128</v>
      </c>
      <c r="AR155" s="5" t="s">
        <v>265</v>
      </c>
      <c r="AS155" s="5" t="s">
        <v>246</v>
      </c>
      <c r="AT155" s="5" t="s">
        <v>247</v>
      </c>
      <c r="AU155" s="21"/>
      <c r="AV155" s="21"/>
      <c r="AW155" s="144" t="s">
        <v>2297</v>
      </c>
    </row>
    <row r="156" spans="1:49" ht="20" customHeight="1">
      <c r="A156" s="360"/>
      <c r="B156" s="5" t="s">
        <v>318</v>
      </c>
      <c r="C156" s="5">
        <v>1120031</v>
      </c>
      <c r="D156" s="5" t="s">
        <v>51</v>
      </c>
      <c r="E156" s="5" t="s">
        <v>52</v>
      </c>
      <c r="F156" s="5" t="s">
        <v>319</v>
      </c>
      <c r="G156" s="5" t="s">
        <v>2239</v>
      </c>
      <c r="H156" s="5" t="s">
        <v>2238</v>
      </c>
      <c r="I156" s="6">
        <v>36584</v>
      </c>
      <c r="J156" s="5" t="s">
        <v>198</v>
      </c>
      <c r="K156" s="5" t="s">
        <v>2240</v>
      </c>
      <c r="L156" s="5" t="s">
        <v>199</v>
      </c>
      <c r="M156" s="7">
        <v>2</v>
      </c>
      <c r="N156" s="7">
        <v>3</v>
      </c>
      <c r="O156" s="308">
        <v>29250</v>
      </c>
      <c r="P156" s="319">
        <v>0.03</v>
      </c>
      <c r="Q156" s="310">
        <v>878</v>
      </c>
      <c r="R156" s="319">
        <v>0</v>
      </c>
      <c r="S156" s="310">
        <v>0</v>
      </c>
      <c r="T156" s="319">
        <v>3.0017094017094018E-2</v>
      </c>
      <c r="U156" s="310">
        <v>878</v>
      </c>
      <c r="V156" s="310">
        <v>30128</v>
      </c>
      <c r="W156" s="311">
        <v>29250</v>
      </c>
      <c r="X156" s="312">
        <v>0</v>
      </c>
      <c r="Y156" s="320">
        <v>0</v>
      </c>
      <c r="Z156" s="321" t="s">
        <v>233</v>
      </c>
      <c r="AA156" s="315"/>
      <c r="AB156" s="315"/>
      <c r="AC156" s="315"/>
      <c r="AD156" s="322"/>
      <c r="AE156" s="308">
        <v>0</v>
      </c>
      <c r="AF156" s="317">
        <v>29250</v>
      </c>
      <c r="AG156" s="18">
        <v>0</v>
      </c>
      <c r="AH156" s="323">
        <v>0</v>
      </c>
      <c r="AI156" s="20">
        <v>14</v>
      </c>
      <c r="AJ156" s="20">
        <v>950</v>
      </c>
      <c r="AK156" s="20">
        <v>1000</v>
      </c>
      <c r="AL156" s="20">
        <v>688</v>
      </c>
      <c r="AM156" s="20">
        <v>433588</v>
      </c>
      <c r="AN156" s="7">
        <v>4</v>
      </c>
      <c r="AO156" s="20"/>
      <c r="AP156" s="21" t="s">
        <v>128</v>
      </c>
      <c r="AQ156" s="21" t="s">
        <v>128</v>
      </c>
      <c r="AR156" s="5" t="s">
        <v>267</v>
      </c>
      <c r="AS156" s="5" t="s">
        <v>246</v>
      </c>
      <c r="AT156" s="5" t="s">
        <v>247</v>
      </c>
      <c r="AU156" s="21"/>
      <c r="AV156" s="21"/>
      <c r="AW156" s="307" t="s">
        <v>2297</v>
      </c>
    </row>
    <row r="157" spans="1:49" ht="20" customHeight="1">
      <c r="A157" s="360"/>
      <c r="B157" s="5" t="s">
        <v>318</v>
      </c>
      <c r="C157" s="5">
        <v>1007574</v>
      </c>
      <c r="D157" s="5" t="s">
        <v>51</v>
      </c>
      <c r="E157" s="5" t="s">
        <v>52</v>
      </c>
      <c r="F157" s="5" t="s">
        <v>319</v>
      </c>
      <c r="G157" s="5" t="s">
        <v>2246</v>
      </c>
      <c r="H157" s="5" t="s">
        <v>2247</v>
      </c>
      <c r="I157" s="6">
        <v>40994</v>
      </c>
      <c r="J157" s="5" t="s">
        <v>71</v>
      </c>
      <c r="K157" s="5" t="s">
        <v>2248</v>
      </c>
      <c r="L157" s="5" t="s">
        <v>61</v>
      </c>
      <c r="M157" s="7">
        <v>2</v>
      </c>
      <c r="N157" s="7">
        <v>3</v>
      </c>
      <c r="O157" s="308">
        <v>10350</v>
      </c>
      <c r="P157" s="319">
        <v>0.03</v>
      </c>
      <c r="Q157" s="310">
        <v>311</v>
      </c>
      <c r="R157" s="319">
        <v>0</v>
      </c>
      <c r="S157" s="310">
        <v>0</v>
      </c>
      <c r="T157" s="319">
        <v>3.0048309178743963E-2</v>
      </c>
      <c r="U157" s="310">
        <v>311</v>
      </c>
      <c r="V157" s="310">
        <v>10661</v>
      </c>
      <c r="W157" s="311">
        <v>10350</v>
      </c>
      <c r="X157" s="312">
        <v>0</v>
      </c>
      <c r="Y157" s="320">
        <v>0</v>
      </c>
      <c r="Z157" s="321" t="s">
        <v>252</v>
      </c>
      <c r="AA157" s="315"/>
      <c r="AB157" s="315"/>
      <c r="AC157" s="315"/>
      <c r="AD157" s="322"/>
      <c r="AE157" s="308">
        <v>0</v>
      </c>
      <c r="AF157" s="317">
        <v>10350</v>
      </c>
      <c r="AG157" s="18">
        <v>0</v>
      </c>
      <c r="AH157" s="323">
        <v>0</v>
      </c>
      <c r="AI157" s="20">
        <v>14</v>
      </c>
      <c r="AJ157" s="20">
        <v>450</v>
      </c>
      <c r="AK157" s="20"/>
      <c r="AL157" s="20">
        <v>688</v>
      </c>
      <c r="AM157" s="20">
        <v>150988</v>
      </c>
      <c r="AN157" s="7">
        <v>3</v>
      </c>
      <c r="AO157" s="20"/>
      <c r="AP157" s="21" t="s">
        <v>97</v>
      </c>
      <c r="AQ157" s="21" t="s">
        <v>128</v>
      </c>
      <c r="AR157" s="5" t="s">
        <v>2249</v>
      </c>
      <c r="AS157" s="5" t="s">
        <v>246</v>
      </c>
      <c r="AT157" s="5" t="s">
        <v>247</v>
      </c>
      <c r="AU157" s="21"/>
      <c r="AV157" s="21"/>
      <c r="AW157" s="144" t="s">
        <v>2297</v>
      </c>
    </row>
    <row r="158" spans="1:49" ht="20" customHeight="1">
      <c r="A158" s="360"/>
      <c r="B158" s="5" t="s">
        <v>318</v>
      </c>
      <c r="C158" s="5">
        <v>1421181</v>
      </c>
      <c r="D158" s="5" t="s">
        <v>51</v>
      </c>
      <c r="E158" s="5" t="s">
        <v>52</v>
      </c>
      <c r="F158" s="5" t="s">
        <v>319</v>
      </c>
      <c r="G158" s="5" t="s">
        <v>2239</v>
      </c>
      <c r="H158" s="5" t="s">
        <v>2238</v>
      </c>
      <c r="I158" s="6">
        <v>40945</v>
      </c>
      <c r="J158" s="5" t="s">
        <v>111</v>
      </c>
      <c r="K158" s="5" t="s">
        <v>111</v>
      </c>
      <c r="L158" s="5" t="s">
        <v>56</v>
      </c>
      <c r="M158" s="7">
        <v>2</v>
      </c>
      <c r="N158" s="7">
        <v>3</v>
      </c>
      <c r="O158" s="308">
        <v>19300</v>
      </c>
      <c r="P158" s="319">
        <v>2.5000000000000001E-2</v>
      </c>
      <c r="Q158" s="310">
        <v>483</v>
      </c>
      <c r="R158" s="319">
        <v>0</v>
      </c>
      <c r="S158" s="310">
        <v>0</v>
      </c>
      <c r="T158" s="319">
        <v>2.5025906735751294E-2</v>
      </c>
      <c r="U158" s="310">
        <v>483</v>
      </c>
      <c r="V158" s="310">
        <v>19783</v>
      </c>
      <c r="W158" s="311">
        <v>19300</v>
      </c>
      <c r="X158" s="312">
        <v>0</v>
      </c>
      <c r="Y158" s="320">
        <v>0</v>
      </c>
      <c r="Z158" s="321" t="s">
        <v>232</v>
      </c>
      <c r="AA158" s="315"/>
      <c r="AB158" s="315"/>
      <c r="AC158" s="315"/>
      <c r="AD158" s="322"/>
      <c r="AE158" s="308">
        <v>0</v>
      </c>
      <c r="AF158" s="317">
        <v>19300</v>
      </c>
      <c r="AG158" s="18">
        <v>0</v>
      </c>
      <c r="AH158" s="323">
        <v>0</v>
      </c>
      <c r="AI158" s="20">
        <v>14</v>
      </c>
      <c r="AJ158" s="20">
        <v>450</v>
      </c>
      <c r="AK158" s="20"/>
      <c r="AL158" s="20">
        <v>688</v>
      </c>
      <c r="AM158" s="20">
        <v>276288</v>
      </c>
      <c r="AN158" s="7">
        <v>4</v>
      </c>
      <c r="AO158" s="20"/>
      <c r="AP158" s="21"/>
      <c r="AQ158" s="21" t="s">
        <v>97</v>
      </c>
      <c r="AR158" s="5" t="s">
        <v>2249</v>
      </c>
      <c r="AS158" s="5" t="s">
        <v>246</v>
      </c>
      <c r="AT158" s="5" t="s">
        <v>247</v>
      </c>
      <c r="AU158" s="21" t="s">
        <v>2255</v>
      </c>
      <c r="AV158" s="21"/>
      <c r="AW158" s="307" t="s">
        <v>2297</v>
      </c>
    </row>
    <row r="159" spans="1:49" ht="20" customHeight="1">
      <c r="A159" s="360"/>
      <c r="B159" s="5" t="s">
        <v>318</v>
      </c>
      <c r="C159" s="5">
        <v>15022528</v>
      </c>
      <c r="D159" s="5" t="s">
        <v>51</v>
      </c>
      <c r="E159" s="5" t="s">
        <v>52</v>
      </c>
      <c r="F159" s="5" t="s">
        <v>62</v>
      </c>
      <c r="G159" s="5" t="s">
        <v>154</v>
      </c>
      <c r="H159" s="5" t="s">
        <v>155</v>
      </c>
      <c r="I159" s="6">
        <v>45314</v>
      </c>
      <c r="J159" s="5" t="s">
        <v>82</v>
      </c>
      <c r="K159" s="5" t="s">
        <v>158</v>
      </c>
      <c r="L159" s="5" t="s">
        <v>84</v>
      </c>
      <c r="M159" s="7">
        <v>2</v>
      </c>
      <c r="N159" s="7">
        <v>4</v>
      </c>
      <c r="O159" s="308">
        <v>15000</v>
      </c>
      <c r="P159" s="319">
        <v>1.4999999999999998E-2</v>
      </c>
      <c r="Q159" s="310">
        <v>225</v>
      </c>
      <c r="R159" s="319">
        <v>0</v>
      </c>
      <c r="S159" s="310">
        <v>0</v>
      </c>
      <c r="T159" s="319">
        <v>1.4999999999999999E-2</v>
      </c>
      <c r="U159" s="310">
        <v>225</v>
      </c>
      <c r="V159" s="310">
        <v>15225</v>
      </c>
      <c r="W159" s="311">
        <v>15000</v>
      </c>
      <c r="X159" s="312">
        <v>0</v>
      </c>
      <c r="Y159" s="320">
        <v>0</v>
      </c>
      <c r="Z159" s="321" t="s">
        <v>2318</v>
      </c>
      <c r="AA159" s="315"/>
      <c r="AB159" s="315"/>
      <c r="AC159" s="315"/>
      <c r="AD159" s="322"/>
      <c r="AE159" s="308">
        <v>0</v>
      </c>
      <c r="AF159" s="317">
        <v>15000</v>
      </c>
      <c r="AG159" s="18">
        <v>0</v>
      </c>
      <c r="AH159" s="323">
        <v>0</v>
      </c>
      <c r="AI159" s="20">
        <v>14</v>
      </c>
      <c r="AJ159" s="20">
        <v>550</v>
      </c>
      <c r="AK159" s="20"/>
      <c r="AL159" s="20">
        <v>688</v>
      </c>
      <c r="AM159" s="20">
        <v>217288</v>
      </c>
      <c r="AN159" s="7">
        <v>4</v>
      </c>
      <c r="AO159" s="20"/>
      <c r="AP159" s="21"/>
      <c r="AQ159" s="21" t="s">
        <v>149</v>
      </c>
      <c r="AR159" s="5" t="s">
        <v>157</v>
      </c>
      <c r="AS159" s="5" t="s">
        <v>124</v>
      </c>
      <c r="AT159" s="5"/>
      <c r="AU159" s="21"/>
      <c r="AV159" s="21"/>
      <c r="AW159" s="346" t="s">
        <v>2297</v>
      </c>
    </row>
  </sheetData>
  <protectedRanges>
    <protectedRange sqref="AA3:AD3 W3" name="Green_10_1_3_1"/>
    <protectedRange sqref="AA4:AD4 W4" name="Green_10_1_1_1_1"/>
    <protectedRange sqref="AP9:AQ9 AA9:AD9 W9" name="Green_1_1_1_3_1"/>
    <protectedRange sqref="AP10:AQ12 AA10:AD12 W10:W12" name="Green_1_1_1_1_5_1"/>
    <protectedRange sqref="W16:W17 AA16:AD17 AP16:AQ17" name="Green_6_4_1"/>
    <protectedRange sqref="AU16:AV17" name="Green_6_1_1_1"/>
    <protectedRange sqref="W18 AA18:AD18 AP18:AQ18" name="Green_6_2_1_1"/>
    <protectedRange sqref="AU18:AV18" name="Green_6_3_1_1"/>
    <protectedRange sqref="AP19:AQ19 W19 AA19:AD19" name="Green_1_3_6_1"/>
    <protectedRange sqref="AU19:AV19" name="Green_1_3_1_3_1"/>
    <protectedRange sqref="AP20:AQ20 W20 AA20:AD20" name="Green_1_3_2_1_1"/>
    <protectedRange sqref="AU20:AV20" name="Green_1_3_3_1_1"/>
    <protectedRange sqref="AP21:AQ21 W21 AA21:AD21" name="Green_2_2_16_1"/>
    <protectedRange sqref="AU21:AV21" name="Green_2_2_1_5_1"/>
    <protectedRange sqref="AP22:AQ22 W22 AA22:AD22" name="Green_2_2_2_2_1"/>
    <protectedRange sqref="AU22:AV22" name="Green_2_2_3_2_1"/>
    <protectedRange sqref="AP23:AQ23 W23 AA23:AD23" name="Green_2_2_4_2_1"/>
    <protectedRange sqref="AU23:AV23" name="Green_2_2_5_2_1"/>
    <protectedRange sqref="AP24:AQ25 AA24:AD25 W24:W25" name="Green_3_2_2_1"/>
    <protectedRange sqref="AU24:AV25" name="Green_3_2_1_5_1"/>
    <protectedRange sqref="W26 AP26:AQ26 AA26:AD26" name="Green_4_3_2_1"/>
    <protectedRange sqref="AU26:AV26" name="Green_4_3_1_1_1"/>
    <protectedRange sqref="AP27:AQ27 AA27:AD27 W27" name="Green_5_2_4_1"/>
    <protectedRange sqref="AU27:AV27" name="Green_5_2_1_1_1"/>
    <protectedRange sqref="AP28:AQ28 AA28:AD28 W28" name="Green_3_4_2"/>
    <protectedRange sqref="AP29:AQ29 AA29:AD29 W29" name="Green_1_1_3_2"/>
    <protectedRange sqref="AP30:AQ30 AA30:AD30 W30" name="Green_1_1_2_1_2"/>
    <protectedRange sqref="AP31:AQ31 AA31:AD31 W31" name="Green_2_1_4_2"/>
    <protectedRange sqref="AP32:AQ32 AA32:AD32 W32" name="Green_2_1_1_7_2"/>
    <protectedRange sqref="AP33:AQ34 AA33:AD34 W33:W34" name="Green_3_3_1_2"/>
    <protectedRange sqref="W35 AA35:AD35 AP35 AQ35:AQ40" name="Green_4_1_12_2"/>
    <protectedRange sqref="W36 AA36:AD36 AP36" name="Green_4_1_1_1_2"/>
    <protectedRange sqref="W37 AA37:AD37 AP37" name="Green_4_1_2_3_2"/>
    <protectedRange sqref="W38 AA38:AD38 AP38" name="Green_4_1_3_1_2"/>
    <protectedRange sqref="W39 AA39:AD39 AP39" name="Green_4_1_4_1_2"/>
    <protectedRange sqref="W40 AA40:AD40 AP40" name="Green_4_1_5_1_2"/>
    <protectedRange sqref="W41 AA41:AD41 AP41:AQ41" name="Green_4_1_6_2_2"/>
    <protectedRange sqref="AP42:AQ42 AA42:AD42 W42" name="Green_9_3_2"/>
    <protectedRange sqref="AP43:AQ44 AA43:AD44 W43:W44" name="Green_9_1_5_2"/>
    <protectedRange sqref="AP45:AQ45 AA45:AD45 W45" name="Green_11_2_2"/>
    <protectedRange sqref="AP46:AQ46 AA46:AD46 W46" name="Green_11_1_1_2"/>
    <protectedRange sqref="AP47:AQ47 AA47:AD47 W47" name="Green_12_4_2"/>
    <protectedRange sqref="AP48 AA48:AD48 W48" name="Green_12_1_1_2"/>
    <protectedRange sqref="AP49:AQ49 AA49:AD49 W49" name="Green_12_2_1_2"/>
    <protectedRange sqref="AP50:AQ50 AA50:AD50 W50" name="Green_12_3_1_2"/>
    <protectedRange sqref="AP51:AQ51 AA51:AD51 W51" name="Green_5_8_2"/>
    <protectedRange sqref="AP52:AQ52 AA52:AD52 W52" name="Green_5_1_13_2"/>
    <protectedRange sqref="AP53:AQ53 AA53:AD53 W53 AQ54" name="Green_5_3_2_2"/>
    <protectedRange sqref="AP54 AA54:AD54 W54" name="Green_5_4_1_2"/>
    <protectedRange sqref="AP55:AQ55 AA55:AD55 W55" name="Green_5_5_1_2"/>
    <protectedRange sqref="AP56:AQ56 AA56:AD56 W56" name="Green_5_6_1_2"/>
    <protectedRange sqref="AP57:AQ57 AA57:AD57 W57" name="Green_15_13_2"/>
    <protectedRange sqref="AU57:AV57" name="Green_15_1_2_2"/>
    <protectedRange sqref="AP58:AQ58 AA58:AD58 W58" name="Green_15_2_2_2"/>
    <protectedRange sqref="AU58:AV58" name="Green_15_3_2_2"/>
    <protectedRange sqref="AP59:AQ59 AA59:AD59 W59 AQ60" name="Green_1_2_2_2"/>
    <protectedRange sqref="AU59:AV59" name="Green_1_2_1_1_2"/>
    <protectedRange sqref="AP60 AA60:AD60 W60" name="Green_1_1_1_1_1_1_2"/>
    <protectedRange sqref="AU60:AV60" name="Green_1_1_1_1_2_1_2"/>
    <protectedRange sqref="AP61:AQ61 AA61:AD61 W61" name="Green_2_1_1_1_2_2"/>
    <protectedRange sqref="AU61:AV61" name="Green_2_1_1_2_2_2"/>
    <protectedRange sqref="AP62:AQ63 AA62:AD63 W62:W63 AQ64 AQ68:AQ73" name="Green_2_1_1_3_2_2"/>
    <protectedRange sqref="AU62:AV63" name="Green_2_1_1_4_2_2"/>
    <protectedRange sqref="AP64 AA64:AD64 W64" name="Green_4_1_2_1_2_2"/>
    <protectedRange sqref="AU64:AV64" name="Green_4_1_2_2_2_2"/>
    <protectedRange sqref="AP65 AA65:AD65 W65" name="Green_5_1_1_2_2"/>
    <protectedRange sqref="AU65:AV65" name="Green_5_1_2_2_2"/>
    <protectedRange sqref="AP66:AQ66 AA66:AD66 W66" name="Green_5_1_3_2_2"/>
    <protectedRange sqref="AU66:AV66" name="Green_5_1_4_2_2"/>
    <protectedRange sqref="AP67 AA67:AD67 W67" name="Green_5_1_5_2_2"/>
    <protectedRange sqref="AU67:AV67" name="Green_5_1_6_2_2"/>
    <protectedRange sqref="AP68 AA68:AD68 W68" name="Green_7_1_12_2"/>
    <protectedRange sqref="AU68:AV68" name="Green_7_1_1_5_2"/>
    <protectedRange sqref="AA69:AD70 W69:W70 AP69:AP70" name="Green_7_1_2_2_2"/>
    <protectedRange sqref="AU69:AV70" name="Green_7_1_3_2_2"/>
    <protectedRange sqref="AP71 AA71:AD71 W71" name="Green_7_1_4_2_2"/>
    <protectedRange sqref="AU71:AV71" name="Green_7_1_5_1_2"/>
    <protectedRange sqref="AP72 AA72:AD72 W72" name="Green_7_1_6_1_2"/>
    <protectedRange sqref="AU72:AV72" name="Green_7_1_7_1_2"/>
    <protectedRange sqref="AP73 AA73:AD73 W73" name="Green_7_1_8_1_2"/>
    <protectedRange sqref="AU73:AV73" name="Green_7_1_9_1_2"/>
    <protectedRange sqref="AP74:AQ74 AA74:AD74 W74" name="Green_9_1_1_2_2"/>
    <protectedRange sqref="AU74:AV74" name="Green_9_1_2_2_2"/>
    <protectedRange sqref="AP75:AQ75 AA75:AD75 W75" name="Green_9_1_3_2_2"/>
    <protectedRange sqref="AU75:AV75" name="Green_9_1_4_2_2"/>
    <protectedRange sqref="AP76:AQ76 AA76:AD76 W76" name="Green_8_1_5_2"/>
    <protectedRange sqref="AU76:AV76" name="Green_8_1_1_3_2"/>
    <protectedRange sqref="W77 AA77:AD77 AP77:AQ77" name="Green_2_2_1_1_2_2"/>
    <protectedRange sqref="AU77:AV77" name="Green_2_2_1_2_2_2"/>
    <protectedRange sqref="W78 AA78:AD78 AP78:AQ78" name="Green_2_2_1_3_1_2"/>
    <protectedRange sqref="AU78:AV78" name="Green_2_2_1_4_1_2"/>
    <protectedRange sqref="AP79:AQ79 AA79:AD79 W79" name="Green_3_2_1_1_2_2"/>
    <protectedRange sqref="AU79:AV79" name="Green_3_2_1_2_2_2"/>
    <protectedRange sqref="AP80:AQ80 AA80:AD80 W80" name="Green_4_2_1_4_2"/>
    <protectedRange sqref="AU80:AV80" name="Green_4_2_1_1_1_2"/>
    <protectedRange sqref="AP81:AQ81 AA81:AD81 W81" name="Green_4_2_1_2_1_2"/>
    <protectedRange sqref="AU81:AV81" name="Green_4_2_1_3_1_2"/>
    <protectedRange sqref="AA82:AD82 AP82:AQ82" name="Green_7_1_1_1_2_2"/>
    <protectedRange sqref="W82" name="Green_8_1_1_1_2_2"/>
    <protectedRange sqref="AU82:AV82" name="Green_7_1_1_2_1_2"/>
    <protectedRange sqref="AP83:AQ83 AA83:AD83 W83" name="Green_17_2_2"/>
    <protectedRange sqref="AP84:AQ84 AA84:AD84 W84" name="Green_17_1_2_2"/>
    <protectedRange sqref="AA85:AD85 W85" name="Green_10_1_2_1_3"/>
    <protectedRange sqref="AP87:AQ87 AA87:AD87 W87" name="Green_1_1_1_2_1_3"/>
    <protectedRange sqref="AP88 W88 AA88:AD88" name="Green_1_3_4_1_3"/>
    <protectedRange sqref="AU88:AV88" name="Green_1_3_5_1_3"/>
    <protectedRange sqref="AP89:AQ89 W89 AA89:AD89" name="Green_2_2_6_2_3"/>
    <protectedRange sqref="AU89:AV89" name="Green_2_2_7_2_3"/>
    <protectedRange sqref="AP90:AQ90 W90 AA90:AD90" name="Green_2_2_8_2_3"/>
    <protectedRange sqref="AU90:AV90" name="Green_2_2_9_2_3"/>
    <protectedRange sqref="AP91:AQ91 W91 AA91:AD91" name="Green_2_2_10_2_3"/>
    <protectedRange sqref="AU91:AV91" name="Green_2_2_11_2_3"/>
    <protectedRange sqref="AP92:AQ92 W92 AA92:AD92" name="Green_2_2_12_2_3"/>
    <protectedRange sqref="AU92:AV92" name="Green_2_2_13_2_3"/>
    <protectedRange sqref="AP93:AQ93 W93 AA93:AD93" name="Green_2_2_14_1_3"/>
    <protectedRange sqref="AU93:AV93" name="Green_2_2_15_1_3"/>
    <protectedRange sqref="AP94 AA94:AD94 W94" name="Green_5_2_2_1_3"/>
    <protectedRange sqref="AU94:AV94" name="Green_5_2_3_1_3"/>
    <protectedRange sqref="W95 AA95:AD95 AP95" name="Green_4_1_7_2_3"/>
    <protectedRange sqref="AP96:AQ96 AA96:AD96 W96 AQ95 AQ97:AQ99 AQ102:AQ103" name="Green_9_2_1_3"/>
    <protectedRange sqref="AP97 AA97:AD97 W97" name="Green_5_7_1_3"/>
    <protectedRange sqref="AP98 AA98:AD98 W98" name="Green_1_1_1_1_3_1_3"/>
    <protectedRange sqref="AU98:AV98" name="Green_1_1_1_1_4_1_3"/>
    <protectedRange sqref="AP99 AA99:AD99 W99" name="Green_2_1_1_5_2_3"/>
    <protectedRange sqref="AU99:AV99" name="Green_2_1_1_6_2_3"/>
    <protectedRange sqref="W100 AA100:AD100 AP100:AQ100 AQ101" name="Green_3_1_1_2_3"/>
    <protectedRange sqref="AU100:AV100" name="Green_3_1_1_1_1_3"/>
    <protectedRange sqref="AP101 AA101:AD101 W101" name="Green_5_1_7_2_3"/>
    <protectedRange sqref="AU101:AV101" name="Green_5_1_8_1_3"/>
    <protectedRange sqref="AP102 AA102:AD102 W102" name="Green_5_1_9_1_3"/>
    <protectedRange sqref="AU102:AV102" name="Green_5_1_10_1_3"/>
    <protectedRange sqref="AP103 AA103:AD103 W103" name="Green_5_1_11_1_3"/>
    <protectedRange sqref="AU103:AV103" name="Green_5_1_12_1_3"/>
    <protectedRange sqref="AP104 AA104:AD104 W104" name="Green_7_1_10_1_3"/>
    <protectedRange sqref="AU104:AV104" name="Green_7_1_11_1_3"/>
    <protectedRange sqref="AA105 AD105" name="Green_7_1_1_3_1_3"/>
    <protectedRange sqref="W105" name="Green_8_1_1_2_1_3"/>
    <protectedRange sqref="AB105:AC105" name="Green_9_1_1_1_2_3"/>
    <protectedRange sqref="AP105" name="Green_10_2_1_3"/>
    <protectedRange sqref="AU105:AV105" name="Green_7_1_1_4_1_3"/>
  </protectedRanges>
  <autoFilter ref="A1:AW159" xr:uid="{DBDDA768-6FEC-4E9C-BB9D-E9034382050F}"/>
  <mergeCells count="3">
    <mergeCell ref="A106:A159"/>
    <mergeCell ref="A85:A105"/>
    <mergeCell ref="A2:A84"/>
  </mergeCells>
  <conditionalFormatting sqref="Y2:Y12">
    <cfRule type="expression" dxfId="33" priority="20">
      <formula>IF(OR($L2=1,$L2=2,$L2=4),     OR($X2&lt;--LEFT($Y2,FIND("-",$Y2)-1),$X2&gt;--RIGHT($Y2,LEN($Y2)-FIND("-",$Y2))),     OR($X2=0,        $X2&lt;--LEFT($Y2,FIND("-",$Y2)-1),        $X2&gt;--RIGHT($Y2,LEN($Y2)-FIND("-",$Y2))) )</formula>
    </cfRule>
  </conditionalFormatting>
  <conditionalFormatting sqref="Y16:Y28">
    <cfRule type="expression" dxfId="32" priority="19">
      <formula>IF(OR($L16=1,$L16=2,$L16=4),     OR($X16&lt;--LEFT($Y16,FIND("-",$Y16)-1),$X16&gt;--RIGHT($Y16,LEN($Y16)-FIND("-",$Y16))),     OR($X16=0,        $X16&lt;--LEFT($Y16,FIND("-",$Y16)-1),        $X16&gt;--RIGHT($Y16,LEN($Y16)-FIND("-",$Y16))) )</formula>
    </cfRule>
  </conditionalFormatting>
  <conditionalFormatting sqref="Y29">
    <cfRule type="expression" dxfId="31" priority="18">
      <formula>IF(OR($L25=1,$L25=2,$L25=4),OR($X25&lt;--LEFT($Y25,FIND("-",$Y25)-1),$X25&gt;--RIGHT($Y25,LEN($Y25)-FIND("-",$Y25))),OR($X25=0,$X25&lt;--LEFT($Y25,FIND("-",$Y25)-1),$X25&gt;--RIGHT($Y25,LEN($Y25)-FIND("-",$Y25))))</formula>
    </cfRule>
  </conditionalFormatting>
  <conditionalFormatting sqref="Y30">
    <cfRule type="expression" dxfId="30" priority="17">
      <formula>IF(OR($L24=1,$L24=2,$L24=4),OR($X24&lt;--LEFT($Y24,FIND("-",$Y24)-1),$X24&gt;--RIGHT($Y24,LEN($Y24)-FIND("-",$Y24))),OR($X24=0,$X24&lt;--LEFT($Y24,FIND("-",$Y24)-1),$X24&gt;--RIGHT($Y24,LEN($Y24)-FIND("-",$Y24))))</formula>
    </cfRule>
  </conditionalFormatting>
  <conditionalFormatting sqref="Y31:Y32">
    <cfRule type="expression" dxfId="29" priority="16">
      <formula>IF(OR($L31=1,$L31=2,$L31=4),     OR($X31&lt;--LEFT($Y31,FIND("-",$Y31)-1),$X31&gt;--RIGHT($Y31,LEN($Y31)-FIND("-",$Y31))),     OR($X31=0,        $X31&lt;--LEFT($Y31,FIND("-",$Y31)-1),        $X31&gt;--RIGHT($Y31,LEN($Y31)-FIND("-",$Y31))) )</formula>
    </cfRule>
  </conditionalFormatting>
  <conditionalFormatting sqref="Y33">
    <cfRule type="expression" dxfId="28" priority="14">
      <formula>IF(OR($L26=1,$L26=2,$L26=4),OR($X26&lt;--LEFT($Y26,FIND("-",$Y26)-1),$X26&gt;--RIGHT($Y26,LEN($Y26)-FIND("-",$Y26))),OR($X26=0,$X26&lt;--LEFT($Y26,FIND("-",$Y26)-1),$X26&gt;--RIGHT($Y26,LEN($Y26)-FIND("-",$Y26))))</formula>
    </cfRule>
  </conditionalFormatting>
  <conditionalFormatting sqref="Y34">
    <cfRule type="expression" dxfId="27" priority="15">
      <formula>IF(OR($L26=1,$L26=2,$L26=4),OR($X26&lt;--LEFT($Y26,FIND("-",$Y26)-1),$X26&gt;--RIGHT($Y26,LEN($Y26)-FIND("-",$Y26))),OR($X26=0,$X26&lt;--LEFT($Y26,FIND("-",$Y26)-1),$X26&gt;--RIGHT($Y26,LEN($Y26)-FIND("-",$Y26))))</formula>
    </cfRule>
  </conditionalFormatting>
  <conditionalFormatting sqref="Y35:Y41">
    <cfRule type="expression" dxfId="26" priority="13">
      <formula>IF(OR(#REF!=1,#REF!=2,#REF!=4),OR(#REF!&lt;--LEFT(#REF!,FIND("-",#REF!)-1),#REF!&gt;--RIGHT(#REF!,LEN(#REF!)-FIND("-",#REF!))),OR(#REF!=0,#REF!&lt;--LEFT(#REF!,FIND("-",#REF!)-1),#REF!&gt;--RIGHT(#REF!,LEN(#REF!)-FIND("-",#REF!))))</formula>
    </cfRule>
  </conditionalFormatting>
  <conditionalFormatting sqref="Y42:Y94">
    <cfRule type="expression" dxfId="25" priority="5">
      <formula>IF(OR($L42=1,$L42=2,$L42=4),     OR($X42&lt;--LEFT($Y42,FIND("-",$Y42)-1),$X42&gt;--RIGHT($Y42,LEN($Y42)-FIND("-",$Y42))),     OR($X42=0,        $X42&lt;--LEFT($Y42,FIND("-",$Y42)-1),        $X42&gt;--RIGHT($Y42,LEN($Y42)-FIND("-",$Y42))) )</formula>
    </cfRule>
  </conditionalFormatting>
  <conditionalFormatting sqref="Y45">
    <cfRule type="expression" dxfId="24" priority="12">
      <formula>IF(OR($L38=1,$L38=2,$L38=4),OR($X38&lt;--LEFT($Y38,FIND("-",$Y38)-1),$X38&gt;--RIGHT($Y38,LEN($Y38)-FIND("-",$Y38))),OR($X38=0,$X38&lt;--LEFT($Y38,FIND("-",$Y38)-1),$X38&gt;--RIGHT($Y38,LEN($Y38)-FIND("-",$Y38))))</formula>
    </cfRule>
  </conditionalFormatting>
  <conditionalFormatting sqref="Y46">
    <cfRule type="expression" dxfId="23" priority="11">
      <formula>IF(OR($L34=1,$L34=2,$L34=4),OR($X34&lt;--LEFT($Y34,FIND("-",$Y34)-1),$X34&gt;--RIGHT($Y34,LEN($Y34)-FIND("-",$Y34))),OR($X34=0,$X34&lt;--LEFT($Y34,FIND("-",$Y34)-1),$X34&gt;--RIGHT($Y34,LEN($Y34)-FIND("-",$Y34))))</formula>
    </cfRule>
  </conditionalFormatting>
  <conditionalFormatting sqref="Y47">
    <cfRule type="expression" dxfId="22" priority="10">
      <formula>IF(OR($L27=1,$L27=2,$L27=4),OR($X27&lt;--LEFT($Y27,FIND("-",$Y27)-1),$X27&gt;--RIGHT($Y27,LEN($Y27)-FIND("-",$Y27))),OR($X27=0,$X27&lt;--LEFT($Y27,FIND("-",$Y27)-1),$X27&gt;--RIGHT($Y27,LEN($Y27)-FIND("-",$Y27))))</formula>
    </cfRule>
  </conditionalFormatting>
  <conditionalFormatting sqref="Y48">
    <cfRule type="expression" dxfId="21" priority="9">
      <formula>IF(OR($L18=1,$L18=2,$L18=4),OR($X18&lt;--LEFT($Y18,FIND("-",$Y18)-1),$X18&gt;--RIGHT($Y18,LEN($Y18)-FIND("-",$Y18))),OR($X18=0,$X18&lt;--LEFT($Y18,FIND("-",$Y18)-1),$X18&gt;--RIGHT($Y18,LEN($Y18)-FIND("-",$Y18))))</formula>
    </cfRule>
  </conditionalFormatting>
  <conditionalFormatting sqref="Y49">
    <cfRule type="expression" dxfId="20" priority="23">
      <formula>IF(OR($L158=1,$L158=2,$L158=4),OR($X158&lt;--LEFT($Y158,FIND("-",$Y158)-1),$X158&gt;--RIGHT($Y158,LEN($Y158)-FIND("-",$Y158))),OR($X158=0,$X158&lt;--LEFT($Y158,FIND("-",$Y158)-1),$X158&gt;--RIGHT($Y158,LEN($Y158)-FIND("-",$Y158))))</formula>
    </cfRule>
  </conditionalFormatting>
  <conditionalFormatting sqref="Y50">
    <cfRule type="expression" dxfId="19" priority="24">
      <formula>IF(OR($L138=1,$L138=2,$L138=4),OR($X138&lt;--LEFT($Y138,FIND("-",$Y138)-1),$X138&gt;--RIGHT($Y138,LEN($Y138)-FIND("-",$Y138))),OR($X138=0,$X138&lt;--LEFT($Y138,FIND("-",$Y138)-1),$X138&gt;--RIGHT($Y138,LEN($Y138)-FIND("-",$Y138))))</formula>
    </cfRule>
  </conditionalFormatting>
  <conditionalFormatting sqref="Y95">
    <cfRule type="expression" dxfId="18" priority="4">
      <formula>IF(OR(#REF!=1,#REF!=2,#REF!=4),OR(#REF!&lt;--LEFT(#REF!,FIND("-",#REF!)-1),#REF!&gt;--RIGHT(#REF!,LEN(#REF!)-FIND("-",#REF!))),OR(#REF!=0,#REF!&lt;--LEFT(#REF!,FIND("-",#REF!)-1),#REF!&gt;--RIGHT(#REF!,LEN(#REF!)-FIND("-",#REF!))))</formula>
    </cfRule>
  </conditionalFormatting>
  <conditionalFormatting sqref="Y96:Y105">
    <cfRule type="expression" dxfId="17" priority="3">
      <formula>IF(OR($L96=1,$L96=2,$L96=4),     OR($X96&lt;--LEFT($Y96,FIND("-",$Y96)-1),$X96&gt;--RIGHT($Y96,LEN($Y96)-FIND("-",$Y96))),     OR($X96=0,        $X96&lt;--LEFT($Y96,FIND("-",$Y96)-1),        $X96&gt;--RIGHT($Y96,LEN($Y96)-FIND("-",$Y96))) )</formula>
    </cfRule>
  </conditionalFormatting>
  <conditionalFormatting sqref="Y106:Y110 Y112:Y122 Y129:Y159">
    <cfRule type="expression" dxfId="16" priority="64">
      <formula>IF(OR($M106=1,$M106=2,$M106=4),     OR($Y106&lt;--LEFT($Z106,FIND("-",$Z106)-1),$Y106&gt;--RIGHT($Z106,LEN($Z106)-FIND("-",$Z106))),     OR($Y106=0,        $Y106&lt;--LEFT($Z106,FIND("-",$Z106)-1),        $Y106&gt;--RIGHT($Z106,LEN($Z106)-FIND("-",$Z106))) )</formula>
    </cfRule>
  </conditionalFormatting>
  <conditionalFormatting sqref="Y123:Y128">
    <cfRule type="expression" dxfId="15" priority="58">
      <formula>IF(OR(#REF!=1,#REF!=2,#REF!=4),OR(#REF!&lt;--LEFT(#REF!,FIND("-",#REF!)-1),#REF!&gt;--RIGHT(#REF!,LEN(#REF!)-FIND("-",#REF!))),OR(#REF!=0,#REF!&lt;--LEFT(#REF!,FIND("-",#REF!)-1),#REF!&gt;--RIGHT(#REF!,LEN(#REF!)-FIND("-",#REF!))))</formula>
    </cfRule>
  </conditionalFormatting>
  <conditionalFormatting sqref="AD2:AD12">
    <cfRule type="cellIs" dxfId="14" priority="21" operator="lessThan">
      <formula>-0.2</formula>
    </cfRule>
    <cfRule type="cellIs" dxfId="13" priority="22" operator="greaterThan">
      <formula>0.2</formula>
    </cfRule>
  </conditionalFormatting>
  <conditionalFormatting sqref="AD16:AD110">
    <cfRule type="cellIs" dxfId="12" priority="1" operator="lessThan">
      <formula>-0.2</formula>
    </cfRule>
    <cfRule type="cellIs" dxfId="11" priority="2" operator="greaterThan">
      <formula>0.2</formula>
    </cfRule>
  </conditionalFormatting>
  <conditionalFormatting sqref="AD112:AD159">
    <cfRule type="cellIs" dxfId="10" priority="50" operator="lessThan">
      <formula>-0.2</formula>
    </cfRule>
    <cfRule type="cellIs" dxfId="9" priority="51" operator="greaterThan">
      <formula>0.2</formula>
    </cfRule>
  </conditionalFormatting>
  <dataValidations count="42">
    <dataValidation type="custom" errorStyle="information" allowBlank="1" showInputMessage="1" showErrorMessage="1" error="promotion increase 5%~20%" sqref="AD112:AD159 AD2:AD12 AD16:AD110" xr:uid="{04925C42-66E9-4AF1-AACC-92469E456E4B}">
      <formula1>IF(OR(AND(AD2&gt;=-0.2,AD2&lt;=-0.05),AND(AD2&gt;=0.05,AD2&lt;=0.2)),AD2,0)</formula1>
    </dataValidation>
    <dataValidation type="custom" errorStyle="information" allowBlank="1" showInputMessage="1" showErrorMessage="1" error="promotion increase 5%~20%" sqref="AD133 AD12 AD30 AD44 AD68 AD79" xr:uid="{EEA6A216-CB0F-4A98-83F8-7066B82F4F68}">
      <formula1>IF(OR(AND(AD6&gt;=-0.2,AD6&lt;=-0.05),AND(AD6&gt;=0.05,AD6&lt;=0.2)),AD6,0)</formula1>
    </dataValidation>
    <dataValidation type="custom" errorStyle="information" allowBlank="1" showInputMessage="1" showErrorMessage="1" error="promotion increase 5%~20%" sqref="AD135 AD20" xr:uid="{AA796094-B8E3-41C0-8B52-3A5DA80E63E0}">
      <formula1>IF(OR(AND(AD10&gt;=-0.2,AD10&lt;=-0.05),AND(AD10&gt;=0.05,AD10&lt;=0.2)),AD10,0)</formula1>
    </dataValidation>
    <dataValidation type="custom" errorStyle="information" allowBlank="1" showInputMessage="1" showErrorMessage="1" error="promotion increase 5%~20%" sqref="AD118 AD131 AD158 AD81 AD88" xr:uid="{2E1F6866-BE39-4FFB-93FA-E932ADBEC96D}">
      <formula1>IF(OR(AND(AD78&gt;=-0.2,AD78&lt;=-0.05),AND(AD78&gt;=0.05,AD78&lt;=0.2)),AD78,0)</formula1>
    </dataValidation>
    <dataValidation type="custom" errorStyle="information" allowBlank="1" showInputMessage="1" showErrorMessage="1" error="promotion increase 5%~20%" sqref="AD119 AD134 AD69 AD16 AD19 AD34 AD96" xr:uid="{B983B314-4708-443E-A506-CB4572E4874A}">
      <formula1>IF(OR(AND(AD8&gt;=-0.2,AD8&lt;=-0.05),AND(AD8&gt;=0.05,AD8&lt;=0.2)),AD8,0)</formula1>
    </dataValidation>
    <dataValidation type="custom" errorStyle="information" allowBlank="1" showInputMessage="1" showErrorMessage="1" error="promotion increase 5%~20%" sqref="AD117 AD121" xr:uid="{F53F1FC3-04C8-4787-9D7D-09CFE6864DC7}">
      <formula1>IF(OR(AND(AD1048497&gt;=-0.2,AD1048497&lt;=-0.05),AND(AD1048497&gt;=0.05,AD1048497&lt;=0.2)),AD1048497,0)</formula1>
    </dataValidation>
    <dataValidation type="custom" errorStyle="information" allowBlank="1" showInputMessage="1" showErrorMessage="1" error="promotion increase 5%~20%" sqref="AD122" xr:uid="{77F557AA-EE47-4236-B8BF-E9D26A829197}">
      <formula1>IF(OR(AND(AD1048494&gt;=-0.2,AD1048494&lt;=-0.05),AND(AD1048494&gt;=0.05,AD1048494&lt;=0.2)),AD1048494,0)</formula1>
    </dataValidation>
    <dataValidation type="custom" errorStyle="information" allowBlank="1" showInputMessage="1" showErrorMessage="1" error="promotion increase 5%~20%" sqref="AD123:AD128 AD138:AD148 AD153:AD156 AD59:AD67 AD76:AD78 AD82 AD35:AD41 AD105 AD95 AD98:AD103 AD85:AD86 AD89:AD91" xr:uid="{854714DD-234F-46D9-B373-49DCF03B542B}">
      <formula1>IF(OR(AND(#REF!&gt;=-0.2,#REF!&lt;=-0.05),AND(#REF!&gt;=0.05,#REF!&lt;=0.2)),#REF!,0)</formula1>
    </dataValidation>
    <dataValidation type="custom" errorStyle="information" allowBlank="1" showInputMessage="1" showErrorMessage="1" error="promotion increase 5%~20%" sqref="AD136 AD152 AD71" xr:uid="{AA354359-DF84-4C18-BC3D-C9BFDAA79436}">
      <formula1>IF(OR(AND(AD58&gt;=-0.2,AD58&lt;=-0.05),AND(AD58&gt;=0.05,AD58&lt;=0.2)),AD58,0)</formula1>
    </dataValidation>
    <dataValidation type="custom" errorStyle="information" allowBlank="1" showInputMessage="1" showErrorMessage="1" error="promotion increase 5%~20%" sqref="AD113 AD159 AD11 AD43" xr:uid="{1D117FE7-3FD8-41F1-B283-3C78A1000EDA}">
      <formula1>IF(OR(AND(AD6&gt;=-0.2,AD6&lt;=-0.05),AND(AD6&gt;=0.05,AD6&lt;=0.2)),AD6,0)</formula1>
    </dataValidation>
    <dataValidation type="custom" errorStyle="information" allowBlank="1" showInputMessage="1" showErrorMessage="1" error="promotion increase 5%~20%" sqref="AD114 AD151 AD33 AD45" xr:uid="{0360985A-0AFA-484F-B095-55000530D310}">
      <formula1>IF(OR(AND(AD26&gt;=-0.2,AD26&lt;=-0.05),AND(AD26&gt;=0.05,AD26&lt;=0.2)),AD26,0)</formula1>
    </dataValidation>
    <dataValidation type="custom" errorStyle="information" allowBlank="1" showInputMessage="1" showErrorMessage="1" error="promotion increase 5%~20%" sqref="AD115 AD70 AD17 AD94" xr:uid="{E35D6CE7-402A-4724-9158-7430E36FFBF5}">
      <formula1>IF(OR(AND(AD8&gt;=-0.2,AD8&lt;=-0.05),AND(AD8&gt;=0.05,AD8&lt;=0.2)),AD8,0)</formula1>
    </dataValidation>
    <dataValidation type="custom" errorStyle="information" allowBlank="1" showInputMessage="1" showErrorMessage="1" error="promotion increase 5%~20%" sqref="AD116" xr:uid="{65FD1AD6-5199-474E-AD38-054CE84784CD}">
      <formula1>IF(OR(AND(AD1048498&gt;=-0.2,AD1048498&lt;=-0.05),AND(AD1048498&gt;=0.05,AD1048498&lt;=0.2)),AD1048498,0)</formula1>
    </dataValidation>
    <dataValidation type="custom" errorStyle="information" allowBlank="1" showInputMessage="1" showErrorMessage="1" error="promotion increase 5%~20%" sqref="AD120 AD9 AD27 AD80" xr:uid="{18DC4E2F-65FA-4EC2-88D0-1A6E832AF13F}">
      <formula1>IF(OR(AND(AD8&gt;=-0.2,AD8&lt;=-0.05),AND(AD8&gt;=0.05,AD8&lt;=0.2)),AD8,0)</formula1>
    </dataValidation>
    <dataValidation type="custom" errorStyle="information" allowBlank="1" showInputMessage="1" showErrorMessage="1" error="promotion increase 5%~20%" sqref="AD132 AD10 AD29 AD84" xr:uid="{05988D42-C61F-47E4-80DC-F9FCA4C16234}">
      <formula1>IF(OR(AND(AD6&gt;=-0.2,AD6&lt;=-0.05),AND(AD6&gt;=0.05,AD6&lt;=0.2)),AD6,0)</formula1>
    </dataValidation>
    <dataValidation type="custom" errorStyle="information" allowBlank="1" showInputMessage="1" showErrorMessage="1" error="promotion increase 5%~20%" sqref="AD137 AD72" xr:uid="{536B0D0A-FCC7-4DD7-857C-89B187920085}">
      <formula1>IF(OR(AND(AD57&gt;=-0.2,AD57&lt;=-0.05),AND(AD57&gt;=0.05,AD57&lt;=0.2)),AD57,0)</formula1>
    </dataValidation>
    <dataValidation type="custom" errorStyle="information" allowBlank="1" showInputMessage="1" showErrorMessage="1" error="promotion increase 5%~20%" sqref="AD150 AD46" xr:uid="{72EFA2F6-782B-45CD-A64E-2E3D0541F347}">
      <formula1>IF(OR(AND(AD34&gt;=-0.2,AD34&lt;=-0.05),AND(AD34&gt;=0.05,AD34&lt;=0.2)),AD34,0)</formula1>
    </dataValidation>
    <dataValidation type="custom" errorStyle="information" allowBlank="1" showInputMessage="1" showErrorMessage="1" error="promotion increase 5%~20%" sqref="AD58 AD74" xr:uid="{62BF90DB-36EC-450C-B5DD-E7E0A8ACDF48}">
      <formula1>IF(OR(AND(AD47&gt;=-0.2,AD47&lt;=-0.05),AND(AD47&gt;=0.05,AD47&lt;=0.2)),AD47,0)</formula1>
    </dataValidation>
    <dataValidation type="custom" errorStyle="information" allowBlank="1" showInputMessage="1" showErrorMessage="1" error="promotion increase 5%~20%" sqref="AD48" xr:uid="{CC320596-0852-4CF0-A653-1362A730DB16}">
      <formula1>IF(OR(AND(AD18&gt;=-0.2,AD18&lt;=-0.05),AND(AD18&gt;=0.05,AD18&lt;=0.2)),AD18,0)</formula1>
    </dataValidation>
    <dataValidation type="custom" errorStyle="information" allowBlank="1" showInputMessage="1" showErrorMessage="1" error="promotion increase 5%~20%" sqref="AD25 AD73" xr:uid="{A44EC865-5B55-43E6-B505-D2F345491197}">
      <formula1>IF(OR(AND(AD7&gt;=-0.2,AD7&lt;=-0.05),AND(AD7&gt;=0.05,AD7&lt;=0.2)),AD7,0)</formula1>
    </dataValidation>
    <dataValidation type="custom" errorStyle="information" allowBlank="1" showInputMessage="1" showErrorMessage="1" error="promotion increase 5%~20%" sqref="AD24" xr:uid="{11BF9D08-4D64-4A30-8A0A-6F5C812EE9AE}">
      <formula1>IF(OR(AND(AD7&gt;=-0.2,AD7&lt;=-0.05),AND(AD7&gt;=0.05,AD7&lt;=0.2)),AD7,0)</formula1>
    </dataValidation>
    <dataValidation type="custom" errorStyle="information" allowBlank="1" showInputMessage="1" showErrorMessage="1" error="promotion increase 5%~20%" sqref="AD22" xr:uid="{D1E21A3F-AD66-4041-90D7-93B28E0CB00C}">
      <formula1>IF(OR(AND(AD8&gt;=-0.2,AD8&lt;=-0.05),AND(AD8&gt;=0.05,AD8&lt;=0.2)),AD8,0)</formula1>
    </dataValidation>
    <dataValidation type="custom" errorStyle="information" allowBlank="1" showInputMessage="1" showErrorMessage="1" error="promotion increase 5%~20%" sqref="AD108" xr:uid="{8C72C8AF-4A6F-4D05-9333-D9F7AA1AF1E6}">
      <formula1>IF(OR(AND(AD1048505&gt;=-0.2,AD1048505&lt;=-0.05),AND(AD1048505&gt;=0.05,AD1048505&lt;=0.2)),AD1048505,0)</formula1>
    </dataValidation>
    <dataValidation type="custom" errorStyle="information" allowBlank="1" showInputMessage="1" showErrorMessage="1" error="promotion increase 5%~20%" sqref="AD47 AD75" xr:uid="{644B7004-FEF3-4807-A727-CCB2403F2E0A}">
      <formula1>IF(OR(AND(AD27&gt;=-0.2,AD27&lt;=-0.05),AND(AD27&gt;=0.05,AD27&lt;=0.2)),AD27,0)</formula1>
    </dataValidation>
    <dataValidation type="custom" errorStyle="information" allowBlank="1" showInputMessage="1" showErrorMessage="1" error="promotion increase 5%~20%" sqref="AD83 AD5 AD21 AD42 AD57 AD104" xr:uid="{7BA7F72B-1E48-4FC7-B615-0655F2FE5899}">
      <formula1>IF(OR(AND(AD3&gt;=-0.2,AD3&lt;=-0.05),AND(AD3&gt;=0.05,AD3&lt;=0.2)),AD3,0)</formula1>
    </dataValidation>
    <dataValidation type="custom" errorStyle="information" allowBlank="1" showInputMessage="1" showErrorMessage="1" error="promotion increase 5%~20%" sqref="AD109" xr:uid="{6FCA29C7-4908-4FC8-9A8C-3C1674E7A361}">
      <formula1>IF(OR(AND(AD1048502&gt;=-0.2,AD1048502&lt;=-0.05),AND(AD1048502&gt;=0.05,AD1048502&lt;=0.2)),AD1048502,0)</formula1>
    </dataValidation>
    <dataValidation type="custom" errorStyle="information" allowBlank="1" showInputMessage="1" showErrorMessage="1" error="promotion increase 5%~20%" sqref="AD110" xr:uid="{C1651097-BE9B-49E7-AB01-139C427B2CB9}">
      <formula1>IF(OR(AND(AD1048500&gt;=-0.2,AD1048500&lt;=-0.05),AND(AD1048500&gt;=0.05,AD1048500&lt;=0.2)),AD1048500,0)</formula1>
    </dataValidation>
    <dataValidation type="list" showInputMessage="1" showErrorMessage="1" sqref="AA2:AA159" xr:uid="{FBF9BD48-0DFB-4539-9CD3-C987A3E218CC}">
      <formula1>"Promotion,Demotion"</formula1>
    </dataValidation>
    <dataValidation allowBlank="1" showInputMessage="1" showErrorMessage="1" errorTitle="Over budget" error="You are over budget,please adjust." sqref="S2:V159 Q2:Q159 Z2:Z159" xr:uid="{E1465AFF-21D7-452F-91F6-550FB75B1DC9}"/>
    <dataValidation type="custom" errorStyle="information" allowBlank="1" showInputMessage="1" showErrorMessage="1" error="promotion increase 5%~20%" sqref="AD3" xr:uid="{29758306-0E2E-44CE-BF78-7982BCDD4F55}">
      <formula1>IF(OR(AND(AD155&gt;=-0.2,AD155&lt;=-0.05),AND(AD155&gt;=0.05,AD155&lt;=0.2)),AD155,0)</formula1>
    </dataValidation>
    <dataValidation type="custom" errorStyle="information" allowBlank="1" showInputMessage="1" showErrorMessage="1" error="promotion increase 5%~20%" sqref="AD6" xr:uid="{86BC4EE6-BC10-4938-85F9-0AF510B49DCA}">
      <formula1>IF(OR(AND(AD157&gt;=-0.2,AD157&lt;=-0.05),AND(AD157&gt;=0.05,AD157&lt;=0.2)),AD157,0)</formula1>
    </dataValidation>
    <dataValidation type="custom" errorStyle="information" allowBlank="1" showInputMessage="1" showErrorMessage="1" error="promotion increase 5%~20%" sqref="AD4" xr:uid="{967D5FE5-13DD-40CB-BEDC-36BA91E9C9CA}">
      <formula1>IF(OR(AND(AD153&gt;=-0.2,AD153&lt;=-0.05),AND(AD153&gt;=0.05,AD153&lt;=0.2)),AD153,0)</formula1>
    </dataValidation>
    <dataValidation type="custom" errorStyle="information" allowBlank="1" showInputMessage="1" showErrorMessage="1" error="promotion increase 5%~20%" sqref="AD23" xr:uid="{6D08298B-0D9E-42DF-8542-6BCDD595C235}">
      <formula1>IF(OR(AND(AD155&gt;=-0.2,AD155&lt;=-0.05),AND(AD155&gt;=0.05,AD155&lt;=0.2)),AD155,0)</formula1>
    </dataValidation>
    <dataValidation type="custom" errorStyle="information" allowBlank="1" showInputMessage="1" showErrorMessage="1" error="promotion increase 5%~20%" sqref="AD7" xr:uid="{024107A8-488D-47EB-B81D-C12AB995C6CD}">
      <formula1>IF(OR(AND(AD146&gt;=-0.2,AD146&lt;=-0.05),AND(AD146&gt;=0.05,AD146&lt;=0.2)),AD146,0)</formula1>
    </dataValidation>
    <dataValidation type="custom" errorStyle="information" allowBlank="1" showInputMessage="1" showErrorMessage="1" error="promotion increase 5%~20%" sqref="AD50" xr:uid="{D962E5C7-D767-4F96-A3B7-9831920C6779}">
      <formula1>IF(OR(AND(AD138&gt;=-0.2,AD138&lt;=-0.05),AND(AD138&gt;=0.05,AD138&lt;=0.2)),AD138,0)</formula1>
    </dataValidation>
    <dataValidation type="custom" errorStyle="information" allowBlank="1" showInputMessage="1" showErrorMessage="1" error="promotion increase 5%~20%" sqref="AD49" xr:uid="{A5684B36-4F97-4A4B-89DC-03551A6EEF96}">
      <formula1>IF(OR(AND(AD158&gt;=-0.2,AD158&lt;=-0.05),AND(AD158&gt;=0.05,AD158&lt;=0.2)),AD158,0)</formula1>
    </dataValidation>
    <dataValidation type="custom" errorStyle="information" allowBlank="1" showInputMessage="1" showErrorMessage="1" error="promotion increase 5%~20%" sqref="AD32" xr:uid="{9CCA4D34-5B66-4983-B49F-D9EBB366047E}">
      <formula1>IF(OR(AND(AD151&gt;=-0.2,AD151&lt;=-0.05),AND(AD151&gt;=0.05,AD151&lt;=0.2)),AD151,0)</formula1>
    </dataValidation>
    <dataValidation type="custom" errorStyle="information" allowBlank="1" showInputMessage="1" showErrorMessage="1" error="promotion increase 5%~20%" sqref="AD31" xr:uid="{94C8646A-18A9-42B9-B880-B5068C3F6726}">
      <formula1>IF(OR(AND(AD154&gt;=-0.2,AD154&lt;=-0.05),AND(AD154&gt;=0.05,AD154&lt;=0.2)),AD154,0)</formula1>
    </dataValidation>
    <dataValidation type="custom" errorStyle="information" allowBlank="1" showInputMessage="1" showErrorMessage="1" error="promotion increase 5%~20%" sqref="AD18" xr:uid="{B3483DE7-BCEC-4EED-9FDB-2225A06399AF}">
      <formula1>IF(OR(AND(AD155&gt;=-0.2,AD155&lt;=-0.05),AND(AD155&gt;=0.05,AD155&lt;=0.2)),AD155,0)</formula1>
    </dataValidation>
    <dataValidation type="custom" errorStyle="information" allowBlank="1" showInputMessage="1" showErrorMessage="1" error="promotion increase 5%~20%" sqref="AD8" xr:uid="{450986C0-14F5-483E-9EC4-29F6A1C27AB5}">
      <formula1>IF(OR(AND(AD146&gt;=-0.2,AD146&lt;=-0.05),AND(AD146&gt;=0.05,AD146&lt;=0.2)),AD146,0)</formula1>
    </dataValidation>
    <dataValidation type="custom" errorStyle="information" allowBlank="1" showInputMessage="1" showErrorMessage="1" error="promotion increase 5%~20%" sqref="AD92" xr:uid="{895B225A-CC10-4F6B-8D0E-9ACA32D46CBF}">
      <formula1>IF(OR(AND(AD20&gt;=-0.2,AD20&lt;=-0.05),AND(AD20&gt;=0.05,AD20&lt;=0.2)),AD20,0)</formula1>
    </dataValidation>
    <dataValidation type="custom" errorStyle="information" allowBlank="1" showInputMessage="1" showErrorMessage="1" error="promotion increase 5%~20%" sqref="AD93" xr:uid="{29D02544-2AD6-4778-9684-184C7A46A7EB}">
      <formula1>IF(OR(AND(AD19&gt;=-0.2,AD19&lt;=-0.05),AND(AD19&gt;=0.05,AD19&lt;=0.2)),AD19,0)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A755F-99AE-405F-8BA2-5E7990A3157B}">
  <dimension ref="A1:AX1162"/>
  <sheetViews>
    <sheetView topLeftCell="A17" workbookViewId="0">
      <selection activeCell="D17" sqref="D1:D1048576"/>
    </sheetView>
  </sheetViews>
  <sheetFormatPr defaultRowHeight="14.5"/>
  <cols>
    <col min="1" max="1" width="18.453125" customWidth="1"/>
    <col min="2" max="2" width="11.453125" customWidth="1"/>
    <col min="3" max="3" width="11.36328125" customWidth="1"/>
    <col min="4" max="4" width="13.26953125" customWidth="1"/>
    <col min="6" max="6" width="11.36328125" customWidth="1"/>
    <col min="7" max="7" width="13.81640625" customWidth="1"/>
    <col min="8" max="8" width="11" customWidth="1"/>
    <col min="9" max="9" width="13.08984375" customWidth="1"/>
    <col min="11" max="11" width="11.54296875" customWidth="1"/>
    <col min="12" max="12" width="14.453125" customWidth="1"/>
    <col min="13" max="13" width="17.90625" customWidth="1"/>
    <col min="14" max="14" width="27.54296875" customWidth="1"/>
    <col min="15" max="15" width="16.6328125" customWidth="1"/>
    <col min="17" max="17" width="27.26953125" customWidth="1"/>
    <col min="21" max="21" width="43.453125" customWidth="1"/>
    <col min="22" max="22" width="37.54296875" customWidth="1"/>
    <col min="23" max="23" width="21.54296875" customWidth="1"/>
    <col min="24" max="24" width="17.1796875" customWidth="1"/>
    <col min="25" max="25" width="46.7265625" customWidth="1"/>
    <col min="26" max="26" width="33.54296875" customWidth="1"/>
    <col min="27" max="27" width="27.1796875" customWidth="1"/>
    <col min="28" max="28" width="21.08984375" customWidth="1"/>
    <col min="29" max="29" width="13.1796875" customWidth="1"/>
    <col min="31" max="31" width="46.7265625" customWidth="1"/>
    <col min="33" max="33" width="37.08984375" customWidth="1"/>
    <col min="34" max="34" width="33.08984375" customWidth="1"/>
    <col min="35" max="35" width="15.1796875" customWidth="1"/>
    <col min="36" max="36" width="29.7265625" customWidth="1"/>
    <col min="37" max="37" width="27" customWidth="1"/>
    <col min="39" max="39" width="22.453125" customWidth="1"/>
    <col min="40" max="40" width="27.54296875" customWidth="1"/>
    <col min="41" max="41" width="24.453125" customWidth="1"/>
    <col min="42" max="42" width="25.08984375" customWidth="1"/>
    <col min="43" max="43" width="15.6328125" customWidth="1"/>
    <col min="44" max="44" width="30.6328125" customWidth="1"/>
    <col min="45" max="45" width="27.7265625" customWidth="1"/>
    <col min="47" max="47" width="44.7265625" customWidth="1"/>
    <col min="48" max="50" width="22.90625" customWidth="1"/>
  </cols>
  <sheetData>
    <row r="1" spans="1:50" ht="25.5" thickBot="1">
      <c r="A1" s="23"/>
      <c r="B1" s="24" t="s">
        <v>302</v>
      </c>
      <c r="C1" s="25"/>
      <c r="D1" s="25"/>
      <c r="E1" s="25"/>
      <c r="F1" s="25"/>
      <c r="G1" s="26"/>
      <c r="H1" s="27"/>
      <c r="I1" s="28"/>
      <c r="J1" s="27"/>
      <c r="K1" s="27"/>
      <c r="L1" s="27"/>
      <c r="M1" s="29"/>
      <c r="N1" s="29"/>
      <c r="O1" s="30">
        <f>SUM($O$9:$O$1000)</f>
        <v>5267197</v>
      </c>
      <c r="P1" s="31"/>
      <c r="Q1" s="31"/>
      <c r="R1" s="31"/>
      <c r="S1" s="31"/>
      <c r="T1" s="32"/>
      <c r="U1" s="33" t="s">
        <v>303</v>
      </c>
      <c r="V1" s="32"/>
      <c r="W1" s="34">
        <f>COUNTIF($X$9:$X$1200,"&gt;0")/COUNTA($B$9:$B$1200)</f>
        <v>0.91247833622183705</v>
      </c>
      <c r="X1" s="31"/>
      <c r="Y1" s="35"/>
      <c r="Z1" s="35"/>
      <c r="AA1" s="32"/>
      <c r="AB1" s="36"/>
      <c r="AC1" s="32"/>
      <c r="AD1" s="32"/>
      <c r="AE1" s="35"/>
      <c r="AF1" s="37"/>
      <c r="AG1" s="38"/>
      <c r="AH1" s="38"/>
      <c r="AI1" s="37"/>
      <c r="AJ1" s="37"/>
      <c r="AK1" s="37"/>
      <c r="AL1" s="37"/>
      <c r="AM1" s="37"/>
      <c r="AN1" s="37"/>
      <c r="AO1" s="37"/>
      <c r="AP1" s="37"/>
      <c r="AQ1" s="37"/>
      <c r="AR1" s="37"/>
      <c r="AS1" s="37"/>
      <c r="AT1" s="37"/>
      <c r="AU1" s="37"/>
      <c r="AV1" s="37"/>
      <c r="AW1" s="37"/>
      <c r="AX1" s="37"/>
    </row>
    <row r="2" spans="1:50" ht="20">
      <c r="A2" s="23"/>
      <c r="B2" s="26"/>
      <c r="C2" s="25"/>
      <c r="D2" s="25"/>
      <c r="E2" s="25"/>
      <c r="F2" s="25"/>
      <c r="G2" s="26"/>
      <c r="H2" s="27"/>
      <c r="I2" s="28"/>
      <c r="J2" s="27"/>
      <c r="K2" s="27"/>
      <c r="L2" s="27"/>
      <c r="M2" s="29"/>
      <c r="N2" s="29"/>
      <c r="O2" s="39"/>
      <c r="P2" s="32"/>
      <c r="Q2" s="32"/>
      <c r="R2" s="32"/>
      <c r="S2" s="32"/>
      <c r="T2" s="32"/>
      <c r="U2" s="40" t="s">
        <v>304</v>
      </c>
      <c r="V2" s="41"/>
      <c r="W2" s="42">
        <f>SUM($Q$9:$Q$1000)</f>
        <v>105346</v>
      </c>
      <c r="X2" s="35"/>
      <c r="Y2" s="35"/>
      <c r="Z2" s="35"/>
      <c r="AA2" s="32"/>
      <c r="AB2" s="40" t="s">
        <v>305</v>
      </c>
      <c r="AC2" s="41"/>
      <c r="AD2" s="41"/>
      <c r="AE2" s="43">
        <f>COUNTIFS($AA$9:$AA$1000,"Promotion")/COUNTA($B$9:$B$1000)</f>
        <v>4.0322580645161289E-3</v>
      </c>
      <c r="AF2" s="37"/>
      <c r="AG2" s="38"/>
      <c r="AH2" s="38"/>
      <c r="AI2" s="37"/>
      <c r="AJ2" s="37"/>
      <c r="AK2" s="37"/>
      <c r="AL2" s="37"/>
      <c r="AM2" s="37"/>
      <c r="AN2" s="37"/>
      <c r="AO2" s="37"/>
      <c r="AP2" s="37"/>
      <c r="AQ2" s="37"/>
      <c r="AR2" s="37"/>
      <c r="AS2" s="37"/>
      <c r="AT2" s="37"/>
      <c r="AU2" s="37"/>
      <c r="AV2" s="37"/>
      <c r="AW2" s="37"/>
      <c r="AX2" s="37"/>
    </row>
    <row r="3" spans="1:50" ht="20">
      <c r="A3" s="23"/>
      <c r="B3" s="26"/>
      <c r="C3" s="23"/>
      <c r="D3" s="23"/>
      <c r="E3" s="23"/>
      <c r="F3" s="23"/>
      <c r="G3" s="23"/>
      <c r="H3" s="23"/>
      <c r="I3" s="44"/>
      <c r="J3" s="45"/>
      <c r="K3" s="45"/>
      <c r="L3" s="45"/>
      <c r="M3" s="46"/>
      <c r="N3" s="46"/>
      <c r="O3" s="47"/>
      <c r="P3" s="48"/>
      <c r="Q3" s="48"/>
      <c r="R3" s="49"/>
      <c r="S3" s="49"/>
      <c r="T3" s="49"/>
      <c r="U3" s="50" t="s">
        <v>306</v>
      </c>
      <c r="V3" s="32"/>
      <c r="W3" s="51">
        <f>SUM($S$9:$S$1000)</f>
        <v>26343</v>
      </c>
      <c r="X3" s="52"/>
      <c r="Y3" s="35"/>
      <c r="Z3" s="52"/>
      <c r="AA3" s="32"/>
      <c r="AB3" s="50" t="s">
        <v>307</v>
      </c>
      <c r="AC3" s="32"/>
      <c r="AD3" s="32"/>
      <c r="AE3" s="51" cm="1">
        <f t="array" ref="AE3">ROUND(SUM(IF($M$9:$M$1000=5,$O$9:$O$1000*0.330133575939483%,IF($M$9:$M$1000=6,$O$9:$O$1000*0.428202670113844%,IF($M$9:$M$1000=1,$O$9:$O$1000*0,IF($M$9:$M$1000=7,$O$9:$O$1000*0,$O$9:$O$1000*0.5%))))),0)</f>
        <v>22554</v>
      </c>
      <c r="AF3" s="53"/>
      <c r="AG3" s="54"/>
      <c r="AH3" s="54"/>
      <c r="AI3" s="47"/>
      <c r="AJ3" s="47"/>
      <c r="AK3" s="47"/>
      <c r="AL3" s="47"/>
      <c r="AM3" s="47"/>
      <c r="AN3" s="47"/>
      <c r="AO3" s="47"/>
      <c r="AP3" s="37"/>
      <c r="AQ3" s="37"/>
      <c r="AR3" s="47"/>
      <c r="AS3" s="47"/>
      <c r="AT3" s="47"/>
      <c r="AU3" s="47"/>
      <c r="AV3" s="47"/>
      <c r="AW3" s="47"/>
      <c r="AX3" s="47"/>
    </row>
    <row r="4" spans="1:50" ht="18">
      <c r="A4" s="56"/>
      <c r="B4" s="26"/>
      <c r="C4" s="25"/>
      <c r="D4" s="25"/>
      <c r="E4" s="25"/>
      <c r="F4" s="25"/>
      <c r="G4" s="26"/>
      <c r="H4" s="27"/>
      <c r="I4" s="28"/>
      <c r="J4" s="27"/>
      <c r="K4" s="27"/>
      <c r="L4" s="27"/>
      <c r="M4" s="29"/>
      <c r="N4" s="29"/>
      <c r="O4" s="39"/>
      <c r="P4" s="32"/>
      <c r="Q4" s="32"/>
      <c r="R4" s="32"/>
      <c r="S4" s="32"/>
      <c r="T4" s="32"/>
      <c r="U4" s="50" t="s">
        <v>308</v>
      </c>
      <c r="V4" s="32"/>
      <c r="W4" s="51">
        <f>SUMIF($X$9:$X$1000,"&gt;0")</f>
        <v>131412.89129999987</v>
      </c>
      <c r="X4" s="35">
        <f>SUM($X$9:$X$1000)-W4</f>
        <v>0</v>
      </c>
      <c r="Y4" s="35"/>
      <c r="Z4" s="35"/>
      <c r="AA4" s="32"/>
      <c r="AB4" s="50" t="s">
        <v>309</v>
      </c>
      <c r="AC4" s="32"/>
      <c r="AD4" s="32"/>
      <c r="AE4" s="51">
        <f>SUMIF($AE$9:$AE$1000,"&gt;0")</f>
        <v>1718</v>
      </c>
      <c r="AF4" s="37"/>
      <c r="AG4" s="38"/>
      <c r="AH4" s="38"/>
      <c r="AI4" s="37"/>
      <c r="AJ4" s="37"/>
      <c r="AK4" s="37"/>
      <c r="AL4" s="37"/>
      <c r="AM4" s="37"/>
      <c r="AN4" s="37"/>
      <c r="AO4" s="37"/>
      <c r="AP4" s="37"/>
      <c r="AQ4" s="37"/>
      <c r="AR4" s="37"/>
      <c r="AS4" s="37"/>
      <c r="AT4" s="37"/>
      <c r="AU4" s="37"/>
      <c r="AV4" s="37"/>
      <c r="AW4" s="37"/>
      <c r="AX4" s="37"/>
    </row>
    <row r="5" spans="1:50" ht="20.5" thickBot="1">
      <c r="A5" s="56"/>
      <c r="B5" s="26"/>
      <c r="C5" s="23"/>
      <c r="D5" s="57"/>
      <c r="E5" s="57"/>
      <c r="F5" s="57"/>
      <c r="G5" s="26"/>
      <c r="H5" s="26"/>
      <c r="I5" s="58"/>
      <c r="J5" s="26"/>
      <c r="K5" s="26"/>
      <c r="L5" s="26"/>
      <c r="M5" s="25"/>
      <c r="N5" s="25"/>
      <c r="O5" s="37"/>
      <c r="P5" s="32"/>
      <c r="Q5" s="32"/>
      <c r="R5" s="32"/>
      <c r="S5" s="32"/>
      <c r="T5" s="32"/>
      <c r="U5" s="59" t="s">
        <v>310</v>
      </c>
      <c r="V5" s="60"/>
      <c r="W5" s="61">
        <f>W2+W3-W4</f>
        <v>276.10870000012801</v>
      </c>
      <c r="X5" s="62"/>
      <c r="Y5" s="35"/>
      <c r="Z5" s="35"/>
      <c r="AA5" s="32"/>
      <c r="AB5" s="59" t="s">
        <v>311</v>
      </c>
      <c r="AC5" s="60"/>
      <c r="AD5" s="60"/>
      <c r="AE5" s="63">
        <f>AE3-AE4</f>
        <v>20836</v>
      </c>
      <c r="AF5" s="62"/>
      <c r="AG5" s="38"/>
      <c r="AH5" s="38"/>
      <c r="AI5" s="37"/>
      <c r="AJ5" s="37"/>
      <c r="AK5" s="37"/>
      <c r="AL5" s="37"/>
      <c r="AM5" s="64"/>
      <c r="AN5" s="64"/>
      <c r="AO5" s="37"/>
      <c r="AP5" s="37"/>
      <c r="AQ5" s="37"/>
      <c r="AR5" s="37"/>
      <c r="AS5" s="37"/>
      <c r="AT5" s="37"/>
      <c r="AU5" s="64"/>
      <c r="AV5" s="37"/>
      <c r="AW5" s="37"/>
      <c r="AX5" s="37"/>
    </row>
    <row r="6" spans="1:50" ht="20">
      <c r="A6" s="56"/>
      <c r="B6" s="26"/>
      <c r="C6" s="23"/>
      <c r="D6" s="57"/>
      <c r="E6" s="57"/>
      <c r="F6" s="57"/>
      <c r="G6" s="26"/>
      <c r="H6" s="26"/>
      <c r="I6" s="58"/>
      <c r="J6" s="26"/>
      <c r="K6" s="26"/>
      <c r="L6" s="26"/>
      <c r="M6" s="25"/>
      <c r="N6" s="25"/>
      <c r="O6" s="37"/>
      <c r="P6" s="32"/>
      <c r="Q6" s="32"/>
      <c r="R6" s="32"/>
      <c r="S6" s="32"/>
      <c r="T6" s="32"/>
      <c r="U6" s="65"/>
      <c r="V6" s="32"/>
      <c r="W6" s="31"/>
      <c r="X6" s="62"/>
      <c r="Y6" s="35"/>
      <c r="Z6" s="35"/>
      <c r="AA6" s="32"/>
      <c r="AB6" s="66" t="s">
        <v>312</v>
      </c>
      <c r="AC6" s="32"/>
      <c r="AD6" s="32"/>
      <c r="AE6" s="35"/>
      <c r="AF6" s="62"/>
      <c r="AG6" s="38"/>
      <c r="AH6" s="38"/>
      <c r="AI6" s="37"/>
      <c r="AJ6" s="37"/>
      <c r="AK6" s="37"/>
      <c r="AL6" s="37"/>
      <c r="AM6" s="64"/>
      <c r="AN6" s="64"/>
      <c r="AO6" s="37"/>
      <c r="AP6" s="37"/>
      <c r="AQ6" s="37"/>
      <c r="AR6" s="37"/>
      <c r="AS6" s="37"/>
      <c r="AT6" s="37"/>
      <c r="AU6" s="64"/>
      <c r="AV6" s="37"/>
      <c r="AW6" s="37"/>
      <c r="AX6" s="37"/>
    </row>
    <row r="7" spans="1:50" ht="20">
      <c r="A7" s="45"/>
      <c r="B7" s="1"/>
      <c r="C7" s="1"/>
      <c r="D7" s="1"/>
      <c r="E7" s="1"/>
      <c r="F7" s="1"/>
      <c r="G7" s="1"/>
      <c r="H7" s="1"/>
      <c r="I7" s="2"/>
      <c r="J7" s="363" t="s">
        <v>0</v>
      </c>
      <c r="K7" s="364"/>
      <c r="L7" s="364"/>
      <c r="M7" s="364"/>
      <c r="N7" s="364"/>
      <c r="O7" s="365"/>
      <c r="P7" s="366" t="s">
        <v>1</v>
      </c>
      <c r="Q7" s="367"/>
      <c r="R7" s="367"/>
      <c r="S7" s="367"/>
      <c r="T7" s="367"/>
      <c r="U7" s="367"/>
      <c r="V7" s="367"/>
      <c r="W7" s="367"/>
      <c r="X7" s="367"/>
      <c r="Y7" s="367"/>
      <c r="Z7" s="367"/>
      <c r="AA7" s="367"/>
      <c r="AB7" s="367"/>
      <c r="AC7" s="367"/>
      <c r="AD7" s="367"/>
      <c r="AE7" s="367"/>
      <c r="AF7" s="367"/>
      <c r="AG7" s="367"/>
      <c r="AH7" s="368"/>
      <c r="AI7" s="3"/>
      <c r="AJ7" s="3"/>
      <c r="AK7" s="3"/>
      <c r="AL7" s="3"/>
      <c r="AM7" s="3"/>
      <c r="AN7" s="3"/>
      <c r="AO7" s="3"/>
      <c r="AP7" s="67"/>
      <c r="AQ7" s="67"/>
      <c r="AR7" s="4"/>
      <c r="AS7" s="4"/>
      <c r="AT7" s="4"/>
      <c r="AU7" s="4"/>
      <c r="AV7" s="67"/>
      <c r="AW7" s="67"/>
      <c r="AX7" s="67"/>
    </row>
    <row r="8" spans="1:50" ht="80.5" customHeight="1">
      <c r="A8" s="117" t="s">
        <v>313</v>
      </c>
      <c r="B8" s="68" t="s">
        <v>2</v>
      </c>
      <c r="C8" s="68" t="s">
        <v>3</v>
      </c>
      <c r="D8" s="68" t="s">
        <v>4</v>
      </c>
      <c r="E8" s="68" t="s">
        <v>5</v>
      </c>
      <c r="F8" s="68" t="s">
        <v>6</v>
      </c>
      <c r="G8" s="68" t="s">
        <v>7</v>
      </c>
      <c r="H8" s="68" t="s">
        <v>8</v>
      </c>
      <c r="I8" s="69" t="s">
        <v>9</v>
      </c>
      <c r="J8" s="68" t="s">
        <v>10</v>
      </c>
      <c r="K8" s="68" t="s">
        <v>11</v>
      </c>
      <c r="L8" s="68" t="s">
        <v>12</v>
      </c>
      <c r="M8" s="70" t="s">
        <v>13</v>
      </c>
      <c r="N8" s="71" t="s">
        <v>14</v>
      </c>
      <c r="O8" s="72" t="s">
        <v>15</v>
      </c>
      <c r="P8" s="73" t="s">
        <v>16</v>
      </c>
      <c r="Q8" s="74" t="s">
        <v>17</v>
      </c>
      <c r="R8" s="73" t="s">
        <v>18</v>
      </c>
      <c r="S8" s="75" t="s">
        <v>19</v>
      </c>
      <c r="T8" s="75" t="s">
        <v>20</v>
      </c>
      <c r="U8" s="75" t="s">
        <v>21</v>
      </c>
      <c r="V8" s="74" t="s">
        <v>22</v>
      </c>
      <c r="W8" s="76" t="s">
        <v>23</v>
      </c>
      <c r="X8" s="77" t="s">
        <v>24</v>
      </c>
      <c r="Y8" s="78" t="s">
        <v>25</v>
      </c>
      <c r="Z8" s="78" t="s">
        <v>26</v>
      </c>
      <c r="AA8" s="79" t="s">
        <v>27</v>
      </c>
      <c r="AB8" s="79" t="s">
        <v>28</v>
      </c>
      <c r="AC8" s="79" t="s">
        <v>29</v>
      </c>
      <c r="AD8" s="76" t="s">
        <v>30</v>
      </c>
      <c r="AE8" s="78" t="s">
        <v>31</v>
      </c>
      <c r="AF8" s="80" t="s">
        <v>32</v>
      </c>
      <c r="AG8" s="80" t="s">
        <v>33</v>
      </c>
      <c r="AH8" s="80" t="s">
        <v>34</v>
      </c>
      <c r="AI8" s="81" t="s">
        <v>35</v>
      </c>
      <c r="AJ8" s="82" t="s">
        <v>36</v>
      </c>
      <c r="AK8" s="82" t="s">
        <v>37</v>
      </c>
      <c r="AL8" s="81" t="s">
        <v>38</v>
      </c>
      <c r="AM8" s="82" t="s">
        <v>39</v>
      </c>
      <c r="AN8" s="82" t="s">
        <v>40</v>
      </c>
      <c r="AO8" s="82" t="s">
        <v>41</v>
      </c>
      <c r="AP8" s="83" t="s">
        <v>42</v>
      </c>
      <c r="AQ8" s="83" t="s">
        <v>43</v>
      </c>
      <c r="AR8" s="84" t="s">
        <v>44</v>
      </c>
      <c r="AS8" s="84" t="s">
        <v>45</v>
      </c>
      <c r="AT8" s="84" t="s">
        <v>46</v>
      </c>
      <c r="AU8" s="84" t="s">
        <v>47</v>
      </c>
      <c r="AV8" s="83" t="s">
        <v>48</v>
      </c>
      <c r="AW8" s="83" t="s">
        <v>49</v>
      </c>
      <c r="AX8" s="83" t="s">
        <v>50</v>
      </c>
    </row>
    <row r="9" spans="1:50">
      <c r="A9" s="86" t="s">
        <v>318</v>
      </c>
      <c r="B9" s="5">
        <v>15007471</v>
      </c>
      <c r="C9" s="5" t="s">
        <v>320</v>
      </c>
      <c r="D9" s="5" t="s">
        <v>321</v>
      </c>
      <c r="E9" s="5" t="s">
        <v>52</v>
      </c>
      <c r="F9" s="5" t="s">
        <v>62</v>
      </c>
      <c r="G9" s="5" t="s">
        <v>152</v>
      </c>
      <c r="H9" s="5" t="s">
        <v>322</v>
      </c>
      <c r="I9" s="6">
        <v>40947</v>
      </c>
      <c r="J9" s="5" t="s">
        <v>323</v>
      </c>
      <c r="K9" s="5" t="s">
        <v>323</v>
      </c>
      <c r="L9" s="5" t="s">
        <v>324</v>
      </c>
      <c r="M9" s="7">
        <v>6</v>
      </c>
      <c r="N9" s="7" t="s">
        <v>176</v>
      </c>
      <c r="O9" s="8">
        <v>7300</v>
      </c>
      <c r="P9" s="88">
        <v>0.02</v>
      </c>
      <c r="Q9" s="10">
        <f t="shared" ref="Q9:Q72" si="0">ROUND(O9*P9,0)</f>
        <v>146</v>
      </c>
      <c r="R9" s="88">
        <v>5.0000000000000001E-3</v>
      </c>
      <c r="S9" s="10">
        <f t="shared" ref="S9:S72" si="1">ROUND(O9*R9,0)</f>
        <v>37</v>
      </c>
      <c r="T9" s="88">
        <f t="shared" ref="T9:T72" si="2">U9/O9</f>
        <v>2.5068493150684931E-2</v>
      </c>
      <c r="U9" s="10">
        <f t="shared" ref="U9:U72" si="3">Q9+S9</f>
        <v>183</v>
      </c>
      <c r="V9" s="10">
        <f t="shared" ref="V9:V72" si="4">O9+U9</f>
        <v>7483</v>
      </c>
      <c r="W9" s="11">
        <v>7500</v>
      </c>
      <c r="X9" s="12">
        <f t="shared" ref="X9:X72" si="5">W9-O9</f>
        <v>200</v>
      </c>
      <c r="Y9" s="92">
        <f t="shared" ref="Y9:Y72" si="6">ROUND(W9/O9-1,4)</f>
        <v>2.7400000000000001E-2</v>
      </c>
      <c r="Z9" s="93" t="str">
        <f t="shared" ref="Z9:Z72" si="7">IF(OR(M9=1,M9=2,M9=4),TEXT(T9*0.8,"0.00%")&amp;"-"&amp;TEXT(T9*1.2,"0.00%"),IF(OR(M9=3,M9=6),TEXT(0,"0.00%")&amp;"-"&amp;TEXT(7%*1.2,"0.00%"),IF(OR(M9=5,M9=7),TEXT((S9/O9),"0.00%")&amp;"-"&amp;TEXT((S9/O9)+7%,"0.00%"),"")))</f>
        <v>0.00%-8.40%</v>
      </c>
      <c r="AA9" s="15"/>
      <c r="AB9" s="15"/>
      <c r="AC9" s="15"/>
      <c r="AD9" s="95"/>
      <c r="AE9" s="8">
        <f t="shared" ref="AE9:AE72" si="8">ROUND(O9*AD9,0)</f>
        <v>0</v>
      </c>
      <c r="AF9" s="17">
        <f t="shared" ref="AF9:AF72" si="9">W9+AE9</f>
        <v>7500</v>
      </c>
      <c r="AG9" s="18">
        <f t="shared" ref="AG9:AG72" si="10">AF9-O9</f>
        <v>200</v>
      </c>
      <c r="AH9" s="97">
        <f t="shared" ref="AH9:AH72" si="11">AF9/O9-1</f>
        <v>2.7397260273972712E-2</v>
      </c>
      <c r="AI9" s="20">
        <v>13.6</v>
      </c>
      <c r="AJ9" s="20">
        <v>450</v>
      </c>
      <c r="AK9" s="20"/>
      <c r="AL9" s="20">
        <v>688</v>
      </c>
      <c r="AM9" s="20">
        <f t="shared" ref="AM9:AM72" si="12">AF9*AI9+AJ9*12+AL9+IF(AC9="",AK9,IF(AC9="D",5000,IF(AC9="C",1000,0)))*12</f>
        <v>108088</v>
      </c>
      <c r="AN9" s="7" t="s">
        <v>176</v>
      </c>
      <c r="AO9" s="20"/>
      <c r="AP9" s="21"/>
      <c r="AQ9" s="21"/>
      <c r="AR9" s="5" t="s">
        <v>123</v>
      </c>
      <c r="AS9" s="5" t="s">
        <v>124</v>
      </c>
      <c r="AT9" s="5" t="s">
        <v>59</v>
      </c>
      <c r="AU9" s="20"/>
      <c r="AV9" s="21" t="s">
        <v>325</v>
      </c>
      <c r="AW9" s="21"/>
      <c r="AX9" s="21"/>
    </row>
    <row r="10" spans="1:50">
      <c r="A10" s="86" t="s">
        <v>318</v>
      </c>
      <c r="B10" s="5">
        <v>15000636</v>
      </c>
      <c r="C10" s="5" t="s">
        <v>326</v>
      </c>
      <c r="D10" s="5" t="s">
        <v>321</v>
      </c>
      <c r="E10" s="5" t="s">
        <v>52</v>
      </c>
      <c r="F10" s="5" t="s">
        <v>62</v>
      </c>
      <c r="G10" s="5" t="s">
        <v>152</v>
      </c>
      <c r="H10" s="5" t="s">
        <v>322</v>
      </c>
      <c r="I10" s="6">
        <v>38965</v>
      </c>
      <c r="J10" s="5" t="s">
        <v>323</v>
      </c>
      <c r="K10" s="5" t="s">
        <v>323</v>
      </c>
      <c r="L10" s="5" t="s">
        <v>324</v>
      </c>
      <c r="M10" s="7">
        <v>6</v>
      </c>
      <c r="N10" s="7" t="s">
        <v>176</v>
      </c>
      <c r="O10" s="8">
        <v>8250</v>
      </c>
      <c r="P10" s="88">
        <v>0.02</v>
      </c>
      <c r="Q10" s="10">
        <f t="shared" si="0"/>
        <v>165</v>
      </c>
      <c r="R10" s="88">
        <v>5.0000000000000001E-3</v>
      </c>
      <c r="S10" s="10">
        <f t="shared" si="1"/>
        <v>41</v>
      </c>
      <c r="T10" s="88">
        <f t="shared" si="2"/>
        <v>2.4969696969696968E-2</v>
      </c>
      <c r="U10" s="10">
        <f t="shared" si="3"/>
        <v>206</v>
      </c>
      <c r="V10" s="10">
        <f t="shared" si="4"/>
        <v>8456</v>
      </c>
      <c r="W10" s="11">
        <v>8380</v>
      </c>
      <c r="X10" s="12">
        <f t="shared" si="5"/>
        <v>130</v>
      </c>
      <c r="Y10" s="92">
        <f t="shared" si="6"/>
        <v>1.5800000000000002E-2</v>
      </c>
      <c r="Z10" s="93" t="str">
        <f t="shared" si="7"/>
        <v>0.00%-8.40%</v>
      </c>
      <c r="AA10" s="15"/>
      <c r="AB10" s="15"/>
      <c r="AC10" s="15"/>
      <c r="AD10" s="95"/>
      <c r="AE10" s="8">
        <f t="shared" si="8"/>
        <v>0</v>
      </c>
      <c r="AF10" s="17">
        <f t="shared" si="9"/>
        <v>8380</v>
      </c>
      <c r="AG10" s="18">
        <f t="shared" si="10"/>
        <v>130</v>
      </c>
      <c r="AH10" s="97">
        <f t="shared" si="11"/>
        <v>1.5757575757575859E-2</v>
      </c>
      <c r="AI10" s="20">
        <v>13.6</v>
      </c>
      <c r="AJ10" s="20">
        <v>450</v>
      </c>
      <c r="AK10" s="20"/>
      <c r="AL10" s="20">
        <v>688</v>
      </c>
      <c r="AM10" s="20">
        <f t="shared" si="12"/>
        <v>120056</v>
      </c>
      <c r="AN10" s="7" t="s">
        <v>176</v>
      </c>
      <c r="AO10" s="20"/>
      <c r="AP10" s="21"/>
      <c r="AQ10" s="21"/>
      <c r="AR10" s="5" t="s">
        <v>123</v>
      </c>
      <c r="AS10" s="5" t="s">
        <v>124</v>
      </c>
      <c r="AT10" s="5" t="s">
        <v>59</v>
      </c>
      <c r="AU10" s="20"/>
      <c r="AV10" s="21" t="s">
        <v>325</v>
      </c>
      <c r="AW10" s="21"/>
      <c r="AX10" s="21"/>
    </row>
    <row r="11" spans="1:50">
      <c r="A11" s="86" t="s">
        <v>318</v>
      </c>
      <c r="B11" s="5">
        <v>15005585</v>
      </c>
      <c r="C11" s="5" t="s">
        <v>327</v>
      </c>
      <c r="D11" s="5" t="s">
        <v>321</v>
      </c>
      <c r="E11" s="5" t="s">
        <v>52</v>
      </c>
      <c r="F11" s="5" t="s">
        <v>62</v>
      </c>
      <c r="G11" s="5" t="s">
        <v>130</v>
      </c>
      <c r="H11" s="5" t="s">
        <v>328</v>
      </c>
      <c r="I11" s="6">
        <v>40625</v>
      </c>
      <c r="J11" s="5" t="s">
        <v>323</v>
      </c>
      <c r="K11" s="5" t="s">
        <v>323</v>
      </c>
      <c r="L11" s="5" t="s">
        <v>324</v>
      </c>
      <c r="M11" s="7">
        <v>6</v>
      </c>
      <c r="N11" s="7" t="s">
        <v>176</v>
      </c>
      <c r="O11" s="8">
        <v>7250</v>
      </c>
      <c r="P11" s="88">
        <v>0.02</v>
      </c>
      <c r="Q11" s="10">
        <f t="shared" si="0"/>
        <v>145</v>
      </c>
      <c r="R11" s="88">
        <v>5.0000000000000001E-3</v>
      </c>
      <c r="S11" s="10">
        <f t="shared" si="1"/>
        <v>36</v>
      </c>
      <c r="T11" s="88">
        <f t="shared" si="2"/>
        <v>2.4965517241379312E-2</v>
      </c>
      <c r="U11" s="10">
        <f t="shared" si="3"/>
        <v>181</v>
      </c>
      <c r="V11" s="10">
        <f t="shared" si="4"/>
        <v>7431</v>
      </c>
      <c r="W11" s="11">
        <v>7650</v>
      </c>
      <c r="X11" s="12">
        <f t="shared" si="5"/>
        <v>400</v>
      </c>
      <c r="Y11" s="92">
        <f t="shared" si="6"/>
        <v>5.5199999999999999E-2</v>
      </c>
      <c r="Z11" s="93" t="str">
        <f t="shared" si="7"/>
        <v>0.00%-8.40%</v>
      </c>
      <c r="AA11" s="15"/>
      <c r="AB11" s="15"/>
      <c r="AC11" s="15"/>
      <c r="AD11" s="95"/>
      <c r="AE11" s="8">
        <f t="shared" si="8"/>
        <v>0</v>
      </c>
      <c r="AF11" s="17">
        <f t="shared" si="9"/>
        <v>7650</v>
      </c>
      <c r="AG11" s="18">
        <f t="shared" si="10"/>
        <v>400</v>
      </c>
      <c r="AH11" s="97">
        <f t="shared" si="11"/>
        <v>5.5172413793103559E-2</v>
      </c>
      <c r="AI11" s="20">
        <v>13.6</v>
      </c>
      <c r="AJ11" s="20">
        <v>450</v>
      </c>
      <c r="AK11" s="20"/>
      <c r="AL11" s="20">
        <v>688</v>
      </c>
      <c r="AM11" s="20">
        <f t="shared" si="12"/>
        <v>110128</v>
      </c>
      <c r="AN11" s="7" t="s">
        <v>176</v>
      </c>
      <c r="AO11" s="20"/>
      <c r="AP11" s="21"/>
      <c r="AQ11" s="21"/>
      <c r="AR11" s="5" t="s">
        <v>123</v>
      </c>
      <c r="AS11" s="5" t="s">
        <v>124</v>
      </c>
      <c r="AT11" s="5" t="s">
        <v>59</v>
      </c>
      <c r="AU11" s="20"/>
      <c r="AV11" s="21" t="s">
        <v>329</v>
      </c>
      <c r="AW11" s="21"/>
      <c r="AX11" s="21"/>
    </row>
    <row r="12" spans="1:50">
      <c r="A12" s="86" t="s">
        <v>318</v>
      </c>
      <c r="B12" s="5">
        <v>15002044</v>
      </c>
      <c r="C12" s="5" t="s">
        <v>330</v>
      </c>
      <c r="D12" s="5" t="s">
        <v>321</v>
      </c>
      <c r="E12" s="5" t="s">
        <v>52</v>
      </c>
      <c r="F12" s="5" t="s">
        <v>62</v>
      </c>
      <c r="G12" s="5" t="s">
        <v>130</v>
      </c>
      <c r="H12" s="5" t="s">
        <v>331</v>
      </c>
      <c r="I12" s="6">
        <v>39728</v>
      </c>
      <c r="J12" s="5" t="s">
        <v>323</v>
      </c>
      <c r="K12" s="5" t="s">
        <v>323</v>
      </c>
      <c r="L12" s="5" t="s">
        <v>324</v>
      </c>
      <c r="M12" s="7">
        <v>6</v>
      </c>
      <c r="N12" s="7" t="s">
        <v>176</v>
      </c>
      <c r="O12" s="8">
        <v>7200</v>
      </c>
      <c r="P12" s="88">
        <v>0.02</v>
      </c>
      <c r="Q12" s="10">
        <f t="shared" si="0"/>
        <v>144</v>
      </c>
      <c r="R12" s="88">
        <v>5.0000000000000001E-3</v>
      </c>
      <c r="S12" s="10">
        <f t="shared" si="1"/>
        <v>36</v>
      </c>
      <c r="T12" s="88">
        <f t="shared" si="2"/>
        <v>2.5000000000000001E-2</v>
      </c>
      <c r="U12" s="10">
        <f t="shared" si="3"/>
        <v>180</v>
      </c>
      <c r="V12" s="10">
        <f t="shared" si="4"/>
        <v>7380</v>
      </c>
      <c r="W12" s="11">
        <v>7400</v>
      </c>
      <c r="X12" s="12">
        <f t="shared" si="5"/>
        <v>200</v>
      </c>
      <c r="Y12" s="92">
        <f t="shared" si="6"/>
        <v>2.7799999999999998E-2</v>
      </c>
      <c r="Z12" s="93" t="str">
        <f t="shared" si="7"/>
        <v>0.00%-8.40%</v>
      </c>
      <c r="AA12" s="15"/>
      <c r="AB12" s="15"/>
      <c r="AC12" s="15"/>
      <c r="AD12" s="95"/>
      <c r="AE12" s="8">
        <f t="shared" si="8"/>
        <v>0</v>
      </c>
      <c r="AF12" s="17">
        <f t="shared" si="9"/>
        <v>7400</v>
      </c>
      <c r="AG12" s="18">
        <f t="shared" si="10"/>
        <v>200</v>
      </c>
      <c r="AH12" s="97">
        <f t="shared" si="11"/>
        <v>2.7777777777777679E-2</v>
      </c>
      <c r="AI12" s="20">
        <v>13.6</v>
      </c>
      <c r="AJ12" s="20">
        <v>450</v>
      </c>
      <c r="AK12" s="20"/>
      <c r="AL12" s="20">
        <v>688</v>
      </c>
      <c r="AM12" s="20">
        <f t="shared" si="12"/>
        <v>106728</v>
      </c>
      <c r="AN12" s="7" t="s">
        <v>176</v>
      </c>
      <c r="AO12" s="20"/>
      <c r="AP12" s="21"/>
      <c r="AQ12" s="21"/>
      <c r="AR12" s="5" t="s">
        <v>123</v>
      </c>
      <c r="AS12" s="5" t="s">
        <v>124</v>
      </c>
      <c r="AT12" s="5" t="s">
        <v>59</v>
      </c>
      <c r="AU12" s="20"/>
      <c r="AV12" s="21" t="s">
        <v>325</v>
      </c>
      <c r="AW12" s="21"/>
      <c r="AX12" s="21"/>
    </row>
    <row r="13" spans="1:50">
      <c r="A13" s="86" t="s">
        <v>318</v>
      </c>
      <c r="B13" s="5">
        <v>15001989</v>
      </c>
      <c r="C13" s="5" t="s">
        <v>332</v>
      </c>
      <c r="D13" s="5" t="s">
        <v>321</v>
      </c>
      <c r="E13" s="5" t="s">
        <v>52</v>
      </c>
      <c r="F13" s="5" t="s">
        <v>62</v>
      </c>
      <c r="G13" s="5" t="s">
        <v>130</v>
      </c>
      <c r="H13" s="5" t="s">
        <v>331</v>
      </c>
      <c r="I13" s="6">
        <v>39701</v>
      </c>
      <c r="J13" s="5" t="s">
        <v>279</v>
      </c>
      <c r="K13" s="5" t="s">
        <v>333</v>
      </c>
      <c r="L13" s="5" t="s">
        <v>324</v>
      </c>
      <c r="M13" s="7">
        <v>6</v>
      </c>
      <c r="N13" s="7" t="s">
        <v>176</v>
      </c>
      <c r="O13" s="8">
        <v>6100</v>
      </c>
      <c r="P13" s="88">
        <v>0.02</v>
      </c>
      <c r="Q13" s="10">
        <f t="shared" si="0"/>
        <v>122</v>
      </c>
      <c r="R13" s="88">
        <v>5.0000000000000001E-3</v>
      </c>
      <c r="S13" s="10">
        <f t="shared" si="1"/>
        <v>31</v>
      </c>
      <c r="T13" s="88">
        <f t="shared" si="2"/>
        <v>2.5081967213114755E-2</v>
      </c>
      <c r="U13" s="10">
        <f t="shared" si="3"/>
        <v>153</v>
      </c>
      <c r="V13" s="10">
        <f t="shared" si="4"/>
        <v>6253</v>
      </c>
      <c r="W13" s="11">
        <v>6278</v>
      </c>
      <c r="X13" s="12">
        <f t="shared" si="5"/>
        <v>178</v>
      </c>
      <c r="Y13" s="92">
        <f t="shared" si="6"/>
        <v>2.92E-2</v>
      </c>
      <c r="Z13" s="93" t="str">
        <f t="shared" si="7"/>
        <v>0.00%-8.40%</v>
      </c>
      <c r="AA13" s="15"/>
      <c r="AB13" s="15"/>
      <c r="AC13" s="15"/>
      <c r="AD13" s="95"/>
      <c r="AE13" s="8">
        <f t="shared" si="8"/>
        <v>0</v>
      </c>
      <c r="AF13" s="17">
        <f t="shared" si="9"/>
        <v>6278</v>
      </c>
      <c r="AG13" s="18">
        <f t="shared" si="10"/>
        <v>178</v>
      </c>
      <c r="AH13" s="97">
        <f t="shared" si="11"/>
        <v>2.9180327868852496E-2</v>
      </c>
      <c r="AI13" s="20">
        <v>13.6</v>
      </c>
      <c r="AJ13" s="20">
        <v>450</v>
      </c>
      <c r="AK13" s="20"/>
      <c r="AL13" s="20">
        <v>688</v>
      </c>
      <c r="AM13" s="20">
        <f t="shared" si="12"/>
        <v>91468.800000000003</v>
      </c>
      <c r="AN13" s="7" t="s">
        <v>176</v>
      </c>
      <c r="AO13" s="20"/>
      <c r="AP13" s="21"/>
      <c r="AQ13" s="21"/>
      <c r="AR13" s="5" t="s">
        <v>123</v>
      </c>
      <c r="AS13" s="5" t="s">
        <v>124</v>
      </c>
      <c r="AT13" s="5" t="s">
        <v>59</v>
      </c>
      <c r="AU13" s="20"/>
      <c r="AV13" s="21" t="s">
        <v>334</v>
      </c>
      <c r="AW13" s="21"/>
      <c r="AX13" s="21"/>
    </row>
    <row r="14" spans="1:50">
      <c r="A14" s="86" t="s">
        <v>318</v>
      </c>
      <c r="B14" s="5">
        <v>15020193</v>
      </c>
      <c r="C14" s="5" t="s">
        <v>335</v>
      </c>
      <c r="D14" s="5" t="s">
        <v>321</v>
      </c>
      <c r="E14" s="5" t="s">
        <v>52</v>
      </c>
      <c r="F14" s="5" t="s">
        <v>62</v>
      </c>
      <c r="G14" s="5" t="s">
        <v>130</v>
      </c>
      <c r="H14" s="5" t="s">
        <v>331</v>
      </c>
      <c r="I14" s="6">
        <v>44317</v>
      </c>
      <c r="J14" s="5" t="s">
        <v>336</v>
      </c>
      <c r="K14" s="5" t="s">
        <v>336</v>
      </c>
      <c r="L14" s="5" t="s">
        <v>324</v>
      </c>
      <c r="M14" s="7">
        <v>6</v>
      </c>
      <c r="N14" s="7" t="s">
        <v>176</v>
      </c>
      <c r="O14" s="8">
        <v>4494</v>
      </c>
      <c r="P14" s="88">
        <v>0.02</v>
      </c>
      <c r="Q14" s="10">
        <f t="shared" si="0"/>
        <v>90</v>
      </c>
      <c r="R14" s="88">
        <v>5.0000000000000001E-3</v>
      </c>
      <c r="S14" s="10">
        <f t="shared" si="1"/>
        <v>22</v>
      </c>
      <c r="T14" s="88">
        <f t="shared" si="2"/>
        <v>2.4922118380062305E-2</v>
      </c>
      <c r="U14" s="10">
        <f t="shared" si="3"/>
        <v>112</v>
      </c>
      <c r="V14" s="10">
        <f t="shared" si="4"/>
        <v>4606</v>
      </c>
      <c r="W14" s="11">
        <v>4561</v>
      </c>
      <c r="X14" s="12">
        <f t="shared" si="5"/>
        <v>67</v>
      </c>
      <c r="Y14" s="92">
        <f t="shared" si="6"/>
        <v>1.49E-2</v>
      </c>
      <c r="Z14" s="93" t="str">
        <f t="shared" si="7"/>
        <v>0.00%-8.40%</v>
      </c>
      <c r="AA14" s="15"/>
      <c r="AB14" s="15"/>
      <c r="AC14" s="15"/>
      <c r="AD14" s="95"/>
      <c r="AE14" s="8">
        <f t="shared" si="8"/>
        <v>0</v>
      </c>
      <c r="AF14" s="17">
        <f t="shared" si="9"/>
        <v>4561</v>
      </c>
      <c r="AG14" s="18">
        <f t="shared" si="10"/>
        <v>67</v>
      </c>
      <c r="AH14" s="97">
        <f t="shared" si="11"/>
        <v>1.4908767245215948E-2</v>
      </c>
      <c r="AI14" s="20">
        <v>13.6</v>
      </c>
      <c r="AJ14" s="20">
        <v>450</v>
      </c>
      <c r="AK14" s="20"/>
      <c r="AL14" s="20">
        <v>688</v>
      </c>
      <c r="AM14" s="20">
        <f t="shared" si="12"/>
        <v>68117.600000000006</v>
      </c>
      <c r="AN14" s="7" t="s">
        <v>176</v>
      </c>
      <c r="AO14" s="20"/>
      <c r="AP14" s="21"/>
      <c r="AQ14" s="21"/>
      <c r="AR14" s="5" t="s">
        <v>123</v>
      </c>
      <c r="AS14" s="5" t="s">
        <v>124</v>
      </c>
      <c r="AT14" s="5" t="s">
        <v>59</v>
      </c>
      <c r="AU14" s="20"/>
      <c r="AV14" s="21" t="s">
        <v>337</v>
      </c>
      <c r="AW14" s="118"/>
      <c r="AX14" s="21"/>
    </row>
    <row r="15" spans="1:50">
      <c r="A15" s="86" t="s">
        <v>318</v>
      </c>
      <c r="B15" s="5">
        <v>15005074</v>
      </c>
      <c r="C15" s="5" t="s">
        <v>338</v>
      </c>
      <c r="D15" s="5" t="s">
        <v>321</v>
      </c>
      <c r="E15" s="5" t="s">
        <v>52</v>
      </c>
      <c r="F15" s="5" t="s">
        <v>62</v>
      </c>
      <c r="G15" s="5" t="s">
        <v>152</v>
      </c>
      <c r="H15" s="5" t="s">
        <v>322</v>
      </c>
      <c r="I15" s="6">
        <v>40534</v>
      </c>
      <c r="J15" s="5" t="s">
        <v>279</v>
      </c>
      <c r="K15" s="5" t="s">
        <v>333</v>
      </c>
      <c r="L15" s="5" t="s">
        <v>324</v>
      </c>
      <c r="M15" s="7">
        <v>6</v>
      </c>
      <c r="N15" s="7" t="s">
        <v>176</v>
      </c>
      <c r="O15" s="8">
        <v>4878</v>
      </c>
      <c r="P15" s="88">
        <v>0.02</v>
      </c>
      <c r="Q15" s="10">
        <f t="shared" si="0"/>
        <v>98</v>
      </c>
      <c r="R15" s="88">
        <v>5.0000000000000001E-3</v>
      </c>
      <c r="S15" s="10">
        <f t="shared" si="1"/>
        <v>24</v>
      </c>
      <c r="T15" s="88">
        <f t="shared" si="2"/>
        <v>2.5010250102501026E-2</v>
      </c>
      <c r="U15" s="10">
        <f t="shared" si="3"/>
        <v>122</v>
      </c>
      <c r="V15" s="10">
        <f t="shared" si="4"/>
        <v>5000</v>
      </c>
      <c r="W15" s="11">
        <v>4878</v>
      </c>
      <c r="X15" s="12">
        <f t="shared" si="5"/>
        <v>0</v>
      </c>
      <c r="Y15" s="92">
        <f t="shared" si="6"/>
        <v>0</v>
      </c>
      <c r="Z15" s="93" t="str">
        <f t="shared" si="7"/>
        <v>0.00%-8.40%</v>
      </c>
      <c r="AA15" s="15"/>
      <c r="AB15" s="15"/>
      <c r="AC15" s="15"/>
      <c r="AD15" s="95"/>
      <c r="AE15" s="8">
        <f t="shared" si="8"/>
        <v>0</v>
      </c>
      <c r="AF15" s="17">
        <f t="shared" si="9"/>
        <v>4878</v>
      </c>
      <c r="AG15" s="18">
        <f t="shared" si="10"/>
        <v>0</v>
      </c>
      <c r="AH15" s="97">
        <f t="shared" si="11"/>
        <v>0</v>
      </c>
      <c r="AI15" s="20">
        <v>13.6</v>
      </c>
      <c r="AJ15" s="20">
        <v>700</v>
      </c>
      <c r="AK15" s="20"/>
      <c r="AL15" s="20">
        <v>688</v>
      </c>
      <c r="AM15" s="20">
        <f t="shared" si="12"/>
        <v>75428.800000000003</v>
      </c>
      <c r="AN15" s="7" t="s">
        <v>176</v>
      </c>
      <c r="AO15" s="20"/>
      <c r="AP15" s="21"/>
      <c r="AQ15" s="21" t="s">
        <v>339</v>
      </c>
      <c r="AR15" s="5" t="s">
        <v>123</v>
      </c>
      <c r="AS15" s="5" t="s">
        <v>124</v>
      </c>
      <c r="AT15" s="5" t="s">
        <v>59</v>
      </c>
      <c r="AU15" s="20"/>
      <c r="AV15" s="21" t="s">
        <v>340</v>
      </c>
      <c r="AW15" s="21" t="s">
        <v>339</v>
      </c>
      <c r="AX15" s="21"/>
    </row>
    <row r="16" spans="1:50">
      <c r="A16" s="86" t="s">
        <v>318</v>
      </c>
      <c r="B16" s="5">
        <v>15005942</v>
      </c>
      <c r="C16" s="5" t="s">
        <v>341</v>
      </c>
      <c r="D16" s="5" t="s">
        <v>321</v>
      </c>
      <c r="E16" s="5" t="s">
        <v>52</v>
      </c>
      <c r="F16" s="5" t="s">
        <v>62</v>
      </c>
      <c r="G16" s="5" t="s">
        <v>152</v>
      </c>
      <c r="H16" s="5" t="s">
        <v>322</v>
      </c>
      <c r="I16" s="6">
        <v>40667</v>
      </c>
      <c r="J16" s="5" t="s">
        <v>279</v>
      </c>
      <c r="K16" s="5" t="s">
        <v>333</v>
      </c>
      <c r="L16" s="5" t="s">
        <v>324</v>
      </c>
      <c r="M16" s="7">
        <v>6</v>
      </c>
      <c r="N16" s="7" t="s">
        <v>176</v>
      </c>
      <c r="O16" s="8">
        <v>5664</v>
      </c>
      <c r="P16" s="88">
        <v>0.02</v>
      </c>
      <c r="Q16" s="10">
        <f t="shared" si="0"/>
        <v>113</v>
      </c>
      <c r="R16" s="88">
        <v>5.0000000000000001E-3</v>
      </c>
      <c r="S16" s="10">
        <f t="shared" si="1"/>
        <v>28</v>
      </c>
      <c r="T16" s="88">
        <f t="shared" si="2"/>
        <v>2.4894067796610169E-2</v>
      </c>
      <c r="U16" s="10">
        <f t="shared" si="3"/>
        <v>141</v>
      </c>
      <c r="V16" s="10">
        <f t="shared" si="4"/>
        <v>5805</v>
      </c>
      <c r="W16" s="11">
        <v>5750</v>
      </c>
      <c r="X16" s="12">
        <f t="shared" si="5"/>
        <v>86</v>
      </c>
      <c r="Y16" s="92">
        <f t="shared" si="6"/>
        <v>1.52E-2</v>
      </c>
      <c r="Z16" s="93" t="str">
        <f t="shared" si="7"/>
        <v>0.00%-8.40%</v>
      </c>
      <c r="AA16" s="15"/>
      <c r="AB16" s="15"/>
      <c r="AC16" s="15"/>
      <c r="AD16" s="95"/>
      <c r="AE16" s="8">
        <f t="shared" si="8"/>
        <v>0</v>
      </c>
      <c r="AF16" s="17">
        <f t="shared" si="9"/>
        <v>5750</v>
      </c>
      <c r="AG16" s="18">
        <f t="shared" si="10"/>
        <v>86</v>
      </c>
      <c r="AH16" s="97">
        <f t="shared" si="11"/>
        <v>1.5183615819209129E-2</v>
      </c>
      <c r="AI16" s="20">
        <v>13.6</v>
      </c>
      <c r="AJ16" s="20">
        <v>750</v>
      </c>
      <c r="AK16" s="20"/>
      <c r="AL16" s="20">
        <v>688</v>
      </c>
      <c r="AM16" s="20">
        <f t="shared" si="12"/>
        <v>87888</v>
      </c>
      <c r="AN16" s="7" t="s">
        <v>176</v>
      </c>
      <c r="AO16" s="20"/>
      <c r="AP16" s="21"/>
      <c r="AQ16" s="21"/>
      <c r="AR16" s="5" t="s">
        <v>123</v>
      </c>
      <c r="AS16" s="5" t="s">
        <v>124</v>
      </c>
      <c r="AT16" s="5" t="s">
        <v>59</v>
      </c>
      <c r="AU16" s="20"/>
      <c r="AV16" s="21" t="s">
        <v>342</v>
      </c>
      <c r="AW16" s="21"/>
      <c r="AX16" s="21"/>
    </row>
    <row r="17" spans="1:50">
      <c r="A17" s="86" t="s">
        <v>318</v>
      </c>
      <c r="B17" s="5">
        <v>15013560</v>
      </c>
      <c r="C17" s="5" t="s">
        <v>343</v>
      </c>
      <c r="D17" s="5" t="s">
        <v>321</v>
      </c>
      <c r="E17" s="5" t="s">
        <v>52</v>
      </c>
      <c r="F17" s="5" t="s">
        <v>62</v>
      </c>
      <c r="G17" s="5" t="s">
        <v>152</v>
      </c>
      <c r="H17" s="5" t="s">
        <v>322</v>
      </c>
      <c r="I17" s="6">
        <v>41829</v>
      </c>
      <c r="J17" s="5" t="s">
        <v>279</v>
      </c>
      <c r="K17" s="5" t="s">
        <v>333</v>
      </c>
      <c r="L17" s="5" t="s">
        <v>324</v>
      </c>
      <c r="M17" s="7">
        <v>6</v>
      </c>
      <c r="N17" s="7" t="s">
        <v>176</v>
      </c>
      <c r="O17" s="8">
        <v>5050</v>
      </c>
      <c r="P17" s="88">
        <v>0.02</v>
      </c>
      <c r="Q17" s="10">
        <f t="shared" si="0"/>
        <v>101</v>
      </c>
      <c r="R17" s="88">
        <v>5.0000000000000001E-3</v>
      </c>
      <c r="S17" s="10">
        <f t="shared" si="1"/>
        <v>25</v>
      </c>
      <c r="T17" s="88">
        <f t="shared" si="2"/>
        <v>2.4950495049504952E-2</v>
      </c>
      <c r="U17" s="10">
        <f t="shared" si="3"/>
        <v>126</v>
      </c>
      <c r="V17" s="10">
        <f t="shared" si="4"/>
        <v>5176</v>
      </c>
      <c r="W17" s="11">
        <v>5150</v>
      </c>
      <c r="X17" s="12">
        <f t="shared" si="5"/>
        <v>100</v>
      </c>
      <c r="Y17" s="92">
        <f t="shared" si="6"/>
        <v>1.9800000000000002E-2</v>
      </c>
      <c r="Z17" s="93" t="str">
        <f t="shared" si="7"/>
        <v>0.00%-8.40%</v>
      </c>
      <c r="AA17" s="15"/>
      <c r="AB17" s="15"/>
      <c r="AC17" s="15"/>
      <c r="AD17" s="95"/>
      <c r="AE17" s="8">
        <f t="shared" si="8"/>
        <v>0</v>
      </c>
      <c r="AF17" s="17">
        <f t="shared" si="9"/>
        <v>5150</v>
      </c>
      <c r="AG17" s="18">
        <f t="shared" si="10"/>
        <v>100</v>
      </c>
      <c r="AH17" s="97">
        <f t="shared" si="11"/>
        <v>1.980198019801982E-2</v>
      </c>
      <c r="AI17" s="20">
        <v>13.6</v>
      </c>
      <c r="AJ17" s="20">
        <v>750</v>
      </c>
      <c r="AK17" s="20"/>
      <c r="AL17" s="20">
        <v>688</v>
      </c>
      <c r="AM17" s="20">
        <f t="shared" si="12"/>
        <v>79728</v>
      </c>
      <c r="AN17" s="7" t="s">
        <v>176</v>
      </c>
      <c r="AO17" s="20"/>
      <c r="AP17" s="21"/>
      <c r="AQ17" s="21"/>
      <c r="AR17" s="5" t="s">
        <v>123</v>
      </c>
      <c r="AS17" s="5" t="s">
        <v>124</v>
      </c>
      <c r="AT17" s="5" t="s">
        <v>59</v>
      </c>
      <c r="AU17" s="20"/>
      <c r="AV17" s="21" t="s">
        <v>342</v>
      </c>
      <c r="AW17" s="21"/>
      <c r="AX17" s="21"/>
    </row>
    <row r="18" spans="1:50">
      <c r="A18" s="86" t="s">
        <v>318</v>
      </c>
      <c r="B18" s="5">
        <v>15001905</v>
      </c>
      <c r="C18" s="5" t="s">
        <v>344</v>
      </c>
      <c r="D18" s="5" t="s">
        <v>321</v>
      </c>
      <c r="E18" s="5" t="s">
        <v>52</v>
      </c>
      <c r="F18" s="5" t="s">
        <v>62</v>
      </c>
      <c r="G18" s="5" t="s">
        <v>152</v>
      </c>
      <c r="H18" s="5" t="s">
        <v>322</v>
      </c>
      <c r="I18" s="6">
        <v>39665</v>
      </c>
      <c r="J18" s="5" t="s">
        <v>279</v>
      </c>
      <c r="K18" s="5" t="s">
        <v>279</v>
      </c>
      <c r="L18" s="5" t="s">
        <v>324</v>
      </c>
      <c r="M18" s="7">
        <v>6</v>
      </c>
      <c r="N18" s="7" t="s">
        <v>176</v>
      </c>
      <c r="O18" s="8">
        <v>7870</v>
      </c>
      <c r="P18" s="88">
        <v>0.02</v>
      </c>
      <c r="Q18" s="10">
        <f t="shared" si="0"/>
        <v>157</v>
      </c>
      <c r="R18" s="88">
        <v>5.0000000000000001E-3</v>
      </c>
      <c r="S18" s="10">
        <f t="shared" si="1"/>
        <v>39</v>
      </c>
      <c r="T18" s="88">
        <f t="shared" si="2"/>
        <v>2.4904701397712833E-2</v>
      </c>
      <c r="U18" s="10">
        <f t="shared" si="3"/>
        <v>196</v>
      </c>
      <c r="V18" s="10">
        <f t="shared" si="4"/>
        <v>8066</v>
      </c>
      <c r="W18" s="11">
        <v>8100</v>
      </c>
      <c r="X18" s="12">
        <f t="shared" si="5"/>
        <v>230</v>
      </c>
      <c r="Y18" s="92">
        <f t="shared" si="6"/>
        <v>2.92E-2</v>
      </c>
      <c r="Z18" s="93" t="str">
        <f t="shared" si="7"/>
        <v>0.00%-8.40%</v>
      </c>
      <c r="AA18" s="15"/>
      <c r="AB18" s="15"/>
      <c r="AC18" s="15"/>
      <c r="AD18" s="95"/>
      <c r="AE18" s="8">
        <f t="shared" si="8"/>
        <v>0</v>
      </c>
      <c r="AF18" s="17">
        <f t="shared" si="9"/>
        <v>8100</v>
      </c>
      <c r="AG18" s="18">
        <f t="shared" si="10"/>
        <v>230</v>
      </c>
      <c r="AH18" s="97">
        <f t="shared" si="11"/>
        <v>2.9224904701397714E-2</v>
      </c>
      <c r="AI18" s="20">
        <v>13.6</v>
      </c>
      <c r="AJ18" s="20">
        <v>450</v>
      </c>
      <c r="AK18" s="20"/>
      <c r="AL18" s="20">
        <v>688</v>
      </c>
      <c r="AM18" s="20">
        <f t="shared" si="12"/>
        <v>116248</v>
      </c>
      <c r="AN18" s="7" t="s">
        <v>176</v>
      </c>
      <c r="AO18" s="20"/>
      <c r="AP18" s="21"/>
      <c r="AQ18" s="21"/>
      <c r="AR18" s="5" t="s">
        <v>123</v>
      </c>
      <c r="AS18" s="5" t="s">
        <v>124</v>
      </c>
      <c r="AT18" s="5" t="s">
        <v>59</v>
      </c>
      <c r="AU18" s="20"/>
      <c r="AV18" s="21" t="s">
        <v>325</v>
      </c>
      <c r="AW18" s="21"/>
      <c r="AX18" s="21"/>
    </row>
    <row r="19" spans="1:50">
      <c r="A19" s="86" t="s">
        <v>318</v>
      </c>
      <c r="B19" s="5">
        <v>15011351</v>
      </c>
      <c r="C19" s="5" t="s">
        <v>345</v>
      </c>
      <c r="D19" s="5" t="s">
        <v>321</v>
      </c>
      <c r="E19" s="5" t="s">
        <v>52</v>
      </c>
      <c r="F19" s="5" t="s">
        <v>62</v>
      </c>
      <c r="G19" s="5" t="s">
        <v>152</v>
      </c>
      <c r="H19" s="5" t="s">
        <v>322</v>
      </c>
      <c r="I19" s="6">
        <v>44044</v>
      </c>
      <c r="J19" s="5" t="s">
        <v>336</v>
      </c>
      <c r="K19" s="5" t="s">
        <v>336</v>
      </c>
      <c r="L19" s="5" t="s">
        <v>324</v>
      </c>
      <c r="M19" s="7">
        <v>6</v>
      </c>
      <c r="N19" s="7" t="s">
        <v>176</v>
      </c>
      <c r="O19" s="8">
        <v>4678</v>
      </c>
      <c r="P19" s="88">
        <v>0.02</v>
      </c>
      <c r="Q19" s="10">
        <f t="shared" si="0"/>
        <v>94</v>
      </c>
      <c r="R19" s="88">
        <v>5.0000000000000001E-3</v>
      </c>
      <c r="S19" s="10">
        <f t="shared" si="1"/>
        <v>23</v>
      </c>
      <c r="T19" s="88">
        <f t="shared" si="2"/>
        <v>2.5010688328345448E-2</v>
      </c>
      <c r="U19" s="10">
        <f t="shared" si="3"/>
        <v>117</v>
      </c>
      <c r="V19" s="10">
        <f t="shared" si="4"/>
        <v>4795</v>
      </c>
      <c r="W19" s="11">
        <v>4748</v>
      </c>
      <c r="X19" s="12">
        <f t="shared" si="5"/>
        <v>70</v>
      </c>
      <c r="Y19" s="92">
        <f t="shared" si="6"/>
        <v>1.4999999999999999E-2</v>
      </c>
      <c r="Z19" s="93" t="str">
        <f t="shared" si="7"/>
        <v>0.00%-8.40%</v>
      </c>
      <c r="AA19" s="15"/>
      <c r="AB19" s="15"/>
      <c r="AC19" s="15"/>
      <c r="AD19" s="95"/>
      <c r="AE19" s="8">
        <f t="shared" si="8"/>
        <v>0</v>
      </c>
      <c r="AF19" s="17">
        <f t="shared" si="9"/>
        <v>4748</v>
      </c>
      <c r="AG19" s="18">
        <f t="shared" si="10"/>
        <v>70</v>
      </c>
      <c r="AH19" s="97">
        <f t="shared" si="11"/>
        <v>1.4963659683625563E-2</v>
      </c>
      <c r="AI19" s="20">
        <v>13.6</v>
      </c>
      <c r="AJ19" s="20">
        <v>450</v>
      </c>
      <c r="AK19" s="20"/>
      <c r="AL19" s="20">
        <v>688</v>
      </c>
      <c r="AM19" s="20">
        <f t="shared" si="12"/>
        <v>70660.799999999988</v>
      </c>
      <c r="AN19" s="7" t="s">
        <v>176</v>
      </c>
      <c r="AO19" s="20"/>
      <c r="AP19" s="21"/>
      <c r="AQ19" s="21"/>
      <c r="AR19" s="5" t="s">
        <v>123</v>
      </c>
      <c r="AS19" s="5" t="s">
        <v>124</v>
      </c>
      <c r="AT19" s="5" t="s">
        <v>59</v>
      </c>
      <c r="AU19" s="20"/>
      <c r="AV19" s="21" t="s">
        <v>337</v>
      </c>
      <c r="AW19" s="21"/>
      <c r="AX19" s="21"/>
    </row>
    <row r="20" spans="1:50">
      <c r="A20" s="86" t="s">
        <v>318</v>
      </c>
      <c r="B20" s="5">
        <v>15006866</v>
      </c>
      <c r="C20" s="5" t="s">
        <v>346</v>
      </c>
      <c r="D20" s="5" t="s">
        <v>321</v>
      </c>
      <c r="E20" s="5" t="s">
        <v>52</v>
      </c>
      <c r="F20" s="5" t="s">
        <v>62</v>
      </c>
      <c r="G20" s="5" t="s">
        <v>130</v>
      </c>
      <c r="H20" s="5" t="s">
        <v>328</v>
      </c>
      <c r="I20" s="6">
        <v>40940</v>
      </c>
      <c r="J20" s="5" t="s">
        <v>279</v>
      </c>
      <c r="K20" s="5" t="s">
        <v>333</v>
      </c>
      <c r="L20" s="5" t="s">
        <v>324</v>
      </c>
      <c r="M20" s="7">
        <v>6</v>
      </c>
      <c r="N20" s="7" t="s">
        <v>176</v>
      </c>
      <c r="O20" s="8">
        <v>5200</v>
      </c>
      <c r="P20" s="88">
        <v>0.02</v>
      </c>
      <c r="Q20" s="10">
        <f t="shared" si="0"/>
        <v>104</v>
      </c>
      <c r="R20" s="88">
        <v>5.0000000000000001E-3</v>
      </c>
      <c r="S20" s="10">
        <f t="shared" si="1"/>
        <v>26</v>
      </c>
      <c r="T20" s="88">
        <f t="shared" si="2"/>
        <v>2.5000000000000001E-2</v>
      </c>
      <c r="U20" s="10">
        <f t="shared" si="3"/>
        <v>130</v>
      </c>
      <c r="V20" s="10">
        <f t="shared" si="4"/>
        <v>5330</v>
      </c>
      <c r="W20" s="11">
        <v>5386</v>
      </c>
      <c r="X20" s="12">
        <f t="shared" si="5"/>
        <v>186</v>
      </c>
      <c r="Y20" s="92">
        <f t="shared" si="6"/>
        <v>3.5799999999999998E-2</v>
      </c>
      <c r="Z20" s="93" t="str">
        <f t="shared" si="7"/>
        <v>0.00%-8.40%</v>
      </c>
      <c r="AA20" s="15"/>
      <c r="AB20" s="15"/>
      <c r="AC20" s="15"/>
      <c r="AD20" s="95"/>
      <c r="AE20" s="8">
        <f t="shared" si="8"/>
        <v>0</v>
      </c>
      <c r="AF20" s="17">
        <f t="shared" si="9"/>
        <v>5386</v>
      </c>
      <c r="AG20" s="18">
        <f t="shared" si="10"/>
        <v>186</v>
      </c>
      <c r="AH20" s="97">
        <f t="shared" si="11"/>
        <v>3.5769230769230775E-2</v>
      </c>
      <c r="AI20" s="20">
        <v>13.6</v>
      </c>
      <c r="AJ20" s="20">
        <v>750</v>
      </c>
      <c r="AK20" s="20"/>
      <c r="AL20" s="20">
        <v>688</v>
      </c>
      <c r="AM20" s="20">
        <f t="shared" si="12"/>
        <v>82937.599999999991</v>
      </c>
      <c r="AN20" s="7" t="s">
        <v>176</v>
      </c>
      <c r="AO20" s="20"/>
      <c r="AP20" s="21"/>
      <c r="AQ20" s="21"/>
      <c r="AR20" s="5" t="s">
        <v>123</v>
      </c>
      <c r="AS20" s="5" t="s">
        <v>124</v>
      </c>
      <c r="AT20" s="5" t="s">
        <v>59</v>
      </c>
      <c r="AU20" s="20"/>
      <c r="AV20" s="21" t="s">
        <v>334</v>
      </c>
      <c r="AW20" s="21" t="s">
        <v>347</v>
      </c>
      <c r="AX20" s="21"/>
    </row>
    <row r="21" spans="1:50">
      <c r="A21" s="86" t="s">
        <v>318</v>
      </c>
      <c r="B21" s="5">
        <v>15002767</v>
      </c>
      <c r="C21" s="5" t="s">
        <v>348</v>
      </c>
      <c r="D21" s="5" t="s">
        <v>321</v>
      </c>
      <c r="E21" s="5" t="s">
        <v>52</v>
      </c>
      <c r="F21" s="5" t="s">
        <v>62</v>
      </c>
      <c r="G21" s="5" t="s">
        <v>152</v>
      </c>
      <c r="H21" s="5" t="s">
        <v>322</v>
      </c>
      <c r="I21" s="6">
        <v>40148</v>
      </c>
      <c r="J21" s="5" t="s">
        <v>279</v>
      </c>
      <c r="K21" s="5" t="s">
        <v>333</v>
      </c>
      <c r="L21" s="5" t="s">
        <v>324</v>
      </c>
      <c r="M21" s="7">
        <v>6</v>
      </c>
      <c r="N21" s="7" t="s">
        <v>176</v>
      </c>
      <c r="O21" s="8">
        <v>5400</v>
      </c>
      <c r="P21" s="88">
        <v>0.02</v>
      </c>
      <c r="Q21" s="10">
        <f t="shared" si="0"/>
        <v>108</v>
      </c>
      <c r="R21" s="88">
        <v>5.0000000000000001E-3</v>
      </c>
      <c r="S21" s="10">
        <f t="shared" si="1"/>
        <v>27</v>
      </c>
      <c r="T21" s="88">
        <f t="shared" si="2"/>
        <v>2.5000000000000001E-2</v>
      </c>
      <c r="U21" s="10">
        <f t="shared" si="3"/>
        <v>135</v>
      </c>
      <c r="V21" s="10">
        <f t="shared" si="4"/>
        <v>5535</v>
      </c>
      <c r="W21" s="11">
        <v>5550</v>
      </c>
      <c r="X21" s="12">
        <f t="shared" si="5"/>
        <v>150</v>
      </c>
      <c r="Y21" s="92">
        <f t="shared" si="6"/>
        <v>2.7799999999999998E-2</v>
      </c>
      <c r="Z21" s="93" t="str">
        <f t="shared" si="7"/>
        <v>0.00%-8.40%</v>
      </c>
      <c r="AA21" s="15"/>
      <c r="AB21" s="15"/>
      <c r="AC21" s="15"/>
      <c r="AD21" s="95"/>
      <c r="AE21" s="8">
        <f t="shared" si="8"/>
        <v>0</v>
      </c>
      <c r="AF21" s="17">
        <f t="shared" si="9"/>
        <v>5550</v>
      </c>
      <c r="AG21" s="18">
        <f t="shared" si="10"/>
        <v>150</v>
      </c>
      <c r="AH21" s="97">
        <f t="shared" si="11"/>
        <v>2.7777777777777679E-2</v>
      </c>
      <c r="AI21" s="20">
        <v>13.6</v>
      </c>
      <c r="AJ21" s="20">
        <v>700</v>
      </c>
      <c r="AK21" s="20"/>
      <c r="AL21" s="20">
        <v>688</v>
      </c>
      <c r="AM21" s="20">
        <f t="shared" si="12"/>
        <v>84568</v>
      </c>
      <c r="AN21" s="7" t="s">
        <v>176</v>
      </c>
      <c r="AO21" s="20"/>
      <c r="AP21" s="21"/>
      <c r="AQ21" s="21"/>
      <c r="AR21" s="5" t="s">
        <v>123</v>
      </c>
      <c r="AS21" s="5" t="s">
        <v>124</v>
      </c>
      <c r="AT21" s="5" t="s">
        <v>59</v>
      </c>
      <c r="AU21" s="20"/>
      <c r="AV21" s="21" t="s">
        <v>334</v>
      </c>
      <c r="AW21" s="21"/>
      <c r="AX21" s="21"/>
    </row>
    <row r="22" spans="1:50">
      <c r="A22" s="86" t="s">
        <v>318</v>
      </c>
      <c r="B22" s="5">
        <v>15014367</v>
      </c>
      <c r="C22" s="5" t="s">
        <v>349</v>
      </c>
      <c r="D22" s="5" t="s">
        <v>321</v>
      </c>
      <c r="E22" s="5" t="s">
        <v>52</v>
      </c>
      <c r="F22" s="5" t="s">
        <v>62</v>
      </c>
      <c r="G22" s="5" t="s">
        <v>152</v>
      </c>
      <c r="H22" s="5" t="s">
        <v>322</v>
      </c>
      <c r="I22" s="6">
        <v>42309</v>
      </c>
      <c r="J22" s="5" t="s">
        <v>279</v>
      </c>
      <c r="K22" s="5" t="s">
        <v>333</v>
      </c>
      <c r="L22" s="5" t="s">
        <v>324</v>
      </c>
      <c r="M22" s="7">
        <v>6</v>
      </c>
      <c r="N22" s="7" t="s">
        <v>176</v>
      </c>
      <c r="O22" s="8">
        <v>5450</v>
      </c>
      <c r="P22" s="88">
        <v>0.02</v>
      </c>
      <c r="Q22" s="10">
        <f t="shared" si="0"/>
        <v>109</v>
      </c>
      <c r="R22" s="88">
        <v>5.0000000000000001E-3</v>
      </c>
      <c r="S22" s="10">
        <f t="shared" si="1"/>
        <v>27</v>
      </c>
      <c r="T22" s="88">
        <f t="shared" si="2"/>
        <v>2.4954128440366971E-2</v>
      </c>
      <c r="U22" s="10">
        <f t="shared" si="3"/>
        <v>136</v>
      </c>
      <c r="V22" s="10">
        <f t="shared" si="4"/>
        <v>5586</v>
      </c>
      <c r="W22" s="11">
        <v>5600</v>
      </c>
      <c r="X22" s="12">
        <f t="shared" si="5"/>
        <v>150</v>
      </c>
      <c r="Y22" s="92">
        <f t="shared" si="6"/>
        <v>2.75E-2</v>
      </c>
      <c r="Z22" s="93" t="str">
        <f t="shared" si="7"/>
        <v>0.00%-8.40%</v>
      </c>
      <c r="AA22" s="15"/>
      <c r="AB22" s="15"/>
      <c r="AC22" s="15"/>
      <c r="AD22" s="95"/>
      <c r="AE22" s="8">
        <f t="shared" si="8"/>
        <v>0</v>
      </c>
      <c r="AF22" s="17">
        <f t="shared" si="9"/>
        <v>5600</v>
      </c>
      <c r="AG22" s="18">
        <f t="shared" si="10"/>
        <v>150</v>
      </c>
      <c r="AH22" s="97">
        <f t="shared" si="11"/>
        <v>2.7522935779816571E-2</v>
      </c>
      <c r="AI22" s="20">
        <v>13.6</v>
      </c>
      <c r="AJ22" s="20">
        <v>750</v>
      </c>
      <c r="AK22" s="20"/>
      <c r="AL22" s="20">
        <v>688</v>
      </c>
      <c r="AM22" s="20">
        <f t="shared" si="12"/>
        <v>85848</v>
      </c>
      <c r="AN22" s="7" t="s">
        <v>176</v>
      </c>
      <c r="AO22" s="20"/>
      <c r="AP22" s="21"/>
      <c r="AQ22" s="21"/>
      <c r="AR22" s="5" t="s">
        <v>123</v>
      </c>
      <c r="AS22" s="5" t="s">
        <v>124</v>
      </c>
      <c r="AT22" s="5" t="s">
        <v>59</v>
      </c>
      <c r="AU22" s="20"/>
      <c r="AV22" s="21" t="s">
        <v>334</v>
      </c>
      <c r="AW22" s="21"/>
      <c r="AX22" s="21"/>
    </row>
    <row r="23" spans="1:50">
      <c r="A23" s="86" t="s">
        <v>318</v>
      </c>
      <c r="B23" s="5">
        <v>15000864</v>
      </c>
      <c r="C23" s="5" t="s">
        <v>350</v>
      </c>
      <c r="D23" s="5" t="s">
        <v>321</v>
      </c>
      <c r="E23" s="5" t="s">
        <v>52</v>
      </c>
      <c r="F23" s="5" t="s">
        <v>62</v>
      </c>
      <c r="G23" s="5" t="s">
        <v>152</v>
      </c>
      <c r="H23" s="5" t="s">
        <v>322</v>
      </c>
      <c r="I23" s="6">
        <v>39143</v>
      </c>
      <c r="J23" s="5" t="s">
        <v>279</v>
      </c>
      <c r="K23" s="5" t="s">
        <v>333</v>
      </c>
      <c r="L23" s="5" t="s">
        <v>324</v>
      </c>
      <c r="M23" s="7">
        <v>6</v>
      </c>
      <c r="N23" s="7" t="s">
        <v>176</v>
      </c>
      <c r="O23" s="8">
        <v>5050</v>
      </c>
      <c r="P23" s="88">
        <v>0.02</v>
      </c>
      <c r="Q23" s="10">
        <f t="shared" si="0"/>
        <v>101</v>
      </c>
      <c r="R23" s="88">
        <v>5.0000000000000001E-3</v>
      </c>
      <c r="S23" s="10">
        <f t="shared" si="1"/>
        <v>25</v>
      </c>
      <c r="T23" s="88">
        <f t="shared" si="2"/>
        <v>2.4950495049504952E-2</v>
      </c>
      <c r="U23" s="10">
        <f t="shared" si="3"/>
        <v>126</v>
      </c>
      <c r="V23" s="10">
        <f t="shared" si="4"/>
        <v>5176</v>
      </c>
      <c r="W23" s="11">
        <v>5150</v>
      </c>
      <c r="X23" s="12">
        <f t="shared" si="5"/>
        <v>100</v>
      </c>
      <c r="Y23" s="92">
        <f t="shared" si="6"/>
        <v>1.9800000000000002E-2</v>
      </c>
      <c r="Z23" s="93" t="str">
        <f t="shared" si="7"/>
        <v>0.00%-8.40%</v>
      </c>
      <c r="AA23" s="15"/>
      <c r="AB23" s="15"/>
      <c r="AC23" s="15"/>
      <c r="AD23" s="95"/>
      <c r="AE23" s="8">
        <f t="shared" si="8"/>
        <v>0</v>
      </c>
      <c r="AF23" s="17">
        <f t="shared" si="9"/>
        <v>5150</v>
      </c>
      <c r="AG23" s="18">
        <f t="shared" si="10"/>
        <v>100</v>
      </c>
      <c r="AH23" s="97">
        <f t="shared" si="11"/>
        <v>1.980198019801982E-2</v>
      </c>
      <c r="AI23" s="20">
        <v>13.6</v>
      </c>
      <c r="AJ23" s="20">
        <v>660</v>
      </c>
      <c r="AK23" s="20"/>
      <c r="AL23" s="20">
        <v>688</v>
      </c>
      <c r="AM23" s="20">
        <f t="shared" si="12"/>
        <v>78648</v>
      </c>
      <c r="AN23" s="7" t="s">
        <v>176</v>
      </c>
      <c r="AO23" s="20"/>
      <c r="AP23" s="21"/>
      <c r="AQ23" s="21"/>
      <c r="AR23" s="5" t="s">
        <v>123</v>
      </c>
      <c r="AS23" s="5" t="s">
        <v>124</v>
      </c>
      <c r="AT23" s="5" t="s">
        <v>59</v>
      </c>
      <c r="AU23" s="20"/>
      <c r="AV23" s="21" t="s">
        <v>342</v>
      </c>
      <c r="AW23" s="21"/>
      <c r="AX23" s="21"/>
    </row>
    <row r="24" spans="1:50">
      <c r="A24" s="86" t="s">
        <v>318</v>
      </c>
      <c r="B24" s="5">
        <v>15000704</v>
      </c>
      <c r="C24" s="5" t="s">
        <v>351</v>
      </c>
      <c r="D24" s="5" t="s">
        <v>321</v>
      </c>
      <c r="E24" s="5" t="s">
        <v>52</v>
      </c>
      <c r="F24" s="5" t="s">
        <v>62</v>
      </c>
      <c r="G24" s="5" t="s">
        <v>152</v>
      </c>
      <c r="H24" s="5" t="s">
        <v>322</v>
      </c>
      <c r="I24" s="6">
        <v>39007</v>
      </c>
      <c r="J24" s="5" t="s">
        <v>279</v>
      </c>
      <c r="K24" s="5" t="s">
        <v>333</v>
      </c>
      <c r="L24" s="5" t="s">
        <v>324</v>
      </c>
      <c r="M24" s="7">
        <v>6</v>
      </c>
      <c r="N24" s="7" t="s">
        <v>176</v>
      </c>
      <c r="O24" s="8">
        <v>6510</v>
      </c>
      <c r="P24" s="88">
        <v>0.02</v>
      </c>
      <c r="Q24" s="10">
        <f t="shared" si="0"/>
        <v>130</v>
      </c>
      <c r="R24" s="88">
        <v>5.0000000000000001E-3</v>
      </c>
      <c r="S24" s="10">
        <f t="shared" si="1"/>
        <v>33</v>
      </c>
      <c r="T24" s="88">
        <f t="shared" si="2"/>
        <v>2.5038402457757295E-2</v>
      </c>
      <c r="U24" s="10">
        <f t="shared" si="3"/>
        <v>163</v>
      </c>
      <c r="V24" s="10">
        <f t="shared" si="4"/>
        <v>6673</v>
      </c>
      <c r="W24" s="11">
        <v>6650</v>
      </c>
      <c r="X24" s="12">
        <f t="shared" si="5"/>
        <v>140</v>
      </c>
      <c r="Y24" s="92">
        <f t="shared" si="6"/>
        <v>2.1499999999999998E-2</v>
      </c>
      <c r="Z24" s="93" t="str">
        <f t="shared" si="7"/>
        <v>0.00%-8.40%</v>
      </c>
      <c r="AA24" s="15"/>
      <c r="AB24" s="15"/>
      <c r="AC24" s="15"/>
      <c r="AD24" s="95"/>
      <c r="AE24" s="8">
        <f t="shared" si="8"/>
        <v>0</v>
      </c>
      <c r="AF24" s="17">
        <f t="shared" si="9"/>
        <v>6650</v>
      </c>
      <c r="AG24" s="18">
        <f t="shared" si="10"/>
        <v>140</v>
      </c>
      <c r="AH24" s="97">
        <f t="shared" si="11"/>
        <v>2.1505376344086002E-2</v>
      </c>
      <c r="AI24" s="20">
        <v>13.6</v>
      </c>
      <c r="AJ24" s="20">
        <v>750</v>
      </c>
      <c r="AK24" s="20"/>
      <c r="AL24" s="20">
        <v>688</v>
      </c>
      <c r="AM24" s="20">
        <f t="shared" si="12"/>
        <v>100128</v>
      </c>
      <c r="AN24" s="7" t="s">
        <v>176</v>
      </c>
      <c r="AO24" s="20"/>
      <c r="AP24" s="21"/>
      <c r="AQ24" s="21"/>
      <c r="AR24" s="5" t="s">
        <v>123</v>
      </c>
      <c r="AS24" s="5" t="s">
        <v>124</v>
      </c>
      <c r="AT24" s="5" t="s">
        <v>59</v>
      </c>
      <c r="AU24" s="20"/>
      <c r="AV24" s="21" t="s">
        <v>352</v>
      </c>
      <c r="AW24" s="21"/>
      <c r="AX24" s="21"/>
    </row>
    <row r="25" spans="1:50">
      <c r="A25" s="86" t="s">
        <v>318</v>
      </c>
      <c r="B25" s="5">
        <v>15004753</v>
      </c>
      <c r="C25" s="5" t="s">
        <v>353</v>
      </c>
      <c r="D25" s="5" t="s">
        <v>321</v>
      </c>
      <c r="E25" s="5" t="s">
        <v>52</v>
      </c>
      <c r="F25" s="5" t="s">
        <v>62</v>
      </c>
      <c r="G25" s="5" t="s">
        <v>152</v>
      </c>
      <c r="H25" s="5" t="s">
        <v>322</v>
      </c>
      <c r="I25" s="6">
        <v>40471</v>
      </c>
      <c r="J25" s="5" t="s">
        <v>279</v>
      </c>
      <c r="K25" s="5" t="s">
        <v>333</v>
      </c>
      <c r="L25" s="5" t="s">
        <v>324</v>
      </c>
      <c r="M25" s="7">
        <v>6</v>
      </c>
      <c r="N25" s="7" t="s">
        <v>176</v>
      </c>
      <c r="O25" s="8">
        <v>6233</v>
      </c>
      <c r="P25" s="88">
        <v>0.02</v>
      </c>
      <c r="Q25" s="10">
        <f t="shared" si="0"/>
        <v>125</v>
      </c>
      <c r="R25" s="88">
        <v>5.0000000000000001E-3</v>
      </c>
      <c r="S25" s="10">
        <f t="shared" si="1"/>
        <v>31</v>
      </c>
      <c r="T25" s="88">
        <f t="shared" si="2"/>
        <v>2.5028076367720198E-2</v>
      </c>
      <c r="U25" s="10">
        <f t="shared" si="3"/>
        <v>156</v>
      </c>
      <c r="V25" s="10">
        <f t="shared" si="4"/>
        <v>6389</v>
      </c>
      <c r="W25" s="11">
        <v>6500</v>
      </c>
      <c r="X25" s="12">
        <f t="shared" si="5"/>
        <v>267</v>
      </c>
      <c r="Y25" s="92">
        <f t="shared" si="6"/>
        <v>4.2799999999999998E-2</v>
      </c>
      <c r="Z25" s="93" t="str">
        <f t="shared" si="7"/>
        <v>0.00%-8.40%</v>
      </c>
      <c r="AA25" s="15"/>
      <c r="AB25" s="15"/>
      <c r="AC25" s="15"/>
      <c r="AD25" s="95"/>
      <c r="AE25" s="8">
        <f t="shared" si="8"/>
        <v>0</v>
      </c>
      <c r="AF25" s="17">
        <f t="shared" si="9"/>
        <v>6500</v>
      </c>
      <c r="AG25" s="18">
        <f t="shared" si="10"/>
        <v>267</v>
      </c>
      <c r="AH25" s="97">
        <f t="shared" si="11"/>
        <v>4.2836515321674984E-2</v>
      </c>
      <c r="AI25" s="20">
        <v>13.6</v>
      </c>
      <c r="AJ25" s="20">
        <v>750</v>
      </c>
      <c r="AK25" s="20"/>
      <c r="AL25" s="20">
        <v>688</v>
      </c>
      <c r="AM25" s="20">
        <f t="shared" si="12"/>
        <v>98088</v>
      </c>
      <c r="AN25" s="7" t="s">
        <v>176</v>
      </c>
      <c r="AO25" s="20"/>
      <c r="AP25" s="21"/>
      <c r="AQ25" s="21"/>
      <c r="AR25" s="5" t="s">
        <v>123</v>
      </c>
      <c r="AS25" s="5" t="s">
        <v>124</v>
      </c>
      <c r="AT25" s="5" t="s">
        <v>59</v>
      </c>
      <c r="AU25" s="20"/>
      <c r="AV25" s="21" t="s">
        <v>352</v>
      </c>
      <c r="AW25" s="21"/>
      <c r="AX25" s="21"/>
    </row>
    <row r="26" spans="1:50">
      <c r="A26" s="86" t="s">
        <v>318</v>
      </c>
      <c r="B26" s="5">
        <v>15009437</v>
      </c>
      <c r="C26" s="5" t="s">
        <v>354</v>
      </c>
      <c r="D26" s="5" t="s">
        <v>321</v>
      </c>
      <c r="E26" s="5" t="s">
        <v>52</v>
      </c>
      <c r="F26" s="5" t="s">
        <v>62</v>
      </c>
      <c r="G26" s="5" t="s">
        <v>130</v>
      </c>
      <c r="H26" s="5" t="s">
        <v>331</v>
      </c>
      <c r="I26" s="6">
        <v>41487</v>
      </c>
      <c r="J26" s="5" t="s">
        <v>336</v>
      </c>
      <c r="K26" s="5" t="s">
        <v>336</v>
      </c>
      <c r="L26" s="5" t="s">
        <v>324</v>
      </c>
      <c r="M26" s="7">
        <v>6</v>
      </c>
      <c r="N26" s="7" t="s">
        <v>176</v>
      </c>
      <c r="O26" s="8">
        <v>5492</v>
      </c>
      <c r="P26" s="88">
        <v>0.02</v>
      </c>
      <c r="Q26" s="10">
        <f t="shared" si="0"/>
        <v>110</v>
      </c>
      <c r="R26" s="88">
        <v>5.0000000000000001E-3</v>
      </c>
      <c r="S26" s="10">
        <f t="shared" si="1"/>
        <v>27</v>
      </c>
      <c r="T26" s="88">
        <f t="shared" si="2"/>
        <v>2.4945375091041513E-2</v>
      </c>
      <c r="U26" s="10">
        <f t="shared" si="3"/>
        <v>137</v>
      </c>
      <c r="V26" s="10">
        <f t="shared" si="4"/>
        <v>5629</v>
      </c>
      <c r="W26" s="11">
        <v>5492</v>
      </c>
      <c r="X26" s="12">
        <f t="shared" si="5"/>
        <v>0</v>
      </c>
      <c r="Y26" s="92">
        <f t="shared" si="6"/>
        <v>0</v>
      </c>
      <c r="Z26" s="93" t="str">
        <f t="shared" si="7"/>
        <v>0.00%-8.40%</v>
      </c>
      <c r="AA26" s="15" t="s">
        <v>87</v>
      </c>
      <c r="AB26" s="15" t="s">
        <v>355</v>
      </c>
      <c r="AC26" s="15"/>
      <c r="AD26" s="95">
        <v>0.11070000000000001</v>
      </c>
      <c r="AE26" s="8">
        <f t="shared" si="8"/>
        <v>608</v>
      </c>
      <c r="AF26" s="17">
        <f t="shared" si="9"/>
        <v>6100</v>
      </c>
      <c r="AG26" s="18">
        <f t="shared" si="10"/>
        <v>608</v>
      </c>
      <c r="AH26" s="97">
        <f t="shared" si="11"/>
        <v>0.11070648215586298</v>
      </c>
      <c r="AI26" s="20">
        <v>13.6</v>
      </c>
      <c r="AJ26" s="20">
        <v>450</v>
      </c>
      <c r="AK26" s="20"/>
      <c r="AL26" s="20">
        <v>688</v>
      </c>
      <c r="AM26" s="20">
        <f t="shared" si="12"/>
        <v>89048</v>
      </c>
      <c r="AN26" s="7" t="s">
        <v>176</v>
      </c>
      <c r="AO26" s="20"/>
      <c r="AP26" s="21"/>
      <c r="AQ26" s="21" t="s">
        <v>173</v>
      </c>
      <c r="AR26" s="5" t="s">
        <v>123</v>
      </c>
      <c r="AS26" s="5" t="s">
        <v>124</v>
      </c>
      <c r="AT26" s="5" t="s">
        <v>59</v>
      </c>
      <c r="AU26" s="20"/>
      <c r="AV26" s="21" t="s">
        <v>334</v>
      </c>
      <c r="AW26" s="21"/>
      <c r="AX26" s="21"/>
    </row>
    <row r="27" spans="1:50">
      <c r="A27" s="86" t="s">
        <v>318</v>
      </c>
      <c r="B27" s="5">
        <v>15001598</v>
      </c>
      <c r="C27" s="5" t="s">
        <v>356</v>
      </c>
      <c r="D27" s="5" t="s">
        <v>321</v>
      </c>
      <c r="E27" s="5" t="s">
        <v>52</v>
      </c>
      <c r="F27" s="5" t="s">
        <v>62</v>
      </c>
      <c r="G27" s="5" t="s">
        <v>152</v>
      </c>
      <c r="H27" s="5" t="s">
        <v>322</v>
      </c>
      <c r="I27" s="6">
        <v>39576</v>
      </c>
      <c r="J27" s="5" t="s">
        <v>279</v>
      </c>
      <c r="K27" s="5" t="s">
        <v>333</v>
      </c>
      <c r="L27" s="5" t="s">
        <v>324</v>
      </c>
      <c r="M27" s="7">
        <v>6</v>
      </c>
      <c r="N27" s="7" t="s">
        <v>176</v>
      </c>
      <c r="O27" s="8">
        <v>5760</v>
      </c>
      <c r="P27" s="88">
        <v>0.02</v>
      </c>
      <c r="Q27" s="10">
        <f t="shared" si="0"/>
        <v>115</v>
      </c>
      <c r="R27" s="88">
        <v>5.0000000000000001E-3</v>
      </c>
      <c r="S27" s="10">
        <f t="shared" si="1"/>
        <v>29</v>
      </c>
      <c r="T27" s="88">
        <f t="shared" si="2"/>
        <v>2.5000000000000001E-2</v>
      </c>
      <c r="U27" s="10">
        <f t="shared" si="3"/>
        <v>144</v>
      </c>
      <c r="V27" s="10">
        <f t="shared" si="4"/>
        <v>5904</v>
      </c>
      <c r="W27" s="11">
        <v>5850</v>
      </c>
      <c r="X27" s="12">
        <f t="shared" si="5"/>
        <v>90</v>
      </c>
      <c r="Y27" s="92">
        <f t="shared" si="6"/>
        <v>1.5599999999999999E-2</v>
      </c>
      <c r="Z27" s="93" t="str">
        <f t="shared" si="7"/>
        <v>0.00%-8.40%</v>
      </c>
      <c r="AA27" s="15"/>
      <c r="AB27" s="15"/>
      <c r="AC27" s="15"/>
      <c r="AD27" s="95"/>
      <c r="AE27" s="8">
        <f t="shared" si="8"/>
        <v>0</v>
      </c>
      <c r="AF27" s="17">
        <f t="shared" si="9"/>
        <v>5850</v>
      </c>
      <c r="AG27" s="18">
        <f t="shared" si="10"/>
        <v>90</v>
      </c>
      <c r="AH27" s="97">
        <f t="shared" si="11"/>
        <v>1.5625E-2</v>
      </c>
      <c r="AI27" s="20">
        <v>13.6</v>
      </c>
      <c r="AJ27" s="20">
        <v>750</v>
      </c>
      <c r="AK27" s="20"/>
      <c r="AL27" s="20">
        <v>688</v>
      </c>
      <c r="AM27" s="20">
        <f t="shared" si="12"/>
        <v>89248</v>
      </c>
      <c r="AN27" s="7" t="s">
        <v>176</v>
      </c>
      <c r="AO27" s="20"/>
      <c r="AP27" s="21"/>
      <c r="AQ27" s="21"/>
      <c r="AR27" s="5" t="s">
        <v>123</v>
      </c>
      <c r="AS27" s="5" t="s">
        <v>124</v>
      </c>
      <c r="AT27" s="5" t="s">
        <v>59</v>
      </c>
      <c r="AU27" s="20"/>
      <c r="AV27" s="21" t="s">
        <v>342</v>
      </c>
      <c r="AW27" s="21"/>
      <c r="AX27" s="21"/>
    </row>
    <row r="28" spans="1:50">
      <c r="A28" s="86" t="s">
        <v>318</v>
      </c>
      <c r="B28" s="5">
        <v>15006879</v>
      </c>
      <c r="C28" s="5" t="s">
        <v>357</v>
      </c>
      <c r="D28" s="5" t="s">
        <v>321</v>
      </c>
      <c r="E28" s="5" t="s">
        <v>52</v>
      </c>
      <c r="F28" s="5" t="s">
        <v>62</v>
      </c>
      <c r="G28" s="5" t="s">
        <v>152</v>
      </c>
      <c r="H28" s="5" t="s">
        <v>322</v>
      </c>
      <c r="I28" s="6">
        <v>40749</v>
      </c>
      <c r="J28" s="5" t="s">
        <v>279</v>
      </c>
      <c r="K28" s="5" t="s">
        <v>333</v>
      </c>
      <c r="L28" s="5" t="s">
        <v>324</v>
      </c>
      <c r="M28" s="7">
        <v>6</v>
      </c>
      <c r="N28" s="7" t="s">
        <v>176</v>
      </c>
      <c r="O28" s="8">
        <v>5100</v>
      </c>
      <c r="P28" s="88">
        <v>0.02</v>
      </c>
      <c r="Q28" s="10">
        <f t="shared" si="0"/>
        <v>102</v>
      </c>
      <c r="R28" s="88">
        <v>5.0000000000000001E-3</v>
      </c>
      <c r="S28" s="10">
        <f t="shared" si="1"/>
        <v>26</v>
      </c>
      <c r="T28" s="88">
        <f t="shared" si="2"/>
        <v>2.5098039215686273E-2</v>
      </c>
      <c r="U28" s="10">
        <f t="shared" si="3"/>
        <v>128</v>
      </c>
      <c r="V28" s="10">
        <f t="shared" si="4"/>
        <v>5228</v>
      </c>
      <c r="W28" s="11">
        <v>5200</v>
      </c>
      <c r="X28" s="12">
        <f t="shared" si="5"/>
        <v>100</v>
      </c>
      <c r="Y28" s="92">
        <f t="shared" si="6"/>
        <v>1.9599999999999999E-2</v>
      </c>
      <c r="Z28" s="93" t="str">
        <f t="shared" si="7"/>
        <v>0.00%-8.40%</v>
      </c>
      <c r="AA28" s="15"/>
      <c r="AB28" s="15"/>
      <c r="AC28" s="15"/>
      <c r="AD28" s="95"/>
      <c r="AE28" s="8">
        <f t="shared" si="8"/>
        <v>0</v>
      </c>
      <c r="AF28" s="17">
        <f t="shared" si="9"/>
        <v>5200</v>
      </c>
      <c r="AG28" s="18">
        <f t="shared" si="10"/>
        <v>100</v>
      </c>
      <c r="AH28" s="97">
        <f t="shared" si="11"/>
        <v>1.9607843137254832E-2</v>
      </c>
      <c r="AI28" s="20">
        <v>13.6</v>
      </c>
      <c r="AJ28" s="20">
        <v>750</v>
      </c>
      <c r="AK28" s="20"/>
      <c r="AL28" s="20">
        <v>688</v>
      </c>
      <c r="AM28" s="20">
        <f t="shared" si="12"/>
        <v>80408</v>
      </c>
      <c r="AN28" s="7" t="s">
        <v>176</v>
      </c>
      <c r="AO28" s="20"/>
      <c r="AP28" s="21"/>
      <c r="AQ28" s="21"/>
      <c r="AR28" s="5" t="s">
        <v>123</v>
      </c>
      <c r="AS28" s="5" t="s">
        <v>124</v>
      </c>
      <c r="AT28" s="5" t="s">
        <v>59</v>
      </c>
      <c r="AU28" s="20"/>
      <c r="AV28" s="21" t="s">
        <v>342</v>
      </c>
      <c r="AW28" s="21"/>
      <c r="AX28" s="21"/>
    </row>
    <row r="29" spans="1:50">
      <c r="A29" s="86" t="s">
        <v>318</v>
      </c>
      <c r="B29" s="5">
        <v>15008467</v>
      </c>
      <c r="C29" s="5" t="s">
        <v>358</v>
      </c>
      <c r="D29" s="5" t="s">
        <v>321</v>
      </c>
      <c r="E29" s="5" t="s">
        <v>52</v>
      </c>
      <c r="F29" s="5" t="s">
        <v>62</v>
      </c>
      <c r="G29" s="5" t="s">
        <v>130</v>
      </c>
      <c r="H29" s="5" t="s">
        <v>328</v>
      </c>
      <c r="I29" s="6">
        <v>41426</v>
      </c>
      <c r="J29" s="5" t="s">
        <v>279</v>
      </c>
      <c r="K29" s="5" t="s">
        <v>333</v>
      </c>
      <c r="L29" s="5" t="s">
        <v>324</v>
      </c>
      <c r="M29" s="7">
        <v>6</v>
      </c>
      <c r="N29" s="7" t="s">
        <v>176</v>
      </c>
      <c r="O29" s="8">
        <v>5550</v>
      </c>
      <c r="P29" s="88">
        <v>0.02</v>
      </c>
      <c r="Q29" s="10">
        <f t="shared" si="0"/>
        <v>111</v>
      </c>
      <c r="R29" s="88">
        <v>5.0000000000000001E-3</v>
      </c>
      <c r="S29" s="10">
        <f t="shared" si="1"/>
        <v>28</v>
      </c>
      <c r="T29" s="88">
        <f t="shared" si="2"/>
        <v>2.5045045045045046E-2</v>
      </c>
      <c r="U29" s="10">
        <f t="shared" si="3"/>
        <v>139</v>
      </c>
      <c r="V29" s="10">
        <f t="shared" si="4"/>
        <v>5689</v>
      </c>
      <c r="W29" s="11">
        <v>5650</v>
      </c>
      <c r="X29" s="12">
        <f t="shared" si="5"/>
        <v>100</v>
      </c>
      <c r="Y29" s="92">
        <f t="shared" si="6"/>
        <v>1.7999999999999999E-2</v>
      </c>
      <c r="Z29" s="93" t="str">
        <f t="shared" si="7"/>
        <v>0.00%-8.40%</v>
      </c>
      <c r="AA29" s="15"/>
      <c r="AB29" s="15"/>
      <c r="AC29" s="15"/>
      <c r="AD29" s="95"/>
      <c r="AE29" s="8">
        <f t="shared" si="8"/>
        <v>0</v>
      </c>
      <c r="AF29" s="17">
        <f t="shared" si="9"/>
        <v>5650</v>
      </c>
      <c r="AG29" s="18">
        <f t="shared" si="10"/>
        <v>100</v>
      </c>
      <c r="AH29" s="97">
        <f t="shared" si="11"/>
        <v>1.8018018018018056E-2</v>
      </c>
      <c r="AI29" s="20">
        <v>13.6</v>
      </c>
      <c r="AJ29" s="20">
        <v>800</v>
      </c>
      <c r="AK29" s="20"/>
      <c r="AL29" s="20">
        <v>688</v>
      </c>
      <c r="AM29" s="20">
        <f t="shared" si="12"/>
        <v>87128</v>
      </c>
      <c r="AN29" s="7" t="s">
        <v>176</v>
      </c>
      <c r="AO29" s="20"/>
      <c r="AP29" s="21"/>
      <c r="AQ29" s="21"/>
      <c r="AR29" s="5" t="s">
        <v>123</v>
      </c>
      <c r="AS29" s="5" t="s">
        <v>124</v>
      </c>
      <c r="AT29" s="5" t="s">
        <v>59</v>
      </c>
      <c r="AU29" s="20"/>
      <c r="AV29" s="21" t="s">
        <v>342</v>
      </c>
      <c r="AW29" s="21"/>
      <c r="AX29" s="21"/>
    </row>
    <row r="30" spans="1:50">
      <c r="A30" s="86" t="s">
        <v>318</v>
      </c>
      <c r="B30" s="5">
        <v>15002473</v>
      </c>
      <c r="C30" s="5" t="s">
        <v>359</v>
      </c>
      <c r="D30" s="5" t="s">
        <v>360</v>
      </c>
      <c r="E30" s="5" t="s">
        <v>52</v>
      </c>
      <c r="F30" s="5" t="s">
        <v>62</v>
      </c>
      <c r="G30" s="5" t="s">
        <v>145</v>
      </c>
      <c r="H30" s="5" t="s">
        <v>131</v>
      </c>
      <c r="I30" s="6">
        <v>39973</v>
      </c>
      <c r="J30" s="5" t="s">
        <v>361</v>
      </c>
      <c r="K30" s="5" t="s">
        <v>361</v>
      </c>
      <c r="L30" s="5" t="s">
        <v>324</v>
      </c>
      <c r="M30" s="7">
        <v>6</v>
      </c>
      <c r="N30" s="7" t="s">
        <v>176</v>
      </c>
      <c r="O30" s="8">
        <v>6750</v>
      </c>
      <c r="P30" s="88">
        <v>0.02</v>
      </c>
      <c r="Q30" s="10">
        <f t="shared" si="0"/>
        <v>135</v>
      </c>
      <c r="R30" s="88">
        <v>5.0000000000000001E-3</v>
      </c>
      <c r="S30" s="10">
        <f t="shared" si="1"/>
        <v>34</v>
      </c>
      <c r="T30" s="88">
        <f t="shared" si="2"/>
        <v>2.5037037037037038E-2</v>
      </c>
      <c r="U30" s="10">
        <f t="shared" si="3"/>
        <v>169</v>
      </c>
      <c r="V30" s="10">
        <f t="shared" si="4"/>
        <v>6919</v>
      </c>
      <c r="W30" s="11">
        <v>7000</v>
      </c>
      <c r="X30" s="12">
        <f t="shared" si="5"/>
        <v>250</v>
      </c>
      <c r="Y30" s="92">
        <f t="shared" si="6"/>
        <v>3.6999999999999998E-2</v>
      </c>
      <c r="Z30" s="93" t="str">
        <f t="shared" si="7"/>
        <v>0.00%-8.40%</v>
      </c>
      <c r="AA30" s="15"/>
      <c r="AB30" s="15"/>
      <c r="AC30" s="15"/>
      <c r="AD30" s="95"/>
      <c r="AE30" s="8">
        <f t="shared" si="8"/>
        <v>0</v>
      </c>
      <c r="AF30" s="17">
        <f t="shared" si="9"/>
        <v>7000</v>
      </c>
      <c r="AG30" s="18">
        <f t="shared" si="10"/>
        <v>250</v>
      </c>
      <c r="AH30" s="97">
        <f t="shared" si="11"/>
        <v>3.7037037037036979E-2</v>
      </c>
      <c r="AI30" s="20">
        <v>13.6</v>
      </c>
      <c r="AJ30" s="20">
        <v>450</v>
      </c>
      <c r="AK30" s="20"/>
      <c r="AL30" s="20">
        <v>688</v>
      </c>
      <c r="AM30" s="20">
        <f t="shared" si="12"/>
        <v>101288</v>
      </c>
      <c r="AN30" s="7" t="s">
        <v>176</v>
      </c>
      <c r="AO30" s="20"/>
      <c r="AP30" s="21"/>
      <c r="AQ30" s="21"/>
      <c r="AR30" s="5" t="s">
        <v>123</v>
      </c>
      <c r="AS30" s="5" t="s">
        <v>124</v>
      </c>
      <c r="AT30" s="5" t="s">
        <v>59</v>
      </c>
      <c r="AU30" s="20"/>
      <c r="AV30" s="21" t="s">
        <v>325</v>
      </c>
      <c r="AW30" s="21"/>
      <c r="AX30" s="21"/>
    </row>
    <row r="31" spans="1:50">
      <c r="A31" s="86" t="s">
        <v>318</v>
      </c>
      <c r="B31" s="5">
        <v>15000776</v>
      </c>
      <c r="C31" s="5" t="s">
        <v>362</v>
      </c>
      <c r="D31" s="5" t="s">
        <v>321</v>
      </c>
      <c r="E31" s="5" t="s">
        <v>52</v>
      </c>
      <c r="F31" s="5" t="s">
        <v>62</v>
      </c>
      <c r="G31" s="5" t="s">
        <v>130</v>
      </c>
      <c r="H31" s="5" t="s">
        <v>363</v>
      </c>
      <c r="I31" s="6">
        <v>39065</v>
      </c>
      <c r="J31" s="5" t="s">
        <v>279</v>
      </c>
      <c r="K31" s="5" t="s">
        <v>333</v>
      </c>
      <c r="L31" s="5" t="s">
        <v>324</v>
      </c>
      <c r="M31" s="7">
        <v>6</v>
      </c>
      <c r="N31" s="7" t="s">
        <v>176</v>
      </c>
      <c r="O31" s="8">
        <v>5100</v>
      </c>
      <c r="P31" s="88">
        <v>0.02</v>
      </c>
      <c r="Q31" s="10">
        <f t="shared" si="0"/>
        <v>102</v>
      </c>
      <c r="R31" s="88">
        <v>5.0000000000000001E-3</v>
      </c>
      <c r="S31" s="10">
        <f t="shared" si="1"/>
        <v>26</v>
      </c>
      <c r="T31" s="88">
        <f t="shared" si="2"/>
        <v>2.5098039215686273E-2</v>
      </c>
      <c r="U31" s="10">
        <f t="shared" si="3"/>
        <v>128</v>
      </c>
      <c r="V31" s="10">
        <f t="shared" si="4"/>
        <v>5228</v>
      </c>
      <c r="W31" s="11">
        <v>5100</v>
      </c>
      <c r="X31" s="12">
        <f t="shared" si="5"/>
        <v>0</v>
      </c>
      <c r="Y31" s="92">
        <f t="shared" si="6"/>
        <v>0</v>
      </c>
      <c r="Z31" s="93" t="str">
        <f t="shared" si="7"/>
        <v>0.00%-8.40%</v>
      </c>
      <c r="AA31" s="15"/>
      <c r="AB31" s="15"/>
      <c r="AC31" s="15"/>
      <c r="AD31" s="95"/>
      <c r="AE31" s="8">
        <f t="shared" si="8"/>
        <v>0</v>
      </c>
      <c r="AF31" s="17">
        <f t="shared" si="9"/>
        <v>5100</v>
      </c>
      <c r="AG31" s="18">
        <f t="shared" si="10"/>
        <v>0</v>
      </c>
      <c r="AH31" s="97">
        <f t="shared" si="11"/>
        <v>0</v>
      </c>
      <c r="AI31" s="20">
        <v>13.6</v>
      </c>
      <c r="AJ31" s="20">
        <v>750</v>
      </c>
      <c r="AK31" s="20"/>
      <c r="AL31" s="20">
        <v>688</v>
      </c>
      <c r="AM31" s="20">
        <f t="shared" si="12"/>
        <v>79048</v>
      </c>
      <c r="AN31" s="7" t="s">
        <v>176</v>
      </c>
      <c r="AO31" s="20" t="s">
        <v>364</v>
      </c>
      <c r="AP31" s="21"/>
      <c r="AQ31" s="21" t="s">
        <v>339</v>
      </c>
      <c r="AR31" s="5" t="s">
        <v>123</v>
      </c>
      <c r="AS31" s="5" t="s">
        <v>124</v>
      </c>
      <c r="AT31" s="5" t="s">
        <v>59</v>
      </c>
      <c r="AU31" s="20"/>
      <c r="AV31" s="21" t="s">
        <v>340</v>
      </c>
      <c r="AW31" s="21" t="s">
        <v>339</v>
      </c>
      <c r="AX31" s="21"/>
    </row>
    <row r="32" spans="1:50">
      <c r="A32" s="86" t="s">
        <v>318</v>
      </c>
      <c r="B32" s="5">
        <v>15001607</v>
      </c>
      <c r="C32" s="5" t="s">
        <v>365</v>
      </c>
      <c r="D32" s="5" t="s">
        <v>360</v>
      </c>
      <c r="E32" s="5" t="s">
        <v>52</v>
      </c>
      <c r="F32" s="5" t="s">
        <v>62</v>
      </c>
      <c r="G32" s="5" t="s">
        <v>145</v>
      </c>
      <c r="H32" s="5" t="s">
        <v>131</v>
      </c>
      <c r="I32" s="6">
        <v>39581</v>
      </c>
      <c r="J32" s="5" t="s">
        <v>361</v>
      </c>
      <c r="K32" s="5" t="s">
        <v>366</v>
      </c>
      <c r="L32" s="5" t="s">
        <v>324</v>
      </c>
      <c r="M32" s="7">
        <v>6</v>
      </c>
      <c r="N32" s="7" t="s">
        <v>176</v>
      </c>
      <c r="O32" s="8">
        <v>7000</v>
      </c>
      <c r="P32" s="88">
        <v>0.02</v>
      </c>
      <c r="Q32" s="10">
        <f t="shared" si="0"/>
        <v>140</v>
      </c>
      <c r="R32" s="88">
        <v>5.0000000000000001E-3</v>
      </c>
      <c r="S32" s="10">
        <f t="shared" si="1"/>
        <v>35</v>
      </c>
      <c r="T32" s="88">
        <f t="shared" si="2"/>
        <v>2.5000000000000001E-2</v>
      </c>
      <c r="U32" s="10">
        <f t="shared" si="3"/>
        <v>175</v>
      </c>
      <c r="V32" s="10">
        <f t="shared" si="4"/>
        <v>7175</v>
      </c>
      <c r="W32" s="11">
        <v>7200</v>
      </c>
      <c r="X32" s="12">
        <f t="shared" si="5"/>
        <v>200</v>
      </c>
      <c r="Y32" s="92">
        <f t="shared" si="6"/>
        <v>2.86E-2</v>
      </c>
      <c r="Z32" s="93" t="str">
        <f t="shared" si="7"/>
        <v>0.00%-8.40%</v>
      </c>
      <c r="AA32" s="15"/>
      <c r="AB32" s="15"/>
      <c r="AC32" s="15"/>
      <c r="AD32" s="95"/>
      <c r="AE32" s="8">
        <f t="shared" si="8"/>
        <v>0</v>
      </c>
      <c r="AF32" s="17">
        <f t="shared" si="9"/>
        <v>7200</v>
      </c>
      <c r="AG32" s="18">
        <f t="shared" si="10"/>
        <v>200</v>
      </c>
      <c r="AH32" s="97">
        <f t="shared" si="11"/>
        <v>2.857142857142847E-2</v>
      </c>
      <c r="AI32" s="20">
        <v>13.6</v>
      </c>
      <c r="AJ32" s="20">
        <v>450</v>
      </c>
      <c r="AK32" s="20"/>
      <c r="AL32" s="20">
        <v>688</v>
      </c>
      <c r="AM32" s="20">
        <f t="shared" si="12"/>
        <v>104008</v>
      </c>
      <c r="AN32" s="7" t="s">
        <v>176</v>
      </c>
      <c r="AO32" s="20"/>
      <c r="AP32" s="21"/>
      <c r="AQ32" s="21"/>
      <c r="AR32" s="5" t="s">
        <v>123</v>
      </c>
      <c r="AS32" s="5" t="s">
        <v>124</v>
      </c>
      <c r="AT32" s="5" t="s">
        <v>59</v>
      </c>
      <c r="AU32" s="20"/>
      <c r="AV32" s="21" t="s">
        <v>325</v>
      </c>
      <c r="AW32" s="21"/>
      <c r="AX32" s="21"/>
    </row>
    <row r="33" spans="1:50">
      <c r="A33" s="86" t="s">
        <v>318</v>
      </c>
      <c r="B33" s="5">
        <v>15003843</v>
      </c>
      <c r="C33" s="5" t="s">
        <v>367</v>
      </c>
      <c r="D33" s="5" t="s">
        <v>321</v>
      </c>
      <c r="E33" s="5" t="s">
        <v>52</v>
      </c>
      <c r="F33" s="5" t="s">
        <v>62</v>
      </c>
      <c r="G33" s="5" t="s">
        <v>130</v>
      </c>
      <c r="H33" s="5" t="s">
        <v>331</v>
      </c>
      <c r="I33" s="6">
        <v>40317</v>
      </c>
      <c r="J33" s="5" t="s">
        <v>279</v>
      </c>
      <c r="K33" s="5" t="s">
        <v>333</v>
      </c>
      <c r="L33" s="5" t="s">
        <v>324</v>
      </c>
      <c r="M33" s="7">
        <v>6</v>
      </c>
      <c r="N33" s="7" t="s">
        <v>176</v>
      </c>
      <c r="O33" s="8">
        <v>6150</v>
      </c>
      <c r="P33" s="88">
        <v>0.02</v>
      </c>
      <c r="Q33" s="10">
        <f t="shared" si="0"/>
        <v>123</v>
      </c>
      <c r="R33" s="88">
        <v>5.0000000000000001E-3</v>
      </c>
      <c r="S33" s="10">
        <f t="shared" si="1"/>
        <v>31</v>
      </c>
      <c r="T33" s="88">
        <f t="shared" si="2"/>
        <v>2.5040650406504064E-2</v>
      </c>
      <c r="U33" s="10">
        <f t="shared" si="3"/>
        <v>154</v>
      </c>
      <c r="V33" s="10">
        <f t="shared" si="4"/>
        <v>6304</v>
      </c>
      <c r="W33" s="11">
        <v>6500</v>
      </c>
      <c r="X33" s="12">
        <f t="shared" si="5"/>
        <v>350</v>
      </c>
      <c r="Y33" s="92">
        <f t="shared" si="6"/>
        <v>5.6899999999999999E-2</v>
      </c>
      <c r="Z33" s="93" t="str">
        <f t="shared" si="7"/>
        <v>0.00%-8.40%</v>
      </c>
      <c r="AA33" s="15"/>
      <c r="AB33" s="15"/>
      <c r="AC33" s="15"/>
      <c r="AD33" s="95"/>
      <c r="AE33" s="8">
        <f t="shared" si="8"/>
        <v>0</v>
      </c>
      <c r="AF33" s="17">
        <f t="shared" si="9"/>
        <v>6500</v>
      </c>
      <c r="AG33" s="18">
        <f t="shared" si="10"/>
        <v>350</v>
      </c>
      <c r="AH33" s="97">
        <f t="shared" si="11"/>
        <v>5.6910569105691033E-2</v>
      </c>
      <c r="AI33" s="20">
        <v>13.6</v>
      </c>
      <c r="AJ33" s="20">
        <v>800</v>
      </c>
      <c r="AK33" s="20"/>
      <c r="AL33" s="20">
        <v>688</v>
      </c>
      <c r="AM33" s="20">
        <f t="shared" si="12"/>
        <v>98688</v>
      </c>
      <c r="AN33" s="7" t="s">
        <v>176</v>
      </c>
      <c r="AO33" s="20"/>
      <c r="AP33" s="21"/>
      <c r="AQ33" s="21"/>
      <c r="AR33" s="5" t="s">
        <v>123</v>
      </c>
      <c r="AS33" s="5" t="s">
        <v>124</v>
      </c>
      <c r="AT33" s="5" t="s">
        <v>59</v>
      </c>
      <c r="AU33" s="20"/>
      <c r="AV33" s="21" t="s">
        <v>352</v>
      </c>
      <c r="AW33" s="21"/>
      <c r="AX33" s="21"/>
    </row>
    <row r="34" spans="1:50">
      <c r="A34" s="86" t="s">
        <v>318</v>
      </c>
      <c r="B34" s="5">
        <v>15002398</v>
      </c>
      <c r="C34" s="5" t="s">
        <v>368</v>
      </c>
      <c r="D34" s="5" t="s">
        <v>321</v>
      </c>
      <c r="E34" s="5" t="s">
        <v>52</v>
      </c>
      <c r="F34" s="5" t="s">
        <v>62</v>
      </c>
      <c r="G34" s="5" t="s">
        <v>130</v>
      </c>
      <c r="H34" s="5" t="s">
        <v>363</v>
      </c>
      <c r="I34" s="6">
        <v>39967</v>
      </c>
      <c r="J34" s="5" t="s">
        <v>279</v>
      </c>
      <c r="K34" s="5" t="s">
        <v>333</v>
      </c>
      <c r="L34" s="5" t="s">
        <v>324</v>
      </c>
      <c r="M34" s="7">
        <v>6</v>
      </c>
      <c r="N34" s="7" t="s">
        <v>176</v>
      </c>
      <c r="O34" s="8">
        <v>5490</v>
      </c>
      <c r="P34" s="88">
        <v>0.02</v>
      </c>
      <c r="Q34" s="10">
        <f t="shared" si="0"/>
        <v>110</v>
      </c>
      <c r="R34" s="88">
        <v>5.0000000000000001E-3</v>
      </c>
      <c r="S34" s="10">
        <f t="shared" si="1"/>
        <v>27</v>
      </c>
      <c r="T34" s="88">
        <f t="shared" si="2"/>
        <v>2.4954462659380693E-2</v>
      </c>
      <c r="U34" s="10">
        <f t="shared" si="3"/>
        <v>137</v>
      </c>
      <c r="V34" s="10">
        <f t="shared" si="4"/>
        <v>5627</v>
      </c>
      <c r="W34" s="11">
        <v>5600</v>
      </c>
      <c r="X34" s="12">
        <f t="shared" si="5"/>
        <v>110</v>
      </c>
      <c r="Y34" s="92">
        <f t="shared" si="6"/>
        <v>0.02</v>
      </c>
      <c r="Z34" s="93" t="str">
        <f t="shared" si="7"/>
        <v>0.00%-8.40%</v>
      </c>
      <c r="AA34" s="15"/>
      <c r="AB34" s="15"/>
      <c r="AC34" s="15"/>
      <c r="AD34" s="95"/>
      <c r="AE34" s="8">
        <f t="shared" si="8"/>
        <v>0</v>
      </c>
      <c r="AF34" s="17">
        <f t="shared" si="9"/>
        <v>5600</v>
      </c>
      <c r="AG34" s="18">
        <f t="shared" si="10"/>
        <v>110</v>
      </c>
      <c r="AH34" s="97">
        <f t="shared" si="11"/>
        <v>2.0036429872495543E-2</v>
      </c>
      <c r="AI34" s="20">
        <v>13.6</v>
      </c>
      <c r="AJ34" s="20">
        <v>750</v>
      </c>
      <c r="AK34" s="20"/>
      <c r="AL34" s="20">
        <v>688</v>
      </c>
      <c r="AM34" s="20">
        <f t="shared" si="12"/>
        <v>85848</v>
      </c>
      <c r="AN34" s="7" t="s">
        <v>176</v>
      </c>
      <c r="AO34" s="20"/>
      <c r="AP34" s="21"/>
      <c r="AQ34" s="21"/>
      <c r="AR34" s="5" t="s">
        <v>123</v>
      </c>
      <c r="AS34" s="5" t="s">
        <v>124</v>
      </c>
      <c r="AT34" s="5" t="s">
        <v>59</v>
      </c>
      <c r="AU34" s="20"/>
      <c r="AV34" s="21" t="s">
        <v>342</v>
      </c>
      <c r="AW34" s="21"/>
      <c r="AX34" s="21"/>
    </row>
    <row r="35" spans="1:50">
      <c r="A35" s="86" t="s">
        <v>318</v>
      </c>
      <c r="B35" s="5">
        <v>15006609</v>
      </c>
      <c r="C35" s="5" t="s">
        <v>369</v>
      </c>
      <c r="D35" s="5" t="s">
        <v>321</v>
      </c>
      <c r="E35" s="5" t="s">
        <v>52</v>
      </c>
      <c r="F35" s="5" t="s">
        <v>62</v>
      </c>
      <c r="G35" s="5" t="s">
        <v>152</v>
      </c>
      <c r="H35" s="5" t="s">
        <v>322</v>
      </c>
      <c r="I35" s="6">
        <v>40940</v>
      </c>
      <c r="J35" s="5" t="s">
        <v>336</v>
      </c>
      <c r="K35" s="5" t="s">
        <v>336</v>
      </c>
      <c r="L35" s="5" t="s">
        <v>324</v>
      </c>
      <c r="M35" s="7">
        <v>6</v>
      </c>
      <c r="N35" s="7" t="s">
        <v>176</v>
      </c>
      <c r="O35" s="8">
        <v>5157</v>
      </c>
      <c r="P35" s="88">
        <v>0.02</v>
      </c>
      <c r="Q35" s="10">
        <f t="shared" si="0"/>
        <v>103</v>
      </c>
      <c r="R35" s="88">
        <v>5.0000000000000001E-3</v>
      </c>
      <c r="S35" s="10">
        <f t="shared" si="1"/>
        <v>26</v>
      </c>
      <c r="T35" s="88">
        <f t="shared" si="2"/>
        <v>2.501454333915067E-2</v>
      </c>
      <c r="U35" s="10">
        <f t="shared" si="3"/>
        <v>129</v>
      </c>
      <c r="V35" s="10">
        <f t="shared" si="4"/>
        <v>5286</v>
      </c>
      <c r="W35" s="11">
        <v>5200</v>
      </c>
      <c r="X35" s="12">
        <f t="shared" si="5"/>
        <v>43</v>
      </c>
      <c r="Y35" s="92">
        <f t="shared" si="6"/>
        <v>8.3000000000000001E-3</v>
      </c>
      <c r="Z35" s="93" t="str">
        <f t="shared" si="7"/>
        <v>0.00%-8.40%</v>
      </c>
      <c r="AA35" s="15"/>
      <c r="AB35" s="15"/>
      <c r="AC35" s="15"/>
      <c r="AD35" s="95"/>
      <c r="AE35" s="8">
        <f t="shared" si="8"/>
        <v>0</v>
      </c>
      <c r="AF35" s="17">
        <f t="shared" si="9"/>
        <v>5200</v>
      </c>
      <c r="AG35" s="18">
        <f t="shared" si="10"/>
        <v>43</v>
      </c>
      <c r="AH35" s="97">
        <f t="shared" si="11"/>
        <v>8.3381811130502914E-3</v>
      </c>
      <c r="AI35" s="20">
        <v>13.6</v>
      </c>
      <c r="AJ35" s="20">
        <v>450</v>
      </c>
      <c r="AK35" s="20"/>
      <c r="AL35" s="20">
        <v>688</v>
      </c>
      <c r="AM35" s="20">
        <f t="shared" si="12"/>
        <v>76808</v>
      </c>
      <c r="AN35" s="7" t="s">
        <v>176</v>
      </c>
      <c r="AO35" s="20"/>
      <c r="AP35" s="21"/>
      <c r="AQ35" s="21"/>
      <c r="AR35" s="5" t="s">
        <v>123</v>
      </c>
      <c r="AS35" s="5" t="s">
        <v>124</v>
      </c>
      <c r="AT35" s="5" t="s">
        <v>59</v>
      </c>
      <c r="AU35" s="20"/>
      <c r="AV35" s="21" t="s">
        <v>337</v>
      </c>
      <c r="AW35" s="21"/>
      <c r="AX35" s="21"/>
    </row>
    <row r="36" spans="1:50">
      <c r="A36" s="86" t="s">
        <v>318</v>
      </c>
      <c r="B36" s="5">
        <v>15005386</v>
      </c>
      <c r="C36" s="5" t="s">
        <v>370</v>
      </c>
      <c r="D36" s="5" t="s">
        <v>321</v>
      </c>
      <c r="E36" s="5" t="s">
        <v>52</v>
      </c>
      <c r="F36" s="5" t="s">
        <v>62</v>
      </c>
      <c r="G36" s="5" t="s">
        <v>130</v>
      </c>
      <c r="H36" s="5" t="s">
        <v>331</v>
      </c>
      <c r="I36" s="6">
        <v>40618</v>
      </c>
      <c r="J36" s="5" t="s">
        <v>279</v>
      </c>
      <c r="K36" s="5" t="s">
        <v>333</v>
      </c>
      <c r="L36" s="5" t="s">
        <v>324</v>
      </c>
      <c r="M36" s="7">
        <v>6</v>
      </c>
      <c r="N36" s="7" t="s">
        <v>176</v>
      </c>
      <c r="O36" s="8">
        <v>5800</v>
      </c>
      <c r="P36" s="88">
        <v>0.02</v>
      </c>
      <c r="Q36" s="10">
        <f t="shared" si="0"/>
        <v>116</v>
      </c>
      <c r="R36" s="88">
        <v>5.0000000000000001E-3</v>
      </c>
      <c r="S36" s="10">
        <f t="shared" si="1"/>
        <v>29</v>
      </c>
      <c r="T36" s="88">
        <f t="shared" si="2"/>
        <v>2.5000000000000001E-2</v>
      </c>
      <c r="U36" s="10">
        <f t="shared" si="3"/>
        <v>145</v>
      </c>
      <c r="V36" s="10">
        <f t="shared" si="4"/>
        <v>5945</v>
      </c>
      <c r="W36" s="11">
        <v>6100</v>
      </c>
      <c r="X36" s="12">
        <f t="shared" si="5"/>
        <v>300</v>
      </c>
      <c r="Y36" s="92">
        <f t="shared" si="6"/>
        <v>5.1700000000000003E-2</v>
      </c>
      <c r="Z36" s="93" t="str">
        <f t="shared" si="7"/>
        <v>0.00%-8.40%</v>
      </c>
      <c r="AA36" s="15"/>
      <c r="AB36" s="15"/>
      <c r="AC36" s="15"/>
      <c r="AD36" s="95"/>
      <c r="AE36" s="8">
        <f t="shared" si="8"/>
        <v>0</v>
      </c>
      <c r="AF36" s="17">
        <f t="shared" si="9"/>
        <v>6100</v>
      </c>
      <c r="AG36" s="18">
        <f t="shared" si="10"/>
        <v>300</v>
      </c>
      <c r="AH36" s="97">
        <f t="shared" si="11"/>
        <v>5.1724137931034475E-2</v>
      </c>
      <c r="AI36" s="20">
        <v>13.6</v>
      </c>
      <c r="AJ36" s="20">
        <v>800</v>
      </c>
      <c r="AK36" s="20"/>
      <c r="AL36" s="20">
        <v>688</v>
      </c>
      <c r="AM36" s="20">
        <f t="shared" si="12"/>
        <v>93248</v>
      </c>
      <c r="AN36" s="7" t="s">
        <v>176</v>
      </c>
      <c r="AO36" s="20"/>
      <c r="AP36" s="21"/>
      <c r="AQ36" s="21"/>
      <c r="AR36" s="5" t="s">
        <v>123</v>
      </c>
      <c r="AS36" s="5" t="s">
        <v>124</v>
      </c>
      <c r="AT36" s="5" t="s">
        <v>59</v>
      </c>
      <c r="AU36" s="20"/>
      <c r="AV36" s="21" t="s">
        <v>352</v>
      </c>
      <c r="AW36" s="21"/>
      <c r="AX36" s="21"/>
    </row>
    <row r="37" spans="1:50">
      <c r="A37" s="86" t="s">
        <v>318</v>
      </c>
      <c r="B37" s="5">
        <v>15011838</v>
      </c>
      <c r="C37" s="5" t="s">
        <v>371</v>
      </c>
      <c r="D37" s="5" t="s">
        <v>321</v>
      </c>
      <c r="E37" s="5" t="s">
        <v>52</v>
      </c>
      <c r="F37" s="5" t="s">
        <v>62</v>
      </c>
      <c r="G37" s="5" t="s">
        <v>130</v>
      </c>
      <c r="H37" s="5" t="s">
        <v>331</v>
      </c>
      <c r="I37" s="6">
        <v>41609</v>
      </c>
      <c r="J37" s="5" t="s">
        <v>279</v>
      </c>
      <c r="K37" s="5" t="s">
        <v>333</v>
      </c>
      <c r="L37" s="5" t="s">
        <v>324</v>
      </c>
      <c r="M37" s="7">
        <v>6</v>
      </c>
      <c r="N37" s="7" t="s">
        <v>176</v>
      </c>
      <c r="O37" s="8">
        <v>5050</v>
      </c>
      <c r="P37" s="88">
        <v>0.02</v>
      </c>
      <c r="Q37" s="10">
        <f t="shared" si="0"/>
        <v>101</v>
      </c>
      <c r="R37" s="88">
        <v>5.0000000000000001E-3</v>
      </c>
      <c r="S37" s="10">
        <f t="shared" si="1"/>
        <v>25</v>
      </c>
      <c r="T37" s="88">
        <f t="shared" si="2"/>
        <v>2.4950495049504952E-2</v>
      </c>
      <c r="U37" s="10">
        <f t="shared" si="3"/>
        <v>126</v>
      </c>
      <c r="V37" s="10">
        <f t="shared" si="4"/>
        <v>5176</v>
      </c>
      <c r="W37" s="11">
        <v>5150</v>
      </c>
      <c r="X37" s="12">
        <f t="shared" si="5"/>
        <v>100</v>
      </c>
      <c r="Y37" s="92">
        <f t="shared" si="6"/>
        <v>1.9800000000000002E-2</v>
      </c>
      <c r="Z37" s="93" t="str">
        <f t="shared" si="7"/>
        <v>0.00%-8.40%</v>
      </c>
      <c r="AA37" s="15"/>
      <c r="AB37" s="15"/>
      <c r="AC37" s="15"/>
      <c r="AD37" s="95"/>
      <c r="AE37" s="8">
        <f t="shared" si="8"/>
        <v>0</v>
      </c>
      <c r="AF37" s="17">
        <f t="shared" si="9"/>
        <v>5150</v>
      </c>
      <c r="AG37" s="18">
        <f t="shared" si="10"/>
        <v>100</v>
      </c>
      <c r="AH37" s="97">
        <f t="shared" si="11"/>
        <v>1.980198019801982E-2</v>
      </c>
      <c r="AI37" s="20">
        <v>13.6</v>
      </c>
      <c r="AJ37" s="20">
        <v>750</v>
      </c>
      <c r="AK37" s="20"/>
      <c r="AL37" s="20">
        <v>688</v>
      </c>
      <c r="AM37" s="20">
        <f t="shared" si="12"/>
        <v>79728</v>
      </c>
      <c r="AN37" s="7" t="s">
        <v>176</v>
      </c>
      <c r="AO37" s="20"/>
      <c r="AP37" s="21"/>
      <c r="AQ37" s="21"/>
      <c r="AR37" s="5" t="s">
        <v>123</v>
      </c>
      <c r="AS37" s="5" t="s">
        <v>124</v>
      </c>
      <c r="AT37" s="5" t="s">
        <v>59</v>
      </c>
      <c r="AU37" s="20"/>
      <c r="AV37" s="21" t="s">
        <v>342</v>
      </c>
      <c r="AW37" s="21"/>
      <c r="AX37" s="21"/>
    </row>
    <row r="38" spans="1:50">
      <c r="A38" s="86" t="s">
        <v>318</v>
      </c>
      <c r="B38" s="5">
        <v>15003280</v>
      </c>
      <c r="C38" s="5" t="s">
        <v>372</v>
      </c>
      <c r="D38" s="5" t="s">
        <v>360</v>
      </c>
      <c r="E38" s="5" t="s">
        <v>52</v>
      </c>
      <c r="F38" s="5" t="s">
        <v>62</v>
      </c>
      <c r="G38" s="5" t="s">
        <v>125</v>
      </c>
      <c r="H38" s="5" t="s">
        <v>126</v>
      </c>
      <c r="I38" s="6">
        <v>40210</v>
      </c>
      <c r="J38" s="5" t="s">
        <v>373</v>
      </c>
      <c r="K38" s="5" t="s">
        <v>373</v>
      </c>
      <c r="L38" s="5" t="s">
        <v>324</v>
      </c>
      <c r="M38" s="7">
        <v>6</v>
      </c>
      <c r="N38" s="7" t="s">
        <v>176</v>
      </c>
      <c r="O38" s="8">
        <v>7688</v>
      </c>
      <c r="P38" s="88">
        <v>0.02</v>
      </c>
      <c r="Q38" s="10">
        <f t="shared" si="0"/>
        <v>154</v>
      </c>
      <c r="R38" s="88">
        <v>5.0000000000000001E-3</v>
      </c>
      <c r="S38" s="10">
        <f t="shared" si="1"/>
        <v>38</v>
      </c>
      <c r="T38" s="88">
        <f t="shared" si="2"/>
        <v>2.497398543184183E-2</v>
      </c>
      <c r="U38" s="10">
        <f t="shared" si="3"/>
        <v>192</v>
      </c>
      <c r="V38" s="10">
        <f t="shared" si="4"/>
        <v>7880</v>
      </c>
      <c r="W38" s="11">
        <v>8000</v>
      </c>
      <c r="X38" s="12">
        <f t="shared" si="5"/>
        <v>312</v>
      </c>
      <c r="Y38" s="92">
        <f t="shared" si="6"/>
        <v>4.0599999999999997E-2</v>
      </c>
      <c r="Z38" s="93" t="str">
        <f t="shared" si="7"/>
        <v>0.00%-8.40%</v>
      </c>
      <c r="AA38" s="15"/>
      <c r="AB38" s="15"/>
      <c r="AC38" s="15"/>
      <c r="AD38" s="95"/>
      <c r="AE38" s="8">
        <f t="shared" si="8"/>
        <v>0</v>
      </c>
      <c r="AF38" s="17">
        <f t="shared" si="9"/>
        <v>8000</v>
      </c>
      <c r="AG38" s="18">
        <f t="shared" si="10"/>
        <v>312</v>
      </c>
      <c r="AH38" s="97">
        <f t="shared" si="11"/>
        <v>4.0582726326742868E-2</v>
      </c>
      <c r="AI38" s="20">
        <v>13.6</v>
      </c>
      <c r="AJ38" s="20">
        <v>500</v>
      </c>
      <c r="AK38" s="20"/>
      <c r="AL38" s="20">
        <v>688</v>
      </c>
      <c r="AM38" s="20">
        <f t="shared" si="12"/>
        <v>115488</v>
      </c>
      <c r="AN38" s="7" t="s">
        <v>176</v>
      </c>
      <c r="AO38" s="20"/>
      <c r="AP38" s="21"/>
      <c r="AQ38" s="21"/>
      <c r="AR38" s="5" t="s">
        <v>123</v>
      </c>
      <c r="AS38" s="5" t="s">
        <v>124</v>
      </c>
      <c r="AT38" s="5" t="s">
        <v>59</v>
      </c>
      <c r="AU38" s="20"/>
      <c r="AV38" s="21" t="s">
        <v>325</v>
      </c>
      <c r="AW38" s="21" t="s">
        <v>347</v>
      </c>
      <c r="AX38" s="21"/>
    </row>
    <row r="39" spans="1:50">
      <c r="A39" s="86" t="s">
        <v>318</v>
      </c>
      <c r="B39" s="5">
        <v>15000857</v>
      </c>
      <c r="C39" s="5" t="s">
        <v>374</v>
      </c>
      <c r="D39" s="5" t="s">
        <v>321</v>
      </c>
      <c r="E39" s="5" t="s">
        <v>52</v>
      </c>
      <c r="F39" s="5" t="s">
        <v>62</v>
      </c>
      <c r="G39" s="5" t="s">
        <v>130</v>
      </c>
      <c r="H39" s="5" t="s">
        <v>328</v>
      </c>
      <c r="I39" s="6">
        <v>39142</v>
      </c>
      <c r="J39" s="5" t="s">
        <v>279</v>
      </c>
      <c r="K39" s="5" t="s">
        <v>279</v>
      </c>
      <c r="L39" s="5" t="s">
        <v>324</v>
      </c>
      <c r="M39" s="7">
        <v>6</v>
      </c>
      <c r="N39" s="7" t="s">
        <v>176</v>
      </c>
      <c r="O39" s="8">
        <v>7934</v>
      </c>
      <c r="P39" s="88">
        <v>0.02</v>
      </c>
      <c r="Q39" s="10">
        <f t="shared" si="0"/>
        <v>159</v>
      </c>
      <c r="R39" s="88">
        <v>5.0000000000000001E-3</v>
      </c>
      <c r="S39" s="10">
        <f t="shared" si="1"/>
        <v>40</v>
      </c>
      <c r="T39" s="88">
        <f t="shared" si="2"/>
        <v>2.508192588858079E-2</v>
      </c>
      <c r="U39" s="10">
        <f t="shared" si="3"/>
        <v>199</v>
      </c>
      <c r="V39" s="10">
        <f t="shared" si="4"/>
        <v>8133</v>
      </c>
      <c r="W39" s="11">
        <v>8100</v>
      </c>
      <c r="X39" s="12">
        <f t="shared" si="5"/>
        <v>166</v>
      </c>
      <c r="Y39" s="92">
        <f t="shared" si="6"/>
        <v>2.0899999999999998E-2</v>
      </c>
      <c r="Z39" s="93" t="str">
        <f t="shared" si="7"/>
        <v>0.00%-8.40%</v>
      </c>
      <c r="AA39" s="15"/>
      <c r="AB39" s="15"/>
      <c r="AC39" s="15"/>
      <c r="AD39" s="95"/>
      <c r="AE39" s="8">
        <f t="shared" si="8"/>
        <v>0</v>
      </c>
      <c r="AF39" s="17">
        <f t="shared" si="9"/>
        <v>8100</v>
      </c>
      <c r="AG39" s="18">
        <f t="shared" si="10"/>
        <v>166</v>
      </c>
      <c r="AH39" s="97">
        <f t="shared" si="11"/>
        <v>2.0922611545248326E-2</v>
      </c>
      <c r="AI39" s="20">
        <v>13.6</v>
      </c>
      <c r="AJ39" s="20">
        <v>450</v>
      </c>
      <c r="AK39" s="20"/>
      <c r="AL39" s="20">
        <v>688</v>
      </c>
      <c r="AM39" s="20">
        <f t="shared" si="12"/>
        <v>116248</v>
      </c>
      <c r="AN39" s="7" t="s">
        <v>176</v>
      </c>
      <c r="AO39" s="20"/>
      <c r="AP39" s="21"/>
      <c r="AQ39" s="21"/>
      <c r="AR39" s="5" t="s">
        <v>123</v>
      </c>
      <c r="AS39" s="5" t="s">
        <v>124</v>
      </c>
      <c r="AT39" s="5" t="s">
        <v>59</v>
      </c>
      <c r="AU39" s="20"/>
      <c r="AV39" s="21" t="s">
        <v>375</v>
      </c>
      <c r="AW39" s="21"/>
      <c r="AX39" s="21"/>
    </row>
    <row r="40" spans="1:50">
      <c r="A40" s="86" t="s">
        <v>318</v>
      </c>
      <c r="B40" s="5">
        <v>15004451</v>
      </c>
      <c r="C40" s="5" t="s">
        <v>367</v>
      </c>
      <c r="D40" s="5" t="s">
        <v>360</v>
      </c>
      <c r="E40" s="5" t="s">
        <v>52</v>
      </c>
      <c r="F40" s="5" t="s">
        <v>62</v>
      </c>
      <c r="G40" s="5" t="s">
        <v>125</v>
      </c>
      <c r="H40" s="5" t="s">
        <v>126</v>
      </c>
      <c r="I40" s="6">
        <v>40422</v>
      </c>
      <c r="J40" s="5" t="s">
        <v>279</v>
      </c>
      <c r="K40" s="5" t="s">
        <v>279</v>
      </c>
      <c r="L40" s="5" t="s">
        <v>324</v>
      </c>
      <c r="M40" s="7">
        <v>6</v>
      </c>
      <c r="N40" s="7" t="s">
        <v>176</v>
      </c>
      <c r="O40" s="8">
        <v>7770</v>
      </c>
      <c r="P40" s="88">
        <v>0.02</v>
      </c>
      <c r="Q40" s="10">
        <f t="shared" si="0"/>
        <v>155</v>
      </c>
      <c r="R40" s="88">
        <v>5.0000000000000001E-3</v>
      </c>
      <c r="S40" s="10">
        <f t="shared" si="1"/>
        <v>39</v>
      </c>
      <c r="T40" s="88">
        <f t="shared" si="2"/>
        <v>2.4967824967824969E-2</v>
      </c>
      <c r="U40" s="10">
        <f t="shared" si="3"/>
        <v>194</v>
      </c>
      <c r="V40" s="10">
        <f t="shared" si="4"/>
        <v>7964</v>
      </c>
      <c r="W40" s="11">
        <v>8150</v>
      </c>
      <c r="X40" s="12">
        <f t="shared" si="5"/>
        <v>380</v>
      </c>
      <c r="Y40" s="92">
        <f t="shared" si="6"/>
        <v>4.8899999999999999E-2</v>
      </c>
      <c r="Z40" s="93" t="str">
        <f t="shared" si="7"/>
        <v>0.00%-8.40%</v>
      </c>
      <c r="AA40" s="15"/>
      <c r="AB40" s="15"/>
      <c r="AC40" s="15"/>
      <c r="AD40" s="95"/>
      <c r="AE40" s="8">
        <f t="shared" si="8"/>
        <v>0</v>
      </c>
      <c r="AF40" s="17">
        <f t="shared" si="9"/>
        <v>8150</v>
      </c>
      <c r="AG40" s="18">
        <f t="shared" si="10"/>
        <v>380</v>
      </c>
      <c r="AH40" s="97">
        <f t="shared" si="11"/>
        <v>4.8906048906048882E-2</v>
      </c>
      <c r="AI40" s="20">
        <v>13.6</v>
      </c>
      <c r="AJ40" s="20">
        <v>500</v>
      </c>
      <c r="AK40" s="20"/>
      <c r="AL40" s="20">
        <v>688</v>
      </c>
      <c r="AM40" s="20">
        <f t="shared" si="12"/>
        <v>117528</v>
      </c>
      <c r="AN40" s="7" t="s">
        <v>176</v>
      </c>
      <c r="AO40" s="20"/>
      <c r="AP40" s="21"/>
      <c r="AQ40" s="21"/>
      <c r="AR40" s="5" t="s">
        <v>123</v>
      </c>
      <c r="AS40" s="5" t="s">
        <v>124</v>
      </c>
      <c r="AT40" s="5" t="s">
        <v>59</v>
      </c>
      <c r="AU40" s="20"/>
      <c r="AV40" s="21" t="s">
        <v>329</v>
      </c>
      <c r="AW40" s="21"/>
      <c r="AX40" s="21"/>
    </row>
    <row r="41" spans="1:50">
      <c r="A41" s="86" t="s">
        <v>318</v>
      </c>
      <c r="B41" s="5">
        <v>15020454</v>
      </c>
      <c r="C41" s="5" t="s">
        <v>376</v>
      </c>
      <c r="D41" s="5" t="s">
        <v>360</v>
      </c>
      <c r="E41" s="5" t="s">
        <v>52</v>
      </c>
      <c r="F41" s="5" t="s">
        <v>62</v>
      </c>
      <c r="G41" s="5" t="s">
        <v>125</v>
      </c>
      <c r="H41" s="5" t="s">
        <v>126</v>
      </c>
      <c r="I41" s="6">
        <v>44378</v>
      </c>
      <c r="J41" s="5" t="s">
        <v>377</v>
      </c>
      <c r="K41" s="5" t="s">
        <v>377</v>
      </c>
      <c r="L41" s="5" t="s">
        <v>324</v>
      </c>
      <c r="M41" s="7">
        <v>6</v>
      </c>
      <c r="N41" s="7" t="s">
        <v>176</v>
      </c>
      <c r="O41" s="8">
        <v>5800</v>
      </c>
      <c r="P41" s="88">
        <v>0.02</v>
      </c>
      <c r="Q41" s="10">
        <f t="shared" si="0"/>
        <v>116</v>
      </c>
      <c r="R41" s="88">
        <v>5.0000000000000001E-3</v>
      </c>
      <c r="S41" s="10">
        <f t="shared" si="1"/>
        <v>29</v>
      </c>
      <c r="T41" s="88">
        <f t="shared" si="2"/>
        <v>2.5000000000000001E-2</v>
      </c>
      <c r="U41" s="10">
        <f t="shared" si="3"/>
        <v>145</v>
      </c>
      <c r="V41" s="10">
        <f t="shared" si="4"/>
        <v>5945</v>
      </c>
      <c r="W41" s="11">
        <v>6100</v>
      </c>
      <c r="X41" s="12">
        <f t="shared" si="5"/>
        <v>300</v>
      </c>
      <c r="Y41" s="92">
        <f t="shared" si="6"/>
        <v>5.1700000000000003E-2</v>
      </c>
      <c r="Z41" s="93" t="str">
        <f t="shared" si="7"/>
        <v>0.00%-8.40%</v>
      </c>
      <c r="AA41" s="15"/>
      <c r="AB41" s="15"/>
      <c r="AC41" s="15"/>
      <c r="AD41" s="95"/>
      <c r="AE41" s="8">
        <f t="shared" si="8"/>
        <v>0</v>
      </c>
      <c r="AF41" s="17">
        <f t="shared" si="9"/>
        <v>6100</v>
      </c>
      <c r="AG41" s="18">
        <f t="shared" si="10"/>
        <v>300</v>
      </c>
      <c r="AH41" s="97">
        <f t="shared" si="11"/>
        <v>5.1724137931034475E-2</v>
      </c>
      <c r="AI41" s="20">
        <v>13.6</v>
      </c>
      <c r="AJ41" s="20">
        <v>500</v>
      </c>
      <c r="AK41" s="20"/>
      <c r="AL41" s="20">
        <v>688</v>
      </c>
      <c r="AM41" s="20">
        <f t="shared" si="12"/>
        <v>89648</v>
      </c>
      <c r="AN41" s="7" t="s">
        <v>176</v>
      </c>
      <c r="AO41" s="20"/>
      <c r="AP41" s="21"/>
      <c r="AQ41" s="21"/>
      <c r="AR41" s="5" t="s">
        <v>123</v>
      </c>
      <c r="AS41" s="5" t="s">
        <v>124</v>
      </c>
      <c r="AT41" s="5" t="s">
        <v>59</v>
      </c>
      <c r="AU41" s="20"/>
      <c r="AV41" s="21" t="s">
        <v>352</v>
      </c>
      <c r="AW41" s="21"/>
      <c r="AX41" s="21"/>
    </row>
    <row r="42" spans="1:50">
      <c r="A42" s="86" t="s">
        <v>318</v>
      </c>
      <c r="B42" s="5">
        <v>15021725</v>
      </c>
      <c r="C42" s="5" t="s">
        <v>378</v>
      </c>
      <c r="D42" s="5" t="s">
        <v>360</v>
      </c>
      <c r="E42" s="5" t="s">
        <v>52</v>
      </c>
      <c r="F42" s="5" t="s">
        <v>62</v>
      </c>
      <c r="G42" s="5" t="s">
        <v>125</v>
      </c>
      <c r="H42" s="5" t="s">
        <v>126</v>
      </c>
      <c r="I42" s="6">
        <v>44743</v>
      </c>
      <c r="J42" s="5" t="s">
        <v>377</v>
      </c>
      <c r="K42" s="5" t="s">
        <v>377</v>
      </c>
      <c r="L42" s="5" t="s">
        <v>324</v>
      </c>
      <c r="M42" s="7">
        <v>6</v>
      </c>
      <c r="N42" s="7" t="s">
        <v>176</v>
      </c>
      <c r="O42" s="8">
        <v>5439</v>
      </c>
      <c r="P42" s="88">
        <v>0.02</v>
      </c>
      <c r="Q42" s="10">
        <f t="shared" si="0"/>
        <v>109</v>
      </c>
      <c r="R42" s="88">
        <v>5.0000000000000001E-3</v>
      </c>
      <c r="S42" s="10">
        <f t="shared" si="1"/>
        <v>27</v>
      </c>
      <c r="T42" s="88">
        <f t="shared" si="2"/>
        <v>2.5004596433167863E-2</v>
      </c>
      <c r="U42" s="10">
        <f t="shared" si="3"/>
        <v>136</v>
      </c>
      <c r="V42" s="10">
        <f t="shared" si="4"/>
        <v>5575</v>
      </c>
      <c r="W42" s="11">
        <v>5650</v>
      </c>
      <c r="X42" s="12">
        <f t="shared" si="5"/>
        <v>211</v>
      </c>
      <c r="Y42" s="92">
        <f t="shared" si="6"/>
        <v>3.8800000000000001E-2</v>
      </c>
      <c r="Z42" s="93" t="str">
        <f t="shared" si="7"/>
        <v>0.00%-8.40%</v>
      </c>
      <c r="AA42" s="15"/>
      <c r="AB42" s="15"/>
      <c r="AC42" s="15"/>
      <c r="AD42" s="95"/>
      <c r="AE42" s="8">
        <f t="shared" si="8"/>
        <v>0</v>
      </c>
      <c r="AF42" s="17">
        <f t="shared" si="9"/>
        <v>5650</v>
      </c>
      <c r="AG42" s="18">
        <f t="shared" si="10"/>
        <v>211</v>
      </c>
      <c r="AH42" s="97">
        <f t="shared" si="11"/>
        <v>3.8793895936753087E-2</v>
      </c>
      <c r="AI42" s="20">
        <v>13.6</v>
      </c>
      <c r="AJ42" s="20">
        <v>500</v>
      </c>
      <c r="AK42" s="20"/>
      <c r="AL42" s="20">
        <v>688</v>
      </c>
      <c r="AM42" s="20">
        <f t="shared" si="12"/>
        <v>83528</v>
      </c>
      <c r="AN42" s="7" t="s">
        <v>176</v>
      </c>
      <c r="AO42" s="20"/>
      <c r="AP42" s="21"/>
      <c r="AQ42" s="21"/>
      <c r="AR42" s="5" t="s">
        <v>123</v>
      </c>
      <c r="AS42" s="5" t="s">
        <v>124</v>
      </c>
      <c r="AT42" s="5" t="s">
        <v>59</v>
      </c>
      <c r="AU42" s="20"/>
      <c r="AV42" s="21" t="s">
        <v>334</v>
      </c>
      <c r="AW42" s="21" t="s">
        <v>347</v>
      </c>
      <c r="AX42" s="21"/>
    </row>
    <row r="43" spans="1:50">
      <c r="A43" s="86" t="s">
        <v>318</v>
      </c>
      <c r="B43" s="5">
        <v>15004450</v>
      </c>
      <c r="C43" s="5" t="s">
        <v>379</v>
      </c>
      <c r="D43" s="5" t="s">
        <v>360</v>
      </c>
      <c r="E43" s="5" t="s">
        <v>52</v>
      </c>
      <c r="F43" s="5" t="s">
        <v>62</v>
      </c>
      <c r="G43" s="5" t="s">
        <v>125</v>
      </c>
      <c r="H43" s="5" t="s">
        <v>126</v>
      </c>
      <c r="I43" s="6">
        <v>40422</v>
      </c>
      <c r="J43" s="5" t="s">
        <v>377</v>
      </c>
      <c r="K43" s="5" t="s">
        <v>380</v>
      </c>
      <c r="L43" s="5" t="s">
        <v>324</v>
      </c>
      <c r="M43" s="7">
        <v>6</v>
      </c>
      <c r="N43" s="7" t="s">
        <v>176</v>
      </c>
      <c r="O43" s="8">
        <v>6464</v>
      </c>
      <c r="P43" s="88">
        <v>0.02</v>
      </c>
      <c r="Q43" s="10">
        <f t="shared" si="0"/>
        <v>129</v>
      </c>
      <c r="R43" s="88">
        <v>5.0000000000000001E-3</v>
      </c>
      <c r="S43" s="10">
        <f t="shared" si="1"/>
        <v>32</v>
      </c>
      <c r="T43" s="88">
        <f t="shared" si="2"/>
        <v>2.4907178217821783E-2</v>
      </c>
      <c r="U43" s="10">
        <f t="shared" si="3"/>
        <v>161</v>
      </c>
      <c r="V43" s="10">
        <f t="shared" si="4"/>
        <v>6625</v>
      </c>
      <c r="W43" s="11">
        <v>6500</v>
      </c>
      <c r="X43" s="12">
        <f t="shared" si="5"/>
        <v>36</v>
      </c>
      <c r="Y43" s="92">
        <f t="shared" si="6"/>
        <v>5.5999999999999999E-3</v>
      </c>
      <c r="Z43" s="93" t="str">
        <f t="shared" si="7"/>
        <v>0.00%-8.40%</v>
      </c>
      <c r="AA43" s="15"/>
      <c r="AB43" s="15"/>
      <c r="AC43" s="15"/>
      <c r="AD43" s="95"/>
      <c r="AE43" s="8">
        <f t="shared" si="8"/>
        <v>0</v>
      </c>
      <c r="AF43" s="17">
        <f t="shared" si="9"/>
        <v>6500</v>
      </c>
      <c r="AG43" s="18">
        <f t="shared" si="10"/>
        <v>36</v>
      </c>
      <c r="AH43" s="97">
        <f t="shared" si="11"/>
        <v>5.5693069306930187E-3</v>
      </c>
      <c r="AI43" s="20">
        <v>13.6</v>
      </c>
      <c r="AJ43" s="20">
        <v>500</v>
      </c>
      <c r="AK43" s="20"/>
      <c r="AL43" s="20">
        <v>688</v>
      </c>
      <c r="AM43" s="20">
        <f t="shared" si="12"/>
        <v>95088</v>
      </c>
      <c r="AN43" s="7" t="s">
        <v>176</v>
      </c>
      <c r="AO43" s="20"/>
      <c r="AP43" s="21"/>
      <c r="AQ43" s="21"/>
      <c r="AR43" s="5" t="s">
        <v>123</v>
      </c>
      <c r="AS43" s="5" t="s">
        <v>124</v>
      </c>
      <c r="AT43" s="5" t="s">
        <v>59</v>
      </c>
      <c r="AU43" s="20"/>
      <c r="AV43" s="21" t="s">
        <v>342</v>
      </c>
      <c r="AW43" s="21"/>
      <c r="AX43" s="21"/>
    </row>
    <row r="44" spans="1:50">
      <c r="A44" s="86" t="s">
        <v>318</v>
      </c>
      <c r="B44" s="5">
        <v>15022516</v>
      </c>
      <c r="C44" s="5" t="s">
        <v>381</v>
      </c>
      <c r="D44" s="5" t="s">
        <v>360</v>
      </c>
      <c r="E44" s="5" t="s">
        <v>52</v>
      </c>
      <c r="F44" s="5" t="s">
        <v>62</v>
      </c>
      <c r="G44" s="5" t="s">
        <v>125</v>
      </c>
      <c r="H44" s="5" t="s">
        <v>126</v>
      </c>
      <c r="I44" s="6">
        <v>45870</v>
      </c>
      <c r="J44" s="5" t="s">
        <v>377</v>
      </c>
      <c r="K44" s="5" t="s">
        <v>377</v>
      </c>
      <c r="L44" s="5" t="s">
        <v>324</v>
      </c>
      <c r="M44" s="7">
        <v>6</v>
      </c>
      <c r="N44" s="7" t="s">
        <v>176</v>
      </c>
      <c r="O44" s="8">
        <v>4548</v>
      </c>
      <c r="P44" s="88">
        <v>0.02</v>
      </c>
      <c r="Q44" s="10">
        <f t="shared" si="0"/>
        <v>91</v>
      </c>
      <c r="R44" s="88">
        <v>5.0000000000000001E-3</v>
      </c>
      <c r="S44" s="10">
        <f t="shared" si="1"/>
        <v>23</v>
      </c>
      <c r="T44" s="88">
        <f t="shared" si="2"/>
        <v>2.5065963060686015E-2</v>
      </c>
      <c r="U44" s="10">
        <f t="shared" si="3"/>
        <v>114</v>
      </c>
      <c r="V44" s="10">
        <f t="shared" si="4"/>
        <v>4662</v>
      </c>
      <c r="W44" s="11">
        <v>4616</v>
      </c>
      <c r="X44" s="12">
        <f t="shared" si="5"/>
        <v>68</v>
      </c>
      <c r="Y44" s="92">
        <f t="shared" si="6"/>
        <v>1.4999999999999999E-2</v>
      </c>
      <c r="Z44" s="93" t="str">
        <f t="shared" si="7"/>
        <v>0.00%-8.40%</v>
      </c>
      <c r="AA44" s="15"/>
      <c r="AB44" s="15"/>
      <c r="AC44" s="15"/>
      <c r="AD44" s="95"/>
      <c r="AE44" s="8">
        <f t="shared" si="8"/>
        <v>0</v>
      </c>
      <c r="AF44" s="17">
        <f t="shared" si="9"/>
        <v>4616</v>
      </c>
      <c r="AG44" s="18">
        <f t="shared" si="10"/>
        <v>68</v>
      </c>
      <c r="AH44" s="97">
        <f t="shared" si="11"/>
        <v>1.4951627088830355E-2</v>
      </c>
      <c r="AI44" s="20">
        <v>13.6</v>
      </c>
      <c r="AJ44" s="20">
        <v>500</v>
      </c>
      <c r="AK44" s="20"/>
      <c r="AL44" s="20">
        <v>688</v>
      </c>
      <c r="AM44" s="20">
        <f t="shared" si="12"/>
        <v>69465.600000000006</v>
      </c>
      <c r="AN44" s="7" t="e">
        <v>#N/A</v>
      </c>
      <c r="AO44" s="20"/>
      <c r="AP44" s="21"/>
      <c r="AQ44" s="21"/>
      <c r="AR44" s="5" t="s">
        <v>123</v>
      </c>
      <c r="AS44" s="5" t="s">
        <v>124</v>
      </c>
      <c r="AT44" s="5" t="s">
        <v>59</v>
      </c>
      <c r="AU44" s="20"/>
      <c r="AV44" s="21" t="s">
        <v>382</v>
      </c>
      <c r="AW44" s="21"/>
      <c r="AX44" s="21"/>
    </row>
    <row r="45" spans="1:50">
      <c r="A45" s="86" t="s">
        <v>318</v>
      </c>
      <c r="B45" s="5">
        <v>15000496</v>
      </c>
      <c r="C45" s="5" t="s">
        <v>190</v>
      </c>
      <c r="D45" s="5" t="s">
        <v>360</v>
      </c>
      <c r="E45" s="5" t="s">
        <v>52</v>
      </c>
      <c r="F45" s="5" t="s">
        <v>62</v>
      </c>
      <c r="G45" s="5" t="s">
        <v>152</v>
      </c>
      <c r="H45" s="5" t="s">
        <v>153</v>
      </c>
      <c r="I45" s="6">
        <v>38845</v>
      </c>
      <c r="J45" s="5" t="s">
        <v>383</v>
      </c>
      <c r="K45" s="5" t="s">
        <v>384</v>
      </c>
      <c r="L45" s="5" t="s">
        <v>324</v>
      </c>
      <c r="M45" s="7">
        <v>6</v>
      </c>
      <c r="N45" s="7" t="s">
        <v>176</v>
      </c>
      <c r="O45" s="8">
        <v>7000</v>
      </c>
      <c r="P45" s="88">
        <v>0.02</v>
      </c>
      <c r="Q45" s="10">
        <f t="shared" si="0"/>
        <v>140</v>
      </c>
      <c r="R45" s="88">
        <v>5.0000000000000001E-3</v>
      </c>
      <c r="S45" s="10">
        <f t="shared" si="1"/>
        <v>35</v>
      </c>
      <c r="T45" s="88">
        <f t="shared" si="2"/>
        <v>2.5000000000000001E-2</v>
      </c>
      <c r="U45" s="10">
        <f t="shared" si="3"/>
        <v>175</v>
      </c>
      <c r="V45" s="10">
        <f t="shared" si="4"/>
        <v>7175</v>
      </c>
      <c r="W45" s="11">
        <v>7700</v>
      </c>
      <c r="X45" s="12">
        <f t="shared" si="5"/>
        <v>700</v>
      </c>
      <c r="Y45" s="92">
        <f t="shared" si="6"/>
        <v>0.1</v>
      </c>
      <c r="Z45" s="93" t="str">
        <f t="shared" si="7"/>
        <v>0.00%-8.40%</v>
      </c>
      <c r="AA45" s="15"/>
      <c r="AB45" s="15"/>
      <c r="AC45" s="15"/>
      <c r="AD45" s="95"/>
      <c r="AE45" s="8">
        <f t="shared" si="8"/>
        <v>0</v>
      </c>
      <c r="AF45" s="17">
        <f t="shared" si="9"/>
        <v>7700</v>
      </c>
      <c r="AG45" s="18">
        <f t="shared" si="10"/>
        <v>700</v>
      </c>
      <c r="AH45" s="97">
        <f t="shared" si="11"/>
        <v>0.10000000000000009</v>
      </c>
      <c r="AI45" s="20">
        <v>13.6</v>
      </c>
      <c r="AJ45" s="20">
        <v>450</v>
      </c>
      <c r="AK45" s="20"/>
      <c r="AL45" s="20">
        <v>688</v>
      </c>
      <c r="AM45" s="20">
        <f t="shared" si="12"/>
        <v>110808</v>
      </c>
      <c r="AN45" s="7" t="s">
        <v>176</v>
      </c>
      <c r="AO45" s="20"/>
      <c r="AP45" s="21"/>
      <c r="AQ45" s="21"/>
      <c r="AR45" s="5" t="s">
        <v>123</v>
      </c>
      <c r="AS45" s="5" t="s">
        <v>124</v>
      </c>
      <c r="AT45" s="5" t="s">
        <v>59</v>
      </c>
      <c r="AU45" s="20"/>
      <c r="AV45" s="21" t="s">
        <v>329</v>
      </c>
      <c r="AW45" s="21" t="s">
        <v>347</v>
      </c>
      <c r="AX45" s="21"/>
    </row>
    <row r="46" spans="1:50">
      <c r="A46" s="86" t="s">
        <v>318</v>
      </c>
      <c r="B46" s="5">
        <v>15016412</v>
      </c>
      <c r="C46" s="5" t="s">
        <v>385</v>
      </c>
      <c r="D46" s="5" t="s">
        <v>321</v>
      </c>
      <c r="E46" s="5" t="s">
        <v>52</v>
      </c>
      <c r="F46" s="5" t="s">
        <v>62</v>
      </c>
      <c r="G46" s="5" t="s">
        <v>130</v>
      </c>
      <c r="H46" s="5" t="s">
        <v>331</v>
      </c>
      <c r="I46" s="6">
        <v>42948</v>
      </c>
      <c r="J46" s="5" t="s">
        <v>336</v>
      </c>
      <c r="K46" s="5" t="s">
        <v>336</v>
      </c>
      <c r="L46" s="5" t="s">
        <v>324</v>
      </c>
      <c r="M46" s="7">
        <v>6</v>
      </c>
      <c r="N46" s="7" t="s">
        <v>176</v>
      </c>
      <c r="O46" s="8">
        <v>4869</v>
      </c>
      <c r="P46" s="88">
        <v>0.02</v>
      </c>
      <c r="Q46" s="10">
        <f t="shared" si="0"/>
        <v>97</v>
      </c>
      <c r="R46" s="88">
        <v>5.0000000000000001E-3</v>
      </c>
      <c r="S46" s="10">
        <f t="shared" si="1"/>
        <v>24</v>
      </c>
      <c r="T46" s="88">
        <f t="shared" si="2"/>
        <v>2.4851098788252209E-2</v>
      </c>
      <c r="U46" s="10">
        <f t="shared" si="3"/>
        <v>121</v>
      </c>
      <c r="V46" s="10">
        <f t="shared" si="4"/>
        <v>4990</v>
      </c>
      <c r="W46" s="11">
        <v>4942</v>
      </c>
      <c r="X46" s="12">
        <f t="shared" si="5"/>
        <v>73</v>
      </c>
      <c r="Y46" s="92">
        <f t="shared" si="6"/>
        <v>1.4999999999999999E-2</v>
      </c>
      <c r="Z46" s="93" t="str">
        <f t="shared" si="7"/>
        <v>0.00%-8.40%</v>
      </c>
      <c r="AA46" s="15"/>
      <c r="AB46" s="15"/>
      <c r="AC46" s="15"/>
      <c r="AD46" s="95"/>
      <c r="AE46" s="8">
        <f t="shared" si="8"/>
        <v>0</v>
      </c>
      <c r="AF46" s="17">
        <f t="shared" si="9"/>
        <v>4942</v>
      </c>
      <c r="AG46" s="18">
        <f t="shared" si="10"/>
        <v>73</v>
      </c>
      <c r="AH46" s="97">
        <f t="shared" si="11"/>
        <v>1.4992811665639705E-2</v>
      </c>
      <c r="AI46" s="20">
        <v>13.6</v>
      </c>
      <c r="AJ46" s="20">
        <v>450</v>
      </c>
      <c r="AK46" s="20"/>
      <c r="AL46" s="20">
        <v>688</v>
      </c>
      <c r="AM46" s="20">
        <f t="shared" si="12"/>
        <v>73299.199999999997</v>
      </c>
      <c r="AN46" s="7" t="s">
        <v>176</v>
      </c>
      <c r="AO46" s="20"/>
      <c r="AP46" s="21"/>
      <c r="AQ46" s="21"/>
      <c r="AR46" s="5" t="s">
        <v>123</v>
      </c>
      <c r="AS46" s="5" t="s">
        <v>124</v>
      </c>
      <c r="AT46" s="5" t="s">
        <v>59</v>
      </c>
      <c r="AU46" s="20"/>
      <c r="AV46" s="21" t="s">
        <v>337</v>
      </c>
      <c r="AW46" s="21"/>
      <c r="AX46" s="21"/>
    </row>
    <row r="47" spans="1:50">
      <c r="A47" s="86" t="s">
        <v>318</v>
      </c>
      <c r="B47" s="5">
        <v>15018818</v>
      </c>
      <c r="C47" s="5" t="s">
        <v>386</v>
      </c>
      <c r="D47" s="5" t="s">
        <v>321</v>
      </c>
      <c r="E47" s="5" t="s">
        <v>52</v>
      </c>
      <c r="F47" s="5" t="s">
        <v>62</v>
      </c>
      <c r="G47" s="5" t="s">
        <v>152</v>
      </c>
      <c r="H47" s="5" t="s">
        <v>322</v>
      </c>
      <c r="I47" s="6">
        <v>43124</v>
      </c>
      <c r="J47" s="5" t="s">
        <v>336</v>
      </c>
      <c r="K47" s="5" t="s">
        <v>387</v>
      </c>
      <c r="L47" s="5" t="s">
        <v>324</v>
      </c>
      <c r="M47" s="7">
        <v>6</v>
      </c>
      <c r="N47" s="7" t="s">
        <v>176</v>
      </c>
      <c r="O47" s="8">
        <v>4575</v>
      </c>
      <c r="P47" s="88">
        <v>0.02</v>
      </c>
      <c r="Q47" s="10">
        <f t="shared" si="0"/>
        <v>92</v>
      </c>
      <c r="R47" s="88">
        <v>5.0000000000000001E-3</v>
      </c>
      <c r="S47" s="10">
        <f t="shared" si="1"/>
        <v>23</v>
      </c>
      <c r="T47" s="88">
        <f t="shared" si="2"/>
        <v>2.5136612021857924E-2</v>
      </c>
      <c r="U47" s="10">
        <f t="shared" si="3"/>
        <v>115</v>
      </c>
      <c r="V47" s="10">
        <f t="shared" si="4"/>
        <v>4690</v>
      </c>
      <c r="W47" s="11">
        <v>4575</v>
      </c>
      <c r="X47" s="12">
        <f t="shared" si="5"/>
        <v>0</v>
      </c>
      <c r="Y47" s="92">
        <f t="shared" si="6"/>
        <v>0</v>
      </c>
      <c r="Z47" s="93" t="str">
        <f t="shared" si="7"/>
        <v>0.00%-8.40%</v>
      </c>
      <c r="AA47" s="15"/>
      <c r="AB47" s="15"/>
      <c r="AC47" s="15"/>
      <c r="AD47" s="95"/>
      <c r="AE47" s="8">
        <f t="shared" si="8"/>
        <v>0</v>
      </c>
      <c r="AF47" s="17">
        <f t="shared" si="9"/>
        <v>4575</v>
      </c>
      <c r="AG47" s="18">
        <f t="shared" si="10"/>
        <v>0</v>
      </c>
      <c r="AH47" s="97">
        <f t="shared" si="11"/>
        <v>0</v>
      </c>
      <c r="AI47" s="20">
        <v>13.6</v>
      </c>
      <c r="AJ47" s="20">
        <v>500</v>
      </c>
      <c r="AK47" s="20"/>
      <c r="AL47" s="20">
        <v>688</v>
      </c>
      <c r="AM47" s="20">
        <f t="shared" si="12"/>
        <v>68908</v>
      </c>
      <c r="AN47" s="7" t="s">
        <v>176</v>
      </c>
      <c r="AO47" s="20" t="s">
        <v>364</v>
      </c>
      <c r="AP47" s="21"/>
      <c r="AQ47" s="21" t="s">
        <v>339</v>
      </c>
      <c r="AR47" s="5" t="s">
        <v>123</v>
      </c>
      <c r="AS47" s="5" t="s">
        <v>124</v>
      </c>
      <c r="AT47" s="5" t="s">
        <v>59</v>
      </c>
      <c r="AU47" s="20"/>
      <c r="AV47" s="21" t="s">
        <v>388</v>
      </c>
      <c r="AW47" s="21" t="s">
        <v>339</v>
      </c>
      <c r="AX47" s="21"/>
    </row>
    <row r="48" spans="1:50">
      <c r="A48" s="86" t="s">
        <v>318</v>
      </c>
      <c r="B48" s="5">
        <v>15002838</v>
      </c>
      <c r="C48" s="5" t="s">
        <v>389</v>
      </c>
      <c r="D48" s="5" t="s">
        <v>321</v>
      </c>
      <c r="E48" s="5" t="s">
        <v>52</v>
      </c>
      <c r="F48" s="5" t="s">
        <v>62</v>
      </c>
      <c r="G48" s="5" t="s">
        <v>152</v>
      </c>
      <c r="H48" s="5" t="s">
        <v>322</v>
      </c>
      <c r="I48" s="6">
        <v>40057</v>
      </c>
      <c r="J48" s="5" t="s">
        <v>336</v>
      </c>
      <c r="K48" s="5" t="s">
        <v>336</v>
      </c>
      <c r="L48" s="5" t="s">
        <v>324</v>
      </c>
      <c r="M48" s="7">
        <v>6</v>
      </c>
      <c r="N48" s="7" t="s">
        <v>176</v>
      </c>
      <c r="O48" s="8">
        <v>4500</v>
      </c>
      <c r="P48" s="88">
        <v>0.02</v>
      </c>
      <c r="Q48" s="10">
        <f t="shared" si="0"/>
        <v>90</v>
      </c>
      <c r="R48" s="88">
        <v>5.0000000000000001E-3</v>
      </c>
      <c r="S48" s="10">
        <f t="shared" si="1"/>
        <v>23</v>
      </c>
      <c r="T48" s="88">
        <f t="shared" si="2"/>
        <v>2.5111111111111112E-2</v>
      </c>
      <c r="U48" s="10">
        <f t="shared" si="3"/>
        <v>113</v>
      </c>
      <c r="V48" s="10">
        <f t="shared" si="4"/>
        <v>4613</v>
      </c>
      <c r="W48" s="11">
        <v>4650</v>
      </c>
      <c r="X48" s="12">
        <f t="shared" si="5"/>
        <v>150</v>
      </c>
      <c r="Y48" s="92">
        <f t="shared" si="6"/>
        <v>3.3300000000000003E-2</v>
      </c>
      <c r="Z48" s="93" t="str">
        <f t="shared" si="7"/>
        <v>0.00%-8.40%</v>
      </c>
      <c r="AA48" s="15"/>
      <c r="AB48" s="15"/>
      <c r="AC48" s="15"/>
      <c r="AD48" s="95"/>
      <c r="AE48" s="8">
        <f t="shared" si="8"/>
        <v>0</v>
      </c>
      <c r="AF48" s="17">
        <f t="shared" si="9"/>
        <v>4650</v>
      </c>
      <c r="AG48" s="18">
        <f t="shared" si="10"/>
        <v>150</v>
      </c>
      <c r="AH48" s="97">
        <f t="shared" si="11"/>
        <v>3.3333333333333437E-2</v>
      </c>
      <c r="AI48" s="20">
        <v>13.6</v>
      </c>
      <c r="AJ48" s="20">
        <v>450</v>
      </c>
      <c r="AK48" s="20"/>
      <c r="AL48" s="20">
        <v>688</v>
      </c>
      <c r="AM48" s="20">
        <f t="shared" si="12"/>
        <v>69328</v>
      </c>
      <c r="AN48" s="7" t="s">
        <v>176</v>
      </c>
      <c r="AO48" s="20"/>
      <c r="AP48" s="21"/>
      <c r="AQ48" s="21"/>
      <c r="AR48" s="5" t="s">
        <v>123</v>
      </c>
      <c r="AS48" s="5" t="s">
        <v>124</v>
      </c>
      <c r="AT48" s="5" t="s">
        <v>59</v>
      </c>
      <c r="AU48" s="20"/>
      <c r="AV48" s="21" t="s">
        <v>390</v>
      </c>
      <c r="AW48" s="21"/>
      <c r="AX48" s="21"/>
    </row>
    <row r="49" spans="1:50">
      <c r="A49" s="86" t="s">
        <v>318</v>
      </c>
      <c r="B49" s="5">
        <v>15021669</v>
      </c>
      <c r="C49" s="5" t="s">
        <v>391</v>
      </c>
      <c r="D49" s="5" t="s">
        <v>321</v>
      </c>
      <c r="E49" s="5" t="s">
        <v>52</v>
      </c>
      <c r="F49" s="5" t="s">
        <v>62</v>
      </c>
      <c r="G49" s="5" t="s">
        <v>152</v>
      </c>
      <c r="H49" s="5" t="s">
        <v>322</v>
      </c>
      <c r="I49" s="6">
        <v>44621</v>
      </c>
      <c r="J49" s="5" t="s">
        <v>336</v>
      </c>
      <c r="K49" s="5" t="s">
        <v>336</v>
      </c>
      <c r="L49" s="5" t="s">
        <v>324</v>
      </c>
      <c r="M49" s="7">
        <v>6</v>
      </c>
      <c r="N49" s="7" t="s">
        <v>176</v>
      </c>
      <c r="O49" s="8">
        <v>4907</v>
      </c>
      <c r="P49" s="88">
        <v>0.02</v>
      </c>
      <c r="Q49" s="10">
        <f t="shared" si="0"/>
        <v>98</v>
      </c>
      <c r="R49" s="88">
        <v>5.0000000000000001E-3</v>
      </c>
      <c r="S49" s="10">
        <f t="shared" si="1"/>
        <v>25</v>
      </c>
      <c r="T49" s="88">
        <f t="shared" si="2"/>
        <v>2.5066231913592828E-2</v>
      </c>
      <c r="U49" s="10">
        <f t="shared" si="3"/>
        <v>123</v>
      </c>
      <c r="V49" s="10">
        <f t="shared" si="4"/>
        <v>5030</v>
      </c>
      <c r="W49" s="11">
        <v>4980</v>
      </c>
      <c r="X49" s="12">
        <f t="shared" si="5"/>
        <v>73</v>
      </c>
      <c r="Y49" s="92">
        <f t="shared" si="6"/>
        <v>1.49E-2</v>
      </c>
      <c r="Z49" s="93" t="str">
        <f t="shared" si="7"/>
        <v>0.00%-8.40%</v>
      </c>
      <c r="AA49" s="15"/>
      <c r="AB49" s="15"/>
      <c r="AC49" s="15"/>
      <c r="AD49" s="95"/>
      <c r="AE49" s="8">
        <f t="shared" si="8"/>
        <v>0</v>
      </c>
      <c r="AF49" s="17">
        <f t="shared" si="9"/>
        <v>4980</v>
      </c>
      <c r="AG49" s="18">
        <f t="shared" si="10"/>
        <v>73</v>
      </c>
      <c r="AH49" s="97">
        <f t="shared" si="11"/>
        <v>1.4876706745465595E-2</v>
      </c>
      <c r="AI49" s="20">
        <v>13.6</v>
      </c>
      <c r="AJ49" s="20">
        <v>450</v>
      </c>
      <c r="AK49" s="20"/>
      <c r="AL49" s="20">
        <v>688</v>
      </c>
      <c r="AM49" s="20">
        <f t="shared" si="12"/>
        <v>73816</v>
      </c>
      <c r="AN49" s="7" t="s">
        <v>176</v>
      </c>
      <c r="AO49" s="20"/>
      <c r="AP49" s="21"/>
      <c r="AQ49" s="21"/>
      <c r="AR49" s="5" t="s">
        <v>123</v>
      </c>
      <c r="AS49" s="5" t="s">
        <v>124</v>
      </c>
      <c r="AT49" s="5" t="s">
        <v>59</v>
      </c>
      <c r="AU49" s="20"/>
      <c r="AV49" s="21" t="s">
        <v>337</v>
      </c>
      <c r="AW49" s="21"/>
      <c r="AX49" s="21"/>
    </row>
    <row r="50" spans="1:50">
      <c r="A50" s="86" t="s">
        <v>318</v>
      </c>
      <c r="B50" s="5">
        <v>15021412</v>
      </c>
      <c r="C50" s="5" t="s">
        <v>392</v>
      </c>
      <c r="D50" s="5" t="s">
        <v>321</v>
      </c>
      <c r="E50" s="5" t="s">
        <v>52</v>
      </c>
      <c r="F50" s="5" t="s">
        <v>62</v>
      </c>
      <c r="G50" s="5" t="s">
        <v>152</v>
      </c>
      <c r="H50" s="5" t="s">
        <v>322</v>
      </c>
      <c r="I50" s="6">
        <v>44531</v>
      </c>
      <c r="J50" s="5" t="s">
        <v>336</v>
      </c>
      <c r="K50" s="5" t="s">
        <v>336</v>
      </c>
      <c r="L50" s="5" t="s">
        <v>324</v>
      </c>
      <c r="M50" s="7">
        <v>6</v>
      </c>
      <c r="N50" s="7" t="s">
        <v>176</v>
      </c>
      <c r="O50" s="8">
        <v>4821</v>
      </c>
      <c r="P50" s="88">
        <v>0.02</v>
      </c>
      <c r="Q50" s="10">
        <f t="shared" si="0"/>
        <v>96</v>
      </c>
      <c r="R50" s="88">
        <v>5.0000000000000001E-3</v>
      </c>
      <c r="S50" s="10">
        <f t="shared" si="1"/>
        <v>24</v>
      </c>
      <c r="T50" s="88">
        <f t="shared" si="2"/>
        <v>2.4891101431238332E-2</v>
      </c>
      <c r="U50" s="10">
        <f t="shared" si="3"/>
        <v>120</v>
      </c>
      <c r="V50" s="10">
        <f t="shared" si="4"/>
        <v>4941</v>
      </c>
      <c r="W50" s="11">
        <v>4950</v>
      </c>
      <c r="X50" s="12">
        <f t="shared" si="5"/>
        <v>129</v>
      </c>
      <c r="Y50" s="92">
        <f t="shared" si="6"/>
        <v>2.6800000000000001E-2</v>
      </c>
      <c r="Z50" s="93" t="str">
        <f t="shared" si="7"/>
        <v>0.00%-8.40%</v>
      </c>
      <c r="AA50" s="15"/>
      <c r="AB50" s="15"/>
      <c r="AC50" s="15"/>
      <c r="AD50" s="95"/>
      <c r="AE50" s="8">
        <f t="shared" si="8"/>
        <v>0</v>
      </c>
      <c r="AF50" s="17">
        <f t="shared" si="9"/>
        <v>4950</v>
      </c>
      <c r="AG50" s="18">
        <f t="shared" si="10"/>
        <v>129</v>
      </c>
      <c r="AH50" s="97">
        <f t="shared" si="11"/>
        <v>2.6757934038581288E-2</v>
      </c>
      <c r="AI50" s="20">
        <v>13.6</v>
      </c>
      <c r="AJ50" s="20">
        <v>450</v>
      </c>
      <c r="AK50" s="20"/>
      <c r="AL50" s="20">
        <v>688</v>
      </c>
      <c r="AM50" s="20">
        <f t="shared" si="12"/>
        <v>73408</v>
      </c>
      <c r="AN50" s="7" t="s">
        <v>176</v>
      </c>
      <c r="AO50" s="20"/>
      <c r="AP50" s="21"/>
      <c r="AQ50" s="21"/>
      <c r="AR50" s="5" t="s">
        <v>123</v>
      </c>
      <c r="AS50" s="5" t="s">
        <v>124</v>
      </c>
      <c r="AT50" s="5" t="s">
        <v>59</v>
      </c>
      <c r="AU50" s="20"/>
      <c r="AV50" s="21" t="s">
        <v>390</v>
      </c>
      <c r="AW50" s="21"/>
      <c r="AX50" s="21"/>
    </row>
    <row r="51" spans="1:50">
      <c r="A51" s="86" t="s">
        <v>318</v>
      </c>
      <c r="B51" s="5">
        <v>15002932</v>
      </c>
      <c r="C51" s="5" t="s">
        <v>393</v>
      </c>
      <c r="D51" s="5" t="s">
        <v>321</v>
      </c>
      <c r="E51" s="5" t="s">
        <v>52</v>
      </c>
      <c r="F51" s="5" t="s">
        <v>62</v>
      </c>
      <c r="G51" s="5" t="s">
        <v>152</v>
      </c>
      <c r="H51" s="5" t="s">
        <v>322</v>
      </c>
      <c r="I51" s="6">
        <v>41609</v>
      </c>
      <c r="J51" s="5" t="s">
        <v>336</v>
      </c>
      <c r="K51" s="5" t="s">
        <v>394</v>
      </c>
      <c r="L51" s="5" t="s">
        <v>324</v>
      </c>
      <c r="M51" s="7">
        <v>6</v>
      </c>
      <c r="N51" s="7" t="s">
        <v>176</v>
      </c>
      <c r="O51" s="8">
        <v>4856</v>
      </c>
      <c r="P51" s="88">
        <v>0.02</v>
      </c>
      <c r="Q51" s="10">
        <f t="shared" si="0"/>
        <v>97</v>
      </c>
      <c r="R51" s="88">
        <v>5.0000000000000001E-3</v>
      </c>
      <c r="S51" s="10">
        <f t="shared" si="1"/>
        <v>24</v>
      </c>
      <c r="T51" s="88">
        <f t="shared" si="2"/>
        <v>2.4917627677100495E-2</v>
      </c>
      <c r="U51" s="10">
        <f t="shared" si="3"/>
        <v>121</v>
      </c>
      <c r="V51" s="10">
        <f t="shared" si="4"/>
        <v>4977</v>
      </c>
      <c r="W51" s="11">
        <v>4929</v>
      </c>
      <c r="X51" s="12">
        <f t="shared" si="5"/>
        <v>73</v>
      </c>
      <c r="Y51" s="92">
        <f t="shared" si="6"/>
        <v>1.4999999999999999E-2</v>
      </c>
      <c r="Z51" s="93" t="str">
        <f t="shared" si="7"/>
        <v>0.00%-8.40%</v>
      </c>
      <c r="AA51" s="15"/>
      <c r="AB51" s="15"/>
      <c r="AC51" s="15"/>
      <c r="AD51" s="95"/>
      <c r="AE51" s="8">
        <f t="shared" si="8"/>
        <v>0</v>
      </c>
      <c r="AF51" s="17">
        <f t="shared" si="9"/>
        <v>4929</v>
      </c>
      <c r="AG51" s="18">
        <f t="shared" si="10"/>
        <v>73</v>
      </c>
      <c r="AH51" s="97">
        <f t="shared" si="11"/>
        <v>1.5032948929159851E-2</v>
      </c>
      <c r="AI51" s="20">
        <v>13.6</v>
      </c>
      <c r="AJ51" s="20">
        <v>450</v>
      </c>
      <c r="AK51" s="20"/>
      <c r="AL51" s="20">
        <v>688</v>
      </c>
      <c r="AM51" s="20">
        <f t="shared" si="12"/>
        <v>73122.399999999994</v>
      </c>
      <c r="AN51" s="7" t="s">
        <v>176</v>
      </c>
      <c r="AO51" s="20"/>
      <c r="AP51" s="21"/>
      <c r="AQ51" s="21"/>
      <c r="AR51" s="5" t="s">
        <v>123</v>
      </c>
      <c r="AS51" s="5" t="s">
        <v>124</v>
      </c>
      <c r="AT51" s="5" t="s">
        <v>59</v>
      </c>
      <c r="AU51" s="20"/>
      <c r="AV51" s="21" t="s">
        <v>382</v>
      </c>
      <c r="AW51" s="21"/>
      <c r="AX51" s="21"/>
    </row>
    <row r="52" spans="1:50">
      <c r="A52" s="86" t="s">
        <v>318</v>
      </c>
      <c r="B52" s="5">
        <v>15017769</v>
      </c>
      <c r="C52" s="5" t="s">
        <v>395</v>
      </c>
      <c r="D52" s="5" t="s">
        <v>321</v>
      </c>
      <c r="E52" s="5" t="s">
        <v>52</v>
      </c>
      <c r="F52" s="5" t="s">
        <v>62</v>
      </c>
      <c r="G52" s="5" t="s">
        <v>152</v>
      </c>
      <c r="H52" s="5" t="s">
        <v>322</v>
      </c>
      <c r="I52" s="6">
        <v>43040</v>
      </c>
      <c r="J52" s="5" t="s">
        <v>336</v>
      </c>
      <c r="K52" s="5" t="s">
        <v>336</v>
      </c>
      <c r="L52" s="5" t="s">
        <v>324</v>
      </c>
      <c r="M52" s="7">
        <v>6</v>
      </c>
      <c r="N52" s="7" t="s">
        <v>176</v>
      </c>
      <c r="O52" s="8">
        <v>4655</v>
      </c>
      <c r="P52" s="88">
        <v>0.02</v>
      </c>
      <c r="Q52" s="10">
        <f t="shared" si="0"/>
        <v>93</v>
      </c>
      <c r="R52" s="88">
        <v>5.0000000000000001E-3</v>
      </c>
      <c r="S52" s="10">
        <f t="shared" si="1"/>
        <v>23</v>
      </c>
      <c r="T52" s="88">
        <f t="shared" si="2"/>
        <v>2.4919441460794844E-2</v>
      </c>
      <c r="U52" s="10">
        <f t="shared" si="3"/>
        <v>116</v>
      </c>
      <c r="V52" s="10">
        <f t="shared" si="4"/>
        <v>4771</v>
      </c>
      <c r="W52" s="11">
        <v>4724</v>
      </c>
      <c r="X52" s="12">
        <f t="shared" si="5"/>
        <v>69</v>
      </c>
      <c r="Y52" s="92">
        <f t="shared" si="6"/>
        <v>1.4800000000000001E-2</v>
      </c>
      <c r="Z52" s="93" t="str">
        <f t="shared" si="7"/>
        <v>0.00%-8.40%</v>
      </c>
      <c r="AA52" s="15"/>
      <c r="AB52" s="15"/>
      <c r="AC52" s="15"/>
      <c r="AD52" s="95"/>
      <c r="AE52" s="8">
        <f t="shared" si="8"/>
        <v>0</v>
      </c>
      <c r="AF52" s="17">
        <f t="shared" si="9"/>
        <v>4724</v>
      </c>
      <c r="AG52" s="18">
        <f t="shared" si="10"/>
        <v>69</v>
      </c>
      <c r="AH52" s="97">
        <f t="shared" si="11"/>
        <v>1.4822771213748753E-2</v>
      </c>
      <c r="AI52" s="20">
        <v>13.6</v>
      </c>
      <c r="AJ52" s="20">
        <v>500</v>
      </c>
      <c r="AK52" s="20"/>
      <c r="AL52" s="20">
        <v>688</v>
      </c>
      <c r="AM52" s="20">
        <f t="shared" si="12"/>
        <v>70934.399999999994</v>
      </c>
      <c r="AN52" s="7" t="s">
        <v>176</v>
      </c>
      <c r="AO52" s="20"/>
      <c r="AP52" s="21"/>
      <c r="AQ52" s="21"/>
      <c r="AR52" s="5" t="s">
        <v>123</v>
      </c>
      <c r="AS52" s="5" t="s">
        <v>124</v>
      </c>
      <c r="AT52" s="5" t="s">
        <v>59</v>
      </c>
      <c r="AU52" s="20"/>
      <c r="AV52" s="21" t="s">
        <v>337</v>
      </c>
      <c r="AW52" s="21"/>
      <c r="AX52" s="21"/>
    </row>
    <row r="53" spans="1:50">
      <c r="A53" s="86" t="s">
        <v>318</v>
      </c>
      <c r="B53" s="5">
        <v>15013282</v>
      </c>
      <c r="C53" s="5" t="s">
        <v>396</v>
      </c>
      <c r="D53" s="5" t="s">
        <v>321</v>
      </c>
      <c r="E53" s="5" t="s">
        <v>52</v>
      </c>
      <c r="F53" s="5" t="s">
        <v>62</v>
      </c>
      <c r="G53" s="5" t="s">
        <v>152</v>
      </c>
      <c r="H53" s="5" t="s">
        <v>322</v>
      </c>
      <c r="I53" s="6">
        <v>41794</v>
      </c>
      <c r="J53" s="5" t="s">
        <v>336</v>
      </c>
      <c r="K53" s="5" t="s">
        <v>336</v>
      </c>
      <c r="L53" s="5" t="s">
        <v>324</v>
      </c>
      <c r="M53" s="7">
        <v>6</v>
      </c>
      <c r="N53" s="7" t="s">
        <v>176</v>
      </c>
      <c r="O53" s="8">
        <v>4514</v>
      </c>
      <c r="P53" s="88">
        <v>0.02</v>
      </c>
      <c r="Q53" s="10">
        <f t="shared" si="0"/>
        <v>90</v>
      </c>
      <c r="R53" s="88">
        <v>5.0000000000000001E-3</v>
      </c>
      <c r="S53" s="10">
        <f t="shared" si="1"/>
        <v>23</v>
      </c>
      <c r="T53" s="88">
        <f t="shared" si="2"/>
        <v>2.5033229951262739E-2</v>
      </c>
      <c r="U53" s="10">
        <f t="shared" si="3"/>
        <v>113</v>
      </c>
      <c r="V53" s="10">
        <f t="shared" si="4"/>
        <v>4627</v>
      </c>
      <c r="W53" s="11">
        <v>4582</v>
      </c>
      <c r="X53" s="12">
        <f t="shared" si="5"/>
        <v>68</v>
      </c>
      <c r="Y53" s="92">
        <f t="shared" si="6"/>
        <v>1.5100000000000001E-2</v>
      </c>
      <c r="Z53" s="93" t="str">
        <f t="shared" si="7"/>
        <v>0.00%-8.40%</v>
      </c>
      <c r="AA53" s="15"/>
      <c r="AB53" s="15"/>
      <c r="AC53" s="15"/>
      <c r="AD53" s="95"/>
      <c r="AE53" s="8">
        <f t="shared" si="8"/>
        <v>0</v>
      </c>
      <c r="AF53" s="17">
        <f t="shared" si="9"/>
        <v>4582</v>
      </c>
      <c r="AG53" s="18">
        <f t="shared" si="10"/>
        <v>68</v>
      </c>
      <c r="AH53" s="97">
        <f t="shared" si="11"/>
        <v>1.5064244572441376E-2</v>
      </c>
      <c r="AI53" s="20">
        <v>13.6</v>
      </c>
      <c r="AJ53" s="20">
        <v>450</v>
      </c>
      <c r="AK53" s="20"/>
      <c r="AL53" s="20">
        <v>688</v>
      </c>
      <c r="AM53" s="20">
        <f t="shared" si="12"/>
        <v>68403.199999999997</v>
      </c>
      <c r="AN53" s="7" t="s">
        <v>176</v>
      </c>
      <c r="AO53" s="20"/>
      <c r="AP53" s="21"/>
      <c r="AQ53" s="21"/>
      <c r="AR53" s="5" t="s">
        <v>123</v>
      </c>
      <c r="AS53" s="5" t="s">
        <v>124</v>
      </c>
      <c r="AT53" s="5" t="s">
        <v>59</v>
      </c>
      <c r="AU53" s="20"/>
      <c r="AV53" s="21" t="s">
        <v>337</v>
      </c>
      <c r="AW53" s="21"/>
      <c r="AX53" s="21"/>
    </row>
    <row r="54" spans="1:50">
      <c r="A54" s="86" t="s">
        <v>318</v>
      </c>
      <c r="B54" s="5">
        <v>15018821</v>
      </c>
      <c r="C54" s="5" t="s">
        <v>397</v>
      </c>
      <c r="D54" s="5" t="s">
        <v>321</v>
      </c>
      <c r="E54" s="5" t="s">
        <v>52</v>
      </c>
      <c r="F54" s="5" t="s">
        <v>62</v>
      </c>
      <c r="G54" s="5" t="s">
        <v>152</v>
      </c>
      <c r="H54" s="5" t="s">
        <v>322</v>
      </c>
      <c r="I54" s="6">
        <v>43124</v>
      </c>
      <c r="J54" s="5" t="s">
        <v>336</v>
      </c>
      <c r="K54" s="5" t="s">
        <v>336</v>
      </c>
      <c r="L54" s="5" t="s">
        <v>324</v>
      </c>
      <c r="M54" s="7">
        <v>6</v>
      </c>
      <c r="N54" s="7" t="s">
        <v>176</v>
      </c>
      <c r="O54" s="8">
        <v>4832</v>
      </c>
      <c r="P54" s="88">
        <v>0.02</v>
      </c>
      <c r="Q54" s="10">
        <f t="shared" si="0"/>
        <v>97</v>
      </c>
      <c r="R54" s="88">
        <v>5.0000000000000001E-3</v>
      </c>
      <c r="S54" s="10">
        <f t="shared" si="1"/>
        <v>24</v>
      </c>
      <c r="T54" s="88">
        <f t="shared" si="2"/>
        <v>2.5041390728476821E-2</v>
      </c>
      <c r="U54" s="10">
        <f t="shared" si="3"/>
        <v>121</v>
      </c>
      <c r="V54" s="10">
        <f t="shared" si="4"/>
        <v>4953</v>
      </c>
      <c r="W54" s="11">
        <v>4950</v>
      </c>
      <c r="X54" s="12">
        <f t="shared" si="5"/>
        <v>118</v>
      </c>
      <c r="Y54" s="92">
        <f t="shared" si="6"/>
        <v>2.4400000000000002E-2</v>
      </c>
      <c r="Z54" s="93" t="str">
        <f t="shared" si="7"/>
        <v>0.00%-8.40%</v>
      </c>
      <c r="AA54" s="15"/>
      <c r="AB54" s="15"/>
      <c r="AC54" s="15"/>
      <c r="AD54" s="95"/>
      <c r="AE54" s="8">
        <f t="shared" si="8"/>
        <v>0</v>
      </c>
      <c r="AF54" s="17">
        <f t="shared" si="9"/>
        <v>4950</v>
      </c>
      <c r="AG54" s="18">
        <f t="shared" si="10"/>
        <v>118</v>
      </c>
      <c r="AH54" s="97">
        <f t="shared" si="11"/>
        <v>2.4420529801324475E-2</v>
      </c>
      <c r="AI54" s="20">
        <v>13.6</v>
      </c>
      <c r="AJ54" s="20">
        <v>450</v>
      </c>
      <c r="AK54" s="20"/>
      <c r="AL54" s="20">
        <v>688</v>
      </c>
      <c r="AM54" s="20">
        <f t="shared" si="12"/>
        <v>73408</v>
      </c>
      <c r="AN54" s="7" t="s">
        <v>176</v>
      </c>
      <c r="AO54" s="20"/>
      <c r="AP54" s="21"/>
      <c r="AQ54" s="21"/>
      <c r="AR54" s="5" t="s">
        <v>123</v>
      </c>
      <c r="AS54" s="5" t="s">
        <v>124</v>
      </c>
      <c r="AT54" s="5" t="s">
        <v>59</v>
      </c>
      <c r="AU54" s="20"/>
      <c r="AV54" s="21" t="s">
        <v>390</v>
      </c>
      <c r="AW54" s="21"/>
      <c r="AX54" s="21"/>
    </row>
    <row r="55" spans="1:50">
      <c r="A55" s="86" t="s">
        <v>318</v>
      </c>
      <c r="B55" s="5">
        <v>15012989</v>
      </c>
      <c r="C55" s="5" t="s">
        <v>398</v>
      </c>
      <c r="D55" s="5" t="s">
        <v>321</v>
      </c>
      <c r="E55" s="5" t="s">
        <v>52</v>
      </c>
      <c r="F55" s="5" t="s">
        <v>62</v>
      </c>
      <c r="G55" s="5" t="s">
        <v>152</v>
      </c>
      <c r="H55" s="5" t="s">
        <v>322</v>
      </c>
      <c r="I55" s="6">
        <v>41752</v>
      </c>
      <c r="J55" s="5" t="s">
        <v>336</v>
      </c>
      <c r="K55" s="5" t="s">
        <v>336</v>
      </c>
      <c r="L55" s="5" t="s">
        <v>324</v>
      </c>
      <c r="M55" s="7">
        <v>6</v>
      </c>
      <c r="N55" s="7" t="s">
        <v>176</v>
      </c>
      <c r="O55" s="8">
        <v>4781</v>
      </c>
      <c r="P55" s="88">
        <v>0.02</v>
      </c>
      <c r="Q55" s="10">
        <f t="shared" si="0"/>
        <v>96</v>
      </c>
      <c r="R55" s="88">
        <v>5.0000000000000001E-3</v>
      </c>
      <c r="S55" s="10">
        <f t="shared" si="1"/>
        <v>24</v>
      </c>
      <c r="T55" s="88">
        <f t="shared" si="2"/>
        <v>2.5099351600083666E-2</v>
      </c>
      <c r="U55" s="10">
        <f t="shared" si="3"/>
        <v>120</v>
      </c>
      <c r="V55" s="10">
        <f t="shared" si="4"/>
        <v>4901</v>
      </c>
      <c r="W55" s="11">
        <v>4900</v>
      </c>
      <c r="X55" s="12">
        <f t="shared" si="5"/>
        <v>119</v>
      </c>
      <c r="Y55" s="92">
        <f t="shared" si="6"/>
        <v>2.4899999999999999E-2</v>
      </c>
      <c r="Z55" s="93" t="str">
        <f t="shared" si="7"/>
        <v>0.00%-8.40%</v>
      </c>
      <c r="AA55" s="15"/>
      <c r="AB55" s="15"/>
      <c r="AC55" s="15"/>
      <c r="AD55" s="95"/>
      <c r="AE55" s="8">
        <f t="shared" si="8"/>
        <v>0</v>
      </c>
      <c r="AF55" s="17">
        <f t="shared" si="9"/>
        <v>4900</v>
      </c>
      <c r="AG55" s="18">
        <f t="shared" si="10"/>
        <v>119</v>
      </c>
      <c r="AH55" s="97">
        <f t="shared" si="11"/>
        <v>2.4890190336749551E-2</v>
      </c>
      <c r="AI55" s="20">
        <v>13.6</v>
      </c>
      <c r="AJ55" s="20">
        <v>450</v>
      </c>
      <c r="AK55" s="20"/>
      <c r="AL55" s="20">
        <v>688</v>
      </c>
      <c r="AM55" s="20">
        <f t="shared" si="12"/>
        <v>72728</v>
      </c>
      <c r="AN55" s="7" t="s">
        <v>176</v>
      </c>
      <c r="AO55" s="20"/>
      <c r="AP55" s="21"/>
      <c r="AQ55" s="21"/>
      <c r="AR55" s="5" t="s">
        <v>123</v>
      </c>
      <c r="AS55" s="5" t="s">
        <v>124</v>
      </c>
      <c r="AT55" s="5" t="s">
        <v>59</v>
      </c>
      <c r="AU55" s="20"/>
      <c r="AV55" s="21" t="s">
        <v>390</v>
      </c>
      <c r="AW55" s="21"/>
      <c r="AX55" s="21"/>
    </row>
    <row r="56" spans="1:50">
      <c r="A56" s="86" t="s">
        <v>318</v>
      </c>
      <c r="B56" s="5">
        <v>15018830</v>
      </c>
      <c r="C56" s="5" t="s">
        <v>399</v>
      </c>
      <c r="D56" s="5" t="s">
        <v>321</v>
      </c>
      <c r="E56" s="5" t="s">
        <v>52</v>
      </c>
      <c r="F56" s="5" t="s">
        <v>62</v>
      </c>
      <c r="G56" s="5" t="s">
        <v>152</v>
      </c>
      <c r="H56" s="5" t="s">
        <v>322</v>
      </c>
      <c r="I56" s="6">
        <v>43252</v>
      </c>
      <c r="J56" s="5" t="s">
        <v>336</v>
      </c>
      <c r="K56" s="5" t="s">
        <v>387</v>
      </c>
      <c r="L56" s="5" t="s">
        <v>324</v>
      </c>
      <c r="M56" s="7">
        <v>6</v>
      </c>
      <c r="N56" s="7" t="s">
        <v>176</v>
      </c>
      <c r="O56" s="8">
        <v>4580</v>
      </c>
      <c r="P56" s="88">
        <v>0.02</v>
      </c>
      <c r="Q56" s="10">
        <f t="shared" si="0"/>
        <v>92</v>
      </c>
      <c r="R56" s="88">
        <v>5.0000000000000001E-3</v>
      </c>
      <c r="S56" s="10">
        <f t="shared" si="1"/>
        <v>23</v>
      </c>
      <c r="T56" s="88">
        <f t="shared" si="2"/>
        <v>2.5109170305676855E-2</v>
      </c>
      <c r="U56" s="10">
        <f t="shared" si="3"/>
        <v>115</v>
      </c>
      <c r="V56" s="10">
        <f t="shared" si="4"/>
        <v>4695</v>
      </c>
      <c r="W56" s="11">
        <v>4648</v>
      </c>
      <c r="X56" s="12">
        <f t="shared" si="5"/>
        <v>68</v>
      </c>
      <c r="Y56" s="92">
        <f t="shared" si="6"/>
        <v>1.4800000000000001E-2</v>
      </c>
      <c r="Z56" s="93" t="str">
        <f t="shared" si="7"/>
        <v>0.00%-8.40%</v>
      </c>
      <c r="AA56" s="15"/>
      <c r="AB56" s="15"/>
      <c r="AC56" s="15"/>
      <c r="AD56" s="95"/>
      <c r="AE56" s="8">
        <f t="shared" si="8"/>
        <v>0</v>
      </c>
      <c r="AF56" s="17">
        <f t="shared" si="9"/>
        <v>4648</v>
      </c>
      <c r="AG56" s="18">
        <f t="shared" si="10"/>
        <v>68</v>
      </c>
      <c r="AH56" s="97">
        <f t="shared" si="11"/>
        <v>1.4847161572052459E-2</v>
      </c>
      <c r="AI56" s="20">
        <v>13.6</v>
      </c>
      <c r="AJ56" s="20">
        <v>560</v>
      </c>
      <c r="AK56" s="20"/>
      <c r="AL56" s="20">
        <v>688</v>
      </c>
      <c r="AM56" s="20">
        <f t="shared" si="12"/>
        <v>70620.799999999988</v>
      </c>
      <c r="AN56" s="7" t="s">
        <v>176</v>
      </c>
      <c r="AO56" s="20"/>
      <c r="AP56" s="21"/>
      <c r="AQ56" s="21"/>
      <c r="AR56" s="5" t="s">
        <v>123</v>
      </c>
      <c r="AS56" s="5" t="s">
        <v>124</v>
      </c>
      <c r="AT56" s="5" t="s">
        <v>59</v>
      </c>
      <c r="AU56" s="20"/>
      <c r="AV56" s="21" t="s">
        <v>337</v>
      </c>
      <c r="AW56" s="21"/>
      <c r="AX56" s="21"/>
    </row>
    <row r="57" spans="1:50">
      <c r="A57" s="86" t="s">
        <v>318</v>
      </c>
      <c r="B57" s="5">
        <v>15017148</v>
      </c>
      <c r="C57" s="5" t="s">
        <v>400</v>
      </c>
      <c r="D57" s="5" t="s">
        <v>321</v>
      </c>
      <c r="E57" s="5" t="s">
        <v>52</v>
      </c>
      <c r="F57" s="5" t="s">
        <v>62</v>
      </c>
      <c r="G57" s="5" t="s">
        <v>152</v>
      </c>
      <c r="H57" s="5" t="s">
        <v>322</v>
      </c>
      <c r="I57" s="6">
        <v>43040</v>
      </c>
      <c r="J57" s="5" t="s">
        <v>336</v>
      </c>
      <c r="K57" s="5" t="s">
        <v>336</v>
      </c>
      <c r="L57" s="5" t="s">
        <v>324</v>
      </c>
      <c r="M57" s="7">
        <v>6</v>
      </c>
      <c r="N57" s="7" t="s">
        <v>176</v>
      </c>
      <c r="O57" s="8">
        <v>4500</v>
      </c>
      <c r="P57" s="88">
        <v>0.02</v>
      </c>
      <c r="Q57" s="10">
        <f t="shared" si="0"/>
        <v>90</v>
      </c>
      <c r="R57" s="88">
        <v>5.0000000000000001E-3</v>
      </c>
      <c r="S57" s="10">
        <f t="shared" si="1"/>
        <v>23</v>
      </c>
      <c r="T57" s="88">
        <f t="shared" si="2"/>
        <v>2.5111111111111112E-2</v>
      </c>
      <c r="U57" s="10">
        <f t="shared" si="3"/>
        <v>113</v>
      </c>
      <c r="V57" s="10">
        <f t="shared" si="4"/>
        <v>4613</v>
      </c>
      <c r="W57" s="11">
        <v>4650</v>
      </c>
      <c r="X57" s="12">
        <f t="shared" si="5"/>
        <v>150</v>
      </c>
      <c r="Y57" s="92">
        <f t="shared" si="6"/>
        <v>3.3300000000000003E-2</v>
      </c>
      <c r="Z57" s="93" t="str">
        <f t="shared" si="7"/>
        <v>0.00%-8.40%</v>
      </c>
      <c r="AA57" s="15"/>
      <c r="AB57" s="15"/>
      <c r="AC57" s="15"/>
      <c r="AD57" s="95"/>
      <c r="AE57" s="8">
        <f t="shared" si="8"/>
        <v>0</v>
      </c>
      <c r="AF57" s="17">
        <f t="shared" si="9"/>
        <v>4650</v>
      </c>
      <c r="AG57" s="18">
        <f t="shared" si="10"/>
        <v>150</v>
      </c>
      <c r="AH57" s="97">
        <f t="shared" si="11"/>
        <v>3.3333333333333437E-2</v>
      </c>
      <c r="AI57" s="20">
        <v>13.6</v>
      </c>
      <c r="AJ57" s="20">
        <v>450</v>
      </c>
      <c r="AK57" s="20"/>
      <c r="AL57" s="20">
        <v>688</v>
      </c>
      <c r="AM57" s="20">
        <f t="shared" si="12"/>
        <v>69328</v>
      </c>
      <c r="AN57" s="7" t="s">
        <v>176</v>
      </c>
      <c r="AO57" s="20"/>
      <c r="AP57" s="21"/>
      <c r="AQ57" s="21"/>
      <c r="AR57" s="5" t="s">
        <v>123</v>
      </c>
      <c r="AS57" s="5" t="s">
        <v>124</v>
      </c>
      <c r="AT57" s="5" t="s">
        <v>59</v>
      </c>
      <c r="AU57" s="20"/>
      <c r="AV57" s="21" t="s">
        <v>390</v>
      </c>
      <c r="AW57" s="21"/>
      <c r="AX57" s="21"/>
    </row>
    <row r="58" spans="1:50">
      <c r="A58" s="86" t="s">
        <v>318</v>
      </c>
      <c r="B58" s="5">
        <v>15005815</v>
      </c>
      <c r="C58" s="5" t="s">
        <v>401</v>
      </c>
      <c r="D58" s="5" t="s">
        <v>321</v>
      </c>
      <c r="E58" s="5" t="s">
        <v>52</v>
      </c>
      <c r="F58" s="5" t="s">
        <v>62</v>
      </c>
      <c r="G58" s="5" t="s">
        <v>130</v>
      </c>
      <c r="H58" s="5" t="s">
        <v>402</v>
      </c>
      <c r="I58" s="6">
        <v>40653</v>
      </c>
      <c r="J58" s="5" t="s">
        <v>336</v>
      </c>
      <c r="K58" s="5" t="s">
        <v>336</v>
      </c>
      <c r="L58" s="5" t="s">
        <v>324</v>
      </c>
      <c r="M58" s="7">
        <v>6</v>
      </c>
      <c r="N58" s="7" t="s">
        <v>176</v>
      </c>
      <c r="O58" s="8">
        <v>4514</v>
      </c>
      <c r="P58" s="88">
        <v>0.02</v>
      </c>
      <c r="Q58" s="10">
        <f t="shared" si="0"/>
        <v>90</v>
      </c>
      <c r="R58" s="88">
        <v>5.0000000000000001E-3</v>
      </c>
      <c r="S58" s="10">
        <f t="shared" si="1"/>
        <v>23</v>
      </c>
      <c r="T58" s="88">
        <f t="shared" si="2"/>
        <v>2.5033229951262739E-2</v>
      </c>
      <c r="U58" s="10">
        <f t="shared" si="3"/>
        <v>113</v>
      </c>
      <c r="V58" s="10">
        <f t="shared" si="4"/>
        <v>4627</v>
      </c>
      <c r="W58" s="11">
        <v>4582</v>
      </c>
      <c r="X58" s="12">
        <f t="shared" si="5"/>
        <v>68</v>
      </c>
      <c r="Y58" s="92">
        <f t="shared" si="6"/>
        <v>1.5100000000000001E-2</v>
      </c>
      <c r="Z58" s="93" t="str">
        <f t="shared" si="7"/>
        <v>0.00%-8.40%</v>
      </c>
      <c r="AA58" s="15"/>
      <c r="AB58" s="15"/>
      <c r="AC58" s="15"/>
      <c r="AD58" s="95"/>
      <c r="AE58" s="8">
        <f t="shared" si="8"/>
        <v>0</v>
      </c>
      <c r="AF58" s="17">
        <f t="shared" si="9"/>
        <v>4582</v>
      </c>
      <c r="AG58" s="18">
        <f t="shared" si="10"/>
        <v>68</v>
      </c>
      <c r="AH58" s="97">
        <f t="shared" si="11"/>
        <v>1.5064244572441376E-2</v>
      </c>
      <c r="AI58" s="20">
        <v>13.6</v>
      </c>
      <c r="AJ58" s="20">
        <v>450</v>
      </c>
      <c r="AK58" s="20"/>
      <c r="AL58" s="20">
        <v>688</v>
      </c>
      <c r="AM58" s="20">
        <f t="shared" si="12"/>
        <v>68403.199999999997</v>
      </c>
      <c r="AN58" s="7" t="s">
        <v>176</v>
      </c>
      <c r="AO58" s="20"/>
      <c r="AP58" s="21"/>
      <c r="AQ58" s="21"/>
      <c r="AR58" s="5" t="s">
        <v>123</v>
      </c>
      <c r="AS58" s="5" t="s">
        <v>124</v>
      </c>
      <c r="AT58" s="5" t="s">
        <v>59</v>
      </c>
      <c r="AU58" s="20"/>
      <c r="AV58" s="21" t="s">
        <v>337</v>
      </c>
      <c r="AW58" s="21"/>
      <c r="AX58" s="21"/>
    </row>
    <row r="59" spans="1:50">
      <c r="A59" s="86" t="s">
        <v>318</v>
      </c>
      <c r="B59" s="5">
        <v>15012299</v>
      </c>
      <c r="C59" s="5" t="s">
        <v>403</v>
      </c>
      <c r="D59" s="5" t="s">
        <v>321</v>
      </c>
      <c r="E59" s="5" t="s">
        <v>52</v>
      </c>
      <c r="F59" s="5" t="s">
        <v>62</v>
      </c>
      <c r="G59" s="5" t="s">
        <v>152</v>
      </c>
      <c r="H59" s="5" t="s">
        <v>322</v>
      </c>
      <c r="I59" s="6">
        <v>41591</v>
      </c>
      <c r="J59" s="5" t="s">
        <v>336</v>
      </c>
      <c r="K59" s="5" t="s">
        <v>336</v>
      </c>
      <c r="L59" s="5" t="s">
        <v>324</v>
      </c>
      <c r="M59" s="7">
        <v>6</v>
      </c>
      <c r="N59" s="7" t="s">
        <v>176</v>
      </c>
      <c r="O59" s="8">
        <v>4570</v>
      </c>
      <c r="P59" s="88">
        <v>0.02</v>
      </c>
      <c r="Q59" s="10">
        <f t="shared" si="0"/>
        <v>91</v>
      </c>
      <c r="R59" s="88">
        <v>5.0000000000000001E-3</v>
      </c>
      <c r="S59" s="10">
        <f t="shared" si="1"/>
        <v>23</v>
      </c>
      <c r="T59" s="88">
        <f t="shared" si="2"/>
        <v>2.4945295404814005E-2</v>
      </c>
      <c r="U59" s="10">
        <f t="shared" si="3"/>
        <v>114</v>
      </c>
      <c r="V59" s="10">
        <f t="shared" si="4"/>
        <v>4684</v>
      </c>
      <c r="W59" s="11">
        <v>4639</v>
      </c>
      <c r="X59" s="12">
        <f t="shared" si="5"/>
        <v>69</v>
      </c>
      <c r="Y59" s="92">
        <f t="shared" si="6"/>
        <v>1.5100000000000001E-2</v>
      </c>
      <c r="Z59" s="93" t="str">
        <f t="shared" si="7"/>
        <v>0.00%-8.40%</v>
      </c>
      <c r="AA59" s="15"/>
      <c r="AB59" s="15"/>
      <c r="AC59" s="15"/>
      <c r="AD59" s="95"/>
      <c r="AE59" s="8">
        <f t="shared" si="8"/>
        <v>0</v>
      </c>
      <c r="AF59" s="17">
        <f t="shared" si="9"/>
        <v>4639</v>
      </c>
      <c r="AG59" s="18">
        <f t="shared" si="10"/>
        <v>69</v>
      </c>
      <c r="AH59" s="97">
        <f t="shared" si="11"/>
        <v>1.5098468271334875E-2</v>
      </c>
      <c r="AI59" s="20">
        <v>13.6</v>
      </c>
      <c r="AJ59" s="20">
        <v>650</v>
      </c>
      <c r="AK59" s="20"/>
      <c r="AL59" s="20">
        <v>688</v>
      </c>
      <c r="AM59" s="20">
        <f t="shared" si="12"/>
        <v>71578.399999999994</v>
      </c>
      <c r="AN59" s="7" t="s">
        <v>176</v>
      </c>
      <c r="AO59" s="20"/>
      <c r="AP59" s="21"/>
      <c r="AQ59" s="21"/>
      <c r="AR59" s="5" t="s">
        <v>123</v>
      </c>
      <c r="AS59" s="5" t="s">
        <v>124</v>
      </c>
      <c r="AT59" s="5" t="s">
        <v>59</v>
      </c>
      <c r="AU59" s="20"/>
      <c r="AV59" s="21" t="s">
        <v>337</v>
      </c>
      <c r="AW59" s="21"/>
      <c r="AX59" s="21"/>
    </row>
    <row r="60" spans="1:50">
      <c r="A60" s="86" t="s">
        <v>318</v>
      </c>
      <c r="B60" s="5">
        <v>15013078</v>
      </c>
      <c r="C60" s="5" t="s">
        <v>404</v>
      </c>
      <c r="D60" s="5" t="s">
        <v>321</v>
      </c>
      <c r="E60" s="5" t="s">
        <v>52</v>
      </c>
      <c r="F60" s="5" t="s">
        <v>62</v>
      </c>
      <c r="G60" s="5" t="s">
        <v>152</v>
      </c>
      <c r="H60" s="5" t="s">
        <v>322</v>
      </c>
      <c r="I60" s="6">
        <v>41766</v>
      </c>
      <c r="J60" s="5" t="s">
        <v>336</v>
      </c>
      <c r="K60" s="5" t="s">
        <v>336</v>
      </c>
      <c r="L60" s="5" t="s">
        <v>324</v>
      </c>
      <c r="M60" s="7">
        <v>6</v>
      </c>
      <c r="N60" s="7" t="s">
        <v>176</v>
      </c>
      <c r="O60" s="8">
        <v>4390</v>
      </c>
      <c r="P60" s="88">
        <v>0.02</v>
      </c>
      <c r="Q60" s="10">
        <f t="shared" si="0"/>
        <v>88</v>
      </c>
      <c r="R60" s="88">
        <v>5.0000000000000001E-3</v>
      </c>
      <c r="S60" s="10">
        <f t="shared" si="1"/>
        <v>22</v>
      </c>
      <c r="T60" s="88">
        <f t="shared" si="2"/>
        <v>2.5056947608200455E-2</v>
      </c>
      <c r="U60" s="10">
        <f t="shared" si="3"/>
        <v>110</v>
      </c>
      <c r="V60" s="10">
        <f t="shared" si="4"/>
        <v>4500</v>
      </c>
      <c r="W60" s="11">
        <v>4455</v>
      </c>
      <c r="X60" s="12">
        <f t="shared" si="5"/>
        <v>65</v>
      </c>
      <c r="Y60" s="92">
        <f t="shared" si="6"/>
        <v>1.4800000000000001E-2</v>
      </c>
      <c r="Z60" s="93" t="str">
        <f t="shared" si="7"/>
        <v>0.00%-8.40%</v>
      </c>
      <c r="AA60" s="15"/>
      <c r="AB60" s="15"/>
      <c r="AC60" s="15"/>
      <c r="AD60" s="95"/>
      <c r="AE60" s="8">
        <f t="shared" si="8"/>
        <v>0</v>
      </c>
      <c r="AF60" s="17">
        <f t="shared" si="9"/>
        <v>4455</v>
      </c>
      <c r="AG60" s="18">
        <f t="shared" si="10"/>
        <v>65</v>
      </c>
      <c r="AH60" s="97">
        <f t="shared" si="11"/>
        <v>1.4806378132118381E-2</v>
      </c>
      <c r="AI60" s="20">
        <v>13.6</v>
      </c>
      <c r="AJ60" s="20">
        <v>500</v>
      </c>
      <c r="AK60" s="20"/>
      <c r="AL60" s="20">
        <v>688</v>
      </c>
      <c r="AM60" s="20">
        <f t="shared" si="12"/>
        <v>67276</v>
      </c>
      <c r="AN60" s="7" t="s">
        <v>176</v>
      </c>
      <c r="AO60" s="20"/>
      <c r="AP60" s="21"/>
      <c r="AQ60" s="21"/>
      <c r="AR60" s="5" t="s">
        <v>123</v>
      </c>
      <c r="AS60" s="5" t="s">
        <v>124</v>
      </c>
      <c r="AT60" s="5" t="s">
        <v>59</v>
      </c>
      <c r="AU60" s="20"/>
      <c r="AV60" s="21" t="s">
        <v>337</v>
      </c>
      <c r="AW60" s="21"/>
      <c r="AX60" s="21"/>
    </row>
    <row r="61" spans="1:50">
      <c r="A61" s="86" t="s">
        <v>318</v>
      </c>
      <c r="B61" s="5">
        <v>15004206</v>
      </c>
      <c r="C61" s="5" t="s">
        <v>405</v>
      </c>
      <c r="D61" s="5" t="s">
        <v>321</v>
      </c>
      <c r="E61" s="5" t="s">
        <v>52</v>
      </c>
      <c r="F61" s="5" t="s">
        <v>62</v>
      </c>
      <c r="G61" s="5" t="s">
        <v>152</v>
      </c>
      <c r="H61" s="5" t="s">
        <v>322</v>
      </c>
      <c r="I61" s="6">
        <v>40544</v>
      </c>
      <c r="J61" s="5" t="s">
        <v>336</v>
      </c>
      <c r="K61" s="5" t="s">
        <v>336</v>
      </c>
      <c r="L61" s="5" t="s">
        <v>324</v>
      </c>
      <c r="M61" s="7">
        <v>6</v>
      </c>
      <c r="N61" s="7" t="s">
        <v>176</v>
      </c>
      <c r="O61" s="8">
        <v>4661</v>
      </c>
      <c r="P61" s="88">
        <v>0.02</v>
      </c>
      <c r="Q61" s="10">
        <f t="shared" si="0"/>
        <v>93</v>
      </c>
      <c r="R61" s="88">
        <v>5.0000000000000001E-3</v>
      </c>
      <c r="S61" s="10">
        <f t="shared" si="1"/>
        <v>23</v>
      </c>
      <c r="T61" s="88">
        <f t="shared" si="2"/>
        <v>2.4887363226775368E-2</v>
      </c>
      <c r="U61" s="10">
        <f t="shared" si="3"/>
        <v>116</v>
      </c>
      <c r="V61" s="10">
        <f t="shared" si="4"/>
        <v>4777</v>
      </c>
      <c r="W61" s="11">
        <v>4731</v>
      </c>
      <c r="X61" s="12">
        <f t="shared" si="5"/>
        <v>70</v>
      </c>
      <c r="Y61" s="92">
        <f t="shared" si="6"/>
        <v>1.4999999999999999E-2</v>
      </c>
      <c r="Z61" s="93" t="str">
        <f t="shared" si="7"/>
        <v>0.00%-8.40%</v>
      </c>
      <c r="AA61" s="15"/>
      <c r="AB61" s="15"/>
      <c r="AC61" s="15"/>
      <c r="AD61" s="95"/>
      <c r="AE61" s="8">
        <f t="shared" si="8"/>
        <v>0</v>
      </c>
      <c r="AF61" s="17">
        <f t="shared" si="9"/>
        <v>4731</v>
      </c>
      <c r="AG61" s="18">
        <f t="shared" si="10"/>
        <v>70</v>
      </c>
      <c r="AH61" s="97">
        <f t="shared" si="11"/>
        <v>1.5018236429950704E-2</v>
      </c>
      <c r="AI61" s="20">
        <v>13.6</v>
      </c>
      <c r="AJ61" s="20">
        <v>500</v>
      </c>
      <c r="AK61" s="20"/>
      <c r="AL61" s="20">
        <v>688</v>
      </c>
      <c r="AM61" s="20">
        <f t="shared" si="12"/>
        <v>71029.600000000006</v>
      </c>
      <c r="AN61" s="7" t="s">
        <v>176</v>
      </c>
      <c r="AO61" s="20"/>
      <c r="AP61" s="21"/>
      <c r="AQ61" s="21"/>
      <c r="AR61" s="5" t="s">
        <v>123</v>
      </c>
      <c r="AS61" s="5" t="s">
        <v>124</v>
      </c>
      <c r="AT61" s="5" t="s">
        <v>59</v>
      </c>
      <c r="AU61" s="20"/>
      <c r="AV61" s="21" t="s">
        <v>337</v>
      </c>
      <c r="AW61" s="21"/>
      <c r="AX61" s="21"/>
    </row>
    <row r="62" spans="1:50">
      <c r="A62" s="86" t="s">
        <v>318</v>
      </c>
      <c r="B62" s="5">
        <v>15010265</v>
      </c>
      <c r="C62" s="5" t="s">
        <v>406</v>
      </c>
      <c r="D62" s="5" t="s">
        <v>321</v>
      </c>
      <c r="E62" s="5" t="s">
        <v>52</v>
      </c>
      <c r="F62" s="5" t="s">
        <v>62</v>
      </c>
      <c r="G62" s="5" t="s">
        <v>152</v>
      </c>
      <c r="H62" s="5" t="s">
        <v>322</v>
      </c>
      <c r="I62" s="6">
        <v>41821</v>
      </c>
      <c r="J62" s="5" t="s">
        <v>336</v>
      </c>
      <c r="K62" s="5" t="s">
        <v>336</v>
      </c>
      <c r="L62" s="5" t="s">
        <v>324</v>
      </c>
      <c r="M62" s="7">
        <v>6</v>
      </c>
      <c r="N62" s="7" t="s">
        <v>176</v>
      </c>
      <c r="O62" s="8">
        <v>4500</v>
      </c>
      <c r="P62" s="88">
        <v>0.02</v>
      </c>
      <c r="Q62" s="10">
        <f t="shared" si="0"/>
        <v>90</v>
      </c>
      <c r="R62" s="88">
        <v>5.0000000000000001E-3</v>
      </c>
      <c r="S62" s="10">
        <f t="shared" si="1"/>
        <v>23</v>
      </c>
      <c r="T62" s="88">
        <f t="shared" si="2"/>
        <v>2.5111111111111112E-2</v>
      </c>
      <c r="U62" s="10">
        <f t="shared" si="3"/>
        <v>113</v>
      </c>
      <c r="V62" s="10">
        <f t="shared" si="4"/>
        <v>4613</v>
      </c>
      <c r="W62" s="11">
        <v>4750</v>
      </c>
      <c r="X62" s="12">
        <f t="shared" si="5"/>
        <v>250</v>
      </c>
      <c r="Y62" s="92">
        <f t="shared" si="6"/>
        <v>5.5599999999999997E-2</v>
      </c>
      <c r="Z62" s="93" t="str">
        <f t="shared" si="7"/>
        <v>0.00%-8.40%</v>
      </c>
      <c r="AA62" s="15"/>
      <c r="AB62" s="15"/>
      <c r="AC62" s="15"/>
      <c r="AD62" s="95"/>
      <c r="AE62" s="8">
        <f t="shared" si="8"/>
        <v>0</v>
      </c>
      <c r="AF62" s="17">
        <f t="shared" si="9"/>
        <v>4750</v>
      </c>
      <c r="AG62" s="18">
        <f t="shared" si="10"/>
        <v>250</v>
      </c>
      <c r="AH62" s="97">
        <f t="shared" si="11"/>
        <v>5.555555555555558E-2</v>
      </c>
      <c r="AI62" s="20">
        <v>13.6</v>
      </c>
      <c r="AJ62" s="20">
        <v>450</v>
      </c>
      <c r="AK62" s="20"/>
      <c r="AL62" s="20">
        <v>688</v>
      </c>
      <c r="AM62" s="20">
        <f t="shared" si="12"/>
        <v>70688</v>
      </c>
      <c r="AN62" s="7" t="s">
        <v>176</v>
      </c>
      <c r="AO62" s="20"/>
      <c r="AP62" s="21"/>
      <c r="AQ62" s="21"/>
      <c r="AR62" s="5" t="s">
        <v>123</v>
      </c>
      <c r="AS62" s="5" t="s">
        <v>124</v>
      </c>
      <c r="AT62" s="5" t="s">
        <v>59</v>
      </c>
      <c r="AU62" s="20"/>
      <c r="AV62" s="21" t="s">
        <v>407</v>
      </c>
      <c r="AW62" s="21"/>
      <c r="AX62" s="21"/>
    </row>
    <row r="63" spans="1:50">
      <c r="A63" s="86" t="s">
        <v>318</v>
      </c>
      <c r="B63" s="5">
        <v>15012987</v>
      </c>
      <c r="C63" s="5" t="s">
        <v>408</v>
      </c>
      <c r="D63" s="5" t="s">
        <v>321</v>
      </c>
      <c r="E63" s="5" t="s">
        <v>52</v>
      </c>
      <c r="F63" s="5" t="s">
        <v>62</v>
      </c>
      <c r="G63" s="5" t="s">
        <v>152</v>
      </c>
      <c r="H63" s="5" t="s">
        <v>322</v>
      </c>
      <c r="I63" s="6">
        <v>41752</v>
      </c>
      <c r="J63" s="5" t="s">
        <v>336</v>
      </c>
      <c r="K63" s="5" t="s">
        <v>336</v>
      </c>
      <c r="L63" s="5" t="s">
        <v>324</v>
      </c>
      <c r="M63" s="7">
        <v>6</v>
      </c>
      <c r="N63" s="7" t="s">
        <v>176</v>
      </c>
      <c r="O63" s="8">
        <v>4758</v>
      </c>
      <c r="P63" s="88">
        <v>0.02</v>
      </c>
      <c r="Q63" s="10">
        <f t="shared" si="0"/>
        <v>95</v>
      </c>
      <c r="R63" s="88">
        <v>5.0000000000000001E-3</v>
      </c>
      <c r="S63" s="10">
        <f t="shared" si="1"/>
        <v>24</v>
      </c>
      <c r="T63" s="88">
        <f t="shared" si="2"/>
        <v>2.5010508617065993E-2</v>
      </c>
      <c r="U63" s="10">
        <f t="shared" si="3"/>
        <v>119</v>
      </c>
      <c r="V63" s="10">
        <f t="shared" si="4"/>
        <v>4877</v>
      </c>
      <c r="W63" s="11">
        <v>4900</v>
      </c>
      <c r="X63" s="12">
        <f t="shared" si="5"/>
        <v>142</v>
      </c>
      <c r="Y63" s="92">
        <f t="shared" si="6"/>
        <v>2.98E-2</v>
      </c>
      <c r="Z63" s="93" t="str">
        <f t="shared" si="7"/>
        <v>0.00%-8.40%</v>
      </c>
      <c r="AA63" s="15"/>
      <c r="AB63" s="15"/>
      <c r="AC63" s="15"/>
      <c r="AD63" s="95"/>
      <c r="AE63" s="8">
        <f t="shared" si="8"/>
        <v>0</v>
      </c>
      <c r="AF63" s="17">
        <f t="shared" si="9"/>
        <v>4900</v>
      </c>
      <c r="AG63" s="18">
        <f t="shared" si="10"/>
        <v>142</v>
      </c>
      <c r="AH63" s="97">
        <f t="shared" si="11"/>
        <v>2.9844472467423389E-2</v>
      </c>
      <c r="AI63" s="20">
        <v>13.6</v>
      </c>
      <c r="AJ63" s="20">
        <v>650</v>
      </c>
      <c r="AK63" s="20"/>
      <c r="AL63" s="20">
        <v>688</v>
      </c>
      <c r="AM63" s="20">
        <f t="shared" si="12"/>
        <v>75128</v>
      </c>
      <c r="AN63" s="7" t="s">
        <v>176</v>
      </c>
      <c r="AO63" s="20"/>
      <c r="AP63" s="21"/>
      <c r="AQ63" s="21"/>
      <c r="AR63" s="5" t="s">
        <v>123</v>
      </c>
      <c r="AS63" s="5" t="s">
        <v>124</v>
      </c>
      <c r="AT63" s="5" t="s">
        <v>59</v>
      </c>
      <c r="AU63" s="20"/>
      <c r="AV63" s="21" t="s">
        <v>390</v>
      </c>
      <c r="AW63" s="21"/>
      <c r="AX63" s="21"/>
    </row>
    <row r="64" spans="1:50">
      <c r="A64" s="86" t="s">
        <v>318</v>
      </c>
      <c r="B64" s="5">
        <v>15009682</v>
      </c>
      <c r="C64" s="5" t="s">
        <v>409</v>
      </c>
      <c r="D64" s="5" t="s">
        <v>321</v>
      </c>
      <c r="E64" s="5" t="s">
        <v>52</v>
      </c>
      <c r="F64" s="5" t="s">
        <v>62</v>
      </c>
      <c r="G64" s="5" t="s">
        <v>152</v>
      </c>
      <c r="H64" s="5" t="s">
        <v>322</v>
      </c>
      <c r="I64" s="6">
        <v>41426</v>
      </c>
      <c r="J64" s="5" t="s">
        <v>336</v>
      </c>
      <c r="K64" s="5" t="s">
        <v>336</v>
      </c>
      <c r="L64" s="5" t="s">
        <v>324</v>
      </c>
      <c r="M64" s="7">
        <v>6</v>
      </c>
      <c r="N64" s="7" t="s">
        <v>176</v>
      </c>
      <c r="O64" s="8">
        <v>4580</v>
      </c>
      <c r="P64" s="88">
        <v>0.02</v>
      </c>
      <c r="Q64" s="10">
        <f t="shared" si="0"/>
        <v>92</v>
      </c>
      <c r="R64" s="88">
        <v>5.0000000000000001E-3</v>
      </c>
      <c r="S64" s="10">
        <f t="shared" si="1"/>
        <v>23</v>
      </c>
      <c r="T64" s="88">
        <f t="shared" si="2"/>
        <v>2.5109170305676855E-2</v>
      </c>
      <c r="U64" s="10">
        <f t="shared" si="3"/>
        <v>115</v>
      </c>
      <c r="V64" s="10">
        <f t="shared" si="4"/>
        <v>4695</v>
      </c>
      <c r="W64" s="11">
        <v>4649</v>
      </c>
      <c r="X64" s="12">
        <f t="shared" si="5"/>
        <v>69</v>
      </c>
      <c r="Y64" s="92">
        <f t="shared" si="6"/>
        <v>1.5100000000000001E-2</v>
      </c>
      <c r="Z64" s="93" t="str">
        <f t="shared" si="7"/>
        <v>0.00%-8.40%</v>
      </c>
      <c r="AA64" s="15"/>
      <c r="AB64" s="15"/>
      <c r="AC64" s="15"/>
      <c r="AD64" s="95"/>
      <c r="AE64" s="8">
        <f t="shared" si="8"/>
        <v>0</v>
      </c>
      <c r="AF64" s="17">
        <f t="shared" si="9"/>
        <v>4649</v>
      </c>
      <c r="AG64" s="18">
        <f t="shared" si="10"/>
        <v>69</v>
      </c>
      <c r="AH64" s="97">
        <f t="shared" si="11"/>
        <v>1.5065502183406076E-2</v>
      </c>
      <c r="AI64" s="20">
        <v>13.6</v>
      </c>
      <c r="AJ64" s="20">
        <v>500</v>
      </c>
      <c r="AK64" s="20"/>
      <c r="AL64" s="20">
        <v>688</v>
      </c>
      <c r="AM64" s="20">
        <f t="shared" si="12"/>
        <v>69914.399999999994</v>
      </c>
      <c r="AN64" s="7" t="s">
        <v>176</v>
      </c>
      <c r="AO64" s="20"/>
      <c r="AP64" s="21"/>
      <c r="AQ64" s="21"/>
      <c r="AR64" s="5" t="s">
        <v>123</v>
      </c>
      <c r="AS64" s="5" t="s">
        <v>124</v>
      </c>
      <c r="AT64" s="5" t="s">
        <v>59</v>
      </c>
      <c r="AU64" s="20"/>
      <c r="AV64" s="21" t="s">
        <v>337</v>
      </c>
      <c r="AW64" s="21"/>
      <c r="AX64" s="21"/>
    </row>
    <row r="65" spans="1:50">
      <c r="A65" s="86" t="s">
        <v>318</v>
      </c>
      <c r="B65" s="5">
        <v>15001875</v>
      </c>
      <c r="C65" s="5" t="s">
        <v>410</v>
      </c>
      <c r="D65" s="5" t="s">
        <v>321</v>
      </c>
      <c r="E65" s="5" t="s">
        <v>52</v>
      </c>
      <c r="F65" s="5" t="s">
        <v>62</v>
      </c>
      <c r="G65" s="5" t="s">
        <v>152</v>
      </c>
      <c r="H65" s="5" t="s">
        <v>322</v>
      </c>
      <c r="I65" s="6">
        <v>39657</v>
      </c>
      <c r="J65" s="5" t="s">
        <v>336</v>
      </c>
      <c r="K65" s="5" t="s">
        <v>336</v>
      </c>
      <c r="L65" s="5" t="s">
        <v>324</v>
      </c>
      <c r="M65" s="7">
        <v>6</v>
      </c>
      <c r="N65" s="7" t="s">
        <v>176</v>
      </c>
      <c r="O65" s="8">
        <v>4721</v>
      </c>
      <c r="P65" s="88">
        <v>0.02</v>
      </c>
      <c r="Q65" s="10">
        <f t="shared" si="0"/>
        <v>94</v>
      </c>
      <c r="R65" s="88">
        <v>5.0000000000000001E-3</v>
      </c>
      <c r="S65" s="10">
        <f t="shared" si="1"/>
        <v>24</v>
      </c>
      <c r="T65" s="88">
        <f t="shared" si="2"/>
        <v>2.4994704511755984E-2</v>
      </c>
      <c r="U65" s="10">
        <f t="shared" si="3"/>
        <v>118</v>
      </c>
      <c r="V65" s="10">
        <f t="shared" si="4"/>
        <v>4839</v>
      </c>
      <c r="W65" s="11">
        <v>4792</v>
      </c>
      <c r="X65" s="12">
        <f t="shared" si="5"/>
        <v>71</v>
      </c>
      <c r="Y65" s="92">
        <f t="shared" si="6"/>
        <v>1.4999999999999999E-2</v>
      </c>
      <c r="Z65" s="93" t="str">
        <f t="shared" si="7"/>
        <v>0.00%-8.40%</v>
      </c>
      <c r="AA65" s="15"/>
      <c r="AB65" s="15"/>
      <c r="AC65" s="15"/>
      <c r="AD65" s="95"/>
      <c r="AE65" s="8">
        <f t="shared" si="8"/>
        <v>0</v>
      </c>
      <c r="AF65" s="17">
        <f t="shared" si="9"/>
        <v>4792</v>
      </c>
      <c r="AG65" s="18">
        <f t="shared" si="10"/>
        <v>71</v>
      </c>
      <c r="AH65" s="97">
        <f t="shared" si="11"/>
        <v>1.5039186613005739E-2</v>
      </c>
      <c r="AI65" s="20">
        <v>13.6</v>
      </c>
      <c r="AJ65" s="20">
        <v>700</v>
      </c>
      <c r="AK65" s="20"/>
      <c r="AL65" s="20">
        <v>688</v>
      </c>
      <c r="AM65" s="20">
        <f t="shared" si="12"/>
        <v>74259.199999999997</v>
      </c>
      <c r="AN65" s="7" t="s">
        <v>176</v>
      </c>
      <c r="AO65" s="20"/>
      <c r="AP65" s="21"/>
      <c r="AQ65" s="21"/>
      <c r="AR65" s="5" t="s">
        <v>123</v>
      </c>
      <c r="AS65" s="5" t="s">
        <v>124</v>
      </c>
      <c r="AT65" s="5" t="s">
        <v>59</v>
      </c>
      <c r="AU65" s="20"/>
      <c r="AV65" s="21" t="s">
        <v>337</v>
      </c>
      <c r="AW65" s="21"/>
      <c r="AX65" s="21"/>
    </row>
    <row r="66" spans="1:50">
      <c r="A66" s="86" t="s">
        <v>318</v>
      </c>
      <c r="B66" s="5">
        <v>15009670</v>
      </c>
      <c r="C66" s="5" t="s">
        <v>411</v>
      </c>
      <c r="D66" s="5" t="s">
        <v>321</v>
      </c>
      <c r="E66" s="5" t="s">
        <v>52</v>
      </c>
      <c r="F66" s="5" t="s">
        <v>62</v>
      </c>
      <c r="G66" s="5" t="s">
        <v>130</v>
      </c>
      <c r="H66" s="5" t="s">
        <v>331</v>
      </c>
      <c r="I66" s="6">
        <v>41487</v>
      </c>
      <c r="J66" s="5" t="s">
        <v>336</v>
      </c>
      <c r="K66" s="5" t="s">
        <v>336</v>
      </c>
      <c r="L66" s="5" t="s">
        <v>324</v>
      </c>
      <c r="M66" s="7">
        <v>6</v>
      </c>
      <c r="N66" s="7" t="s">
        <v>176</v>
      </c>
      <c r="O66" s="8">
        <v>4590</v>
      </c>
      <c r="P66" s="88">
        <v>0.02</v>
      </c>
      <c r="Q66" s="10">
        <f t="shared" si="0"/>
        <v>92</v>
      </c>
      <c r="R66" s="88">
        <v>5.0000000000000001E-3</v>
      </c>
      <c r="S66" s="10">
        <f t="shared" si="1"/>
        <v>23</v>
      </c>
      <c r="T66" s="88">
        <f t="shared" si="2"/>
        <v>2.5054466230936819E-2</v>
      </c>
      <c r="U66" s="10">
        <f t="shared" si="3"/>
        <v>115</v>
      </c>
      <c r="V66" s="10">
        <f t="shared" si="4"/>
        <v>4705</v>
      </c>
      <c r="W66" s="11">
        <v>4659</v>
      </c>
      <c r="X66" s="12">
        <f t="shared" si="5"/>
        <v>69</v>
      </c>
      <c r="Y66" s="92">
        <f t="shared" si="6"/>
        <v>1.4999999999999999E-2</v>
      </c>
      <c r="Z66" s="93" t="str">
        <f t="shared" si="7"/>
        <v>0.00%-8.40%</v>
      </c>
      <c r="AA66" s="15"/>
      <c r="AB66" s="15"/>
      <c r="AC66" s="15"/>
      <c r="AD66" s="95"/>
      <c r="AE66" s="8">
        <f t="shared" si="8"/>
        <v>0</v>
      </c>
      <c r="AF66" s="17">
        <f t="shared" si="9"/>
        <v>4659</v>
      </c>
      <c r="AG66" s="18">
        <f t="shared" si="10"/>
        <v>69</v>
      </c>
      <c r="AH66" s="97">
        <f t="shared" si="11"/>
        <v>1.5032679738562038E-2</v>
      </c>
      <c r="AI66" s="20">
        <v>13.6</v>
      </c>
      <c r="AJ66" s="20">
        <v>450</v>
      </c>
      <c r="AK66" s="20"/>
      <c r="AL66" s="20">
        <v>688</v>
      </c>
      <c r="AM66" s="20">
        <f t="shared" si="12"/>
        <v>69450.399999999994</v>
      </c>
      <c r="AN66" s="7" t="s">
        <v>176</v>
      </c>
      <c r="AO66" s="20"/>
      <c r="AP66" s="21"/>
      <c r="AQ66" s="21"/>
      <c r="AR66" s="5" t="s">
        <v>123</v>
      </c>
      <c r="AS66" s="5" t="s">
        <v>124</v>
      </c>
      <c r="AT66" s="5" t="s">
        <v>59</v>
      </c>
      <c r="AU66" s="20"/>
      <c r="AV66" s="21" t="s">
        <v>337</v>
      </c>
      <c r="AW66" s="21"/>
      <c r="AX66" s="21"/>
    </row>
    <row r="67" spans="1:50">
      <c r="A67" s="86" t="s">
        <v>318</v>
      </c>
      <c r="B67" s="5">
        <v>15012627</v>
      </c>
      <c r="C67" s="5" t="s">
        <v>412</v>
      </c>
      <c r="D67" s="5" t="s">
        <v>321</v>
      </c>
      <c r="E67" s="5" t="s">
        <v>52</v>
      </c>
      <c r="F67" s="5" t="s">
        <v>62</v>
      </c>
      <c r="G67" s="5" t="s">
        <v>152</v>
      </c>
      <c r="H67" s="5" t="s">
        <v>322</v>
      </c>
      <c r="I67" s="6">
        <v>41696</v>
      </c>
      <c r="J67" s="5" t="s">
        <v>336</v>
      </c>
      <c r="K67" s="5" t="s">
        <v>336</v>
      </c>
      <c r="L67" s="5" t="s">
        <v>324</v>
      </c>
      <c r="M67" s="7">
        <v>6</v>
      </c>
      <c r="N67" s="7" t="s">
        <v>176</v>
      </c>
      <c r="O67" s="8">
        <v>4814</v>
      </c>
      <c r="P67" s="88">
        <v>0.02</v>
      </c>
      <c r="Q67" s="10">
        <f t="shared" si="0"/>
        <v>96</v>
      </c>
      <c r="R67" s="88">
        <v>5.0000000000000001E-3</v>
      </c>
      <c r="S67" s="10">
        <f t="shared" si="1"/>
        <v>24</v>
      </c>
      <c r="T67" s="88">
        <f t="shared" si="2"/>
        <v>2.4927295388450354E-2</v>
      </c>
      <c r="U67" s="10">
        <f t="shared" si="3"/>
        <v>120</v>
      </c>
      <c r="V67" s="10">
        <f t="shared" si="4"/>
        <v>4934</v>
      </c>
      <c r="W67" s="11">
        <v>4950</v>
      </c>
      <c r="X67" s="12">
        <f t="shared" si="5"/>
        <v>136</v>
      </c>
      <c r="Y67" s="92">
        <f t="shared" si="6"/>
        <v>2.8299999999999999E-2</v>
      </c>
      <c r="Z67" s="93" t="str">
        <f t="shared" si="7"/>
        <v>0.00%-8.40%</v>
      </c>
      <c r="AA67" s="15"/>
      <c r="AB67" s="15"/>
      <c r="AC67" s="15"/>
      <c r="AD67" s="95"/>
      <c r="AE67" s="8">
        <f t="shared" si="8"/>
        <v>0</v>
      </c>
      <c r="AF67" s="17">
        <f t="shared" si="9"/>
        <v>4950</v>
      </c>
      <c r="AG67" s="18">
        <f t="shared" si="10"/>
        <v>136</v>
      </c>
      <c r="AH67" s="97">
        <f t="shared" si="11"/>
        <v>2.8250934773577097E-2</v>
      </c>
      <c r="AI67" s="20">
        <v>13.6</v>
      </c>
      <c r="AJ67" s="20">
        <v>650</v>
      </c>
      <c r="AK67" s="20"/>
      <c r="AL67" s="20">
        <v>688</v>
      </c>
      <c r="AM67" s="20">
        <f t="shared" si="12"/>
        <v>75808</v>
      </c>
      <c r="AN67" s="7" t="s">
        <v>176</v>
      </c>
      <c r="AO67" s="20"/>
      <c r="AP67" s="21"/>
      <c r="AQ67" s="21"/>
      <c r="AR67" s="5" t="s">
        <v>123</v>
      </c>
      <c r="AS67" s="5" t="s">
        <v>124</v>
      </c>
      <c r="AT67" s="5" t="s">
        <v>59</v>
      </c>
      <c r="AU67" s="20"/>
      <c r="AV67" s="21" t="s">
        <v>390</v>
      </c>
      <c r="AW67" s="21"/>
      <c r="AX67" s="21"/>
    </row>
    <row r="68" spans="1:50">
      <c r="A68" s="86" t="s">
        <v>318</v>
      </c>
      <c r="B68" s="5">
        <v>15016450</v>
      </c>
      <c r="C68" s="5" t="s">
        <v>413</v>
      </c>
      <c r="D68" s="5" t="s">
        <v>321</v>
      </c>
      <c r="E68" s="5" t="s">
        <v>52</v>
      </c>
      <c r="F68" s="5" t="s">
        <v>62</v>
      </c>
      <c r="G68" s="5" t="s">
        <v>152</v>
      </c>
      <c r="H68" s="5" t="s">
        <v>322</v>
      </c>
      <c r="I68" s="6">
        <v>42887</v>
      </c>
      <c r="J68" s="5" t="s">
        <v>336</v>
      </c>
      <c r="K68" s="5" t="s">
        <v>336</v>
      </c>
      <c r="L68" s="5" t="s">
        <v>324</v>
      </c>
      <c r="M68" s="7">
        <v>6</v>
      </c>
      <c r="N68" s="7" t="s">
        <v>176</v>
      </c>
      <c r="O68" s="8">
        <v>4756</v>
      </c>
      <c r="P68" s="88">
        <v>0.02</v>
      </c>
      <c r="Q68" s="10">
        <f t="shared" si="0"/>
        <v>95</v>
      </c>
      <c r="R68" s="88">
        <v>5.0000000000000001E-3</v>
      </c>
      <c r="S68" s="10">
        <f t="shared" si="1"/>
        <v>24</v>
      </c>
      <c r="T68" s="88">
        <f t="shared" si="2"/>
        <v>2.5021026072329689E-2</v>
      </c>
      <c r="U68" s="10">
        <f t="shared" si="3"/>
        <v>119</v>
      </c>
      <c r="V68" s="10">
        <f t="shared" si="4"/>
        <v>4875</v>
      </c>
      <c r="W68" s="11">
        <v>4900</v>
      </c>
      <c r="X68" s="12">
        <f t="shared" si="5"/>
        <v>144</v>
      </c>
      <c r="Y68" s="92">
        <f t="shared" si="6"/>
        <v>3.0300000000000001E-2</v>
      </c>
      <c r="Z68" s="93" t="str">
        <f t="shared" si="7"/>
        <v>0.00%-8.40%</v>
      </c>
      <c r="AA68" s="15"/>
      <c r="AB68" s="15"/>
      <c r="AC68" s="15"/>
      <c r="AD68" s="95"/>
      <c r="AE68" s="8">
        <f t="shared" si="8"/>
        <v>0</v>
      </c>
      <c r="AF68" s="17">
        <f t="shared" si="9"/>
        <v>4900</v>
      </c>
      <c r="AG68" s="18">
        <f t="shared" si="10"/>
        <v>144</v>
      </c>
      <c r="AH68" s="97">
        <f t="shared" si="11"/>
        <v>3.0277544154751812E-2</v>
      </c>
      <c r="AI68" s="20">
        <v>13.6</v>
      </c>
      <c r="AJ68" s="20">
        <v>540</v>
      </c>
      <c r="AK68" s="20"/>
      <c r="AL68" s="20">
        <v>688</v>
      </c>
      <c r="AM68" s="20">
        <f t="shared" si="12"/>
        <v>73808</v>
      </c>
      <c r="AN68" s="7" t="s">
        <v>176</v>
      </c>
      <c r="AO68" s="20"/>
      <c r="AP68" s="21"/>
      <c r="AQ68" s="21"/>
      <c r="AR68" s="5" t="s">
        <v>123</v>
      </c>
      <c r="AS68" s="5" t="s">
        <v>124</v>
      </c>
      <c r="AT68" s="5" t="s">
        <v>59</v>
      </c>
      <c r="AU68" s="20"/>
      <c r="AV68" s="21" t="s">
        <v>390</v>
      </c>
      <c r="AW68" s="21"/>
      <c r="AX68" s="21"/>
    </row>
    <row r="69" spans="1:50">
      <c r="A69" s="86" t="s">
        <v>318</v>
      </c>
      <c r="B69" s="5">
        <v>15003629</v>
      </c>
      <c r="C69" s="5" t="s">
        <v>414</v>
      </c>
      <c r="D69" s="5" t="s">
        <v>321</v>
      </c>
      <c r="E69" s="5" t="s">
        <v>52</v>
      </c>
      <c r="F69" s="5" t="s">
        <v>62</v>
      </c>
      <c r="G69" s="5" t="s">
        <v>130</v>
      </c>
      <c r="H69" s="5" t="s">
        <v>402</v>
      </c>
      <c r="I69" s="6">
        <v>40276</v>
      </c>
      <c r="J69" s="5" t="s">
        <v>336</v>
      </c>
      <c r="K69" s="5" t="s">
        <v>336</v>
      </c>
      <c r="L69" s="5" t="s">
        <v>324</v>
      </c>
      <c r="M69" s="7">
        <v>6</v>
      </c>
      <c r="N69" s="7" t="s">
        <v>176</v>
      </c>
      <c r="O69" s="8">
        <v>4763</v>
      </c>
      <c r="P69" s="88">
        <v>0.02</v>
      </c>
      <c r="Q69" s="10">
        <f t="shared" si="0"/>
        <v>95</v>
      </c>
      <c r="R69" s="88">
        <v>5.0000000000000001E-3</v>
      </c>
      <c r="S69" s="10">
        <f t="shared" si="1"/>
        <v>24</v>
      </c>
      <c r="T69" s="88">
        <f t="shared" si="2"/>
        <v>2.4984253621667018E-2</v>
      </c>
      <c r="U69" s="10">
        <f t="shared" si="3"/>
        <v>119</v>
      </c>
      <c r="V69" s="10">
        <f t="shared" si="4"/>
        <v>4882</v>
      </c>
      <c r="W69" s="11">
        <v>4900</v>
      </c>
      <c r="X69" s="12">
        <f t="shared" si="5"/>
        <v>137</v>
      </c>
      <c r="Y69" s="92">
        <f t="shared" si="6"/>
        <v>2.8799999999999999E-2</v>
      </c>
      <c r="Z69" s="93" t="str">
        <f t="shared" si="7"/>
        <v>0.00%-8.40%</v>
      </c>
      <c r="AA69" s="15"/>
      <c r="AB69" s="15"/>
      <c r="AC69" s="15"/>
      <c r="AD69" s="95"/>
      <c r="AE69" s="8">
        <f t="shared" si="8"/>
        <v>0</v>
      </c>
      <c r="AF69" s="17">
        <f t="shared" si="9"/>
        <v>4900</v>
      </c>
      <c r="AG69" s="18">
        <f t="shared" si="10"/>
        <v>137</v>
      </c>
      <c r="AH69" s="97">
        <f t="shared" si="11"/>
        <v>2.8763384421583105E-2</v>
      </c>
      <c r="AI69" s="20">
        <v>13.6</v>
      </c>
      <c r="AJ69" s="20">
        <v>450</v>
      </c>
      <c r="AK69" s="20"/>
      <c r="AL69" s="20">
        <v>688</v>
      </c>
      <c r="AM69" s="20">
        <f t="shared" si="12"/>
        <v>72728</v>
      </c>
      <c r="AN69" s="7" t="s">
        <v>176</v>
      </c>
      <c r="AO69" s="20"/>
      <c r="AP69" s="21"/>
      <c r="AQ69" s="21"/>
      <c r="AR69" s="5" t="s">
        <v>123</v>
      </c>
      <c r="AS69" s="5" t="s">
        <v>124</v>
      </c>
      <c r="AT69" s="5" t="s">
        <v>59</v>
      </c>
      <c r="AU69" s="20"/>
      <c r="AV69" s="21" t="s">
        <v>390</v>
      </c>
      <c r="AW69" s="21"/>
      <c r="AX69" s="21"/>
    </row>
    <row r="70" spans="1:50">
      <c r="A70" s="86" t="s">
        <v>318</v>
      </c>
      <c r="B70" s="5">
        <v>15017149</v>
      </c>
      <c r="C70" s="5" t="s">
        <v>415</v>
      </c>
      <c r="D70" s="5" t="s">
        <v>321</v>
      </c>
      <c r="E70" s="5" t="s">
        <v>52</v>
      </c>
      <c r="F70" s="5" t="s">
        <v>62</v>
      </c>
      <c r="G70" s="5" t="s">
        <v>152</v>
      </c>
      <c r="H70" s="5" t="s">
        <v>322</v>
      </c>
      <c r="I70" s="6">
        <v>42948</v>
      </c>
      <c r="J70" s="5" t="s">
        <v>336</v>
      </c>
      <c r="K70" s="5" t="s">
        <v>336</v>
      </c>
      <c r="L70" s="5" t="s">
        <v>324</v>
      </c>
      <c r="M70" s="7">
        <v>6</v>
      </c>
      <c r="N70" s="7" t="s">
        <v>176</v>
      </c>
      <c r="O70" s="8">
        <v>4794</v>
      </c>
      <c r="P70" s="88">
        <v>0.02</v>
      </c>
      <c r="Q70" s="10">
        <f t="shared" si="0"/>
        <v>96</v>
      </c>
      <c r="R70" s="88">
        <v>5.0000000000000001E-3</v>
      </c>
      <c r="S70" s="10">
        <f t="shared" si="1"/>
        <v>24</v>
      </c>
      <c r="T70" s="88">
        <f t="shared" si="2"/>
        <v>2.5031289111389236E-2</v>
      </c>
      <c r="U70" s="10">
        <f t="shared" si="3"/>
        <v>120</v>
      </c>
      <c r="V70" s="10">
        <f t="shared" si="4"/>
        <v>4914</v>
      </c>
      <c r="W70" s="11">
        <v>4866</v>
      </c>
      <c r="X70" s="12">
        <f t="shared" si="5"/>
        <v>72</v>
      </c>
      <c r="Y70" s="92">
        <f t="shared" si="6"/>
        <v>1.4999999999999999E-2</v>
      </c>
      <c r="Z70" s="93" t="str">
        <f t="shared" si="7"/>
        <v>0.00%-8.40%</v>
      </c>
      <c r="AA70" s="15"/>
      <c r="AB70" s="15"/>
      <c r="AC70" s="15"/>
      <c r="AD70" s="95"/>
      <c r="AE70" s="8">
        <f t="shared" si="8"/>
        <v>0</v>
      </c>
      <c r="AF70" s="17">
        <f t="shared" si="9"/>
        <v>4866</v>
      </c>
      <c r="AG70" s="18">
        <f t="shared" si="10"/>
        <v>72</v>
      </c>
      <c r="AH70" s="97">
        <f t="shared" si="11"/>
        <v>1.5018773466833446E-2</v>
      </c>
      <c r="AI70" s="20">
        <v>13.6</v>
      </c>
      <c r="AJ70" s="20">
        <v>700</v>
      </c>
      <c r="AK70" s="20"/>
      <c r="AL70" s="20">
        <v>688</v>
      </c>
      <c r="AM70" s="20">
        <f t="shared" si="12"/>
        <v>75265.599999999991</v>
      </c>
      <c r="AN70" s="7" t="s">
        <v>176</v>
      </c>
      <c r="AO70" s="20"/>
      <c r="AP70" s="21"/>
      <c r="AQ70" s="21"/>
      <c r="AR70" s="5" t="s">
        <v>123</v>
      </c>
      <c r="AS70" s="5" t="s">
        <v>124</v>
      </c>
      <c r="AT70" s="5" t="s">
        <v>59</v>
      </c>
      <c r="AU70" s="20"/>
      <c r="AV70" s="21" t="s">
        <v>337</v>
      </c>
      <c r="AW70" s="21"/>
      <c r="AX70" s="21"/>
    </row>
    <row r="71" spans="1:50">
      <c r="A71" s="86" t="s">
        <v>318</v>
      </c>
      <c r="B71" s="5">
        <v>15005320</v>
      </c>
      <c r="C71" s="5" t="s">
        <v>416</v>
      </c>
      <c r="D71" s="5" t="s">
        <v>321</v>
      </c>
      <c r="E71" s="5" t="s">
        <v>52</v>
      </c>
      <c r="F71" s="5" t="s">
        <v>62</v>
      </c>
      <c r="G71" s="5" t="s">
        <v>130</v>
      </c>
      <c r="H71" s="5" t="s">
        <v>328</v>
      </c>
      <c r="I71" s="6">
        <v>40604</v>
      </c>
      <c r="J71" s="5" t="s">
        <v>336</v>
      </c>
      <c r="K71" s="5" t="s">
        <v>336</v>
      </c>
      <c r="L71" s="5" t="s">
        <v>324</v>
      </c>
      <c r="M71" s="7">
        <v>6</v>
      </c>
      <c r="N71" s="7" t="s">
        <v>176</v>
      </c>
      <c r="O71" s="8">
        <v>4514</v>
      </c>
      <c r="P71" s="88">
        <v>0.02</v>
      </c>
      <c r="Q71" s="10">
        <f t="shared" si="0"/>
        <v>90</v>
      </c>
      <c r="R71" s="88">
        <v>5.0000000000000001E-3</v>
      </c>
      <c r="S71" s="10">
        <f t="shared" si="1"/>
        <v>23</v>
      </c>
      <c r="T71" s="88">
        <f t="shared" si="2"/>
        <v>2.5033229951262739E-2</v>
      </c>
      <c r="U71" s="10">
        <f t="shared" si="3"/>
        <v>113</v>
      </c>
      <c r="V71" s="10">
        <f t="shared" si="4"/>
        <v>4627</v>
      </c>
      <c r="W71" s="11">
        <v>4582</v>
      </c>
      <c r="X71" s="12">
        <f t="shared" si="5"/>
        <v>68</v>
      </c>
      <c r="Y71" s="92">
        <f t="shared" si="6"/>
        <v>1.5100000000000001E-2</v>
      </c>
      <c r="Z71" s="93" t="str">
        <f t="shared" si="7"/>
        <v>0.00%-8.40%</v>
      </c>
      <c r="AA71" s="15"/>
      <c r="AB71" s="15"/>
      <c r="AC71" s="15"/>
      <c r="AD71" s="95"/>
      <c r="AE71" s="8">
        <f t="shared" si="8"/>
        <v>0</v>
      </c>
      <c r="AF71" s="17">
        <f t="shared" si="9"/>
        <v>4582</v>
      </c>
      <c r="AG71" s="18">
        <f t="shared" si="10"/>
        <v>68</v>
      </c>
      <c r="AH71" s="97">
        <f t="shared" si="11"/>
        <v>1.5064244572441376E-2</v>
      </c>
      <c r="AI71" s="20">
        <v>13.6</v>
      </c>
      <c r="AJ71" s="20">
        <v>450</v>
      </c>
      <c r="AK71" s="20"/>
      <c r="AL71" s="20">
        <v>688</v>
      </c>
      <c r="AM71" s="20">
        <f t="shared" si="12"/>
        <v>68403.199999999997</v>
      </c>
      <c r="AN71" s="7" t="s">
        <v>176</v>
      </c>
      <c r="AO71" s="20"/>
      <c r="AP71" s="21"/>
      <c r="AQ71" s="21"/>
      <c r="AR71" s="5" t="s">
        <v>123</v>
      </c>
      <c r="AS71" s="5" t="s">
        <v>124</v>
      </c>
      <c r="AT71" s="5" t="s">
        <v>59</v>
      </c>
      <c r="AU71" s="20"/>
      <c r="AV71" s="21" t="s">
        <v>337</v>
      </c>
      <c r="AW71" s="21"/>
      <c r="AX71" s="21"/>
    </row>
    <row r="72" spans="1:50">
      <c r="A72" s="86" t="s">
        <v>318</v>
      </c>
      <c r="B72" s="5">
        <v>15013283</v>
      </c>
      <c r="C72" s="5" t="s">
        <v>417</v>
      </c>
      <c r="D72" s="5" t="s">
        <v>321</v>
      </c>
      <c r="E72" s="5" t="s">
        <v>52</v>
      </c>
      <c r="F72" s="5" t="s">
        <v>62</v>
      </c>
      <c r="G72" s="5" t="s">
        <v>130</v>
      </c>
      <c r="H72" s="5" t="s">
        <v>363</v>
      </c>
      <c r="I72" s="6">
        <v>41794</v>
      </c>
      <c r="J72" s="5" t="s">
        <v>336</v>
      </c>
      <c r="K72" s="5" t="s">
        <v>336</v>
      </c>
      <c r="L72" s="5" t="s">
        <v>324</v>
      </c>
      <c r="M72" s="7">
        <v>6</v>
      </c>
      <c r="N72" s="7" t="s">
        <v>176</v>
      </c>
      <c r="O72" s="8">
        <v>4500</v>
      </c>
      <c r="P72" s="88">
        <v>0.02</v>
      </c>
      <c r="Q72" s="10">
        <f t="shared" si="0"/>
        <v>90</v>
      </c>
      <c r="R72" s="88">
        <v>5.0000000000000001E-3</v>
      </c>
      <c r="S72" s="10">
        <f t="shared" si="1"/>
        <v>23</v>
      </c>
      <c r="T72" s="88">
        <f t="shared" si="2"/>
        <v>2.5111111111111112E-2</v>
      </c>
      <c r="U72" s="10">
        <f t="shared" si="3"/>
        <v>113</v>
      </c>
      <c r="V72" s="10">
        <f t="shared" si="4"/>
        <v>4613</v>
      </c>
      <c r="W72" s="11">
        <v>4568</v>
      </c>
      <c r="X72" s="12">
        <f t="shared" si="5"/>
        <v>68</v>
      </c>
      <c r="Y72" s="92">
        <f t="shared" si="6"/>
        <v>1.5100000000000001E-2</v>
      </c>
      <c r="Z72" s="93" t="str">
        <f t="shared" si="7"/>
        <v>0.00%-8.40%</v>
      </c>
      <c r="AA72" s="15"/>
      <c r="AB72" s="15"/>
      <c r="AC72" s="15"/>
      <c r="AD72" s="95"/>
      <c r="AE72" s="8">
        <f t="shared" si="8"/>
        <v>0</v>
      </c>
      <c r="AF72" s="17">
        <f t="shared" si="9"/>
        <v>4568</v>
      </c>
      <c r="AG72" s="18">
        <f t="shared" si="10"/>
        <v>68</v>
      </c>
      <c r="AH72" s="97">
        <f t="shared" si="11"/>
        <v>1.5111111111111075E-2</v>
      </c>
      <c r="AI72" s="20">
        <v>13.6</v>
      </c>
      <c r="AJ72" s="20">
        <v>450</v>
      </c>
      <c r="AK72" s="20"/>
      <c r="AL72" s="20">
        <v>688</v>
      </c>
      <c r="AM72" s="20">
        <f t="shared" si="12"/>
        <v>68212.799999999988</v>
      </c>
      <c r="AN72" s="7" t="s">
        <v>176</v>
      </c>
      <c r="AO72" s="20"/>
      <c r="AP72" s="21"/>
      <c r="AQ72" s="21"/>
      <c r="AR72" s="5" t="s">
        <v>123</v>
      </c>
      <c r="AS72" s="5" t="s">
        <v>124</v>
      </c>
      <c r="AT72" s="5" t="s">
        <v>59</v>
      </c>
      <c r="AU72" s="20"/>
      <c r="AV72" s="21" t="s">
        <v>337</v>
      </c>
      <c r="AW72" s="21"/>
      <c r="AX72" s="21"/>
    </row>
    <row r="73" spans="1:50">
      <c r="A73" s="86" t="s">
        <v>318</v>
      </c>
      <c r="B73" s="5">
        <v>15012844</v>
      </c>
      <c r="C73" s="5" t="s">
        <v>418</v>
      </c>
      <c r="D73" s="5" t="s">
        <v>321</v>
      </c>
      <c r="E73" s="5" t="s">
        <v>52</v>
      </c>
      <c r="F73" s="5" t="s">
        <v>62</v>
      </c>
      <c r="G73" s="5" t="s">
        <v>130</v>
      </c>
      <c r="H73" s="5" t="s">
        <v>363</v>
      </c>
      <c r="I73" s="6">
        <v>41852</v>
      </c>
      <c r="J73" s="5" t="s">
        <v>336</v>
      </c>
      <c r="K73" s="5" t="s">
        <v>336</v>
      </c>
      <c r="L73" s="5" t="s">
        <v>324</v>
      </c>
      <c r="M73" s="7">
        <v>6</v>
      </c>
      <c r="N73" s="7" t="s">
        <v>176</v>
      </c>
      <c r="O73" s="8">
        <v>4500</v>
      </c>
      <c r="P73" s="88">
        <v>0.02</v>
      </c>
      <c r="Q73" s="10">
        <f t="shared" ref="Q73:Q136" si="13">ROUND(O73*P73,0)</f>
        <v>90</v>
      </c>
      <c r="R73" s="88">
        <v>5.0000000000000001E-3</v>
      </c>
      <c r="S73" s="10">
        <f t="shared" ref="S73:S136" si="14">ROUND(O73*R73,0)</f>
        <v>23</v>
      </c>
      <c r="T73" s="88">
        <f t="shared" ref="T73:T136" si="15">U73/O73</f>
        <v>2.5111111111111112E-2</v>
      </c>
      <c r="U73" s="10">
        <f t="shared" ref="U73:U136" si="16">Q73+S73</f>
        <v>113</v>
      </c>
      <c r="V73" s="10">
        <f t="shared" ref="V73:V136" si="17">O73+U73</f>
        <v>4613</v>
      </c>
      <c r="W73" s="11">
        <v>4568</v>
      </c>
      <c r="X73" s="12">
        <f t="shared" ref="X73:X136" si="18">W73-O73</f>
        <v>68</v>
      </c>
      <c r="Y73" s="92">
        <f t="shared" ref="Y73:Y136" si="19">ROUND(W73/O73-1,4)</f>
        <v>1.5100000000000001E-2</v>
      </c>
      <c r="Z73" s="93" t="str">
        <f t="shared" ref="Z73:Z136" si="20">IF(OR(M73=1,M73=2,M73=4),TEXT(T73*0.8,"0.00%")&amp;"-"&amp;TEXT(T73*1.2,"0.00%"),IF(OR(M73=3,M73=6),TEXT(0,"0.00%")&amp;"-"&amp;TEXT(7%*1.2,"0.00%"),IF(OR(M73=5,M73=7),TEXT((S73/O73),"0.00%")&amp;"-"&amp;TEXT((S73/O73)+7%,"0.00%"),"")))</f>
        <v>0.00%-8.40%</v>
      </c>
      <c r="AA73" s="15"/>
      <c r="AB73" s="15"/>
      <c r="AC73" s="15"/>
      <c r="AD73" s="95"/>
      <c r="AE73" s="8">
        <f t="shared" ref="AE73:AE136" si="21">ROUND(O73*AD73,0)</f>
        <v>0</v>
      </c>
      <c r="AF73" s="17">
        <f t="shared" ref="AF73:AF136" si="22">W73+AE73</f>
        <v>4568</v>
      </c>
      <c r="AG73" s="18">
        <f t="shared" ref="AG73:AG136" si="23">AF73-O73</f>
        <v>68</v>
      </c>
      <c r="AH73" s="97">
        <f t="shared" ref="AH73:AH136" si="24">AF73/O73-1</f>
        <v>1.5111111111111075E-2</v>
      </c>
      <c r="AI73" s="20">
        <v>13.6</v>
      </c>
      <c r="AJ73" s="20">
        <v>450</v>
      </c>
      <c r="AK73" s="20"/>
      <c r="AL73" s="20">
        <v>688</v>
      </c>
      <c r="AM73" s="20">
        <f t="shared" ref="AM73:AM136" si="25">AF73*AI73+AJ73*12+AL73+IF(AC73="",AK73,IF(AC73="D",5000,IF(AC73="C",1000,0)))*12</f>
        <v>68212.799999999988</v>
      </c>
      <c r="AN73" s="7" t="s">
        <v>176</v>
      </c>
      <c r="AO73" s="20"/>
      <c r="AP73" s="21"/>
      <c r="AQ73" s="21"/>
      <c r="AR73" s="5" t="s">
        <v>123</v>
      </c>
      <c r="AS73" s="5" t="s">
        <v>124</v>
      </c>
      <c r="AT73" s="5" t="s">
        <v>59</v>
      </c>
      <c r="AU73" s="20"/>
      <c r="AV73" s="21" t="s">
        <v>337</v>
      </c>
      <c r="AW73" s="21"/>
      <c r="AX73" s="21"/>
    </row>
    <row r="74" spans="1:50">
      <c r="A74" s="86" t="s">
        <v>318</v>
      </c>
      <c r="B74" s="5">
        <v>15018837</v>
      </c>
      <c r="C74" s="5" t="s">
        <v>419</v>
      </c>
      <c r="D74" s="5" t="s">
        <v>321</v>
      </c>
      <c r="E74" s="5" t="s">
        <v>52</v>
      </c>
      <c r="F74" s="5" t="s">
        <v>62</v>
      </c>
      <c r="G74" s="5" t="s">
        <v>130</v>
      </c>
      <c r="H74" s="5" t="s">
        <v>331</v>
      </c>
      <c r="I74" s="6">
        <v>43138</v>
      </c>
      <c r="J74" s="5" t="s">
        <v>336</v>
      </c>
      <c r="K74" s="5" t="s">
        <v>336</v>
      </c>
      <c r="L74" s="5" t="s">
        <v>324</v>
      </c>
      <c r="M74" s="7">
        <v>6</v>
      </c>
      <c r="N74" s="7" t="s">
        <v>176</v>
      </c>
      <c r="O74" s="8">
        <v>4726</v>
      </c>
      <c r="P74" s="88">
        <v>0.02</v>
      </c>
      <c r="Q74" s="10">
        <f t="shared" si="13"/>
        <v>95</v>
      </c>
      <c r="R74" s="88">
        <v>5.0000000000000001E-3</v>
      </c>
      <c r="S74" s="10">
        <f t="shared" si="14"/>
        <v>24</v>
      </c>
      <c r="T74" s="88">
        <f t="shared" si="15"/>
        <v>2.5179856115107913E-2</v>
      </c>
      <c r="U74" s="10">
        <f t="shared" si="16"/>
        <v>119</v>
      </c>
      <c r="V74" s="10">
        <f t="shared" si="17"/>
        <v>4845</v>
      </c>
      <c r="W74" s="11">
        <v>4797</v>
      </c>
      <c r="X74" s="12">
        <f t="shared" si="18"/>
        <v>71</v>
      </c>
      <c r="Y74" s="92">
        <f t="shared" si="19"/>
        <v>1.4999999999999999E-2</v>
      </c>
      <c r="Z74" s="93" t="str">
        <f t="shared" si="20"/>
        <v>0.00%-8.40%</v>
      </c>
      <c r="AA74" s="15"/>
      <c r="AB74" s="15"/>
      <c r="AC74" s="15"/>
      <c r="AD74" s="95"/>
      <c r="AE74" s="8">
        <f t="shared" si="21"/>
        <v>0</v>
      </c>
      <c r="AF74" s="17">
        <f t="shared" si="22"/>
        <v>4797</v>
      </c>
      <c r="AG74" s="18">
        <f t="shared" si="23"/>
        <v>71</v>
      </c>
      <c r="AH74" s="97">
        <f t="shared" si="24"/>
        <v>1.5023275497249244E-2</v>
      </c>
      <c r="AI74" s="20">
        <v>13.6</v>
      </c>
      <c r="AJ74" s="20">
        <v>450</v>
      </c>
      <c r="AK74" s="20"/>
      <c r="AL74" s="20">
        <v>688</v>
      </c>
      <c r="AM74" s="20">
        <f t="shared" si="25"/>
        <v>71327.199999999997</v>
      </c>
      <c r="AN74" s="7" t="s">
        <v>176</v>
      </c>
      <c r="AO74" s="20"/>
      <c r="AP74" s="21"/>
      <c r="AQ74" s="21"/>
      <c r="AR74" s="5" t="s">
        <v>123</v>
      </c>
      <c r="AS74" s="5" t="s">
        <v>124</v>
      </c>
      <c r="AT74" s="5" t="s">
        <v>59</v>
      </c>
      <c r="AU74" s="20"/>
      <c r="AV74" s="21" t="s">
        <v>337</v>
      </c>
      <c r="AW74" s="21"/>
      <c r="AX74" s="21"/>
    </row>
    <row r="75" spans="1:50">
      <c r="A75" s="86" t="s">
        <v>318</v>
      </c>
      <c r="B75" s="5">
        <v>15009065</v>
      </c>
      <c r="C75" s="5" t="s">
        <v>420</v>
      </c>
      <c r="D75" s="5" t="s">
        <v>321</v>
      </c>
      <c r="E75" s="5" t="s">
        <v>52</v>
      </c>
      <c r="F75" s="5" t="s">
        <v>62</v>
      </c>
      <c r="G75" s="5" t="s">
        <v>130</v>
      </c>
      <c r="H75" s="5" t="s">
        <v>402</v>
      </c>
      <c r="I75" s="6">
        <v>41235</v>
      </c>
      <c r="J75" s="5" t="s">
        <v>336</v>
      </c>
      <c r="K75" s="5" t="s">
        <v>394</v>
      </c>
      <c r="L75" s="5" t="s">
        <v>324</v>
      </c>
      <c r="M75" s="7">
        <v>6</v>
      </c>
      <c r="N75" s="7" t="s">
        <v>176</v>
      </c>
      <c r="O75" s="8">
        <v>4928</v>
      </c>
      <c r="P75" s="88">
        <v>0.02</v>
      </c>
      <c r="Q75" s="10">
        <f t="shared" si="13"/>
        <v>99</v>
      </c>
      <c r="R75" s="88">
        <v>5.0000000000000001E-3</v>
      </c>
      <c r="S75" s="10">
        <f t="shared" si="14"/>
        <v>25</v>
      </c>
      <c r="T75" s="88">
        <f t="shared" si="15"/>
        <v>2.5162337662337664E-2</v>
      </c>
      <c r="U75" s="10">
        <f t="shared" si="16"/>
        <v>124</v>
      </c>
      <c r="V75" s="10">
        <f t="shared" si="17"/>
        <v>5052</v>
      </c>
      <c r="W75" s="11">
        <v>5050</v>
      </c>
      <c r="X75" s="12">
        <f t="shared" si="18"/>
        <v>122</v>
      </c>
      <c r="Y75" s="92">
        <f t="shared" si="19"/>
        <v>2.4799999999999999E-2</v>
      </c>
      <c r="Z75" s="93" t="str">
        <f t="shared" si="20"/>
        <v>0.00%-8.40%</v>
      </c>
      <c r="AA75" s="15"/>
      <c r="AB75" s="15"/>
      <c r="AC75" s="15"/>
      <c r="AD75" s="95"/>
      <c r="AE75" s="8">
        <f t="shared" si="21"/>
        <v>0</v>
      </c>
      <c r="AF75" s="17">
        <f t="shared" si="22"/>
        <v>5050</v>
      </c>
      <c r="AG75" s="18">
        <f t="shared" si="23"/>
        <v>122</v>
      </c>
      <c r="AH75" s="97">
        <f t="shared" si="24"/>
        <v>2.4756493506493449E-2</v>
      </c>
      <c r="AI75" s="20">
        <v>13.6</v>
      </c>
      <c r="AJ75" s="20">
        <v>450</v>
      </c>
      <c r="AK75" s="20"/>
      <c r="AL75" s="20">
        <v>688</v>
      </c>
      <c r="AM75" s="20">
        <f t="shared" si="25"/>
        <v>74768</v>
      </c>
      <c r="AN75" s="7" t="s">
        <v>176</v>
      </c>
      <c r="AO75" s="20"/>
      <c r="AP75" s="21"/>
      <c r="AQ75" s="21"/>
      <c r="AR75" s="5" t="s">
        <v>123</v>
      </c>
      <c r="AS75" s="5" t="s">
        <v>124</v>
      </c>
      <c r="AT75" s="5" t="s">
        <v>59</v>
      </c>
      <c r="AU75" s="20"/>
      <c r="AV75" s="21" t="s">
        <v>421</v>
      </c>
      <c r="AW75" s="21"/>
      <c r="AX75" s="21"/>
    </row>
    <row r="76" spans="1:50">
      <c r="A76" s="86" t="s">
        <v>318</v>
      </c>
      <c r="B76" s="5">
        <v>15018918</v>
      </c>
      <c r="C76" s="5" t="s">
        <v>422</v>
      </c>
      <c r="D76" s="5" t="s">
        <v>321</v>
      </c>
      <c r="E76" s="5" t="s">
        <v>52</v>
      </c>
      <c r="F76" s="5" t="s">
        <v>62</v>
      </c>
      <c r="G76" s="5" t="s">
        <v>130</v>
      </c>
      <c r="H76" s="5" t="s">
        <v>331</v>
      </c>
      <c r="I76" s="6">
        <v>43166</v>
      </c>
      <c r="J76" s="5" t="s">
        <v>336</v>
      </c>
      <c r="K76" s="5" t="s">
        <v>336</v>
      </c>
      <c r="L76" s="5" t="s">
        <v>324</v>
      </c>
      <c r="M76" s="7">
        <v>6</v>
      </c>
      <c r="N76" s="7" t="s">
        <v>176</v>
      </c>
      <c r="O76" s="8">
        <v>4661</v>
      </c>
      <c r="P76" s="88">
        <v>0.02</v>
      </c>
      <c r="Q76" s="10">
        <f t="shared" si="13"/>
        <v>93</v>
      </c>
      <c r="R76" s="88">
        <v>5.0000000000000001E-3</v>
      </c>
      <c r="S76" s="10">
        <f t="shared" si="14"/>
        <v>23</v>
      </c>
      <c r="T76" s="88">
        <f t="shared" si="15"/>
        <v>2.4887363226775368E-2</v>
      </c>
      <c r="U76" s="10">
        <f t="shared" si="16"/>
        <v>116</v>
      </c>
      <c r="V76" s="10">
        <f t="shared" si="17"/>
        <v>4777</v>
      </c>
      <c r="W76" s="11">
        <v>4731</v>
      </c>
      <c r="X76" s="12">
        <f t="shared" si="18"/>
        <v>70</v>
      </c>
      <c r="Y76" s="92">
        <f t="shared" si="19"/>
        <v>1.4999999999999999E-2</v>
      </c>
      <c r="Z76" s="93" t="str">
        <f t="shared" si="20"/>
        <v>0.00%-8.40%</v>
      </c>
      <c r="AA76" s="15"/>
      <c r="AB76" s="15"/>
      <c r="AC76" s="15"/>
      <c r="AD76" s="95"/>
      <c r="AE76" s="8">
        <f t="shared" si="21"/>
        <v>0</v>
      </c>
      <c r="AF76" s="17">
        <f t="shared" si="22"/>
        <v>4731</v>
      </c>
      <c r="AG76" s="18">
        <f t="shared" si="23"/>
        <v>70</v>
      </c>
      <c r="AH76" s="97">
        <f t="shared" si="24"/>
        <v>1.5018236429950704E-2</v>
      </c>
      <c r="AI76" s="20">
        <v>13.6</v>
      </c>
      <c r="AJ76" s="20">
        <v>450</v>
      </c>
      <c r="AK76" s="20"/>
      <c r="AL76" s="20">
        <v>688</v>
      </c>
      <c r="AM76" s="20">
        <f t="shared" si="25"/>
        <v>70429.600000000006</v>
      </c>
      <c r="AN76" s="7" t="s">
        <v>176</v>
      </c>
      <c r="AO76" s="20"/>
      <c r="AP76" s="21"/>
      <c r="AQ76" s="21"/>
      <c r="AR76" s="5" t="s">
        <v>123</v>
      </c>
      <c r="AS76" s="5" t="s">
        <v>124</v>
      </c>
      <c r="AT76" s="5" t="s">
        <v>59</v>
      </c>
      <c r="AU76" s="20"/>
      <c r="AV76" s="21" t="s">
        <v>337</v>
      </c>
      <c r="AW76" s="21"/>
      <c r="AX76" s="21"/>
    </row>
    <row r="77" spans="1:50">
      <c r="A77" s="86" t="s">
        <v>318</v>
      </c>
      <c r="B77" s="5">
        <v>15011383</v>
      </c>
      <c r="C77" s="5" t="s">
        <v>423</v>
      </c>
      <c r="D77" s="5" t="s">
        <v>321</v>
      </c>
      <c r="E77" s="5" t="s">
        <v>52</v>
      </c>
      <c r="F77" s="5" t="s">
        <v>62</v>
      </c>
      <c r="G77" s="5" t="s">
        <v>130</v>
      </c>
      <c r="H77" s="5" t="s">
        <v>328</v>
      </c>
      <c r="I77" s="6">
        <v>41579</v>
      </c>
      <c r="J77" s="5" t="s">
        <v>336</v>
      </c>
      <c r="K77" s="5" t="s">
        <v>336</v>
      </c>
      <c r="L77" s="5" t="s">
        <v>324</v>
      </c>
      <c r="M77" s="7">
        <v>6</v>
      </c>
      <c r="N77" s="7" t="s">
        <v>176</v>
      </c>
      <c r="O77" s="8">
        <v>5051</v>
      </c>
      <c r="P77" s="88">
        <v>0.02</v>
      </c>
      <c r="Q77" s="10">
        <f t="shared" si="13"/>
        <v>101</v>
      </c>
      <c r="R77" s="88">
        <v>5.0000000000000001E-3</v>
      </c>
      <c r="S77" s="10">
        <f t="shared" si="14"/>
        <v>25</v>
      </c>
      <c r="T77" s="88">
        <f t="shared" si="15"/>
        <v>2.4945555335577112E-2</v>
      </c>
      <c r="U77" s="10">
        <f t="shared" si="16"/>
        <v>126</v>
      </c>
      <c r="V77" s="10">
        <f t="shared" si="17"/>
        <v>5177</v>
      </c>
      <c r="W77" s="11">
        <v>5200</v>
      </c>
      <c r="X77" s="12">
        <f t="shared" si="18"/>
        <v>149</v>
      </c>
      <c r="Y77" s="92">
        <f t="shared" si="19"/>
        <v>2.9499999999999998E-2</v>
      </c>
      <c r="Z77" s="93" t="str">
        <f t="shared" si="20"/>
        <v>0.00%-8.40%</v>
      </c>
      <c r="AA77" s="15"/>
      <c r="AB77" s="15"/>
      <c r="AC77" s="15"/>
      <c r="AD77" s="95"/>
      <c r="AE77" s="8">
        <f t="shared" si="21"/>
        <v>0</v>
      </c>
      <c r="AF77" s="17">
        <f t="shared" si="22"/>
        <v>5200</v>
      </c>
      <c r="AG77" s="18">
        <f t="shared" si="23"/>
        <v>149</v>
      </c>
      <c r="AH77" s="97">
        <f t="shared" si="24"/>
        <v>2.949910908730935E-2</v>
      </c>
      <c r="AI77" s="20">
        <v>13.6</v>
      </c>
      <c r="AJ77" s="20">
        <v>500</v>
      </c>
      <c r="AK77" s="20"/>
      <c r="AL77" s="20">
        <v>688</v>
      </c>
      <c r="AM77" s="20">
        <f t="shared" si="25"/>
        <v>77408</v>
      </c>
      <c r="AN77" s="7" t="s">
        <v>176</v>
      </c>
      <c r="AO77" s="20"/>
      <c r="AP77" s="21"/>
      <c r="AQ77" s="21"/>
      <c r="AR77" s="5" t="s">
        <v>123</v>
      </c>
      <c r="AS77" s="5" t="s">
        <v>124</v>
      </c>
      <c r="AT77" s="5" t="s">
        <v>59</v>
      </c>
      <c r="AU77" s="20"/>
      <c r="AV77" s="21" t="s">
        <v>407</v>
      </c>
      <c r="AW77" s="21"/>
      <c r="AX77" s="21"/>
    </row>
    <row r="78" spans="1:50">
      <c r="A78" s="86" t="s">
        <v>318</v>
      </c>
      <c r="B78" s="5">
        <v>15006771</v>
      </c>
      <c r="C78" s="5" t="s">
        <v>424</v>
      </c>
      <c r="D78" s="5" t="s">
        <v>321</v>
      </c>
      <c r="E78" s="5" t="s">
        <v>52</v>
      </c>
      <c r="F78" s="5" t="s">
        <v>62</v>
      </c>
      <c r="G78" s="5" t="s">
        <v>130</v>
      </c>
      <c r="H78" s="5" t="s">
        <v>328</v>
      </c>
      <c r="I78" s="6">
        <v>40940</v>
      </c>
      <c r="J78" s="5" t="s">
        <v>336</v>
      </c>
      <c r="K78" s="5" t="s">
        <v>336</v>
      </c>
      <c r="L78" s="5" t="s">
        <v>324</v>
      </c>
      <c r="M78" s="7">
        <v>6</v>
      </c>
      <c r="N78" s="7" t="s">
        <v>176</v>
      </c>
      <c r="O78" s="8">
        <v>5570</v>
      </c>
      <c r="P78" s="88">
        <v>0.02</v>
      </c>
      <c r="Q78" s="10">
        <f t="shared" si="13"/>
        <v>111</v>
      </c>
      <c r="R78" s="88">
        <v>5.0000000000000001E-3</v>
      </c>
      <c r="S78" s="10">
        <f t="shared" si="14"/>
        <v>28</v>
      </c>
      <c r="T78" s="88">
        <f t="shared" si="15"/>
        <v>2.4955116696588869E-2</v>
      </c>
      <c r="U78" s="10">
        <f t="shared" si="16"/>
        <v>139</v>
      </c>
      <c r="V78" s="10">
        <f t="shared" si="17"/>
        <v>5709</v>
      </c>
      <c r="W78" s="11">
        <v>5600</v>
      </c>
      <c r="X78" s="12">
        <f t="shared" si="18"/>
        <v>30</v>
      </c>
      <c r="Y78" s="92">
        <f t="shared" si="19"/>
        <v>5.4000000000000003E-3</v>
      </c>
      <c r="Z78" s="93" t="str">
        <f t="shared" si="20"/>
        <v>0.00%-8.40%</v>
      </c>
      <c r="AA78" s="15"/>
      <c r="AB78" s="15"/>
      <c r="AC78" s="15"/>
      <c r="AD78" s="95"/>
      <c r="AE78" s="8">
        <f t="shared" si="21"/>
        <v>0</v>
      </c>
      <c r="AF78" s="17">
        <f t="shared" si="22"/>
        <v>5600</v>
      </c>
      <c r="AG78" s="18">
        <f t="shared" si="23"/>
        <v>30</v>
      </c>
      <c r="AH78" s="97">
        <f t="shared" si="24"/>
        <v>5.3859964093356805E-3</v>
      </c>
      <c r="AI78" s="20">
        <v>13.6</v>
      </c>
      <c r="AJ78" s="20">
        <v>500</v>
      </c>
      <c r="AK78" s="20"/>
      <c r="AL78" s="20">
        <v>688</v>
      </c>
      <c r="AM78" s="20">
        <f t="shared" si="25"/>
        <v>82848</v>
      </c>
      <c r="AN78" s="7" t="s">
        <v>176</v>
      </c>
      <c r="AO78" s="20"/>
      <c r="AP78" s="21"/>
      <c r="AQ78" s="21"/>
      <c r="AR78" s="5" t="s">
        <v>123</v>
      </c>
      <c r="AS78" s="5" t="s">
        <v>124</v>
      </c>
      <c r="AT78" s="5" t="s">
        <v>59</v>
      </c>
      <c r="AU78" s="20"/>
      <c r="AV78" s="21" t="s">
        <v>337</v>
      </c>
      <c r="AW78" s="21"/>
      <c r="AX78" s="21"/>
    </row>
    <row r="79" spans="1:50">
      <c r="A79" s="86" t="s">
        <v>318</v>
      </c>
      <c r="B79" s="5">
        <v>15005028</v>
      </c>
      <c r="C79" s="5" t="s">
        <v>425</v>
      </c>
      <c r="D79" s="5" t="s">
        <v>321</v>
      </c>
      <c r="E79" s="5" t="s">
        <v>52</v>
      </c>
      <c r="F79" s="5" t="s">
        <v>62</v>
      </c>
      <c r="G79" s="5" t="s">
        <v>130</v>
      </c>
      <c r="H79" s="5" t="s">
        <v>331</v>
      </c>
      <c r="I79" s="6">
        <v>40520</v>
      </c>
      <c r="J79" s="5" t="s">
        <v>336</v>
      </c>
      <c r="K79" s="5" t="s">
        <v>336</v>
      </c>
      <c r="L79" s="5" t="s">
        <v>324</v>
      </c>
      <c r="M79" s="7">
        <v>6</v>
      </c>
      <c r="N79" s="7" t="s">
        <v>176</v>
      </c>
      <c r="O79" s="8">
        <v>4724</v>
      </c>
      <c r="P79" s="88">
        <v>0.02</v>
      </c>
      <c r="Q79" s="10">
        <f t="shared" si="13"/>
        <v>94</v>
      </c>
      <c r="R79" s="88">
        <v>5.0000000000000001E-3</v>
      </c>
      <c r="S79" s="10">
        <f t="shared" si="14"/>
        <v>24</v>
      </c>
      <c r="T79" s="88">
        <f t="shared" si="15"/>
        <v>2.4978831498729891E-2</v>
      </c>
      <c r="U79" s="10">
        <f t="shared" si="16"/>
        <v>118</v>
      </c>
      <c r="V79" s="10">
        <f t="shared" si="17"/>
        <v>4842</v>
      </c>
      <c r="W79" s="11">
        <v>4795</v>
      </c>
      <c r="X79" s="12">
        <f t="shared" si="18"/>
        <v>71</v>
      </c>
      <c r="Y79" s="92">
        <f t="shared" si="19"/>
        <v>1.4999999999999999E-2</v>
      </c>
      <c r="Z79" s="93" t="str">
        <f t="shared" si="20"/>
        <v>0.00%-8.40%</v>
      </c>
      <c r="AA79" s="15"/>
      <c r="AB79" s="15"/>
      <c r="AC79" s="15"/>
      <c r="AD79" s="95"/>
      <c r="AE79" s="8">
        <f t="shared" si="21"/>
        <v>0</v>
      </c>
      <c r="AF79" s="17">
        <f t="shared" si="22"/>
        <v>4795</v>
      </c>
      <c r="AG79" s="18">
        <f t="shared" si="23"/>
        <v>71</v>
      </c>
      <c r="AH79" s="97">
        <f t="shared" si="24"/>
        <v>1.5029635901778082E-2</v>
      </c>
      <c r="AI79" s="20">
        <v>13.6</v>
      </c>
      <c r="AJ79" s="20">
        <v>450</v>
      </c>
      <c r="AK79" s="20"/>
      <c r="AL79" s="20">
        <v>688</v>
      </c>
      <c r="AM79" s="20">
        <f t="shared" si="25"/>
        <v>71300</v>
      </c>
      <c r="AN79" s="7" t="s">
        <v>176</v>
      </c>
      <c r="AO79" s="20"/>
      <c r="AP79" s="21"/>
      <c r="AQ79" s="21"/>
      <c r="AR79" s="5" t="s">
        <v>123</v>
      </c>
      <c r="AS79" s="5" t="s">
        <v>124</v>
      </c>
      <c r="AT79" s="5" t="s">
        <v>59</v>
      </c>
      <c r="AU79" s="20"/>
      <c r="AV79" s="21" t="s">
        <v>337</v>
      </c>
      <c r="AW79" s="21"/>
      <c r="AX79" s="21"/>
    </row>
    <row r="80" spans="1:50">
      <c r="A80" s="86" t="s">
        <v>318</v>
      </c>
      <c r="B80" s="5">
        <v>15005840</v>
      </c>
      <c r="C80" s="5" t="s">
        <v>426</v>
      </c>
      <c r="D80" s="5" t="s">
        <v>321</v>
      </c>
      <c r="E80" s="5" t="s">
        <v>52</v>
      </c>
      <c r="F80" s="5" t="s">
        <v>62</v>
      </c>
      <c r="G80" s="5" t="s">
        <v>130</v>
      </c>
      <c r="H80" s="5" t="s">
        <v>402</v>
      </c>
      <c r="I80" s="6">
        <v>40817</v>
      </c>
      <c r="J80" s="5" t="s">
        <v>336</v>
      </c>
      <c r="K80" s="5" t="s">
        <v>336</v>
      </c>
      <c r="L80" s="5" t="s">
        <v>324</v>
      </c>
      <c r="M80" s="7">
        <v>6</v>
      </c>
      <c r="N80" s="7" t="s">
        <v>176</v>
      </c>
      <c r="O80" s="8">
        <v>4790</v>
      </c>
      <c r="P80" s="88">
        <v>0.02</v>
      </c>
      <c r="Q80" s="10">
        <f t="shared" si="13"/>
        <v>96</v>
      </c>
      <c r="R80" s="88">
        <v>5.0000000000000001E-3</v>
      </c>
      <c r="S80" s="10">
        <f t="shared" si="14"/>
        <v>24</v>
      </c>
      <c r="T80" s="88">
        <f t="shared" si="15"/>
        <v>2.5052192066805846E-2</v>
      </c>
      <c r="U80" s="10">
        <f t="shared" si="16"/>
        <v>120</v>
      </c>
      <c r="V80" s="10">
        <f t="shared" si="17"/>
        <v>4910</v>
      </c>
      <c r="W80" s="11">
        <v>4862</v>
      </c>
      <c r="X80" s="12">
        <f t="shared" si="18"/>
        <v>72</v>
      </c>
      <c r="Y80" s="92">
        <f t="shared" si="19"/>
        <v>1.4999999999999999E-2</v>
      </c>
      <c r="Z80" s="93" t="str">
        <f t="shared" si="20"/>
        <v>0.00%-8.40%</v>
      </c>
      <c r="AA80" s="15"/>
      <c r="AB80" s="15"/>
      <c r="AC80" s="15"/>
      <c r="AD80" s="95"/>
      <c r="AE80" s="8">
        <f t="shared" si="21"/>
        <v>0</v>
      </c>
      <c r="AF80" s="17">
        <f t="shared" si="22"/>
        <v>4862</v>
      </c>
      <c r="AG80" s="18">
        <f t="shared" si="23"/>
        <v>72</v>
      </c>
      <c r="AH80" s="97">
        <f t="shared" si="24"/>
        <v>1.5031315240083609E-2</v>
      </c>
      <c r="AI80" s="20">
        <v>13.6</v>
      </c>
      <c r="AJ80" s="20">
        <v>450</v>
      </c>
      <c r="AK80" s="20"/>
      <c r="AL80" s="20">
        <v>688</v>
      </c>
      <c r="AM80" s="20">
        <f t="shared" si="25"/>
        <v>72211.199999999997</v>
      </c>
      <c r="AN80" s="7" t="s">
        <v>176</v>
      </c>
      <c r="AO80" s="20"/>
      <c r="AP80" s="21"/>
      <c r="AQ80" s="21"/>
      <c r="AR80" s="5" t="s">
        <v>123</v>
      </c>
      <c r="AS80" s="5" t="s">
        <v>124</v>
      </c>
      <c r="AT80" s="5" t="s">
        <v>59</v>
      </c>
      <c r="AU80" s="20"/>
      <c r="AV80" s="21" t="s">
        <v>337</v>
      </c>
      <c r="AW80" s="21"/>
      <c r="AX80" s="21"/>
    </row>
    <row r="81" spans="1:50">
      <c r="A81" s="86" t="s">
        <v>318</v>
      </c>
      <c r="B81" s="5">
        <v>15017184</v>
      </c>
      <c r="C81" s="5" t="s">
        <v>427</v>
      </c>
      <c r="D81" s="5" t="s">
        <v>321</v>
      </c>
      <c r="E81" s="5" t="s">
        <v>52</v>
      </c>
      <c r="F81" s="5" t="s">
        <v>62</v>
      </c>
      <c r="G81" s="5" t="s">
        <v>130</v>
      </c>
      <c r="H81" s="5" t="s">
        <v>402</v>
      </c>
      <c r="I81" s="6">
        <v>42948</v>
      </c>
      <c r="J81" s="5" t="s">
        <v>336</v>
      </c>
      <c r="K81" s="5" t="s">
        <v>336</v>
      </c>
      <c r="L81" s="5" t="s">
        <v>324</v>
      </c>
      <c r="M81" s="7">
        <v>6</v>
      </c>
      <c r="N81" s="7" t="s">
        <v>176</v>
      </c>
      <c r="O81" s="8">
        <v>4655</v>
      </c>
      <c r="P81" s="88">
        <v>0.02</v>
      </c>
      <c r="Q81" s="10">
        <f t="shared" si="13"/>
        <v>93</v>
      </c>
      <c r="R81" s="88">
        <v>5.0000000000000001E-3</v>
      </c>
      <c r="S81" s="10">
        <f t="shared" si="14"/>
        <v>23</v>
      </c>
      <c r="T81" s="88">
        <f t="shared" si="15"/>
        <v>2.4919441460794844E-2</v>
      </c>
      <c r="U81" s="10">
        <f t="shared" si="16"/>
        <v>116</v>
      </c>
      <c r="V81" s="10">
        <f t="shared" si="17"/>
        <v>4771</v>
      </c>
      <c r="W81" s="11">
        <v>4725</v>
      </c>
      <c r="X81" s="12">
        <f t="shared" si="18"/>
        <v>70</v>
      </c>
      <c r="Y81" s="92">
        <f t="shared" si="19"/>
        <v>1.4999999999999999E-2</v>
      </c>
      <c r="Z81" s="93" t="str">
        <f t="shared" si="20"/>
        <v>0.00%-8.40%</v>
      </c>
      <c r="AA81" s="15"/>
      <c r="AB81" s="15"/>
      <c r="AC81" s="15"/>
      <c r="AD81" s="95"/>
      <c r="AE81" s="8">
        <f t="shared" si="21"/>
        <v>0</v>
      </c>
      <c r="AF81" s="17">
        <f t="shared" si="22"/>
        <v>4725</v>
      </c>
      <c r="AG81" s="18">
        <f t="shared" si="23"/>
        <v>70</v>
      </c>
      <c r="AH81" s="97">
        <f t="shared" si="24"/>
        <v>1.5037593984962516E-2</v>
      </c>
      <c r="AI81" s="20">
        <v>13.6</v>
      </c>
      <c r="AJ81" s="20">
        <v>450</v>
      </c>
      <c r="AK81" s="20"/>
      <c r="AL81" s="20">
        <v>688</v>
      </c>
      <c r="AM81" s="20">
        <f t="shared" si="25"/>
        <v>70348</v>
      </c>
      <c r="AN81" s="7" t="s">
        <v>176</v>
      </c>
      <c r="AO81" s="20"/>
      <c r="AP81" s="21"/>
      <c r="AQ81" s="21"/>
      <c r="AR81" s="5" t="s">
        <v>123</v>
      </c>
      <c r="AS81" s="5" t="s">
        <v>124</v>
      </c>
      <c r="AT81" s="5" t="s">
        <v>59</v>
      </c>
      <c r="AU81" s="20"/>
      <c r="AV81" s="21" t="s">
        <v>337</v>
      </c>
      <c r="AW81" s="21"/>
      <c r="AX81" s="21"/>
    </row>
    <row r="82" spans="1:50">
      <c r="A82" s="86" t="s">
        <v>318</v>
      </c>
      <c r="B82" s="5">
        <v>15000508</v>
      </c>
      <c r="C82" s="5" t="s">
        <v>428</v>
      </c>
      <c r="D82" s="5" t="s">
        <v>321</v>
      </c>
      <c r="E82" s="5" t="s">
        <v>52</v>
      </c>
      <c r="F82" s="5" t="s">
        <v>62</v>
      </c>
      <c r="G82" s="5" t="s">
        <v>130</v>
      </c>
      <c r="H82" s="5" t="s">
        <v>363</v>
      </c>
      <c r="I82" s="6">
        <v>38854</v>
      </c>
      <c r="J82" s="5" t="s">
        <v>336</v>
      </c>
      <c r="K82" s="5" t="s">
        <v>336</v>
      </c>
      <c r="L82" s="5" t="s">
        <v>324</v>
      </c>
      <c r="M82" s="7">
        <v>6</v>
      </c>
      <c r="N82" s="7" t="s">
        <v>176</v>
      </c>
      <c r="O82" s="8">
        <v>4510</v>
      </c>
      <c r="P82" s="88">
        <v>0.02</v>
      </c>
      <c r="Q82" s="10">
        <f t="shared" si="13"/>
        <v>90</v>
      </c>
      <c r="R82" s="88">
        <v>5.0000000000000001E-3</v>
      </c>
      <c r="S82" s="10">
        <f t="shared" si="14"/>
        <v>23</v>
      </c>
      <c r="T82" s="88">
        <f t="shared" si="15"/>
        <v>2.5055432372505543E-2</v>
      </c>
      <c r="U82" s="10">
        <f t="shared" si="16"/>
        <v>113</v>
      </c>
      <c r="V82" s="10">
        <f t="shared" si="17"/>
        <v>4623</v>
      </c>
      <c r="W82" s="11">
        <v>4650</v>
      </c>
      <c r="X82" s="12">
        <f t="shared" si="18"/>
        <v>140</v>
      </c>
      <c r="Y82" s="92">
        <f t="shared" si="19"/>
        <v>3.1E-2</v>
      </c>
      <c r="Z82" s="93" t="str">
        <f t="shared" si="20"/>
        <v>0.00%-8.40%</v>
      </c>
      <c r="AA82" s="15"/>
      <c r="AB82" s="15"/>
      <c r="AC82" s="15"/>
      <c r="AD82" s="95"/>
      <c r="AE82" s="8">
        <f t="shared" si="21"/>
        <v>0</v>
      </c>
      <c r="AF82" s="17">
        <f t="shared" si="22"/>
        <v>4650</v>
      </c>
      <c r="AG82" s="18">
        <f t="shared" si="23"/>
        <v>140</v>
      </c>
      <c r="AH82" s="97">
        <f t="shared" si="24"/>
        <v>3.104212860310418E-2</v>
      </c>
      <c r="AI82" s="20">
        <v>13.6</v>
      </c>
      <c r="AJ82" s="20">
        <v>450</v>
      </c>
      <c r="AK82" s="20"/>
      <c r="AL82" s="20">
        <v>688</v>
      </c>
      <c r="AM82" s="20">
        <f t="shared" si="25"/>
        <v>69328</v>
      </c>
      <c r="AN82" s="7" t="s">
        <v>176</v>
      </c>
      <c r="AO82" s="20"/>
      <c r="AP82" s="21"/>
      <c r="AQ82" s="21"/>
      <c r="AR82" s="5" t="s">
        <v>123</v>
      </c>
      <c r="AS82" s="5" t="s">
        <v>124</v>
      </c>
      <c r="AT82" s="5" t="s">
        <v>59</v>
      </c>
      <c r="AU82" s="20"/>
      <c r="AV82" s="21" t="s">
        <v>390</v>
      </c>
      <c r="AW82" s="21"/>
      <c r="AX82" s="21"/>
    </row>
    <row r="83" spans="1:50">
      <c r="A83" s="86" t="s">
        <v>318</v>
      </c>
      <c r="B83" s="5">
        <v>15013190</v>
      </c>
      <c r="C83" s="5" t="s">
        <v>429</v>
      </c>
      <c r="D83" s="5" t="s">
        <v>321</v>
      </c>
      <c r="E83" s="5" t="s">
        <v>52</v>
      </c>
      <c r="F83" s="5" t="s">
        <v>62</v>
      </c>
      <c r="G83" s="5" t="s">
        <v>130</v>
      </c>
      <c r="H83" s="5" t="s">
        <v>328</v>
      </c>
      <c r="I83" s="6">
        <v>41913</v>
      </c>
      <c r="J83" s="5" t="s">
        <v>336</v>
      </c>
      <c r="K83" s="5" t="s">
        <v>336</v>
      </c>
      <c r="L83" s="5" t="s">
        <v>324</v>
      </c>
      <c r="M83" s="7">
        <v>6</v>
      </c>
      <c r="N83" s="7" t="s">
        <v>176</v>
      </c>
      <c r="O83" s="8">
        <v>5064</v>
      </c>
      <c r="P83" s="88">
        <v>0.02</v>
      </c>
      <c r="Q83" s="10">
        <f t="shared" si="13"/>
        <v>101</v>
      </c>
      <c r="R83" s="88">
        <v>5.0000000000000001E-3</v>
      </c>
      <c r="S83" s="10">
        <f t="shared" si="14"/>
        <v>25</v>
      </c>
      <c r="T83" s="88">
        <f t="shared" si="15"/>
        <v>2.4881516587677725E-2</v>
      </c>
      <c r="U83" s="10">
        <f t="shared" si="16"/>
        <v>126</v>
      </c>
      <c r="V83" s="10">
        <f t="shared" si="17"/>
        <v>5190</v>
      </c>
      <c r="W83" s="11">
        <v>5200</v>
      </c>
      <c r="X83" s="12">
        <f t="shared" si="18"/>
        <v>136</v>
      </c>
      <c r="Y83" s="92">
        <f t="shared" si="19"/>
        <v>2.69E-2</v>
      </c>
      <c r="Z83" s="93" t="str">
        <f t="shared" si="20"/>
        <v>0.00%-8.40%</v>
      </c>
      <c r="AA83" s="15"/>
      <c r="AB83" s="15"/>
      <c r="AC83" s="15"/>
      <c r="AD83" s="95"/>
      <c r="AE83" s="8">
        <f t="shared" si="21"/>
        <v>0</v>
      </c>
      <c r="AF83" s="17">
        <f t="shared" si="22"/>
        <v>5200</v>
      </c>
      <c r="AG83" s="18">
        <f t="shared" si="23"/>
        <v>136</v>
      </c>
      <c r="AH83" s="97">
        <f t="shared" si="24"/>
        <v>2.6856240126382325E-2</v>
      </c>
      <c r="AI83" s="20">
        <v>13.6</v>
      </c>
      <c r="AJ83" s="20">
        <v>800</v>
      </c>
      <c r="AK83" s="20"/>
      <c r="AL83" s="20">
        <v>688</v>
      </c>
      <c r="AM83" s="20">
        <f t="shared" si="25"/>
        <v>81008</v>
      </c>
      <c r="AN83" s="7" t="s">
        <v>176</v>
      </c>
      <c r="AO83" s="20"/>
      <c r="AP83" s="21"/>
      <c r="AQ83" s="21"/>
      <c r="AR83" s="5" t="s">
        <v>123</v>
      </c>
      <c r="AS83" s="5" t="s">
        <v>124</v>
      </c>
      <c r="AT83" s="5" t="s">
        <v>59</v>
      </c>
      <c r="AU83" s="20"/>
      <c r="AV83" s="21" t="s">
        <v>390</v>
      </c>
      <c r="AW83" s="21"/>
      <c r="AX83" s="21"/>
    </row>
    <row r="84" spans="1:50">
      <c r="A84" s="86" t="s">
        <v>318</v>
      </c>
      <c r="B84" s="5">
        <v>15009680</v>
      </c>
      <c r="C84" s="5" t="s">
        <v>430</v>
      </c>
      <c r="D84" s="5" t="s">
        <v>321</v>
      </c>
      <c r="E84" s="5" t="s">
        <v>52</v>
      </c>
      <c r="F84" s="5" t="s">
        <v>62</v>
      </c>
      <c r="G84" s="5" t="s">
        <v>130</v>
      </c>
      <c r="H84" s="5" t="s">
        <v>363</v>
      </c>
      <c r="I84" s="6">
        <v>41426</v>
      </c>
      <c r="J84" s="5" t="s">
        <v>336</v>
      </c>
      <c r="K84" s="5" t="s">
        <v>336</v>
      </c>
      <c r="L84" s="5" t="s">
        <v>324</v>
      </c>
      <c r="M84" s="7">
        <v>6</v>
      </c>
      <c r="N84" s="7" t="s">
        <v>176</v>
      </c>
      <c r="O84" s="8">
        <v>4747</v>
      </c>
      <c r="P84" s="88">
        <v>0.02</v>
      </c>
      <c r="Q84" s="10">
        <f t="shared" si="13"/>
        <v>95</v>
      </c>
      <c r="R84" s="88">
        <v>5.0000000000000001E-3</v>
      </c>
      <c r="S84" s="10">
        <f t="shared" si="14"/>
        <v>24</v>
      </c>
      <c r="T84" s="88">
        <f t="shared" si="15"/>
        <v>2.5068464293237835E-2</v>
      </c>
      <c r="U84" s="10">
        <f t="shared" si="16"/>
        <v>119</v>
      </c>
      <c r="V84" s="10">
        <f t="shared" si="17"/>
        <v>4866</v>
      </c>
      <c r="W84" s="11">
        <v>4900</v>
      </c>
      <c r="X84" s="12">
        <f t="shared" si="18"/>
        <v>153</v>
      </c>
      <c r="Y84" s="92">
        <f t="shared" si="19"/>
        <v>3.2199999999999999E-2</v>
      </c>
      <c r="Z84" s="93" t="str">
        <f t="shared" si="20"/>
        <v>0.00%-8.40%</v>
      </c>
      <c r="AA84" s="15"/>
      <c r="AB84" s="15"/>
      <c r="AC84" s="15"/>
      <c r="AD84" s="95"/>
      <c r="AE84" s="8">
        <f t="shared" si="21"/>
        <v>0</v>
      </c>
      <c r="AF84" s="17">
        <f t="shared" si="22"/>
        <v>4900</v>
      </c>
      <c r="AG84" s="18">
        <f t="shared" si="23"/>
        <v>153</v>
      </c>
      <c r="AH84" s="97">
        <f t="shared" si="24"/>
        <v>3.2230882662734439E-2</v>
      </c>
      <c r="AI84" s="20">
        <v>13.6</v>
      </c>
      <c r="AJ84" s="20">
        <v>450</v>
      </c>
      <c r="AK84" s="20"/>
      <c r="AL84" s="20">
        <v>688</v>
      </c>
      <c r="AM84" s="20">
        <f t="shared" si="25"/>
        <v>72728</v>
      </c>
      <c r="AN84" s="7" t="s">
        <v>176</v>
      </c>
      <c r="AO84" s="20"/>
      <c r="AP84" s="21"/>
      <c r="AQ84" s="21"/>
      <c r="AR84" s="5" t="s">
        <v>123</v>
      </c>
      <c r="AS84" s="5" t="s">
        <v>124</v>
      </c>
      <c r="AT84" s="5" t="s">
        <v>59</v>
      </c>
      <c r="AU84" s="20"/>
      <c r="AV84" s="21" t="s">
        <v>390</v>
      </c>
      <c r="AW84" s="21"/>
      <c r="AX84" s="21"/>
    </row>
    <row r="85" spans="1:50">
      <c r="A85" s="86" t="s">
        <v>318</v>
      </c>
      <c r="B85" s="5">
        <v>15011931</v>
      </c>
      <c r="C85" s="5" t="s">
        <v>431</v>
      </c>
      <c r="D85" s="5" t="s">
        <v>321</v>
      </c>
      <c r="E85" s="5" t="s">
        <v>52</v>
      </c>
      <c r="F85" s="5" t="s">
        <v>62</v>
      </c>
      <c r="G85" s="5" t="s">
        <v>130</v>
      </c>
      <c r="H85" s="5" t="s">
        <v>331</v>
      </c>
      <c r="I85" s="6">
        <v>41609</v>
      </c>
      <c r="J85" s="5" t="s">
        <v>336</v>
      </c>
      <c r="K85" s="5" t="s">
        <v>336</v>
      </c>
      <c r="L85" s="5" t="s">
        <v>324</v>
      </c>
      <c r="M85" s="7">
        <v>6</v>
      </c>
      <c r="N85" s="7" t="s">
        <v>176</v>
      </c>
      <c r="O85" s="8">
        <v>4657</v>
      </c>
      <c r="P85" s="88">
        <v>0.02</v>
      </c>
      <c r="Q85" s="10">
        <f t="shared" si="13"/>
        <v>93</v>
      </c>
      <c r="R85" s="88">
        <v>5.0000000000000001E-3</v>
      </c>
      <c r="S85" s="10">
        <f t="shared" si="14"/>
        <v>23</v>
      </c>
      <c r="T85" s="88">
        <f t="shared" si="15"/>
        <v>2.4908739531887481E-2</v>
      </c>
      <c r="U85" s="10">
        <f t="shared" si="16"/>
        <v>116</v>
      </c>
      <c r="V85" s="10">
        <f t="shared" si="17"/>
        <v>4773</v>
      </c>
      <c r="W85" s="11">
        <v>4727</v>
      </c>
      <c r="X85" s="12">
        <f t="shared" si="18"/>
        <v>70</v>
      </c>
      <c r="Y85" s="92">
        <f t="shared" si="19"/>
        <v>1.4999999999999999E-2</v>
      </c>
      <c r="Z85" s="93" t="str">
        <f t="shared" si="20"/>
        <v>0.00%-8.40%</v>
      </c>
      <c r="AA85" s="15"/>
      <c r="AB85" s="15"/>
      <c r="AC85" s="15"/>
      <c r="AD85" s="95"/>
      <c r="AE85" s="8">
        <f t="shared" si="21"/>
        <v>0</v>
      </c>
      <c r="AF85" s="17">
        <f t="shared" si="22"/>
        <v>4727</v>
      </c>
      <c r="AG85" s="18">
        <f t="shared" si="23"/>
        <v>70</v>
      </c>
      <c r="AH85" s="97">
        <f t="shared" si="24"/>
        <v>1.5031135924414851E-2</v>
      </c>
      <c r="AI85" s="20">
        <v>13.6</v>
      </c>
      <c r="AJ85" s="20">
        <v>450</v>
      </c>
      <c r="AK85" s="20"/>
      <c r="AL85" s="20">
        <v>688</v>
      </c>
      <c r="AM85" s="20">
        <f t="shared" si="25"/>
        <v>70375.199999999997</v>
      </c>
      <c r="AN85" s="7" t="s">
        <v>176</v>
      </c>
      <c r="AO85" s="20"/>
      <c r="AP85" s="21"/>
      <c r="AQ85" s="21"/>
      <c r="AR85" s="5" t="s">
        <v>123</v>
      </c>
      <c r="AS85" s="5" t="s">
        <v>124</v>
      </c>
      <c r="AT85" s="5" t="s">
        <v>59</v>
      </c>
      <c r="AU85" s="20"/>
      <c r="AV85" s="21" t="s">
        <v>337</v>
      </c>
      <c r="AW85" s="21"/>
      <c r="AX85" s="21"/>
    </row>
    <row r="86" spans="1:50">
      <c r="A86" s="86" t="s">
        <v>318</v>
      </c>
      <c r="B86" s="5">
        <v>15020733</v>
      </c>
      <c r="C86" s="5" t="s">
        <v>432</v>
      </c>
      <c r="D86" s="5" t="s">
        <v>321</v>
      </c>
      <c r="E86" s="5" t="s">
        <v>52</v>
      </c>
      <c r="F86" s="5" t="s">
        <v>62</v>
      </c>
      <c r="G86" s="5" t="s">
        <v>130</v>
      </c>
      <c r="H86" s="5" t="s">
        <v>402</v>
      </c>
      <c r="I86" s="6">
        <v>44256</v>
      </c>
      <c r="J86" s="5" t="s">
        <v>336</v>
      </c>
      <c r="K86" s="5" t="s">
        <v>336</v>
      </c>
      <c r="L86" s="5" t="s">
        <v>324</v>
      </c>
      <c r="M86" s="7">
        <v>6</v>
      </c>
      <c r="N86" s="7" t="s">
        <v>176</v>
      </c>
      <c r="O86" s="8">
        <v>4514</v>
      </c>
      <c r="P86" s="88">
        <v>0.02</v>
      </c>
      <c r="Q86" s="10">
        <f t="shared" si="13"/>
        <v>90</v>
      </c>
      <c r="R86" s="88">
        <v>5.0000000000000001E-3</v>
      </c>
      <c r="S86" s="10">
        <f t="shared" si="14"/>
        <v>23</v>
      </c>
      <c r="T86" s="88">
        <f t="shared" si="15"/>
        <v>2.5033229951262739E-2</v>
      </c>
      <c r="U86" s="10">
        <f t="shared" si="16"/>
        <v>113</v>
      </c>
      <c r="V86" s="10">
        <f t="shared" si="17"/>
        <v>4627</v>
      </c>
      <c r="W86" s="11">
        <v>4650</v>
      </c>
      <c r="X86" s="12">
        <f t="shared" si="18"/>
        <v>136</v>
      </c>
      <c r="Y86" s="92">
        <f t="shared" si="19"/>
        <v>3.0099999999999998E-2</v>
      </c>
      <c r="Z86" s="93" t="str">
        <f t="shared" si="20"/>
        <v>0.00%-8.40%</v>
      </c>
      <c r="AA86" s="15"/>
      <c r="AB86" s="15"/>
      <c r="AC86" s="15"/>
      <c r="AD86" s="95"/>
      <c r="AE86" s="8">
        <f t="shared" si="21"/>
        <v>0</v>
      </c>
      <c r="AF86" s="17">
        <f t="shared" si="22"/>
        <v>4650</v>
      </c>
      <c r="AG86" s="18">
        <f t="shared" si="23"/>
        <v>136</v>
      </c>
      <c r="AH86" s="97">
        <f t="shared" si="24"/>
        <v>3.0128489144882531E-2</v>
      </c>
      <c r="AI86" s="20">
        <v>13.6</v>
      </c>
      <c r="AJ86" s="20">
        <v>450</v>
      </c>
      <c r="AK86" s="20"/>
      <c r="AL86" s="20">
        <v>688</v>
      </c>
      <c r="AM86" s="20">
        <f t="shared" si="25"/>
        <v>69328</v>
      </c>
      <c r="AN86" s="7" t="s">
        <v>176</v>
      </c>
      <c r="AO86" s="20"/>
      <c r="AP86" s="21"/>
      <c r="AQ86" s="21"/>
      <c r="AR86" s="5" t="s">
        <v>123</v>
      </c>
      <c r="AS86" s="5" t="s">
        <v>124</v>
      </c>
      <c r="AT86" s="5" t="s">
        <v>59</v>
      </c>
      <c r="AU86" s="20"/>
      <c r="AV86" s="21" t="s">
        <v>390</v>
      </c>
      <c r="AW86" s="21"/>
      <c r="AX86" s="21"/>
    </row>
    <row r="87" spans="1:50">
      <c r="A87" s="86" t="s">
        <v>318</v>
      </c>
      <c r="B87" s="5">
        <v>15002088</v>
      </c>
      <c r="C87" s="5" t="s">
        <v>433</v>
      </c>
      <c r="D87" s="5" t="s">
        <v>360</v>
      </c>
      <c r="E87" s="5" t="s">
        <v>52</v>
      </c>
      <c r="F87" s="5" t="s">
        <v>62</v>
      </c>
      <c r="G87" s="5" t="s">
        <v>180</v>
      </c>
      <c r="H87" s="5" t="s">
        <v>181</v>
      </c>
      <c r="I87" s="6">
        <v>39736</v>
      </c>
      <c r="J87" s="5" t="s">
        <v>434</v>
      </c>
      <c r="K87" s="5" t="s">
        <v>435</v>
      </c>
      <c r="L87" s="5" t="s">
        <v>324</v>
      </c>
      <c r="M87" s="7">
        <v>6</v>
      </c>
      <c r="N87" s="7" t="s">
        <v>176</v>
      </c>
      <c r="O87" s="8">
        <v>6500</v>
      </c>
      <c r="P87" s="9">
        <v>0.02</v>
      </c>
      <c r="Q87" s="10">
        <f t="shared" si="13"/>
        <v>130</v>
      </c>
      <c r="R87" s="9">
        <v>5.0000000000000001E-3</v>
      </c>
      <c r="S87" s="10">
        <f t="shared" si="14"/>
        <v>33</v>
      </c>
      <c r="T87" s="9">
        <f t="shared" si="15"/>
        <v>2.5076923076923077E-2</v>
      </c>
      <c r="U87" s="10">
        <f t="shared" si="16"/>
        <v>163</v>
      </c>
      <c r="V87" s="10">
        <f t="shared" si="17"/>
        <v>6663</v>
      </c>
      <c r="W87" s="11">
        <v>6630</v>
      </c>
      <c r="X87" s="12">
        <f t="shared" si="18"/>
        <v>130</v>
      </c>
      <c r="Y87" s="13">
        <f t="shared" si="19"/>
        <v>0.02</v>
      </c>
      <c r="Z87" s="14" t="str">
        <f t="shared" si="20"/>
        <v>0.00%-8.40%</v>
      </c>
      <c r="AA87" s="15"/>
      <c r="AB87" s="15"/>
      <c r="AC87" s="15"/>
      <c r="AD87" s="16"/>
      <c r="AE87" s="8">
        <f t="shared" si="21"/>
        <v>0</v>
      </c>
      <c r="AF87" s="17">
        <f t="shared" si="22"/>
        <v>6630</v>
      </c>
      <c r="AG87" s="18">
        <f t="shared" si="23"/>
        <v>130</v>
      </c>
      <c r="AH87" s="19">
        <f t="shared" si="24"/>
        <v>2.0000000000000018E-2</v>
      </c>
      <c r="AI87" s="20">
        <v>13.6</v>
      </c>
      <c r="AJ87" s="20">
        <v>500</v>
      </c>
      <c r="AK87" s="20"/>
      <c r="AL87" s="20">
        <v>688</v>
      </c>
      <c r="AM87" s="20">
        <f t="shared" si="25"/>
        <v>96856</v>
      </c>
      <c r="AN87" s="7" t="s">
        <v>176</v>
      </c>
      <c r="AO87" s="20"/>
      <c r="AP87" s="21"/>
      <c r="AQ87" s="21"/>
      <c r="AR87" s="5" t="s">
        <v>163</v>
      </c>
      <c r="AS87" s="5" t="s">
        <v>164</v>
      </c>
    </row>
    <row r="88" spans="1:50">
      <c r="A88" s="86" t="s">
        <v>318</v>
      </c>
      <c r="B88" s="5">
        <v>15007284</v>
      </c>
      <c r="C88" s="5" t="s">
        <v>436</v>
      </c>
      <c r="D88" s="5" t="s">
        <v>360</v>
      </c>
      <c r="E88" s="5" t="s">
        <v>52</v>
      </c>
      <c r="F88" s="5" t="s">
        <v>62</v>
      </c>
      <c r="G88" s="5" t="s">
        <v>180</v>
      </c>
      <c r="H88" s="5" t="s">
        <v>181</v>
      </c>
      <c r="I88" s="6">
        <v>40812</v>
      </c>
      <c r="J88" s="5" t="s">
        <v>373</v>
      </c>
      <c r="K88" s="5" t="s">
        <v>373</v>
      </c>
      <c r="L88" s="5" t="s">
        <v>324</v>
      </c>
      <c r="M88" s="7">
        <v>6</v>
      </c>
      <c r="N88" s="7" t="s">
        <v>176</v>
      </c>
      <c r="O88" s="8">
        <v>8247</v>
      </c>
      <c r="P88" s="9">
        <v>0.02</v>
      </c>
      <c r="Q88" s="10">
        <f t="shared" si="13"/>
        <v>165</v>
      </c>
      <c r="R88" s="9">
        <v>5.0000000000000001E-3</v>
      </c>
      <c r="S88" s="10">
        <f t="shared" si="14"/>
        <v>41</v>
      </c>
      <c r="T88" s="9">
        <f t="shared" si="15"/>
        <v>2.4978780162483328E-2</v>
      </c>
      <c r="U88" s="10">
        <f t="shared" si="16"/>
        <v>206</v>
      </c>
      <c r="V88" s="10">
        <f t="shared" si="17"/>
        <v>8453</v>
      </c>
      <c r="W88" s="11">
        <f t="shared" ref="W88:W111" si="26">V88</f>
        <v>8453</v>
      </c>
      <c r="X88" s="12">
        <f t="shared" si="18"/>
        <v>206</v>
      </c>
      <c r="Y88" s="13">
        <f t="shared" si="19"/>
        <v>2.5000000000000001E-2</v>
      </c>
      <c r="Z88" s="14" t="str">
        <f t="shared" si="20"/>
        <v>0.00%-8.40%</v>
      </c>
      <c r="AA88" s="15"/>
      <c r="AB88" s="15"/>
      <c r="AC88" s="15"/>
      <c r="AD88" s="16"/>
      <c r="AE88" s="8">
        <f t="shared" si="21"/>
        <v>0</v>
      </c>
      <c r="AF88" s="17">
        <f t="shared" si="22"/>
        <v>8453</v>
      </c>
      <c r="AG88" s="18">
        <f t="shared" si="23"/>
        <v>206</v>
      </c>
      <c r="AH88" s="19">
        <f t="shared" si="24"/>
        <v>2.4978780162483227E-2</v>
      </c>
      <c r="AI88" s="20">
        <v>13.6</v>
      </c>
      <c r="AJ88" s="20">
        <v>900</v>
      </c>
      <c r="AK88" s="20"/>
      <c r="AL88" s="20">
        <v>688</v>
      </c>
      <c r="AM88" s="20">
        <f t="shared" si="25"/>
        <v>126448.8</v>
      </c>
      <c r="AN88" s="7" t="s">
        <v>176</v>
      </c>
      <c r="AO88" s="20"/>
      <c r="AP88" s="21"/>
      <c r="AQ88" s="21"/>
      <c r="AR88" s="5" t="s">
        <v>163</v>
      </c>
      <c r="AS88" s="5" t="s">
        <v>164</v>
      </c>
    </row>
    <row r="89" spans="1:50">
      <c r="A89" s="86" t="s">
        <v>318</v>
      </c>
      <c r="B89" s="5">
        <v>15002925</v>
      </c>
      <c r="C89" s="5" t="s">
        <v>437</v>
      </c>
      <c r="D89" s="5" t="s">
        <v>360</v>
      </c>
      <c r="E89" s="5" t="s">
        <v>52</v>
      </c>
      <c r="F89" s="5" t="s">
        <v>62</v>
      </c>
      <c r="G89" s="5" t="s">
        <v>180</v>
      </c>
      <c r="H89" s="5" t="s">
        <v>181</v>
      </c>
      <c r="I89" s="6">
        <v>40269</v>
      </c>
      <c r="J89" s="5" t="s">
        <v>377</v>
      </c>
      <c r="K89" s="5" t="s">
        <v>377</v>
      </c>
      <c r="L89" s="5" t="s">
        <v>324</v>
      </c>
      <c r="M89" s="7">
        <v>6</v>
      </c>
      <c r="N89" s="7" t="s">
        <v>176</v>
      </c>
      <c r="O89" s="8">
        <v>5464</v>
      </c>
      <c r="P89" s="9">
        <v>0.02</v>
      </c>
      <c r="Q89" s="10">
        <f t="shared" si="13"/>
        <v>109</v>
      </c>
      <c r="R89" s="9">
        <v>5.0000000000000001E-3</v>
      </c>
      <c r="S89" s="10">
        <f t="shared" si="14"/>
        <v>27</v>
      </c>
      <c r="T89" s="9">
        <f t="shared" si="15"/>
        <v>2.4890190336749635E-2</v>
      </c>
      <c r="U89" s="10">
        <f t="shared" si="16"/>
        <v>136</v>
      </c>
      <c r="V89" s="10">
        <f t="shared" si="17"/>
        <v>5600</v>
      </c>
      <c r="W89" s="11">
        <v>5655</v>
      </c>
      <c r="X89" s="12">
        <f t="shared" si="18"/>
        <v>191</v>
      </c>
      <c r="Y89" s="13">
        <f t="shared" si="19"/>
        <v>3.5000000000000003E-2</v>
      </c>
      <c r="Z89" s="14" t="str">
        <f t="shared" si="20"/>
        <v>0.00%-8.40%</v>
      </c>
      <c r="AA89" s="15"/>
      <c r="AB89" s="15"/>
      <c r="AC89" s="15"/>
      <c r="AD89" s="16"/>
      <c r="AE89" s="8">
        <f t="shared" si="21"/>
        <v>0</v>
      </c>
      <c r="AF89" s="17">
        <f t="shared" si="22"/>
        <v>5655</v>
      </c>
      <c r="AG89" s="18">
        <f t="shared" si="23"/>
        <v>191</v>
      </c>
      <c r="AH89" s="19">
        <f t="shared" si="24"/>
        <v>3.4956076134699865E-2</v>
      </c>
      <c r="AI89" s="20">
        <v>13.6</v>
      </c>
      <c r="AJ89" s="20">
        <v>500</v>
      </c>
      <c r="AK89" s="20"/>
      <c r="AL89" s="20">
        <v>688</v>
      </c>
      <c r="AM89" s="20">
        <f t="shared" si="25"/>
        <v>83596</v>
      </c>
      <c r="AN89" s="7" t="s">
        <v>176</v>
      </c>
      <c r="AO89" s="20"/>
      <c r="AP89" s="21"/>
      <c r="AQ89" s="21"/>
      <c r="AR89" s="5" t="s">
        <v>163</v>
      </c>
      <c r="AS89" s="5" t="s">
        <v>164</v>
      </c>
    </row>
    <row r="90" spans="1:50">
      <c r="A90" s="86" t="s">
        <v>318</v>
      </c>
      <c r="B90" s="5">
        <v>15002033</v>
      </c>
      <c r="C90" s="5" t="s">
        <v>438</v>
      </c>
      <c r="D90" s="5" t="s">
        <v>360</v>
      </c>
      <c r="E90" s="5" t="s">
        <v>52</v>
      </c>
      <c r="F90" s="5" t="s">
        <v>62</v>
      </c>
      <c r="G90" s="5" t="s">
        <v>165</v>
      </c>
      <c r="H90" s="5" t="s">
        <v>161</v>
      </c>
      <c r="I90" s="6">
        <v>39727</v>
      </c>
      <c r="J90" s="5" t="s">
        <v>377</v>
      </c>
      <c r="K90" s="5" t="s">
        <v>377</v>
      </c>
      <c r="L90" s="5" t="s">
        <v>324</v>
      </c>
      <c r="M90" s="7">
        <v>6</v>
      </c>
      <c r="N90" s="7" t="s">
        <v>176</v>
      </c>
      <c r="O90" s="8">
        <v>8477</v>
      </c>
      <c r="P90" s="9">
        <v>0.02</v>
      </c>
      <c r="Q90" s="10">
        <f t="shared" si="13"/>
        <v>170</v>
      </c>
      <c r="R90" s="9">
        <v>5.0000000000000001E-3</v>
      </c>
      <c r="S90" s="10">
        <f t="shared" si="14"/>
        <v>42</v>
      </c>
      <c r="T90" s="9">
        <f t="shared" si="15"/>
        <v>2.5008847469623688E-2</v>
      </c>
      <c r="U90" s="10">
        <f t="shared" si="16"/>
        <v>212</v>
      </c>
      <c r="V90" s="10">
        <f t="shared" si="17"/>
        <v>8689</v>
      </c>
      <c r="W90" s="11">
        <f t="shared" si="26"/>
        <v>8689</v>
      </c>
      <c r="X90" s="12">
        <f t="shared" si="18"/>
        <v>212</v>
      </c>
      <c r="Y90" s="13">
        <f t="shared" si="19"/>
        <v>2.5000000000000001E-2</v>
      </c>
      <c r="Z90" s="14" t="str">
        <f t="shared" si="20"/>
        <v>0.00%-8.40%</v>
      </c>
      <c r="AA90" s="15" t="s">
        <v>87</v>
      </c>
      <c r="AB90" s="15" t="s">
        <v>174</v>
      </c>
      <c r="AC90" s="15" t="s">
        <v>439</v>
      </c>
      <c r="AD90" s="16">
        <v>3.4500000000000003E-2</v>
      </c>
      <c r="AE90" s="8">
        <f t="shared" si="21"/>
        <v>292</v>
      </c>
      <c r="AF90" s="17">
        <f t="shared" si="22"/>
        <v>8981</v>
      </c>
      <c r="AG90" s="18">
        <f t="shared" si="23"/>
        <v>504</v>
      </c>
      <c r="AH90" s="19">
        <f t="shared" si="24"/>
        <v>5.9454995871180749E-2</v>
      </c>
      <c r="AI90" s="20">
        <v>13.6</v>
      </c>
      <c r="AJ90" s="20">
        <v>450</v>
      </c>
      <c r="AK90" s="20"/>
      <c r="AL90" s="20">
        <v>688</v>
      </c>
      <c r="AM90" s="20">
        <f t="shared" si="25"/>
        <v>128229.59999999999</v>
      </c>
      <c r="AN90" s="7" t="s">
        <v>176</v>
      </c>
      <c r="AO90" s="20"/>
      <c r="AP90" s="21" t="s">
        <v>179</v>
      </c>
      <c r="AQ90" s="21" t="s">
        <v>179</v>
      </c>
      <c r="AR90" s="5" t="s">
        <v>163</v>
      </c>
      <c r="AS90" s="5" t="s">
        <v>164</v>
      </c>
    </row>
    <row r="91" spans="1:50">
      <c r="A91" s="86" t="s">
        <v>318</v>
      </c>
      <c r="B91" s="5">
        <v>15003198</v>
      </c>
      <c r="C91" s="5" t="s">
        <v>440</v>
      </c>
      <c r="D91" s="5" t="s">
        <v>360</v>
      </c>
      <c r="E91" s="5" t="s">
        <v>52</v>
      </c>
      <c r="F91" s="5" t="s">
        <v>62</v>
      </c>
      <c r="G91" s="5" t="s">
        <v>169</v>
      </c>
      <c r="H91" s="5" t="s">
        <v>161</v>
      </c>
      <c r="I91" s="6">
        <v>43815</v>
      </c>
      <c r="J91" s="5" t="s">
        <v>377</v>
      </c>
      <c r="K91" s="5" t="s">
        <v>377</v>
      </c>
      <c r="L91" s="5" t="s">
        <v>324</v>
      </c>
      <c r="M91" s="7">
        <v>6</v>
      </c>
      <c r="N91" s="7" t="s">
        <v>176</v>
      </c>
      <c r="O91" s="8">
        <v>7894</v>
      </c>
      <c r="P91" s="9">
        <v>0.02</v>
      </c>
      <c r="Q91" s="10">
        <f t="shared" si="13"/>
        <v>158</v>
      </c>
      <c r="R91" s="9">
        <v>5.0000000000000001E-3</v>
      </c>
      <c r="S91" s="10">
        <f t="shared" si="14"/>
        <v>39</v>
      </c>
      <c r="T91" s="9">
        <f t="shared" si="15"/>
        <v>2.4955662528502662E-2</v>
      </c>
      <c r="U91" s="10">
        <f t="shared" si="16"/>
        <v>197</v>
      </c>
      <c r="V91" s="10">
        <f t="shared" si="17"/>
        <v>8091</v>
      </c>
      <c r="W91" s="11">
        <f>V91+47</f>
        <v>8138</v>
      </c>
      <c r="X91" s="12">
        <f t="shared" si="18"/>
        <v>244</v>
      </c>
      <c r="Y91" s="13">
        <f t="shared" si="19"/>
        <v>3.09E-2</v>
      </c>
      <c r="Z91" s="14" t="str">
        <f t="shared" si="20"/>
        <v>0.00%-8.40%</v>
      </c>
      <c r="AA91" s="15" t="s">
        <v>87</v>
      </c>
      <c r="AB91" s="15" t="s">
        <v>174</v>
      </c>
      <c r="AC91" s="15" t="s">
        <v>439</v>
      </c>
      <c r="AD91" s="16">
        <v>0.06</v>
      </c>
      <c r="AE91" s="8">
        <f t="shared" si="21"/>
        <v>474</v>
      </c>
      <c r="AF91" s="17">
        <f t="shared" si="22"/>
        <v>8612</v>
      </c>
      <c r="AG91" s="18">
        <f t="shared" si="23"/>
        <v>718</v>
      </c>
      <c r="AH91" s="19">
        <f t="shared" si="24"/>
        <v>9.0955155814542721E-2</v>
      </c>
      <c r="AI91" s="20">
        <v>13.6</v>
      </c>
      <c r="AJ91" s="20">
        <v>450</v>
      </c>
      <c r="AK91" s="20"/>
      <c r="AL91" s="20">
        <v>688</v>
      </c>
      <c r="AM91" s="20">
        <f t="shared" si="25"/>
        <v>123211.2</v>
      </c>
      <c r="AN91" s="7" t="s">
        <v>176</v>
      </c>
      <c r="AO91" s="20"/>
      <c r="AP91" s="21" t="s">
        <v>90</v>
      </c>
      <c r="AQ91" s="21" t="s">
        <v>90</v>
      </c>
      <c r="AR91" s="5" t="s">
        <v>163</v>
      </c>
      <c r="AS91" s="5" t="s">
        <v>164</v>
      </c>
    </row>
    <row r="92" spans="1:50">
      <c r="A92" s="86" t="s">
        <v>318</v>
      </c>
      <c r="B92" s="5">
        <v>15001417</v>
      </c>
      <c r="C92" s="5" t="s">
        <v>441</v>
      </c>
      <c r="D92" s="5" t="s">
        <v>360</v>
      </c>
      <c r="E92" s="5" t="s">
        <v>52</v>
      </c>
      <c r="F92" s="5" t="s">
        <v>62</v>
      </c>
      <c r="G92" s="5" t="s">
        <v>169</v>
      </c>
      <c r="H92" s="5" t="s">
        <v>181</v>
      </c>
      <c r="I92" s="6">
        <v>39511</v>
      </c>
      <c r="J92" s="5" t="s">
        <v>336</v>
      </c>
      <c r="K92" s="5" t="s">
        <v>336</v>
      </c>
      <c r="L92" s="5" t="s">
        <v>324</v>
      </c>
      <c r="M92" s="7">
        <v>6</v>
      </c>
      <c r="N92" s="7" t="s">
        <v>176</v>
      </c>
      <c r="O92" s="8">
        <v>6699</v>
      </c>
      <c r="P92" s="9">
        <v>0.02</v>
      </c>
      <c r="Q92" s="10">
        <f t="shared" si="13"/>
        <v>134</v>
      </c>
      <c r="R92" s="9">
        <v>5.0000000000000001E-3</v>
      </c>
      <c r="S92" s="10">
        <f t="shared" si="14"/>
        <v>33</v>
      </c>
      <c r="T92" s="9">
        <f t="shared" si="15"/>
        <v>2.4929093894611135E-2</v>
      </c>
      <c r="U92" s="10">
        <f t="shared" si="16"/>
        <v>167</v>
      </c>
      <c r="V92" s="10">
        <f t="shared" si="17"/>
        <v>6866</v>
      </c>
      <c r="W92" s="11">
        <f t="shared" si="26"/>
        <v>6866</v>
      </c>
      <c r="X92" s="12">
        <f t="shared" si="18"/>
        <v>167</v>
      </c>
      <c r="Y92" s="13">
        <f t="shared" si="19"/>
        <v>2.4899999999999999E-2</v>
      </c>
      <c r="Z92" s="14" t="str">
        <f t="shared" si="20"/>
        <v>0.00%-8.40%</v>
      </c>
      <c r="AA92" s="15"/>
      <c r="AB92" s="15"/>
      <c r="AC92" s="15"/>
      <c r="AD92" s="16"/>
      <c r="AE92" s="8">
        <f t="shared" si="21"/>
        <v>0</v>
      </c>
      <c r="AF92" s="17">
        <f t="shared" si="22"/>
        <v>6866</v>
      </c>
      <c r="AG92" s="18">
        <f t="shared" si="23"/>
        <v>167</v>
      </c>
      <c r="AH92" s="19">
        <f t="shared" si="24"/>
        <v>2.4929093894611176E-2</v>
      </c>
      <c r="AI92" s="20">
        <v>13.6</v>
      </c>
      <c r="AJ92" s="20">
        <v>500</v>
      </c>
      <c r="AK92" s="20"/>
      <c r="AL92" s="20">
        <v>688</v>
      </c>
      <c r="AM92" s="20">
        <f t="shared" si="25"/>
        <v>100065.59999999999</v>
      </c>
      <c r="AN92" s="7" t="s">
        <v>176</v>
      </c>
      <c r="AO92" s="20"/>
      <c r="AP92" s="21"/>
      <c r="AQ92" s="21"/>
      <c r="AR92" s="5" t="s">
        <v>163</v>
      </c>
      <c r="AS92" s="5" t="s">
        <v>164</v>
      </c>
    </row>
    <row r="93" spans="1:50">
      <c r="A93" s="86" t="s">
        <v>318</v>
      </c>
      <c r="B93" s="5">
        <v>15006503</v>
      </c>
      <c r="C93" s="5" t="s">
        <v>442</v>
      </c>
      <c r="D93" s="5" t="s">
        <v>360</v>
      </c>
      <c r="E93" s="5" t="s">
        <v>52</v>
      </c>
      <c r="F93" s="5" t="s">
        <v>62</v>
      </c>
      <c r="G93" s="5" t="s">
        <v>180</v>
      </c>
      <c r="H93" s="5" t="s">
        <v>181</v>
      </c>
      <c r="I93" s="6">
        <v>40716</v>
      </c>
      <c r="J93" s="5" t="s">
        <v>434</v>
      </c>
      <c r="K93" s="5" t="s">
        <v>435</v>
      </c>
      <c r="L93" s="5" t="s">
        <v>324</v>
      </c>
      <c r="M93" s="7">
        <v>6</v>
      </c>
      <c r="N93" s="7" t="s">
        <v>176</v>
      </c>
      <c r="O93" s="8">
        <v>7096</v>
      </c>
      <c r="P93" s="9">
        <v>0.02</v>
      </c>
      <c r="Q93" s="10">
        <f t="shared" si="13"/>
        <v>142</v>
      </c>
      <c r="R93" s="9">
        <v>5.0000000000000001E-3</v>
      </c>
      <c r="S93" s="10">
        <f t="shared" si="14"/>
        <v>35</v>
      </c>
      <c r="T93" s="9">
        <f t="shared" si="15"/>
        <v>2.4943630214205186E-2</v>
      </c>
      <c r="U93" s="10">
        <f t="shared" si="16"/>
        <v>177</v>
      </c>
      <c r="V93" s="10">
        <f t="shared" si="17"/>
        <v>7273</v>
      </c>
      <c r="W93" s="11">
        <f t="shared" si="26"/>
        <v>7273</v>
      </c>
      <c r="X93" s="12">
        <f t="shared" si="18"/>
        <v>177</v>
      </c>
      <c r="Y93" s="13">
        <f t="shared" si="19"/>
        <v>2.4899999999999999E-2</v>
      </c>
      <c r="Z93" s="14" t="str">
        <f t="shared" si="20"/>
        <v>0.00%-8.40%</v>
      </c>
      <c r="AA93" s="15"/>
      <c r="AB93" s="15"/>
      <c r="AC93" s="15"/>
      <c r="AD93" s="16"/>
      <c r="AE93" s="8">
        <f t="shared" si="21"/>
        <v>0</v>
      </c>
      <c r="AF93" s="17">
        <f t="shared" si="22"/>
        <v>7273</v>
      </c>
      <c r="AG93" s="18">
        <f t="shared" si="23"/>
        <v>177</v>
      </c>
      <c r="AH93" s="19">
        <f t="shared" si="24"/>
        <v>2.4943630214205204E-2</v>
      </c>
      <c r="AI93" s="20">
        <v>13.6</v>
      </c>
      <c r="AJ93" s="20">
        <v>500</v>
      </c>
      <c r="AK93" s="20"/>
      <c r="AL93" s="20">
        <v>688</v>
      </c>
      <c r="AM93" s="20">
        <f t="shared" si="25"/>
        <v>105600.8</v>
      </c>
      <c r="AN93" s="7" t="s">
        <v>176</v>
      </c>
      <c r="AO93" s="20"/>
      <c r="AP93" s="21"/>
      <c r="AQ93" s="21"/>
      <c r="AR93" s="5" t="s">
        <v>163</v>
      </c>
      <c r="AS93" s="5" t="s">
        <v>164</v>
      </c>
    </row>
    <row r="94" spans="1:50">
      <c r="A94" s="86" t="s">
        <v>318</v>
      </c>
      <c r="B94" s="5">
        <v>15001421</v>
      </c>
      <c r="C94" s="5" t="s">
        <v>443</v>
      </c>
      <c r="D94" s="5" t="s">
        <v>360</v>
      </c>
      <c r="E94" s="5" t="s">
        <v>52</v>
      </c>
      <c r="F94" s="5" t="s">
        <v>62</v>
      </c>
      <c r="G94" s="5" t="s">
        <v>180</v>
      </c>
      <c r="H94" s="5" t="s">
        <v>181</v>
      </c>
      <c r="I94" s="6">
        <v>39511</v>
      </c>
      <c r="J94" s="5" t="s">
        <v>434</v>
      </c>
      <c r="K94" s="5" t="s">
        <v>435</v>
      </c>
      <c r="L94" s="5" t="s">
        <v>324</v>
      </c>
      <c r="M94" s="7">
        <v>6</v>
      </c>
      <c r="N94" s="7" t="s">
        <v>176</v>
      </c>
      <c r="O94" s="8">
        <v>8082</v>
      </c>
      <c r="P94" s="9">
        <v>0.02</v>
      </c>
      <c r="Q94" s="10">
        <f t="shared" si="13"/>
        <v>162</v>
      </c>
      <c r="R94" s="9">
        <v>5.0000000000000001E-3</v>
      </c>
      <c r="S94" s="10">
        <f t="shared" si="14"/>
        <v>40</v>
      </c>
      <c r="T94" s="9">
        <f t="shared" si="15"/>
        <v>2.4993813412521652E-2</v>
      </c>
      <c r="U94" s="10">
        <f t="shared" si="16"/>
        <v>202</v>
      </c>
      <c r="V94" s="10">
        <f t="shared" si="17"/>
        <v>8284</v>
      </c>
      <c r="W94" s="11">
        <f t="shared" si="26"/>
        <v>8284</v>
      </c>
      <c r="X94" s="12">
        <f t="shared" si="18"/>
        <v>202</v>
      </c>
      <c r="Y94" s="13">
        <f t="shared" si="19"/>
        <v>2.5000000000000001E-2</v>
      </c>
      <c r="Z94" s="14" t="str">
        <f t="shared" si="20"/>
        <v>0.00%-8.40%</v>
      </c>
      <c r="AA94" s="15"/>
      <c r="AB94" s="15"/>
      <c r="AC94" s="15"/>
      <c r="AD94" s="16"/>
      <c r="AE94" s="8">
        <f t="shared" si="21"/>
        <v>0</v>
      </c>
      <c r="AF94" s="17">
        <f t="shared" si="22"/>
        <v>8284</v>
      </c>
      <c r="AG94" s="18">
        <f t="shared" si="23"/>
        <v>202</v>
      </c>
      <c r="AH94" s="19">
        <f t="shared" si="24"/>
        <v>2.4993813412521604E-2</v>
      </c>
      <c r="AI94" s="20">
        <v>13.6</v>
      </c>
      <c r="AJ94" s="20">
        <v>500</v>
      </c>
      <c r="AK94" s="20"/>
      <c r="AL94" s="20">
        <v>688</v>
      </c>
      <c r="AM94" s="20">
        <f t="shared" si="25"/>
        <v>119350.39999999999</v>
      </c>
      <c r="AN94" s="7" t="s">
        <v>176</v>
      </c>
      <c r="AO94" s="20"/>
      <c r="AP94" s="21"/>
      <c r="AQ94" s="21"/>
      <c r="AR94" s="5" t="s">
        <v>163</v>
      </c>
      <c r="AS94" s="5" t="s">
        <v>164</v>
      </c>
    </row>
    <row r="95" spans="1:50">
      <c r="A95" s="86" t="s">
        <v>318</v>
      </c>
      <c r="B95" s="5">
        <v>15009869</v>
      </c>
      <c r="C95" s="5" t="s">
        <v>444</v>
      </c>
      <c r="D95" s="5" t="s">
        <v>360</v>
      </c>
      <c r="E95" s="5" t="s">
        <v>52</v>
      </c>
      <c r="F95" s="5" t="s">
        <v>62</v>
      </c>
      <c r="G95" s="5" t="s">
        <v>180</v>
      </c>
      <c r="H95" s="5" t="s">
        <v>181</v>
      </c>
      <c r="I95" s="6">
        <v>41365</v>
      </c>
      <c r="J95" s="5" t="s">
        <v>373</v>
      </c>
      <c r="K95" s="5" t="s">
        <v>373</v>
      </c>
      <c r="L95" s="5" t="s">
        <v>324</v>
      </c>
      <c r="M95" s="7">
        <v>6</v>
      </c>
      <c r="N95" s="7" t="s">
        <v>176</v>
      </c>
      <c r="O95" s="8">
        <v>8784</v>
      </c>
      <c r="P95" s="9">
        <v>0.02</v>
      </c>
      <c r="Q95" s="10">
        <f t="shared" si="13"/>
        <v>176</v>
      </c>
      <c r="R95" s="9">
        <v>5.0000000000000001E-3</v>
      </c>
      <c r="S95" s="10">
        <f t="shared" si="14"/>
        <v>44</v>
      </c>
      <c r="T95" s="9">
        <f t="shared" si="15"/>
        <v>2.5045537340619307E-2</v>
      </c>
      <c r="U95" s="10">
        <f t="shared" si="16"/>
        <v>220</v>
      </c>
      <c r="V95" s="10">
        <f t="shared" si="17"/>
        <v>9004</v>
      </c>
      <c r="W95" s="11">
        <f>V95+230</f>
        <v>9234</v>
      </c>
      <c r="X95" s="12">
        <f t="shared" si="18"/>
        <v>450</v>
      </c>
      <c r="Y95" s="13">
        <f t="shared" si="19"/>
        <v>5.1200000000000002E-2</v>
      </c>
      <c r="Z95" s="14" t="str">
        <f t="shared" si="20"/>
        <v>0.00%-8.40%</v>
      </c>
      <c r="AA95" s="15"/>
      <c r="AB95" s="15"/>
      <c r="AC95" s="15"/>
      <c r="AD95" s="16"/>
      <c r="AE95" s="8">
        <f t="shared" si="21"/>
        <v>0</v>
      </c>
      <c r="AF95" s="17">
        <f t="shared" si="22"/>
        <v>9234</v>
      </c>
      <c r="AG95" s="18">
        <f t="shared" si="23"/>
        <v>450</v>
      </c>
      <c r="AH95" s="19">
        <f t="shared" si="24"/>
        <v>5.1229508196721341E-2</v>
      </c>
      <c r="AI95" s="20">
        <v>13.6</v>
      </c>
      <c r="AJ95" s="20">
        <v>500</v>
      </c>
      <c r="AK95" s="20"/>
      <c r="AL95" s="20">
        <v>688</v>
      </c>
      <c r="AM95" s="20">
        <f t="shared" si="25"/>
        <v>132270.39999999999</v>
      </c>
      <c r="AN95" s="7" t="s">
        <v>176</v>
      </c>
      <c r="AO95" s="20"/>
      <c r="AP95" s="21"/>
      <c r="AQ95" s="21"/>
      <c r="AR95" s="5" t="s">
        <v>163</v>
      </c>
      <c r="AS95" s="5" t="s">
        <v>164</v>
      </c>
    </row>
    <row r="96" spans="1:50">
      <c r="A96" s="86" t="s">
        <v>318</v>
      </c>
      <c r="B96" s="5">
        <v>15014797</v>
      </c>
      <c r="C96" s="5" t="s">
        <v>445</v>
      </c>
      <c r="D96" s="5" t="s">
        <v>360</v>
      </c>
      <c r="E96" s="5" t="s">
        <v>52</v>
      </c>
      <c r="F96" s="5" t="s">
        <v>62</v>
      </c>
      <c r="G96" s="5" t="s">
        <v>180</v>
      </c>
      <c r="H96" s="5" t="s">
        <v>181</v>
      </c>
      <c r="I96" s="6">
        <v>42228</v>
      </c>
      <c r="J96" s="5" t="s">
        <v>377</v>
      </c>
      <c r="K96" s="5" t="s">
        <v>446</v>
      </c>
      <c r="L96" s="5" t="s">
        <v>324</v>
      </c>
      <c r="M96" s="7">
        <v>6</v>
      </c>
      <c r="N96" s="7" t="s">
        <v>176</v>
      </c>
      <c r="O96" s="8">
        <v>6935</v>
      </c>
      <c r="P96" s="9">
        <v>0.02</v>
      </c>
      <c r="Q96" s="10">
        <f t="shared" si="13"/>
        <v>139</v>
      </c>
      <c r="R96" s="9">
        <v>5.0000000000000001E-3</v>
      </c>
      <c r="S96" s="10">
        <f t="shared" si="14"/>
        <v>35</v>
      </c>
      <c r="T96" s="9">
        <f t="shared" si="15"/>
        <v>2.5090122566690701E-2</v>
      </c>
      <c r="U96" s="10">
        <f t="shared" si="16"/>
        <v>174</v>
      </c>
      <c r="V96" s="10">
        <f t="shared" si="17"/>
        <v>7109</v>
      </c>
      <c r="W96" s="11">
        <v>7074</v>
      </c>
      <c r="X96" s="12">
        <f t="shared" si="18"/>
        <v>139</v>
      </c>
      <c r="Y96" s="13">
        <f t="shared" si="19"/>
        <v>0.02</v>
      </c>
      <c r="Z96" s="14" t="str">
        <f t="shared" si="20"/>
        <v>0.00%-8.40%</v>
      </c>
      <c r="AA96" s="15"/>
      <c r="AB96" s="15"/>
      <c r="AC96" s="15"/>
      <c r="AD96" s="16"/>
      <c r="AE96" s="8">
        <f t="shared" si="21"/>
        <v>0</v>
      </c>
      <c r="AF96" s="17">
        <f t="shared" si="22"/>
        <v>7074</v>
      </c>
      <c r="AG96" s="18">
        <f t="shared" si="23"/>
        <v>139</v>
      </c>
      <c r="AH96" s="19">
        <f t="shared" si="24"/>
        <v>2.0043258832011634E-2</v>
      </c>
      <c r="AI96" s="20">
        <v>13.6</v>
      </c>
      <c r="AJ96" s="20">
        <v>500</v>
      </c>
      <c r="AK96" s="20"/>
      <c r="AL96" s="20">
        <v>688</v>
      </c>
      <c r="AM96" s="20">
        <f t="shared" si="25"/>
        <v>102894.39999999999</v>
      </c>
      <c r="AN96" s="7" t="s">
        <v>176</v>
      </c>
      <c r="AO96" s="20"/>
      <c r="AP96" s="21"/>
      <c r="AQ96" s="21"/>
      <c r="AR96" s="5" t="s">
        <v>163</v>
      </c>
      <c r="AS96" s="5" t="s">
        <v>164</v>
      </c>
    </row>
    <row r="97" spans="1:50">
      <c r="A97" s="86" t="s">
        <v>318</v>
      </c>
      <c r="B97" s="5">
        <v>15017968</v>
      </c>
      <c r="C97" s="5" t="s">
        <v>447</v>
      </c>
      <c r="D97" s="5" t="s">
        <v>360</v>
      </c>
      <c r="E97" s="5" t="s">
        <v>52</v>
      </c>
      <c r="F97" s="5" t="s">
        <v>62</v>
      </c>
      <c r="G97" s="5" t="s">
        <v>180</v>
      </c>
      <c r="H97" s="5" t="s">
        <v>181</v>
      </c>
      <c r="I97" s="6">
        <v>42933</v>
      </c>
      <c r="J97" s="5" t="s">
        <v>377</v>
      </c>
      <c r="K97" s="5" t="s">
        <v>446</v>
      </c>
      <c r="L97" s="5" t="s">
        <v>324</v>
      </c>
      <c r="M97" s="7">
        <v>6</v>
      </c>
      <c r="N97" s="7" t="s">
        <v>176</v>
      </c>
      <c r="O97" s="8">
        <v>6926</v>
      </c>
      <c r="P97" s="9">
        <v>0.02</v>
      </c>
      <c r="Q97" s="10">
        <f t="shared" si="13"/>
        <v>139</v>
      </c>
      <c r="R97" s="9">
        <v>5.0000000000000001E-3</v>
      </c>
      <c r="S97" s="10">
        <f t="shared" si="14"/>
        <v>35</v>
      </c>
      <c r="T97" s="9">
        <f t="shared" si="15"/>
        <v>2.5122725960150159E-2</v>
      </c>
      <c r="U97" s="10">
        <f t="shared" si="16"/>
        <v>174</v>
      </c>
      <c r="V97" s="10">
        <f t="shared" si="17"/>
        <v>7100</v>
      </c>
      <c r="W97" s="11">
        <f t="shared" si="26"/>
        <v>7100</v>
      </c>
      <c r="X97" s="12">
        <f t="shared" si="18"/>
        <v>174</v>
      </c>
      <c r="Y97" s="13">
        <f t="shared" si="19"/>
        <v>2.5100000000000001E-2</v>
      </c>
      <c r="Z97" s="14" t="str">
        <f t="shared" si="20"/>
        <v>0.00%-8.40%</v>
      </c>
      <c r="AA97" s="15"/>
      <c r="AB97" s="15"/>
      <c r="AC97" s="15"/>
      <c r="AD97" s="16"/>
      <c r="AE97" s="8">
        <f t="shared" si="21"/>
        <v>0</v>
      </c>
      <c r="AF97" s="17">
        <f t="shared" si="22"/>
        <v>7100</v>
      </c>
      <c r="AG97" s="18">
        <f t="shared" si="23"/>
        <v>174</v>
      </c>
      <c r="AH97" s="19">
        <f t="shared" si="24"/>
        <v>2.5122725960150083E-2</v>
      </c>
      <c r="AI97" s="20">
        <v>13.6</v>
      </c>
      <c r="AJ97" s="20">
        <v>500</v>
      </c>
      <c r="AK97" s="20"/>
      <c r="AL97" s="20">
        <v>688</v>
      </c>
      <c r="AM97" s="20">
        <f t="shared" si="25"/>
        <v>103248</v>
      </c>
      <c r="AN97" s="7" t="s">
        <v>176</v>
      </c>
      <c r="AO97" s="20"/>
      <c r="AP97" s="21"/>
      <c r="AQ97" s="21"/>
      <c r="AR97" s="5" t="s">
        <v>163</v>
      </c>
      <c r="AS97" s="5" t="s">
        <v>164</v>
      </c>
    </row>
    <row r="98" spans="1:50">
      <c r="A98" s="86" t="s">
        <v>318</v>
      </c>
      <c r="B98" s="5">
        <v>15004094</v>
      </c>
      <c r="C98" s="5" t="s">
        <v>448</v>
      </c>
      <c r="D98" s="5" t="s">
        <v>360</v>
      </c>
      <c r="E98" s="5" t="s">
        <v>52</v>
      </c>
      <c r="F98" s="5" t="s">
        <v>62</v>
      </c>
      <c r="G98" s="5" t="s">
        <v>180</v>
      </c>
      <c r="H98" s="5" t="s">
        <v>181</v>
      </c>
      <c r="I98" s="6">
        <v>40360</v>
      </c>
      <c r="J98" s="5" t="s">
        <v>377</v>
      </c>
      <c r="K98" s="5" t="s">
        <v>449</v>
      </c>
      <c r="L98" s="5" t="s">
        <v>324</v>
      </c>
      <c r="M98" s="7">
        <v>6</v>
      </c>
      <c r="N98" s="7" t="s">
        <v>176</v>
      </c>
      <c r="O98" s="8">
        <v>7548</v>
      </c>
      <c r="P98" s="9">
        <v>0.02</v>
      </c>
      <c r="Q98" s="10">
        <f t="shared" si="13"/>
        <v>151</v>
      </c>
      <c r="R98" s="9">
        <v>5.0000000000000001E-3</v>
      </c>
      <c r="S98" s="10">
        <f t="shared" si="14"/>
        <v>38</v>
      </c>
      <c r="T98" s="9">
        <f t="shared" si="15"/>
        <v>2.5039745627980923E-2</v>
      </c>
      <c r="U98" s="10">
        <f t="shared" si="16"/>
        <v>189</v>
      </c>
      <c r="V98" s="10">
        <f t="shared" si="17"/>
        <v>7737</v>
      </c>
      <c r="W98" s="11">
        <v>7699</v>
      </c>
      <c r="X98" s="12">
        <f t="shared" si="18"/>
        <v>151</v>
      </c>
      <c r="Y98" s="13">
        <f t="shared" si="19"/>
        <v>0.02</v>
      </c>
      <c r="Z98" s="14" t="str">
        <f t="shared" si="20"/>
        <v>0.00%-8.40%</v>
      </c>
      <c r="AA98" s="15"/>
      <c r="AB98" s="15"/>
      <c r="AC98" s="15"/>
      <c r="AD98" s="16"/>
      <c r="AE98" s="8">
        <f t="shared" si="21"/>
        <v>0</v>
      </c>
      <c r="AF98" s="17">
        <f t="shared" si="22"/>
        <v>7699</v>
      </c>
      <c r="AG98" s="18">
        <f t="shared" si="23"/>
        <v>151</v>
      </c>
      <c r="AH98" s="19">
        <f t="shared" si="24"/>
        <v>2.0005299417064082E-2</v>
      </c>
      <c r="AI98" s="20">
        <v>13.6</v>
      </c>
      <c r="AJ98" s="20">
        <v>500</v>
      </c>
      <c r="AK98" s="20"/>
      <c r="AL98" s="20">
        <v>688</v>
      </c>
      <c r="AM98" s="20">
        <f t="shared" si="25"/>
        <v>111394.4</v>
      </c>
      <c r="AN98" s="7" t="s">
        <v>176</v>
      </c>
      <c r="AO98" s="20"/>
      <c r="AP98" s="21"/>
      <c r="AQ98" s="21"/>
      <c r="AR98" s="5" t="s">
        <v>163</v>
      </c>
      <c r="AS98" s="5" t="s">
        <v>164</v>
      </c>
    </row>
    <row r="99" spans="1:50">
      <c r="A99" s="86" t="s">
        <v>318</v>
      </c>
      <c r="B99" s="5">
        <v>15002688</v>
      </c>
      <c r="C99" s="5" t="s">
        <v>450</v>
      </c>
      <c r="D99" s="5" t="s">
        <v>360</v>
      </c>
      <c r="E99" s="5" t="s">
        <v>52</v>
      </c>
      <c r="F99" s="5" t="s">
        <v>62</v>
      </c>
      <c r="G99" s="5" t="s">
        <v>180</v>
      </c>
      <c r="H99" s="5" t="s">
        <v>181</v>
      </c>
      <c r="I99" s="6">
        <v>40031</v>
      </c>
      <c r="J99" s="5" t="s">
        <v>377</v>
      </c>
      <c r="K99" s="5" t="s">
        <v>377</v>
      </c>
      <c r="L99" s="5" t="s">
        <v>324</v>
      </c>
      <c r="M99" s="7">
        <v>6</v>
      </c>
      <c r="N99" s="7" t="s">
        <v>176</v>
      </c>
      <c r="O99" s="8">
        <v>7424</v>
      </c>
      <c r="P99" s="9">
        <v>0.02</v>
      </c>
      <c r="Q99" s="10">
        <f t="shared" si="13"/>
        <v>148</v>
      </c>
      <c r="R99" s="9">
        <v>5.0000000000000001E-3</v>
      </c>
      <c r="S99" s="10">
        <f t="shared" si="14"/>
        <v>37</v>
      </c>
      <c r="T99" s="9">
        <f t="shared" si="15"/>
        <v>2.4919181034482759E-2</v>
      </c>
      <c r="U99" s="10">
        <f t="shared" si="16"/>
        <v>185</v>
      </c>
      <c r="V99" s="10">
        <f t="shared" si="17"/>
        <v>7609</v>
      </c>
      <c r="W99" s="11">
        <f t="shared" si="26"/>
        <v>7609</v>
      </c>
      <c r="X99" s="12">
        <f t="shared" si="18"/>
        <v>185</v>
      </c>
      <c r="Y99" s="13">
        <f t="shared" si="19"/>
        <v>2.4899999999999999E-2</v>
      </c>
      <c r="Z99" s="14" t="str">
        <f t="shared" si="20"/>
        <v>0.00%-8.40%</v>
      </c>
      <c r="AA99" s="15"/>
      <c r="AB99" s="15"/>
      <c r="AC99" s="15"/>
      <c r="AD99" s="16"/>
      <c r="AE99" s="8">
        <f t="shared" si="21"/>
        <v>0</v>
      </c>
      <c r="AF99" s="17">
        <f t="shared" si="22"/>
        <v>7609</v>
      </c>
      <c r="AG99" s="18">
        <f t="shared" si="23"/>
        <v>185</v>
      </c>
      <c r="AH99" s="19">
        <f t="shared" si="24"/>
        <v>2.4919181034482651E-2</v>
      </c>
      <c r="AI99" s="20">
        <v>13.6</v>
      </c>
      <c r="AJ99" s="20">
        <v>450</v>
      </c>
      <c r="AK99" s="20"/>
      <c r="AL99" s="20">
        <v>688</v>
      </c>
      <c r="AM99" s="20">
        <f t="shared" si="25"/>
        <v>109570.4</v>
      </c>
      <c r="AN99" s="7" t="s">
        <v>176</v>
      </c>
      <c r="AO99" s="20"/>
      <c r="AP99" s="21"/>
      <c r="AQ99" s="21"/>
      <c r="AR99" s="5" t="s">
        <v>163</v>
      </c>
      <c r="AS99" s="5" t="s">
        <v>164</v>
      </c>
    </row>
    <row r="100" spans="1:50">
      <c r="A100" s="86" t="s">
        <v>318</v>
      </c>
      <c r="B100" s="5">
        <v>15012354</v>
      </c>
      <c r="C100" s="5" t="s">
        <v>451</v>
      </c>
      <c r="D100" s="5" t="s">
        <v>360</v>
      </c>
      <c r="E100" s="5" t="s">
        <v>52</v>
      </c>
      <c r="F100" s="5" t="s">
        <v>62</v>
      </c>
      <c r="G100" s="5" t="s">
        <v>180</v>
      </c>
      <c r="H100" s="5" t="s">
        <v>181</v>
      </c>
      <c r="I100" s="6">
        <v>41606</v>
      </c>
      <c r="J100" s="5" t="s">
        <v>377</v>
      </c>
      <c r="K100" s="5" t="s">
        <v>449</v>
      </c>
      <c r="L100" s="5" t="s">
        <v>324</v>
      </c>
      <c r="M100" s="7">
        <v>6</v>
      </c>
      <c r="N100" s="7" t="s">
        <v>176</v>
      </c>
      <c r="O100" s="8">
        <v>7230</v>
      </c>
      <c r="P100" s="9">
        <v>0.02</v>
      </c>
      <c r="Q100" s="10">
        <f t="shared" si="13"/>
        <v>145</v>
      </c>
      <c r="R100" s="9">
        <v>5.0000000000000001E-3</v>
      </c>
      <c r="S100" s="10">
        <f t="shared" si="14"/>
        <v>36</v>
      </c>
      <c r="T100" s="9">
        <f t="shared" si="15"/>
        <v>2.5034578146611343E-2</v>
      </c>
      <c r="U100" s="10">
        <f t="shared" si="16"/>
        <v>181</v>
      </c>
      <c r="V100" s="10">
        <f t="shared" si="17"/>
        <v>7411</v>
      </c>
      <c r="W100" s="11">
        <v>7447</v>
      </c>
      <c r="X100" s="12">
        <f t="shared" si="18"/>
        <v>217</v>
      </c>
      <c r="Y100" s="13">
        <f t="shared" si="19"/>
        <v>0.03</v>
      </c>
      <c r="Z100" s="14" t="str">
        <f t="shared" si="20"/>
        <v>0.00%-8.40%</v>
      </c>
      <c r="AA100" s="15"/>
      <c r="AB100" s="15"/>
      <c r="AC100" s="15"/>
      <c r="AD100" s="16"/>
      <c r="AE100" s="8">
        <f t="shared" si="21"/>
        <v>0</v>
      </c>
      <c r="AF100" s="17">
        <f t="shared" si="22"/>
        <v>7447</v>
      </c>
      <c r="AG100" s="18">
        <f t="shared" si="23"/>
        <v>217</v>
      </c>
      <c r="AH100" s="19">
        <f t="shared" si="24"/>
        <v>3.001383125864443E-2</v>
      </c>
      <c r="AI100" s="20">
        <v>13.6</v>
      </c>
      <c r="AJ100" s="20">
        <v>500</v>
      </c>
      <c r="AK100" s="20"/>
      <c r="AL100" s="20">
        <v>688</v>
      </c>
      <c r="AM100" s="20">
        <f t="shared" si="25"/>
        <v>107967.2</v>
      </c>
      <c r="AN100" s="7" t="s">
        <v>176</v>
      </c>
      <c r="AO100" s="20"/>
      <c r="AP100" s="21"/>
      <c r="AQ100" s="21"/>
      <c r="AR100" s="5" t="s">
        <v>163</v>
      </c>
      <c r="AS100" s="5" t="s">
        <v>164</v>
      </c>
    </row>
    <row r="101" spans="1:50">
      <c r="A101" s="86" t="s">
        <v>318</v>
      </c>
      <c r="B101" s="5">
        <v>15021120</v>
      </c>
      <c r="C101" s="5" t="s">
        <v>452</v>
      </c>
      <c r="D101" s="5" t="s">
        <v>360</v>
      </c>
      <c r="E101" s="5" t="s">
        <v>52</v>
      </c>
      <c r="F101" s="5" t="s">
        <v>62</v>
      </c>
      <c r="G101" s="5" t="s">
        <v>180</v>
      </c>
      <c r="H101" s="5" t="s">
        <v>181</v>
      </c>
      <c r="I101" s="6">
        <v>44279</v>
      </c>
      <c r="J101" s="5" t="s">
        <v>434</v>
      </c>
      <c r="K101" s="5" t="s">
        <v>435</v>
      </c>
      <c r="L101" s="5" t="s">
        <v>324</v>
      </c>
      <c r="M101" s="7">
        <v>6</v>
      </c>
      <c r="N101" s="7" t="s">
        <v>176</v>
      </c>
      <c r="O101" s="8">
        <v>7316</v>
      </c>
      <c r="P101" s="9">
        <v>0.02</v>
      </c>
      <c r="Q101" s="10">
        <f t="shared" si="13"/>
        <v>146</v>
      </c>
      <c r="R101" s="9">
        <v>5.0000000000000001E-3</v>
      </c>
      <c r="S101" s="10">
        <f t="shared" si="14"/>
        <v>37</v>
      </c>
      <c r="T101" s="9">
        <f t="shared" si="15"/>
        <v>2.5013668671405139E-2</v>
      </c>
      <c r="U101" s="10">
        <f t="shared" si="16"/>
        <v>183</v>
      </c>
      <c r="V101" s="10">
        <f t="shared" si="17"/>
        <v>7499</v>
      </c>
      <c r="W101" s="11">
        <v>7463</v>
      </c>
      <c r="X101" s="12">
        <f t="shared" si="18"/>
        <v>147</v>
      </c>
      <c r="Y101" s="13">
        <f t="shared" si="19"/>
        <v>2.01E-2</v>
      </c>
      <c r="Z101" s="14" t="str">
        <f t="shared" si="20"/>
        <v>0.00%-8.40%</v>
      </c>
      <c r="AA101" s="15"/>
      <c r="AB101" s="15"/>
      <c r="AC101" s="15"/>
      <c r="AD101" s="16"/>
      <c r="AE101" s="8">
        <f t="shared" si="21"/>
        <v>0</v>
      </c>
      <c r="AF101" s="17">
        <f t="shared" si="22"/>
        <v>7463</v>
      </c>
      <c r="AG101" s="18">
        <f t="shared" si="23"/>
        <v>147</v>
      </c>
      <c r="AH101" s="19">
        <f t="shared" si="24"/>
        <v>2.0092946965554859E-2</v>
      </c>
      <c r="AI101" s="20">
        <v>13.6</v>
      </c>
      <c r="AJ101" s="20">
        <v>500</v>
      </c>
      <c r="AK101" s="20"/>
      <c r="AL101" s="20">
        <v>688</v>
      </c>
      <c r="AM101" s="20">
        <f t="shared" si="25"/>
        <v>108184.8</v>
      </c>
      <c r="AN101" s="7" t="s">
        <v>176</v>
      </c>
      <c r="AO101" s="20"/>
      <c r="AP101" s="21"/>
      <c r="AQ101" s="21"/>
      <c r="AR101" s="5" t="s">
        <v>163</v>
      </c>
      <c r="AS101" s="5" t="s">
        <v>164</v>
      </c>
    </row>
    <row r="102" spans="1:50">
      <c r="A102" s="86" t="s">
        <v>318</v>
      </c>
      <c r="B102" s="5">
        <v>15020207</v>
      </c>
      <c r="C102" s="5" t="s">
        <v>453</v>
      </c>
      <c r="D102" s="5" t="s">
        <v>360</v>
      </c>
      <c r="E102" s="5" t="s">
        <v>52</v>
      </c>
      <c r="F102" s="5" t="s">
        <v>62</v>
      </c>
      <c r="G102" s="5" t="s">
        <v>180</v>
      </c>
      <c r="H102" s="5" t="s">
        <v>181</v>
      </c>
      <c r="I102" s="6">
        <v>44013</v>
      </c>
      <c r="J102" s="5" t="s">
        <v>279</v>
      </c>
      <c r="K102" s="5" t="s">
        <v>279</v>
      </c>
      <c r="L102" s="5" t="s">
        <v>324</v>
      </c>
      <c r="M102" s="7">
        <v>6</v>
      </c>
      <c r="N102" s="7" t="s">
        <v>176</v>
      </c>
      <c r="O102" s="8">
        <v>7141</v>
      </c>
      <c r="P102" s="9">
        <v>0.02</v>
      </c>
      <c r="Q102" s="10">
        <f t="shared" si="13"/>
        <v>143</v>
      </c>
      <c r="R102" s="9">
        <v>5.0000000000000001E-3</v>
      </c>
      <c r="S102" s="10">
        <f t="shared" si="14"/>
        <v>36</v>
      </c>
      <c r="T102" s="9">
        <f t="shared" si="15"/>
        <v>2.5066517294496569E-2</v>
      </c>
      <c r="U102" s="10">
        <f t="shared" si="16"/>
        <v>179</v>
      </c>
      <c r="V102" s="10">
        <f t="shared" si="17"/>
        <v>7320</v>
      </c>
      <c r="W102" s="11">
        <f>V102+301</f>
        <v>7621</v>
      </c>
      <c r="X102" s="12">
        <f t="shared" si="18"/>
        <v>480</v>
      </c>
      <c r="Y102" s="13">
        <f t="shared" si="19"/>
        <v>6.7199999999999996E-2</v>
      </c>
      <c r="Z102" s="14" t="str">
        <f t="shared" si="20"/>
        <v>0.00%-8.40%</v>
      </c>
      <c r="AA102" s="15"/>
      <c r="AB102" s="15"/>
      <c r="AC102" s="15"/>
      <c r="AD102" s="16"/>
      <c r="AE102" s="8">
        <f t="shared" si="21"/>
        <v>0</v>
      </c>
      <c r="AF102" s="17">
        <f t="shared" si="22"/>
        <v>7621</v>
      </c>
      <c r="AG102" s="18">
        <f t="shared" si="23"/>
        <v>480</v>
      </c>
      <c r="AH102" s="19">
        <f t="shared" si="24"/>
        <v>6.7217476543901311E-2</v>
      </c>
      <c r="AI102" s="20">
        <v>13.6</v>
      </c>
      <c r="AJ102" s="20">
        <v>500</v>
      </c>
      <c r="AK102" s="20"/>
      <c r="AL102" s="20">
        <v>688</v>
      </c>
      <c r="AM102" s="20">
        <f t="shared" si="25"/>
        <v>110333.59999999999</v>
      </c>
      <c r="AN102" s="7" t="s">
        <v>176</v>
      </c>
      <c r="AO102" s="20"/>
      <c r="AP102" s="21"/>
      <c r="AQ102" s="21"/>
      <c r="AR102" s="5" t="s">
        <v>163</v>
      </c>
      <c r="AS102" s="5" t="s">
        <v>164</v>
      </c>
    </row>
    <row r="103" spans="1:50">
      <c r="A103" s="86" t="s">
        <v>318</v>
      </c>
      <c r="B103" s="5">
        <v>15017143</v>
      </c>
      <c r="C103" s="5" t="s">
        <v>454</v>
      </c>
      <c r="D103" s="5" t="s">
        <v>360</v>
      </c>
      <c r="E103" s="5" t="s">
        <v>52</v>
      </c>
      <c r="F103" s="5" t="s">
        <v>62</v>
      </c>
      <c r="G103" s="5" t="s">
        <v>180</v>
      </c>
      <c r="H103" s="5" t="s">
        <v>181</v>
      </c>
      <c r="I103" s="6">
        <v>42849</v>
      </c>
      <c r="J103" s="5" t="s">
        <v>279</v>
      </c>
      <c r="K103" s="5" t="s">
        <v>279</v>
      </c>
      <c r="L103" s="5" t="s">
        <v>324</v>
      </c>
      <c r="M103" s="7">
        <v>6</v>
      </c>
      <c r="N103" s="7" t="s">
        <v>176</v>
      </c>
      <c r="O103" s="8">
        <v>7826</v>
      </c>
      <c r="P103" s="9">
        <v>0.02</v>
      </c>
      <c r="Q103" s="10">
        <f t="shared" si="13"/>
        <v>157</v>
      </c>
      <c r="R103" s="9">
        <v>5.0000000000000001E-3</v>
      </c>
      <c r="S103" s="10">
        <f t="shared" si="14"/>
        <v>39</v>
      </c>
      <c r="T103" s="9">
        <f t="shared" si="15"/>
        <v>2.5044722719141325E-2</v>
      </c>
      <c r="U103" s="10">
        <f t="shared" si="16"/>
        <v>196</v>
      </c>
      <c r="V103" s="10">
        <f t="shared" si="17"/>
        <v>8022</v>
      </c>
      <c r="W103" s="11">
        <f t="shared" si="26"/>
        <v>8022</v>
      </c>
      <c r="X103" s="12">
        <f t="shared" si="18"/>
        <v>196</v>
      </c>
      <c r="Y103" s="13">
        <f t="shared" si="19"/>
        <v>2.5000000000000001E-2</v>
      </c>
      <c r="Z103" s="14" t="str">
        <f t="shared" si="20"/>
        <v>0.00%-8.40%</v>
      </c>
      <c r="AA103" s="15"/>
      <c r="AB103" s="15"/>
      <c r="AC103" s="15"/>
      <c r="AD103" s="16"/>
      <c r="AE103" s="8">
        <f t="shared" si="21"/>
        <v>0</v>
      </c>
      <c r="AF103" s="17">
        <f t="shared" si="22"/>
        <v>8022</v>
      </c>
      <c r="AG103" s="18">
        <f t="shared" si="23"/>
        <v>196</v>
      </c>
      <c r="AH103" s="19">
        <f t="shared" si="24"/>
        <v>2.5044722719141266E-2</v>
      </c>
      <c r="AI103" s="20">
        <v>13.6</v>
      </c>
      <c r="AJ103" s="20">
        <v>500</v>
      </c>
      <c r="AK103" s="20"/>
      <c r="AL103" s="20">
        <v>688</v>
      </c>
      <c r="AM103" s="20">
        <f t="shared" si="25"/>
        <v>115787.2</v>
      </c>
      <c r="AN103" s="7" t="s">
        <v>176</v>
      </c>
      <c r="AO103" s="20"/>
      <c r="AP103" s="21"/>
      <c r="AQ103" s="21"/>
      <c r="AR103" s="5" t="s">
        <v>163</v>
      </c>
      <c r="AS103" s="5" t="s">
        <v>164</v>
      </c>
    </row>
    <row r="104" spans="1:50">
      <c r="A104" s="86" t="s">
        <v>318</v>
      </c>
      <c r="B104" s="5">
        <v>15000343</v>
      </c>
      <c r="C104" s="5" t="s">
        <v>455</v>
      </c>
      <c r="D104" s="5" t="s">
        <v>360</v>
      </c>
      <c r="E104" s="5" t="s">
        <v>52</v>
      </c>
      <c r="F104" s="5" t="s">
        <v>62</v>
      </c>
      <c r="G104" s="5" t="s">
        <v>180</v>
      </c>
      <c r="H104" s="5" t="s">
        <v>181</v>
      </c>
      <c r="I104" s="6">
        <v>38754</v>
      </c>
      <c r="J104" s="5" t="s">
        <v>377</v>
      </c>
      <c r="K104" s="5" t="s">
        <v>456</v>
      </c>
      <c r="L104" s="5" t="s">
        <v>324</v>
      </c>
      <c r="M104" s="7">
        <v>6</v>
      </c>
      <c r="N104" s="7" t="s">
        <v>176</v>
      </c>
      <c r="O104" s="8">
        <v>6987</v>
      </c>
      <c r="P104" s="9">
        <v>0.02</v>
      </c>
      <c r="Q104" s="10">
        <f t="shared" si="13"/>
        <v>140</v>
      </c>
      <c r="R104" s="9">
        <v>5.0000000000000001E-3</v>
      </c>
      <c r="S104" s="10">
        <f t="shared" si="14"/>
        <v>35</v>
      </c>
      <c r="T104" s="9">
        <f t="shared" si="15"/>
        <v>2.5046514956347504E-2</v>
      </c>
      <c r="U104" s="10">
        <f t="shared" si="16"/>
        <v>175</v>
      </c>
      <c r="V104" s="10">
        <f t="shared" si="17"/>
        <v>7162</v>
      </c>
      <c r="W104" s="11">
        <f>O104+30</f>
        <v>7017</v>
      </c>
      <c r="X104" s="12">
        <f t="shared" si="18"/>
        <v>30</v>
      </c>
      <c r="Y104" s="13">
        <f t="shared" si="19"/>
        <v>4.3E-3</v>
      </c>
      <c r="Z104" s="14" t="str">
        <f t="shared" si="20"/>
        <v>0.00%-8.40%</v>
      </c>
      <c r="AA104" s="15"/>
      <c r="AB104" s="15"/>
      <c r="AC104" s="15"/>
      <c r="AD104" s="16"/>
      <c r="AE104" s="8">
        <f t="shared" si="21"/>
        <v>0</v>
      </c>
      <c r="AF104" s="17">
        <f t="shared" si="22"/>
        <v>7017</v>
      </c>
      <c r="AG104" s="18">
        <f t="shared" si="23"/>
        <v>30</v>
      </c>
      <c r="AH104" s="19">
        <f t="shared" si="24"/>
        <v>4.293688278230956E-3</v>
      </c>
      <c r="AI104" s="20">
        <v>13.6</v>
      </c>
      <c r="AJ104" s="20">
        <v>500</v>
      </c>
      <c r="AK104" s="20"/>
      <c r="AL104" s="20">
        <v>688</v>
      </c>
      <c r="AM104" s="20">
        <f t="shared" si="25"/>
        <v>102119.2</v>
      </c>
      <c r="AN104" s="7" t="s">
        <v>176</v>
      </c>
      <c r="AO104" s="20"/>
      <c r="AP104" s="21"/>
      <c r="AQ104" s="21"/>
      <c r="AR104" s="5" t="s">
        <v>163</v>
      </c>
      <c r="AS104" s="5" t="s">
        <v>164</v>
      </c>
    </row>
    <row r="105" spans="1:50">
      <c r="A105" s="86" t="s">
        <v>318</v>
      </c>
      <c r="B105" s="5">
        <v>15020669</v>
      </c>
      <c r="C105" s="5" t="s">
        <v>457</v>
      </c>
      <c r="D105" s="5" t="s">
        <v>360</v>
      </c>
      <c r="E105" s="5" t="s">
        <v>52</v>
      </c>
      <c r="F105" s="5" t="s">
        <v>62</v>
      </c>
      <c r="G105" s="5" t="s">
        <v>180</v>
      </c>
      <c r="H105" s="5" t="s">
        <v>181</v>
      </c>
      <c r="I105" s="6">
        <v>45418</v>
      </c>
      <c r="J105" s="5" t="s">
        <v>377</v>
      </c>
      <c r="K105" s="5" t="s">
        <v>377</v>
      </c>
      <c r="L105" s="5" t="s">
        <v>324</v>
      </c>
      <c r="M105" s="7">
        <v>6</v>
      </c>
      <c r="N105" s="7" t="s">
        <v>176</v>
      </c>
      <c r="O105" s="8">
        <v>6970</v>
      </c>
      <c r="P105" s="9">
        <v>0.02</v>
      </c>
      <c r="Q105" s="10">
        <f t="shared" si="13"/>
        <v>139</v>
      </c>
      <c r="R105" s="9">
        <v>5.0000000000000001E-3</v>
      </c>
      <c r="S105" s="10">
        <f t="shared" si="14"/>
        <v>35</v>
      </c>
      <c r="T105" s="9">
        <f t="shared" si="15"/>
        <v>2.4964131994261118E-2</v>
      </c>
      <c r="U105" s="10">
        <f t="shared" si="16"/>
        <v>174</v>
      </c>
      <c r="V105" s="10">
        <f t="shared" si="17"/>
        <v>7144</v>
      </c>
      <c r="W105" s="11">
        <f>O105+30</f>
        <v>7000</v>
      </c>
      <c r="X105" s="12">
        <f t="shared" si="18"/>
        <v>30</v>
      </c>
      <c r="Y105" s="13">
        <f t="shared" si="19"/>
        <v>4.3E-3</v>
      </c>
      <c r="Z105" s="14" t="str">
        <f t="shared" si="20"/>
        <v>0.00%-8.40%</v>
      </c>
      <c r="AA105" s="15"/>
      <c r="AB105" s="15"/>
      <c r="AC105" s="15"/>
      <c r="AD105" s="16"/>
      <c r="AE105" s="8">
        <f t="shared" si="21"/>
        <v>0</v>
      </c>
      <c r="AF105" s="17">
        <f t="shared" si="22"/>
        <v>7000</v>
      </c>
      <c r="AG105" s="18">
        <f t="shared" si="23"/>
        <v>30</v>
      </c>
      <c r="AH105" s="19">
        <f t="shared" si="24"/>
        <v>4.3041606886657924E-3</v>
      </c>
      <c r="AI105" s="20">
        <v>13.6</v>
      </c>
      <c r="AJ105" s="20">
        <v>500</v>
      </c>
      <c r="AK105" s="20"/>
      <c r="AL105" s="20">
        <v>688</v>
      </c>
      <c r="AM105" s="20">
        <f t="shared" si="25"/>
        <v>101888</v>
      </c>
      <c r="AN105" s="7" t="s">
        <v>176</v>
      </c>
      <c r="AO105" s="20"/>
      <c r="AP105" s="21"/>
      <c r="AQ105" s="21"/>
      <c r="AR105" s="5" t="s">
        <v>163</v>
      </c>
      <c r="AS105" s="5" t="s">
        <v>164</v>
      </c>
    </row>
    <row r="106" spans="1:50">
      <c r="A106" s="86" t="s">
        <v>318</v>
      </c>
      <c r="B106" s="5">
        <v>15002039</v>
      </c>
      <c r="C106" s="5" t="s">
        <v>458</v>
      </c>
      <c r="D106" s="5" t="s">
        <v>360</v>
      </c>
      <c r="E106" s="5" t="s">
        <v>52</v>
      </c>
      <c r="F106" s="5" t="s">
        <v>62</v>
      </c>
      <c r="G106" s="5" t="s">
        <v>180</v>
      </c>
      <c r="H106" s="5" t="s">
        <v>181</v>
      </c>
      <c r="I106" s="6">
        <v>39727</v>
      </c>
      <c r="J106" s="5" t="s">
        <v>377</v>
      </c>
      <c r="K106" s="5" t="s">
        <v>377</v>
      </c>
      <c r="L106" s="5" t="s">
        <v>324</v>
      </c>
      <c r="M106" s="7">
        <v>6</v>
      </c>
      <c r="N106" s="7" t="s">
        <v>176</v>
      </c>
      <c r="O106" s="8">
        <v>7096</v>
      </c>
      <c r="P106" s="9">
        <v>0.02</v>
      </c>
      <c r="Q106" s="10">
        <f t="shared" si="13"/>
        <v>142</v>
      </c>
      <c r="R106" s="9">
        <v>5.0000000000000001E-3</v>
      </c>
      <c r="S106" s="10">
        <f t="shared" si="14"/>
        <v>35</v>
      </c>
      <c r="T106" s="9">
        <f t="shared" si="15"/>
        <v>2.4943630214205186E-2</v>
      </c>
      <c r="U106" s="10">
        <f t="shared" si="16"/>
        <v>177</v>
      </c>
      <c r="V106" s="10">
        <f t="shared" si="17"/>
        <v>7273</v>
      </c>
      <c r="W106" s="11">
        <v>7259</v>
      </c>
      <c r="X106" s="12">
        <f t="shared" si="18"/>
        <v>163</v>
      </c>
      <c r="Y106" s="13">
        <f t="shared" si="19"/>
        <v>2.3E-2</v>
      </c>
      <c r="Z106" s="14" t="str">
        <f t="shared" si="20"/>
        <v>0.00%-8.40%</v>
      </c>
      <c r="AA106" s="15"/>
      <c r="AB106" s="15"/>
      <c r="AC106" s="15"/>
      <c r="AD106" s="16"/>
      <c r="AE106" s="8">
        <f t="shared" si="21"/>
        <v>0</v>
      </c>
      <c r="AF106" s="17">
        <f t="shared" si="22"/>
        <v>7259</v>
      </c>
      <c r="AG106" s="18">
        <f t="shared" si="23"/>
        <v>163</v>
      </c>
      <c r="AH106" s="19">
        <f t="shared" si="24"/>
        <v>2.2970687711386661E-2</v>
      </c>
      <c r="AI106" s="20">
        <v>13.6</v>
      </c>
      <c r="AJ106" s="20">
        <v>600</v>
      </c>
      <c r="AK106" s="20"/>
      <c r="AL106" s="20">
        <v>688</v>
      </c>
      <c r="AM106" s="20">
        <f t="shared" si="25"/>
        <v>106610.4</v>
      </c>
      <c r="AN106" s="7" t="s">
        <v>176</v>
      </c>
      <c r="AO106" s="20"/>
      <c r="AP106" s="21"/>
      <c r="AQ106" s="21"/>
      <c r="AR106" s="5" t="s">
        <v>163</v>
      </c>
      <c r="AS106" s="5" t="s">
        <v>164</v>
      </c>
    </row>
    <row r="107" spans="1:50">
      <c r="A107" s="86" t="s">
        <v>318</v>
      </c>
      <c r="B107" s="5">
        <v>15020206</v>
      </c>
      <c r="C107" s="5" t="s">
        <v>459</v>
      </c>
      <c r="D107" s="5" t="s">
        <v>360</v>
      </c>
      <c r="E107" s="5" t="s">
        <v>52</v>
      </c>
      <c r="F107" s="5" t="s">
        <v>62</v>
      </c>
      <c r="G107" s="5" t="s">
        <v>180</v>
      </c>
      <c r="H107" s="5" t="s">
        <v>181</v>
      </c>
      <c r="I107" s="6">
        <v>44013</v>
      </c>
      <c r="J107" s="5" t="s">
        <v>377</v>
      </c>
      <c r="K107" s="5" t="s">
        <v>377</v>
      </c>
      <c r="L107" s="5" t="s">
        <v>324</v>
      </c>
      <c r="M107" s="7">
        <v>6</v>
      </c>
      <c r="N107" s="7" t="s">
        <v>176</v>
      </c>
      <c r="O107" s="8">
        <v>5439</v>
      </c>
      <c r="P107" s="9">
        <v>0.02</v>
      </c>
      <c r="Q107" s="10">
        <f t="shared" si="13"/>
        <v>109</v>
      </c>
      <c r="R107" s="9">
        <v>5.0000000000000001E-3</v>
      </c>
      <c r="S107" s="10">
        <f t="shared" si="14"/>
        <v>27</v>
      </c>
      <c r="T107" s="9">
        <f t="shared" si="15"/>
        <v>2.5004596433167863E-2</v>
      </c>
      <c r="U107" s="10">
        <f t="shared" si="16"/>
        <v>136</v>
      </c>
      <c r="V107" s="10">
        <f t="shared" si="17"/>
        <v>5575</v>
      </c>
      <c r="W107" s="11">
        <v>5629</v>
      </c>
      <c r="X107" s="12">
        <f t="shared" si="18"/>
        <v>190</v>
      </c>
      <c r="Y107" s="13">
        <f t="shared" si="19"/>
        <v>3.49E-2</v>
      </c>
      <c r="Z107" s="14" t="str">
        <f t="shared" si="20"/>
        <v>0.00%-8.40%</v>
      </c>
      <c r="AA107" s="15"/>
      <c r="AB107" s="15"/>
      <c r="AC107" s="15"/>
      <c r="AD107" s="16"/>
      <c r="AE107" s="8">
        <f t="shared" si="21"/>
        <v>0</v>
      </c>
      <c r="AF107" s="17">
        <f t="shared" si="22"/>
        <v>5629</v>
      </c>
      <c r="AG107" s="18">
        <f t="shared" si="23"/>
        <v>190</v>
      </c>
      <c r="AH107" s="19">
        <f t="shared" si="24"/>
        <v>3.4932892075749233E-2</v>
      </c>
      <c r="AI107" s="20">
        <v>13.6</v>
      </c>
      <c r="AJ107" s="20">
        <v>500</v>
      </c>
      <c r="AK107" s="20"/>
      <c r="AL107" s="20">
        <v>688</v>
      </c>
      <c r="AM107" s="20">
        <f t="shared" si="25"/>
        <v>83242.399999999994</v>
      </c>
      <c r="AN107" s="7" t="s">
        <v>176</v>
      </c>
      <c r="AO107" s="20"/>
      <c r="AP107" s="21"/>
      <c r="AQ107" s="21"/>
      <c r="AR107" s="5" t="s">
        <v>163</v>
      </c>
      <c r="AS107" s="5" t="s">
        <v>164</v>
      </c>
    </row>
    <row r="108" spans="1:50">
      <c r="A108" s="86" t="s">
        <v>318</v>
      </c>
      <c r="B108" s="5">
        <v>15007997</v>
      </c>
      <c r="C108" s="5" t="s">
        <v>460</v>
      </c>
      <c r="D108" s="5" t="s">
        <v>360</v>
      </c>
      <c r="E108" s="5" t="s">
        <v>52</v>
      </c>
      <c r="F108" s="5" t="s">
        <v>62</v>
      </c>
      <c r="G108" s="5" t="s">
        <v>180</v>
      </c>
      <c r="H108" s="5" t="s">
        <v>181</v>
      </c>
      <c r="I108" s="6">
        <v>41334</v>
      </c>
      <c r="J108" s="5" t="s">
        <v>434</v>
      </c>
      <c r="K108" s="5" t="s">
        <v>435</v>
      </c>
      <c r="L108" s="5" t="s">
        <v>324</v>
      </c>
      <c r="M108" s="7">
        <v>6</v>
      </c>
      <c r="N108" s="7" t="s">
        <v>176</v>
      </c>
      <c r="O108" s="8">
        <v>7287</v>
      </c>
      <c r="P108" s="9">
        <v>0.02</v>
      </c>
      <c r="Q108" s="10">
        <f t="shared" si="13"/>
        <v>146</v>
      </c>
      <c r="R108" s="9">
        <v>5.0000000000000001E-3</v>
      </c>
      <c r="S108" s="10">
        <f t="shared" si="14"/>
        <v>36</v>
      </c>
      <c r="T108" s="9">
        <f t="shared" si="15"/>
        <v>2.4975984630163303E-2</v>
      </c>
      <c r="U108" s="10">
        <f t="shared" si="16"/>
        <v>182</v>
      </c>
      <c r="V108" s="10">
        <f t="shared" si="17"/>
        <v>7469</v>
      </c>
      <c r="W108" s="11">
        <f>V108-150</f>
        <v>7319</v>
      </c>
      <c r="X108" s="12">
        <f t="shared" si="18"/>
        <v>32</v>
      </c>
      <c r="Y108" s="13">
        <f t="shared" si="19"/>
        <v>4.4000000000000003E-3</v>
      </c>
      <c r="Z108" s="14" t="str">
        <f t="shared" si="20"/>
        <v>0.00%-8.40%</v>
      </c>
      <c r="AA108" s="15"/>
      <c r="AB108" s="15"/>
      <c r="AC108" s="15"/>
      <c r="AD108" s="16"/>
      <c r="AE108" s="8">
        <f t="shared" si="21"/>
        <v>0</v>
      </c>
      <c r="AF108" s="17">
        <f t="shared" si="22"/>
        <v>7319</v>
      </c>
      <c r="AG108" s="18">
        <f t="shared" si="23"/>
        <v>32</v>
      </c>
      <c r="AH108" s="19">
        <f t="shared" si="24"/>
        <v>4.3913819129957066E-3</v>
      </c>
      <c r="AI108" s="20">
        <v>13.6</v>
      </c>
      <c r="AJ108" s="20">
        <v>500</v>
      </c>
      <c r="AK108" s="20"/>
      <c r="AL108" s="20">
        <v>688</v>
      </c>
      <c r="AM108" s="20">
        <f t="shared" si="25"/>
        <v>106226.4</v>
      </c>
      <c r="AN108" s="7" t="s">
        <v>176</v>
      </c>
      <c r="AO108" s="20"/>
      <c r="AP108" s="21"/>
      <c r="AQ108" s="21"/>
      <c r="AR108" s="5" t="s">
        <v>163</v>
      </c>
      <c r="AS108" s="5" t="s">
        <v>164</v>
      </c>
    </row>
    <row r="109" spans="1:50">
      <c r="A109" s="86" t="s">
        <v>318</v>
      </c>
      <c r="B109" s="5">
        <v>15022455</v>
      </c>
      <c r="C109" s="5" t="s">
        <v>367</v>
      </c>
      <c r="D109" s="5" t="s">
        <v>360</v>
      </c>
      <c r="E109" s="5" t="s">
        <v>52</v>
      </c>
      <c r="F109" s="5" t="s">
        <v>62</v>
      </c>
      <c r="G109" s="5" t="s">
        <v>180</v>
      </c>
      <c r="H109" s="5" t="s">
        <v>181</v>
      </c>
      <c r="I109" s="6">
        <v>45422</v>
      </c>
      <c r="J109" s="5" t="s">
        <v>377</v>
      </c>
      <c r="K109" s="5" t="s">
        <v>456</v>
      </c>
      <c r="L109" s="5" t="s">
        <v>324</v>
      </c>
      <c r="M109" s="7">
        <v>6</v>
      </c>
      <c r="N109" s="7" t="s">
        <v>176</v>
      </c>
      <c r="O109" s="8">
        <v>6747</v>
      </c>
      <c r="P109" s="9">
        <v>0.02</v>
      </c>
      <c r="Q109" s="10">
        <f t="shared" si="13"/>
        <v>135</v>
      </c>
      <c r="R109" s="9">
        <v>5.0000000000000001E-3</v>
      </c>
      <c r="S109" s="10">
        <f t="shared" si="14"/>
        <v>34</v>
      </c>
      <c r="T109" s="9">
        <f t="shared" si="15"/>
        <v>2.5048169556840076E-2</v>
      </c>
      <c r="U109" s="10">
        <f t="shared" si="16"/>
        <v>169</v>
      </c>
      <c r="V109" s="10">
        <f t="shared" si="17"/>
        <v>6916</v>
      </c>
      <c r="W109" s="11">
        <f t="shared" si="26"/>
        <v>6916</v>
      </c>
      <c r="X109" s="12">
        <f t="shared" si="18"/>
        <v>169</v>
      </c>
      <c r="Y109" s="13">
        <f t="shared" si="19"/>
        <v>2.5000000000000001E-2</v>
      </c>
      <c r="Z109" s="14" t="str">
        <f t="shared" si="20"/>
        <v>0.00%-8.40%</v>
      </c>
      <c r="AA109" s="15"/>
      <c r="AB109" s="15"/>
      <c r="AC109" s="15"/>
      <c r="AD109" s="16"/>
      <c r="AE109" s="8">
        <f t="shared" si="21"/>
        <v>0</v>
      </c>
      <c r="AF109" s="17">
        <f t="shared" si="22"/>
        <v>6916</v>
      </c>
      <c r="AG109" s="18">
        <f t="shared" si="23"/>
        <v>169</v>
      </c>
      <c r="AH109" s="19">
        <f t="shared" si="24"/>
        <v>2.5048169556840083E-2</v>
      </c>
      <c r="AI109" s="20">
        <v>13.6</v>
      </c>
      <c r="AJ109" s="20">
        <v>600</v>
      </c>
      <c r="AK109" s="20"/>
      <c r="AL109" s="20">
        <v>688</v>
      </c>
      <c r="AM109" s="20">
        <f t="shared" si="25"/>
        <v>101945.59999999999</v>
      </c>
      <c r="AN109" s="7" t="s">
        <v>176</v>
      </c>
      <c r="AO109" s="20"/>
      <c r="AP109" s="21"/>
      <c r="AQ109" s="21"/>
      <c r="AR109" s="5" t="s">
        <v>163</v>
      </c>
      <c r="AS109" s="5" t="s">
        <v>164</v>
      </c>
    </row>
    <row r="110" spans="1:50">
      <c r="A110" s="86" t="s">
        <v>318</v>
      </c>
      <c r="B110" s="5">
        <v>15021417</v>
      </c>
      <c r="C110" s="5" t="s">
        <v>461</v>
      </c>
      <c r="D110" s="5" t="s">
        <v>360</v>
      </c>
      <c r="E110" s="5" t="s">
        <v>52</v>
      </c>
      <c r="F110" s="5" t="s">
        <v>62</v>
      </c>
      <c r="G110" s="5" t="s">
        <v>180</v>
      </c>
      <c r="H110" s="5" t="s">
        <v>181</v>
      </c>
      <c r="I110" s="6">
        <v>44378</v>
      </c>
      <c r="J110" s="5" t="s">
        <v>377</v>
      </c>
      <c r="K110" s="5" t="s">
        <v>377</v>
      </c>
      <c r="L110" s="5" t="s">
        <v>324</v>
      </c>
      <c r="M110" s="7">
        <v>6</v>
      </c>
      <c r="N110" s="7" t="s">
        <v>176</v>
      </c>
      <c r="O110" s="8">
        <v>6317</v>
      </c>
      <c r="P110" s="9">
        <v>0.02</v>
      </c>
      <c r="Q110" s="10">
        <f t="shared" si="13"/>
        <v>126</v>
      </c>
      <c r="R110" s="9">
        <v>5.0000000000000001E-3</v>
      </c>
      <c r="S110" s="10">
        <f t="shared" si="14"/>
        <v>32</v>
      </c>
      <c r="T110" s="9">
        <f t="shared" si="15"/>
        <v>2.501187272439449E-2</v>
      </c>
      <c r="U110" s="10">
        <f t="shared" si="16"/>
        <v>158</v>
      </c>
      <c r="V110" s="10">
        <f t="shared" si="17"/>
        <v>6475</v>
      </c>
      <c r="W110" s="11">
        <f>O110+30</f>
        <v>6347</v>
      </c>
      <c r="X110" s="12">
        <f t="shared" si="18"/>
        <v>30</v>
      </c>
      <c r="Y110" s="13">
        <f t="shared" si="19"/>
        <v>4.7000000000000002E-3</v>
      </c>
      <c r="Z110" s="14" t="str">
        <f t="shared" si="20"/>
        <v>0.00%-8.40%</v>
      </c>
      <c r="AA110" s="15"/>
      <c r="AB110" s="15"/>
      <c r="AC110" s="15"/>
      <c r="AD110" s="16"/>
      <c r="AE110" s="8">
        <f t="shared" si="21"/>
        <v>0</v>
      </c>
      <c r="AF110" s="17">
        <f t="shared" si="22"/>
        <v>6347</v>
      </c>
      <c r="AG110" s="18">
        <f t="shared" si="23"/>
        <v>30</v>
      </c>
      <c r="AH110" s="19">
        <f t="shared" si="24"/>
        <v>4.7490897577964208E-3</v>
      </c>
      <c r="AI110" s="20">
        <v>13.6</v>
      </c>
      <c r="AJ110" s="20">
        <v>500</v>
      </c>
      <c r="AK110" s="20"/>
      <c r="AL110" s="20">
        <v>688</v>
      </c>
      <c r="AM110" s="20">
        <f t="shared" si="25"/>
        <v>93007.2</v>
      </c>
      <c r="AN110" s="7" t="s">
        <v>176</v>
      </c>
      <c r="AO110" s="20"/>
      <c r="AP110" s="21"/>
      <c r="AQ110" s="21"/>
      <c r="AR110" s="5" t="s">
        <v>163</v>
      </c>
      <c r="AS110" s="5" t="s">
        <v>164</v>
      </c>
    </row>
    <row r="111" spans="1:50">
      <c r="A111" s="86" t="s">
        <v>318</v>
      </c>
      <c r="B111" s="5">
        <v>15020428</v>
      </c>
      <c r="C111" s="5" t="s">
        <v>462</v>
      </c>
      <c r="D111" s="5" t="s">
        <v>360</v>
      </c>
      <c r="E111" s="5" t="s">
        <v>52</v>
      </c>
      <c r="F111" s="5" t="s">
        <v>62</v>
      </c>
      <c r="G111" s="5" t="s">
        <v>180</v>
      </c>
      <c r="H111" s="5" t="s">
        <v>181</v>
      </c>
      <c r="I111" s="6">
        <v>44064</v>
      </c>
      <c r="J111" s="5" t="s">
        <v>377</v>
      </c>
      <c r="K111" s="5" t="s">
        <v>446</v>
      </c>
      <c r="L111" s="5" t="s">
        <v>324</v>
      </c>
      <c r="M111" s="7">
        <v>6</v>
      </c>
      <c r="N111" s="7" t="s">
        <v>176</v>
      </c>
      <c r="O111" s="8">
        <v>6792</v>
      </c>
      <c r="P111" s="9">
        <v>0.02</v>
      </c>
      <c r="Q111" s="10">
        <f t="shared" si="13"/>
        <v>136</v>
      </c>
      <c r="R111" s="9">
        <v>5.0000000000000001E-3</v>
      </c>
      <c r="S111" s="10">
        <f t="shared" si="14"/>
        <v>34</v>
      </c>
      <c r="T111" s="9">
        <f t="shared" si="15"/>
        <v>2.5029446407538281E-2</v>
      </c>
      <c r="U111" s="10">
        <f t="shared" si="16"/>
        <v>170</v>
      </c>
      <c r="V111" s="10">
        <f t="shared" si="17"/>
        <v>6962</v>
      </c>
      <c r="W111" s="11">
        <f t="shared" si="26"/>
        <v>6962</v>
      </c>
      <c r="X111" s="12">
        <f t="shared" si="18"/>
        <v>170</v>
      </c>
      <c r="Y111" s="13">
        <f t="shared" si="19"/>
        <v>2.5000000000000001E-2</v>
      </c>
      <c r="Z111" s="14" t="str">
        <f t="shared" si="20"/>
        <v>0.00%-8.40%</v>
      </c>
      <c r="AA111" s="15"/>
      <c r="AB111" s="15"/>
      <c r="AC111" s="15"/>
      <c r="AD111" s="16"/>
      <c r="AE111" s="8">
        <f t="shared" si="21"/>
        <v>0</v>
      </c>
      <c r="AF111" s="17">
        <f t="shared" si="22"/>
        <v>6962</v>
      </c>
      <c r="AG111" s="18">
        <f t="shared" si="23"/>
        <v>170</v>
      </c>
      <c r="AH111" s="19">
        <f t="shared" si="24"/>
        <v>2.5029446407538236E-2</v>
      </c>
      <c r="AI111" s="20">
        <v>13.6</v>
      </c>
      <c r="AJ111" s="20">
        <v>500</v>
      </c>
      <c r="AK111" s="20"/>
      <c r="AL111" s="20">
        <v>688</v>
      </c>
      <c r="AM111" s="20">
        <f t="shared" si="25"/>
        <v>101371.2</v>
      </c>
      <c r="AN111" s="7" t="s">
        <v>176</v>
      </c>
      <c r="AO111" s="20"/>
      <c r="AP111" s="21"/>
      <c r="AQ111" s="21"/>
      <c r="AR111" s="5" t="s">
        <v>163</v>
      </c>
      <c r="AS111" s="5" t="s">
        <v>164</v>
      </c>
    </row>
    <row r="112" spans="1:50" s="55" customFormat="1">
      <c r="A112" s="86" t="s">
        <v>318</v>
      </c>
      <c r="B112" s="5">
        <v>15001834</v>
      </c>
      <c r="C112" s="5" t="s">
        <v>463</v>
      </c>
      <c r="D112" s="5" t="s">
        <v>321</v>
      </c>
      <c r="E112" s="5" t="s">
        <v>52</v>
      </c>
      <c r="F112" s="5" t="s">
        <v>62</v>
      </c>
      <c r="G112" s="5" t="s">
        <v>202</v>
      </c>
      <c r="H112" s="5" t="s">
        <v>464</v>
      </c>
      <c r="I112" s="6">
        <v>39651</v>
      </c>
      <c r="J112" s="5" t="s">
        <v>323</v>
      </c>
      <c r="K112" s="5" t="s">
        <v>323</v>
      </c>
      <c r="L112" s="5" t="s">
        <v>324</v>
      </c>
      <c r="M112" s="7">
        <v>6</v>
      </c>
      <c r="N112" s="7" t="s">
        <v>176</v>
      </c>
      <c r="O112" s="8">
        <v>6595</v>
      </c>
      <c r="P112" s="9">
        <v>0.02</v>
      </c>
      <c r="Q112" s="10">
        <f t="shared" si="13"/>
        <v>132</v>
      </c>
      <c r="R112" s="9">
        <v>5.0000000000000001E-3</v>
      </c>
      <c r="S112" s="10">
        <f t="shared" si="14"/>
        <v>33</v>
      </c>
      <c r="T112" s="9">
        <f t="shared" si="15"/>
        <v>2.5018953752843062E-2</v>
      </c>
      <c r="U112" s="10">
        <f t="shared" si="16"/>
        <v>165</v>
      </c>
      <c r="V112" s="10">
        <f t="shared" si="17"/>
        <v>6760</v>
      </c>
      <c r="W112" s="11">
        <v>6924.75</v>
      </c>
      <c r="X112" s="12">
        <f t="shared" si="18"/>
        <v>329.75</v>
      </c>
      <c r="Y112" s="13">
        <f t="shared" si="19"/>
        <v>0.05</v>
      </c>
      <c r="Z112" s="14" t="str">
        <f t="shared" si="20"/>
        <v>0.00%-8.40%</v>
      </c>
      <c r="AA112" s="15"/>
      <c r="AB112" s="15"/>
      <c r="AC112" s="15"/>
      <c r="AD112" s="16"/>
      <c r="AE112" s="8">
        <f t="shared" si="21"/>
        <v>0</v>
      </c>
      <c r="AF112" s="17">
        <f t="shared" si="22"/>
        <v>6924.75</v>
      </c>
      <c r="AG112" s="18">
        <f t="shared" si="23"/>
        <v>329.75</v>
      </c>
      <c r="AH112" s="19">
        <f t="shared" si="24"/>
        <v>5.0000000000000044E-2</v>
      </c>
      <c r="AI112" s="20">
        <v>13.6</v>
      </c>
      <c r="AJ112" s="20">
        <v>450</v>
      </c>
      <c r="AK112" s="20"/>
      <c r="AL112" s="20">
        <v>688</v>
      </c>
      <c r="AM112" s="20">
        <f t="shared" si="25"/>
        <v>100264.59999999999</v>
      </c>
      <c r="AN112" s="7" t="s">
        <v>176</v>
      </c>
      <c r="AO112" s="20"/>
      <c r="AP112" s="21" t="s">
        <v>465</v>
      </c>
      <c r="AQ112" s="21"/>
      <c r="AR112" s="5" t="s">
        <v>466</v>
      </c>
      <c r="AS112" s="5" t="s">
        <v>164</v>
      </c>
      <c r="AT112" s="5" t="s">
        <v>59</v>
      </c>
      <c r="AU112" s="20"/>
      <c r="AV112" s="21"/>
      <c r="AW112" s="21"/>
      <c r="AX112" s="21"/>
    </row>
    <row r="113" spans="1:50" s="55" customFormat="1">
      <c r="A113" s="86" t="s">
        <v>318</v>
      </c>
      <c r="B113" s="5">
        <v>15013577</v>
      </c>
      <c r="C113" s="5" t="s">
        <v>467</v>
      </c>
      <c r="D113" s="5" t="s">
        <v>321</v>
      </c>
      <c r="E113" s="5" t="s">
        <v>52</v>
      </c>
      <c r="F113" s="5" t="s">
        <v>62</v>
      </c>
      <c r="G113" s="5" t="s">
        <v>202</v>
      </c>
      <c r="H113" s="5" t="s">
        <v>464</v>
      </c>
      <c r="I113" s="6">
        <v>41944</v>
      </c>
      <c r="J113" s="5" t="s">
        <v>323</v>
      </c>
      <c r="K113" s="5" t="s">
        <v>468</v>
      </c>
      <c r="L113" s="5" t="s">
        <v>324</v>
      </c>
      <c r="M113" s="7">
        <v>6</v>
      </c>
      <c r="N113" s="7" t="s">
        <v>176</v>
      </c>
      <c r="O113" s="8">
        <v>6013</v>
      </c>
      <c r="P113" s="9">
        <v>0.02</v>
      </c>
      <c r="Q113" s="10">
        <f t="shared" si="13"/>
        <v>120</v>
      </c>
      <c r="R113" s="9">
        <v>5.0000000000000001E-3</v>
      </c>
      <c r="S113" s="10">
        <f t="shared" si="14"/>
        <v>30</v>
      </c>
      <c r="T113" s="9">
        <f t="shared" si="15"/>
        <v>2.4945950440711791E-2</v>
      </c>
      <c r="U113" s="10">
        <f t="shared" si="16"/>
        <v>150</v>
      </c>
      <c r="V113" s="10">
        <f t="shared" si="17"/>
        <v>6163</v>
      </c>
      <c r="W113" s="11">
        <v>6163.3249999999998</v>
      </c>
      <c r="X113" s="12">
        <f t="shared" si="18"/>
        <v>150.32499999999982</v>
      </c>
      <c r="Y113" s="13">
        <f t="shared" si="19"/>
        <v>2.5000000000000001E-2</v>
      </c>
      <c r="Z113" s="14" t="str">
        <f t="shared" si="20"/>
        <v>0.00%-8.40%</v>
      </c>
      <c r="AA113" s="15"/>
      <c r="AB113" s="15"/>
      <c r="AC113" s="15"/>
      <c r="AD113" s="16"/>
      <c r="AE113" s="8">
        <f t="shared" si="21"/>
        <v>0</v>
      </c>
      <c r="AF113" s="17">
        <f t="shared" si="22"/>
        <v>6163.3249999999998</v>
      </c>
      <c r="AG113" s="18">
        <f t="shared" si="23"/>
        <v>150.32499999999982</v>
      </c>
      <c r="AH113" s="19">
        <f t="shared" si="24"/>
        <v>2.4999999999999911E-2</v>
      </c>
      <c r="AI113" s="20">
        <v>13.6</v>
      </c>
      <c r="AJ113" s="20">
        <v>450</v>
      </c>
      <c r="AK113" s="20"/>
      <c r="AL113" s="20">
        <v>688</v>
      </c>
      <c r="AM113" s="20">
        <f t="shared" si="25"/>
        <v>89909.22</v>
      </c>
      <c r="AN113" s="7" t="s">
        <v>176</v>
      </c>
      <c r="AO113" s="20"/>
      <c r="AP113" s="21" t="s">
        <v>465</v>
      </c>
      <c r="AQ113" s="21"/>
      <c r="AR113" s="5" t="s">
        <v>466</v>
      </c>
      <c r="AS113" s="5" t="s">
        <v>164</v>
      </c>
      <c r="AT113" s="5" t="s">
        <v>59</v>
      </c>
      <c r="AU113" s="20"/>
      <c r="AV113" s="21"/>
      <c r="AW113" s="21"/>
      <c r="AX113" s="21"/>
    </row>
    <row r="114" spans="1:50" s="55" customFormat="1">
      <c r="A114" s="86" t="s">
        <v>318</v>
      </c>
      <c r="B114" s="5">
        <v>15002935</v>
      </c>
      <c r="C114" s="5" t="s">
        <v>469</v>
      </c>
      <c r="D114" s="5" t="s">
        <v>321</v>
      </c>
      <c r="E114" s="5" t="s">
        <v>52</v>
      </c>
      <c r="F114" s="5" t="s">
        <v>62</v>
      </c>
      <c r="G114" s="5" t="s">
        <v>202</v>
      </c>
      <c r="H114" s="5" t="s">
        <v>464</v>
      </c>
      <c r="I114" s="6">
        <v>40179</v>
      </c>
      <c r="J114" s="5" t="s">
        <v>323</v>
      </c>
      <c r="K114" s="5" t="s">
        <v>323</v>
      </c>
      <c r="L114" s="5" t="s">
        <v>324</v>
      </c>
      <c r="M114" s="7">
        <v>6</v>
      </c>
      <c r="N114" s="7" t="s">
        <v>176</v>
      </c>
      <c r="O114" s="8">
        <v>6682</v>
      </c>
      <c r="P114" s="9">
        <v>0.02</v>
      </c>
      <c r="Q114" s="10">
        <f t="shared" si="13"/>
        <v>134</v>
      </c>
      <c r="R114" s="9">
        <v>5.0000000000000001E-3</v>
      </c>
      <c r="S114" s="10">
        <f t="shared" si="14"/>
        <v>33</v>
      </c>
      <c r="T114" s="9">
        <f t="shared" si="15"/>
        <v>2.4992517210416045E-2</v>
      </c>
      <c r="U114" s="10">
        <f t="shared" si="16"/>
        <v>167</v>
      </c>
      <c r="V114" s="10">
        <f t="shared" si="17"/>
        <v>6849</v>
      </c>
      <c r="W114" s="11">
        <v>7350.2</v>
      </c>
      <c r="X114" s="12">
        <f t="shared" si="18"/>
        <v>668.19999999999982</v>
      </c>
      <c r="Y114" s="13">
        <f t="shared" si="19"/>
        <v>0.1</v>
      </c>
      <c r="Z114" s="14" t="str">
        <f t="shared" si="20"/>
        <v>0.00%-8.40%</v>
      </c>
      <c r="AA114" s="15"/>
      <c r="AB114" s="15"/>
      <c r="AC114" s="15"/>
      <c r="AD114" s="16"/>
      <c r="AE114" s="8">
        <f t="shared" si="21"/>
        <v>0</v>
      </c>
      <c r="AF114" s="17">
        <f t="shared" si="22"/>
        <v>7350.2</v>
      </c>
      <c r="AG114" s="18">
        <f t="shared" si="23"/>
        <v>668.19999999999982</v>
      </c>
      <c r="AH114" s="19">
        <f t="shared" si="24"/>
        <v>9.9999999999999867E-2</v>
      </c>
      <c r="AI114" s="20">
        <v>13.6</v>
      </c>
      <c r="AJ114" s="20">
        <v>450</v>
      </c>
      <c r="AK114" s="20"/>
      <c r="AL114" s="20">
        <v>688</v>
      </c>
      <c r="AM114" s="20">
        <f t="shared" si="25"/>
        <v>106050.72</v>
      </c>
      <c r="AN114" s="7" t="s">
        <v>176</v>
      </c>
      <c r="AO114" s="20"/>
      <c r="AP114" s="21" t="s">
        <v>470</v>
      </c>
      <c r="AQ114" s="21" t="s">
        <v>90</v>
      </c>
      <c r="AR114" s="5" t="s">
        <v>466</v>
      </c>
      <c r="AS114" s="5" t="s">
        <v>164</v>
      </c>
      <c r="AT114" s="5" t="s">
        <v>59</v>
      </c>
      <c r="AU114" s="20"/>
      <c r="AV114" s="21"/>
      <c r="AW114" s="21"/>
      <c r="AX114" s="21"/>
    </row>
    <row r="115" spans="1:50" s="55" customFormat="1">
      <c r="A115" s="86" t="s">
        <v>318</v>
      </c>
      <c r="B115" s="5">
        <v>15007817</v>
      </c>
      <c r="C115" s="5" t="s">
        <v>471</v>
      </c>
      <c r="D115" s="5" t="s">
        <v>321</v>
      </c>
      <c r="E115" s="5" t="s">
        <v>52</v>
      </c>
      <c r="F115" s="5" t="s">
        <v>62</v>
      </c>
      <c r="G115" s="5" t="s">
        <v>202</v>
      </c>
      <c r="H115" s="5" t="s">
        <v>464</v>
      </c>
      <c r="I115" s="6">
        <v>41275</v>
      </c>
      <c r="J115" s="5" t="s">
        <v>323</v>
      </c>
      <c r="K115" s="5" t="s">
        <v>468</v>
      </c>
      <c r="L115" s="5" t="s">
        <v>324</v>
      </c>
      <c r="M115" s="7">
        <v>6</v>
      </c>
      <c r="N115" s="7" t="s">
        <v>176</v>
      </c>
      <c r="O115" s="8">
        <v>5591</v>
      </c>
      <c r="P115" s="9">
        <v>0.02</v>
      </c>
      <c r="Q115" s="10">
        <f t="shared" si="13"/>
        <v>112</v>
      </c>
      <c r="R115" s="9">
        <v>5.0000000000000001E-3</v>
      </c>
      <c r="S115" s="10">
        <f t="shared" si="14"/>
        <v>28</v>
      </c>
      <c r="T115" s="9">
        <f t="shared" si="15"/>
        <v>2.5040243248077267E-2</v>
      </c>
      <c r="U115" s="10">
        <f t="shared" si="16"/>
        <v>140</v>
      </c>
      <c r="V115" s="10">
        <f t="shared" si="17"/>
        <v>5731</v>
      </c>
      <c r="W115" s="11">
        <v>5591</v>
      </c>
      <c r="X115" s="12">
        <f t="shared" si="18"/>
        <v>0</v>
      </c>
      <c r="Y115" s="13">
        <f t="shared" si="19"/>
        <v>0</v>
      </c>
      <c r="Z115" s="14" t="str">
        <f t="shared" si="20"/>
        <v>0.00%-8.40%</v>
      </c>
      <c r="AA115" s="15"/>
      <c r="AB115" s="15"/>
      <c r="AC115" s="15"/>
      <c r="AD115" s="16"/>
      <c r="AE115" s="8">
        <f t="shared" si="21"/>
        <v>0</v>
      </c>
      <c r="AF115" s="17">
        <f t="shared" si="22"/>
        <v>5591</v>
      </c>
      <c r="AG115" s="18">
        <f t="shared" si="23"/>
        <v>0</v>
      </c>
      <c r="AH115" s="19">
        <f t="shared" si="24"/>
        <v>0</v>
      </c>
      <c r="AI115" s="20">
        <v>13.6</v>
      </c>
      <c r="AJ115" s="20">
        <v>450</v>
      </c>
      <c r="AK115" s="20"/>
      <c r="AL115" s="20">
        <v>688</v>
      </c>
      <c r="AM115" s="20">
        <f t="shared" si="25"/>
        <v>82125.599999999991</v>
      </c>
      <c r="AN115" s="7" t="s">
        <v>176</v>
      </c>
      <c r="AO115" s="20"/>
      <c r="AP115" s="21" t="s">
        <v>472</v>
      </c>
      <c r="AQ115" s="21" t="s">
        <v>97</v>
      </c>
      <c r="AR115" s="5" t="s">
        <v>466</v>
      </c>
      <c r="AS115" s="5" t="s">
        <v>164</v>
      </c>
      <c r="AT115" s="5" t="s">
        <v>59</v>
      </c>
      <c r="AU115" s="20"/>
      <c r="AV115" s="21"/>
      <c r="AW115" s="21"/>
      <c r="AX115" s="21"/>
    </row>
    <row r="116" spans="1:50" s="55" customFormat="1">
      <c r="A116" s="86" t="s">
        <v>318</v>
      </c>
      <c r="B116" s="5">
        <v>15014926</v>
      </c>
      <c r="C116" s="5" t="s">
        <v>473</v>
      </c>
      <c r="D116" s="5" t="s">
        <v>321</v>
      </c>
      <c r="E116" s="5" t="s">
        <v>52</v>
      </c>
      <c r="F116" s="5" t="s">
        <v>62</v>
      </c>
      <c r="G116" s="5" t="s">
        <v>202</v>
      </c>
      <c r="H116" s="5" t="s">
        <v>464</v>
      </c>
      <c r="I116" s="6">
        <v>42430</v>
      </c>
      <c r="J116" s="5" t="s">
        <v>323</v>
      </c>
      <c r="K116" s="5" t="s">
        <v>323</v>
      </c>
      <c r="L116" s="5" t="s">
        <v>324</v>
      </c>
      <c r="M116" s="7">
        <v>6</v>
      </c>
      <c r="N116" s="7" t="s">
        <v>176</v>
      </c>
      <c r="O116" s="8">
        <v>5785</v>
      </c>
      <c r="P116" s="9">
        <v>0.02</v>
      </c>
      <c r="Q116" s="10">
        <f t="shared" si="13"/>
        <v>116</v>
      </c>
      <c r="R116" s="9">
        <v>5.0000000000000001E-3</v>
      </c>
      <c r="S116" s="10">
        <f t="shared" si="14"/>
        <v>29</v>
      </c>
      <c r="T116" s="9">
        <f t="shared" si="15"/>
        <v>2.5064822817631807E-2</v>
      </c>
      <c r="U116" s="10">
        <f t="shared" si="16"/>
        <v>145</v>
      </c>
      <c r="V116" s="10">
        <f t="shared" si="17"/>
        <v>5930</v>
      </c>
      <c r="W116" s="11">
        <v>5785</v>
      </c>
      <c r="X116" s="12">
        <f t="shared" si="18"/>
        <v>0</v>
      </c>
      <c r="Y116" s="13">
        <f t="shared" si="19"/>
        <v>0</v>
      </c>
      <c r="Z116" s="14" t="str">
        <f t="shared" si="20"/>
        <v>0.00%-8.40%</v>
      </c>
      <c r="AA116" s="15"/>
      <c r="AB116" s="15"/>
      <c r="AC116" s="15"/>
      <c r="AD116" s="16"/>
      <c r="AE116" s="8">
        <f t="shared" si="21"/>
        <v>0</v>
      </c>
      <c r="AF116" s="17">
        <f t="shared" si="22"/>
        <v>5785</v>
      </c>
      <c r="AG116" s="18">
        <f t="shared" si="23"/>
        <v>0</v>
      </c>
      <c r="AH116" s="19">
        <f t="shared" si="24"/>
        <v>0</v>
      </c>
      <c r="AI116" s="20">
        <v>13.6</v>
      </c>
      <c r="AJ116" s="20">
        <v>450</v>
      </c>
      <c r="AK116" s="20"/>
      <c r="AL116" s="20">
        <v>688</v>
      </c>
      <c r="AM116" s="20">
        <f t="shared" si="25"/>
        <v>84764</v>
      </c>
      <c r="AN116" s="7" t="s">
        <v>176</v>
      </c>
      <c r="AO116" s="20"/>
      <c r="AP116" s="21" t="s">
        <v>97</v>
      </c>
      <c r="AQ116" s="21" t="s">
        <v>97</v>
      </c>
      <c r="AR116" s="5" t="s">
        <v>466</v>
      </c>
      <c r="AS116" s="5" t="s">
        <v>164</v>
      </c>
      <c r="AT116" s="5" t="s">
        <v>59</v>
      </c>
      <c r="AU116" s="20"/>
      <c r="AV116" s="21"/>
      <c r="AW116" s="21"/>
      <c r="AX116" s="21"/>
    </row>
    <row r="117" spans="1:50" s="55" customFormat="1">
      <c r="A117" s="86" t="s">
        <v>318</v>
      </c>
      <c r="B117" s="5">
        <v>15000359</v>
      </c>
      <c r="C117" s="5" t="s">
        <v>474</v>
      </c>
      <c r="D117" s="5" t="s">
        <v>321</v>
      </c>
      <c r="E117" s="5" t="s">
        <v>52</v>
      </c>
      <c r="F117" s="5" t="s">
        <v>62</v>
      </c>
      <c r="G117" s="5" t="s">
        <v>202</v>
      </c>
      <c r="H117" s="5" t="s">
        <v>464</v>
      </c>
      <c r="I117" s="6">
        <v>39114</v>
      </c>
      <c r="J117" s="5" t="s">
        <v>323</v>
      </c>
      <c r="K117" s="5" t="s">
        <v>323</v>
      </c>
      <c r="L117" s="5" t="s">
        <v>324</v>
      </c>
      <c r="M117" s="7">
        <v>6</v>
      </c>
      <c r="N117" s="7" t="s">
        <v>176</v>
      </c>
      <c r="O117" s="8">
        <v>8125</v>
      </c>
      <c r="P117" s="9">
        <v>0.02</v>
      </c>
      <c r="Q117" s="10">
        <f t="shared" si="13"/>
        <v>163</v>
      </c>
      <c r="R117" s="9">
        <v>5.0000000000000001E-3</v>
      </c>
      <c r="S117" s="10">
        <f t="shared" si="14"/>
        <v>41</v>
      </c>
      <c r="T117" s="9">
        <f t="shared" si="15"/>
        <v>2.5107692307692307E-2</v>
      </c>
      <c r="U117" s="10">
        <f t="shared" si="16"/>
        <v>204</v>
      </c>
      <c r="V117" s="10">
        <f t="shared" si="17"/>
        <v>8329</v>
      </c>
      <c r="W117" s="11">
        <v>8531.25</v>
      </c>
      <c r="X117" s="12">
        <f t="shared" si="18"/>
        <v>406.25</v>
      </c>
      <c r="Y117" s="13">
        <f t="shared" si="19"/>
        <v>0.05</v>
      </c>
      <c r="Z117" s="14" t="str">
        <f t="shared" si="20"/>
        <v>0.00%-8.40%</v>
      </c>
      <c r="AA117" s="15"/>
      <c r="AB117" s="15"/>
      <c r="AC117" s="15"/>
      <c r="AD117" s="16"/>
      <c r="AE117" s="8">
        <f t="shared" si="21"/>
        <v>0</v>
      </c>
      <c r="AF117" s="17">
        <f t="shared" si="22"/>
        <v>8531.25</v>
      </c>
      <c r="AG117" s="18">
        <f t="shared" si="23"/>
        <v>406.25</v>
      </c>
      <c r="AH117" s="19">
        <f t="shared" si="24"/>
        <v>5.0000000000000044E-2</v>
      </c>
      <c r="AI117" s="20">
        <v>13.6</v>
      </c>
      <c r="AJ117" s="20">
        <v>450</v>
      </c>
      <c r="AK117" s="20"/>
      <c r="AL117" s="20">
        <v>688</v>
      </c>
      <c r="AM117" s="20">
        <f t="shared" si="25"/>
        <v>122113</v>
      </c>
      <c r="AN117" s="7" t="s">
        <v>176</v>
      </c>
      <c r="AO117" s="20"/>
      <c r="AP117" s="21" t="s">
        <v>465</v>
      </c>
      <c r="AQ117" s="21"/>
      <c r="AR117" s="5" t="s">
        <v>466</v>
      </c>
      <c r="AS117" s="5" t="s">
        <v>164</v>
      </c>
      <c r="AT117" s="5" t="s">
        <v>59</v>
      </c>
      <c r="AU117" s="20"/>
      <c r="AV117" s="21"/>
      <c r="AW117" s="21"/>
      <c r="AX117" s="21"/>
    </row>
    <row r="118" spans="1:50" s="55" customFormat="1">
      <c r="A118" s="86" t="s">
        <v>318</v>
      </c>
      <c r="B118" s="5">
        <v>15000746</v>
      </c>
      <c r="C118" s="5" t="s">
        <v>475</v>
      </c>
      <c r="D118" s="5" t="s">
        <v>321</v>
      </c>
      <c r="E118" s="5" t="s">
        <v>52</v>
      </c>
      <c r="F118" s="5" t="s">
        <v>62</v>
      </c>
      <c r="G118" s="5" t="s">
        <v>202</v>
      </c>
      <c r="H118" s="5" t="s">
        <v>464</v>
      </c>
      <c r="I118" s="6">
        <v>39041</v>
      </c>
      <c r="J118" s="5" t="s">
        <v>323</v>
      </c>
      <c r="K118" s="5" t="s">
        <v>323</v>
      </c>
      <c r="L118" s="5" t="s">
        <v>324</v>
      </c>
      <c r="M118" s="7">
        <v>6</v>
      </c>
      <c r="N118" s="7" t="s">
        <v>176</v>
      </c>
      <c r="O118" s="8">
        <v>7378</v>
      </c>
      <c r="P118" s="9">
        <v>0.02</v>
      </c>
      <c r="Q118" s="10">
        <f t="shared" si="13"/>
        <v>148</v>
      </c>
      <c r="R118" s="9">
        <v>5.0000000000000001E-3</v>
      </c>
      <c r="S118" s="10">
        <f t="shared" si="14"/>
        <v>37</v>
      </c>
      <c r="T118" s="9">
        <f t="shared" si="15"/>
        <v>2.5074545947411223E-2</v>
      </c>
      <c r="U118" s="10">
        <f t="shared" si="16"/>
        <v>185</v>
      </c>
      <c r="V118" s="10">
        <f t="shared" si="17"/>
        <v>7563</v>
      </c>
      <c r="W118" s="11">
        <v>7746.9</v>
      </c>
      <c r="X118" s="12">
        <f t="shared" si="18"/>
        <v>368.89999999999964</v>
      </c>
      <c r="Y118" s="13">
        <f t="shared" si="19"/>
        <v>0.05</v>
      </c>
      <c r="Z118" s="14" t="str">
        <f t="shared" si="20"/>
        <v>0.00%-8.40%</v>
      </c>
      <c r="AA118" s="15"/>
      <c r="AB118" s="15"/>
      <c r="AC118" s="15"/>
      <c r="AD118" s="16"/>
      <c r="AE118" s="8">
        <f t="shared" si="21"/>
        <v>0</v>
      </c>
      <c r="AF118" s="17">
        <f t="shared" si="22"/>
        <v>7746.9</v>
      </c>
      <c r="AG118" s="18">
        <f t="shared" si="23"/>
        <v>368.89999999999964</v>
      </c>
      <c r="AH118" s="19">
        <f t="shared" si="24"/>
        <v>5.0000000000000044E-2</v>
      </c>
      <c r="AI118" s="20">
        <v>13.6</v>
      </c>
      <c r="AJ118" s="20">
        <v>450</v>
      </c>
      <c r="AK118" s="20"/>
      <c r="AL118" s="20">
        <v>688</v>
      </c>
      <c r="AM118" s="20">
        <f t="shared" si="25"/>
        <v>111445.84</v>
      </c>
      <c r="AN118" s="7" t="s">
        <v>176</v>
      </c>
      <c r="AO118" s="20"/>
      <c r="AP118" s="21" t="s">
        <v>465</v>
      </c>
      <c r="AQ118" s="21"/>
      <c r="AR118" s="5" t="s">
        <v>466</v>
      </c>
      <c r="AS118" s="5" t="s">
        <v>164</v>
      </c>
      <c r="AT118" s="5" t="s">
        <v>59</v>
      </c>
      <c r="AU118" s="20"/>
      <c r="AV118" s="21"/>
      <c r="AW118" s="21"/>
      <c r="AX118" s="21"/>
    </row>
    <row r="119" spans="1:50" s="55" customFormat="1">
      <c r="A119" s="86" t="s">
        <v>318</v>
      </c>
      <c r="B119" s="5">
        <v>15014337</v>
      </c>
      <c r="C119" s="5" t="s">
        <v>476</v>
      </c>
      <c r="D119" s="5" t="s">
        <v>321</v>
      </c>
      <c r="E119" s="5" t="s">
        <v>52</v>
      </c>
      <c r="F119" s="5" t="s">
        <v>62</v>
      </c>
      <c r="G119" s="5" t="s">
        <v>202</v>
      </c>
      <c r="H119" s="5" t="s">
        <v>464</v>
      </c>
      <c r="I119" s="6">
        <v>42217</v>
      </c>
      <c r="J119" s="5" t="s">
        <v>323</v>
      </c>
      <c r="K119" s="5" t="s">
        <v>468</v>
      </c>
      <c r="L119" s="5" t="s">
        <v>324</v>
      </c>
      <c r="M119" s="7">
        <v>6</v>
      </c>
      <c r="N119" s="7" t="s">
        <v>176</v>
      </c>
      <c r="O119" s="8">
        <v>5202</v>
      </c>
      <c r="P119" s="9">
        <v>0.02</v>
      </c>
      <c r="Q119" s="10">
        <f t="shared" si="13"/>
        <v>104</v>
      </c>
      <c r="R119" s="9">
        <v>5.0000000000000001E-3</v>
      </c>
      <c r="S119" s="10">
        <f t="shared" si="14"/>
        <v>26</v>
      </c>
      <c r="T119" s="9">
        <f t="shared" si="15"/>
        <v>2.4990388312187622E-2</v>
      </c>
      <c r="U119" s="10">
        <f t="shared" si="16"/>
        <v>130</v>
      </c>
      <c r="V119" s="10">
        <f t="shared" si="17"/>
        <v>5332</v>
      </c>
      <c r="W119" s="11">
        <v>5332.05</v>
      </c>
      <c r="X119" s="12">
        <f t="shared" si="18"/>
        <v>130.05000000000018</v>
      </c>
      <c r="Y119" s="13">
        <f t="shared" si="19"/>
        <v>2.5000000000000001E-2</v>
      </c>
      <c r="Z119" s="14" t="str">
        <f t="shared" si="20"/>
        <v>0.00%-8.40%</v>
      </c>
      <c r="AA119" s="15"/>
      <c r="AB119" s="15"/>
      <c r="AC119" s="15"/>
      <c r="AD119" s="16"/>
      <c r="AE119" s="8">
        <f t="shared" si="21"/>
        <v>0</v>
      </c>
      <c r="AF119" s="17">
        <f t="shared" si="22"/>
        <v>5332.05</v>
      </c>
      <c r="AG119" s="18">
        <f t="shared" si="23"/>
        <v>130.05000000000018</v>
      </c>
      <c r="AH119" s="19">
        <f t="shared" si="24"/>
        <v>2.5000000000000133E-2</v>
      </c>
      <c r="AI119" s="20">
        <v>13.6</v>
      </c>
      <c r="AJ119" s="20">
        <v>450</v>
      </c>
      <c r="AK119" s="20"/>
      <c r="AL119" s="20">
        <v>688</v>
      </c>
      <c r="AM119" s="20">
        <f t="shared" si="25"/>
        <v>78603.88</v>
      </c>
      <c r="AN119" s="7" t="s">
        <v>176</v>
      </c>
      <c r="AO119" s="20"/>
      <c r="AP119" s="21" t="s">
        <v>477</v>
      </c>
      <c r="AQ119" s="21"/>
      <c r="AR119" s="5" t="s">
        <v>466</v>
      </c>
      <c r="AS119" s="5" t="s">
        <v>164</v>
      </c>
      <c r="AT119" s="5" t="s">
        <v>59</v>
      </c>
      <c r="AU119" s="20"/>
      <c r="AV119" s="21"/>
      <c r="AW119" s="21"/>
      <c r="AX119" s="21"/>
    </row>
    <row r="120" spans="1:50" s="55" customFormat="1">
      <c r="A120" s="86" t="s">
        <v>318</v>
      </c>
      <c r="B120" s="5">
        <v>15005638</v>
      </c>
      <c r="C120" s="5" t="s">
        <v>478</v>
      </c>
      <c r="D120" s="5" t="s">
        <v>321</v>
      </c>
      <c r="E120" s="5" t="s">
        <v>52</v>
      </c>
      <c r="F120" s="5" t="s">
        <v>62</v>
      </c>
      <c r="G120" s="5" t="s">
        <v>202</v>
      </c>
      <c r="H120" s="5" t="s">
        <v>464</v>
      </c>
      <c r="I120" s="6">
        <v>40634</v>
      </c>
      <c r="J120" s="5" t="s">
        <v>323</v>
      </c>
      <c r="K120" s="5" t="s">
        <v>468</v>
      </c>
      <c r="L120" s="5" t="s">
        <v>324</v>
      </c>
      <c r="M120" s="7">
        <v>6</v>
      </c>
      <c r="N120" s="7" t="s">
        <v>176</v>
      </c>
      <c r="O120" s="8">
        <v>5966</v>
      </c>
      <c r="P120" s="9">
        <v>0.02</v>
      </c>
      <c r="Q120" s="10">
        <f t="shared" si="13"/>
        <v>119</v>
      </c>
      <c r="R120" s="9">
        <v>5.0000000000000001E-3</v>
      </c>
      <c r="S120" s="10">
        <f t="shared" si="14"/>
        <v>30</v>
      </c>
      <c r="T120" s="9">
        <f t="shared" si="15"/>
        <v>2.4974857525980557E-2</v>
      </c>
      <c r="U120" s="10">
        <f t="shared" si="16"/>
        <v>149</v>
      </c>
      <c r="V120" s="10">
        <f t="shared" si="17"/>
        <v>6115</v>
      </c>
      <c r="W120" s="11">
        <v>5966</v>
      </c>
      <c r="X120" s="12">
        <f t="shared" si="18"/>
        <v>0</v>
      </c>
      <c r="Y120" s="13">
        <f t="shared" si="19"/>
        <v>0</v>
      </c>
      <c r="Z120" s="14" t="str">
        <f t="shared" si="20"/>
        <v>0.00%-8.40%</v>
      </c>
      <c r="AA120" s="15"/>
      <c r="AB120" s="15"/>
      <c r="AC120" s="15"/>
      <c r="AD120" s="16"/>
      <c r="AE120" s="8">
        <f t="shared" si="21"/>
        <v>0</v>
      </c>
      <c r="AF120" s="17">
        <f t="shared" si="22"/>
        <v>5966</v>
      </c>
      <c r="AG120" s="18">
        <f t="shared" si="23"/>
        <v>0</v>
      </c>
      <c r="AH120" s="19">
        <f t="shared" si="24"/>
        <v>0</v>
      </c>
      <c r="AI120" s="20">
        <v>13.6</v>
      </c>
      <c r="AJ120" s="20">
        <v>450</v>
      </c>
      <c r="AK120" s="20"/>
      <c r="AL120" s="20">
        <v>688</v>
      </c>
      <c r="AM120" s="20">
        <f t="shared" si="25"/>
        <v>87225.599999999991</v>
      </c>
      <c r="AN120" s="7" t="s">
        <v>176</v>
      </c>
      <c r="AO120" s="20"/>
      <c r="AP120" s="21" t="s">
        <v>107</v>
      </c>
      <c r="AQ120" s="21" t="s">
        <v>107</v>
      </c>
      <c r="AR120" s="5" t="s">
        <v>466</v>
      </c>
      <c r="AS120" s="5" t="s">
        <v>164</v>
      </c>
      <c r="AT120" s="5" t="s">
        <v>59</v>
      </c>
      <c r="AU120" s="20"/>
      <c r="AV120" s="21"/>
      <c r="AW120" s="21"/>
      <c r="AX120" s="21"/>
    </row>
    <row r="121" spans="1:50" s="55" customFormat="1">
      <c r="A121" s="86" t="s">
        <v>318</v>
      </c>
      <c r="B121" s="5">
        <v>15001865</v>
      </c>
      <c r="C121" s="5" t="s">
        <v>479</v>
      </c>
      <c r="D121" s="5" t="s">
        <v>321</v>
      </c>
      <c r="E121" s="5" t="s">
        <v>52</v>
      </c>
      <c r="F121" s="5" t="s">
        <v>62</v>
      </c>
      <c r="G121" s="5" t="s">
        <v>202</v>
      </c>
      <c r="H121" s="5" t="s">
        <v>464</v>
      </c>
      <c r="I121" s="6">
        <v>39657</v>
      </c>
      <c r="J121" s="5" t="s">
        <v>480</v>
      </c>
      <c r="K121" s="5" t="s">
        <v>480</v>
      </c>
      <c r="L121" s="5" t="s">
        <v>324</v>
      </c>
      <c r="M121" s="7">
        <v>6</v>
      </c>
      <c r="N121" s="7" t="s">
        <v>176</v>
      </c>
      <c r="O121" s="8">
        <v>9800</v>
      </c>
      <c r="P121" s="9">
        <v>0.02</v>
      </c>
      <c r="Q121" s="10">
        <f t="shared" si="13"/>
        <v>196</v>
      </c>
      <c r="R121" s="9">
        <v>5.0000000000000001E-3</v>
      </c>
      <c r="S121" s="10">
        <f t="shared" si="14"/>
        <v>49</v>
      </c>
      <c r="T121" s="9">
        <f t="shared" si="15"/>
        <v>2.5000000000000001E-2</v>
      </c>
      <c r="U121" s="10">
        <f t="shared" si="16"/>
        <v>245</v>
      </c>
      <c r="V121" s="10">
        <f t="shared" si="17"/>
        <v>10045</v>
      </c>
      <c r="W121" s="11">
        <v>10584</v>
      </c>
      <c r="X121" s="12">
        <f t="shared" si="18"/>
        <v>784</v>
      </c>
      <c r="Y121" s="13">
        <f t="shared" si="19"/>
        <v>0.08</v>
      </c>
      <c r="Z121" s="14" t="str">
        <f t="shared" si="20"/>
        <v>0.00%-8.40%</v>
      </c>
      <c r="AA121" s="15"/>
      <c r="AB121" s="15"/>
      <c r="AC121" s="15"/>
      <c r="AD121" s="16"/>
      <c r="AE121" s="8">
        <f t="shared" si="21"/>
        <v>0</v>
      </c>
      <c r="AF121" s="17">
        <f t="shared" si="22"/>
        <v>10584</v>
      </c>
      <c r="AG121" s="18">
        <f t="shared" si="23"/>
        <v>784</v>
      </c>
      <c r="AH121" s="19">
        <f t="shared" si="24"/>
        <v>8.0000000000000071E-2</v>
      </c>
      <c r="AI121" s="20">
        <v>13.6</v>
      </c>
      <c r="AJ121" s="20">
        <v>450</v>
      </c>
      <c r="AK121" s="20"/>
      <c r="AL121" s="20">
        <v>688</v>
      </c>
      <c r="AM121" s="20">
        <f t="shared" si="25"/>
        <v>150030.39999999999</v>
      </c>
      <c r="AN121" s="7" t="s">
        <v>176</v>
      </c>
      <c r="AO121" s="20"/>
      <c r="AP121" s="21" t="s">
        <v>465</v>
      </c>
      <c r="AQ121" s="21"/>
      <c r="AR121" s="5" t="s">
        <v>466</v>
      </c>
      <c r="AS121" s="5" t="s">
        <v>164</v>
      </c>
      <c r="AT121" s="5" t="s">
        <v>59</v>
      </c>
      <c r="AU121" s="20"/>
      <c r="AV121" s="21"/>
      <c r="AW121" s="21"/>
      <c r="AX121" s="21"/>
    </row>
    <row r="122" spans="1:50" s="55" customFormat="1">
      <c r="A122" s="86" t="s">
        <v>318</v>
      </c>
      <c r="B122" s="5">
        <v>15000463</v>
      </c>
      <c r="C122" s="5" t="s">
        <v>481</v>
      </c>
      <c r="D122" s="5" t="s">
        <v>321</v>
      </c>
      <c r="E122" s="5" t="s">
        <v>52</v>
      </c>
      <c r="F122" s="5" t="s">
        <v>62</v>
      </c>
      <c r="G122" s="5" t="s">
        <v>202</v>
      </c>
      <c r="H122" s="5" t="s">
        <v>464</v>
      </c>
      <c r="I122" s="6">
        <v>38808</v>
      </c>
      <c r="J122" s="5" t="s">
        <v>480</v>
      </c>
      <c r="K122" s="5" t="s">
        <v>480</v>
      </c>
      <c r="L122" s="5" t="s">
        <v>324</v>
      </c>
      <c r="M122" s="7">
        <v>6</v>
      </c>
      <c r="N122" s="7" t="s">
        <v>176</v>
      </c>
      <c r="O122" s="8">
        <v>8510</v>
      </c>
      <c r="P122" s="9">
        <v>0.02</v>
      </c>
      <c r="Q122" s="10">
        <f t="shared" si="13"/>
        <v>170</v>
      </c>
      <c r="R122" s="9">
        <v>5.0000000000000001E-3</v>
      </c>
      <c r="S122" s="10">
        <f t="shared" si="14"/>
        <v>43</v>
      </c>
      <c r="T122" s="9">
        <f t="shared" si="15"/>
        <v>2.5029377203290248E-2</v>
      </c>
      <c r="U122" s="10">
        <f t="shared" si="16"/>
        <v>213</v>
      </c>
      <c r="V122" s="10">
        <f t="shared" si="17"/>
        <v>8723</v>
      </c>
      <c r="W122" s="11">
        <v>8850.4</v>
      </c>
      <c r="X122" s="12">
        <f t="shared" si="18"/>
        <v>340.39999999999964</v>
      </c>
      <c r="Y122" s="13">
        <f t="shared" si="19"/>
        <v>0.04</v>
      </c>
      <c r="Z122" s="14" t="str">
        <f t="shared" si="20"/>
        <v>0.00%-8.40%</v>
      </c>
      <c r="AA122" s="15"/>
      <c r="AB122" s="15"/>
      <c r="AC122" s="15"/>
      <c r="AD122" s="16"/>
      <c r="AE122" s="8">
        <f t="shared" si="21"/>
        <v>0</v>
      </c>
      <c r="AF122" s="17">
        <f t="shared" si="22"/>
        <v>8850.4</v>
      </c>
      <c r="AG122" s="18">
        <f t="shared" si="23"/>
        <v>340.39999999999964</v>
      </c>
      <c r="AH122" s="19">
        <f t="shared" si="24"/>
        <v>4.0000000000000036E-2</v>
      </c>
      <c r="AI122" s="20">
        <v>13.6</v>
      </c>
      <c r="AJ122" s="20">
        <v>450</v>
      </c>
      <c r="AK122" s="20"/>
      <c r="AL122" s="20">
        <v>688</v>
      </c>
      <c r="AM122" s="20">
        <f t="shared" si="25"/>
        <v>126453.43999999999</v>
      </c>
      <c r="AN122" s="7" t="s">
        <v>176</v>
      </c>
      <c r="AO122" s="20"/>
      <c r="AP122" s="21" t="s">
        <v>465</v>
      </c>
      <c r="AQ122" s="21"/>
      <c r="AR122" s="5" t="s">
        <v>466</v>
      </c>
      <c r="AS122" s="5" t="s">
        <v>164</v>
      </c>
      <c r="AT122" s="5" t="s">
        <v>59</v>
      </c>
      <c r="AU122" s="20"/>
      <c r="AV122" s="21"/>
      <c r="AW122" s="21"/>
      <c r="AX122" s="21"/>
    </row>
    <row r="123" spans="1:50" s="55" customFormat="1">
      <c r="A123" s="86" t="s">
        <v>318</v>
      </c>
      <c r="B123" s="5">
        <v>15002632</v>
      </c>
      <c r="C123" s="5" t="s">
        <v>482</v>
      </c>
      <c r="D123" s="5" t="s">
        <v>321</v>
      </c>
      <c r="E123" s="5" t="s">
        <v>52</v>
      </c>
      <c r="F123" s="5" t="s">
        <v>62</v>
      </c>
      <c r="G123" s="5" t="s">
        <v>202</v>
      </c>
      <c r="H123" s="5" t="s">
        <v>464</v>
      </c>
      <c r="I123" s="6">
        <v>40004</v>
      </c>
      <c r="J123" s="5" t="s">
        <v>480</v>
      </c>
      <c r="K123" s="5" t="s">
        <v>480</v>
      </c>
      <c r="L123" s="5" t="s">
        <v>324</v>
      </c>
      <c r="M123" s="7">
        <v>6</v>
      </c>
      <c r="N123" s="7" t="s">
        <v>176</v>
      </c>
      <c r="O123" s="8">
        <v>8712</v>
      </c>
      <c r="P123" s="9">
        <v>0.02</v>
      </c>
      <c r="Q123" s="10">
        <f t="shared" si="13"/>
        <v>174</v>
      </c>
      <c r="R123" s="9">
        <v>5.0000000000000001E-3</v>
      </c>
      <c r="S123" s="10">
        <f t="shared" si="14"/>
        <v>44</v>
      </c>
      <c r="T123" s="9">
        <f t="shared" si="15"/>
        <v>2.5022956841138658E-2</v>
      </c>
      <c r="U123" s="10">
        <f t="shared" si="16"/>
        <v>218</v>
      </c>
      <c r="V123" s="10">
        <f t="shared" si="17"/>
        <v>8930</v>
      </c>
      <c r="W123" s="11">
        <v>9931.68</v>
      </c>
      <c r="X123" s="12">
        <f t="shared" si="18"/>
        <v>1219.6800000000003</v>
      </c>
      <c r="Y123" s="13">
        <f t="shared" si="19"/>
        <v>0.14000000000000001</v>
      </c>
      <c r="Z123" s="14" t="str">
        <f t="shared" si="20"/>
        <v>0.00%-8.40%</v>
      </c>
      <c r="AA123" s="15"/>
      <c r="AB123" s="15"/>
      <c r="AC123" s="15"/>
      <c r="AD123" s="16"/>
      <c r="AE123" s="8">
        <f t="shared" si="21"/>
        <v>0</v>
      </c>
      <c r="AF123" s="17">
        <f t="shared" si="22"/>
        <v>9931.68</v>
      </c>
      <c r="AG123" s="18">
        <f t="shared" si="23"/>
        <v>1219.6800000000003</v>
      </c>
      <c r="AH123" s="19">
        <f t="shared" si="24"/>
        <v>0.14000000000000012</v>
      </c>
      <c r="AI123" s="20">
        <v>13.6</v>
      </c>
      <c r="AJ123" s="20">
        <v>450</v>
      </c>
      <c r="AK123" s="20"/>
      <c r="AL123" s="20">
        <v>688</v>
      </c>
      <c r="AM123" s="20">
        <f t="shared" si="25"/>
        <v>141158.848</v>
      </c>
      <c r="AN123" s="7" t="s">
        <v>176</v>
      </c>
      <c r="AO123" s="20"/>
      <c r="AP123" s="21" t="s">
        <v>483</v>
      </c>
      <c r="AQ123" s="21" t="s">
        <v>90</v>
      </c>
      <c r="AR123" s="5" t="s">
        <v>466</v>
      </c>
      <c r="AS123" s="5" t="s">
        <v>164</v>
      </c>
      <c r="AT123" s="5" t="s">
        <v>59</v>
      </c>
      <c r="AU123" s="20"/>
      <c r="AV123" s="21"/>
      <c r="AW123" s="21"/>
      <c r="AX123" s="21"/>
    </row>
    <row r="124" spans="1:50" s="55" customFormat="1">
      <c r="A124" s="86" t="s">
        <v>318</v>
      </c>
      <c r="B124" s="5">
        <v>15002294</v>
      </c>
      <c r="C124" s="5" t="s">
        <v>484</v>
      </c>
      <c r="D124" s="5" t="s">
        <v>321</v>
      </c>
      <c r="E124" s="5" t="s">
        <v>52</v>
      </c>
      <c r="F124" s="5" t="s">
        <v>62</v>
      </c>
      <c r="G124" s="5" t="s">
        <v>202</v>
      </c>
      <c r="H124" s="5" t="s">
        <v>464</v>
      </c>
      <c r="I124" s="6">
        <v>40391</v>
      </c>
      <c r="J124" s="5" t="s">
        <v>279</v>
      </c>
      <c r="K124" s="5" t="s">
        <v>279</v>
      </c>
      <c r="L124" s="5" t="s">
        <v>324</v>
      </c>
      <c r="M124" s="7">
        <v>6</v>
      </c>
      <c r="N124" s="7" t="s">
        <v>176</v>
      </c>
      <c r="O124" s="8">
        <v>6193</v>
      </c>
      <c r="P124" s="9">
        <v>0.02</v>
      </c>
      <c r="Q124" s="10">
        <f t="shared" si="13"/>
        <v>124</v>
      </c>
      <c r="R124" s="9">
        <v>5.0000000000000001E-3</v>
      </c>
      <c r="S124" s="10">
        <f t="shared" si="14"/>
        <v>31</v>
      </c>
      <c r="T124" s="9">
        <f t="shared" si="15"/>
        <v>2.5028257710318101E-2</v>
      </c>
      <c r="U124" s="10">
        <f t="shared" si="16"/>
        <v>155</v>
      </c>
      <c r="V124" s="10">
        <f t="shared" si="17"/>
        <v>6348</v>
      </c>
      <c r="W124" s="11">
        <v>6502.65</v>
      </c>
      <c r="X124" s="12">
        <f t="shared" si="18"/>
        <v>309.64999999999964</v>
      </c>
      <c r="Y124" s="13">
        <f t="shared" si="19"/>
        <v>0.05</v>
      </c>
      <c r="Z124" s="14" t="str">
        <f t="shared" si="20"/>
        <v>0.00%-8.40%</v>
      </c>
      <c r="AA124" s="15"/>
      <c r="AB124" s="15"/>
      <c r="AC124" s="15"/>
      <c r="AD124" s="16"/>
      <c r="AE124" s="8">
        <f t="shared" si="21"/>
        <v>0</v>
      </c>
      <c r="AF124" s="17">
        <f t="shared" si="22"/>
        <v>6502.65</v>
      </c>
      <c r="AG124" s="18">
        <f t="shared" si="23"/>
        <v>309.64999999999964</v>
      </c>
      <c r="AH124" s="19">
        <f t="shared" si="24"/>
        <v>5.0000000000000044E-2</v>
      </c>
      <c r="AI124" s="20">
        <v>13.6</v>
      </c>
      <c r="AJ124" s="20">
        <v>450</v>
      </c>
      <c r="AK124" s="20"/>
      <c r="AL124" s="20">
        <v>688</v>
      </c>
      <c r="AM124" s="20">
        <f t="shared" si="25"/>
        <v>94524.04</v>
      </c>
      <c r="AN124" s="7" t="s">
        <v>176</v>
      </c>
      <c r="AO124" s="20"/>
      <c r="AP124" s="21" t="s">
        <v>465</v>
      </c>
      <c r="AQ124" s="21"/>
      <c r="AR124" s="5" t="s">
        <v>466</v>
      </c>
      <c r="AS124" s="5" t="s">
        <v>164</v>
      </c>
      <c r="AT124" s="5" t="s">
        <v>59</v>
      </c>
      <c r="AU124" s="20"/>
      <c r="AV124" s="21"/>
      <c r="AW124" s="21"/>
      <c r="AX124" s="21"/>
    </row>
    <row r="125" spans="1:50" s="55" customFormat="1">
      <c r="A125" s="86" t="s">
        <v>318</v>
      </c>
      <c r="B125" s="5">
        <v>15003880</v>
      </c>
      <c r="C125" s="5" t="s">
        <v>485</v>
      </c>
      <c r="D125" s="5" t="s">
        <v>321</v>
      </c>
      <c r="E125" s="5" t="s">
        <v>52</v>
      </c>
      <c r="F125" s="5" t="s">
        <v>62</v>
      </c>
      <c r="G125" s="5" t="s">
        <v>202</v>
      </c>
      <c r="H125" s="5" t="s">
        <v>464</v>
      </c>
      <c r="I125" s="6">
        <v>40756</v>
      </c>
      <c r="J125" s="5" t="s">
        <v>279</v>
      </c>
      <c r="K125" s="5" t="s">
        <v>279</v>
      </c>
      <c r="L125" s="5" t="s">
        <v>324</v>
      </c>
      <c r="M125" s="7">
        <v>6</v>
      </c>
      <c r="N125" s="7" t="s">
        <v>176</v>
      </c>
      <c r="O125" s="8">
        <v>6206</v>
      </c>
      <c r="P125" s="9">
        <v>0.02</v>
      </c>
      <c r="Q125" s="10">
        <f t="shared" si="13"/>
        <v>124</v>
      </c>
      <c r="R125" s="9">
        <v>5.0000000000000001E-3</v>
      </c>
      <c r="S125" s="10">
        <f t="shared" si="14"/>
        <v>31</v>
      </c>
      <c r="T125" s="9">
        <f t="shared" si="15"/>
        <v>2.4975829842088303E-2</v>
      </c>
      <c r="U125" s="10">
        <f t="shared" si="16"/>
        <v>155</v>
      </c>
      <c r="V125" s="10">
        <f t="shared" si="17"/>
        <v>6361</v>
      </c>
      <c r="W125" s="11">
        <v>6578.36</v>
      </c>
      <c r="X125" s="12">
        <f t="shared" si="18"/>
        <v>372.35999999999967</v>
      </c>
      <c r="Y125" s="13">
        <f t="shared" si="19"/>
        <v>0.06</v>
      </c>
      <c r="Z125" s="14" t="str">
        <f t="shared" si="20"/>
        <v>0.00%-8.40%</v>
      </c>
      <c r="AA125" s="15"/>
      <c r="AB125" s="15"/>
      <c r="AC125" s="15"/>
      <c r="AD125" s="16"/>
      <c r="AE125" s="8">
        <f t="shared" si="21"/>
        <v>0</v>
      </c>
      <c r="AF125" s="17">
        <f t="shared" si="22"/>
        <v>6578.36</v>
      </c>
      <c r="AG125" s="18">
        <f t="shared" si="23"/>
        <v>372.35999999999967</v>
      </c>
      <c r="AH125" s="19">
        <f t="shared" si="24"/>
        <v>6.0000000000000053E-2</v>
      </c>
      <c r="AI125" s="20">
        <v>13.6</v>
      </c>
      <c r="AJ125" s="20">
        <v>450</v>
      </c>
      <c r="AK125" s="20"/>
      <c r="AL125" s="20">
        <v>688</v>
      </c>
      <c r="AM125" s="20">
        <f t="shared" si="25"/>
        <v>95553.695999999996</v>
      </c>
      <c r="AN125" s="7" t="s">
        <v>176</v>
      </c>
      <c r="AO125" s="20"/>
      <c r="AP125" s="21" t="s">
        <v>465</v>
      </c>
      <c r="AQ125" s="21"/>
      <c r="AR125" s="5" t="s">
        <v>466</v>
      </c>
      <c r="AS125" s="5" t="s">
        <v>164</v>
      </c>
      <c r="AT125" s="5" t="s">
        <v>59</v>
      </c>
      <c r="AU125" s="20"/>
      <c r="AV125" s="21"/>
      <c r="AW125" s="21"/>
      <c r="AX125" s="21"/>
    </row>
    <row r="126" spans="1:50" s="55" customFormat="1">
      <c r="A126" s="86" t="s">
        <v>318</v>
      </c>
      <c r="B126" s="5">
        <v>15002650</v>
      </c>
      <c r="C126" s="5" t="s">
        <v>486</v>
      </c>
      <c r="D126" s="5" t="s">
        <v>321</v>
      </c>
      <c r="E126" s="5" t="s">
        <v>52</v>
      </c>
      <c r="F126" s="5" t="s">
        <v>62</v>
      </c>
      <c r="G126" s="5" t="s">
        <v>202</v>
      </c>
      <c r="H126" s="5" t="s">
        <v>464</v>
      </c>
      <c r="I126" s="6">
        <v>40087</v>
      </c>
      <c r="J126" s="5" t="s">
        <v>279</v>
      </c>
      <c r="K126" s="5" t="s">
        <v>279</v>
      </c>
      <c r="L126" s="5" t="s">
        <v>324</v>
      </c>
      <c r="M126" s="7">
        <v>6</v>
      </c>
      <c r="N126" s="7" t="s">
        <v>176</v>
      </c>
      <c r="O126" s="8">
        <v>6424</v>
      </c>
      <c r="P126" s="9">
        <v>0.02</v>
      </c>
      <c r="Q126" s="10">
        <f t="shared" si="13"/>
        <v>128</v>
      </c>
      <c r="R126" s="9">
        <v>5.0000000000000001E-3</v>
      </c>
      <c r="S126" s="10">
        <f t="shared" si="14"/>
        <v>32</v>
      </c>
      <c r="T126" s="9">
        <f t="shared" si="15"/>
        <v>2.4906600249066001E-2</v>
      </c>
      <c r="U126" s="10">
        <f t="shared" si="16"/>
        <v>160</v>
      </c>
      <c r="V126" s="10">
        <f t="shared" si="17"/>
        <v>6584</v>
      </c>
      <c r="W126" s="11">
        <v>6809.44</v>
      </c>
      <c r="X126" s="12">
        <f t="shared" si="18"/>
        <v>385.4399999999996</v>
      </c>
      <c r="Y126" s="13">
        <f t="shared" si="19"/>
        <v>0.06</v>
      </c>
      <c r="Z126" s="14" t="str">
        <f t="shared" si="20"/>
        <v>0.00%-8.40%</v>
      </c>
      <c r="AA126" s="15"/>
      <c r="AB126" s="15"/>
      <c r="AC126" s="15"/>
      <c r="AD126" s="16"/>
      <c r="AE126" s="8">
        <f t="shared" si="21"/>
        <v>0</v>
      </c>
      <c r="AF126" s="17">
        <f t="shared" si="22"/>
        <v>6809.44</v>
      </c>
      <c r="AG126" s="18">
        <f t="shared" si="23"/>
        <v>385.4399999999996</v>
      </c>
      <c r="AH126" s="19">
        <f t="shared" si="24"/>
        <v>5.9999999999999831E-2</v>
      </c>
      <c r="AI126" s="20">
        <v>13.6</v>
      </c>
      <c r="AJ126" s="20">
        <v>450</v>
      </c>
      <c r="AK126" s="20"/>
      <c r="AL126" s="20">
        <v>688</v>
      </c>
      <c r="AM126" s="20">
        <f t="shared" si="25"/>
        <v>98696.383999999991</v>
      </c>
      <c r="AN126" s="7" t="s">
        <v>176</v>
      </c>
      <c r="AO126" s="20"/>
      <c r="AP126" s="21" t="s">
        <v>487</v>
      </c>
      <c r="AQ126" s="21"/>
      <c r="AR126" s="5" t="s">
        <v>466</v>
      </c>
      <c r="AS126" s="5" t="s">
        <v>164</v>
      </c>
      <c r="AT126" s="5" t="s">
        <v>59</v>
      </c>
      <c r="AU126" s="20"/>
      <c r="AV126" s="21"/>
      <c r="AW126" s="21"/>
      <c r="AX126" s="21"/>
    </row>
    <row r="127" spans="1:50" s="55" customFormat="1">
      <c r="A127" s="86" t="s">
        <v>318</v>
      </c>
      <c r="B127" s="5">
        <v>15002891</v>
      </c>
      <c r="C127" s="5" t="s">
        <v>488</v>
      </c>
      <c r="D127" s="5" t="s">
        <v>321</v>
      </c>
      <c r="E127" s="5" t="s">
        <v>52</v>
      </c>
      <c r="F127" s="5" t="s">
        <v>62</v>
      </c>
      <c r="G127" s="5" t="s">
        <v>202</v>
      </c>
      <c r="H127" s="5" t="s">
        <v>464</v>
      </c>
      <c r="I127" s="6">
        <v>40179</v>
      </c>
      <c r="J127" s="5" t="s">
        <v>279</v>
      </c>
      <c r="K127" s="5" t="s">
        <v>279</v>
      </c>
      <c r="L127" s="5" t="s">
        <v>324</v>
      </c>
      <c r="M127" s="7">
        <v>6</v>
      </c>
      <c r="N127" s="7" t="s">
        <v>176</v>
      </c>
      <c r="O127" s="8">
        <v>5665</v>
      </c>
      <c r="P127" s="9">
        <v>0.02</v>
      </c>
      <c r="Q127" s="10">
        <f t="shared" si="13"/>
        <v>113</v>
      </c>
      <c r="R127" s="9">
        <v>5.0000000000000001E-3</v>
      </c>
      <c r="S127" s="10">
        <f t="shared" si="14"/>
        <v>28</v>
      </c>
      <c r="T127" s="9">
        <f t="shared" si="15"/>
        <v>2.4889673433362753E-2</v>
      </c>
      <c r="U127" s="10">
        <f t="shared" si="16"/>
        <v>141</v>
      </c>
      <c r="V127" s="10">
        <f t="shared" si="17"/>
        <v>5806</v>
      </c>
      <c r="W127" s="11">
        <v>5665</v>
      </c>
      <c r="X127" s="12">
        <f t="shared" si="18"/>
        <v>0</v>
      </c>
      <c r="Y127" s="13">
        <f t="shared" si="19"/>
        <v>0</v>
      </c>
      <c r="Z127" s="14" t="str">
        <f t="shared" si="20"/>
        <v>0.00%-8.40%</v>
      </c>
      <c r="AA127" s="15"/>
      <c r="AB127" s="15"/>
      <c r="AC127" s="15"/>
      <c r="AD127" s="16"/>
      <c r="AE127" s="8">
        <f t="shared" si="21"/>
        <v>0</v>
      </c>
      <c r="AF127" s="17">
        <f t="shared" si="22"/>
        <v>5665</v>
      </c>
      <c r="AG127" s="18">
        <f t="shared" si="23"/>
        <v>0</v>
      </c>
      <c r="AH127" s="19">
        <f t="shared" si="24"/>
        <v>0</v>
      </c>
      <c r="AI127" s="20">
        <v>13.6</v>
      </c>
      <c r="AJ127" s="20">
        <v>500</v>
      </c>
      <c r="AK127" s="20"/>
      <c r="AL127" s="20">
        <v>688</v>
      </c>
      <c r="AM127" s="20">
        <f t="shared" si="25"/>
        <v>83732</v>
      </c>
      <c r="AN127" s="7" t="s">
        <v>176</v>
      </c>
      <c r="AO127" s="20"/>
      <c r="AP127" s="21" t="s">
        <v>97</v>
      </c>
      <c r="AQ127" s="21" t="s">
        <v>97</v>
      </c>
      <c r="AR127" s="5" t="s">
        <v>466</v>
      </c>
      <c r="AS127" s="5" t="s">
        <v>164</v>
      </c>
      <c r="AT127" s="5" t="s">
        <v>59</v>
      </c>
      <c r="AU127" s="20"/>
      <c r="AV127" s="21"/>
      <c r="AW127" s="21"/>
      <c r="AX127" s="21"/>
    </row>
    <row r="128" spans="1:50" s="55" customFormat="1">
      <c r="A128" s="86" t="s">
        <v>318</v>
      </c>
      <c r="B128" s="5">
        <v>15008051</v>
      </c>
      <c r="C128" s="5" t="s">
        <v>489</v>
      </c>
      <c r="D128" s="5" t="s">
        <v>321</v>
      </c>
      <c r="E128" s="5" t="s">
        <v>52</v>
      </c>
      <c r="F128" s="5" t="s">
        <v>62</v>
      </c>
      <c r="G128" s="5" t="s">
        <v>202</v>
      </c>
      <c r="H128" s="5" t="s">
        <v>464</v>
      </c>
      <c r="I128" s="6">
        <v>41334</v>
      </c>
      <c r="J128" s="5" t="s">
        <v>279</v>
      </c>
      <c r="K128" s="5" t="s">
        <v>279</v>
      </c>
      <c r="L128" s="5" t="s">
        <v>324</v>
      </c>
      <c r="M128" s="7">
        <v>6</v>
      </c>
      <c r="N128" s="7" t="s">
        <v>176</v>
      </c>
      <c r="O128" s="8">
        <v>5854</v>
      </c>
      <c r="P128" s="9">
        <v>0.02</v>
      </c>
      <c r="Q128" s="10">
        <f t="shared" si="13"/>
        <v>117</v>
      </c>
      <c r="R128" s="9">
        <v>5.0000000000000001E-3</v>
      </c>
      <c r="S128" s="10">
        <f t="shared" si="14"/>
        <v>29</v>
      </c>
      <c r="T128" s="9">
        <f t="shared" si="15"/>
        <v>2.494021182097711E-2</v>
      </c>
      <c r="U128" s="10">
        <f t="shared" si="16"/>
        <v>146</v>
      </c>
      <c r="V128" s="10">
        <f t="shared" si="17"/>
        <v>6000</v>
      </c>
      <c r="W128" s="11">
        <v>6205.24</v>
      </c>
      <c r="X128" s="12">
        <f t="shared" si="18"/>
        <v>351.23999999999978</v>
      </c>
      <c r="Y128" s="13">
        <f t="shared" si="19"/>
        <v>0.06</v>
      </c>
      <c r="Z128" s="14" t="str">
        <f t="shared" si="20"/>
        <v>0.00%-8.40%</v>
      </c>
      <c r="AA128" s="15"/>
      <c r="AB128" s="15"/>
      <c r="AC128" s="15"/>
      <c r="AD128" s="16"/>
      <c r="AE128" s="8">
        <f t="shared" si="21"/>
        <v>0</v>
      </c>
      <c r="AF128" s="17">
        <f t="shared" si="22"/>
        <v>6205.24</v>
      </c>
      <c r="AG128" s="18">
        <f t="shared" si="23"/>
        <v>351.23999999999978</v>
      </c>
      <c r="AH128" s="19">
        <f t="shared" si="24"/>
        <v>6.0000000000000053E-2</v>
      </c>
      <c r="AI128" s="20">
        <v>13.6</v>
      </c>
      <c r="AJ128" s="20">
        <v>450</v>
      </c>
      <c r="AK128" s="20"/>
      <c r="AL128" s="20">
        <v>688</v>
      </c>
      <c r="AM128" s="20">
        <f t="shared" si="25"/>
        <v>90479.263999999996</v>
      </c>
      <c r="AN128" s="7" t="s">
        <v>176</v>
      </c>
      <c r="AO128" s="20" t="s">
        <v>490</v>
      </c>
      <c r="AP128" s="21"/>
      <c r="AQ128" s="21"/>
      <c r="AR128" s="5" t="s">
        <v>466</v>
      </c>
      <c r="AS128" s="5" t="s">
        <v>164</v>
      </c>
      <c r="AT128" s="5" t="s">
        <v>59</v>
      </c>
      <c r="AU128" s="20"/>
      <c r="AV128" s="21"/>
      <c r="AW128" s="21"/>
      <c r="AX128" s="21"/>
    </row>
    <row r="129" spans="1:50" s="55" customFormat="1">
      <c r="A129" s="86" t="s">
        <v>318</v>
      </c>
      <c r="B129" s="5">
        <v>15005987</v>
      </c>
      <c r="C129" s="5" t="s">
        <v>491</v>
      </c>
      <c r="D129" s="5" t="s">
        <v>321</v>
      </c>
      <c r="E129" s="5" t="s">
        <v>52</v>
      </c>
      <c r="F129" s="5" t="s">
        <v>62</v>
      </c>
      <c r="G129" s="5" t="s">
        <v>202</v>
      </c>
      <c r="H129" s="5" t="s">
        <v>464</v>
      </c>
      <c r="I129" s="6">
        <v>40909</v>
      </c>
      <c r="J129" s="5" t="s">
        <v>279</v>
      </c>
      <c r="K129" s="5" t="s">
        <v>279</v>
      </c>
      <c r="L129" s="5" t="s">
        <v>324</v>
      </c>
      <c r="M129" s="7">
        <v>6</v>
      </c>
      <c r="N129" s="7" t="s">
        <v>176</v>
      </c>
      <c r="O129" s="8">
        <v>5716</v>
      </c>
      <c r="P129" s="9">
        <v>0.02</v>
      </c>
      <c r="Q129" s="10">
        <f t="shared" si="13"/>
        <v>114</v>
      </c>
      <c r="R129" s="9">
        <v>5.0000000000000001E-3</v>
      </c>
      <c r="S129" s="10">
        <f t="shared" si="14"/>
        <v>29</v>
      </c>
      <c r="T129" s="9">
        <f t="shared" si="15"/>
        <v>2.5017494751574526E-2</v>
      </c>
      <c r="U129" s="10">
        <f t="shared" si="16"/>
        <v>143</v>
      </c>
      <c r="V129" s="10">
        <f t="shared" si="17"/>
        <v>5859</v>
      </c>
      <c r="W129" s="11">
        <v>5716</v>
      </c>
      <c r="X129" s="12">
        <f t="shared" si="18"/>
        <v>0</v>
      </c>
      <c r="Y129" s="13">
        <f t="shared" si="19"/>
        <v>0</v>
      </c>
      <c r="Z129" s="14" t="str">
        <f t="shared" si="20"/>
        <v>0.00%-8.40%</v>
      </c>
      <c r="AA129" s="15"/>
      <c r="AB129" s="15"/>
      <c r="AC129" s="15"/>
      <c r="AD129" s="16"/>
      <c r="AE129" s="8">
        <f t="shared" si="21"/>
        <v>0</v>
      </c>
      <c r="AF129" s="17">
        <f t="shared" si="22"/>
        <v>5716</v>
      </c>
      <c r="AG129" s="18">
        <f t="shared" si="23"/>
        <v>0</v>
      </c>
      <c r="AH129" s="19">
        <f t="shared" si="24"/>
        <v>0</v>
      </c>
      <c r="AI129" s="20">
        <v>13.6</v>
      </c>
      <c r="AJ129" s="20">
        <v>450</v>
      </c>
      <c r="AK129" s="20"/>
      <c r="AL129" s="20">
        <v>688</v>
      </c>
      <c r="AM129" s="20">
        <f t="shared" si="25"/>
        <v>83825.599999999991</v>
      </c>
      <c r="AN129" s="7" t="s">
        <v>176</v>
      </c>
      <c r="AO129" s="20"/>
      <c r="AP129" s="21" t="s">
        <v>472</v>
      </c>
      <c r="AQ129" s="21" t="s">
        <v>97</v>
      </c>
      <c r="AR129" s="5" t="s">
        <v>466</v>
      </c>
      <c r="AS129" s="5" t="s">
        <v>164</v>
      </c>
      <c r="AT129" s="5" t="s">
        <v>59</v>
      </c>
      <c r="AU129" s="20"/>
      <c r="AV129" s="21"/>
      <c r="AW129" s="21"/>
      <c r="AX129" s="21"/>
    </row>
    <row r="130" spans="1:50" s="55" customFormat="1">
      <c r="A130" s="86" t="s">
        <v>318</v>
      </c>
      <c r="B130" s="5">
        <v>15003362</v>
      </c>
      <c r="C130" s="5" t="s">
        <v>492</v>
      </c>
      <c r="D130" s="5" t="s">
        <v>321</v>
      </c>
      <c r="E130" s="5" t="s">
        <v>52</v>
      </c>
      <c r="F130" s="5" t="s">
        <v>62</v>
      </c>
      <c r="G130" s="5" t="s">
        <v>202</v>
      </c>
      <c r="H130" s="5" t="s">
        <v>464</v>
      </c>
      <c r="I130" s="6">
        <v>40299</v>
      </c>
      <c r="J130" s="5" t="s">
        <v>279</v>
      </c>
      <c r="K130" s="5" t="s">
        <v>279</v>
      </c>
      <c r="L130" s="5" t="s">
        <v>324</v>
      </c>
      <c r="M130" s="7">
        <v>6</v>
      </c>
      <c r="N130" s="7" t="s">
        <v>176</v>
      </c>
      <c r="O130" s="8">
        <v>5661</v>
      </c>
      <c r="P130" s="9">
        <v>0.02</v>
      </c>
      <c r="Q130" s="10">
        <f t="shared" si="13"/>
        <v>113</v>
      </c>
      <c r="R130" s="9">
        <v>5.0000000000000001E-3</v>
      </c>
      <c r="S130" s="10">
        <f t="shared" si="14"/>
        <v>28</v>
      </c>
      <c r="T130" s="9">
        <f t="shared" si="15"/>
        <v>2.4907260201377849E-2</v>
      </c>
      <c r="U130" s="10">
        <f t="shared" si="16"/>
        <v>141</v>
      </c>
      <c r="V130" s="10">
        <f t="shared" si="17"/>
        <v>5802</v>
      </c>
      <c r="W130" s="11">
        <v>5661</v>
      </c>
      <c r="X130" s="12">
        <f t="shared" si="18"/>
        <v>0</v>
      </c>
      <c r="Y130" s="13">
        <f t="shared" si="19"/>
        <v>0</v>
      </c>
      <c r="Z130" s="14" t="str">
        <f t="shared" si="20"/>
        <v>0.00%-8.40%</v>
      </c>
      <c r="AA130" s="15"/>
      <c r="AB130" s="15"/>
      <c r="AC130" s="15"/>
      <c r="AD130" s="16"/>
      <c r="AE130" s="8">
        <f t="shared" si="21"/>
        <v>0</v>
      </c>
      <c r="AF130" s="17">
        <f t="shared" si="22"/>
        <v>5661</v>
      </c>
      <c r="AG130" s="18">
        <f t="shared" si="23"/>
        <v>0</v>
      </c>
      <c r="AH130" s="19">
        <f t="shared" si="24"/>
        <v>0</v>
      </c>
      <c r="AI130" s="20">
        <v>13.6</v>
      </c>
      <c r="AJ130" s="20">
        <v>450</v>
      </c>
      <c r="AK130" s="20"/>
      <c r="AL130" s="20">
        <v>688</v>
      </c>
      <c r="AM130" s="20">
        <f t="shared" si="25"/>
        <v>83077.599999999991</v>
      </c>
      <c r="AN130" s="7" t="s">
        <v>176</v>
      </c>
      <c r="AO130" s="20"/>
      <c r="AP130" s="21" t="s">
        <v>472</v>
      </c>
      <c r="AQ130" s="21" t="s">
        <v>97</v>
      </c>
      <c r="AR130" s="5" t="s">
        <v>466</v>
      </c>
      <c r="AS130" s="5" t="s">
        <v>164</v>
      </c>
      <c r="AT130" s="5" t="s">
        <v>59</v>
      </c>
      <c r="AU130" s="20"/>
      <c r="AV130" s="21"/>
      <c r="AW130" s="21"/>
      <c r="AX130" s="21"/>
    </row>
    <row r="131" spans="1:50" s="55" customFormat="1">
      <c r="A131" s="86" t="s">
        <v>318</v>
      </c>
      <c r="B131" s="5">
        <v>15010711</v>
      </c>
      <c r="C131" s="5" t="s">
        <v>493</v>
      </c>
      <c r="D131" s="5" t="s">
        <v>321</v>
      </c>
      <c r="E131" s="5" t="s">
        <v>52</v>
      </c>
      <c r="F131" s="5" t="s">
        <v>62</v>
      </c>
      <c r="G131" s="5" t="s">
        <v>202</v>
      </c>
      <c r="H131" s="5" t="s">
        <v>464</v>
      </c>
      <c r="I131" s="6">
        <v>41579</v>
      </c>
      <c r="J131" s="5" t="s">
        <v>279</v>
      </c>
      <c r="K131" s="5" t="s">
        <v>279</v>
      </c>
      <c r="L131" s="5" t="s">
        <v>324</v>
      </c>
      <c r="M131" s="7">
        <v>6</v>
      </c>
      <c r="N131" s="7" t="s">
        <v>176</v>
      </c>
      <c r="O131" s="8">
        <v>5636</v>
      </c>
      <c r="P131" s="9">
        <v>0.02</v>
      </c>
      <c r="Q131" s="10">
        <f t="shared" si="13"/>
        <v>113</v>
      </c>
      <c r="R131" s="9">
        <v>5.0000000000000001E-3</v>
      </c>
      <c r="S131" s="10">
        <f t="shared" si="14"/>
        <v>28</v>
      </c>
      <c r="T131" s="9">
        <f t="shared" si="15"/>
        <v>2.5017743080198721E-2</v>
      </c>
      <c r="U131" s="10">
        <f t="shared" si="16"/>
        <v>141</v>
      </c>
      <c r="V131" s="10">
        <f t="shared" si="17"/>
        <v>5777</v>
      </c>
      <c r="W131" s="11">
        <v>6086.88</v>
      </c>
      <c r="X131" s="12">
        <f t="shared" si="18"/>
        <v>450.88000000000011</v>
      </c>
      <c r="Y131" s="13">
        <f t="shared" si="19"/>
        <v>0.08</v>
      </c>
      <c r="Z131" s="14" t="str">
        <f t="shared" si="20"/>
        <v>0.00%-8.40%</v>
      </c>
      <c r="AA131" s="15"/>
      <c r="AB131" s="15"/>
      <c r="AC131" s="15"/>
      <c r="AD131" s="16"/>
      <c r="AE131" s="8">
        <f t="shared" si="21"/>
        <v>0</v>
      </c>
      <c r="AF131" s="17">
        <f t="shared" si="22"/>
        <v>6086.88</v>
      </c>
      <c r="AG131" s="18">
        <f t="shared" si="23"/>
        <v>450.88000000000011</v>
      </c>
      <c r="AH131" s="19">
        <f t="shared" si="24"/>
        <v>8.0000000000000071E-2</v>
      </c>
      <c r="AI131" s="20">
        <v>13.6</v>
      </c>
      <c r="AJ131" s="20">
        <v>450</v>
      </c>
      <c r="AK131" s="20"/>
      <c r="AL131" s="20">
        <v>688</v>
      </c>
      <c r="AM131" s="20">
        <f t="shared" si="25"/>
        <v>88869.567999999999</v>
      </c>
      <c r="AN131" s="7" t="s">
        <v>176</v>
      </c>
      <c r="AO131" s="20"/>
      <c r="AP131" s="21" t="s">
        <v>465</v>
      </c>
      <c r="AQ131" s="21"/>
      <c r="AR131" s="5" t="s">
        <v>466</v>
      </c>
      <c r="AS131" s="5" t="s">
        <v>164</v>
      </c>
      <c r="AT131" s="5" t="s">
        <v>59</v>
      </c>
      <c r="AU131" s="20"/>
      <c r="AV131" s="21"/>
      <c r="AW131" s="21"/>
      <c r="AX131" s="21"/>
    </row>
    <row r="132" spans="1:50" s="55" customFormat="1">
      <c r="A132" s="86" t="s">
        <v>318</v>
      </c>
      <c r="B132" s="5">
        <v>15010767</v>
      </c>
      <c r="C132" s="5" t="s">
        <v>494</v>
      </c>
      <c r="D132" s="5" t="s">
        <v>321</v>
      </c>
      <c r="E132" s="5" t="s">
        <v>52</v>
      </c>
      <c r="F132" s="5" t="s">
        <v>62</v>
      </c>
      <c r="G132" s="5" t="s">
        <v>202</v>
      </c>
      <c r="H132" s="5" t="s">
        <v>464</v>
      </c>
      <c r="I132" s="6">
        <v>41821</v>
      </c>
      <c r="J132" s="5" t="s">
        <v>279</v>
      </c>
      <c r="K132" s="5" t="s">
        <v>279</v>
      </c>
      <c r="L132" s="5" t="s">
        <v>324</v>
      </c>
      <c r="M132" s="7">
        <v>6</v>
      </c>
      <c r="N132" s="7" t="s">
        <v>176</v>
      </c>
      <c r="O132" s="8">
        <v>6266</v>
      </c>
      <c r="P132" s="9">
        <v>0.02</v>
      </c>
      <c r="Q132" s="10">
        <f t="shared" si="13"/>
        <v>125</v>
      </c>
      <c r="R132" s="9">
        <v>5.0000000000000001E-3</v>
      </c>
      <c r="S132" s="10">
        <f t="shared" si="14"/>
        <v>31</v>
      </c>
      <c r="T132" s="9">
        <f t="shared" si="15"/>
        <v>2.4896265560165973E-2</v>
      </c>
      <c r="U132" s="10">
        <f t="shared" si="16"/>
        <v>156</v>
      </c>
      <c r="V132" s="10">
        <f t="shared" si="17"/>
        <v>6422</v>
      </c>
      <c r="W132" s="11">
        <v>6641.96</v>
      </c>
      <c r="X132" s="12">
        <f t="shared" si="18"/>
        <v>375.96000000000004</v>
      </c>
      <c r="Y132" s="13">
        <f t="shared" si="19"/>
        <v>0.06</v>
      </c>
      <c r="Z132" s="14" t="str">
        <f t="shared" si="20"/>
        <v>0.00%-8.40%</v>
      </c>
      <c r="AA132" s="15"/>
      <c r="AB132" s="15"/>
      <c r="AC132" s="15"/>
      <c r="AD132" s="16"/>
      <c r="AE132" s="8">
        <f t="shared" si="21"/>
        <v>0</v>
      </c>
      <c r="AF132" s="17">
        <f t="shared" si="22"/>
        <v>6641.96</v>
      </c>
      <c r="AG132" s="18">
        <f t="shared" si="23"/>
        <v>375.96000000000004</v>
      </c>
      <c r="AH132" s="19">
        <f t="shared" si="24"/>
        <v>6.0000000000000053E-2</v>
      </c>
      <c r="AI132" s="20">
        <v>13.6</v>
      </c>
      <c r="AJ132" s="20">
        <v>450</v>
      </c>
      <c r="AK132" s="20"/>
      <c r="AL132" s="20">
        <v>688</v>
      </c>
      <c r="AM132" s="20">
        <f t="shared" si="25"/>
        <v>96418.656000000003</v>
      </c>
      <c r="AN132" s="7" t="s">
        <v>176</v>
      </c>
      <c r="AO132" s="20"/>
      <c r="AP132" s="21" t="s">
        <v>465</v>
      </c>
      <c r="AQ132" s="21"/>
      <c r="AR132" s="5" t="s">
        <v>466</v>
      </c>
      <c r="AS132" s="5" t="s">
        <v>164</v>
      </c>
      <c r="AT132" s="5" t="s">
        <v>59</v>
      </c>
      <c r="AU132" s="20"/>
      <c r="AV132" s="21"/>
      <c r="AW132" s="21"/>
      <c r="AX132" s="21"/>
    </row>
    <row r="133" spans="1:50" s="55" customFormat="1">
      <c r="A133" s="86" t="s">
        <v>318</v>
      </c>
      <c r="B133" s="5">
        <v>15016573</v>
      </c>
      <c r="C133" s="5" t="s">
        <v>495</v>
      </c>
      <c r="D133" s="5" t="s">
        <v>321</v>
      </c>
      <c r="E133" s="5" t="s">
        <v>52</v>
      </c>
      <c r="F133" s="5" t="s">
        <v>62</v>
      </c>
      <c r="G133" s="5" t="s">
        <v>202</v>
      </c>
      <c r="H133" s="5" t="s">
        <v>464</v>
      </c>
      <c r="I133" s="6">
        <v>42979</v>
      </c>
      <c r="J133" s="5" t="s">
        <v>279</v>
      </c>
      <c r="K133" s="5" t="s">
        <v>279</v>
      </c>
      <c r="L133" s="5" t="s">
        <v>324</v>
      </c>
      <c r="M133" s="7">
        <v>6</v>
      </c>
      <c r="N133" s="7" t="s">
        <v>176</v>
      </c>
      <c r="O133" s="8">
        <v>5498</v>
      </c>
      <c r="P133" s="9">
        <v>0.02</v>
      </c>
      <c r="Q133" s="10">
        <f t="shared" si="13"/>
        <v>110</v>
      </c>
      <c r="R133" s="9">
        <v>5.0000000000000001E-3</v>
      </c>
      <c r="S133" s="10">
        <f t="shared" si="14"/>
        <v>27</v>
      </c>
      <c r="T133" s="9">
        <f t="shared" si="15"/>
        <v>2.4918152055292835E-2</v>
      </c>
      <c r="U133" s="10">
        <f t="shared" si="16"/>
        <v>137</v>
      </c>
      <c r="V133" s="10">
        <f t="shared" si="17"/>
        <v>5635</v>
      </c>
      <c r="W133" s="11">
        <v>5498</v>
      </c>
      <c r="X133" s="12">
        <f t="shared" si="18"/>
        <v>0</v>
      </c>
      <c r="Y133" s="13">
        <f t="shared" si="19"/>
        <v>0</v>
      </c>
      <c r="Z133" s="14" t="str">
        <f t="shared" si="20"/>
        <v>0.00%-8.40%</v>
      </c>
      <c r="AA133" s="15"/>
      <c r="AB133" s="15"/>
      <c r="AC133" s="15"/>
      <c r="AD133" s="16"/>
      <c r="AE133" s="8">
        <f t="shared" si="21"/>
        <v>0</v>
      </c>
      <c r="AF133" s="17">
        <f t="shared" si="22"/>
        <v>5498</v>
      </c>
      <c r="AG133" s="18">
        <f t="shared" si="23"/>
        <v>0</v>
      </c>
      <c r="AH133" s="19">
        <f t="shared" si="24"/>
        <v>0</v>
      </c>
      <c r="AI133" s="20">
        <v>13.6</v>
      </c>
      <c r="AJ133" s="20">
        <v>450</v>
      </c>
      <c r="AK133" s="20"/>
      <c r="AL133" s="20">
        <v>688</v>
      </c>
      <c r="AM133" s="20">
        <f t="shared" si="25"/>
        <v>80860.800000000003</v>
      </c>
      <c r="AN133" s="7" t="s">
        <v>176</v>
      </c>
      <c r="AO133" s="20"/>
      <c r="AP133" s="21" t="s">
        <v>487</v>
      </c>
      <c r="AQ133" s="21" t="s">
        <v>496</v>
      </c>
      <c r="AR133" s="5" t="s">
        <v>466</v>
      </c>
      <c r="AS133" s="5" t="s">
        <v>164</v>
      </c>
      <c r="AT133" s="5" t="s">
        <v>59</v>
      </c>
      <c r="AU133" s="20"/>
      <c r="AV133" s="21"/>
      <c r="AW133" s="21"/>
      <c r="AX133" s="21"/>
    </row>
    <row r="134" spans="1:50" s="55" customFormat="1">
      <c r="A134" s="86" t="s">
        <v>318</v>
      </c>
      <c r="B134" s="5">
        <v>15004105</v>
      </c>
      <c r="C134" s="5" t="s">
        <v>497</v>
      </c>
      <c r="D134" s="5" t="s">
        <v>321</v>
      </c>
      <c r="E134" s="5" t="s">
        <v>52</v>
      </c>
      <c r="F134" s="5" t="s">
        <v>62</v>
      </c>
      <c r="G134" s="5" t="s">
        <v>202</v>
      </c>
      <c r="H134" s="5" t="s">
        <v>464</v>
      </c>
      <c r="I134" s="6">
        <v>40422</v>
      </c>
      <c r="J134" s="5" t="s">
        <v>279</v>
      </c>
      <c r="K134" s="5" t="s">
        <v>279</v>
      </c>
      <c r="L134" s="5" t="s">
        <v>324</v>
      </c>
      <c r="M134" s="7">
        <v>6</v>
      </c>
      <c r="N134" s="7" t="s">
        <v>176</v>
      </c>
      <c r="O134" s="8">
        <v>6642</v>
      </c>
      <c r="P134" s="9">
        <v>0.02</v>
      </c>
      <c r="Q134" s="10">
        <f t="shared" si="13"/>
        <v>133</v>
      </c>
      <c r="R134" s="9">
        <v>5.0000000000000001E-3</v>
      </c>
      <c r="S134" s="10">
        <f t="shared" si="14"/>
        <v>33</v>
      </c>
      <c r="T134" s="9">
        <f t="shared" si="15"/>
        <v>2.4992472146943692E-2</v>
      </c>
      <c r="U134" s="10">
        <f t="shared" si="16"/>
        <v>166</v>
      </c>
      <c r="V134" s="10">
        <f t="shared" si="17"/>
        <v>6808</v>
      </c>
      <c r="W134" s="11">
        <v>6907.68</v>
      </c>
      <c r="X134" s="12">
        <f t="shared" si="18"/>
        <v>265.68000000000029</v>
      </c>
      <c r="Y134" s="13">
        <f t="shared" si="19"/>
        <v>0.04</v>
      </c>
      <c r="Z134" s="14" t="str">
        <f t="shared" si="20"/>
        <v>0.00%-8.40%</v>
      </c>
      <c r="AA134" s="15"/>
      <c r="AB134" s="15"/>
      <c r="AC134" s="15"/>
      <c r="AD134" s="16"/>
      <c r="AE134" s="8">
        <f t="shared" si="21"/>
        <v>0</v>
      </c>
      <c r="AF134" s="17">
        <f t="shared" si="22"/>
        <v>6907.68</v>
      </c>
      <c r="AG134" s="18">
        <f t="shared" si="23"/>
        <v>265.68000000000029</v>
      </c>
      <c r="AH134" s="19">
        <f t="shared" si="24"/>
        <v>4.0000000000000036E-2</v>
      </c>
      <c r="AI134" s="20">
        <v>13.6</v>
      </c>
      <c r="AJ134" s="20">
        <v>450</v>
      </c>
      <c r="AK134" s="20"/>
      <c r="AL134" s="20">
        <v>688</v>
      </c>
      <c r="AM134" s="20">
        <f t="shared" si="25"/>
        <v>100032.448</v>
      </c>
      <c r="AN134" s="7" t="s">
        <v>176</v>
      </c>
      <c r="AO134" s="20"/>
      <c r="AP134" s="21" t="s">
        <v>465</v>
      </c>
      <c r="AQ134" s="21"/>
      <c r="AR134" s="5" t="s">
        <v>466</v>
      </c>
      <c r="AS134" s="5" t="s">
        <v>164</v>
      </c>
      <c r="AT134" s="5" t="s">
        <v>59</v>
      </c>
      <c r="AU134" s="20"/>
      <c r="AV134" s="21"/>
      <c r="AW134" s="21"/>
      <c r="AX134" s="21"/>
    </row>
    <row r="135" spans="1:50" s="55" customFormat="1">
      <c r="A135" s="86" t="s">
        <v>318</v>
      </c>
      <c r="B135" s="5">
        <v>15003028</v>
      </c>
      <c r="C135" s="5" t="s">
        <v>498</v>
      </c>
      <c r="D135" s="5" t="s">
        <v>321</v>
      </c>
      <c r="E135" s="5" t="s">
        <v>52</v>
      </c>
      <c r="F135" s="5" t="s">
        <v>62</v>
      </c>
      <c r="G135" s="5" t="s">
        <v>202</v>
      </c>
      <c r="H135" s="5" t="s">
        <v>464</v>
      </c>
      <c r="I135" s="6">
        <v>40238</v>
      </c>
      <c r="J135" s="5" t="s">
        <v>279</v>
      </c>
      <c r="K135" s="5" t="s">
        <v>279</v>
      </c>
      <c r="L135" s="5" t="s">
        <v>324</v>
      </c>
      <c r="M135" s="7">
        <v>6</v>
      </c>
      <c r="N135" s="7" t="s">
        <v>176</v>
      </c>
      <c r="O135" s="8">
        <v>7007</v>
      </c>
      <c r="P135" s="9">
        <v>0.02</v>
      </c>
      <c r="Q135" s="10">
        <f t="shared" si="13"/>
        <v>140</v>
      </c>
      <c r="R135" s="9">
        <v>5.0000000000000001E-3</v>
      </c>
      <c r="S135" s="10">
        <f t="shared" si="14"/>
        <v>35</v>
      </c>
      <c r="T135" s="9">
        <f t="shared" si="15"/>
        <v>2.4975024975024976E-2</v>
      </c>
      <c r="U135" s="10">
        <f t="shared" si="16"/>
        <v>175</v>
      </c>
      <c r="V135" s="10">
        <f t="shared" si="17"/>
        <v>7182</v>
      </c>
      <c r="W135" s="11">
        <v>7287.28</v>
      </c>
      <c r="X135" s="12">
        <f t="shared" si="18"/>
        <v>280.27999999999975</v>
      </c>
      <c r="Y135" s="13">
        <f t="shared" si="19"/>
        <v>0.04</v>
      </c>
      <c r="Z135" s="14" t="str">
        <f t="shared" si="20"/>
        <v>0.00%-8.40%</v>
      </c>
      <c r="AA135" s="15"/>
      <c r="AB135" s="15"/>
      <c r="AC135" s="15"/>
      <c r="AD135" s="16"/>
      <c r="AE135" s="8">
        <f t="shared" si="21"/>
        <v>0</v>
      </c>
      <c r="AF135" s="17">
        <f t="shared" si="22"/>
        <v>7287.28</v>
      </c>
      <c r="AG135" s="18">
        <f t="shared" si="23"/>
        <v>280.27999999999975</v>
      </c>
      <c r="AH135" s="19">
        <f t="shared" si="24"/>
        <v>4.0000000000000036E-2</v>
      </c>
      <c r="AI135" s="20">
        <v>13.6</v>
      </c>
      <c r="AJ135" s="20">
        <v>450</v>
      </c>
      <c r="AK135" s="20"/>
      <c r="AL135" s="20">
        <v>688</v>
      </c>
      <c r="AM135" s="20">
        <f t="shared" si="25"/>
        <v>105195.00799999999</v>
      </c>
      <c r="AN135" s="7" t="s">
        <v>176</v>
      </c>
      <c r="AO135" s="20"/>
      <c r="AP135" s="21" t="s">
        <v>465</v>
      </c>
      <c r="AQ135" s="21"/>
      <c r="AR135" s="5" t="s">
        <v>466</v>
      </c>
      <c r="AS135" s="5" t="s">
        <v>164</v>
      </c>
      <c r="AT135" s="5" t="s">
        <v>59</v>
      </c>
      <c r="AU135" s="20"/>
      <c r="AV135" s="21"/>
      <c r="AW135" s="21"/>
      <c r="AX135" s="21"/>
    </row>
    <row r="136" spans="1:50" s="55" customFormat="1">
      <c r="A136" s="86" t="s">
        <v>318</v>
      </c>
      <c r="B136" s="5">
        <v>15015100</v>
      </c>
      <c r="C136" s="5" t="s">
        <v>499</v>
      </c>
      <c r="D136" s="5" t="s">
        <v>321</v>
      </c>
      <c r="E136" s="5" t="s">
        <v>52</v>
      </c>
      <c r="F136" s="5" t="s">
        <v>62</v>
      </c>
      <c r="G136" s="5" t="s">
        <v>202</v>
      </c>
      <c r="H136" s="5" t="s">
        <v>464</v>
      </c>
      <c r="I136" s="6">
        <v>42552</v>
      </c>
      <c r="J136" s="5" t="s">
        <v>279</v>
      </c>
      <c r="K136" s="5" t="s">
        <v>279</v>
      </c>
      <c r="L136" s="5" t="s">
        <v>324</v>
      </c>
      <c r="M136" s="7">
        <v>6</v>
      </c>
      <c r="N136" s="7" t="s">
        <v>176</v>
      </c>
      <c r="O136" s="8">
        <v>5818</v>
      </c>
      <c r="P136" s="9">
        <v>0.02</v>
      </c>
      <c r="Q136" s="10">
        <f t="shared" si="13"/>
        <v>116</v>
      </c>
      <c r="R136" s="9">
        <v>5.0000000000000001E-3</v>
      </c>
      <c r="S136" s="10">
        <f t="shared" si="14"/>
        <v>29</v>
      </c>
      <c r="T136" s="9">
        <f t="shared" si="15"/>
        <v>2.4922653832932278E-2</v>
      </c>
      <c r="U136" s="10">
        <f t="shared" si="16"/>
        <v>145</v>
      </c>
      <c r="V136" s="10">
        <f t="shared" si="17"/>
        <v>5963</v>
      </c>
      <c r="W136" s="11">
        <v>6167.08</v>
      </c>
      <c r="X136" s="12">
        <f t="shared" si="18"/>
        <v>349.07999999999993</v>
      </c>
      <c r="Y136" s="13">
        <f t="shared" si="19"/>
        <v>0.06</v>
      </c>
      <c r="Z136" s="14" t="str">
        <f t="shared" si="20"/>
        <v>0.00%-8.40%</v>
      </c>
      <c r="AA136" s="15"/>
      <c r="AB136" s="15"/>
      <c r="AC136" s="15"/>
      <c r="AD136" s="16"/>
      <c r="AE136" s="8">
        <f t="shared" si="21"/>
        <v>0</v>
      </c>
      <c r="AF136" s="17">
        <f t="shared" si="22"/>
        <v>6167.08</v>
      </c>
      <c r="AG136" s="18">
        <f t="shared" si="23"/>
        <v>349.07999999999993</v>
      </c>
      <c r="AH136" s="19">
        <f t="shared" si="24"/>
        <v>6.0000000000000053E-2</v>
      </c>
      <c r="AI136" s="20">
        <v>13.6</v>
      </c>
      <c r="AJ136" s="20">
        <v>450</v>
      </c>
      <c r="AK136" s="20"/>
      <c r="AL136" s="20">
        <v>688</v>
      </c>
      <c r="AM136" s="20">
        <f t="shared" si="25"/>
        <v>89960.288</v>
      </c>
      <c r="AN136" s="7" t="s">
        <v>176</v>
      </c>
      <c r="AO136" s="20"/>
      <c r="AP136" s="21" t="s">
        <v>465</v>
      </c>
      <c r="AQ136" s="21"/>
      <c r="AR136" s="5" t="s">
        <v>466</v>
      </c>
      <c r="AS136" s="5" t="s">
        <v>164</v>
      </c>
      <c r="AT136" s="5" t="s">
        <v>59</v>
      </c>
      <c r="AU136" s="20"/>
      <c r="AV136" s="21"/>
      <c r="AW136" s="21"/>
      <c r="AX136" s="21"/>
    </row>
    <row r="137" spans="1:50" s="55" customFormat="1">
      <c r="A137" s="86" t="s">
        <v>318</v>
      </c>
      <c r="B137" s="5">
        <v>15012076</v>
      </c>
      <c r="C137" s="5" t="s">
        <v>500</v>
      </c>
      <c r="D137" s="5" t="s">
        <v>321</v>
      </c>
      <c r="E137" s="5" t="s">
        <v>52</v>
      </c>
      <c r="F137" s="5" t="s">
        <v>62</v>
      </c>
      <c r="G137" s="5" t="s">
        <v>202</v>
      </c>
      <c r="H137" s="5" t="s">
        <v>464</v>
      </c>
      <c r="I137" s="6">
        <v>41699</v>
      </c>
      <c r="J137" s="5" t="s">
        <v>279</v>
      </c>
      <c r="K137" s="5" t="s">
        <v>279</v>
      </c>
      <c r="L137" s="5" t="s">
        <v>324</v>
      </c>
      <c r="M137" s="7">
        <v>6</v>
      </c>
      <c r="N137" s="7" t="s">
        <v>176</v>
      </c>
      <c r="O137" s="8">
        <v>6052</v>
      </c>
      <c r="P137" s="9">
        <v>0.02</v>
      </c>
      <c r="Q137" s="10">
        <f t="shared" ref="Q137:Q200" si="27">ROUND(O137*P137,0)</f>
        <v>121</v>
      </c>
      <c r="R137" s="9">
        <v>5.0000000000000001E-3</v>
      </c>
      <c r="S137" s="10">
        <f t="shared" ref="S137:S200" si="28">ROUND(O137*R137,0)</f>
        <v>30</v>
      </c>
      <c r="T137" s="9">
        <f t="shared" ref="T137:T200" si="29">U137/O137</f>
        <v>2.4950429610046267E-2</v>
      </c>
      <c r="U137" s="10">
        <f t="shared" ref="U137:U200" si="30">Q137+S137</f>
        <v>151</v>
      </c>
      <c r="V137" s="10">
        <f t="shared" ref="V137:V200" si="31">O137+U137</f>
        <v>6203</v>
      </c>
      <c r="W137" s="11">
        <v>6415.12</v>
      </c>
      <c r="X137" s="12">
        <f t="shared" ref="X137:X200" si="32">W137-O137</f>
        <v>363.11999999999989</v>
      </c>
      <c r="Y137" s="13">
        <f t="shared" ref="Y137:Y200" si="33">ROUND(W137/O137-1,4)</f>
        <v>0.06</v>
      </c>
      <c r="Z137" s="14" t="str">
        <f t="shared" ref="Z137:Z200" si="34">IF(OR(M137=1,M137=2,M137=4),TEXT(T137*0.8,"0.00%")&amp;"-"&amp;TEXT(T137*1.2,"0.00%"),IF(OR(M137=3,M137=6),TEXT(0,"0.00%")&amp;"-"&amp;TEXT(7%*1.2,"0.00%"),IF(OR(M137=5,M137=7),TEXT((S137/O137),"0.00%")&amp;"-"&amp;TEXT((S137/O137)+7%,"0.00%"),"")))</f>
        <v>0.00%-8.40%</v>
      </c>
      <c r="AA137" s="15"/>
      <c r="AB137" s="15"/>
      <c r="AC137" s="15"/>
      <c r="AD137" s="16"/>
      <c r="AE137" s="8">
        <f t="shared" ref="AE137:AE200" si="35">ROUND(O137*AD137,0)</f>
        <v>0</v>
      </c>
      <c r="AF137" s="17">
        <f t="shared" ref="AF137:AF200" si="36">W137+AE137</f>
        <v>6415.12</v>
      </c>
      <c r="AG137" s="18">
        <f t="shared" ref="AG137:AG200" si="37">AF137-O137</f>
        <v>363.11999999999989</v>
      </c>
      <c r="AH137" s="19">
        <f t="shared" ref="AH137:AH200" si="38">AF137/O137-1</f>
        <v>6.0000000000000053E-2</v>
      </c>
      <c r="AI137" s="20">
        <v>13.6</v>
      </c>
      <c r="AJ137" s="20">
        <v>450</v>
      </c>
      <c r="AK137" s="20"/>
      <c r="AL137" s="20">
        <v>688</v>
      </c>
      <c r="AM137" s="20">
        <f t="shared" ref="AM137:AM200" si="39">AF137*AI137+AJ137*12+AL137+IF(AC137="",AK137,IF(AC137="D",5000,IF(AC137="C",1000,0)))*12</f>
        <v>93333.631999999998</v>
      </c>
      <c r="AN137" s="7" t="s">
        <v>176</v>
      </c>
      <c r="AO137" s="20"/>
      <c r="AP137" s="21" t="s">
        <v>465</v>
      </c>
      <c r="AQ137" s="21"/>
      <c r="AR137" s="5" t="s">
        <v>466</v>
      </c>
      <c r="AS137" s="5" t="s">
        <v>164</v>
      </c>
      <c r="AT137" s="5" t="s">
        <v>59</v>
      </c>
      <c r="AU137" s="20"/>
      <c r="AV137" s="21"/>
      <c r="AW137" s="21"/>
      <c r="AX137" s="21"/>
    </row>
    <row r="138" spans="1:50" s="55" customFormat="1">
      <c r="A138" s="86" t="s">
        <v>318</v>
      </c>
      <c r="B138" s="5">
        <v>15010507</v>
      </c>
      <c r="C138" s="5" t="s">
        <v>501</v>
      </c>
      <c r="D138" s="5" t="s">
        <v>321</v>
      </c>
      <c r="E138" s="5" t="s">
        <v>52</v>
      </c>
      <c r="F138" s="5" t="s">
        <v>62</v>
      </c>
      <c r="G138" s="5" t="s">
        <v>202</v>
      </c>
      <c r="H138" s="5" t="s">
        <v>464</v>
      </c>
      <c r="I138" s="6">
        <v>41821</v>
      </c>
      <c r="J138" s="5" t="s">
        <v>279</v>
      </c>
      <c r="K138" s="5" t="s">
        <v>279</v>
      </c>
      <c r="L138" s="5" t="s">
        <v>324</v>
      </c>
      <c r="M138" s="7">
        <v>6</v>
      </c>
      <c r="N138" s="7" t="s">
        <v>176</v>
      </c>
      <c r="O138" s="8">
        <v>6476</v>
      </c>
      <c r="P138" s="9">
        <v>0.02</v>
      </c>
      <c r="Q138" s="10">
        <f t="shared" si="27"/>
        <v>130</v>
      </c>
      <c r="R138" s="9">
        <v>5.0000000000000001E-3</v>
      </c>
      <c r="S138" s="10">
        <f t="shared" si="28"/>
        <v>32</v>
      </c>
      <c r="T138" s="9">
        <f t="shared" si="29"/>
        <v>2.5015441630636195E-2</v>
      </c>
      <c r="U138" s="10">
        <f t="shared" si="30"/>
        <v>162</v>
      </c>
      <c r="V138" s="10">
        <f t="shared" si="31"/>
        <v>6638</v>
      </c>
      <c r="W138" s="11">
        <v>6799.8</v>
      </c>
      <c r="X138" s="12">
        <f t="shared" si="32"/>
        <v>323.80000000000018</v>
      </c>
      <c r="Y138" s="13">
        <f t="shared" si="33"/>
        <v>0.05</v>
      </c>
      <c r="Z138" s="14" t="str">
        <f t="shared" si="34"/>
        <v>0.00%-8.40%</v>
      </c>
      <c r="AA138" s="15"/>
      <c r="AB138" s="15"/>
      <c r="AC138" s="15"/>
      <c r="AD138" s="16"/>
      <c r="AE138" s="8">
        <f t="shared" si="35"/>
        <v>0</v>
      </c>
      <c r="AF138" s="17">
        <f t="shared" si="36"/>
        <v>6799.8</v>
      </c>
      <c r="AG138" s="18">
        <f t="shared" si="37"/>
        <v>323.80000000000018</v>
      </c>
      <c r="AH138" s="19">
        <f t="shared" si="38"/>
        <v>5.0000000000000044E-2</v>
      </c>
      <c r="AI138" s="20">
        <v>13.6</v>
      </c>
      <c r="AJ138" s="20">
        <v>450</v>
      </c>
      <c r="AK138" s="20"/>
      <c r="AL138" s="20">
        <v>688</v>
      </c>
      <c r="AM138" s="20">
        <f t="shared" si="39"/>
        <v>98565.28</v>
      </c>
      <c r="AN138" s="7" t="s">
        <v>176</v>
      </c>
      <c r="AO138" s="20"/>
      <c r="AP138" s="21" t="s">
        <v>465</v>
      </c>
      <c r="AQ138" s="21"/>
      <c r="AR138" s="5" t="s">
        <v>466</v>
      </c>
      <c r="AS138" s="5" t="s">
        <v>164</v>
      </c>
      <c r="AT138" s="5" t="s">
        <v>59</v>
      </c>
      <c r="AU138" s="20"/>
      <c r="AV138" s="21"/>
      <c r="AW138" s="21"/>
      <c r="AX138" s="21"/>
    </row>
    <row r="139" spans="1:50" s="55" customFormat="1">
      <c r="A139" s="86" t="s">
        <v>318</v>
      </c>
      <c r="B139" s="5">
        <v>15012162</v>
      </c>
      <c r="C139" s="5" t="s">
        <v>502</v>
      </c>
      <c r="D139" s="5" t="s">
        <v>321</v>
      </c>
      <c r="E139" s="5" t="s">
        <v>52</v>
      </c>
      <c r="F139" s="5" t="s">
        <v>62</v>
      </c>
      <c r="G139" s="5" t="s">
        <v>202</v>
      </c>
      <c r="H139" s="5" t="s">
        <v>464</v>
      </c>
      <c r="I139" s="6">
        <v>41699</v>
      </c>
      <c r="J139" s="5" t="s">
        <v>279</v>
      </c>
      <c r="K139" s="5" t="s">
        <v>279</v>
      </c>
      <c r="L139" s="5" t="s">
        <v>324</v>
      </c>
      <c r="M139" s="7">
        <v>6</v>
      </c>
      <c r="N139" s="7" t="s">
        <v>176</v>
      </c>
      <c r="O139" s="8">
        <v>5949</v>
      </c>
      <c r="P139" s="9">
        <v>0.02</v>
      </c>
      <c r="Q139" s="10">
        <f t="shared" si="27"/>
        <v>119</v>
      </c>
      <c r="R139" s="9">
        <v>5.0000000000000001E-3</v>
      </c>
      <c r="S139" s="10">
        <f t="shared" si="28"/>
        <v>30</v>
      </c>
      <c r="T139" s="9">
        <f t="shared" si="29"/>
        <v>2.50462262565137E-2</v>
      </c>
      <c r="U139" s="10">
        <f t="shared" si="30"/>
        <v>149</v>
      </c>
      <c r="V139" s="10">
        <f t="shared" si="31"/>
        <v>6098</v>
      </c>
      <c r="W139" s="11">
        <v>6067.98</v>
      </c>
      <c r="X139" s="12">
        <f t="shared" si="32"/>
        <v>118.97999999999956</v>
      </c>
      <c r="Y139" s="13">
        <f t="shared" si="33"/>
        <v>0.02</v>
      </c>
      <c r="Z139" s="14" t="str">
        <f t="shared" si="34"/>
        <v>0.00%-8.40%</v>
      </c>
      <c r="AA139" s="15"/>
      <c r="AB139" s="15"/>
      <c r="AC139" s="15"/>
      <c r="AD139" s="16"/>
      <c r="AE139" s="8">
        <f t="shared" si="35"/>
        <v>0</v>
      </c>
      <c r="AF139" s="17">
        <f t="shared" si="36"/>
        <v>6067.98</v>
      </c>
      <c r="AG139" s="18">
        <f t="shared" si="37"/>
        <v>118.97999999999956</v>
      </c>
      <c r="AH139" s="19">
        <f t="shared" si="38"/>
        <v>2.0000000000000018E-2</v>
      </c>
      <c r="AI139" s="20">
        <v>13.6</v>
      </c>
      <c r="AJ139" s="20">
        <v>450</v>
      </c>
      <c r="AK139" s="20"/>
      <c r="AL139" s="20">
        <v>688</v>
      </c>
      <c r="AM139" s="20">
        <f t="shared" si="39"/>
        <v>88612.527999999991</v>
      </c>
      <c r="AN139" s="7" t="s">
        <v>176</v>
      </c>
      <c r="AO139" s="20"/>
      <c r="AP139" s="21" t="s">
        <v>503</v>
      </c>
      <c r="AQ139" s="21"/>
      <c r="AR139" s="5" t="s">
        <v>466</v>
      </c>
      <c r="AS139" s="5" t="s">
        <v>164</v>
      </c>
      <c r="AT139" s="5" t="s">
        <v>59</v>
      </c>
      <c r="AU139" s="20"/>
      <c r="AV139" s="21"/>
      <c r="AW139" s="21"/>
      <c r="AX139" s="21"/>
    </row>
    <row r="140" spans="1:50" s="55" customFormat="1">
      <c r="A140" s="86" t="s">
        <v>318</v>
      </c>
      <c r="B140" s="5">
        <v>15018356</v>
      </c>
      <c r="C140" s="5" t="s">
        <v>504</v>
      </c>
      <c r="D140" s="5" t="s">
        <v>321</v>
      </c>
      <c r="E140" s="5" t="s">
        <v>52</v>
      </c>
      <c r="F140" s="5" t="s">
        <v>62</v>
      </c>
      <c r="G140" s="5" t="s">
        <v>202</v>
      </c>
      <c r="H140" s="5" t="s">
        <v>464</v>
      </c>
      <c r="I140" s="6">
        <v>43221</v>
      </c>
      <c r="J140" s="5" t="s">
        <v>279</v>
      </c>
      <c r="K140" s="5" t="s">
        <v>279</v>
      </c>
      <c r="L140" s="5" t="s">
        <v>324</v>
      </c>
      <c r="M140" s="7">
        <v>6</v>
      </c>
      <c r="N140" s="7" t="s">
        <v>176</v>
      </c>
      <c r="O140" s="8">
        <v>5738</v>
      </c>
      <c r="P140" s="9">
        <v>0.02</v>
      </c>
      <c r="Q140" s="10">
        <f t="shared" si="27"/>
        <v>115</v>
      </c>
      <c r="R140" s="9">
        <v>5.0000000000000001E-3</v>
      </c>
      <c r="S140" s="10">
        <f t="shared" si="28"/>
        <v>29</v>
      </c>
      <c r="T140" s="9">
        <f t="shared" si="29"/>
        <v>2.5095852213314743E-2</v>
      </c>
      <c r="U140" s="10">
        <f t="shared" si="30"/>
        <v>144</v>
      </c>
      <c r="V140" s="10">
        <f t="shared" si="31"/>
        <v>5882</v>
      </c>
      <c r="W140" s="11">
        <v>6208</v>
      </c>
      <c r="X140" s="12">
        <f t="shared" si="32"/>
        <v>470</v>
      </c>
      <c r="Y140" s="13">
        <f t="shared" si="33"/>
        <v>8.1900000000000001E-2</v>
      </c>
      <c r="Z140" s="14" t="str">
        <f t="shared" si="34"/>
        <v>0.00%-8.40%</v>
      </c>
      <c r="AA140" s="15"/>
      <c r="AB140" s="15"/>
      <c r="AC140" s="15"/>
      <c r="AD140" s="16"/>
      <c r="AE140" s="8">
        <f t="shared" si="35"/>
        <v>0</v>
      </c>
      <c r="AF140" s="17">
        <f t="shared" si="36"/>
        <v>6208</v>
      </c>
      <c r="AG140" s="18">
        <f t="shared" si="37"/>
        <v>470</v>
      </c>
      <c r="AH140" s="19">
        <f t="shared" si="38"/>
        <v>8.1910073196235667E-2</v>
      </c>
      <c r="AI140" s="20">
        <v>13.6</v>
      </c>
      <c r="AJ140" s="20">
        <v>450</v>
      </c>
      <c r="AK140" s="20"/>
      <c r="AL140" s="20">
        <v>688</v>
      </c>
      <c r="AM140" s="20">
        <f t="shared" si="39"/>
        <v>90516.800000000003</v>
      </c>
      <c r="AN140" s="7" t="s">
        <v>176</v>
      </c>
      <c r="AO140" s="20"/>
      <c r="AP140" s="21" t="s">
        <v>465</v>
      </c>
      <c r="AQ140" s="21"/>
      <c r="AR140" s="5" t="s">
        <v>466</v>
      </c>
      <c r="AS140" s="5" t="s">
        <v>164</v>
      </c>
      <c r="AT140" s="5" t="s">
        <v>59</v>
      </c>
      <c r="AU140" s="20"/>
      <c r="AV140" s="21"/>
      <c r="AW140" s="21"/>
      <c r="AX140" s="21"/>
    </row>
    <row r="141" spans="1:50" s="55" customFormat="1">
      <c r="A141" s="86" t="s">
        <v>318</v>
      </c>
      <c r="B141" s="5">
        <v>15003705</v>
      </c>
      <c r="C141" s="5" t="s">
        <v>505</v>
      </c>
      <c r="D141" s="5" t="s">
        <v>321</v>
      </c>
      <c r="E141" s="5" t="s">
        <v>52</v>
      </c>
      <c r="F141" s="5" t="s">
        <v>62</v>
      </c>
      <c r="G141" s="5" t="s">
        <v>202</v>
      </c>
      <c r="H141" s="5" t="s">
        <v>464</v>
      </c>
      <c r="I141" s="6">
        <v>40360</v>
      </c>
      <c r="J141" s="5" t="s">
        <v>279</v>
      </c>
      <c r="K141" s="5" t="s">
        <v>279</v>
      </c>
      <c r="L141" s="5" t="s">
        <v>324</v>
      </c>
      <c r="M141" s="7">
        <v>6</v>
      </c>
      <c r="N141" s="7" t="s">
        <v>176</v>
      </c>
      <c r="O141" s="8">
        <v>6247</v>
      </c>
      <c r="P141" s="9">
        <v>0.02</v>
      </c>
      <c r="Q141" s="10">
        <f t="shared" si="27"/>
        <v>125</v>
      </c>
      <c r="R141" s="9">
        <v>5.0000000000000001E-3</v>
      </c>
      <c r="S141" s="10">
        <f t="shared" si="28"/>
        <v>31</v>
      </c>
      <c r="T141" s="9">
        <f t="shared" si="29"/>
        <v>2.49719865535457E-2</v>
      </c>
      <c r="U141" s="10">
        <f t="shared" si="30"/>
        <v>156</v>
      </c>
      <c r="V141" s="10">
        <f t="shared" si="31"/>
        <v>6403</v>
      </c>
      <c r="W141" s="11">
        <v>6559.35</v>
      </c>
      <c r="X141" s="12">
        <f t="shared" si="32"/>
        <v>312.35000000000036</v>
      </c>
      <c r="Y141" s="13">
        <f t="shared" si="33"/>
        <v>0.05</v>
      </c>
      <c r="Z141" s="14" t="str">
        <f t="shared" si="34"/>
        <v>0.00%-8.40%</v>
      </c>
      <c r="AA141" s="15"/>
      <c r="AB141" s="15"/>
      <c r="AC141" s="15"/>
      <c r="AD141" s="16"/>
      <c r="AE141" s="8">
        <f t="shared" si="35"/>
        <v>0</v>
      </c>
      <c r="AF141" s="17">
        <f t="shared" si="36"/>
        <v>6559.35</v>
      </c>
      <c r="AG141" s="18">
        <f t="shared" si="37"/>
        <v>312.35000000000036</v>
      </c>
      <c r="AH141" s="19">
        <f t="shared" si="38"/>
        <v>5.0000000000000044E-2</v>
      </c>
      <c r="AI141" s="20">
        <v>13.6</v>
      </c>
      <c r="AJ141" s="20">
        <v>450</v>
      </c>
      <c r="AK141" s="20"/>
      <c r="AL141" s="20">
        <v>688</v>
      </c>
      <c r="AM141" s="20">
        <f t="shared" si="39"/>
        <v>95295.16</v>
      </c>
      <c r="AN141" s="7" t="s">
        <v>176</v>
      </c>
      <c r="AO141" s="20"/>
      <c r="AP141" s="21" t="s">
        <v>465</v>
      </c>
      <c r="AQ141" s="21"/>
      <c r="AR141" s="5" t="s">
        <v>466</v>
      </c>
      <c r="AS141" s="5" t="s">
        <v>164</v>
      </c>
      <c r="AT141" s="5" t="s">
        <v>59</v>
      </c>
      <c r="AU141" s="20"/>
      <c r="AV141" s="21"/>
      <c r="AW141" s="21"/>
      <c r="AX141" s="21"/>
    </row>
    <row r="142" spans="1:50" s="55" customFormat="1">
      <c r="A142" s="86" t="s">
        <v>318</v>
      </c>
      <c r="B142" s="5">
        <v>15002403</v>
      </c>
      <c r="C142" s="5" t="s">
        <v>506</v>
      </c>
      <c r="D142" s="5" t="s">
        <v>321</v>
      </c>
      <c r="E142" s="5" t="s">
        <v>52</v>
      </c>
      <c r="F142" s="5" t="s">
        <v>62</v>
      </c>
      <c r="G142" s="5" t="s">
        <v>202</v>
      </c>
      <c r="H142" s="5" t="s">
        <v>464</v>
      </c>
      <c r="I142" s="6">
        <v>39967</v>
      </c>
      <c r="J142" s="5" t="s">
        <v>279</v>
      </c>
      <c r="K142" s="5" t="s">
        <v>279</v>
      </c>
      <c r="L142" s="5" t="s">
        <v>324</v>
      </c>
      <c r="M142" s="7">
        <v>6</v>
      </c>
      <c r="N142" s="7" t="s">
        <v>176</v>
      </c>
      <c r="O142" s="8">
        <v>6172</v>
      </c>
      <c r="P142" s="9">
        <v>0.02</v>
      </c>
      <c r="Q142" s="10">
        <f t="shared" si="27"/>
        <v>123</v>
      </c>
      <c r="R142" s="9">
        <v>5.0000000000000001E-3</v>
      </c>
      <c r="S142" s="10">
        <f t="shared" si="28"/>
        <v>31</v>
      </c>
      <c r="T142" s="9">
        <f t="shared" si="29"/>
        <v>2.4951393389500972E-2</v>
      </c>
      <c r="U142" s="10">
        <f t="shared" si="30"/>
        <v>154</v>
      </c>
      <c r="V142" s="10">
        <f t="shared" si="31"/>
        <v>6326</v>
      </c>
      <c r="W142" s="11">
        <v>6480.6</v>
      </c>
      <c r="X142" s="12">
        <f t="shared" si="32"/>
        <v>308.60000000000036</v>
      </c>
      <c r="Y142" s="13">
        <f t="shared" si="33"/>
        <v>0.05</v>
      </c>
      <c r="Z142" s="14" t="str">
        <f t="shared" si="34"/>
        <v>0.00%-8.40%</v>
      </c>
      <c r="AA142" s="15"/>
      <c r="AB142" s="15"/>
      <c r="AC142" s="15"/>
      <c r="AD142" s="16"/>
      <c r="AE142" s="8">
        <f t="shared" si="35"/>
        <v>0</v>
      </c>
      <c r="AF142" s="17">
        <f t="shared" si="36"/>
        <v>6480.6</v>
      </c>
      <c r="AG142" s="18">
        <f t="shared" si="37"/>
        <v>308.60000000000036</v>
      </c>
      <c r="AH142" s="19">
        <f t="shared" si="38"/>
        <v>5.0000000000000044E-2</v>
      </c>
      <c r="AI142" s="20">
        <v>13.6</v>
      </c>
      <c r="AJ142" s="20">
        <v>450</v>
      </c>
      <c r="AK142" s="20"/>
      <c r="AL142" s="20">
        <v>688</v>
      </c>
      <c r="AM142" s="20">
        <f t="shared" si="39"/>
        <v>94224.16</v>
      </c>
      <c r="AN142" s="7" t="s">
        <v>176</v>
      </c>
      <c r="AO142" s="20"/>
      <c r="AP142" s="21" t="s">
        <v>465</v>
      </c>
      <c r="AQ142" s="21"/>
      <c r="AR142" s="5" t="s">
        <v>466</v>
      </c>
      <c r="AS142" s="5" t="s">
        <v>164</v>
      </c>
      <c r="AT142" s="5" t="s">
        <v>59</v>
      </c>
      <c r="AU142" s="20"/>
      <c r="AV142" s="21"/>
      <c r="AW142" s="21"/>
      <c r="AX142" s="21"/>
    </row>
    <row r="143" spans="1:50" s="55" customFormat="1">
      <c r="A143" s="86" t="s">
        <v>318</v>
      </c>
      <c r="B143" s="5">
        <v>15004160</v>
      </c>
      <c r="C143" s="5" t="s">
        <v>507</v>
      </c>
      <c r="D143" s="5" t="s">
        <v>321</v>
      </c>
      <c r="E143" s="5" t="s">
        <v>52</v>
      </c>
      <c r="F143" s="5" t="s">
        <v>62</v>
      </c>
      <c r="G143" s="5" t="s">
        <v>202</v>
      </c>
      <c r="H143" s="5" t="s">
        <v>464</v>
      </c>
      <c r="I143" s="6">
        <v>40422</v>
      </c>
      <c r="J143" s="5" t="s">
        <v>279</v>
      </c>
      <c r="K143" s="5" t="s">
        <v>279</v>
      </c>
      <c r="L143" s="5" t="s">
        <v>324</v>
      </c>
      <c r="M143" s="7">
        <v>6</v>
      </c>
      <c r="N143" s="7" t="s">
        <v>176</v>
      </c>
      <c r="O143" s="8">
        <v>6249</v>
      </c>
      <c r="P143" s="9">
        <v>0.02</v>
      </c>
      <c r="Q143" s="10">
        <f t="shared" si="27"/>
        <v>125</v>
      </c>
      <c r="R143" s="9">
        <v>5.0000000000000001E-3</v>
      </c>
      <c r="S143" s="10">
        <f t="shared" si="28"/>
        <v>31</v>
      </c>
      <c r="T143" s="9">
        <f t="shared" si="29"/>
        <v>2.4963994239078253E-2</v>
      </c>
      <c r="U143" s="10">
        <f t="shared" si="30"/>
        <v>156</v>
      </c>
      <c r="V143" s="10">
        <f t="shared" si="31"/>
        <v>6405</v>
      </c>
      <c r="W143" s="11">
        <v>6249</v>
      </c>
      <c r="X143" s="12">
        <f t="shared" si="32"/>
        <v>0</v>
      </c>
      <c r="Y143" s="13">
        <f t="shared" si="33"/>
        <v>0</v>
      </c>
      <c r="Z143" s="14" t="str">
        <f t="shared" si="34"/>
        <v>0.00%-8.40%</v>
      </c>
      <c r="AA143" s="15"/>
      <c r="AB143" s="15"/>
      <c r="AC143" s="15"/>
      <c r="AD143" s="16"/>
      <c r="AE143" s="8">
        <f t="shared" si="35"/>
        <v>0</v>
      </c>
      <c r="AF143" s="17">
        <f t="shared" si="36"/>
        <v>6249</v>
      </c>
      <c r="AG143" s="18">
        <f t="shared" si="37"/>
        <v>0</v>
      </c>
      <c r="AH143" s="19">
        <f t="shared" si="38"/>
        <v>0</v>
      </c>
      <c r="AI143" s="20">
        <v>13.6</v>
      </c>
      <c r="AJ143" s="20">
        <v>500</v>
      </c>
      <c r="AK143" s="20"/>
      <c r="AL143" s="20">
        <v>688</v>
      </c>
      <c r="AM143" s="20">
        <f t="shared" si="39"/>
        <v>91674.4</v>
      </c>
      <c r="AN143" s="7" t="s">
        <v>176</v>
      </c>
      <c r="AO143" s="20" t="s">
        <v>364</v>
      </c>
      <c r="AP143" s="21" t="s">
        <v>508</v>
      </c>
      <c r="AQ143" s="21" t="s">
        <v>281</v>
      </c>
      <c r="AR143" s="5" t="s">
        <v>466</v>
      </c>
      <c r="AS143" s="5" t="s">
        <v>164</v>
      </c>
      <c r="AT143" s="5" t="s">
        <v>59</v>
      </c>
      <c r="AU143" s="20"/>
      <c r="AV143" s="21"/>
      <c r="AW143" s="21"/>
      <c r="AX143" s="21"/>
    </row>
    <row r="144" spans="1:50" s="55" customFormat="1">
      <c r="A144" s="86" t="s">
        <v>318</v>
      </c>
      <c r="B144" s="5">
        <v>15003531</v>
      </c>
      <c r="C144" s="5" t="s">
        <v>509</v>
      </c>
      <c r="D144" s="5" t="s">
        <v>321</v>
      </c>
      <c r="E144" s="5" t="s">
        <v>52</v>
      </c>
      <c r="F144" s="5" t="s">
        <v>62</v>
      </c>
      <c r="G144" s="5" t="s">
        <v>202</v>
      </c>
      <c r="H144" s="5" t="s">
        <v>464</v>
      </c>
      <c r="I144" s="6">
        <v>40330</v>
      </c>
      <c r="J144" s="5" t="s">
        <v>279</v>
      </c>
      <c r="K144" s="5" t="s">
        <v>279</v>
      </c>
      <c r="L144" s="5" t="s">
        <v>324</v>
      </c>
      <c r="M144" s="7">
        <v>6</v>
      </c>
      <c r="N144" s="7" t="s">
        <v>176</v>
      </c>
      <c r="O144" s="8">
        <v>6359</v>
      </c>
      <c r="P144" s="9">
        <v>0.02</v>
      </c>
      <c r="Q144" s="10">
        <f t="shared" si="27"/>
        <v>127</v>
      </c>
      <c r="R144" s="9">
        <v>5.0000000000000001E-3</v>
      </c>
      <c r="S144" s="10">
        <f t="shared" si="28"/>
        <v>32</v>
      </c>
      <c r="T144" s="9">
        <f t="shared" si="29"/>
        <v>2.5003931435760341E-2</v>
      </c>
      <c r="U144" s="10">
        <f t="shared" si="30"/>
        <v>159</v>
      </c>
      <c r="V144" s="10">
        <f t="shared" si="31"/>
        <v>6518</v>
      </c>
      <c r="W144" s="11">
        <v>6517.9750000000004</v>
      </c>
      <c r="X144" s="12">
        <f t="shared" si="32"/>
        <v>158.97500000000036</v>
      </c>
      <c r="Y144" s="13">
        <f t="shared" si="33"/>
        <v>2.5000000000000001E-2</v>
      </c>
      <c r="Z144" s="14" t="str">
        <f t="shared" si="34"/>
        <v>0.00%-8.40%</v>
      </c>
      <c r="AA144" s="15"/>
      <c r="AB144" s="15"/>
      <c r="AC144" s="15"/>
      <c r="AD144" s="16"/>
      <c r="AE144" s="8">
        <f t="shared" si="35"/>
        <v>0</v>
      </c>
      <c r="AF144" s="17">
        <f t="shared" si="36"/>
        <v>6517.9750000000004</v>
      </c>
      <c r="AG144" s="18">
        <f t="shared" si="37"/>
        <v>158.97500000000036</v>
      </c>
      <c r="AH144" s="19">
        <f t="shared" si="38"/>
        <v>2.5000000000000133E-2</v>
      </c>
      <c r="AI144" s="20">
        <v>13.6</v>
      </c>
      <c r="AJ144" s="20">
        <v>500</v>
      </c>
      <c r="AK144" s="20"/>
      <c r="AL144" s="20">
        <v>688</v>
      </c>
      <c r="AM144" s="20">
        <f t="shared" si="39"/>
        <v>95332.46</v>
      </c>
      <c r="AN144" s="7" t="s">
        <v>176</v>
      </c>
      <c r="AO144" s="20"/>
      <c r="AP144" s="21" t="s">
        <v>465</v>
      </c>
      <c r="AQ144" s="21"/>
      <c r="AR144" s="5" t="s">
        <v>466</v>
      </c>
      <c r="AS144" s="5" t="s">
        <v>164</v>
      </c>
      <c r="AT144" s="5" t="s">
        <v>59</v>
      </c>
      <c r="AU144" s="20"/>
      <c r="AV144" s="21"/>
      <c r="AW144" s="21"/>
      <c r="AX144" s="21"/>
    </row>
    <row r="145" spans="1:50" s="55" customFormat="1">
      <c r="A145" s="86" t="s">
        <v>318</v>
      </c>
      <c r="B145" s="5">
        <v>15002368</v>
      </c>
      <c r="C145" s="5" t="s">
        <v>510</v>
      </c>
      <c r="D145" s="5" t="s">
        <v>321</v>
      </c>
      <c r="E145" s="5" t="s">
        <v>52</v>
      </c>
      <c r="F145" s="5" t="s">
        <v>62</v>
      </c>
      <c r="G145" s="5" t="s">
        <v>202</v>
      </c>
      <c r="H145" s="5" t="s">
        <v>464</v>
      </c>
      <c r="I145" s="6">
        <v>39967</v>
      </c>
      <c r="J145" s="5" t="s">
        <v>336</v>
      </c>
      <c r="K145" s="5" t="s">
        <v>511</v>
      </c>
      <c r="L145" s="5" t="s">
        <v>324</v>
      </c>
      <c r="M145" s="7">
        <v>6</v>
      </c>
      <c r="N145" s="7" t="s">
        <v>176</v>
      </c>
      <c r="O145" s="8">
        <v>4748</v>
      </c>
      <c r="P145" s="9">
        <v>0.02</v>
      </c>
      <c r="Q145" s="10">
        <f t="shared" si="27"/>
        <v>95</v>
      </c>
      <c r="R145" s="9">
        <v>5.0000000000000001E-3</v>
      </c>
      <c r="S145" s="10">
        <f t="shared" si="28"/>
        <v>24</v>
      </c>
      <c r="T145" s="9">
        <f t="shared" si="29"/>
        <v>2.5063184498736311E-2</v>
      </c>
      <c r="U145" s="10">
        <f t="shared" si="30"/>
        <v>119</v>
      </c>
      <c r="V145" s="10">
        <f t="shared" si="31"/>
        <v>4867</v>
      </c>
      <c r="W145" s="11">
        <v>4866.7</v>
      </c>
      <c r="X145" s="12">
        <f t="shared" si="32"/>
        <v>118.69999999999982</v>
      </c>
      <c r="Y145" s="13">
        <f t="shared" si="33"/>
        <v>2.5000000000000001E-2</v>
      </c>
      <c r="Z145" s="14" t="str">
        <f t="shared" si="34"/>
        <v>0.00%-8.40%</v>
      </c>
      <c r="AA145" s="15"/>
      <c r="AB145" s="15"/>
      <c r="AC145" s="15"/>
      <c r="AD145" s="16"/>
      <c r="AE145" s="8">
        <f t="shared" si="35"/>
        <v>0</v>
      </c>
      <c r="AF145" s="17">
        <f t="shared" si="36"/>
        <v>4866.7</v>
      </c>
      <c r="AG145" s="18">
        <f t="shared" si="37"/>
        <v>118.69999999999982</v>
      </c>
      <c r="AH145" s="19">
        <f t="shared" si="38"/>
        <v>2.4999999999999911E-2</v>
      </c>
      <c r="AI145" s="20">
        <v>13.6</v>
      </c>
      <c r="AJ145" s="20">
        <v>450</v>
      </c>
      <c r="AK145" s="20"/>
      <c r="AL145" s="20">
        <v>688</v>
      </c>
      <c r="AM145" s="20">
        <f t="shared" si="39"/>
        <v>72275.12</v>
      </c>
      <c r="AN145" s="7" t="s">
        <v>176</v>
      </c>
      <c r="AO145" s="20"/>
      <c r="AP145" s="21" t="s">
        <v>465</v>
      </c>
      <c r="AQ145" s="21"/>
      <c r="AR145" s="5" t="s">
        <v>466</v>
      </c>
      <c r="AS145" s="5" t="s">
        <v>164</v>
      </c>
      <c r="AT145" s="5" t="s">
        <v>59</v>
      </c>
      <c r="AU145" s="20"/>
      <c r="AV145" s="21"/>
      <c r="AW145" s="21"/>
      <c r="AX145" s="21"/>
    </row>
    <row r="146" spans="1:50" s="55" customFormat="1">
      <c r="A146" s="86" t="s">
        <v>318</v>
      </c>
      <c r="B146" s="5">
        <v>15012276</v>
      </c>
      <c r="C146" s="5" t="s">
        <v>512</v>
      </c>
      <c r="D146" s="5" t="s">
        <v>321</v>
      </c>
      <c r="E146" s="5" t="s">
        <v>52</v>
      </c>
      <c r="F146" s="5" t="s">
        <v>62</v>
      </c>
      <c r="G146" s="5" t="s">
        <v>202</v>
      </c>
      <c r="H146" s="5" t="s">
        <v>464</v>
      </c>
      <c r="I146" s="6">
        <v>41730</v>
      </c>
      <c r="J146" s="5" t="s">
        <v>336</v>
      </c>
      <c r="K146" s="5" t="s">
        <v>511</v>
      </c>
      <c r="L146" s="5" t="s">
        <v>324</v>
      </c>
      <c r="M146" s="7">
        <v>6</v>
      </c>
      <c r="N146" s="7" t="s">
        <v>176</v>
      </c>
      <c r="O146" s="8">
        <v>4575</v>
      </c>
      <c r="P146" s="9">
        <v>0.02</v>
      </c>
      <c r="Q146" s="10">
        <f t="shared" si="27"/>
        <v>92</v>
      </c>
      <c r="R146" s="9">
        <v>5.0000000000000001E-3</v>
      </c>
      <c r="S146" s="10">
        <f t="shared" si="28"/>
        <v>23</v>
      </c>
      <c r="T146" s="9">
        <f t="shared" si="29"/>
        <v>2.5136612021857924E-2</v>
      </c>
      <c r="U146" s="10">
        <f t="shared" si="30"/>
        <v>115</v>
      </c>
      <c r="V146" s="10">
        <f t="shared" si="31"/>
        <v>4690</v>
      </c>
      <c r="W146" s="11">
        <v>4597.875</v>
      </c>
      <c r="X146" s="12">
        <f t="shared" si="32"/>
        <v>22.875</v>
      </c>
      <c r="Y146" s="13">
        <f t="shared" si="33"/>
        <v>5.0000000000000001E-3</v>
      </c>
      <c r="Z146" s="14" t="str">
        <f t="shared" si="34"/>
        <v>0.00%-8.40%</v>
      </c>
      <c r="AA146" s="15"/>
      <c r="AB146" s="15"/>
      <c r="AC146" s="15"/>
      <c r="AD146" s="16"/>
      <c r="AE146" s="8">
        <f t="shared" si="35"/>
        <v>0</v>
      </c>
      <c r="AF146" s="17">
        <f t="shared" si="36"/>
        <v>4597.875</v>
      </c>
      <c r="AG146" s="18">
        <f t="shared" si="37"/>
        <v>22.875</v>
      </c>
      <c r="AH146" s="19">
        <f t="shared" si="38"/>
        <v>4.9999999999998934E-3</v>
      </c>
      <c r="AI146" s="20">
        <v>13.6</v>
      </c>
      <c r="AJ146" s="20">
        <v>450</v>
      </c>
      <c r="AK146" s="20"/>
      <c r="AL146" s="20">
        <v>688</v>
      </c>
      <c r="AM146" s="20">
        <f t="shared" si="39"/>
        <v>68619.100000000006</v>
      </c>
      <c r="AN146" s="7" t="s">
        <v>176</v>
      </c>
      <c r="AO146" s="20"/>
      <c r="AP146" s="21" t="s">
        <v>513</v>
      </c>
      <c r="AQ146" s="21"/>
      <c r="AR146" s="5" t="s">
        <v>466</v>
      </c>
      <c r="AS146" s="5" t="s">
        <v>164</v>
      </c>
      <c r="AT146" s="5" t="s">
        <v>59</v>
      </c>
      <c r="AU146" s="20"/>
      <c r="AV146" s="21"/>
      <c r="AW146" s="21"/>
      <c r="AX146" s="21"/>
    </row>
    <row r="147" spans="1:50" s="55" customFormat="1">
      <c r="A147" s="86" t="s">
        <v>318</v>
      </c>
      <c r="B147" s="5">
        <v>15012561</v>
      </c>
      <c r="C147" s="5" t="s">
        <v>514</v>
      </c>
      <c r="D147" s="5" t="s">
        <v>321</v>
      </c>
      <c r="E147" s="5" t="s">
        <v>52</v>
      </c>
      <c r="F147" s="5" t="s">
        <v>62</v>
      </c>
      <c r="G147" s="5" t="s">
        <v>202</v>
      </c>
      <c r="H147" s="5" t="s">
        <v>464</v>
      </c>
      <c r="I147" s="6">
        <v>41791</v>
      </c>
      <c r="J147" s="5" t="s">
        <v>336</v>
      </c>
      <c r="K147" s="5" t="s">
        <v>511</v>
      </c>
      <c r="L147" s="5" t="s">
        <v>324</v>
      </c>
      <c r="M147" s="7">
        <v>6</v>
      </c>
      <c r="N147" s="7" t="s">
        <v>176</v>
      </c>
      <c r="O147" s="8">
        <v>4555</v>
      </c>
      <c r="P147" s="9">
        <v>0.02</v>
      </c>
      <c r="Q147" s="10">
        <f t="shared" si="27"/>
        <v>91</v>
      </c>
      <c r="R147" s="9">
        <v>5.0000000000000001E-3</v>
      </c>
      <c r="S147" s="10">
        <f t="shared" si="28"/>
        <v>23</v>
      </c>
      <c r="T147" s="9">
        <f t="shared" si="29"/>
        <v>2.5027442371020857E-2</v>
      </c>
      <c r="U147" s="10">
        <f t="shared" si="30"/>
        <v>114</v>
      </c>
      <c r="V147" s="10">
        <f t="shared" si="31"/>
        <v>4669</v>
      </c>
      <c r="W147" s="11">
        <v>4668.875</v>
      </c>
      <c r="X147" s="12">
        <f t="shared" si="32"/>
        <v>113.875</v>
      </c>
      <c r="Y147" s="13">
        <f t="shared" si="33"/>
        <v>2.5000000000000001E-2</v>
      </c>
      <c r="Z147" s="14" t="str">
        <f t="shared" si="34"/>
        <v>0.00%-8.40%</v>
      </c>
      <c r="AA147" s="15"/>
      <c r="AB147" s="15"/>
      <c r="AC147" s="15"/>
      <c r="AD147" s="16"/>
      <c r="AE147" s="8">
        <f t="shared" si="35"/>
        <v>0</v>
      </c>
      <c r="AF147" s="17">
        <f t="shared" si="36"/>
        <v>4668.875</v>
      </c>
      <c r="AG147" s="18">
        <f t="shared" si="37"/>
        <v>113.875</v>
      </c>
      <c r="AH147" s="19">
        <f t="shared" si="38"/>
        <v>2.4999999999999911E-2</v>
      </c>
      <c r="AI147" s="20">
        <v>13.6</v>
      </c>
      <c r="AJ147" s="20">
        <v>450</v>
      </c>
      <c r="AK147" s="20"/>
      <c r="AL147" s="20">
        <v>688</v>
      </c>
      <c r="AM147" s="20">
        <f t="shared" si="39"/>
        <v>69584.7</v>
      </c>
      <c r="AN147" s="7" t="s">
        <v>176</v>
      </c>
      <c r="AO147" s="20"/>
      <c r="AP147" s="21" t="s">
        <v>465</v>
      </c>
      <c r="AQ147" s="21"/>
      <c r="AR147" s="5" t="s">
        <v>466</v>
      </c>
      <c r="AS147" s="5" t="s">
        <v>164</v>
      </c>
      <c r="AT147" s="5" t="s">
        <v>59</v>
      </c>
      <c r="AU147" s="20"/>
      <c r="AV147" s="21"/>
      <c r="AW147" s="21"/>
      <c r="AX147" s="21"/>
    </row>
    <row r="148" spans="1:50" s="55" customFormat="1">
      <c r="A148" s="86" t="s">
        <v>318</v>
      </c>
      <c r="B148" s="5">
        <v>15021702</v>
      </c>
      <c r="C148" s="5" t="s">
        <v>515</v>
      </c>
      <c r="D148" s="5" t="s">
        <v>321</v>
      </c>
      <c r="E148" s="5" t="s">
        <v>52</v>
      </c>
      <c r="F148" s="5" t="s">
        <v>62</v>
      </c>
      <c r="G148" s="5" t="s">
        <v>202</v>
      </c>
      <c r="H148" s="5" t="s">
        <v>464</v>
      </c>
      <c r="I148" s="6">
        <v>44621</v>
      </c>
      <c r="J148" s="5" t="s">
        <v>336</v>
      </c>
      <c r="K148" s="5" t="s">
        <v>511</v>
      </c>
      <c r="L148" s="5" t="s">
        <v>324</v>
      </c>
      <c r="M148" s="7">
        <v>6</v>
      </c>
      <c r="N148" s="7" t="s">
        <v>176</v>
      </c>
      <c r="O148" s="8">
        <v>4590</v>
      </c>
      <c r="P148" s="9">
        <v>0.02</v>
      </c>
      <c r="Q148" s="10">
        <f t="shared" si="27"/>
        <v>92</v>
      </c>
      <c r="R148" s="9">
        <v>5.0000000000000001E-3</v>
      </c>
      <c r="S148" s="10">
        <f t="shared" si="28"/>
        <v>23</v>
      </c>
      <c r="T148" s="9">
        <f t="shared" si="29"/>
        <v>2.5054466230936819E-2</v>
      </c>
      <c r="U148" s="10">
        <f t="shared" si="30"/>
        <v>115</v>
      </c>
      <c r="V148" s="10">
        <f t="shared" si="31"/>
        <v>4705</v>
      </c>
      <c r="W148" s="11">
        <v>4612.95</v>
      </c>
      <c r="X148" s="12">
        <f t="shared" si="32"/>
        <v>22.949999999999818</v>
      </c>
      <c r="Y148" s="13">
        <f t="shared" si="33"/>
        <v>5.0000000000000001E-3</v>
      </c>
      <c r="Z148" s="14" t="str">
        <f t="shared" si="34"/>
        <v>0.00%-8.40%</v>
      </c>
      <c r="AA148" s="15"/>
      <c r="AB148" s="15"/>
      <c r="AC148" s="15"/>
      <c r="AD148" s="16"/>
      <c r="AE148" s="8">
        <f t="shared" si="35"/>
        <v>0</v>
      </c>
      <c r="AF148" s="17">
        <f t="shared" si="36"/>
        <v>4612.95</v>
      </c>
      <c r="AG148" s="18">
        <f t="shared" si="37"/>
        <v>22.949999999999818</v>
      </c>
      <c r="AH148" s="19">
        <f t="shared" si="38"/>
        <v>4.9999999999998934E-3</v>
      </c>
      <c r="AI148" s="20">
        <v>13.6</v>
      </c>
      <c r="AJ148" s="20">
        <v>450</v>
      </c>
      <c r="AK148" s="20"/>
      <c r="AL148" s="20">
        <v>688</v>
      </c>
      <c r="AM148" s="20">
        <f t="shared" si="39"/>
        <v>68824.12</v>
      </c>
      <c r="AN148" s="7" t="s">
        <v>176</v>
      </c>
      <c r="AO148" s="20"/>
      <c r="AP148" s="21" t="s">
        <v>513</v>
      </c>
      <c r="AQ148" s="21"/>
      <c r="AR148" s="5" t="s">
        <v>466</v>
      </c>
      <c r="AS148" s="5" t="s">
        <v>164</v>
      </c>
      <c r="AT148" s="5" t="s">
        <v>59</v>
      </c>
      <c r="AU148" s="20"/>
      <c r="AV148" s="21"/>
      <c r="AW148" s="21"/>
      <c r="AX148" s="21"/>
    </row>
    <row r="149" spans="1:50" s="55" customFormat="1">
      <c r="A149" s="86" t="s">
        <v>318</v>
      </c>
      <c r="B149" s="5">
        <v>15015824</v>
      </c>
      <c r="C149" s="5" t="s">
        <v>516</v>
      </c>
      <c r="D149" s="5" t="s">
        <v>321</v>
      </c>
      <c r="E149" s="5" t="s">
        <v>52</v>
      </c>
      <c r="F149" s="5" t="s">
        <v>62</v>
      </c>
      <c r="G149" s="5" t="s">
        <v>202</v>
      </c>
      <c r="H149" s="5" t="s">
        <v>464</v>
      </c>
      <c r="I149" s="6">
        <v>42736</v>
      </c>
      <c r="J149" s="5" t="s">
        <v>336</v>
      </c>
      <c r="K149" s="5" t="s">
        <v>511</v>
      </c>
      <c r="L149" s="5" t="s">
        <v>324</v>
      </c>
      <c r="M149" s="7">
        <v>6</v>
      </c>
      <c r="N149" s="7" t="s">
        <v>176</v>
      </c>
      <c r="O149" s="8">
        <v>4954</v>
      </c>
      <c r="P149" s="9">
        <v>0.02</v>
      </c>
      <c r="Q149" s="10">
        <f t="shared" si="27"/>
        <v>99</v>
      </c>
      <c r="R149" s="9">
        <v>5.0000000000000001E-3</v>
      </c>
      <c r="S149" s="10">
        <f t="shared" si="28"/>
        <v>25</v>
      </c>
      <c r="T149" s="9">
        <f t="shared" si="29"/>
        <v>2.5030278562777553E-2</v>
      </c>
      <c r="U149" s="10">
        <f t="shared" si="30"/>
        <v>124</v>
      </c>
      <c r="V149" s="10">
        <f t="shared" si="31"/>
        <v>5078</v>
      </c>
      <c r="W149" s="11">
        <v>5077.8500000000004</v>
      </c>
      <c r="X149" s="12">
        <f t="shared" si="32"/>
        <v>123.85000000000036</v>
      </c>
      <c r="Y149" s="13">
        <f t="shared" si="33"/>
        <v>2.5000000000000001E-2</v>
      </c>
      <c r="Z149" s="14" t="str">
        <f t="shared" si="34"/>
        <v>0.00%-8.40%</v>
      </c>
      <c r="AA149" s="15"/>
      <c r="AB149" s="15"/>
      <c r="AC149" s="15"/>
      <c r="AD149" s="16"/>
      <c r="AE149" s="8">
        <f t="shared" si="35"/>
        <v>0</v>
      </c>
      <c r="AF149" s="17">
        <f t="shared" si="36"/>
        <v>5077.8500000000004</v>
      </c>
      <c r="AG149" s="18">
        <f t="shared" si="37"/>
        <v>123.85000000000036</v>
      </c>
      <c r="AH149" s="19">
        <f t="shared" si="38"/>
        <v>2.5000000000000133E-2</v>
      </c>
      <c r="AI149" s="20">
        <v>13.6</v>
      </c>
      <c r="AJ149" s="20">
        <v>450</v>
      </c>
      <c r="AK149" s="20"/>
      <c r="AL149" s="20">
        <v>688</v>
      </c>
      <c r="AM149" s="20">
        <f t="shared" si="39"/>
        <v>75146.760000000009</v>
      </c>
      <c r="AN149" s="7" t="s">
        <v>176</v>
      </c>
      <c r="AO149" s="20"/>
      <c r="AP149" s="21" t="s">
        <v>465</v>
      </c>
      <c r="AQ149" s="21"/>
      <c r="AR149" s="5" t="s">
        <v>466</v>
      </c>
      <c r="AS149" s="5" t="s">
        <v>164</v>
      </c>
      <c r="AT149" s="5" t="s">
        <v>59</v>
      </c>
      <c r="AU149" s="20"/>
      <c r="AV149" s="21"/>
      <c r="AW149" s="21"/>
      <c r="AX149" s="21"/>
    </row>
    <row r="150" spans="1:50" s="55" customFormat="1">
      <c r="A150" s="86" t="s">
        <v>318</v>
      </c>
      <c r="B150" s="5">
        <v>15018459</v>
      </c>
      <c r="C150" s="5" t="s">
        <v>517</v>
      </c>
      <c r="D150" s="5" t="s">
        <v>321</v>
      </c>
      <c r="E150" s="5" t="s">
        <v>52</v>
      </c>
      <c r="F150" s="5" t="s">
        <v>62</v>
      </c>
      <c r="G150" s="5" t="s">
        <v>202</v>
      </c>
      <c r="H150" s="5" t="s">
        <v>464</v>
      </c>
      <c r="I150" s="6">
        <v>43221</v>
      </c>
      <c r="J150" s="5" t="s">
        <v>336</v>
      </c>
      <c r="K150" s="5" t="s">
        <v>511</v>
      </c>
      <c r="L150" s="5" t="s">
        <v>324</v>
      </c>
      <c r="M150" s="7">
        <v>6</v>
      </c>
      <c r="N150" s="7" t="s">
        <v>176</v>
      </c>
      <c r="O150" s="8">
        <v>4646</v>
      </c>
      <c r="P150" s="9">
        <v>0.02</v>
      </c>
      <c r="Q150" s="10">
        <f t="shared" si="27"/>
        <v>93</v>
      </c>
      <c r="R150" s="9">
        <v>5.0000000000000001E-3</v>
      </c>
      <c r="S150" s="10">
        <f t="shared" si="28"/>
        <v>23</v>
      </c>
      <c r="T150" s="9">
        <f t="shared" si="29"/>
        <v>2.496771416272062E-2</v>
      </c>
      <c r="U150" s="10">
        <f t="shared" si="30"/>
        <v>116</v>
      </c>
      <c r="V150" s="10">
        <f t="shared" si="31"/>
        <v>4762</v>
      </c>
      <c r="W150" s="11">
        <v>4646</v>
      </c>
      <c r="X150" s="12">
        <f t="shared" si="32"/>
        <v>0</v>
      </c>
      <c r="Y150" s="13">
        <f t="shared" si="33"/>
        <v>0</v>
      </c>
      <c r="Z150" s="14" t="str">
        <f t="shared" si="34"/>
        <v>0.00%-8.40%</v>
      </c>
      <c r="AA150" s="15"/>
      <c r="AB150" s="15"/>
      <c r="AC150" s="15"/>
      <c r="AD150" s="16"/>
      <c r="AE150" s="8">
        <f t="shared" si="35"/>
        <v>0</v>
      </c>
      <c r="AF150" s="17">
        <f t="shared" si="36"/>
        <v>4646</v>
      </c>
      <c r="AG150" s="18">
        <f t="shared" si="37"/>
        <v>0</v>
      </c>
      <c r="AH150" s="19">
        <f t="shared" si="38"/>
        <v>0</v>
      </c>
      <c r="AI150" s="20">
        <v>13.6</v>
      </c>
      <c r="AJ150" s="20">
        <v>450</v>
      </c>
      <c r="AK150" s="20"/>
      <c r="AL150" s="20">
        <v>688</v>
      </c>
      <c r="AM150" s="20">
        <f t="shared" si="39"/>
        <v>69273.600000000006</v>
      </c>
      <c r="AN150" s="7" t="s">
        <v>176</v>
      </c>
      <c r="AO150" s="20"/>
      <c r="AP150" s="21" t="s">
        <v>97</v>
      </c>
      <c r="AQ150" s="21" t="s">
        <v>97</v>
      </c>
      <c r="AR150" s="5" t="s">
        <v>466</v>
      </c>
      <c r="AS150" s="5" t="s">
        <v>164</v>
      </c>
      <c r="AT150" s="5" t="s">
        <v>59</v>
      </c>
      <c r="AU150" s="20"/>
      <c r="AV150" s="21"/>
      <c r="AW150" s="21"/>
      <c r="AX150" s="21"/>
    </row>
    <row r="151" spans="1:50" s="55" customFormat="1">
      <c r="A151" s="86" t="s">
        <v>318</v>
      </c>
      <c r="B151" s="5">
        <v>15018023</v>
      </c>
      <c r="C151" s="5" t="s">
        <v>518</v>
      </c>
      <c r="D151" s="5" t="s">
        <v>321</v>
      </c>
      <c r="E151" s="5" t="s">
        <v>52</v>
      </c>
      <c r="F151" s="5" t="s">
        <v>62</v>
      </c>
      <c r="G151" s="5" t="s">
        <v>202</v>
      </c>
      <c r="H151" s="5" t="s">
        <v>464</v>
      </c>
      <c r="I151" s="6">
        <v>43132</v>
      </c>
      <c r="J151" s="5" t="s">
        <v>336</v>
      </c>
      <c r="K151" s="5" t="s">
        <v>511</v>
      </c>
      <c r="L151" s="5" t="s">
        <v>324</v>
      </c>
      <c r="M151" s="7">
        <v>6</v>
      </c>
      <c r="N151" s="7" t="s">
        <v>176</v>
      </c>
      <c r="O151" s="8">
        <v>5158</v>
      </c>
      <c r="P151" s="9">
        <v>0.02</v>
      </c>
      <c r="Q151" s="10">
        <f t="shared" si="27"/>
        <v>103</v>
      </c>
      <c r="R151" s="9">
        <v>5.0000000000000001E-3</v>
      </c>
      <c r="S151" s="10">
        <f t="shared" si="28"/>
        <v>26</v>
      </c>
      <c r="T151" s="9">
        <f t="shared" si="29"/>
        <v>2.5009693679720821E-2</v>
      </c>
      <c r="U151" s="10">
        <f t="shared" si="30"/>
        <v>129</v>
      </c>
      <c r="V151" s="10">
        <f t="shared" si="31"/>
        <v>5287</v>
      </c>
      <c r="W151" s="11">
        <v>5519.06</v>
      </c>
      <c r="X151" s="12">
        <f t="shared" si="32"/>
        <v>361.0600000000004</v>
      </c>
      <c r="Y151" s="13">
        <f t="shared" si="33"/>
        <v>7.0000000000000007E-2</v>
      </c>
      <c r="Z151" s="14" t="str">
        <f t="shared" si="34"/>
        <v>0.00%-8.40%</v>
      </c>
      <c r="AA151" s="15"/>
      <c r="AB151" s="15"/>
      <c r="AC151" s="15"/>
      <c r="AD151" s="16"/>
      <c r="AE151" s="8">
        <f t="shared" si="35"/>
        <v>0</v>
      </c>
      <c r="AF151" s="17">
        <f t="shared" si="36"/>
        <v>5519.06</v>
      </c>
      <c r="AG151" s="18">
        <f t="shared" si="37"/>
        <v>361.0600000000004</v>
      </c>
      <c r="AH151" s="19">
        <f t="shared" si="38"/>
        <v>7.0000000000000062E-2</v>
      </c>
      <c r="AI151" s="20">
        <v>13.6</v>
      </c>
      <c r="AJ151" s="20">
        <v>500</v>
      </c>
      <c r="AK151" s="20"/>
      <c r="AL151" s="20">
        <v>688</v>
      </c>
      <c r="AM151" s="20">
        <f t="shared" si="39"/>
        <v>81747.216</v>
      </c>
      <c r="AN151" s="7" t="s">
        <v>176</v>
      </c>
      <c r="AO151" s="20"/>
      <c r="AP151" s="21" t="s">
        <v>465</v>
      </c>
      <c r="AQ151" s="21"/>
      <c r="AR151" s="5" t="s">
        <v>466</v>
      </c>
      <c r="AS151" s="5" t="s">
        <v>164</v>
      </c>
      <c r="AT151" s="5" t="s">
        <v>59</v>
      </c>
      <c r="AU151" s="20"/>
      <c r="AV151" s="21"/>
      <c r="AW151" s="21"/>
      <c r="AX151" s="21"/>
    </row>
    <row r="152" spans="1:50" s="55" customFormat="1">
      <c r="A152" s="86" t="s">
        <v>318</v>
      </c>
      <c r="B152" s="5">
        <v>15012615</v>
      </c>
      <c r="C152" s="5" t="s">
        <v>519</v>
      </c>
      <c r="D152" s="5" t="s">
        <v>321</v>
      </c>
      <c r="E152" s="5" t="s">
        <v>52</v>
      </c>
      <c r="F152" s="5" t="s">
        <v>62</v>
      </c>
      <c r="G152" s="5" t="s">
        <v>202</v>
      </c>
      <c r="H152" s="5" t="s">
        <v>464</v>
      </c>
      <c r="I152" s="6">
        <v>41760</v>
      </c>
      <c r="J152" s="5" t="s">
        <v>336</v>
      </c>
      <c r="K152" s="5" t="s">
        <v>511</v>
      </c>
      <c r="L152" s="5" t="s">
        <v>324</v>
      </c>
      <c r="M152" s="7">
        <v>6</v>
      </c>
      <c r="N152" s="7" t="s">
        <v>176</v>
      </c>
      <c r="O152" s="8">
        <v>4913</v>
      </c>
      <c r="P152" s="9">
        <v>0.02</v>
      </c>
      <c r="Q152" s="10">
        <f t="shared" si="27"/>
        <v>98</v>
      </c>
      <c r="R152" s="9">
        <v>5.0000000000000001E-3</v>
      </c>
      <c r="S152" s="10">
        <f t="shared" si="28"/>
        <v>25</v>
      </c>
      <c r="T152" s="9">
        <f t="shared" si="29"/>
        <v>2.5035619784245879E-2</v>
      </c>
      <c r="U152" s="10">
        <f t="shared" si="30"/>
        <v>123</v>
      </c>
      <c r="V152" s="10">
        <f t="shared" si="31"/>
        <v>5036</v>
      </c>
      <c r="W152" s="11">
        <v>5035.8249999999998</v>
      </c>
      <c r="X152" s="12">
        <f t="shared" si="32"/>
        <v>122.82499999999982</v>
      </c>
      <c r="Y152" s="13">
        <f t="shared" si="33"/>
        <v>2.5000000000000001E-2</v>
      </c>
      <c r="Z152" s="14" t="str">
        <f t="shared" si="34"/>
        <v>0.00%-8.40%</v>
      </c>
      <c r="AA152" s="15"/>
      <c r="AB152" s="15"/>
      <c r="AC152" s="15"/>
      <c r="AD152" s="16"/>
      <c r="AE152" s="8">
        <f t="shared" si="35"/>
        <v>0</v>
      </c>
      <c r="AF152" s="17">
        <f t="shared" si="36"/>
        <v>5035.8249999999998</v>
      </c>
      <c r="AG152" s="18">
        <f t="shared" si="37"/>
        <v>122.82499999999982</v>
      </c>
      <c r="AH152" s="19">
        <f t="shared" si="38"/>
        <v>2.4999999999999911E-2</v>
      </c>
      <c r="AI152" s="20">
        <v>13.6</v>
      </c>
      <c r="AJ152" s="20">
        <v>450</v>
      </c>
      <c r="AK152" s="20"/>
      <c r="AL152" s="20">
        <v>688</v>
      </c>
      <c r="AM152" s="20">
        <f t="shared" si="39"/>
        <v>74575.22</v>
      </c>
      <c r="AN152" s="7" t="s">
        <v>176</v>
      </c>
      <c r="AO152" s="20"/>
      <c r="AP152" s="21" t="s">
        <v>465</v>
      </c>
      <c r="AQ152" s="21"/>
      <c r="AR152" s="5" t="s">
        <v>466</v>
      </c>
      <c r="AS152" s="5" t="s">
        <v>164</v>
      </c>
      <c r="AT152" s="5" t="s">
        <v>59</v>
      </c>
      <c r="AU152" s="20"/>
      <c r="AV152" s="21"/>
      <c r="AW152" s="21"/>
      <c r="AX152" s="21"/>
    </row>
    <row r="153" spans="1:50" s="55" customFormat="1">
      <c r="A153" s="86" t="s">
        <v>318</v>
      </c>
      <c r="B153" s="5">
        <v>15016875</v>
      </c>
      <c r="C153" s="5" t="s">
        <v>520</v>
      </c>
      <c r="D153" s="5" t="s">
        <v>321</v>
      </c>
      <c r="E153" s="5" t="s">
        <v>52</v>
      </c>
      <c r="F153" s="5" t="s">
        <v>62</v>
      </c>
      <c r="G153" s="5" t="s">
        <v>202</v>
      </c>
      <c r="H153" s="5" t="s">
        <v>464</v>
      </c>
      <c r="I153" s="6">
        <v>43040</v>
      </c>
      <c r="J153" s="5" t="s">
        <v>336</v>
      </c>
      <c r="K153" s="5" t="s">
        <v>511</v>
      </c>
      <c r="L153" s="5" t="s">
        <v>324</v>
      </c>
      <c r="M153" s="7">
        <v>6</v>
      </c>
      <c r="N153" s="7" t="s">
        <v>176</v>
      </c>
      <c r="O153" s="8">
        <v>4524</v>
      </c>
      <c r="P153" s="9">
        <v>0.02</v>
      </c>
      <c r="Q153" s="10">
        <f t="shared" si="27"/>
        <v>90</v>
      </c>
      <c r="R153" s="9">
        <v>5.0000000000000001E-3</v>
      </c>
      <c r="S153" s="10">
        <f t="shared" si="28"/>
        <v>23</v>
      </c>
      <c r="T153" s="9">
        <f t="shared" si="29"/>
        <v>2.4977895667550841E-2</v>
      </c>
      <c r="U153" s="10">
        <f t="shared" si="30"/>
        <v>113</v>
      </c>
      <c r="V153" s="10">
        <f t="shared" si="31"/>
        <v>4637</v>
      </c>
      <c r="W153" s="11">
        <v>4524</v>
      </c>
      <c r="X153" s="12">
        <f t="shared" si="32"/>
        <v>0</v>
      </c>
      <c r="Y153" s="13">
        <f t="shared" si="33"/>
        <v>0</v>
      </c>
      <c r="Z153" s="14" t="str">
        <f t="shared" si="34"/>
        <v>0.00%-8.40%</v>
      </c>
      <c r="AA153" s="15"/>
      <c r="AB153" s="15"/>
      <c r="AC153" s="15"/>
      <c r="AD153" s="16"/>
      <c r="AE153" s="8">
        <f t="shared" si="35"/>
        <v>0</v>
      </c>
      <c r="AF153" s="17">
        <f t="shared" si="36"/>
        <v>4524</v>
      </c>
      <c r="AG153" s="18">
        <f t="shared" si="37"/>
        <v>0</v>
      </c>
      <c r="AH153" s="19">
        <f t="shared" si="38"/>
        <v>0</v>
      </c>
      <c r="AI153" s="20">
        <v>13.6</v>
      </c>
      <c r="AJ153" s="20">
        <v>450</v>
      </c>
      <c r="AK153" s="20"/>
      <c r="AL153" s="20">
        <v>688</v>
      </c>
      <c r="AM153" s="20">
        <f t="shared" si="39"/>
        <v>67614.399999999994</v>
      </c>
      <c r="AN153" s="7" t="s">
        <v>176</v>
      </c>
      <c r="AO153" s="20" t="s">
        <v>364</v>
      </c>
      <c r="AP153" s="21" t="s">
        <v>508</v>
      </c>
      <c r="AQ153" s="21" t="s">
        <v>281</v>
      </c>
      <c r="AR153" s="5" t="s">
        <v>466</v>
      </c>
      <c r="AS153" s="5" t="s">
        <v>164</v>
      </c>
      <c r="AT153" s="5" t="s">
        <v>59</v>
      </c>
      <c r="AU153" s="20"/>
      <c r="AV153" s="21"/>
      <c r="AW153" s="21"/>
      <c r="AX153" s="21"/>
    </row>
    <row r="154" spans="1:50" s="55" customFormat="1">
      <c r="A154" s="86" t="s">
        <v>318</v>
      </c>
      <c r="B154" s="5">
        <v>15009109</v>
      </c>
      <c r="C154" s="5" t="s">
        <v>521</v>
      </c>
      <c r="D154" s="5" t="s">
        <v>321</v>
      </c>
      <c r="E154" s="5" t="s">
        <v>52</v>
      </c>
      <c r="F154" s="5" t="s">
        <v>62</v>
      </c>
      <c r="G154" s="5" t="s">
        <v>202</v>
      </c>
      <c r="H154" s="5" t="s">
        <v>464</v>
      </c>
      <c r="I154" s="6">
        <v>44136</v>
      </c>
      <c r="J154" s="5" t="s">
        <v>336</v>
      </c>
      <c r="K154" s="5" t="s">
        <v>511</v>
      </c>
      <c r="L154" s="5" t="s">
        <v>324</v>
      </c>
      <c r="M154" s="7">
        <v>6</v>
      </c>
      <c r="N154" s="7" t="s">
        <v>176</v>
      </c>
      <c r="O154" s="8">
        <v>4894</v>
      </c>
      <c r="P154" s="9">
        <v>0.02</v>
      </c>
      <c r="Q154" s="10">
        <f t="shared" si="27"/>
        <v>98</v>
      </c>
      <c r="R154" s="9">
        <v>5.0000000000000001E-3</v>
      </c>
      <c r="S154" s="10">
        <f t="shared" si="28"/>
        <v>24</v>
      </c>
      <c r="T154" s="9">
        <f t="shared" si="29"/>
        <v>2.4928483857785042E-2</v>
      </c>
      <c r="U154" s="10">
        <f t="shared" si="30"/>
        <v>122</v>
      </c>
      <c r="V154" s="10">
        <f t="shared" si="31"/>
        <v>5016</v>
      </c>
      <c r="W154" s="11">
        <v>5016.3500000000004</v>
      </c>
      <c r="X154" s="12">
        <f t="shared" si="32"/>
        <v>122.35000000000036</v>
      </c>
      <c r="Y154" s="13">
        <f t="shared" si="33"/>
        <v>2.5000000000000001E-2</v>
      </c>
      <c r="Z154" s="14" t="str">
        <f t="shared" si="34"/>
        <v>0.00%-8.40%</v>
      </c>
      <c r="AA154" s="15"/>
      <c r="AB154" s="15"/>
      <c r="AC154" s="15"/>
      <c r="AD154" s="16"/>
      <c r="AE154" s="8">
        <f t="shared" si="35"/>
        <v>0</v>
      </c>
      <c r="AF154" s="17">
        <f t="shared" si="36"/>
        <v>5016.3500000000004</v>
      </c>
      <c r="AG154" s="18">
        <f t="shared" si="37"/>
        <v>122.35000000000036</v>
      </c>
      <c r="AH154" s="19">
        <f t="shared" si="38"/>
        <v>2.5000000000000133E-2</v>
      </c>
      <c r="AI154" s="20">
        <v>13.6</v>
      </c>
      <c r="AJ154" s="20">
        <v>450</v>
      </c>
      <c r="AK154" s="20"/>
      <c r="AL154" s="20">
        <v>688</v>
      </c>
      <c r="AM154" s="20">
        <f t="shared" si="39"/>
        <v>74310.36</v>
      </c>
      <c r="AN154" s="7" t="s">
        <v>176</v>
      </c>
      <c r="AO154" s="20"/>
      <c r="AP154" s="21" t="s">
        <v>465</v>
      </c>
      <c r="AQ154" s="21"/>
      <c r="AR154" s="5" t="s">
        <v>466</v>
      </c>
      <c r="AS154" s="5" t="s">
        <v>164</v>
      </c>
      <c r="AT154" s="5" t="s">
        <v>59</v>
      </c>
      <c r="AU154" s="20"/>
      <c r="AV154" s="21"/>
      <c r="AW154" s="21"/>
      <c r="AX154" s="21"/>
    </row>
    <row r="155" spans="1:50" s="55" customFormat="1">
      <c r="A155" s="86" t="s">
        <v>318</v>
      </c>
      <c r="B155" s="5">
        <v>15003302</v>
      </c>
      <c r="C155" s="5" t="s">
        <v>522</v>
      </c>
      <c r="D155" s="5" t="s">
        <v>321</v>
      </c>
      <c r="E155" s="5" t="s">
        <v>52</v>
      </c>
      <c r="F155" s="5" t="s">
        <v>62</v>
      </c>
      <c r="G155" s="5" t="s">
        <v>202</v>
      </c>
      <c r="H155" s="5" t="s">
        <v>464</v>
      </c>
      <c r="I155" s="6">
        <v>40269</v>
      </c>
      <c r="J155" s="5" t="s">
        <v>336</v>
      </c>
      <c r="K155" s="5" t="s">
        <v>511</v>
      </c>
      <c r="L155" s="5" t="s">
        <v>324</v>
      </c>
      <c r="M155" s="7">
        <v>6</v>
      </c>
      <c r="N155" s="7" t="s">
        <v>176</v>
      </c>
      <c r="O155" s="8">
        <v>4847</v>
      </c>
      <c r="P155" s="9">
        <v>0.02</v>
      </c>
      <c r="Q155" s="10">
        <f t="shared" si="27"/>
        <v>97</v>
      </c>
      <c r="R155" s="9">
        <v>5.0000000000000001E-3</v>
      </c>
      <c r="S155" s="10">
        <f t="shared" si="28"/>
        <v>24</v>
      </c>
      <c r="T155" s="9">
        <f t="shared" si="29"/>
        <v>2.4963895192902825E-2</v>
      </c>
      <c r="U155" s="10">
        <f t="shared" si="30"/>
        <v>121</v>
      </c>
      <c r="V155" s="10">
        <f t="shared" si="31"/>
        <v>4968</v>
      </c>
      <c r="W155" s="11">
        <v>4968.1750000000002</v>
      </c>
      <c r="X155" s="12">
        <f t="shared" si="32"/>
        <v>121.17500000000018</v>
      </c>
      <c r="Y155" s="13">
        <f t="shared" si="33"/>
        <v>2.5000000000000001E-2</v>
      </c>
      <c r="Z155" s="14" t="str">
        <f t="shared" si="34"/>
        <v>0.00%-8.40%</v>
      </c>
      <c r="AA155" s="15"/>
      <c r="AB155" s="15"/>
      <c r="AC155" s="15"/>
      <c r="AD155" s="16"/>
      <c r="AE155" s="8">
        <f t="shared" si="35"/>
        <v>0</v>
      </c>
      <c r="AF155" s="17">
        <f t="shared" si="36"/>
        <v>4968.1750000000002</v>
      </c>
      <c r="AG155" s="18">
        <f t="shared" si="37"/>
        <v>121.17500000000018</v>
      </c>
      <c r="AH155" s="19">
        <f t="shared" si="38"/>
        <v>2.5000000000000133E-2</v>
      </c>
      <c r="AI155" s="20">
        <v>13.6</v>
      </c>
      <c r="AJ155" s="20">
        <v>450</v>
      </c>
      <c r="AK155" s="20"/>
      <c r="AL155" s="20">
        <v>688</v>
      </c>
      <c r="AM155" s="20">
        <f t="shared" si="39"/>
        <v>73655.180000000008</v>
      </c>
      <c r="AN155" s="7" t="s">
        <v>176</v>
      </c>
      <c r="AO155" s="20"/>
      <c r="AP155" s="21" t="s">
        <v>465</v>
      </c>
      <c r="AQ155" s="21"/>
      <c r="AR155" s="5" t="s">
        <v>466</v>
      </c>
      <c r="AS155" s="5" t="s">
        <v>164</v>
      </c>
      <c r="AT155" s="5" t="s">
        <v>59</v>
      </c>
      <c r="AU155" s="20"/>
      <c r="AV155" s="21"/>
      <c r="AW155" s="21"/>
      <c r="AX155" s="21"/>
    </row>
    <row r="156" spans="1:50" s="55" customFormat="1">
      <c r="A156" s="86" t="s">
        <v>318</v>
      </c>
      <c r="B156" s="5">
        <v>15018671</v>
      </c>
      <c r="C156" s="5" t="s">
        <v>523</v>
      </c>
      <c r="D156" s="5" t="s">
        <v>321</v>
      </c>
      <c r="E156" s="5" t="s">
        <v>52</v>
      </c>
      <c r="F156" s="5" t="s">
        <v>62</v>
      </c>
      <c r="G156" s="5" t="s">
        <v>202</v>
      </c>
      <c r="H156" s="5" t="s">
        <v>464</v>
      </c>
      <c r="I156" s="6">
        <v>43282</v>
      </c>
      <c r="J156" s="5" t="s">
        <v>336</v>
      </c>
      <c r="K156" s="5" t="s">
        <v>511</v>
      </c>
      <c r="L156" s="5" t="s">
        <v>324</v>
      </c>
      <c r="M156" s="7">
        <v>6</v>
      </c>
      <c r="N156" s="7" t="s">
        <v>176</v>
      </c>
      <c r="O156" s="8">
        <v>4591</v>
      </c>
      <c r="P156" s="9">
        <v>0.02</v>
      </c>
      <c r="Q156" s="10">
        <f t="shared" si="27"/>
        <v>92</v>
      </c>
      <c r="R156" s="9">
        <v>5.0000000000000001E-3</v>
      </c>
      <c r="S156" s="10">
        <f t="shared" si="28"/>
        <v>23</v>
      </c>
      <c r="T156" s="9">
        <f t="shared" si="29"/>
        <v>2.5049008930516228E-2</v>
      </c>
      <c r="U156" s="10">
        <f t="shared" si="30"/>
        <v>115</v>
      </c>
      <c r="V156" s="10">
        <f t="shared" si="31"/>
        <v>4706</v>
      </c>
      <c r="W156" s="11">
        <v>4591</v>
      </c>
      <c r="X156" s="12">
        <f t="shared" si="32"/>
        <v>0</v>
      </c>
      <c r="Y156" s="13">
        <f t="shared" si="33"/>
        <v>0</v>
      </c>
      <c r="Z156" s="14" t="str">
        <f t="shared" si="34"/>
        <v>0.00%-8.40%</v>
      </c>
      <c r="AA156" s="15"/>
      <c r="AB156" s="15"/>
      <c r="AC156" s="15"/>
      <c r="AD156" s="16"/>
      <c r="AE156" s="8">
        <f t="shared" si="35"/>
        <v>0</v>
      </c>
      <c r="AF156" s="17">
        <f t="shared" si="36"/>
        <v>4591</v>
      </c>
      <c r="AG156" s="18">
        <f t="shared" si="37"/>
        <v>0</v>
      </c>
      <c r="AH156" s="19">
        <f t="shared" si="38"/>
        <v>0</v>
      </c>
      <c r="AI156" s="20">
        <v>13.6</v>
      </c>
      <c r="AJ156" s="20">
        <v>450</v>
      </c>
      <c r="AK156" s="20"/>
      <c r="AL156" s="20">
        <v>688</v>
      </c>
      <c r="AM156" s="20">
        <f t="shared" si="39"/>
        <v>68525.600000000006</v>
      </c>
      <c r="AN156" s="7" t="s">
        <v>176</v>
      </c>
      <c r="AO156" s="20" t="s">
        <v>364</v>
      </c>
      <c r="AP156" s="21" t="s">
        <v>508</v>
      </c>
      <c r="AQ156" s="21" t="s">
        <v>281</v>
      </c>
      <c r="AR156" s="5" t="s">
        <v>466</v>
      </c>
      <c r="AS156" s="5" t="s">
        <v>164</v>
      </c>
      <c r="AT156" s="5" t="s">
        <v>59</v>
      </c>
      <c r="AU156" s="20"/>
      <c r="AV156" s="21"/>
      <c r="AW156" s="21"/>
      <c r="AX156" s="21"/>
    </row>
    <row r="157" spans="1:50" s="55" customFormat="1">
      <c r="A157" s="86" t="s">
        <v>318</v>
      </c>
      <c r="B157" s="5">
        <v>15009086</v>
      </c>
      <c r="C157" s="5" t="s">
        <v>524</v>
      </c>
      <c r="D157" s="5" t="s">
        <v>321</v>
      </c>
      <c r="E157" s="5" t="s">
        <v>52</v>
      </c>
      <c r="F157" s="5" t="s">
        <v>62</v>
      </c>
      <c r="G157" s="5" t="s">
        <v>202</v>
      </c>
      <c r="H157" s="5" t="s">
        <v>464</v>
      </c>
      <c r="I157" s="6">
        <v>41426</v>
      </c>
      <c r="J157" s="5" t="s">
        <v>336</v>
      </c>
      <c r="K157" s="5" t="s">
        <v>511</v>
      </c>
      <c r="L157" s="5" t="s">
        <v>324</v>
      </c>
      <c r="M157" s="7">
        <v>6</v>
      </c>
      <c r="N157" s="7" t="s">
        <v>176</v>
      </c>
      <c r="O157" s="8">
        <v>5521</v>
      </c>
      <c r="P157" s="9">
        <v>0.02</v>
      </c>
      <c r="Q157" s="10">
        <f t="shared" si="27"/>
        <v>110</v>
      </c>
      <c r="R157" s="9">
        <v>5.0000000000000001E-3</v>
      </c>
      <c r="S157" s="10">
        <f t="shared" si="28"/>
        <v>28</v>
      </c>
      <c r="T157" s="9">
        <f t="shared" si="29"/>
        <v>2.4995471834812533E-2</v>
      </c>
      <c r="U157" s="10">
        <f t="shared" si="30"/>
        <v>138</v>
      </c>
      <c r="V157" s="10">
        <f t="shared" si="31"/>
        <v>5659</v>
      </c>
      <c r="W157" s="11">
        <v>5797.05</v>
      </c>
      <c r="X157" s="12">
        <f t="shared" si="32"/>
        <v>276.05000000000018</v>
      </c>
      <c r="Y157" s="13">
        <f t="shared" si="33"/>
        <v>0.05</v>
      </c>
      <c r="Z157" s="14" t="str">
        <f t="shared" si="34"/>
        <v>0.00%-8.40%</v>
      </c>
      <c r="AA157" s="15"/>
      <c r="AB157" s="15"/>
      <c r="AC157" s="15"/>
      <c r="AD157" s="16"/>
      <c r="AE157" s="8">
        <f t="shared" si="35"/>
        <v>0</v>
      </c>
      <c r="AF157" s="17">
        <f t="shared" si="36"/>
        <v>5797.05</v>
      </c>
      <c r="AG157" s="18">
        <f t="shared" si="37"/>
        <v>276.05000000000018</v>
      </c>
      <c r="AH157" s="19">
        <f t="shared" si="38"/>
        <v>5.0000000000000044E-2</v>
      </c>
      <c r="AI157" s="20">
        <v>13.6</v>
      </c>
      <c r="AJ157" s="20">
        <v>450</v>
      </c>
      <c r="AK157" s="20"/>
      <c r="AL157" s="20">
        <v>688</v>
      </c>
      <c r="AM157" s="20">
        <f t="shared" si="39"/>
        <v>84927.88</v>
      </c>
      <c r="AN157" s="7" t="s">
        <v>176</v>
      </c>
      <c r="AO157" s="20"/>
      <c r="AP157" s="21" t="s">
        <v>525</v>
      </c>
      <c r="AQ157" s="21"/>
      <c r="AR157" s="5" t="s">
        <v>466</v>
      </c>
      <c r="AS157" s="5" t="s">
        <v>164</v>
      </c>
      <c r="AT157" s="5" t="s">
        <v>59</v>
      </c>
      <c r="AU157" s="20"/>
      <c r="AV157" s="21"/>
      <c r="AW157" s="21"/>
      <c r="AX157" s="21"/>
    </row>
    <row r="158" spans="1:50" s="55" customFormat="1">
      <c r="A158" s="86" t="s">
        <v>318</v>
      </c>
      <c r="B158" s="5">
        <v>15012667</v>
      </c>
      <c r="C158" s="5" t="s">
        <v>526</v>
      </c>
      <c r="D158" s="5" t="s">
        <v>321</v>
      </c>
      <c r="E158" s="5" t="s">
        <v>52</v>
      </c>
      <c r="F158" s="5" t="s">
        <v>62</v>
      </c>
      <c r="G158" s="5" t="s">
        <v>202</v>
      </c>
      <c r="H158" s="5" t="s">
        <v>464</v>
      </c>
      <c r="I158" s="6">
        <v>41791</v>
      </c>
      <c r="J158" s="5" t="s">
        <v>336</v>
      </c>
      <c r="K158" s="5" t="s">
        <v>511</v>
      </c>
      <c r="L158" s="5" t="s">
        <v>324</v>
      </c>
      <c r="M158" s="7">
        <v>6</v>
      </c>
      <c r="N158" s="7" t="s">
        <v>176</v>
      </c>
      <c r="O158" s="8">
        <v>5458</v>
      </c>
      <c r="P158" s="9">
        <v>0.02</v>
      </c>
      <c r="Q158" s="10">
        <f t="shared" si="27"/>
        <v>109</v>
      </c>
      <c r="R158" s="9">
        <v>5.0000000000000001E-3</v>
      </c>
      <c r="S158" s="10">
        <f t="shared" si="28"/>
        <v>27</v>
      </c>
      <c r="T158" s="9">
        <f t="shared" si="29"/>
        <v>2.4917552216929279E-2</v>
      </c>
      <c r="U158" s="10">
        <f t="shared" si="30"/>
        <v>136</v>
      </c>
      <c r="V158" s="10">
        <f t="shared" si="31"/>
        <v>5594</v>
      </c>
      <c r="W158" s="11">
        <v>5594.45</v>
      </c>
      <c r="X158" s="12">
        <f t="shared" si="32"/>
        <v>136.44999999999982</v>
      </c>
      <c r="Y158" s="13">
        <f t="shared" si="33"/>
        <v>2.5000000000000001E-2</v>
      </c>
      <c r="Z158" s="14" t="str">
        <f t="shared" si="34"/>
        <v>0.00%-8.40%</v>
      </c>
      <c r="AA158" s="15"/>
      <c r="AB158" s="15"/>
      <c r="AC158" s="15"/>
      <c r="AD158" s="16"/>
      <c r="AE158" s="8">
        <f t="shared" si="35"/>
        <v>0</v>
      </c>
      <c r="AF158" s="17">
        <f t="shared" si="36"/>
        <v>5594.45</v>
      </c>
      <c r="AG158" s="18">
        <f t="shared" si="37"/>
        <v>136.44999999999982</v>
      </c>
      <c r="AH158" s="19">
        <f t="shared" si="38"/>
        <v>2.4999999999999911E-2</v>
      </c>
      <c r="AI158" s="20">
        <v>13.6</v>
      </c>
      <c r="AJ158" s="20">
        <v>450</v>
      </c>
      <c r="AK158" s="20"/>
      <c r="AL158" s="20">
        <v>688</v>
      </c>
      <c r="AM158" s="20">
        <f t="shared" si="39"/>
        <v>82172.51999999999</v>
      </c>
      <c r="AN158" s="7" t="s">
        <v>176</v>
      </c>
      <c r="AO158" s="20"/>
      <c r="AP158" s="21" t="s">
        <v>465</v>
      </c>
      <c r="AQ158" s="21"/>
      <c r="AR158" s="5" t="s">
        <v>466</v>
      </c>
      <c r="AS158" s="5" t="s">
        <v>164</v>
      </c>
      <c r="AT158" s="5" t="s">
        <v>59</v>
      </c>
      <c r="AU158" s="20"/>
      <c r="AV158" s="21"/>
      <c r="AW158" s="21"/>
      <c r="AX158" s="21"/>
    </row>
    <row r="159" spans="1:50" s="55" customFormat="1">
      <c r="A159" s="86" t="s">
        <v>318</v>
      </c>
      <c r="B159" s="5">
        <v>15006619</v>
      </c>
      <c r="C159" s="5" t="s">
        <v>527</v>
      </c>
      <c r="D159" s="5" t="s">
        <v>321</v>
      </c>
      <c r="E159" s="5" t="s">
        <v>52</v>
      </c>
      <c r="F159" s="5" t="s">
        <v>62</v>
      </c>
      <c r="G159" s="5" t="s">
        <v>202</v>
      </c>
      <c r="H159" s="5" t="s">
        <v>464</v>
      </c>
      <c r="I159" s="6">
        <v>40940</v>
      </c>
      <c r="J159" s="5" t="s">
        <v>336</v>
      </c>
      <c r="K159" s="5" t="s">
        <v>511</v>
      </c>
      <c r="L159" s="5" t="s">
        <v>324</v>
      </c>
      <c r="M159" s="7">
        <v>6</v>
      </c>
      <c r="N159" s="7" t="s">
        <v>176</v>
      </c>
      <c r="O159" s="8">
        <v>4845</v>
      </c>
      <c r="P159" s="9">
        <v>0.02</v>
      </c>
      <c r="Q159" s="10">
        <f t="shared" si="27"/>
        <v>97</v>
      </c>
      <c r="R159" s="9">
        <v>5.0000000000000001E-3</v>
      </c>
      <c r="S159" s="10">
        <f t="shared" si="28"/>
        <v>24</v>
      </c>
      <c r="T159" s="9">
        <f t="shared" si="29"/>
        <v>2.4974200206398348E-2</v>
      </c>
      <c r="U159" s="10">
        <f t="shared" si="30"/>
        <v>121</v>
      </c>
      <c r="V159" s="10">
        <f t="shared" si="31"/>
        <v>4966</v>
      </c>
      <c r="W159" s="11">
        <v>4966.125</v>
      </c>
      <c r="X159" s="12">
        <f t="shared" si="32"/>
        <v>121.125</v>
      </c>
      <c r="Y159" s="13">
        <f t="shared" si="33"/>
        <v>2.5000000000000001E-2</v>
      </c>
      <c r="Z159" s="14" t="str">
        <f t="shared" si="34"/>
        <v>0.00%-8.40%</v>
      </c>
      <c r="AA159" s="15"/>
      <c r="AB159" s="15"/>
      <c r="AC159" s="15"/>
      <c r="AD159" s="16"/>
      <c r="AE159" s="8">
        <f t="shared" si="35"/>
        <v>0</v>
      </c>
      <c r="AF159" s="17">
        <f t="shared" si="36"/>
        <v>4966.125</v>
      </c>
      <c r="AG159" s="18">
        <f t="shared" si="37"/>
        <v>121.125</v>
      </c>
      <c r="AH159" s="19">
        <f t="shared" si="38"/>
        <v>2.4999999999999911E-2</v>
      </c>
      <c r="AI159" s="20">
        <v>13.6</v>
      </c>
      <c r="AJ159" s="20">
        <v>450</v>
      </c>
      <c r="AK159" s="20"/>
      <c r="AL159" s="20">
        <v>688</v>
      </c>
      <c r="AM159" s="20">
        <f t="shared" si="39"/>
        <v>73627.3</v>
      </c>
      <c r="AN159" s="7" t="s">
        <v>176</v>
      </c>
      <c r="AO159" s="20"/>
      <c r="AP159" s="21" t="s">
        <v>465</v>
      </c>
      <c r="AQ159" s="21"/>
      <c r="AR159" s="5" t="s">
        <v>466</v>
      </c>
      <c r="AS159" s="5" t="s">
        <v>164</v>
      </c>
      <c r="AT159" s="5" t="s">
        <v>59</v>
      </c>
      <c r="AU159" s="20"/>
      <c r="AV159" s="21"/>
      <c r="AW159" s="21"/>
      <c r="AX159" s="21"/>
    </row>
    <row r="160" spans="1:50" s="55" customFormat="1">
      <c r="A160" s="86" t="s">
        <v>318</v>
      </c>
      <c r="B160" s="5">
        <v>15013810</v>
      </c>
      <c r="C160" s="5" t="s">
        <v>528</v>
      </c>
      <c r="D160" s="5" t="s">
        <v>321</v>
      </c>
      <c r="E160" s="5" t="s">
        <v>52</v>
      </c>
      <c r="F160" s="5" t="s">
        <v>62</v>
      </c>
      <c r="G160" s="5" t="s">
        <v>202</v>
      </c>
      <c r="H160" s="5" t="s">
        <v>464</v>
      </c>
      <c r="I160" s="6">
        <v>42095</v>
      </c>
      <c r="J160" s="5" t="s">
        <v>336</v>
      </c>
      <c r="K160" s="5" t="s">
        <v>511</v>
      </c>
      <c r="L160" s="5" t="s">
        <v>324</v>
      </c>
      <c r="M160" s="7">
        <v>6</v>
      </c>
      <c r="N160" s="7" t="s">
        <v>176</v>
      </c>
      <c r="O160" s="8">
        <v>4738</v>
      </c>
      <c r="P160" s="9">
        <v>0.02</v>
      </c>
      <c r="Q160" s="10">
        <f t="shared" si="27"/>
        <v>95</v>
      </c>
      <c r="R160" s="9">
        <v>5.0000000000000001E-3</v>
      </c>
      <c r="S160" s="10">
        <f t="shared" si="28"/>
        <v>24</v>
      </c>
      <c r="T160" s="9">
        <f t="shared" si="29"/>
        <v>2.5116082735331363E-2</v>
      </c>
      <c r="U160" s="10">
        <f t="shared" si="30"/>
        <v>119</v>
      </c>
      <c r="V160" s="10">
        <f t="shared" si="31"/>
        <v>4857</v>
      </c>
      <c r="W160" s="11">
        <v>4856.45</v>
      </c>
      <c r="X160" s="12">
        <f t="shared" si="32"/>
        <v>118.44999999999982</v>
      </c>
      <c r="Y160" s="13">
        <f t="shared" si="33"/>
        <v>2.5000000000000001E-2</v>
      </c>
      <c r="Z160" s="14" t="str">
        <f t="shared" si="34"/>
        <v>0.00%-8.40%</v>
      </c>
      <c r="AA160" s="15"/>
      <c r="AB160" s="15"/>
      <c r="AC160" s="15"/>
      <c r="AD160" s="16"/>
      <c r="AE160" s="8">
        <f t="shared" si="35"/>
        <v>0</v>
      </c>
      <c r="AF160" s="17">
        <f t="shared" si="36"/>
        <v>4856.45</v>
      </c>
      <c r="AG160" s="18">
        <f t="shared" si="37"/>
        <v>118.44999999999982</v>
      </c>
      <c r="AH160" s="19">
        <f t="shared" si="38"/>
        <v>2.4999999999999911E-2</v>
      </c>
      <c r="AI160" s="20">
        <v>13.6</v>
      </c>
      <c r="AJ160" s="20">
        <v>450</v>
      </c>
      <c r="AK160" s="20"/>
      <c r="AL160" s="20">
        <v>688</v>
      </c>
      <c r="AM160" s="20">
        <f t="shared" si="39"/>
        <v>72135.72</v>
      </c>
      <c r="AN160" s="7" t="s">
        <v>176</v>
      </c>
      <c r="AO160" s="20"/>
      <c r="AP160" s="21" t="s">
        <v>465</v>
      </c>
      <c r="AQ160" s="21"/>
      <c r="AR160" s="5" t="s">
        <v>466</v>
      </c>
      <c r="AS160" s="5" t="s">
        <v>164</v>
      </c>
      <c r="AT160" s="5" t="s">
        <v>59</v>
      </c>
      <c r="AU160" s="20"/>
      <c r="AV160" s="21"/>
      <c r="AW160" s="21"/>
      <c r="AX160" s="21"/>
    </row>
    <row r="161" spans="1:50" s="55" customFormat="1">
      <c r="A161" s="86" t="s">
        <v>318</v>
      </c>
      <c r="B161" s="5">
        <v>15017698</v>
      </c>
      <c r="C161" s="5" t="s">
        <v>529</v>
      </c>
      <c r="D161" s="5" t="s">
        <v>321</v>
      </c>
      <c r="E161" s="5" t="s">
        <v>52</v>
      </c>
      <c r="F161" s="5" t="s">
        <v>62</v>
      </c>
      <c r="G161" s="5" t="s">
        <v>202</v>
      </c>
      <c r="H161" s="5" t="s">
        <v>464</v>
      </c>
      <c r="I161" s="6">
        <v>43191</v>
      </c>
      <c r="J161" s="5" t="s">
        <v>336</v>
      </c>
      <c r="K161" s="5" t="s">
        <v>511</v>
      </c>
      <c r="L161" s="5" t="s">
        <v>324</v>
      </c>
      <c r="M161" s="7">
        <v>6</v>
      </c>
      <c r="N161" s="7" t="s">
        <v>176</v>
      </c>
      <c r="O161" s="8">
        <v>4836</v>
      </c>
      <c r="P161" s="9">
        <v>0.02</v>
      </c>
      <c r="Q161" s="10">
        <f t="shared" si="27"/>
        <v>97</v>
      </c>
      <c r="R161" s="9">
        <v>5.0000000000000001E-3</v>
      </c>
      <c r="S161" s="10">
        <f t="shared" si="28"/>
        <v>24</v>
      </c>
      <c r="T161" s="9">
        <f t="shared" si="29"/>
        <v>2.5020678246484698E-2</v>
      </c>
      <c r="U161" s="10">
        <f t="shared" si="30"/>
        <v>121</v>
      </c>
      <c r="V161" s="10">
        <f t="shared" si="31"/>
        <v>4957</v>
      </c>
      <c r="W161" s="11">
        <v>4956.8999999999996</v>
      </c>
      <c r="X161" s="12">
        <f t="shared" si="32"/>
        <v>120.89999999999964</v>
      </c>
      <c r="Y161" s="13">
        <f t="shared" si="33"/>
        <v>2.5000000000000001E-2</v>
      </c>
      <c r="Z161" s="14" t="str">
        <f t="shared" si="34"/>
        <v>0.00%-8.40%</v>
      </c>
      <c r="AA161" s="15"/>
      <c r="AB161" s="15"/>
      <c r="AC161" s="15"/>
      <c r="AD161" s="16"/>
      <c r="AE161" s="8">
        <f t="shared" si="35"/>
        <v>0</v>
      </c>
      <c r="AF161" s="17">
        <f t="shared" si="36"/>
        <v>4956.8999999999996</v>
      </c>
      <c r="AG161" s="18">
        <f t="shared" si="37"/>
        <v>120.89999999999964</v>
      </c>
      <c r="AH161" s="19">
        <f t="shared" si="38"/>
        <v>2.4999999999999911E-2</v>
      </c>
      <c r="AI161" s="20">
        <v>13.6</v>
      </c>
      <c r="AJ161" s="20">
        <v>450</v>
      </c>
      <c r="AK161" s="20"/>
      <c r="AL161" s="20">
        <v>688</v>
      </c>
      <c r="AM161" s="20">
        <f t="shared" si="39"/>
        <v>73501.84</v>
      </c>
      <c r="AN161" s="7" t="s">
        <v>176</v>
      </c>
      <c r="AO161" s="20"/>
      <c r="AP161" s="21" t="s">
        <v>465</v>
      </c>
      <c r="AQ161" s="21"/>
      <c r="AR161" s="5" t="s">
        <v>466</v>
      </c>
      <c r="AS161" s="5" t="s">
        <v>164</v>
      </c>
      <c r="AT161" s="5" t="s">
        <v>59</v>
      </c>
      <c r="AU161" s="20"/>
      <c r="AV161" s="21"/>
      <c r="AW161" s="21"/>
      <c r="AX161" s="21"/>
    </row>
    <row r="162" spans="1:50" s="55" customFormat="1">
      <c r="A162" s="86" t="s">
        <v>318</v>
      </c>
      <c r="B162" s="5">
        <v>15017177</v>
      </c>
      <c r="C162" s="5" t="s">
        <v>530</v>
      </c>
      <c r="D162" s="5" t="s">
        <v>321</v>
      </c>
      <c r="E162" s="5" t="s">
        <v>52</v>
      </c>
      <c r="F162" s="5" t="s">
        <v>62</v>
      </c>
      <c r="G162" s="5" t="s">
        <v>202</v>
      </c>
      <c r="H162" s="5" t="s">
        <v>464</v>
      </c>
      <c r="I162" s="6">
        <v>42979</v>
      </c>
      <c r="J162" s="5" t="s">
        <v>336</v>
      </c>
      <c r="K162" s="5" t="s">
        <v>511</v>
      </c>
      <c r="L162" s="5" t="s">
        <v>324</v>
      </c>
      <c r="M162" s="7">
        <v>6</v>
      </c>
      <c r="N162" s="7" t="s">
        <v>176</v>
      </c>
      <c r="O162" s="8">
        <v>5378</v>
      </c>
      <c r="P162" s="9">
        <v>0.02</v>
      </c>
      <c r="Q162" s="10">
        <f t="shared" si="27"/>
        <v>108</v>
      </c>
      <c r="R162" s="9">
        <v>5.0000000000000001E-3</v>
      </c>
      <c r="S162" s="10">
        <f t="shared" si="28"/>
        <v>27</v>
      </c>
      <c r="T162" s="9">
        <f t="shared" si="29"/>
        <v>2.5102268501301598E-2</v>
      </c>
      <c r="U162" s="10">
        <f t="shared" si="30"/>
        <v>135</v>
      </c>
      <c r="V162" s="10">
        <f t="shared" si="31"/>
        <v>5513</v>
      </c>
      <c r="W162" s="11">
        <v>5512.45</v>
      </c>
      <c r="X162" s="12">
        <f t="shared" si="32"/>
        <v>134.44999999999982</v>
      </c>
      <c r="Y162" s="13">
        <f t="shared" si="33"/>
        <v>2.5000000000000001E-2</v>
      </c>
      <c r="Z162" s="14" t="str">
        <f t="shared" si="34"/>
        <v>0.00%-8.40%</v>
      </c>
      <c r="AA162" s="15"/>
      <c r="AB162" s="15"/>
      <c r="AC162" s="15"/>
      <c r="AD162" s="16"/>
      <c r="AE162" s="8">
        <f t="shared" si="35"/>
        <v>0</v>
      </c>
      <c r="AF162" s="17">
        <f t="shared" si="36"/>
        <v>5512.45</v>
      </c>
      <c r="AG162" s="18">
        <f t="shared" si="37"/>
        <v>134.44999999999982</v>
      </c>
      <c r="AH162" s="19">
        <f t="shared" si="38"/>
        <v>2.4999999999999911E-2</v>
      </c>
      <c r="AI162" s="20">
        <v>13.6</v>
      </c>
      <c r="AJ162" s="20">
        <v>450</v>
      </c>
      <c r="AK162" s="20"/>
      <c r="AL162" s="20">
        <v>688</v>
      </c>
      <c r="AM162" s="20">
        <f t="shared" si="39"/>
        <v>81057.319999999992</v>
      </c>
      <c r="AN162" s="7" t="s">
        <v>176</v>
      </c>
      <c r="AO162" s="20"/>
      <c r="AP162" s="21" t="s">
        <v>465</v>
      </c>
      <c r="AQ162" s="21"/>
      <c r="AR162" s="5" t="s">
        <v>466</v>
      </c>
      <c r="AS162" s="5" t="s">
        <v>164</v>
      </c>
      <c r="AT162" s="5" t="s">
        <v>59</v>
      </c>
      <c r="AU162" s="20"/>
      <c r="AV162" s="21"/>
      <c r="AW162" s="21"/>
      <c r="AX162" s="21"/>
    </row>
    <row r="163" spans="1:50" s="55" customFormat="1">
      <c r="A163" s="86" t="s">
        <v>318</v>
      </c>
      <c r="B163" s="5">
        <v>15014201</v>
      </c>
      <c r="C163" s="5" t="s">
        <v>531</v>
      </c>
      <c r="D163" s="5" t="s">
        <v>321</v>
      </c>
      <c r="E163" s="5" t="s">
        <v>52</v>
      </c>
      <c r="F163" s="5" t="s">
        <v>62</v>
      </c>
      <c r="G163" s="5" t="s">
        <v>202</v>
      </c>
      <c r="H163" s="5" t="s">
        <v>464</v>
      </c>
      <c r="I163" s="6">
        <v>42217</v>
      </c>
      <c r="J163" s="5" t="s">
        <v>336</v>
      </c>
      <c r="K163" s="5" t="s">
        <v>511</v>
      </c>
      <c r="L163" s="5" t="s">
        <v>324</v>
      </c>
      <c r="M163" s="7">
        <v>6</v>
      </c>
      <c r="N163" s="7" t="s">
        <v>176</v>
      </c>
      <c r="O163" s="8">
        <v>4711</v>
      </c>
      <c r="P163" s="9">
        <v>0.02</v>
      </c>
      <c r="Q163" s="10">
        <f t="shared" si="27"/>
        <v>94</v>
      </c>
      <c r="R163" s="9">
        <v>5.0000000000000001E-3</v>
      </c>
      <c r="S163" s="10">
        <f t="shared" si="28"/>
        <v>24</v>
      </c>
      <c r="T163" s="9">
        <f t="shared" si="29"/>
        <v>2.5047760560390576E-2</v>
      </c>
      <c r="U163" s="10">
        <f t="shared" si="30"/>
        <v>118</v>
      </c>
      <c r="V163" s="10">
        <f t="shared" si="31"/>
        <v>4829</v>
      </c>
      <c r="W163" s="11">
        <v>4711</v>
      </c>
      <c r="X163" s="12">
        <f t="shared" si="32"/>
        <v>0</v>
      </c>
      <c r="Y163" s="13">
        <f t="shared" si="33"/>
        <v>0</v>
      </c>
      <c r="Z163" s="14" t="str">
        <f t="shared" si="34"/>
        <v>0.00%-8.40%</v>
      </c>
      <c r="AA163" s="15"/>
      <c r="AB163" s="15"/>
      <c r="AC163" s="15"/>
      <c r="AD163" s="16"/>
      <c r="AE163" s="8">
        <f t="shared" si="35"/>
        <v>0</v>
      </c>
      <c r="AF163" s="17">
        <f t="shared" si="36"/>
        <v>4711</v>
      </c>
      <c r="AG163" s="18">
        <f t="shared" si="37"/>
        <v>0</v>
      </c>
      <c r="AH163" s="19">
        <f t="shared" si="38"/>
        <v>0</v>
      </c>
      <c r="AI163" s="20">
        <v>13.6</v>
      </c>
      <c r="AJ163" s="20">
        <v>450</v>
      </c>
      <c r="AK163" s="20"/>
      <c r="AL163" s="20">
        <v>688</v>
      </c>
      <c r="AM163" s="20">
        <f t="shared" si="39"/>
        <v>70157.600000000006</v>
      </c>
      <c r="AN163" s="7" t="s">
        <v>176</v>
      </c>
      <c r="AO163" s="20"/>
      <c r="AP163" s="21" t="s">
        <v>97</v>
      </c>
      <c r="AQ163" s="21" t="s">
        <v>97</v>
      </c>
      <c r="AR163" s="5" t="s">
        <v>466</v>
      </c>
      <c r="AS163" s="5" t="s">
        <v>164</v>
      </c>
      <c r="AT163" s="5" t="s">
        <v>59</v>
      </c>
      <c r="AU163" s="20"/>
      <c r="AV163" s="21"/>
      <c r="AW163" s="21"/>
      <c r="AX163" s="21"/>
    </row>
    <row r="164" spans="1:50" s="55" customFormat="1">
      <c r="A164" s="86" t="s">
        <v>318</v>
      </c>
      <c r="B164" s="5">
        <v>15020372</v>
      </c>
      <c r="C164" s="5" t="s">
        <v>532</v>
      </c>
      <c r="D164" s="5" t="s">
        <v>321</v>
      </c>
      <c r="E164" s="5" t="s">
        <v>52</v>
      </c>
      <c r="F164" s="5" t="s">
        <v>62</v>
      </c>
      <c r="G164" s="5" t="s">
        <v>202</v>
      </c>
      <c r="H164" s="5" t="s">
        <v>464</v>
      </c>
      <c r="I164" s="6">
        <v>44317</v>
      </c>
      <c r="J164" s="5" t="s">
        <v>336</v>
      </c>
      <c r="K164" s="5" t="s">
        <v>511</v>
      </c>
      <c r="L164" s="5" t="s">
        <v>324</v>
      </c>
      <c r="M164" s="7">
        <v>6</v>
      </c>
      <c r="N164" s="7" t="s">
        <v>176</v>
      </c>
      <c r="O164" s="8">
        <v>4810</v>
      </c>
      <c r="P164" s="9">
        <v>0.02</v>
      </c>
      <c r="Q164" s="10">
        <f t="shared" si="27"/>
        <v>96</v>
      </c>
      <c r="R164" s="9">
        <v>5.0000000000000001E-3</v>
      </c>
      <c r="S164" s="10">
        <f t="shared" si="28"/>
        <v>24</v>
      </c>
      <c r="T164" s="9">
        <f t="shared" si="29"/>
        <v>2.4948024948024949E-2</v>
      </c>
      <c r="U164" s="10">
        <f t="shared" si="30"/>
        <v>120</v>
      </c>
      <c r="V164" s="10">
        <f t="shared" si="31"/>
        <v>4930</v>
      </c>
      <c r="W164" s="11">
        <v>4930.25</v>
      </c>
      <c r="X164" s="12">
        <f t="shared" si="32"/>
        <v>120.25</v>
      </c>
      <c r="Y164" s="13">
        <f t="shared" si="33"/>
        <v>2.5000000000000001E-2</v>
      </c>
      <c r="Z164" s="14" t="str">
        <f t="shared" si="34"/>
        <v>0.00%-8.40%</v>
      </c>
      <c r="AA164" s="15"/>
      <c r="AB164" s="15"/>
      <c r="AC164" s="15"/>
      <c r="AD164" s="16"/>
      <c r="AE164" s="8">
        <f t="shared" si="35"/>
        <v>0</v>
      </c>
      <c r="AF164" s="17">
        <f t="shared" si="36"/>
        <v>4930.25</v>
      </c>
      <c r="AG164" s="18">
        <f t="shared" si="37"/>
        <v>120.25</v>
      </c>
      <c r="AH164" s="19">
        <f t="shared" si="38"/>
        <v>2.4999999999999911E-2</v>
      </c>
      <c r="AI164" s="20">
        <v>13.6</v>
      </c>
      <c r="AJ164" s="20">
        <v>450</v>
      </c>
      <c r="AK164" s="20"/>
      <c r="AL164" s="20">
        <v>688</v>
      </c>
      <c r="AM164" s="20">
        <f t="shared" si="39"/>
        <v>73139.399999999994</v>
      </c>
      <c r="AN164" s="7" t="s">
        <v>176</v>
      </c>
      <c r="AO164" s="20"/>
      <c r="AP164" s="21" t="s">
        <v>465</v>
      </c>
      <c r="AQ164" s="21"/>
      <c r="AR164" s="5" t="s">
        <v>466</v>
      </c>
      <c r="AS164" s="5" t="s">
        <v>164</v>
      </c>
      <c r="AT164" s="5" t="s">
        <v>59</v>
      </c>
      <c r="AU164" s="20"/>
      <c r="AV164" s="21"/>
      <c r="AW164" s="21"/>
      <c r="AX164" s="21"/>
    </row>
    <row r="165" spans="1:50" s="55" customFormat="1">
      <c r="A165" s="86" t="s">
        <v>318</v>
      </c>
      <c r="B165" s="5">
        <v>15004429</v>
      </c>
      <c r="C165" s="5" t="s">
        <v>533</v>
      </c>
      <c r="D165" s="5" t="s">
        <v>321</v>
      </c>
      <c r="E165" s="5" t="s">
        <v>52</v>
      </c>
      <c r="F165" s="5" t="s">
        <v>62</v>
      </c>
      <c r="G165" s="5" t="s">
        <v>202</v>
      </c>
      <c r="H165" s="5" t="s">
        <v>464</v>
      </c>
      <c r="I165" s="6">
        <v>40415</v>
      </c>
      <c r="J165" s="5" t="s">
        <v>336</v>
      </c>
      <c r="K165" s="5" t="s">
        <v>511</v>
      </c>
      <c r="L165" s="5" t="s">
        <v>324</v>
      </c>
      <c r="M165" s="7">
        <v>6</v>
      </c>
      <c r="N165" s="7" t="s">
        <v>176</v>
      </c>
      <c r="O165" s="8">
        <v>5488</v>
      </c>
      <c r="P165" s="9">
        <v>0.02</v>
      </c>
      <c r="Q165" s="10">
        <f t="shared" si="27"/>
        <v>110</v>
      </c>
      <c r="R165" s="9">
        <v>5.0000000000000001E-3</v>
      </c>
      <c r="S165" s="10">
        <f t="shared" si="28"/>
        <v>27</v>
      </c>
      <c r="T165" s="9">
        <f t="shared" si="29"/>
        <v>2.4963556851311953E-2</v>
      </c>
      <c r="U165" s="10">
        <f t="shared" si="30"/>
        <v>137</v>
      </c>
      <c r="V165" s="10">
        <f t="shared" si="31"/>
        <v>5625</v>
      </c>
      <c r="W165" s="11">
        <v>5488</v>
      </c>
      <c r="X165" s="12">
        <f t="shared" si="32"/>
        <v>0</v>
      </c>
      <c r="Y165" s="13">
        <f t="shared" si="33"/>
        <v>0</v>
      </c>
      <c r="Z165" s="14" t="str">
        <f t="shared" si="34"/>
        <v>0.00%-8.40%</v>
      </c>
      <c r="AA165" s="15"/>
      <c r="AB165" s="15"/>
      <c r="AC165" s="15"/>
      <c r="AD165" s="16"/>
      <c r="AE165" s="8">
        <f t="shared" si="35"/>
        <v>0</v>
      </c>
      <c r="AF165" s="17">
        <f t="shared" si="36"/>
        <v>5488</v>
      </c>
      <c r="AG165" s="18">
        <f t="shared" si="37"/>
        <v>0</v>
      </c>
      <c r="AH165" s="19">
        <f t="shared" si="38"/>
        <v>0</v>
      </c>
      <c r="AI165" s="20">
        <v>13.6</v>
      </c>
      <c r="AJ165" s="20">
        <v>450</v>
      </c>
      <c r="AK165" s="20"/>
      <c r="AL165" s="20">
        <v>688</v>
      </c>
      <c r="AM165" s="20">
        <f t="shared" si="39"/>
        <v>80724.800000000003</v>
      </c>
      <c r="AN165" s="7" t="s">
        <v>176</v>
      </c>
      <c r="AO165" s="20"/>
      <c r="AP165" s="21" t="s">
        <v>97</v>
      </c>
      <c r="AQ165" s="21" t="s">
        <v>97</v>
      </c>
      <c r="AR165" s="5" t="s">
        <v>466</v>
      </c>
      <c r="AS165" s="5" t="s">
        <v>164</v>
      </c>
      <c r="AT165" s="5" t="s">
        <v>59</v>
      </c>
      <c r="AU165" s="20"/>
      <c r="AV165" s="21"/>
      <c r="AW165" s="21"/>
      <c r="AX165" s="21"/>
    </row>
    <row r="166" spans="1:50" s="55" customFormat="1">
      <c r="A166" s="86" t="s">
        <v>318</v>
      </c>
      <c r="B166" s="5">
        <v>15017879</v>
      </c>
      <c r="C166" s="5" t="s">
        <v>534</v>
      </c>
      <c r="D166" s="5" t="s">
        <v>321</v>
      </c>
      <c r="E166" s="5" t="s">
        <v>52</v>
      </c>
      <c r="F166" s="5" t="s">
        <v>62</v>
      </c>
      <c r="G166" s="5" t="s">
        <v>202</v>
      </c>
      <c r="H166" s="5" t="s">
        <v>464</v>
      </c>
      <c r="I166" s="6">
        <v>43101</v>
      </c>
      <c r="J166" s="5" t="s">
        <v>336</v>
      </c>
      <c r="K166" s="5" t="s">
        <v>511</v>
      </c>
      <c r="L166" s="5" t="s">
        <v>324</v>
      </c>
      <c r="M166" s="7">
        <v>6</v>
      </c>
      <c r="N166" s="7" t="s">
        <v>176</v>
      </c>
      <c r="O166" s="8">
        <v>5002</v>
      </c>
      <c r="P166" s="9">
        <v>0.02</v>
      </c>
      <c r="Q166" s="10">
        <f t="shared" si="27"/>
        <v>100</v>
      </c>
      <c r="R166" s="9">
        <v>5.0000000000000001E-3</v>
      </c>
      <c r="S166" s="10">
        <f t="shared" si="28"/>
        <v>25</v>
      </c>
      <c r="T166" s="9">
        <f t="shared" si="29"/>
        <v>2.499000399840064E-2</v>
      </c>
      <c r="U166" s="10">
        <f t="shared" si="30"/>
        <v>125</v>
      </c>
      <c r="V166" s="10">
        <f t="shared" si="31"/>
        <v>5127</v>
      </c>
      <c r="W166" s="11">
        <v>5127.05</v>
      </c>
      <c r="X166" s="12">
        <f t="shared" si="32"/>
        <v>125.05000000000018</v>
      </c>
      <c r="Y166" s="13">
        <f t="shared" si="33"/>
        <v>2.5000000000000001E-2</v>
      </c>
      <c r="Z166" s="14" t="str">
        <f t="shared" si="34"/>
        <v>0.00%-8.40%</v>
      </c>
      <c r="AA166" s="15"/>
      <c r="AB166" s="15"/>
      <c r="AC166" s="15"/>
      <c r="AD166" s="16"/>
      <c r="AE166" s="8">
        <f t="shared" si="35"/>
        <v>0</v>
      </c>
      <c r="AF166" s="17">
        <f t="shared" si="36"/>
        <v>5127.05</v>
      </c>
      <c r="AG166" s="18">
        <f t="shared" si="37"/>
        <v>125.05000000000018</v>
      </c>
      <c r="AH166" s="19">
        <f t="shared" si="38"/>
        <v>2.5000000000000133E-2</v>
      </c>
      <c r="AI166" s="20">
        <v>13.6</v>
      </c>
      <c r="AJ166" s="20">
        <v>450</v>
      </c>
      <c r="AK166" s="20"/>
      <c r="AL166" s="20">
        <v>688</v>
      </c>
      <c r="AM166" s="20">
        <f t="shared" si="39"/>
        <v>75815.88</v>
      </c>
      <c r="AN166" s="7" t="s">
        <v>176</v>
      </c>
      <c r="AO166" s="20"/>
      <c r="AP166" s="21" t="s">
        <v>465</v>
      </c>
      <c r="AQ166" s="21"/>
      <c r="AR166" s="5" t="s">
        <v>466</v>
      </c>
      <c r="AS166" s="5" t="s">
        <v>164</v>
      </c>
      <c r="AT166" s="5" t="s">
        <v>59</v>
      </c>
      <c r="AU166" s="20"/>
      <c r="AV166" s="21"/>
      <c r="AW166" s="21"/>
      <c r="AX166" s="21"/>
    </row>
    <row r="167" spans="1:50" s="55" customFormat="1">
      <c r="A167" s="86" t="s">
        <v>318</v>
      </c>
      <c r="B167" s="5">
        <v>15012423</v>
      </c>
      <c r="C167" s="5" t="s">
        <v>535</v>
      </c>
      <c r="D167" s="5" t="s">
        <v>321</v>
      </c>
      <c r="E167" s="5" t="s">
        <v>52</v>
      </c>
      <c r="F167" s="5" t="s">
        <v>62</v>
      </c>
      <c r="G167" s="5" t="s">
        <v>202</v>
      </c>
      <c r="H167" s="5" t="s">
        <v>464</v>
      </c>
      <c r="I167" s="6">
        <v>41760</v>
      </c>
      <c r="J167" s="5" t="s">
        <v>336</v>
      </c>
      <c r="K167" s="5" t="s">
        <v>511</v>
      </c>
      <c r="L167" s="5" t="s">
        <v>324</v>
      </c>
      <c r="M167" s="7">
        <v>6</v>
      </c>
      <c r="N167" s="7" t="s">
        <v>176</v>
      </c>
      <c r="O167" s="8">
        <v>4591</v>
      </c>
      <c r="P167" s="9">
        <v>0.02</v>
      </c>
      <c r="Q167" s="10">
        <f t="shared" si="27"/>
        <v>92</v>
      </c>
      <c r="R167" s="9">
        <v>5.0000000000000001E-3</v>
      </c>
      <c r="S167" s="10">
        <f t="shared" si="28"/>
        <v>23</v>
      </c>
      <c r="T167" s="9">
        <f t="shared" si="29"/>
        <v>2.5049008930516228E-2</v>
      </c>
      <c r="U167" s="10">
        <f t="shared" si="30"/>
        <v>115</v>
      </c>
      <c r="V167" s="10">
        <f t="shared" si="31"/>
        <v>4706</v>
      </c>
      <c r="W167" s="11">
        <v>4591</v>
      </c>
      <c r="X167" s="12">
        <f t="shared" si="32"/>
        <v>0</v>
      </c>
      <c r="Y167" s="13">
        <f t="shared" si="33"/>
        <v>0</v>
      </c>
      <c r="Z167" s="14" t="str">
        <f t="shared" si="34"/>
        <v>0.00%-8.40%</v>
      </c>
      <c r="AA167" s="15"/>
      <c r="AB167" s="15"/>
      <c r="AC167" s="15"/>
      <c r="AD167" s="16"/>
      <c r="AE167" s="8">
        <f t="shared" si="35"/>
        <v>0</v>
      </c>
      <c r="AF167" s="17">
        <f t="shared" si="36"/>
        <v>4591</v>
      </c>
      <c r="AG167" s="18">
        <f t="shared" si="37"/>
        <v>0</v>
      </c>
      <c r="AH167" s="19">
        <f t="shared" si="38"/>
        <v>0</v>
      </c>
      <c r="AI167" s="20">
        <v>13.6</v>
      </c>
      <c r="AJ167" s="20">
        <v>450</v>
      </c>
      <c r="AK167" s="20"/>
      <c r="AL167" s="20">
        <v>688</v>
      </c>
      <c r="AM167" s="20">
        <f t="shared" si="39"/>
        <v>68525.600000000006</v>
      </c>
      <c r="AN167" s="7" t="s">
        <v>176</v>
      </c>
      <c r="AO167" s="20" t="s">
        <v>364</v>
      </c>
      <c r="AP167" s="21" t="s">
        <v>508</v>
      </c>
      <c r="AQ167" s="21" t="s">
        <v>281</v>
      </c>
      <c r="AR167" s="5" t="s">
        <v>466</v>
      </c>
      <c r="AS167" s="5" t="s">
        <v>164</v>
      </c>
      <c r="AT167" s="5" t="s">
        <v>59</v>
      </c>
      <c r="AU167" s="20"/>
      <c r="AV167" s="21"/>
      <c r="AW167" s="21"/>
      <c r="AX167" s="21"/>
    </row>
    <row r="168" spans="1:50" s="55" customFormat="1">
      <c r="A168" s="86" t="s">
        <v>318</v>
      </c>
      <c r="B168" s="5">
        <v>15006475</v>
      </c>
      <c r="C168" s="5" t="s">
        <v>536</v>
      </c>
      <c r="D168" s="5" t="s">
        <v>321</v>
      </c>
      <c r="E168" s="5" t="s">
        <v>52</v>
      </c>
      <c r="F168" s="5" t="s">
        <v>62</v>
      </c>
      <c r="G168" s="5" t="s">
        <v>202</v>
      </c>
      <c r="H168" s="5" t="s">
        <v>464</v>
      </c>
      <c r="I168" s="6">
        <v>40940</v>
      </c>
      <c r="J168" s="5" t="s">
        <v>336</v>
      </c>
      <c r="K168" s="5" t="s">
        <v>511</v>
      </c>
      <c r="L168" s="5" t="s">
        <v>324</v>
      </c>
      <c r="M168" s="7">
        <v>6</v>
      </c>
      <c r="N168" s="7" t="s">
        <v>176</v>
      </c>
      <c r="O168" s="8">
        <v>4714</v>
      </c>
      <c r="P168" s="9">
        <v>0.02</v>
      </c>
      <c r="Q168" s="10">
        <f t="shared" si="27"/>
        <v>94</v>
      </c>
      <c r="R168" s="9">
        <v>5.0000000000000001E-3</v>
      </c>
      <c r="S168" s="10">
        <f t="shared" si="28"/>
        <v>24</v>
      </c>
      <c r="T168" s="9">
        <f t="shared" si="29"/>
        <v>2.5031820110309716E-2</v>
      </c>
      <c r="U168" s="10">
        <f t="shared" si="30"/>
        <v>118</v>
      </c>
      <c r="V168" s="10">
        <f t="shared" si="31"/>
        <v>4832</v>
      </c>
      <c r="W168" s="11">
        <v>4831.8500000000004</v>
      </c>
      <c r="X168" s="12">
        <f t="shared" si="32"/>
        <v>117.85000000000036</v>
      </c>
      <c r="Y168" s="13">
        <f t="shared" si="33"/>
        <v>2.5000000000000001E-2</v>
      </c>
      <c r="Z168" s="14" t="str">
        <f t="shared" si="34"/>
        <v>0.00%-8.40%</v>
      </c>
      <c r="AA168" s="15"/>
      <c r="AB168" s="15"/>
      <c r="AC168" s="15"/>
      <c r="AD168" s="16"/>
      <c r="AE168" s="8">
        <f t="shared" si="35"/>
        <v>0</v>
      </c>
      <c r="AF168" s="17">
        <f t="shared" si="36"/>
        <v>4831.8500000000004</v>
      </c>
      <c r="AG168" s="18">
        <f t="shared" si="37"/>
        <v>117.85000000000036</v>
      </c>
      <c r="AH168" s="19">
        <f t="shared" si="38"/>
        <v>2.5000000000000133E-2</v>
      </c>
      <c r="AI168" s="20">
        <v>13.6</v>
      </c>
      <c r="AJ168" s="20">
        <v>450</v>
      </c>
      <c r="AK168" s="20"/>
      <c r="AL168" s="20">
        <v>688</v>
      </c>
      <c r="AM168" s="20">
        <f t="shared" si="39"/>
        <v>71801.16</v>
      </c>
      <c r="AN168" s="7" t="s">
        <v>176</v>
      </c>
      <c r="AO168" s="20"/>
      <c r="AP168" s="21" t="s">
        <v>465</v>
      </c>
      <c r="AQ168" s="21"/>
      <c r="AR168" s="5" t="s">
        <v>466</v>
      </c>
      <c r="AS168" s="5" t="s">
        <v>164</v>
      </c>
      <c r="AT168" s="5" t="s">
        <v>59</v>
      </c>
      <c r="AU168" s="20"/>
      <c r="AV168" s="21"/>
      <c r="AW168" s="21"/>
      <c r="AX168" s="21"/>
    </row>
    <row r="169" spans="1:50" s="55" customFormat="1">
      <c r="A169" s="86" t="s">
        <v>318</v>
      </c>
      <c r="B169" s="5">
        <v>15013137</v>
      </c>
      <c r="C169" s="5" t="s">
        <v>537</v>
      </c>
      <c r="D169" s="5" t="s">
        <v>321</v>
      </c>
      <c r="E169" s="5" t="s">
        <v>52</v>
      </c>
      <c r="F169" s="5" t="s">
        <v>62</v>
      </c>
      <c r="G169" s="5" t="s">
        <v>202</v>
      </c>
      <c r="H169" s="5" t="s">
        <v>464</v>
      </c>
      <c r="I169" s="6">
        <v>41852</v>
      </c>
      <c r="J169" s="5" t="s">
        <v>336</v>
      </c>
      <c r="K169" s="5" t="s">
        <v>511</v>
      </c>
      <c r="L169" s="5" t="s">
        <v>324</v>
      </c>
      <c r="M169" s="7">
        <v>6</v>
      </c>
      <c r="N169" s="7" t="s">
        <v>176</v>
      </c>
      <c r="O169" s="8">
        <v>4935</v>
      </c>
      <c r="P169" s="9">
        <v>0.02</v>
      </c>
      <c r="Q169" s="10">
        <f t="shared" si="27"/>
        <v>99</v>
      </c>
      <c r="R169" s="9">
        <v>5.0000000000000001E-3</v>
      </c>
      <c r="S169" s="10">
        <f t="shared" si="28"/>
        <v>25</v>
      </c>
      <c r="T169" s="9">
        <f t="shared" si="29"/>
        <v>2.5126646403242147E-2</v>
      </c>
      <c r="U169" s="10">
        <f t="shared" si="30"/>
        <v>124</v>
      </c>
      <c r="V169" s="10">
        <f t="shared" si="31"/>
        <v>5059</v>
      </c>
      <c r="W169" s="11">
        <v>5058.375</v>
      </c>
      <c r="X169" s="12">
        <f t="shared" si="32"/>
        <v>123.375</v>
      </c>
      <c r="Y169" s="13">
        <f t="shared" si="33"/>
        <v>2.5000000000000001E-2</v>
      </c>
      <c r="Z169" s="14" t="str">
        <f t="shared" si="34"/>
        <v>0.00%-8.40%</v>
      </c>
      <c r="AA169" s="15"/>
      <c r="AB169" s="15"/>
      <c r="AC169" s="15"/>
      <c r="AD169" s="16"/>
      <c r="AE169" s="8">
        <f t="shared" si="35"/>
        <v>0</v>
      </c>
      <c r="AF169" s="17">
        <f t="shared" si="36"/>
        <v>5058.375</v>
      </c>
      <c r="AG169" s="18">
        <f t="shared" si="37"/>
        <v>123.375</v>
      </c>
      <c r="AH169" s="19">
        <f t="shared" si="38"/>
        <v>2.4999999999999911E-2</v>
      </c>
      <c r="AI169" s="20">
        <v>13.6</v>
      </c>
      <c r="AJ169" s="20">
        <v>450</v>
      </c>
      <c r="AK169" s="20"/>
      <c r="AL169" s="20">
        <v>688</v>
      </c>
      <c r="AM169" s="20">
        <f t="shared" si="39"/>
        <v>74881.899999999994</v>
      </c>
      <c r="AN169" s="7" t="s">
        <v>176</v>
      </c>
      <c r="AO169" s="20"/>
      <c r="AP169" s="21" t="s">
        <v>465</v>
      </c>
      <c r="AQ169" s="21"/>
      <c r="AR169" s="5" t="s">
        <v>466</v>
      </c>
      <c r="AS169" s="5" t="s">
        <v>164</v>
      </c>
      <c r="AT169" s="5" t="s">
        <v>59</v>
      </c>
      <c r="AU169" s="20"/>
      <c r="AV169" s="21"/>
      <c r="AW169" s="21"/>
      <c r="AX169" s="21"/>
    </row>
    <row r="170" spans="1:50" s="55" customFormat="1">
      <c r="A170" s="86" t="s">
        <v>318</v>
      </c>
      <c r="B170" s="5">
        <v>15015391</v>
      </c>
      <c r="C170" s="5" t="s">
        <v>538</v>
      </c>
      <c r="D170" s="5" t="s">
        <v>321</v>
      </c>
      <c r="E170" s="5" t="s">
        <v>52</v>
      </c>
      <c r="F170" s="5" t="s">
        <v>62</v>
      </c>
      <c r="G170" s="5" t="s">
        <v>202</v>
      </c>
      <c r="H170" s="5" t="s">
        <v>464</v>
      </c>
      <c r="I170" s="6">
        <v>42644</v>
      </c>
      <c r="J170" s="5" t="s">
        <v>336</v>
      </c>
      <c r="K170" s="5" t="s">
        <v>511</v>
      </c>
      <c r="L170" s="5" t="s">
        <v>324</v>
      </c>
      <c r="M170" s="7">
        <v>6</v>
      </c>
      <c r="N170" s="7" t="s">
        <v>176</v>
      </c>
      <c r="O170" s="8">
        <v>5180</v>
      </c>
      <c r="P170" s="9">
        <v>0.02</v>
      </c>
      <c r="Q170" s="10">
        <f t="shared" si="27"/>
        <v>104</v>
      </c>
      <c r="R170" s="9">
        <v>5.0000000000000001E-3</v>
      </c>
      <c r="S170" s="10">
        <f t="shared" si="28"/>
        <v>26</v>
      </c>
      <c r="T170" s="9">
        <f t="shared" si="29"/>
        <v>2.5096525096525095E-2</v>
      </c>
      <c r="U170" s="10">
        <f t="shared" si="30"/>
        <v>130</v>
      </c>
      <c r="V170" s="10">
        <f t="shared" si="31"/>
        <v>5310</v>
      </c>
      <c r="W170" s="11">
        <v>5309.5</v>
      </c>
      <c r="X170" s="12">
        <f t="shared" si="32"/>
        <v>129.5</v>
      </c>
      <c r="Y170" s="13">
        <f t="shared" si="33"/>
        <v>2.5000000000000001E-2</v>
      </c>
      <c r="Z170" s="14" t="str">
        <f t="shared" si="34"/>
        <v>0.00%-8.40%</v>
      </c>
      <c r="AA170" s="15"/>
      <c r="AB170" s="15"/>
      <c r="AC170" s="15"/>
      <c r="AD170" s="16"/>
      <c r="AE170" s="8">
        <f t="shared" si="35"/>
        <v>0</v>
      </c>
      <c r="AF170" s="17">
        <f t="shared" si="36"/>
        <v>5309.5</v>
      </c>
      <c r="AG170" s="18">
        <f t="shared" si="37"/>
        <v>129.5</v>
      </c>
      <c r="AH170" s="19">
        <f t="shared" si="38"/>
        <v>2.4999999999999911E-2</v>
      </c>
      <c r="AI170" s="20">
        <v>13.6</v>
      </c>
      <c r="AJ170" s="20">
        <v>450</v>
      </c>
      <c r="AK170" s="20"/>
      <c r="AL170" s="20">
        <v>688</v>
      </c>
      <c r="AM170" s="20">
        <f t="shared" si="39"/>
        <v>78297.2</v>
      </c>
      <c r="AN170" s="7" t="s">
        <v>176</v>
      </c>
      <c r="AO170" s="20"/>
      <c r="AP170" s="21" t="s">
        <v>465</v>
      </c>
      <c r="AQ170" s="21"/>
      <c r="AR170" s="5" t="s">
        <v>466</v>
      </c>
      <c r="AS170" s="5" t="s">
        <v>164</v>
      </c>
      <c r="AT170" s="5" t="s">
        <v>59</v>
      </c>
      <c r="AU170" s="20"/>
      <c r="AV170" s="21"/>
      <c r="AW170" s="21"/>
      <c r="AX170" s="21"/>
    </row>
    <row r="171" spans="1:50" s="55" customFormat="1">
      <c r="A171" s="86" t="s">
        <v>318</v>
      </c>
      <c r="B171" s="5">
        <v>15009423</v>
      </c>
      <c r="C171" s="5" t="s">
        <v>539</v>
      </c>
      <c r="D171" s="5" t="s">
        <v>321</v>
      </c>
      <c r="E171" s="5" t="s">
        <v>52</v>
      </c>
      <c r="F171" s="5" t="s">
        <v>62</v>
      </c>
      <c r="G171" s="5" t="s">
        <v>202</v>
      </c>
      <c r="H171" s="5" t="s">
        <v>464</v>
      </c>
      <c r="I171" s="6">
        <v>41487</v>
      </c>
      <c r="J171" s="5" t="s">
        <v>336</v>
      </c>
      <c r="K171" s="5" t="s">
        <v>511</v>
      </c>
      <c r="L171" s="5" t="s">
        <v>324</v>
      </c>
      <c r="M171" s="7">
        <v>6</v>
      </c>
      <c r="N171" s="7" t="s">
        <v>176</v>
      </c>
      <c r="O171" s="8">
        <v>4913</v>
      </c>
      <c r="P171" s="9">
        <v>0.02</v>
      </c>
      <c r="Q171" s="10">
        <f t="shared" si="27"/>
        <v>98</v>
      </c>
      <c r="R171" s="9">
        <v>5.0000000000000001E-3</v>
      </c>
      <c r="S171" s="10">
        <f t="shared" si="28"/>
        <v>25</v>
      </c>
      <c r="T171" s="9">
        <f t="shared" si="29"/>
        <v>2.5035619784245879E-2</v>
      </c>
      <c r="U171" s="10">
        <f t="shared" si="30"/>
        <v>123</v>
      </c>
      <c r="V171" s="10">
        <f t="shared" si="31"/>
        <v>5036</v>
      </c>
      <c r="W171" s="11">
        <v>5035.8249999999998</v>
      </c>
      <c r="X171" s="12">
        <f t="shared" si="32"/>
        <v>122.82499999999982</v>
      </c>
      <c r="Y171" s="13">
        <f t="shared" si="33"/>
        <v>2.5000000000000001E-2</v>
      </c>
      <c r="Z171" s="14" t="str">
        <f t="shared" si="34"/>
        <v>0.00%-8.40%</v>
      </c>
      <c r="AA171" s="15"/>
      <c r="AB171" s="15"/>
      <c r="AC171" s="15"/>
      <c r="AD171" s="16"/>
      <c r="AE171" s="8">
        <f t="shared" si="35"/>
        <v>0</v>
      </c>
      <c r="AF171" s="17">
        <f t="shared" si="36"/>
        <v>5035.8249999999998</v>
      </c>
      <c r="AG171" s="18">
        <f t="shared" si="37"/>
        <v>122.82499999999982</v>
      </c>
      <c r="AH171" s="19">
        <f t="shared" si="38"/>
        <v>2.4999999999999911E-2</v>
      </c>
      <c r="AI171" s="20">
        <v>13.6</v>
      </c>
      <c r="AJ171" s="20">
        <v>450</v>
      </c>
      <c r="AK171" s="20"/>
      <c r="AL171" s="20">
        <v>688</v>
      </c>
      <c r="AM171" s="20">
        <f t="shared" si="39"/>
        <v>74575.22</v>
      </c>
      <c r="AN171" s="7" t="s">
        <v>176</v>
      </c>
      <c r="AO171" s="20"/>
      <c r="AP171" s="21" t="s">
        <v>465</v>
      </c>
      <c r="AQ171" s="21"/>
      <c r="AR171" s="5" t="s">
        <v>466</v>
      </c>
      <c r="AS171" s="5" t="s">
        <v>164</v>
      </c>
      <c r="AT171" s="5" t="s">
        <v>59</v>
      </c>
      <c r="AU171" s="20"/>
      <c r="AV171" s="21"/>
      <c r="AW171" s="21"/>
      <c r="AX171" s="21"/>
    </row>
    <row r="172" spans="1:50" s="55" customFormat="1">
      <c r="A172" s="86" t="s">
        <v>318</v>
      </c>
      <c r="B172" s="5">
        <v>15011888</v>
      </c>
      <c r="C172" s="5" t="s">
        <v>540</v>
      </c>
      <c r="D172" s="5" t="s">
        <v>321</v>
      </c>
      <c r="E172" s="5" t="s">
        <v>52</v>
      </c>
      <c r="F172" s="5" t="s">
        <v>62</v>
      </c>
      <c r="G172" s="5" t="s">
        <v>202</v>
      </c>
      <c r="H172" s="5" t="s">
        <v>464</v>
      </c>
      <c r="I172" s="6">
        <v>41609</v>
      </c>
      <c r="J172" s="5" t="s">
        <v>336</v>
      </c>
      <c r="K172" s="5" t="s">
        <v>511</v>
      </c>
      <c r="L172" s="5" t="s">
        <v>324</v>
      </c>
      <c r="M172" s="7">
        <v>6</v>
      </c>
      <c r="N172" s="7" t="s">
        <v>176</v>
      </c>
      <c r="O172" s="8">
        <v>5125</v>
      </c>
      <c r="P172" s="9">
        <v>0.02</v>
      </c>
      <c r="Q172" s="10">
        <f t="shared" si="27"/>
        <v>103</v>
      </c>
      <c r="R172" s="9">
        <v>5.0000000000000001E-3</v>
      </c>
      <c r="S172" s="10">
        <f t="shared" si="28"/>
        <v>26</v>
      </c>
      <c r="T172" s="9">
        <f t="shared" si="29"/>
        <v>2.5170731707317075E-2</v>
      </c>
      <c r="U172" s="10">
        <f t="shared" si="30"/>
        <v>129</v>
      </c>
      <c r="V172" s="10">
        <f t="shared" si="31"/>
        <v>5254</v>
      </c>
      <c r="W172" s="11">
        <v>5253.125</v>
      </c>
      <c r="X172" s="12">
        <f t="shared" si="32"/>
        <v>128.125</v>
      </c>
      <c r="Y172" s="13">
        <f t="shared" si="33"/>
        <v>2.5000000000000001E-2</v>
      </c>
      <c r="Z172" s="14" t="str">
        <f t="shared" si="34"/>
        <v>0.00%-8.40%</v>
      </c>
      <c r="AA172" s="15"/>
      <c r="AB172" s="15"/>
      <c r="AC172" s="15"/>
      <c r="AD172" s="16"/>
      <c r="AE172" s="8">
        <f t="shared" si="35"/>
        <v>0</v>
      </c>
      <c r="AF172" s="17">
        <f t="shared" si="36"/>
        <v>5253.125</v>
      </c>
      <c r="AG172" s="18">
        <f t="shared" si="37"/>
        <v>128.125</v>
      </c>
      <c r="AH172" s="19">
        <f t="shared" si="38"/>
        <v>2.4999999999999911E-2</v>
      </c>
      <c r="AI172" s="20">
        <v>13.6</v>
      </c>
      <c r="AJ172" s="20">
        <v>500</v>
      </c>
      <c r="AK172" s="20"/>
      <c r="AL172" s="20">
        <v>688</v>
      </c>
      <c r="AM172" s="20">
        <f t="shared" si="39"/>
        <v>78130.5</v>
      </c>
      <c r="AN172" s="7" t="s">
        <v>176</v>
      </c>
      <c r="AO172" s="20"/>
      <c r="AP172" s="21" t="s">
        <v>465</v>
      </c>
      <c r="AQ172" s="21"/>
      <c r="AR172" s="5" t="s">
        <v>466</v>
      </c>
      <c r="AS172" s="5" t="s">
        <v>164</v>
      </c>
      <c r="AT172" s="5" t="s">
        <v>59</v>
      </c>
      <c r="AU172" s="20"/>
      <c r="AV172" s="21"/>
      <c r="AW172" s="21"/>
      <c r="AX172" s="21"/>
    </row>
    <row r="173" spans="1:50" s="55" customFormat="1">
      <c r="A173" s="86" t="s">
        <v>318</v>
      </c>
      <c r="B173" s="5">
        <v>15018780</v>
      </c>
      <c r="C173" s="5" t="s">
        <v>541</v>
      </c>
      <c r="D173" s="5" t="s">
        <v>321</v>
      </c>
      <c r="E173" s="5" t="s">
        <v>52</v>
      </c>
      <c r="F173" s="5" t="s">
        <v>62</v>
      </c>
      <c r="G173" s="5" t="s">
        <v>202</v>
      </c>
      <c r="H173" s="5" t="s">
        <v>464</v>
      </c>
      <c r="I173" s="6">
        <v>43313</v>
      </c>
      <c r="J173" s="5" t="s">
        <v>336</v>
      </c>
      <c r="K173" s="5" t="s">
        <v>511</v>
      </c>
      <c r="L173" s="5" t="s">
        <v>324</v>
      </c>
      <c r="M173" s="7">
        <v>6</v>
      </c>
      <c r="N173" s="7" t="s">
        <v>176</v>
      </c>
      <c r="O173" s="8">
        <v>4829</v>
      </c>
      <c r="P173" s="9">
        <v>0.02</v>
      </c>
      <c r="Q173" s="10">
        <f t="shared" si="27"/>
        <v>97</v>
      </c>
      <c r="R173" s="9">
        <v>5.0000000000000001E-3</v>
      </c>
      <c r="S173" s="10">
        <f t="shared" si="28"/>
        <v>24</v>
      </c>
      <c r="T173" s="9">
        <f t="shared" si="29"/>
        <v>2.5056947608200455E-2</v>
      </c>
      <c r="U173" s="10">
        <f t="shared" si="30"/>
        <v>121</v>
      </c>
      <c r="V173" s="10">
        <f t="shared" si="31"/>
        <v>4950</v>
      </c>
      <c r="W173" s="11">
        <v>4949.7250000000004</v>
      </c>
      <c r="X173" s="12">
        <f t="shared" si="32"/>
        <v>120.72500000000036</v>
      </c>
      <c r="Y173" s="13">
        <f t="shared" si="33"/>
        <v>2.5000000000000001E-2</v>
      </c>
      <c r="Z173" s="14" t="str">
        <f t="shared" si="34"/>
        <v>0.00%-8.40%</v>
      </c>
      <c r="AA173" s="15"/>
      <c r="AB173" s="15"/>
      <c r="AC173" s="15"/>
      <c r="AD173" s="16"/>
      <c r="AE173" s="8">
        <f t="shared" si="35"/>
        <v>0</v>
      </c>
      <c r="AF173" s="17">
        <f t="shared" si="36"/>
        <v>4949.7250000000004</v>
      </c>
      <c r="AG173" s="18">
        <f t="shared" si="37"/>
        <v>120.72500000000036</v>
      </c>
      <c r="AH173" s="19">
        <f t="shared" si="38"/>
        <v>2.5000000000000133E-2</v>
      </c>
      <c r="AI173" s="20">
        <v>13.6</v>
      </c>
      <c r="AJ173" s="20">
        <v>450</v>
      </c>
      <c r="AK173" s="20"/>
      <c r="AL173" s="20">
        <v>688</v>
      </c>
      <c r="AM173" s="20">
        <f t="shared" si="39"/>
        <v>73404.260000000009</v>
      </c>
      <c r="AN173" s="7" t="s">
        <v>176</v>
      </c>
      <c r="AO173" s="20"/>
      <c r="AP173" s="21" t="s">
        <v>465</v>
      </c>
      <c r="AQ173" s="21"/>
      <c r="AR173" s="5" t="s">
        <v>466</v>
      </c>
      <c r="AS173" s="5" t="s">
        <v>164</v>
      </c>
      <c r="AT173" s="5" t="s">
        <v>59</v>
      </c>
      <c r="AU173" s="20"/>
      <c r="AV173" s="21"/>
      <c r="AW173" s="21"/>
      <c r="AX173" s="21"/>
    </row>
    <row r="174" spans="1:50" s="55" customFormat="1">
      <c r="A174" s="86" t="s">
        <v>318</v>
      </c>
      <c r="B174" s="5">
        <v>15009112</v>
      </c>
      <c r="C174" s="5" t="s">
        <v>542</v>
      </c>
      <c r="D174" s="5" t="s">
        <v>321</v>
      </c>
      <c r="E174" s="5" t="s">
        <v>52</v>
      </c>
      <c r="F174" s="5" t="s">
        <v>62</v>
      </c>
      <c r="G174" s="5" t="s">
        <v>202</v>
      </c>
      <c r="H174" s="5" t="s">
        <v>464</v>
      </c>
      <c r="I174" s="6">
        <v>41426</v>
      </c>
      <c r="J174" s="5" t="s">
        <v>336</v>
      </c>
      <c r="K174" s="5" t="s">
        <v>511</v>
      </c>
      <c r="L174" s="5" t="s">
        <v>324</v>
      </c>
      <c r="M174" s="7">
        <v>6</v>
      </c>
      <c r="N174" s="7" t="s">
        <v>176</v>
      </c>
      <c r="O174" s="8">
        <v>4857</v>
      </c>
      <c r="P174" s="9">
        <v>0.02</v>
      </c>
      <c r="Q174" s="10">
        <f t="shared" si="27"/>
        <v>97</v>
      </c>
      <c r="R174" s="9">
        <v>5.0000000000000001E-3</v>
      </c>
      <c r="S174" s="10">
        <f t="shared" si="28"/>
        <v>24</v>
      </c>
      <c r="T174" s="9">
        <f t="shared" si="29"/>
        <v>2.4912497426394894E-2</v>
      </c>
      <c r="U174" s="10">
        <f t="shared" si="30"/>
        <v>121</v>
      </c>
      <c r="V174" s="10">
        <f t="shared" si="31"/>
        <v>4978</v>
      </c>
      <c r="W174" s="11">
        <v>4881.2849999999999</v>
      </c>
      <c r="X174" s="12">
        <f t="shared" si="32"/>
        <v>24.284999999999854</v>
      </c>
      <c r="Y174" s="13">
        <f t="shared" si="33"/>
        <v>5.0000000000000001E-3</v>
      </c>
      <c r="Z174" s="14" t="str">
        <f t="shared" si="34"/>
        <v>0.00%-8.40%</v>
      </c>
      <c r="AA174" s="15"/>
      <c r="AB174" s="15"/>
      <c r="AC174" s="15"/>
      <c r="AD174" s="16"/>
      <c r="AE174" s="8">
        <f t="shared" si="35"/>
        <v>0</v>
      </c>
      <c r="AF174" s="17">
        <f t="shared" si="36"/>
        <v>4881.2849999999999</v>
      </c>
      <c r="AG174" s="18">
        <f t="shared" si="37"/>
        <v>24.284999999999854</v>
      </c>
      <c r="AH174" s="19">
        <f t="shared" si="38"/>
        <v>4.9999999999998934E-3</v>
      </c>
      <c r="AI174" s="20">
        <v>13.6</v>
      </c>
      <c r="AJ174" s="20">
        <v>450</v>
      </c>
      <c r="AK174" s="20"/>
      <c r="AL174" s="20">
        <v>688</v>
      </c>
      <c r="AM174" s="20">
        <f t="shared" si="39"/>
        <v>72473.475999999995</v>
      </c>
      <c r="AN174" s="7" t="s">
        <v>176</v>
      </c>
      <c r="AO174" s="20"/>
      <c r="AP174" s="21" t="s">
        <v>513</v>
      </c>
      <c r="AQ174" s="21"/>
      <c r="AR174" s="5" t="s">
        <v>466</v>
      </c>
      <c r="AS174" s="5" t="s">
        <v>164</v>
      </c>
      <c r="AT174" s="5" t="s">
        <v>59</v>
      </c>
      <c r="AU174" s="20"/>
      <c r="AV174" s="21"/>
      <c r="AW174" s="21"/>
      <c r="AX174" s="21"/>
    </row>
    <row r="175" spans="1:50" s="55" customFormat="1">
      <c r="A175" s="86" t="s">
        <v>318</v>
      </c>
      <c r="B175" s="5">
        <v>15017105</v>
      </c>
      <c r="C175" s="5" t="s">
        <v>543</v>
      </c>
      <c r="D175" s="5" t="s">
        <v>321</v>
      </c>
      <c r="E175" s="5" t="s">
        <v>52</v>
      </c>
      <c r="F175" s="5" t="s">
        <v>62</v>
      </c>
      <c r="G175" s="5" t="s">
        <v>202</v>
      </c>
      <c r="H175" s="5" t="s">
        <v>464</v>
      </c>
      <c r="I175" s="6">
        <v>42979</v>
      </c>
      <c r="J175" s="5" t="s">
        <v>336</v>
      </c>
      <c r="K175" s="5" t="s">
        <v>511</v>
      </c>
      <c r="L175" s="5" t="s">
        <v>324</v>
      </c>
      <c r="M175" s="7">
        <v>6</v>
      </c>
      <c r="N175" s="7" t="s">
        <v>176</v>
      </c>
      <c r="O175" s="8">
        <v>5750</v>
      </c>
      <c r="P175" s="9">
        <v>0.02</v>
      </c>
      <c r="Q175" s="10">
        <f t="shared" si="27"/>
        <v>115</v>
      </c>
      <c r="R175" s="9">
        <v>5.0000000000000001E-3</v>
      </c>
      <c r="S175" s="10">
        <f t="shared" si="28"/>
        <v>29</v>
      </c>
      <c r="T175" s="9">
        <f t="shared" si="29"/>
        <v>2.5043478260869566E-2</v>
      </c>
      <c r="U175" s="10">
        <f t="shared" si="30"/>
        <v>144</v>
      </c>
      <c r="V175" s="10">
        <f t="shared" si="31"/>
        <v>5894</v>
      </c>
      <c r="W175" s="11">
        <v>6152.5</v>
      </c>
      <c r="X175" s="12">
        <f t="shared" si="32"/>
        <v>402.5</v>
      </c>
      <c r="Y175" s="13">
        <f t="shared" si="33"/>
        <v>7.0000000000000007E-2</v>
      </c>
      <c r="Z175" s="14" t="str">
        <f t="shared" si="34"/>
        <v>0.00%-8.40%</v>
      </c>
      <c r="AA175" s="15"/>
      <c r="AB175" s="15"/>
      <c r="AC175" s="15"/>
      <c r="AD175" s="16"/>
      <c r="AE175" s="8">
        <f t="shared" si="35"/>
        <v>0</v>
      </c>
      <c r="AF175" s="17">
        <f t="shared" si="36"/>
        <v>6152.5</v>
      </c>
      <c r="AG175" s="18">
        <f t="shared" si="37"/>
        <v>402.5</v>
      </c>
      <c r="AH175" s="19">
        <f t="shared" si="38"/>
        <v>7.0000000000000062E-2</v>
      </c>
      <c r="AI175" s="20">
        <v>13.6</v>
      </c>
      <c r="AJ175" s="20">
        <v>450</v>
      </c>
      <c r="AK175" s="20"/>
      <c r="AL175" s="20">
        <v>688</v>
      </c>
      <c r="AM175" s="20">
        <f t="shared" si="39"/>
        <v>89762</v>
      </c>
      <c r="AN175" s="7" t="s">
        <v>176</v>
      </c>
      <c r="AO175" s="20"/>
      <c r="AP175" s="21" t="s">
        <v>525</v>
      </c>
      <c r="AQ175" s="21"/>
      <c r="AR175" s="5" t="s">
        <v>466</v>
      </c>
      <c r="AS175" s="5" t="s">
        <v>164</v>
      </c>
      <c r="AT175" s="5" t="s">
        <v>59</v>
      </c>
      <c r="AU175" s="20"/>
      <c r="AV175" s="21"/>
      <c r="AW175" s="21"/>
      <c r="AX175" s="21"/>
    </row>
    <row r="176" spans="1:50" s="55" customFormat="1">
      <c r="A176" s="86" t="s">
        <v>318</v>
      </c>
      <c r="B176" s="5">
        <v>15017641</v>
      </c>
      <c r="C176" s="5" t="s">
        <v>544</v>
      </c>
      <c r="D176" s="5" t="s">
        <v>321</v>
      </c>
      <c r="E176" s="5" t="s">
        <v>52</v>
      </c>
      <c r="F176" s="5" t="s">
        <v>62</v>
      </c>
      <c r="G176" s="5" t="s">
        <v>202</v>
      </c>
      <c r="H176" s="5" t="s">
        <v>464</v>
      </c>
      <c r="I176" s="6">
        <v>43191</v>
      </c>
      <c r="J176" s="5" t="s">
        <v>336</v>
      </c>
      <c r="K176" s="5" t="s">
        <v>511</v>
      </c>
      <c r="L176" s="5" t="s">
        <v>324</v>
      </c>
      <c r="M176" s="7">
        <v>6</v>
      </c>
      <c r="N176" s="7" t="s">
        <v>176</v>
      </c>
      <c r="O176" s="8">
        <v>5064</v>
      </c>
      <c r="P176" s="9">
        <v>0.02</v>
      </c>
      <c r="Q176" s="10">
        <f t="shared" si="27"/>
        <v>101</v>
      </c>
      <c r="R176" s="9">
        <v>5.0000000000000001E-3</v>
      </c>
      <c r="S176" s="10">
        <f t="shared" si="28"/>
        <v>25</v>
      </c>
      <c r="T176" s="9">
        <f t="shared" si="29"/>
        <v>2.4881516587677725E-2</v>
      </c>
      <c r="U176" s="10">
        <f t="shared" si="30"/>
        <v>126</v>
      </c>
      <c r="V176" s="10">
        <f t="shared" si="31"/>
        <v>5190</v>
      </c>
      <c r="W176" s="11">
        <v>5190.6000000000004</v>
      </c>
      <c r="X176" s="12">
        <f t="shared" si="32"/>
        <v>126.60000000000036</v>
      </c>
      <c r="Y176" s="13">
        <f t="shared" si="33"/>
        <v>2.5000000000000001E-2</v>
      </c>
      <c r="Z176" s="14" t="str">
        <f t="shared" si="34"/>
        <v>0.00%-8.40%</v>
      </c>
      <c r="AA176" s="15"/>
      <c r="AB176" s="15"/>
      <c r="AC176" s="15"/>
      <c r="AD176" s="16"/>
      <c r="AE176" s="8">
        <f t="shared" si="35"/>
        <v>0</v>
      </c>
      <c r="AF176" s="17">
        <f t="shared" si="36"/>
        <v>5190.6000000000004</v>
      </c>
      <c r="AG176" s="18">
        <f t="shared" si="37"/>
        <v>126.60000000000036</v>
      </c>
      <c r="AH176" s="19">
        <f t="shared" si="38"/>
        <v>2.5000000000000133E-2</v>
      </c>
      <c r="AI176" s="20">
        <v>13.6</v>
      </c>
      <c r="AJ176" s="20">
        <v>450</v>
      </c>
      <c r="AK176" s="20"/>
      <c r="AL176" s="20">
        <v>688</v>
      </c>
      <c r="AM176" s="20">
        <f t="shared" si="39"/>
        <v>76680.160000000003</v>
      </c>
      <c r="AN176" s="7" t="s">
        <v>176</v>
      </c>
      <c r="AO176" s="20"/>
      <c r="AP176" s="21" t="s">
        <v>465</v>
      </c>
      <c r="AQ176" s="21"/>
      <c r="AR176" s="5" t="s">
        <v>466</v>
      </c>
      <c r="AS176" s="5" t="s">
        <v>164</v>
      </c>
      <c r="AT176" s="5" t="s">
        <v>59</v>
      </c>
      <c r="AU176" s="20"/>
      <c r="AV176" s="21"/>
      <c r="AW176" s="21"/>
      <c r="AX176" s="21"/>
    </row>
    <row r="177" spans="1:50" s="55" customFormat="1">
      <c r="A177" s="86" t="s">
        <v>318</v>
      </c>
      <c r="B177" s="5">
        <v>15011455</v>
      </c>
      <c r="C177" s="5" t="s">
        <v>545</v>
      </c>
      <c r="D177" s="5" t="s">
        <v>321</v>
      </c>
      <c r="E177" s="5" t="s">
        <v>52</v>
      </c>
      <c r="F177" s="5" t="s">
        <v>62</v>
      </c>
      <c r="G177" s="5" t="s">
        <v>202</v>
      </c>
      <c r="H177" s="5" t="s">
        <v>464</v>
      </c>
      <c r="I177" s="6">
        <v>41640</v>
      </c>
      <c r="J177" s="5" t="s">
        <v>336</v>
      </c>
      <c r="K177" s="5" t="s">
        <v>511</v>
      </c>
      <c r="L177" s="5" t="s">
        <v>324</v>
      </c>
      <c r="M177" s="7">
        <v>6</v>
      </c>
      <c r="N177" s="7" t="s">
        <v>176</v>
      </c>
      <c r="O177" s="8">
        <v>4723</v>
      </c>
      <c r="P177" s="9">
        <v>0.02</v>
      </c>
      <c r="Q177" s="10">
        <f t="shared" si="27"/>
        <v>94</v>
      </c>
      <c r="R177" s="9">
        <v>5.0000000000000001E-3</v>
      </c>
      <c r="S177" s="10">
        <f t="shared" si="28"/>
        <v>24</v>
      </c>
      <c r="T177" s="9">
        <f t="shared" si="29"/>
        <v>2.4984120262544991E-2</v>
      </c>
      <c r="U177" s="10">
        <f t="shared" si="30"/>
        <v>118</v>
      </c>
      <c r="V177" s="10">
        <f t="shared" si="31"/>
        <v>4841</v>
      </c>
      <c r="W177" s="11">
        <v>4723</v>
      </c>
      <c r="X177" s="12">
        <f t="shared" si="32"/>
        <v>0</v>
      </c>
      <c r="Y177" s="13">
        <f t="shared" si="33"/>
        <v>0</v>
      </c>
      <c r="Z177" s="14" t="str">
        <f t="shared" si="34"/>
        <v>0.00%-8.40%</v>
      </c>
      <c r="AA177" s="15"/>
      <c r="AB177" s="15"/>
      <c r="AC177" s="15"/>
      <c r="AD177" s="16"/>
      <c r="AE177" s="8">
        <f t="shared" si="35"/>
        <v>0</v>
      </c>
      <c r="AF177" s="17">
        <f t="shared" si="36"/>
        <v>4723</v>
      </c>
      <c r="AG177" s="18">
        <f t="shared" si="37"/>
        <v>0</v>
      </c>
      <c r="AH177" s="19">
        <f t="shared" si="38"/>
        <v>0</v>
      </c>
      <c r="AI177" s="20">
        <v>13.6</v>
      </c>
      <c r="AJ177" s="20">
        <v>450</v>
      </c>
      <c r="AK177" s="20"/>
      <c r="AL177" s="20">
        <v>688</v>
      </c>
      <c r="AM177" s="20">
        <f t="shared" si="39"/>
        <v>70320.799999999988</v>
      </c>
      <c r="AN177" s="7" t="s">
        <v>176</v>
      </c>
      <c r="AO177" s="20"/>
      <c r="AP177" s="21" t="s">
        <v>97</v>
      </c>
      <c r="AQ177" s="21" t="s">
        <v>97</v>
      </c>
      <c r="AR177" s="5" t="s">
        <v>466</v>
      </c>
      <c r="AS177" s="5" t="s">
        <v>164</v>
      </c>
      <c r="AT177" s="5" t="s">
        <v>59</v>
      </c>
      <c r="AU177" s="20"/>
      <c r="AV177" s="21"/>
      <c r="AW177" s="21"/>
      <c r="AX177" s="21"/>
    </row>
    <row r="178" spans="1:50" s="55" customFormat="1">
      <c r="A178" s="86" t="s">
        <v>318</v>
      </c>
      <c r="B178" s="5">
        <v>15008705</v>
      </c>
      <c r="C178" s="5" t="s">
        <v>546</v>
      </c>
      <c r="D178" s="5" t="s">
        <v>321</v>
      </c>
      <c r="E178" s="5" t="s">
        <v>52</v>
      </c>
      <c r="F178" s="5" t="s">
        <v>62</v>
      </c>
      <c r="G178" s="5" t="s">
        <v>202</v>
      </c>
      <c r="H178" s="5" t="s">
        <v>464</v>
      </c>
      <c r="I178" s="6">
        <v>41426</v>
      </c>
      <c r="J178" s="5" t="s">
        <v>336</v>
      </c>
      <c r="K178" s="5" t="s">
        <v>511</v>
      </c>
      <c r="L178" s="5" t="s">
        <v>324</v>
      </c>
      <c r="M178" s="7">
        <v>6</v>
      </c>
      <c r="N178" s="7" t="s">
        <v>176</v>
      </c>
      <c r="O178" s="8">
        <v>5045</v>
      </c>
      <c r="P178" s="9">
        <v>0.02</v>
      </c>
      <c r="Q178" s="10">
        <f t="shared" si="27"/>
        <v>101</v>
      </c>
      <c r="R178" s="9">
        <v>5.0000000000000001E-3</v>
      </c>
      <c r="S178" s="10">
        <f t="shared" si="28"/>
        <v>25</v>
      </c>
      <c r="T178" s="9">
        <f t="shared" si="29"/>
        <v>2.497522299306244E-2</v>
      </c>
      <c r="U178" s="10">
        <f t="shared" si="30"/>
        <v>126</v>
      </c>
      <c r="V178" s="10">
        <f t="shared" si="31"/>
        <v>5171</v>
      </c>
      <c r="W178" s="11">
        <v>5171.125</v>
      </c>
      <c r="X178" s="12">
        <f t="shared" si="32"/>
        <v>126.125</v>
      </c>
      <c r="Y178" s="13">
        <f t="shared" si="33"/>
        <v>2.5000000000000001E-2</v>
      </c>
      <c r="Z178" s="14" t="str">
        <f t="shared" si="34"/>
        <v>0.00%-8.40%</v>
      </c>
      <c r="AA178" s="15"/>
      <c r="AB178" s="15"/>
      <c r="AC178" s="15"/>
      <c r="AD178" s="16"/>
      <c r="AE178" s="8">
        <f t="shared" si="35"/>
        <v>0</v>
      </c>
      <c r="AF178" s="17">
        <f t="shared" si="36"/>
        <v>5171.125</v>
      </c>
      <c r="AG178" s="18">
        <f t="shared" si="37"/>
        <v>126.125</v>
      </c>
      <c r="AH178" s="19">
        <f t="shared" si="38"/>
        <v>2.4999999999999911E-2</v>
      </c>
      <c r="AI178" s="20">
        <v>13.6</v>
      </c>
      <c r="AJ178" s="20">
        <v>450</v>
      </c>
      <c r="AK178" s="20"/>
      <c r="AL178" s="20">
        <v>688</v>
      </c>
      <c r="AM178" s="20">
        <f t="shared" si="39"/>
        <v>76415.3</v>
      </c>
      <c r="AN178" s="7" t="s">
        <v>176</v>
      </c>
      <c r="AO178" s="20"/>
      <c r="AP178" s="21" t="s">
        <v>465</v>
      </c>
      <c r="AQ178" s="21"/>
      <c r="AR178" s="5" t="s">
        <v>466</v>
      </c>
      <c r="AS178" s="5" t="s">
        <v>164</v>
      </c>
      <c r="AT178" s="5" t="s">
        <v>59</v>
      </c>
      <c r="AU178" s="20"/>
      <c r="AV178" s="21"/>
      <c r="AW178" s="21"/>
      <c r="AX178" s="21"/>
    </row>
    <row r="179" spans="1:50" s="55" customFormat="1">
      <c r="A179" s="86" t="s">
        <v>318</v>
      </c>
      <c r="B179" s="5">
        <v>15003298</v>
      </c>
      <c r="C179" s="5" t="s">
        <v>547</v>
      </c>
      <c r="D179" s="5" t="s">
        <v>321</v>
      </c>
      <c r="E179" s="5" t="s">
        <v>52</v>
      </c>
      <c r="F179" s="5" t="s">
        <v>62</v>
      </c>
      <c r="G179" s="5" t="s">
        <v>202</v>
      </c>
      <c r="H179" s="5" t="s">
        <v>464</v>
      </c>
      <c r="I179" s="6">
        <v>40269</v>
      </c>
      <c r="J179" s="5" t="s">
        <v>336</v>
      </c>
      <c r="K179" s="5" t="s">
        <v>548</v>
      </c>
      <c r="L179" s="5" t="s">
        <v>324</v>
      </c>
      <c r="M179" s="7">
        <v>6</v>
      </c>
      <c r="N179" s="7" t="s">
        <v>176</v>
      </c>
      <c r="O179" s="8">
        <v>5251</v>
      </c>
      <c r="P179" s="9">
        <v>0.02</v>
      </c>
      <c r="Q179" s="10">
        <f t="shared" si="27"/>
        <v>105</v>
      </c>
      <c r="R179" s="9">
        <v>5.0000000000000001E-3</v>
      </c>
      <c r="S179" s="10">
        <f t="shared" si="28"/>
        <v>26</v>
      </c>
      <c r="T179" s="9">
        <f t="shared" si="29"/>
        <v>2.4947629023043229E-2</v>
      </c>
      <c r="U179" s="10">
        <f t="shared" si="30"/>
        <v>131</v>
      </c>
      <c r="V179" s="10">
        <f t="shared" si="31"/>
        <v>5382</v>
      </c>
      <c r="W179" s="11">
        <v>5382.2749999999996</v>
      </c>
      <c r="X179" s="12">
        <f t="shared" si="32"/>
        <v>131.27499999999964</v>
      </c>
      <c r="Y179" s="13">
        <f t="shared" si="33"/>
        <v>2.5000000000000001E-2</v>
      </c>
      <c r="Z179" s="14" t="str">
        <f t="shared" si="34"/>
        <v>0.00%-8.40%</v>
      </c>
      <c r="AA179" s="15"/>
      <c r="AB179" s="15"/>
      <c r="AC179" s="15"/>
      <c r="AD179" s="16"/>
      <c r="AE179" s="8">
        <f t="shared" si="35"/>
        <v>0</v>
      </c>
      <c r="AF179" s="17">
        <f t="shared" si="36"/>
        <v>5382.2749999999996</v>
      </c>
      <c r="AG179" s="18">
        <f t="shared" si="37"/>
        <v>131.27499999999964</v>
      </c>
      <c r="AH179" s="19">
        <f t="shared" si="38"/>
        <v>2.4999999999999911E-2</v>
      </c>
      <c r="AI179" s="20">
        <v>13.6</v>
      </c>
      <c r="AJ179" s="20">
        <v>450</v>
      </c>
      <c r="AK179" s="20"/>
      <c r="AL179" s="20">
        <v>688</v>
      </c>
      <c r="AM179" s="20">
        <f t="shared" si="39"/>
        <v>79286.939999999988</v>
      </c>
      <c r="AN179" s="7" t="s">
        <v>176</v>
      </c>
      <c r="AO179" s="20"/>
      <c r="AP179" s="21" t="s">
        <v>465</v>
      </c>
      <c r="AQ179" s="21"/>
      <c r="AR179" s="5" t="s">
        <v>466</v>
      </c>
      <c r="AS179" s="5" t="s">
        <v>164</v>
      </c>
      <c r="AT179" s="5" t="s">
        <v>59</v>
      </c>
      <c r="AU179" s="20"/>
      <c r="AV179" s="21"/>
      <c r="AW179" s="21"/>
      <c r="AX179" s="21"/>
    </row>
    <row r="180" spans="1:50" s="55" customFormat="1">
      <c r="A180" s="86" t="s">
        <v>318</v>
      </c>
      <c r="B180" s="5">
        <v>15012231</v>
      </c>
      <c r="C180" s="5" t="s">
        <v>549</v>
      </c>
      <c r="D180" s="5" t="s">
        <v>321</v>
      </c>
      <c r="E180" s="5" t="s">
        <v>52</v>
      </c>
      <c r="F180" s="5" t="s">
        <v>62</v>
      </c>
      <c r="G180" s="5" t="s">
        <v>202</v>
      </c>
      <c r="H180" s="5" t="s">
        <v>464</v>
      </c>
      <c r="I180" s="6">
        <v>41699</v>
      </c>
      <c r="J180" s="5" t="s">
        <v>336</v>
      </c>
      <c r="K180" s="5" t="s">
        <v>511</v>
      </c>
      <c r="L180" s="5" t="s">
        <v>324</v>
      </c>
      <c r="M180" s="7">
        <v>6</v>
      </c>
      <c r="N180" s="7" t="s">
        <v>176</v>
      </c>
      <c r="O180" s="8">
        <v>4817</v>
      </c>
      <c r="P180" s="9">
        <v>0.02</v>
      </c>
      <c r="Q180" s="10">
        <f t="shared" si="27"/>
        <v>96</v>
      </c>
      <c r="R180" s="9">
        <v>5.0000000000000001E-3</v>
      </c>
      <c r="S180" s="10">
        <f t="shared" si="28"/>
        <v>24</v>
      </c>
      <c r="T180" s="9">
        <f t="shared" si="29"/>
        <v>2.4911770811708533E-2</v>
      </c>
      <c r="U180" s="10">
        <f t="shared" si="30"/>
        <v>120</v>
      </c>
      <c r="V180" s="10">
        <f t="shared" si="31"/>
        <v>4937</v>
      </c>
      <c r="W180" s="11">
        <v>4937.4250000000002</v>
      </c>
      <c r="X180" s="12">
        <f t="shared" si="32"/>
        <v>120.42500000000018</v>
      </c>
      <c r="Y180" s="13">
        <f t="shared" si="33"/>
        <v>2.5000000000000001E-2</v>
      </c>
      <c r="Z180" s="14" t="str">
        <f t="shared" si="34"/>
        <v>0.00%-8.40%</v>
      </c>
      <c r="AA180" s="15"/>
      <c r="AB180" s="15"/>
      <c r="AC180" s="15"/>
      <c r="AD180" s="16"/>
      <c r="AE180" s="8">
        <f t="shared" si="35"/>
        <v>0</v>
      </c>
      <c r="AF180" s="17">
        <f t="shared" si="36"/>
        <v>4937.4250000000002</v>
      </c>
      <c r="AG180" s="18">
        <f t="shared" si="37"/>
        <v>120.42500000000018</v>
      </c>
      <c r="AH180" s="19">
        <f t="shared" si="38"/>
        <v>2.5000000000000133E-2</v>
      </c>
      <c r="AI180" s="20">
        <v>13.6</v>
      </c>
      <c r="AJ180" s="20">
        <v>450</v>
      </c>
      <c r="AK180" s="20"/>
      <c r="AL180" s="20">
        <v>688</v>
      </c>
      <c r="AM180" s="20">
        <f t="shared" si="39"/>
        <v>73236.98</v>
      </c>
      <c r="AN180" s="7" t="s">
        <v>176</v>
      </c>
      <c r="AO180" s="20"/>
      <c r="AP180" s="21" t="s">
        <v>465</v>
      </c>
      <c r="AQ180" s="21"/>
      <c r="AR180" s="5" t="s">
        <v>466</v>
      </c>
      <c r="AS180" s="5" t="s">
        <v>164</v>
      </c>
      <c r="AT180" s="5" t="s">
        <v>59</v>
      </c>
      <c r="AU180" s="20"/>
      <c r="AV180" s="21"/>
      <c r="AW180" s="21"/>
      <c r="AX180" s="21"/>
    </row>
    <row r="181" spans="1:50" s="55" customFormat="1">
      <c r="A181" s="86" t="s">
        <v>318</v>
      </c>
      <c r="B181" s="5">
        <v>15005832</v>
      </c>
      <c r="C181" s="5" t="s">
        <v>550</v>
      </c>
      <c r="D181" s="5" t="s">
        <v>321</v>
      </c>
      <c r="E181" s="5" t="s">
        <v>52</v>
      </c>
      <c r="F181" s="5" t="s">
        <v>62</v>
      </c>
      <c r="G181" s="5" t="s">
        <v>202</v>
      </c>
      <c r="H181" s="5" t="s">
        <v>464</v>
      </c>
      <c r="I181" s="6">
        <v>40817</v>
      </c>
      <c r="J181" s="5" t="s">
        <v>336</v>
      </c>
      <c r="K181" s="5" t="s">
        <v>511</v>
      </c>
      <c r="L181" s="5" t="s">
        <v>324</v>
      </c>
      <c r="M181" s="7">
        <v>6</v>
      </c>
      <c r="N181" s="7" t="s">
        <v>176</v>
      </c>
      <c r="O181" s="8">
        <v>4919</v>
      </c>
      <c r="P181" s="9">
        <v>0.02</v>
      </c>
      <c r="Q181" s="10">
        <f t="shared" si="27"/>
        <v>98</v>
      </c>
      <c r="R181" s="9">
        <v>5.0000000000000001E-3</v>
      </c>
      <c r="S181" s="10">
        <f t="shared" si="28"/>
        <v>25</v>
      </c>
      <c r="T181" s="9">
        <f t="shared" si="29"/>
        <v>2.5005082333807684E-2</v>
      </c>
      <c r="U181" s="10">
        <f t="shared" si="30"/>
        <v>123</v>
      </c>
      <c r="V181" s="10">
        <f t="shared" si="31"/>
        <v>5042</v>
      </c>
      <c r="W181" s="11">
        <v>5041.9750000000004</v>
      </c>
      <c r="X181" s="12">
        <f t="shared" si="32"/>
        <v>122.97500000000036</v>
      </c>
      <c r="Y181" s="13">
        <f t="shared" si="33"/>
        <v>2.5000000000000001E-2</v>
      </c>
      <c r="Z181" s="14" t="str">
        <f t="shared" si="34"/>
        <v>0.00%-8.40%</v>
      </c>
      <c r="AA181" s="15"/>
      <c r="AB181" s="15"/>
      <c r="AC181" s="15"/>
      <c r="AD181" s="16"/>
      <c r="AE181" s="8">
        <f t="shared" si="35"/>
        <v>0</v>
      </c>
      <c r="AF181" s="17">
        <f t="shared" si="36"/>
        <v>5041.9750000000004</v>
      </c>
      <c r="AG181" s="18">
        <f t="shared" si="37"/>
        <v>122.97500000000036</v>
      </c>
      <c r="AH181" s="19">
        <f t="shared" si="38"/>
        <v>2.5000000000000133E-2</v>
      </c>
      <c r="AI181" s="20">
        <v>13.6</v>
      </c>
      <c r="AJ181" s="20">
        <v>450</v>
      </c>
      <c r="AK181" s="20"/>
      <c r="AL181" s="20">
        <v>688</v>
      </c>
      <c r="AM181" s="20">
        <f t="shared" si="39"/>
        <v>74658.86</v>
      </c>
      <c r="AN181" s="7" t="s">
        <v>176</v>
      </c>
      <c r="AO181" s="20"/>
      <c r="AP181" s="21" t="s">
        <v>465</v>
      </c>
      <c r="AQ181" s="21"/>
      <c r="AR181" s="5" t="s">
        <v>466</v>
      </c>
      <c r="AS181" s="5" t="s">
        <v>164</v>
      </c>
      <c r="AT181" s="5" t="s">
        <v>59</v>
      </c>
      <c r="AU181" s="20"/>
      <c r="AV181" s="21"/>
      <c r="AW181" s="21"/>
      <c r="AX181" s="21"/>
    </row>
    <row r="182" spans="1:50" s="55" customFormat="1">
      <c r="A182" s="86" t="s">
        <v>318</v>
      </c>
      <c r="B182" s="5">
        <v>15011403</v>
      </c>
      <c r="C182" s="5" t="s">
        <v>551</v>
      </c>
      <c r="D182" s="5" t="s">
        <v>321</v>
      </c>
      <c r="E182" s="5" t="s">
        <v>52</v>
      </c>
      <c r="F182" s="5" t="s">
        <v>62</v>
      </c>
      <c r="G182" s="5" t="s">
        <v>202</v>
      </c>
      <c r="H182" s="5" t="s">
        <v>464</v>
      </c>
      <c r="I182" s="6">
        <v>41609</v>
      </c>
      <c r="J182" s="5" t="s">
        <v>336</v>
      </c>
      <c r="K182" s="5" t="s">
        <v>511</v>
      </c>
      <c r="L182" s="5" t="s">
        <v>324</v>
      </c>
      <c r="M182" s="7">
        <v>6</v>
      </c>
      <c r="N182" s="7" t="s">
        <v>176</v>
      </c>
      <c r="O182" s="8">
        <v>4631</v>
      </c>
      <c r="P182" s="9">
        <v>0.02</v>
      </c>
      <c r="Q182" s="10">
        <f t="shared" si="27"/>
        <v>93</v>
      </c>
      <c r="R182" s="9">
        <v>5.0000000000000001E-3</v>
      </c>
      <c r="S182" s="10">
        <f t="shared" si="28"/>
        <v>23</v>
      </c>
      <c r="T182" s="9">
        <f t="shared" si="29"/>
        <v>2.5048585618656877E-2</v>
      </c>
      <c r="U182" s="10">
        <f t="shared" si="30"/>
        <v>116</v>
      </c>
      <c r="V182" s="10">
        <f t="shared" si="31"/>
        <v>4747</v>
      </c>
      <c r="W182" s="11">
        <v>4631</v>
      </c>
      <c r="X182" s="12">
        <f t="shared" si="32"/>
        <v>0</v>
      </c>
      <c r="Y182" s="13">
        <f t="shared" si="33"/>
        <v>0</v>
      </c>
      <c r="Z182" s="14" t="str">
        <f t="shared" si="34"/>
        <v>0.00%-8.40%</v>
      </c>
      <c r="AA182" s="15"/>
      <c r="AB182" s="15"/>
      <c r="AC182" s="15"/>
      <c r="AD182" s="16"/>
      <c r="AE182" s="8">
        <f t="shared" si="35"/>
        <v>0</v>
      </c>
      <c r="AF182" s="17">
        <f t="shared" si="36"/>
        <v>4631</v>
      </c>
      <c r="AG182" s="18">
        <f t="shared" si="37"/>
        <v>0</v>
      </c>
      <c r="AH182" s="19">
        <f t="shared" si="38"/>
        <v>0</v>
      </c>
      <c r="AI182" s="20">
        <v>13.6</v>
      </c>
      <c r="AJ182" s="20">
        <v>450</v>
      </c>
      <c r="AK182" s="20"/>
      <c r="AL182" s="20">
        <v>688</v>
      </c>
      <c r="AM182" s="20">
        <f t="shared" si="39"/>
        <v>69069.600000000006</v>
      </c>
      <c r="AN182" s="7" t="s">
        <v>176</v>
      </c>
      <c r="AO182" s="20"/>
      <c r="AP182" s="21" t="s">
        <v>97</v>
      </c>
      <c r="AQ182" s="21" t="s">
        <v>97</v>
      </c>
      <c r="AR182" s="5" t="s">
        <v>466</v>
      </c>
      <c r="AS182" s="5" t="s">
        <v>164</v>
      </c>
      <c r="AT182" s="5" t="s">
        <v>59</v>
      </c>
      <c r="AU182" s="20"/>
      <c r="AV182" s="21"/>
      <c r="AW182" s="21"/>
      <c r="AX182" s="21"/>
    </row>
    <row r="183" spans="1:50" s="55" customFormat="1">
      <c r="A183" s="86" t="s">
        <v>318</v>
      </c>
      <c r="B183" s="5">
        <v>15013821</v>
      </c>
      <c r="C183" s="5" t="s">
        <v>552</v>
      </c>
      <c r="D183" s="5" t="s">
        <v>321</v>
      </c>
      <c r="E183" s="5" t="s">
        <v>52</v>
      </c>
      <c r="F183" s="5" t="s">
        <v>62</v>
      </c>
      <c r="G183" s="5" t="s">
        <v>202</v>
      </c>
      <c r="H183" s="5" t="s">
        <v>464</v>
      </c>
      <c r="I183" s="6">
        <v>42095</v>
      </c>
      <c r="J183" s="5" t="s">
        <v>336</v>
      </c>
      <c r="K183" s="5" t="s">
        <v>511</v>
      </c>
      <c r="L183" s="5" t="s">
        <v>324</v>
      </c>
      <c r="M183" s="7">
        <v>6</v>
      </c>
      <c r="N183" s="7" t="s">
        <v>176</v>
      </c>
      <c r="O183" s="8">
        <v>5032</v>
      </c>
      <c r="P183" s="9">
        <v>0.02</v>
      </c>
      <c r="Q183" s="10">
        <f t="shared" si="27"/>
        <v>101</v>
      </c>
      <c r="R183" s="9">
        <v>5.0000000000000001E-3</v>
      </c>
      <c r="S183" s="10">
        <f t="shared" si="28"/>
        <v>25</v>
      </c>
      <c r="T183" s="9">
        <f t="shared" si="29"/>
        <v>2.5039745627980923E-2</v>
      </c>
      <c r="U183" s="10">
        <f t="shared" si="30"/>
        <v>126</v>
      </c>
      <c r="V183" s="10">
        <f t="shared" si="31"/>
        <v>5158</v>
      </c>
      <c r="W183" s="11">
        <v>5057.16</v>
      </c>
      <c r="X183" s="12">
        <f t="shared" si="32"/>
        <v>25.159999999999854</v>
      </c>
      <c r="Y183" s="13">
        <f t="shared" si="33"/>
        <v>5.0000000000000001E-3</v>
      </c>
      <c r="Z183" s="14" t="str">
        <f t="shared" si="34"/>
        <v>0.00%-8.40%</v>
      </c>
      <c r="AA183" s="15"/>
      <c r="AB183" s="15"/>
      <c r="AC183" s="15"/>
      <c r="AD183" s="16"/>
      <c r="AE183" s="8">
        <f t="shared" si="35"/>
        <v>0</v>
      </c>
      <c r="AF183" s="17">
        <f t="shared" si="36"/>
        <v>5057.16</v>
      </c>
      <c r="AG183" s="18">
        <f t="shared" si="37"/>
        <v>25.159999999999854</v>
      </c>
      <c r="AH183" s="19">
        <f t="shared" si="38"/>
        <v>4.9999999999998934E-3</v>
      </c>
      <c r="AI183" s="20">
        <v>13.6</v>
      </c>
      <c r="AJ183" s="20">
        <v>450</v>
      </c>
      <c r="AK183" s="20"/>
      <c r="AL183" s="20">
        <v>688</v>
      </c>
      <c r="AM183" s="20">
        <f t="shared" si="39"/>
        <v>74865.375999999989</v>
      </c>
      <c r="AN183" s="7" t="s">
        <v>176</v>
      </c>
      <c r="AO183" s="20"/>
      <c r="AP183" s="21" t="s">
        <v>513</v>
      </c>
      <c r="AQ183" s="21"/>
      <c r="AR183" s="5" t="s">
        <v>466</v>
      </c>
      <c r="AS183" s="5" t="s">
        <v>164</v>
      </c>
      <c r="AT183" s="5" t="s">
        <v>59</v>
      </c>
      <c r="AU183" s="20"/>
      <c r="AV183" s="21"/>
      <c r="AW183" s="21"/>
      <c r="AX183" s="21"/>
    </row>
    <row r="184" spans="1:50" s="55" customFormat="1">
      <c r="A184" s="86" t="s">
        <v>318</v>
      </c>
      <c r="B184" s="5">
        <v>15013814</v>
      </c>
      <c r="C184" s="5" t="s">
        <v>553</v>
      </c>
      <c r="D184" s="5" t="s">
        <v>321</v>
      </c>
      <c r="E184" s="5" t="s">
        <v>52</v>
      </c>
      <c r="F184" s="5" t="s">
        <v>62</v>
      </c>
      <c r="G184" s="5" t="s">
        <v>202</v>
      </c>
      <c r="H184" s="5" t="s">
        <v>464</v>
      </c>
      <c r="I184" s="6">
        <v>42095</v>
      </c>
      <c r="J184" s="5" t="s">
        <v>336</v>
      </c>
      <c r="K184" s="5" t="s">
        <v>511</v>
      </c>
      <c r="L184" s="5" t="s">
        <v>324</v>
      </c>
      <c r="M184" s="7">
        <v>6</v>
      </c>
      <c r="N184" s="7" t="s">
        <v>176</v>
      </c>
      <c r="O184" s="8">
        <v>4931</v>
      </c>
      <c r="P184" s="9">
        <v>0.02</v>
      </c>
      <c r="Q184" s="10">
        <f t="shared" si="27"/>
        <v>99</v>
      </c>
      <c r="R184" s="9">
        <v>5.0000000000000001E-3</v>
      </c>
      <c r="S184" s="10">
        <f t="shared" si="28"/>
        <v>25</v>
      </c>
      <c r="T184" s="9">
        <f t="shared" si="29"/>
        <v>2.5147029000202797E-2</v>
      </c>
      <c r="U184" s="10">
        <f t="shared" si="30"/>
        <v>124</v>
      </c>
      <c r="V184" s="10">
        <f t="shared" si="31"/>
        <v>5055</v>
      </c>
      <c r="W184" s="11">
        <v>5054.2749999999996</v>
      </c>
      <c r="X184" s="12">
        <f t="shared" si="32"/>
        <v>123.27499999999964</v>
      </c>
      <c r="Y184" s="13">
        <f t="shared" si="33"/>
        <v>2.5000000000000001E-2</v>
      </c>
      <c r="Z184" s="14" t="str">
        <f t="shared" si="34"/>
        <v>0.00%-8.40%</v>
      </c>
      <c r="AA184" s="15"/>
      <c r="AB184" s="15"/>
      <c r="AC184" s="15"/>
      <c r="AD184" s="16"/>
      <c r="AE184" s="8">
        <f t="shared" si="35"/>
        <v>0</v>
      </c>
      <c r="AF184" s="17">
        <f t="shared" si="36"/>
        <v>5054.2749999999996</v>
      </c>
      <c r="AG184" s="18">
        <f t="shared" si="37"/>
        <v>123.27499999999964</v>
      </c>
      <c r="AH184" s="19">
        <f t="shared" si="38"/>
        <v>2.4999999999999911E-2</v>
      </c>
      <c r="AI184" s="20">
        <v>13.6</v>
      </c>
      <c r="AJ184" s="20">
        <v>450</v>
      </c>
      <c r="AK184" s="20"/>
      <c r="AL184" s="20">
        <v>688</v>
      </c>
      <c r="AM184" s="20">
        <f t="shared" si="39"/>
        <v>74826.14</v>
      </c>
      <c r="AN184" s="7" t="s">
        <v>176</v>
      </c>
      <c r="AO184" s="20"/>
      <c r="AP184" s="21" t="s">
        <v>465</v>
      </c>
      <c r="AQ184" s="21"/>
      <c r="AR184" s="5" t="s">
        <v>466</v>
      </c>
      <c r="AS184" s="5" t="s">
        <v>164</v>
      </c>
      <c r="AT184" s="5" t="s">
        <v>59</v>
      </c>
      <c r="AU184" s="20"/>
      <c r="AV184" s="21"/>
      <c r="AW184" s="21"/>
      <c r="AX184" s="21"/>
    </row>
    <row r="185" spans="1:50" s="55" customFormat="1">
      <c r="A185" s="86" t="s">
        <v>318</v>
      </c>
      <c r="B185" s="5">
        <v>15018699</v>
      </c>
      <c r="C185" s="5" t="s">
        <v>554</v>
      </c>
      <c r="D185" s="5" t="s">
        <v>321</v>
      </c>
      <c r="E185" s="5" t="s">
        <v>52</v>
      </c>
      <c r="F185" s="5" t="s">
        <v>62</v>
      </c>
      <c r="G185" s="5" t="s">
        <v>202</v>
      </c>
      <c r="H185" s="5" t="s">
        <v>464</v>
      </c>
      <c r="I185" s="6">
        <v>43282</v>
      </c>
      <c r="J185" s="5" t="s">
        <v>336</v>
      </c>
      <c r="K185" s="5" t="s">
        <v>511</v>
      </c>
      <c r="L185" s="5" t="s">
        <v>324</v>
      </c>
      <c r="M185" s="7">
        <v>6</v>
      </c>
      <c r="N185" s="7" t="s">
        <v>176</v>
      </c>
      <c r="O185" s="8">
        <v>4887</v>
      </c>
      <c r="P185" s="9">
        <v>0.02</v>
      </c>
      <c r="Q185" s="10">
        <f t="shared" si="27"/>
        <v>98</v>
      </c>
      <c r="R185" s="9">
        <v>5.0000000000000001E-3</v>
      </c>
      <c r="S185" s="10">
        <f t="shared" si="28"/>
        <v>24</v>
      </c>
      <c r="T185" s="9">
        <f t="shared" si="29"/>
        <v>2.4964190710047063E-2</v>
      </c>
      <c r="U185" s="10">
        <f t="shared" si="30"/>
        <v>122</v>
      </c>
      <c r="V185" s="10">
        <f t="shared" si="31"/>
        <v>5009</v>
      </c>
      <c r="W185" s="11">
        <v>4935.87</v>
      </c>
      <c r="X185" s="12">
        <f t="shared" si="32"/>
        <v>48.869999999999891</v>
      </c>
      <c r="Y185" s="13">
        <f t="shared" si="33"/>
        <v>0.01</v>
      </c>
      <c r="Z185" s="14" t="str">
        <f t="shared" si="34"/>
        <v>0.00%-8.40%</v>
      </c>
      <c r="AA185" s="15"/>
      <c r="AB185" s="15"/>
      <c r="AC185" s="15"/>
      <c r="AD185" s="16"/>
      <c r="AE185" s="8">
        <f t="shared" si="35"/>
        <v>0</v>
      </c>
      <c r="AF185" s="17">
        <f t="shared" si="36"/>
        <v>4935.87</v>
      </c>
      <c r="AG185" s="18">
        <f t="shared" si="37"/>
        <v>48.869999999999891</v>
      </c>
      <c r="AH185" s="19">
        <f t="shared" si="38"/>
        <v>1.0000000000000009E-2</v>
      </c>
      <c r="AI185" s="20">
        <v>13.6</v>
      </c>
      <c r="AJ185" s="20">
        <v>450</v>
      </c>
      <c r="AK185" s="20"/>
      <c r="AL185" s="20">
        <v>688</v>
      </c>
      <c r="AM185" s="20">
        <f t="shared" si="39"/>
        <v>73215.831999999995</v>
      </c>
      <c r="AN185" s="7" t="s">
        <v>176</v>
      </c>
      <c r="AO185" s="20"/>
      <c r="AP185" s="21" t="s">
        <v>465</v>
      </c>
      <c r="AQ185" s="21"/>
      <c r="AR185" s="5" t="s">
        <v>466</v>
      </c>
      <c r="AS185" s="5" t="s">
        <v>164</v>
      </c>
      <c r="AT185" s="5" t="s">
        <v>59</v>
      </c>
      <c r="AU185" s="20"/>
      <c r="AV185" s="21"/>
      <c r="AW185" s="21"/>
      <c r="AX185" s="21"/>
    </row>
    <row r="186" spans="1:50" s="55" customFormat="1">
      <c r="A186" s="86" t="s">
        <v>318</v>
      </c>
      <c r="B186" s="5">
        <v>15004159</v>
      </c>
      <c r="C186" s="5" t="s">
        <v>555</v>
      </c>
      <c r="D186" s="5" t="s">
        <v>321</v>
      </c>
      <c r="E186" s="5" t="s">
        <v>52</v>
      </c>
      <c r="F186" s="5" t="s">
        <v>62</v>
      </c>
      <c r="G186" s="5" t="s">
        <v>202</v>
      </c>
      <c r="H186" s="5" t="s">
        <v>464</v>
      </c>
      <c r="I186" s="6">
        <v>40422</v>
      </c>
      <c r="J186" s="5" t="s">
        <v>336</v>
      </c>
      <c r="K186" s="5" t="s">
        <v>511</v>
      </c>
      <c r="L186" s="5" t="s">
        <v>324</v>
      </c>
      <c r="M186" s="7">
        <v>6</v>
      </c>
      <c r="N186" s="7" t="s">
        <v>176</v>
      </c>
      <c r="O186" s="8">
        <v>4869</v>
      </c>
      <c r="P186" s="9">
        <v>0.02</v>
      </c>
      <c r="Q186" s="10">
        <f t="shared" si="27"/>
        <v>97</v>
      </c>
      <c r="R186" s="9">
        <v>5.0000000000000001E-3</v>
      </c>
      <c r="S186" s="10">
        <f t="shared" si="28"/>
        <v>24</v>
      </c>
      <c r="T186" s="9">
        <f t="shared" si="29"/>
        <v>2.4851098788252209E-2</v>
      </c>
      <c r="U186" s="10">
        <f t="shared" si="30"/>
        <v>121</v>
      </c>
      <c r="V186" s="10">
        <f t="shared" si="31"/>
        <v>4990</v>
      </c>
      <c r="W186" s="11">
        <v>4869</v>
      </c>
      <c r="X186" s="12">
        <f t="shared" si="32"/>
        <v>0</v>
      </c>
      <c r="Y186" s="13">
        <f t="shared" si="33"/>
        <v>0</v>
      </c>
      <c r="Z186" s="14" t="str">
        <f t="shared" si="34"/>
        <v>0.00%-8.40%</v>
      </c>
      <c r="AA186" s="15"/>
      <c r="AB186" s="15"/>
      <c r="AC186" s="15"/>
      <c r="AD186" s="16"/>
      <c r="AE186" s="8">
        <f t="shared" si="35"/>
        <v>0</v>
      </c>
      <c r="AF186" s="17">
        <f t="shared" si="36"/>
        <v>4869</v>
      </c>
      <c r="AG186" s="18">
        <f t="shared" si="37"/>
        <v>0</v>
      </c>
      <c r="AH186" s="19">
        <f t="shared" si="38"/>
        <v>0</v>
      </c>
      <c r="AI186" s="20">
        <v>13.6</v>
      </c>
      <c r="AJ186" s="20">
        <v>450</v>
      </c>
      <c r="AK186" s="20"/>
      <c r="AL186" s="20">
        <v>688</v>
      </c>
      <c r="AM186" s="20">
        <f t="shared" si="39"/>
        <v>72306.399999999994</v>
      </c>
      <c r="AN186" s="7" t="s">
        <v>176</v>
      </c>
      <c r="AO186" s="20"/>
      <c r="AP186" s="21" t="s">
        <v>97</v>
      </c>
      <c r="AQ186" s="21" t="s">
        <v>97</v>
      </c>
      <c r="AR186" s="5" t="s">
        <v>466</v>
      </c>
      <c r="AS186" s="5" t="s">
        <v>164</v>
      </c>
      <c r="AT186" s="5" t="s">
        <v>59</v>
      </c>
      <c r="AU186" s="20"/>
      <c r="AV186" s="21"/>
      <c r="AW186" s="21"/>
      <c r="AX186" s="21"/>
    </row>
    <row r="187" spans="1:50" s="55" customFormat="1">
      <c r="A187" s="86" t="s">
        <v>318</v>
      </c>
      <c r="B187" s="5">
        <v>15016877</v>
      </c>
      <c r="C187" s="5" t="s">
        <v>556</v>
      </c>
      <c r="D187" s="5" t="s">
        <v>321</v>
      </c>
      <c r="E187" s="5" t="s">
        <v>52</v>
      </c>
      <c r="F187" s="5" t="s">
        <v>62</v>
      </c>
      <c r="G187" s="5" t="s">
        <v>202</v>
      </c>
      <c r="H187" s="5" t="s">
        <v>464</v>
      </c>
      <c r="I187" s="6">
        <v>42948</v>
      </c>
      <c r="J187" s="5" t="s">
        <v>336</v>
      </c>
      <c r="K187" s="5" t="s">
        <v>548</v>
      </c>
      <c r="L187" s="5" t="s">
        <v>324</v>
      </c>
      <c r="M187" s="7">
        <v>6</v>
      </c>
      <c r="N187" s="7" t="s">
        <v>176</v>
      </c>
      <c r="O187" s="8">
        <v>4501</v>
      </c>
      <c r="P187" s="9">
        <v>0.02</v>
      </c>
      <c r="Q187" s="10">
        <f t="shared" si="27"/>
        <v>90</v>
      </c>
      <c r="R187" s="9">
        <v>5.0000000000000001E-3</v>
      </c>
      <c r="S187" s="10">
        <f t="shared" si="28"/>
        <v>23</v>
      </c>
      <c r="T187" s="9">
        <f t="shared" si="29"/>
        <v>2.5105532103976893E-2</v>
      </c>
      <c r="U187" s="10">
        <f t="shared" si="30"/>
        <v>113</v>
      </c>
      <c r="V187" s="10">
        <f t="shared" si="31"/>
        <v>4614</v>
      </c>
      <c r="W187" s="11">
        <v>4546.01</v>
      </c>
      <c r="X187" s="12">
        <f t="shared" si="32"/>
        <v>45.010000000000218</v>
      </c>
      <c r="Y187" s="13">
        <f t="shared" si="33"/>
        <v>0.01</v>
      </c>
      <c r="Z187" s="14" t="str">
        <f t="shared" si="34"/>
        <v>0.00%-8.40%</v>
      </c>
      <c r="AA187" s="15"/>
      <c r="AB187" s="15"/>
      <c r="AC187" s="15"/>
      <c r="AD187" s="16"/>
      <c r="AE187" s="8">
        <f t="shared" si="35"/>
        <v>0</v>
      </c>
      <c r="AF187" s="17">
        <f t="shared" si="36"/>
        <v>4546.01</v>
      </c>
      <c r="AG187" s="18">
        <f t="shared" si="37"/>
        <v>45.010000000000218</v>
      </c>
      <c r="AH187" s="19">
        <f t="shared" si="38"/>
        <v>1.0000000000000009E-2</v>
      </c>
      <c r="AI187" s="20">
        <v>13.6</v>
      </c>
      <c r="AJ187" s="20">
        <v>450</v>
      </c>
      <c r="AK187" s="20"/>
      <c r="AL187" s="20">
        <v>688</v>
      </c>
      <c r="AM187" s="20">
        <f t="shared" si="39"/>
        <v>67913.736000000004</v>
      </c>
      <c r="AN187" s="7" t="s">
        <v>176</v>
      </c>
      <c r="AO187" s="20"/>
      <c r="AP187" s="21" t="s">
        <v>465</v>
      </c>
      <c r="AQ187" s="21"/>
      <c r="AR187" s="5" t="s">
        <v>466</v>
      </c>
      <c r="AS187" s="5" t="s">
        <v>164</v>
      </c>
      <c r="AT187" s="5" t="s">
        <v>59</v>
      </c>
      <c r="AU187" s="20"/>
      <c r="AV187" s="21"/>
      <c r="AW187" s="21"/>
      <c r="AX187" s="21"/>
    </row>
    <row r="188" spans="1:50" s="55" customFormat="1">
      <c r="A188" s="86" t="s">
        <v>318</v>
      </c>
      <c r="B188" s="5">
        <v>15006040</v>
      </c>
      <c r="C188" s="5" t="s">
        <v>557</v>
      </c>
      <c r="D188" s="5" t="s">
        <v>321</v>
      </c>
      <c r="E188" s="5" t="s">
        <v>52</v>
      </c>
      <c r="F188" s="5" t="s">
        <v>62</v>
      </c>
      <c r="G188" s="5" t="s">
        <v>202</v>
      </c>
      <c r="H188" s="5" t="s">
        <v>464</v>
      </c>
      <c r="I188" s="6">
        <v>40940</v>
      </c>
      <c r="J188" s="5" t="s">
        <v>336</v>
      </c>
      <c r="K188" s="5" t="s">
        <v>511</v>
      </c>
      <c r="L188" s="5" t="s">
        <v>324</v>
      </c>
      <c r="M188" s="7">
        <v>6</v>
      </c>
      <c r="N188" s="7" t="s">
        <v>176</v>
      </c>
      <c r="O188" s="8">
        <v>5061</v>
      </c>
      <c r="P188" s="9">
        <v>0.02</v>
      </c>
      <c r="Q188" s="10">
        <f t="shared" si="27"/>
        <v>101</v>
      </c>
      <c r="R188" s="9">
        <v>5.0000000000000001E-3</v>
      </c>
      <c r="S188" s="10">
        <f t="shared" si="28"/>
        <v>25</v>
      </c>
      <c r="T188" s="9">
        <f t="shared" si="29"/>
        <v>2.4896265560165973E-2</v>
      </c>
      <c r="U188" s="10">
        <f t="shared" si="30"/>
        <v>126</v>
      </c>
      <c r="V188" s="10">
        <f t="shared" si="31"/>
        <v>5187</v>
      </c>
      <c r="W188" s="11">
        <v>5111.6099999999997</v>
      </c>
      <c r="X188" s="12">
        <f t="shared" si="32"/>
        <v>50.609999999999673</v>
      </c>
      <c r="Y188" s="13">
        <f t="shared" si="33"/>
        <v>0.01</v>
      </c>
      <c r="Z188" s="14" t="str">
        <f t="shared" si="34"/>
        <v>0.00%-8.40%</v>
      </c>
      <c r="AA188" s="15"/>
      <c r="AB188" s="15"/>
      <c r="AC188" s="15"/>
      <c r="AD188" s="16"/>
      <c r="AE188" s="8">
        <f t="shared" si="35"/>
        <v>0</v>
      </c>
      <c r="AF188" s="17">
        <f t="shared" si="36"/>
        <v>5111.6099999999997</v>
      </c>
      <c r="AG188" s="18">
        <f t="shared" si="37"/>
        <v>50.609999999999673</v>
      </c>
      <c r="AH188" s="19">
        <f t="shared" si="38"/>
        <v>1.0000000000000009E-2</v>
      </c>
      <c r="AI188" s="20">
        <v>13.6</v>
      </c>
      <c r="AJ188" s="20">
        <v>450</v>
      </c>
      <c r="AK188" s="20"/>
      <c r="AL188" s="20">
        <v>688</v>
      </c>
      <c r="AM188" s="20">
        <f t="shared" si="39"/>
        <v>75605.895999999993</v>
      </c>
      <c r="AN188" s="7" t="s">
        <v>176</v>
      </c>
      <c r="AO188" s="20"/>
      <c r="AP188" s="21" t="s">
        <v>465</v>
      </c>
      <c r="AQ188" s="21"/>
      <c r="AR188" s="5" t="s">
        <v>466</v>
      </c>
      <c r="AS188" s="5" t="s">
        <v>164</v>
      </c>
      <c r="AT188" s="5" t="s">
        <v>59</v>
      </c>
      <c r="AU188" s="20"/>
      <c r="AV188" s="21"/>
      <c r="AW188" s="21"/>
      <c r="AX188" s="21"/>
    </row>
    <row r="189" spans="1:50" s="55" customFormat="1">
      <c r="A189" s="86" t="s">
        <v>318</v>
      </c>
      <c r="B189" s="5">
        <v>15008850</v>
      </c>
      <c r="C189" s="5" t="s">
        <v>558</v>
      </c>
      <c r="D189" s="5" t="s">
        <v>321</v>
      </c>
      <c r="E189" s="5" t="s">
        <v>52</v>
      </c>
      <c r="F189" s="5" t="s">
        <v>62</v>
      </c>
      <c r="G189" s="5" t="s">
        <v>202</v>
      </c>
      <c r="H189" s="5" t="s">
        <v>464</v>
      </c>
      <c r="I189" s="6">
        <v>41426</v>
      </c>
      <c r="J189" s="5" t="s">
        <v>336</v>
      </c>
      <c r="K189" s="5" t="s">
        <v>511</v>
      </c>
      <c r="L189" s="5" t="s">
        <v>324</v>
      </c>
      <c r="M189" s="7">
        <v>6</v>
      </c>
      <c r="N189" s="7" t="s">
        <v>176</v>
      </c>
      <c r="O189" s="8">
        <v>5006</v>
      </c>
      <c r="P189" s="9">
        <v>0.02</v>
      </c>
      <c r="Q189" s="10">
        <f t="shared" si="27"/>
        <v>100</v>
      </c>
      <c r="R189" s="9">
        <v>5.0000000000000001E-3</v>
      </c>
      <c r="S189" s="10">
        <f t="shared" si="28"/>
        <v>25</v>
      </c>
      <c r="T189" s="9">
        <f t="shared" si="29"/>
        <v>2.4970035956851776E-2</v>
      </c>
      <c r="U189" s="10">
        <f t="shared" si="30"/>
        <v>125</v>
      </c>
      <c r="V189" s="10">
        <f t="shared" si="31"/>
        <v>5131</v>
      </c>
      <c r="W189" s="11">
        <v>5131.1499999999996</v>
      </c>
      <c r="X189" s="12">
        <f t="shared" si="32"/>
        <v>125.14999999999964</v>
      </c>
      <c r="Y189" s="13">
        <f t="shared" si="33"/>
        <v>2.5000000000000001E-2</v>
      </c>
      <c r="Z189" s="14" t="str">
        <f t="shared" si="34"/>
        <v>0.00%-8.40%</v>
      </c>
      <c r="AA189" s="15"/>
      <c r="AB189" s="15"/>
      <c r="AC189" s="15"/>
      <c r="AD189" s="16"/>
      <c r="AE189" s="8">
        <f t="shared" si="35"/>
        <v>0</v>
      </c>
      <c r="AF189" s="17">
        <f t="shared" si="36"/>
        <v>5131.1499999999996</v>
      </c>
      <c r="AG189" s="18">
        <f t="shared" si="37"/>
        <v>125.14999999999964</v>
      </c>
      <c r="AH189" s="19">
        <f t="shared" si="38"/>
        <v>2.4999999999999911E-2</v>
      </c>
      <c r="AI189" s="20">
        <v>13.6</v>
      </c>
      <c r="AJ189" s="20">
        <v>450</v>
      </c>
      <c r="AK189" s="20"/>
      <c r="AL189" s="20">
        <v>688</v>
      </c>
      <c r="AM189" s="20">
        <f t="shared" si="39"/>
        <v>75871.64</v>
      </c>
      <c r="AN189" s="7" t="s">
        <v>176</v>
      </c>
      <c r="AO189" s="20"/>
      <c r="AP189" s="21" t="s">
        <v>465</v>
      </c>
      <c r="AQ189" s="21"/>
      <c r="AR189" s="5" t="s">
        <v>466</v>
      </c>
      <c r="AS189" s="5" t="s">
        <v>164</v>
      </c>
      <c r="AT189" s="5" t="s">
        <v>59</v>
      </c>
      <c r="AU189" s="20"/>
      <c r="AV189" s="21"/>
      <c r="AW189" s="21"/>
      <c r="AX189" s="21"/>
    </row>
    <row r="190" spans="1:50" s="55" customFormat="1">
      <c r="A190" s="86" t="s">
        <v>318</v>
      </c>
      <c r="B190" s="5">
        <v>15003677</v>
      </c>
      <c r="C190" s="5" t="s">
        <v>559</v>
      </c>
      <c r="D190" s="5" t="s">
        <v>321</v>
      </c>
      <c r="E190" s="5" t="s">
        <v>52</v>
      </c>
      <c r="F190" s="5" t="s">
        <v>62</v>
      </c>
      <c r="G190" s="5" t="s">
        <v>202</v>
      </c>
      <c r="H190" s="5" t="s">
        <v>464</v>
      </c>
      <c r="I190" s="6">
        <v>40360</v>
      </c>
      <c r="J190" s="5" t="s">
        <v>336</v>
      </c>
      <c r="K190" s="5" t="s">
        <v>511</v>
      </c>
      <c r="L190" s="5" t="s">
        <v>324</v>
      </c>
      <c r="M190" s="7">
        <v>6</v>
      </c>
      <c r="N190" s="7" t="s">
        <v>176</v>
      </c>
      <c r="O190" s="8">
        <v>5701</v>
      </c>
      <c r="P190" s="9">
        <v>0.02</v>
      </c>
      <c r="Q190" s="10">
        <f t="shared" si="27"/>
        <v>114</v>
      </c>
      <c r="R190" s="9">
        <v>5.0000000000000001E-3</v>
      </c>
      <c r="S190" s="10">
        <f t="shared" si="28"/>
        <v>29</v>
      </c>
      <c r="T190" s="9">
        <f t="shared" si="29"/>
        <v>2.5083318716014734E-2</v>
      </c>
      <c r="U190" s="10">
        <f t="shared" si="30"/>
        <v>143</v>
      </c>
      <c r="V190" s="10">
        <f t="shared" si="31"/>
        <v>5844</v>
      </c>
      <c r="W190" s="11">
        <v>5929.04</v>
      </c>
      <c r="X190" s="12">
        <f t="shared" si="32"/>
        <v>228.03999999999996</v>
      </c>
      <c r="Y190" s="13">
        <f t="shared" si="33"/>
        <v>0.04</v>
      </c>
      <c r="Z190" s="14" t="str">
        <f t="shared" si="34"/>
        <v>0.00%-8.40%</v>
      </c>
      <c r="AA190" s="15"/>
      <c r="AB190" s="15"/>
      <c r="AC190" s="15"/>
      <c r="AD190" s="16"/>
      <c r="AE190" s="8">
        <f t="shared" si="35"/>
        <v>0</v>
      </c>
      <c r="AF190" s="17">
        <f t="shared" si="36"/>
        <v>5929.04</v>
      </c>
      <c r="AG190" s="18">
        <f t="shared" si="37"/>
        <v>228.03999999999996</v>
      </c>
      <c r="AH190" s="19">
        <f t="shared" si="38"/>
        <v>4.0000000000000036E-2</v>
      </c>
      <c r="AI190" s="20">
        <v>13.6</v>
      </c>
      <c r="AJ190" s="20">
        <v>450</v>
      </c>
      <c r="AK190" s="20"/>
      <c r="AL190" s="20">
        <v>688</v>
      </c>
      <c r="AM190" s="20">
        <f t="shared" si="39"/>
        <v>86722.944000000003</v>
      </c>
      <c r="AN190" s="7" t="s">
        <v>176</v>
      </c>
      <c r="AO190" s="20"/>
      <c r="AP190" s="21" t="s">
        <v>525</v>
      </c>
      <c r="AQ190" s="21"/>
      <c r="AR190" s="5" t="s">
        <v>466</v>
      </c>
      <c r="AS190" s="5" t="s">
        <v>164</v>
      </c>
      <c r="AT190" s="5" t="s">
        <v>59</v>
      </c>
      <c r="AU190" s="20"/>
      <c r="AV190" s="21"/>
      <c r="AW190" s="21"/>
      <c r="AX190" s="21"/>
    </row>
    <row r="191" spans="1:50" s="55" customFormat="1">
      <c r="A191" s="86" t="s">
        <v>318</v>
      </c>
      <c r="B191" s="5">
        <v>15012560</v>
      </c>
      <c r="C191" s="5" t="s">
        <v>560</v>
      </c>
      <c r="D191" s="5" t="s">
        <v>321</v>
      </c>
      <c r="E191" s="5" t="s">
        <v>52</v>
      </c>
      <c r="F191" s="5" t="s">
        <v>62</v>
      </c>
      <c r="G191" s="5" t="s">
        <v>202</v>
      </c>
      <c r="H191" s="5" t="s">
        <v>464</v>
      </c>
      <c r="I191" s="6">
        <v>41791</v>
      </c>
      <c r="J191" s="5" t="s">
        <v>336</v>
      </c>
      <c r="K191" s="5" t="s">
        <v>511</v>
      </c>
      <c r="L191" s="5" t="s">
        <v>324</v>
      </c>
      <c r="M191" s="7">
        <v>6</v>
      </c>
      <c r="N191" s="7" t="s">
        <v>176</v>
      </c>
      <c r="O191" s="8">
        <v>4575</v>
      </c>
      <c r="P191" s="9">
        <v>0.02</v>
      </c>
      <c r="Q191" s="10">
        <f t="shared" si="27"/>
        <v>92</v>
      </c>
      <c r="R191" s="9">
        <v>5.0000000000000001E-3</v>
      </c>
      <c r="S191" s="10">
        <f t="shared" si="28"/>
        <v>23</v>
      </c>
      <c r="T191" s="9">
        <f t="shared" si="29"/>
        <v>2.5136612021857924E-2</v>
      </c>
      <c r="U191" s="10">
        <f t="shared" si="30"/>
        <v>115</v>
      </c>
      <c r="V191" s="10">
        <f t="shared" si="31"/>
        <v>4690</v>
      </c>
      <c r="W191" s="11">
        <v>4575</v>
      </c>
      <c r="X191" s="12">
        <f t="shared" si="32"/>
        <v>0</v>
      </c>
      <c r="Y191" s="13">
        <f t="shared" si="33"/>
        <v>0</v>
      </c>
      <c r="Z191" s="14" t="str">
        <f t="shared" si="34"/>
        <v>0.00%-8.40%</v>
      </c>
      <c r="AA191" s="15"/>
      <c r="AB191" s="15"/>
      <c r="AC191" s="15"/>
      <c r="AD191" s="16"/>
      <c r="AE191" s="8">
        <f t="shared" si="35"/>
        <v>0</v>
      </c>
      <c r="AF191" s="17">
        <f t="shared" si="36"/>
        <v>4575</v>
      </c>
      <c r="AG191" s="18">
        <f t="shared" si="37"/>
        <v>0</v>
      </c>
      <c r="AH191" s="19">
        <f t="shared" si="38"/>
        <v>0</v>
      </c>
      <c r="AI191" s="20">
        <v>13.6</v>
      </c>
      <c r="AJ191" s="20">
        <v>450</v>
      </c>
      <c r="AK191" s="20"/>
      <c r="AL191" s="20">
        <v>688</v>
      </c>
      <c r="AM191" s="20">
        <f t="shared" si="39"/>
        <v>68308</v>
      </c>
      <c r="AN191" s="7" t="s">
        <v>176</v>
      </c>
      <c r="AO191" s="20"/>
      <c r="AP191" s="21" t="s">
        <v>487</v>
      </c>
      <c r="AQ191" s="21" t="s">
        <v>496</v>
      </c>
      <c r="AR191" s="5" t="s">
        <v>466</v>
      </c>
      <c r="AS191" s="5" t="s">
        <v>164</v>
      </c>
      <c r="AT191" s="5" t="s">
        <v>59</v>
      </c>
      <c r="AU191" s="20"/>
      <c r="AV191" s="21"/>
      <c r="AW191" s="21"/>
      <c r="AX191" s="21"/>
    </row>
    <row r="192" spans="1:50" s="55" customFormat="1">
      <c r="A192" s="86" t="s">
        <v>318</v>
      </c>
      <c r="B192" s="5">
        <v>15007323</v>
      </c>
      <c r="C192" s="5" t="s">
        <v>561</v>
      </c>
      <c r="D192" s="5" t="s">
        <v>321</v>
      </c>
      <c r="E192" s="5" t="s">
        <v>52</v>
      </c>
      <c r="F192" s="5" t="s">
        <v>62</v>
      </c>
      <c r="G192" s="5" t="s">
        <v>202</v>
      </c>
      <c r="H192" s="5" t="s">
        <v>464</v>
      </c>
      <c r="I192" s="6">
        <v>41061</v>
      </c>
      <c r="J192" s="5" t="s">
        <v>336</v>
      </c>
      <c r="K192" s="5" t="s">
        <v>511</v>
      </c>
      <c r="L192" s="5" t="s">
        <v>324</v>
      </c>
      <c r="M192" s="7">
        <v>6</v>
      </c>
      <c r="N192" s="7" t="s">
        <v>176</v>
      </c>
      <c r="O192" s="8">
        <v>5302</v>
      </c>
      <c r="P192" s="9">
        <v>0.02</v>
      </c>
      <c r="Q192" s="10">
        <f t="shared" si="27"/>
        <v>106</v>
      </c>
      <c r="R192" s="9">
        <v>5.0000000000000001E-3</v>
      </c>
      <c r="S192" s="10">
        <f t="shared" si="28"/>
        <v>27</v>
      </c>
      <c r="T192" s="9">
        <f t="shared" si="29"/>
        <v>2.5084873632591476E-2</v>
      </c>
      <c r="U192" s="10">
        <f t="shared" si="30"/>
        <v>133</v>
      </c>
      <c r="V192" s="10">
        <f t="shared" si="31"/>
        <v>5435</v>
      </c>
      <c r="W192" s="11">
        <v>5434.55</v>
      </c>
      <c r="X192" s="12">
        <f t="shared" si="32"/>
        <v>132.55000000000018</v>
      </c>
      <c r="Y192" s="13">
        <f t="shared" si="33"/>
        <v>2.5000000000000001E-2</v>
      </c>
      <c r="Z192" s="14" t="str">
        <f t="shared" si="34"/>
        <v>0.00%-8.40%</v>
      </c>
      <c r="AA192" s="15"/>
      <c r="AB192" s="15"/>
      <c r="AC192" s="15"/>
      <c r="AD192" s="16"/>
      <c r="AE192" s="8">
        <f t="shared" si="35"/>
        <v>0</v>
      </c>
      <c r="AF192" s="17">
        <f t="shared" si="36"/>
        <v>5434.55</v>
      </c>
      <c r="AG192" s="18">
        <f t="shared" si="37"/>
        <v>132.55000000000018</v>
      </c>
      <c r="AH192" s="19">
        <f t="shared" si="38"/>
        <v>2.5000000000000133E-2</v>
      </c>
      <c r="AI192" s="20">
        <v>13.6</v>
      </c>
      <c r="AJ192" s="20">
        <v>450</v>
      </c>
      <c r="AK192" s="20"/>
      <c r="AL192" s="20">
        <v>688</v>
      </c>
      <c r="AM192" s="20">
        <f t="shared" si="39"/>
        <v>79997.88</v>
      </c>
      <c r="AN192" s="7" t="s">
        <v>176</v>
      </c>
      <c r="AO192" s="20"/>
      <c r="AP192" s="21" t="s">
        <v>465</v>
      </c>
      <c r="AQ192" s="21"/>
      <c r="AR192" s="5" t="s">
        <v>466</v>
      </c>
      <c r="AS192" s="5" t="s">
        <v>164</v>
      </c>
      <c r="AT192" s="5" t="s">
        <v>59</v>
      </c>
      <c r="AU192" s="20"/>
      <c r="AV192" s="21"/>
      <c r="AW192" s="21"/>
      <c r="AX192" s="21"/>
    </row>
    <row r="193" spans="1:50" s="55" customFormat="1">
      <c r="A193" s="86" t="s">
        <v>318</v>
      </c>
      <c r="B193" s="5">
        <v>15013251</v>
      </c>
      <c r="C193" s="5" t="s">
        <v>562</v>
      </c>
      <c r="D193" s="5" t="s">
        <v>321</v>
      </c>
      <c r="E193" s="5" t="s">
        <v>52</v>
      </c>
      <c r="F193" s="5" t="s">
        <v>62</v>
      </c>
      <c r="G193" s="5" t="s">
        <v>202</v>
      </c>
      <c r="H193" s="5" t="s">
        <v>464</v>
      </c>
      <c r="I193" s="6">
        <v>41852</v>
      </c>
      <c r="J193" s="5" t="s">
        <v>336</v>
      </c>
      <c r="K193" s="5" t="s">
        <v>511</v>
      </c>
      <c r="L193" s="5" t="s">
        <v>324</v>
      </c>
      <c r="M193" s="7">
        <v>6</v>
      </c>
      <c r="N193" s="7" t="s">
        <v>176</v>
      </c>
      <c r="O193" s="8">
        <v>4624</v>
      </c>
      <c r="P193" s="9">
        <v>0.02</v>
      </c>
      <c r="Q193" s="10">
        <f t="shared" si="27"/>
        <v>92</v>
      </c>
      <c r="R193" s="9">
        <v>5.0000000000000001E-3</v>
      </c>
      <c r="S193" s="10">
        <f t="shared" si="28"/>
        <v>23</v>
      </c>
      <c r="T193" s="9">
        <f t="shared" si="29"/>
        <v>2.4870242214532871E-2</v>
      </c>
      <c r="U193" s="10">
        <f t="shared" si="30"/>
        <v>115</v>
      </c>
      <c r="V193" s="10">
        <f t="shared" si="31"/>
        <v>4739</v>
      </c>
      <c r="W193" s="11">
        <v>4624</v>
      </c>
      <c r="X193" s="12">
        <f t="shared" si="32"/>
        <v>0</v>
      </c>
      <c r="Y193" s="13">
        <f t="shared" si="33"/>
        <v>0</v>
      </c>
      <c r="Z193" s="14" t="str">
        <f t="shared" si="34"/>
        <v>0.00%-8.40%</v>
      </c>
      <c r="AA193" s="15"/>
      <c r="AB193" s="15"/>
      <c r="AC193" s="15"/>
      <c r="AD193" s="16"/>
      <c r="AE193" s="8">
        <f t="shared" si="35"/>
        <v>0</v>
      </c>
      <c r="AF193" s="17">
        <f t="shared" si="36"/>
        <v>4624</v>
      </c>
      <c r="AG193" s="18">
        <f t="shared" si="37"/>
        <v>0</v>
      </c>
      <c r="AH193" s="19">
        <f t="shared" si="38"/>
        <v>0</v>
      </c>
      <c r="AI193" s="20">
        <v>13.6</v>
      </c>
      <c r="AJ193" s="20">
        <v>450</v>
      </c>
      <c r="AK193" s="20"/>
      <c r="AL193" s="20">
        <v>688</v>
      </c>
      <c r="AM193" s="20">
        <f t="shared" si="39"/>
        <v>68974.399999999994</v>
      </c>
      <c r="AN193" s="7" t="s">
        <v>176</v>
      </c>
      <c r="AO193" s="20"/>
      <c r="AP193" s="21" t="s">
        <v>487</v>
      </c>
      <c r="AQ193" s="21" t="s">
        <v>496</v>
      </c>
      <c r="AR193" s="5" t="s">
        <v>466</v>
      </c>
      <c r="AS193" s="5" t="s">
        <v>164</v>
      </c>
      <c r="AT193" s="5" t="s">
        <v>59</v>
      </c>
      <c r="AU193" s="20"/>
      <c r="AV193" s="21"/>
      <c r="AW193" s="21"/>
      <c r="AX193" s="21"/>
    </row>
    <row r="194" spans="1:50" s="55" customFormat="1">
      <c r="A194" s="86" t="s">
        <v>318</v>
      </c>
      <c r="B194" s="5">
        <v>15017051</v>
      </c>
      <c r="C194" s="5" t="s">
        <v>563</v>
      </c>
      <c r="D194" s="5" t="s">
        <v>321</v>
      </c>
      <c r="E194" s="5" t="s">
        <v>52</v>
      </c>
      <c r="F194" s="5" t="s">
        <v>62</v>
      </c>
      <c r="G194" s="5" t="s">
        <v>202</v>
      </c>
      <c r="H194" s="5" t="s">
        <v>464</v>
      </c>
      <c r="I194" s="6">
        <v>42948</v>
      </c>
      <c r="J194" s="5" t="s">
        <v>336</v>
      </c>
      <c r="K194" s="5" t="s">
        <v>511</v>
      </c>
      <c r="L194" s="5" t="s">
        <v>324</v>
      </c>
      <c r="M194" s="7">
        <v>6</v>
      </c>
      <c r="N194" s="7" t="s">
        <v>176</v>
      </c>
      <c r="O194" s="8">
        <v>5007</v>
      </c>
      <c r="P194" s="9">
        <v>0.02</v>
      </c>
      <c r="Q194" s="10">
        <f t="shared" si="27"/>
        <v>100</v>
      </c>
      <c r="R194" s="9">
        <v>5.0000000000000001E-3</v>
      </c>
      <c r="S194" s="10">
        <f t="shared" si="28"/>
        <v>25</v>
      </c>
      <c r="T194" s="9">
        <f t="shared" si="29"/>
        <v>2.4965048931495905E-2</v>
      </c>
      <c r="U194" s="10">
        <f t="shared" si="30"/>
        <v>125</v>
      </c>
      <c r="V194" s="10">
        <f t="shared" si="31"/>
        <v>5132</v>
      </c>
      <c r="W194" s="11">
        <v>5132.1750000000002</v>
      </c>
      <c r="X194" s="12">
        <f t="shared" si="32"/>
        <v>125.17500000000018</v>
      </c>
      <c r="Y194" s="13">
        <f t="shared" si="33"/>
        <v>2.5000000000000001E-2</v>
      </c>
      <c r="Z194" s="14" t="str">
        <f t="shared" si="34"/>
        <v>0.00%-8.40%</v>
      </c>
      <c r="AA194" s="15"/>
      <c r="AB194" s="15"/>
      <c r="AC194" s="15"/>
      <c r="AD194" s="16"/>
      <c r="AE194" s="8">
        <f t="shared" si="35"/>
        <v>0</v>
      </c>
      <c r="AF194" s="17">
        <f t="shared" si="36"/>
        <v>5132.1750000000002</v>
      </c>
      <c r="AG194" s="18">
        <f t="shared" si="37"/>
        <v>125.17500000000018</v>
      </c>
      <c r="AH194" s="19">
        <f t="shared" si="38"/>
        <v>2.5000000000000133E-2</v>
      </c>
      <c r="AI194" s="20">
        <v>13.6</v>
      </c>
      <c r="AJ194" s="20">
        <v>450</v>
      </c>
      <c r="AK194" s="20"/>
      <c r="AL194" s="20">
        <v>688</v>
      </c>
      <c r="AM194" s="20">
        <f t="shared" si="39"/>
        <v>75885.58</v>
      </c>
      <c r="AN194" s="7" t="s">
        <v>176</v>
      </c>
      <c r="AO194" s="20"/>
      <c r="AP194" s="21" t="s">
        <v>465</v>
      </c>
      <c r="AQ194" s="21"/>
      <c r="AR194" s="5" t="s">
        <v>466</v>
      </c>
      <c r="AS194" s="5" t="s">
        <v>164</v>
      </c>
      <c r="AT194" s="5" t="s">
        <v>59</v>
      </c>
      <c r="AU194" s="20"/>
      <c r="AV194" s="21"/>
      <c r="AW194" s="21"/>
      <c r="AX194" s="21"/>
    </row>
    <row r="195" spans="1:50" s="55" customFormat="1">
      <c r="A195" s="86" t="s">
        <v>318</v>
      </c>
      <c r="B195" s="5">
        <v>15000533</v>
      </c>
      <c r="C195" s="5" t="s">
        <v>564</v>
      </c>
      <c r="D195" s="5" t="s">
        <v>321</v>
      </c>
      <c r="E195" s="5" t="s">
        <v>52</v>
      </c>
      <c r="F195" s="5" t="s">
        <v>62</v>
      </c>
      <c r="G195" s="5" t="s">
        <v>202</v>
      </c>
      <c r="H195" s="5" t="s">
        <v>464</v>
      </c>
      <c r="I195" s="6">
        <v>38838</v>
      </c>
      <c r="J195" s="5" t="s">
        <v>336</v>
      </c>
      <c r="K195" s="5" t="s">
        <v>548</v>
      </c>
      <c r="L195" s="5" t="s">
        <v>324</v>
      </c>
      <c r="M195" s="7">
        <v>6</v>
      </c>
      <c r="N195" s="7" t="s">
        <v>176</v>
      </c>
      <c r="O195" s="8">
        <v>5048</v>
      </c>
      <c r="P195" s="9">
        <v>0.02</v>
      </c>
      <c r="Q195" s="10">
        <f t="shared" si="27"/>
        <v>101</v>
      </c>
      <c r="R195" s="9">
        <v>5.0000000000000001E-3</v>
      </c>
      <c r="S195" s="10">
        <f t="shared" si="28"/>
        <v>25</v>
      </c>
      <c r="T195" s="9">
        <f t="shared" si="29"/>
        <v>2.496038034865293E-2</v>
      </c>
      <c r="U195" s="10">
        <f t="shared" si="30"/>
        <v>126</v>
      </c>
      <c r="V195" s="10">
        <f t="shared" si="31"/>
        <v>5174</v>
      </c>
      <c r="W195" s="11">
        <v>5300.4</v>
      </c>
      <c r="X195" s="12">
        <f t="shared" si="32"/>
        <v>252.39999999999964</v>
      </c>
      <c r="Y195" s="13">
        <f t="shared" si="33"/>
        <v>0.05</v>
      </c>
      <c r="Z195" s="14" t="str">
        <f t="shared" si="34"/>
        <v>0.00%-8.40%</v>
      </c>
      <c r="AA195" s="15"/>
      <c r="AB195" s="15"/>
      <c r="AC195" s="15"/>
      <c r="AD195" s="16"/>
      <c r="AE195" s="8">
        <f t="shared" si="35"/>
        <v>0</v>
      </c>
      <c r="AF195" s="17">
        <f t="shared" si="36"/>
        <v>5300.4</v>
      </c>
      <c r="AG195" s="18">
        <f t="shared" si="37"/>
        <v>252.39999999999964</v>
      </c>
      <c r="AH195" s="19">
        <f t="shared" si="38"/>
        <v>4.9999999999999822E-2</v>
      </c>
      <c r="AI195" s="20">
        <v>13.6</v>
      </c>
      <c r="AJ195" s="20">
        <v>450</v>
      </c>
      <c r="AK195" s="20"/>
      <c r="AL195" s="20">
        <v>688</v>
      </c>
      <c r="AM195" s="20">
        <f t="shared" si="39"/>
        <v>78173.439999999988</v>
      </c>
      <c r="AN195" s="7" t="s">
        <v>176</v>
      </c>
      <c r="AO195" s="20"/>
      <c r="AP195" s="21" t="s">
        <v>465</v>
      </c>
      <c r="AQ195" s="21"/>
      <c r="AR195" s="5" t="s">
        <v>466</v>
      </c>
      <c r="AS195" s="5" t="s">
        <v>164</v>
      </c>
      <c r="AT195" s="5" t="s">
        <v>59</v>
      </c>
      <c r="AU195" s="20"/>
      <c r="AV195" s="21"/>
      <c r="AW195" s="21"/>
      <c r="AX195" s="21"/>
    </row>
    <row r="196" spans="1:50" s="55" customFormat="1">
      <c r="A196" s="86" t="s">
        <v>318</v>
      </c>
      <c r="B196" s="5">
        <v>15001059</v>
      </c>
      <c r="C196" s="5" t="s">
        <v>565</v>
      </c>
      <c r="D196" s="5" t="s">
        <v>321</v>
      </c>
      <c r="E196" s="5" t="s">
        <v>52</v>
      </c>
      <c r="F196" s="5" t="s">
        <v>62</v>
      </c>
      <c r="G196" s="5" t="s">
        <v>202</v>
      </c>
      <c r="H196" s="5" t="s">
        <v>464</v>
      </c>
      <c r="I196" s="6">
        <v>39448</v>
      </c>
      <c r="J196" s="5" t="s">
        <v>336</v>
      </c>
      <c r="K196" s="5" t="s">
        <v>511</v>
      </c>
      <c r="L196" s="5" t="s">
        <v>324</v>
      </c>
      <c r="M196" s="7">
        <v>6</v>
      </c>
      <c r="N196" s="7" t="s">
        <v>176</v>
      </c>
      <c r="O196" s="8">
        <v>4474</v>
      </c>
      <c r="P196" s="9">
        <v>0.02</v>
      </c>
      <c r="Q196" s="10">
        <f t="shared" si="27"/>
        <v>89</v>
      </c>
      <c r="R196" s="9">
        <v>5.0000000000000001E-3</v>
      </c>
      <c r="S196" s="10">
        <f t="shared" si="28"/>
        <v>22</v>
      </c>
      <c r="T196" s="9">
        <f t="shared" si="29"/>
        <v>2.4810013410818059E-2</v>
      </c>
      <c r="U196" s="10">
        <f t="shared" si="30"/>
        <v>111</v>
      </c>
      <c r="V196" s="10">
        <f t="shared" si="31"/>
        <v>4585</v>
      </c>
      <c r="W196" s="11">
        <v>4585.8500000000004</v>
      </c>
      <c r="X196" s="12">
        <f t="shared" si="32"/>
        <v>111.85000000000036</v>
      </c>
      <c r="Y196" s="13">
        <f t="shared" si="33"/>
        <v>2.5000000000000001E-2</v>
      </c>
      <c r="Z196" s="14" t="str">
        <f t="shared" si="34"/>
        <v>0.00%-8.40%</v>
      </c>
      <c r="AA196" s="15"/>
      <c r="AB196" s="15"/>
      <c r="AC196" s="15"/>
      <c r="AD196" s="16"/>
      <c r="AE196" s="8">
        <f t="shared" si="35"/>
        <v>0</v>
      </c>
      <c r="AF196" s="17">
        <f t="shared" si="36"/>
        <v>4585.8500000000004</v>
      </c>
      <c r="AG196" s="18">
        <f t="shared" si="37"/>
        <v>111.85000000000036</v>
      </c>
      <c r="AH196" s="19">
        <f t="shared" si="38"/>
        <v>2.5000000000000133E-2</v>
      </c>
      <c r="AI196" s="20">
        <v>13.6</v>
      </c>
      <c r="AJ196" s="20">
        <v>450</v>
      </c>
      <c r="AK196" s="20"/>
      <c r="AL196" s="20">
        <v>688</v>
      </c>
      <c r="AM196" s="20">
        <f t="shared" si="39"/>
        <v>68455.56</v>
      </c>
      <c r="AN196" s="7" t="s">
        <v>176</v>
      </c>
      <c r="AO196" s="20"/>
      <c r="AP196" s="21" t="s">
        <v>465</v>
      </c>
      <c r="AQ196" s="21"/>
      <c r="AR196" s="5" t="s">
        <v>466</v>
      </c>
      <c r="AS196" s="5" t="s">
        <v>164</v>
      </c>
      <c r="AT196" s="5" t="s">
        <v>59</v>
      </c>
      <c r="AU196" s="20"/>
      <c r="AV196" s="21"/>
      <c r="AW196" s="21"/>
      <c r="AX196" s="21"/>
    </row>
    <row r="197" spans="1:50" s="55" customFormat="1">
      <c r="A197" s="86" t="s">
        <v>318</v>
      </c>
      <c r="B197" s="5">
        <v>15019907</v>
      </c>
      <c r="C197" s="5" t="s">
        <v>566</v>
      </c>
      <c r="D197" s="5" t="s">
        <v>321</v>
      </c>
      <c r="E197" s="5" t="s">
        <v>52</v>
      </c>
      <c r="F197" s="5" t="s">
        <v>62</v>
      </c>
      <c r="G197" s="5" t="s">
        <v>202</v>
      </c>
      <c r="H197" s="5" t="s">
        <v>464</v>
      </c>
      <c r="I197" s="6">
        <v>44044</v>
      </c>
      <c r="J197" s="5" t="s">
        <v>336</v>
      </c>
      <c r="K197" s="5" t="s">
        <v>511</v>
      </c>
      <c r="L197" s="5" t="s">
        <v>324</v>
      </c>
      <c r="M197" s="7">
        <v>6</v>
      </c>
      <c r="N197" s="7" t="s">
        <v>176</v>
      </c>
      <c r="O197" s="8">
        <v>4715</v>
      </c>
      <c r="P197" s="9">
        <v>0.02</v>
      </c>
      <c r="Q197" s="10">
        <f t="shared" si="27"/>
        <v>94</v>
      </c>
      <c r="R197" s="9">
        <v>5.0000000000000001E-3</v>
      </c>
      <c r="S197" s="10">
        <f t="shared" si="28"/>
        <v>24</v>
      </c>
      <c r="T197" s="9">
        <f t="shared" si="29"/>
        <v>2.5026511134676563E-2</v>
      </c>
      <c r="U197" s="10">
        <f t="shared" si="30"/>
        <v>118</v>
      </c>
      <c r="V197" s="10">
        <f t="shared" si="31"/>
        <v>4833</v>
      </c>
      <c r="W197" s="11">
        <v>4832.875</v>
      </c>
      <c r="X197" s="12">
        <f t="shared" si="32"/>
        <v>117.875</v>
      </c>
      <c r="Y197" s="13">
        <f t="shared" si="33"/>
        <v>2.5000000000000001E-2</v>
      </c>
      <c r="Z197" s="14" t="str">
        <f t="shared" si="34"/>
        <v>0.00%-8.40%</v>
      </c>
      <c r="AA197" s="15"/>
      <c r="AB197" s="15"/>
      <c r="AC197" s="15"/>
      <c r="AD197" s="16"/>
      <c r="AE197" s="8">
        <f t="shared" si="35"/>
        <v>0</v>
      </c>
      <c r="AF197" s="17">
        <f t="shared" si="36"/>
        <v>4832.875</v>
      </c>
      <c r="AG197" s="18">
        <f t="shared" si="37"/>
        <v>117.875</v>
      </c>
      <c r="AH197" s="19">
        <f t="shared" si="38"/>
        <v>2.4999999999999911E-2</v>
      </c>
      <c r="AI197" s="20">
        <v>13.6</v>
      </c>
      <c r="AJ197" s="20">
        <v>450</v>
      </c>
      <c r="AK197" s="20"/>
      <c r="AL197" s="20">
        <v>688</v>
      </c>
      <c r="AM197" s="20">
        <f t="shared" si="39"/>
        <v>71815.099999999991</v>
      </c>
      <c r="AN197" s="7" t="s">
        <v>176</v>
      </c>
      <c r="AO197" s="20"/>
      <c r="AP197" s="21" t="s">
        <v>465</v>
      </c>
      <c r="AQ197" s="21"/>
      <c r="AR197" s="5" t="s">
        <v>466</v>
      </c>
      <c r="AS197" s="5" t="s">
        <v>164</v>
      </c>
      <c r="AT197" s="5" t="s">
        <v>59</v>
      </c>
      <c r="AU197" s="20"/>
      <c r="AV197" s="21"/>
      <c r="AW197" s="21"/>
      <c r="AX197" s="21"/>
    </row>
    <row r="198" spans="1:50" s="55" customFormat="1">
      <c r="A198" s="86" t="s">
        <v>318</v>
      </c>
      <c r="B198" s="5">
        <v>15008321</v>
      </c>
      <c r="C198" s="5" t="s">
        <v>567</v>
      </c>
      <c r="D198" s="5" t="s">
        <v>321</v>
      </c>
      <c r="E198" s="5" t="s">
        <v>52</v>
      </c>
      <c r="F198" s="5" t="s">
        <v>62</v>
      </c>
      <c r="G198" s="5" t="s">
        <v>202</v>
      </c>
      <c r="H198" s="5" t="s">
        <v>464</v>
      </c>
      <c r="I198" s="6">
        <v>41365</v>
      </c>
      <c r="J198" s="5" t="s">
        <v>336</v>
      </c>
      <c r="K198" s="5" t="s">
        <v>511</v>
      </c>
      <c r="L198" s="5" t="s">
        <v>324</v>
      </c>
      <c r="M198" s="7">
        <v>6</v>
      </c>
      <c r="N198" s="7" t="s">
        <v>176</v>
      </c>
      <c r="O198" s="8">
        <v>4597</v>
      </c>
      <c r="P198" s="9">
        <v>0.02</v>
      </c>
      <c r="Q198" s="10">
        <f t="shared" si="27"/>
        <v>92</v>
      </c>
      <c r="R198" s="9">
        <v>5.0000000000000001E-3</v>
      </c>
      <c r="S198" s="10">
        <f t="shared" si="28"/>
        <v>23</v>
      </c>
      <c r="T198" s="9">
        <f t="shared" si="29"/>
        <v>2.5016314988035675E-2</v>
      </c>
      <c r="U198" s="10">
        <f t="shared" si="30"/>
        <v>115</v>
      </c>
      <c r="V198" s="10">
        <f t="shared" si="31"/>
        <v>4712</v>
      </c>
      <c r="W198" s="11">
        <v>4619.9849999999997</v>
      </c>
      <c r="X198" s="12">
        <f t="shared" si="32"/>
        <v>22.984999999999673</v>
      </c>
      <c r="Y198" s="13">
        <f t="shared" si="33"/>
        <v>5.0000000000000001E-3</v>
      </c>
      <c r="Z198" s="14" t="str">
        <f t="shared" si="34"/>
        <v>0.00%-8.40%</v>
      </c>
      <c r="AA198" s="15"/>
      <c r="AB198" s="15"/>
      <c r="AC198" s="15"/>
      <c r="AD198" s="16"/>
      <c r="AE198" s="8">
        <f t="shared" si="35"/>
        <v>0</v>
      </c>
      <c r="AF198" s="17">
        <f t="shared" si="36"/>
        <v>4619.9849999999997</v>
      </c>
      <c r="AG198" s="18">
        <f t="shared" si="37"/>
        <v>22.984999999999673</v>
      </c>
      <c r="AH198" s="19">
        <f t="shared" si="38"/>
        <v>4.9999999999998934E-3</v>
      </c>
      <c r="AI198" s="20">
        <v>13.6</v>
      </c>
      <c r="AJ198" s="20">
        <v>450</v>
      </c>
      <c r="AK198" s="20"/>
      <c r="AL198" s="20">
        <v>688</v>
      </c>
      <c r="AM198" s="20">
        <f t="shared" si="39"/>
        <v>68919.796000000002</v>
      </c>
      <c r="AN198" s="7" t="s">
        <v>176</v>
      </c>
      <c r="AO198" s="20"/>
      <c r="AP198" s="21" t="s">
        <v>513</v>
      </c>
      <c r="AQ198" s="21"/>
      <c r="AR198" s="5" t="s">
        <v>466</v>
      </c>
      <c r="AS198" s="5" t="s">
        <v>164</v>
      </c>
      <c r="AT198" s="5" t="s">
        <v>59</v>
      </c>
      <c r="AU198" s="20"/>
      <c r="AV198" s="21"/>
      <c r="AW198" s="21"/>
      <c r="AX198" s="21"/>
    </row>
    <row r="199" spans="1:50" s="55" customFormat="1">
      <c r="A199" s="86" t="s">
        <v>318</v>
      </c>
      <c r="B199" s="5">
        <v>15010894</v>
      </c>
      <c r="C199" s="5" t="s">
        <v>568</v>
      </c>
      <c r="D199" s="5" t="s">
        <v>321</v>
      </c>
      <c r="E199" s="5" t="s">
        <v>52</v>
      </c>
      <c r="F199" s="5" t="s">
        <v>62</v>
      </c>
      <c r="G199" s="5" t="s">
        <v>202</v>
      </c>
      <c r="H199" s="5" t="s">
        <v>464</v>
      </c>
      <c r="I199" s="6">
        <v>41579</v>
      </c>
      <c r="J199" s="5" t="s">
        <v>336</v>
      </c>
      <c r="K199" s="5" t="s">
        <v>511</v>
      </c>
      <c r="L199" s="5" t="s">
        <v>324</v>
      </c>
      <c r="M199" s="7">
        <v>6</v>
      </c>
      <c r="N199" s="7" t="s">
        <v>176</v>
      </c>
      <c r="O199" s="8">
        <v>5088</v>
      </c>
      <c r="P199" s="9">
        <v>0.02</v>
      </c>
      <c r="Q199" s="10">
        <f t="shared" si="27"/>
        <v>102</v>
      </c>
      <c r="R199" s="9">
        <v>5.0000000000000001E-3</v>
      </c>
      <c r="S199" s="10">
        <f t="shared" si="28"/>
        <v>25</v>
      </c>
      <c r="T199" s="9">
        <f t="shared" si="29"/>
        <v>2.4960691823899372E-2</v>
      </c>
      <c r="U199" s="10">
        <f t="shared" si="30"/>
        <v>127</v>
      </c>
      <c r="V199" s="10">
        <f t="shared" si="31"/>
        <v>5215</v>
      </c>
      <c r="W199" s="11">
        <v>5215.2</v>
      </c>
      <c r="X199" s="12">
        <f t="shared" si="32"/>
        <v>127.19999999999982</v>
      </c>
      <c r="Y199" s="13">
        <f t="shared" si="33"/>
        <v>2.5000000000000001E-2</v>
      </c>
      <c r="Z199" s="14" t="str">
        <f t="shared" si="34"/>
        <v>0.00%-8.40%</v>
      </c>
      <c r="AA199" s="15"/>
      <c r="AB199" s="15"/>
      <c r="AC199" s="15"/>
      <c r="AD199" s="16"/>
      <c r="AE199" s="8">
        <f t="shared" si="35"/>
        <v>0</v>
      </c>
      <c r="AF199" s="17">
        <f t="shared" si="36"/>
        <v>5215.2</v>
      </c>
      <c r="AG199" s="18">
        <f t="shared" si="37"/>
        <v>127.19999999999982</v>
      </c>
      <c r="AH199" s="19">
        <f t="shared" si="38"/>
        <v>2.4999999999999911E-2</v>
      </c>
      <c r="AI199" s="20">
        <v>13.6</v>
      </c>
      <c r="AJ199" s="20">
        <v>450</v>
      </c>
      <c r="AK199" s="20"/>
      <c r="AL199" s="20">
        <v>688</v>
      </c>
      <c r="AM199" s="20">
        <f t="shared" si="39"/>
        <v>77014.720000000001</v>
      </c>
      <c r="AN199" s="7" t="s">
        <v>176</v>
      </c>
      <c r="AO199" s="20"/>
      <c r="AP199" s="21" t="s">
        <v>465</v>
      </c>
      <c r="AQ199" s="21"/>
      <c r="AR199" s="5" t="s">
        <v>466</v>
      </c>
      <c r="AS199" s="5" t="s">
        <v>164</v>
      </c>
      <c r="AT199" s="5" t="s">
        <v>59</v>
      </c>
      <c r="AU199" s="20"/>
      <c r="AV199" s="21"/>
      <c r="AW199" s="21"/>
      <c r="AX199" s="21"/>
    </row>
    <row r="200" spans="1:50" s="55" customFormat="1">
      <c r="A200" s="86" t="s">
        <v>318</v>
      </c>
      <c r="B200" s="5">
        <v>15008145</v>
      </c>
      <c r="C200" s="5" t="s">
        <v>569</v>
      </c>
      <c r="D200" s="5" t="s">
        <v>321</v>
      </c>
      <c r="E200" s="5" t="s">
        <v>52</v>
      </c>
      <c r="F200" s="5" t="s">
        <v>62</v>
      </c>
      <c r="G200" s="5" t="s">
        <v>202</v>
      </c>
      <c r="H200" s="5" t="s">
        <v>464</v>
      </c>
      <c r="I200" s="6">
        <v>41334</v>
      </c>
      <c r="J200" s="5" t="s">
        <v>336</v>
      </c>
      <c r="K200" s="5" t="s">
        <v>511</v>
      </c>
      <c r="L200" s="5" t="s">
        <v>324</v>
      </c>
      <c r="M200" s="7">
        <v>6</v>
      </c>
      <c r="N200" s="7" t="s">
        <v>176</v>
      </c>
      <c r="O200" s="8">
        <v>4989</v>
      </c>
      <c r="P200" s="9">
        <v>0.02</v>
      </c>
      <c r="Q200" s="10">
        <f t="shared" si="27"/>
        <v>100</v>
      </c>
      <c r="R200" s="9">
        <v>5.0000000000000001E-3</v>
      </c>
      <c r="S200" s="10">
        <f t="shared" si="28"/>
        <v>25</v>
      </c>
      <c r="T200" s="9">
        <f t="shared" si="29"/>
        <v>2.5055121266786932E-2</v>
      </c>
      <c r="U200" s="10">
        <f t="shared" si="30"/>
        <v>125</v>
      </c>
      <c r="V200" s="10">
        <f t="shared" si="31"/>
        <v>5114</v>
      </c>
      <c r="W200" s="11">
        <v>5238.45</v>
      </c>
      <c r="X200" s="12">
        <f t="shared" si="32"/>
        <v>249.44999999999982</v>
      </c>
      <c r="Y200" s="13">
        <f t="shared" si="33"/>
        <v>0.05</v>
      </c>
      <c r="Z200" s="14" t="str">
        <f t="shared" si="34"/>
        <v>0.00%-8.40%</v>
      </c>
      <c r="AA200" s="15"/>
      <c r="AB200" s="15"/>
      <c r="AC200" s="15"/>
      <c r="AD200" s="16"/>
      <c r="AE200" s="8">
        <f t="shared" si="35"/>
        <v>0</v>
      </c>
      <c r="AF200" s="17">
        <f t="shared" si="36"/>
        <v>5238.45</v>
      </c>
      <c r="AG200" s="18">
        <f t="shared" si="37"/>
        <v>249.44999999999982</v>
      </c>
      <c r="AH200" s="19">
        <f t="shared" si="38"/>
        <v>5.0000000000000044E-2</v>
      </c>
      <c r="AI200" s="20">
        <v>13.6</v>
      </c>
      <c r="AJ200" s="20">
        <v>450</v>
      </c>
      <c r="AK200" s="20"/>
      <c r="AL200" s="20">
        <v>688</v>
      </c>
      <c r="AM200" s="20">
        <f t="shared" si="39"/>
        <v>77330.92</v>
      </c>
      <c r="AN200" s="7" t="s">
        <v>176</v>
      </c>
      <c r="AO200" s="20"/>
      <c r="AP200" s="21" t="s">
        <v>465</v>
      </c>
      <c r="AQ200" s="21"/>
      <c r="AR200" s="5" t="s">
        <v>466</v>
      </c>
      <c r="AS200" s="5" t="s">
        <v>164</v>
      </c>
      <c r="AT200" s="5" t="s">
        <v>59</v>
      </c>
      <c r="AU200" s="20"/>
      <c r="AV200" s="21"/>
      <c r="AW200" s="21"/>
      <c r="AX200" s="21"/>
    </row>
    <row r="201" spans="1:50" s="55" customFormat="1">
      <c r="A201" s="86" t="s">
        <v>318</v>
      </c>
      <c r="B201" s="5">
        <v>15019668</v>
      </c>
      <c r="C201" s="5" t="s">
        <v>570</v>
      </c>
      <c r="D201" s="5" t="s">
        <v>321</v>
      </c>
      <c r="E201" s="5" t="s">
        <v>52</v>
      </c>
      <c r="F201" s="5" t="s">
        <v>62</v>
      </c>
      <c r="G201" s="5" t="s">
        <v>202</v>
      </c>
      <c r="H201" s="5" t="s">
        <v>464</v>
      </c>
      <c r="I201" s="6">
        <v>44317</v>
      </c>
      <c r="J201" s="5" t="s">
        <v>336</v>
      </c>
      <c r="K201" s="5" t="s">
        <v>511</v>
      </c>
      <c r="L201" s="5" t="s">
        <v>324</v>
      </c>
      <c r="M201" s="7">
        <v>6</v>
      </c>
      <c r="N201" s="7" t="s">
        <v>176</v>
      </c>
      <c r="O201" s="8">
        <v>4808</v>
      </c>
      <c r="P201" s="9">
        <v>0.02</v>
      </c>
      <c r="Q201" s="10">
        <f t="shared" ref="Q201:Q264" si="40">ROUND(O201*P201,0)</f>
        <v>96</v>
      </c>
      <c r="R201" s="9">
        <v>5.0000000000000001E-3</v>
      </c>
      <c r="S201" s="10">
        <f t="shared" ref="S201:S264" si="41">ROUND(O201*R201,0)</f>
        <v>24</v>
      </c>
      <c r="T201" s="9">
        <f t="shared" ref="T201:T264" si="42">U201/O201</f>
        <v>2.4958402662229616E-2</v>
      </c>
      <c r="U201" s="10">
        <f t="shared" ref="U201:U264" si="43">Q201+S201</f>
        <v>120</v>
      </c>
      <c r="V201" s="10">
        <f t="shared" ref="V201:V264" si="44">O201+U201</f>
        <v>4928</v>
      </c>
      <c r="W201" s="11">
        <v>5000.32</v>
      </c>
      <c r="X201" s="12">
        <f t="shared" ref="X201:X264" si="45">W201-O201</f>
        <v>192.31999999999971</v>
      </c>
      <c r="Y201" s="13">
        <f t="shared" ref="Y201:Y264" si="46">ROUND(W201/O201-1,4)</f>
        <v>0.04</v>
      </c>
      <c r="Z201" s="14" t="str">
        <f t="shared" ref="Z201:Z264" si="47">IF(OR(M201=1,M201=2,M201=4),TEXT(T201*0.8,"0.00%")&amp;"-"&amp;TEXT(T201*1.2,"0.00%"),IF(OR(M201=3,M201=6),TEXT(0,"0.00%")&amp;"-"&amp;TEXT(7%*1.2,"0.00%"),IF(OR(M201=5,M201=7),TEXT((S201/O201),"0.00%")&amp;"-"&amp;TEXT((S201/O201)+7%,"0.00%"),"")))</f>
        <v>0.00%-8.40%</v>
      </c>
      <c r="AA201" s="15"/>
      <c r="AB201" s="15"/>
      <c r="AC201" s="15"/>
      <c r="AD201" s="16"/>
      <c r="AE201" s="8">
        <f t="shared" ref="AE201:AE264" si="48">ROUND(O201*AD201,0)</f>
        <v>0</v>
      </c>
      <c r="AF201" s="17">
        <f t="shared" ref="AF201:AF264" si="49">W201+AE201</f>
        <v>5000.32</v>
      </c>
      <c r="AG201" s="18">
        <f t="shared" ref="AG201:AG264" si="50">AF201-O201</f>
        <v>192.31999999999971</v>
      </c>
      <c r="AH201" s="19">
        <f t="shared" ref="AH201:AH264" si="51">AF201/O201-1</f>
        <v>4.0000000000000036E-2</v>
      </c>
      <c r="AI201" s="20">
        <v>13.6</v>
      </c>
      <c r="AJ201" s="20">
        <v>450</v>
      </c>
      <c r="AK201" s="20"/>
      <c r="AL201" s="20">
        <v>688</v>
      </c>
      <c r="AM201" s="20">
        <f t="shared" ref="AM201:AM264" si="52">AF201*AI201+AJ201*12+AL201+IF(AC201="",AK201,IF(AC201="D",5000,IF(AC201="C",1000,0)))*12</f>
        <v>74092.351999999999</v>
      </c>
      <c r="AN201" s="7" t="s">
        <v>176</v>
      </c>
      <c r="AO201" s="20"/>
      <c r="AP201" s="21" t="s">
        <v>525</v>
      </c>
      <c r="AQ201" s="21"/>
      <c r="AR201" s="5" t="s">
        <v>466</v>
      </c>
      <c r="AS201" s="5" t="s">
        <v>164</v>
      </c>
      <c r="AT201" s="5" t="s">
        <v>59</v>
      </c>
      <c r="AU201" s="20"/>
      <c r="AV201" s="21"/>
      <c r="AW201" s="21"/>
      <c r="AX201" s="21"/>
    </row>
    <row r="202" spans="1:50" s="55" customFormat="1">
      <c r="A202" s="86" t="s">
        <v>318</v>
      </c>
      <c r="B202" s="5">
        <v>15011565</v>
      </c>
      <c r="C202" s="5" t="s">
        <v>571</v>
      </c>
      <c r="D202" s="5" t="s">
        <v>321</v>
      </c>
      <c r="E202" s="5" t="s">
        <v>52</v>
      </c>
      <c r="F202" s="5" t="s">
        <v>62</v>
      </c>
      <c r="G202" s="5" t="s">
        <v>202</v>
      </c>
      <c r="H202" s="5" t="s">
        <v>464</v>
      </c>
      <c r="I202" s="6">
        <v>41609</v>
      </c>
      <c r="J202" s="5" t="s">
        <v>336</v>
      </c>
      <c r="K202" s="5" t="s">
        <v>511</v>
      </c>
      <c r="L202" s="5" t="s">
        <v>324</v>
      </c>
      <c r="M202" s="7">
        <v>6</v>
      </c>
      <c r="N202" s="7" t="s">
        <v>176</v>
      </c>
      <c r="O202" s="8">
        <v>4386</v>
      </c>
      <c r="P202" s="9">
        <v>0.02</v>
      </c>
      <c r="Q202" s="10">
        <f t="shared" si="40"/>
        <v>88</v>
      </c>
      <c r="R202" s="9">
        <v>5.0000000000000001E-3</v>
      </c>
      <c r="S202" s="10">
        <f t="shared" si="41"/>
        <v>22</v>
      </c>
      <c r="T202" s="9">
        <f t="shared" si="42"/>
        <v>2.5079799361605107E-2</v>
      </c>
      <c r="U202" s="10">
        <f t="shared" si="43"/>
        <v>110</v>
      </c>
      <c r="V202" s="10">
        <f t="shared" si="44"/>
        <v>4496</v>
      </c>
      <c r="W202" s="11">
        <v>4386</v>
      </c>
      <c r="X202" s="12">
        <f t="shared" si="45"/>
        <v>0</v>
      </c>
      <c r="Y202" s="13">
        <f t="shared" si="46"/>
        <v>0</v>
      </c>
      <c r="Z202" s="14" t="str">
        <f t="shared" si="47"/>
        <v>0.00%-8.40%</v>
      </c>
      <c r="AA202" s="15"/>
      <c r="AB202" s="15"/>
      <c r="AC202" s="15"/>
      <c r="AD202" s="16"/>
      <c r="AE202" s="8">
        <f t="shared" si="48"/>
        <v>0</v>
      </c>
      <c r="AF202" s="17">
        <f t="shared" si="49"/>
        <v>4386</v>
      </c>
      <c r="AG202" s="18">
        <f t="shared" si="50"/>
        <v>0</v>
      </c>
      <c r="AH202" s="19">
        <f t="shared" si="51"/>
        <v>0</v>
      </c>
      <c r="AI202" s="20">
        <v>13.6</v>
      </c>
      <c r="AJ202" s="20">
        <v>450</v>
      </c>
      <c r="AK202" s="20"/>
      <c r="AL202" s="20">
        <v>688</v>
      </c>
      <c r="AM202" s="20">
        <f t="shared" si="52"/>
        <v>65737.600000000006</v>
      </c>
      <c r="AN202" s="7" t="s">
        <v>176</v>
      </c>
      <c r="AO202" s="20" t="s">
        <v>364</v>
      </c>
      <c r="AP202" s="21" t="s">
        <v>508</v>
      </c>
      <c r="AQ202" s="21" t="s">
        <v>281</v>
      </c>
      <c r="AR202" s="5" t="s">
        <v>466</v>
      </c>
      <c r="AS202" s="5" t="s">
        <v>164</v>
      </c>
      <c r="AT202" s="5" t="s">
        <v>59</v>
      </c>
      <c r="AU202" s="20"/>
      <c r="AV202" s="21"/>
      <c r="AW202" s="21"/>
      <c r="AX202" s="21"/>
    </row>
    <row r="203" spans="1:50" s="55" customFormat="1">
      <c r="A203" s="86" t="s">
        <v>318</v>
      </c>
      <c r="B203" s="5">
        <v>15006494</v>
      </c>
      <c r="C203" s="5" t="s">
        <v>572</v>
      </c>
      <c r="D203" s="5" t="s">
        <v>321</v>
      </c>
      <c r="E203" s="5" t="s">
        <v>52</v>
      </c>
      <c r="F203" s="5" t="s">
        <v>62</v>
      </c>
      <c r="G203" s="5" t="s">
        <v>202</v>
      </c>
      <c r="H203" s="5" t="s">
        <v>464</v>
      </c>
      <c r="I203" s="6">
        <v>40909</v>
      </c>
      <c r="J203" s="5" t="s">
        <v>336</v>
      </c>
      <c r="K203" s="5" t="s">
        <v>511</v>
      </c>
      <c r="L203" s="5" t="s">
        <v>324</v>
      </c>
      <c r="M203" s="7">
        <v>6</v>
      </c>
      <c r="N203" s="7" t="s">
        <v>176</v>
      </c>
      <c r="O203" s="8">
        <v>5134</v>
      </c>
      <c r="P203" s="9">
        <v>0.02</v>
      </c>
      <c r="Q203" s="10">
        <f t="shared" si="40"/>
        <v>103</v>
      </c>
      <c r="R203" s="9">
        <v>5.0000000000000001E-3</v>
      </c>
      <c r="S203" s="10">
        <f t="shared" si="41"/>
        <v>26</v>
      </c>
      <c r="T203" s="9">
        <f t="shared" si="42"/>
        <v>2.5126606934164394E-2</v>
      </c>
      <c r="U203" s="10">
        <f t="shared" si="43"/>
        <v>129</v>
      </c>
      <c r="V203" s="10">
        <f t="shared" si="44"/>
        <v>5263</v>
      </c>
      <c r="W203" s="11">
        <v>5262.35</v>
      </c>
      <c r="X203" s="12">
        <f t="shared" si="45"/>
        <v>128.35000000000036</v>
      </c>
      <c r="Y203" s="13">
        <f t="shared" si="46"/>
        <v>2.5000000000000001E-2</v>
      </c>
      <c r="Z203" s="14" t="str">
        <f t="shared" si="47"/>
        <v>0.00%-8.40%</v>
      </c>
      <c r="AA203" s="15"/>
      <c r="AB203" s="15"/>
      <c r="AC203" s="15"/>
      <c r="AD203" s="16"/>
      <c r="AE203" s="8">
        <f t="shared" si="48"/>
        <v>0</v>
      </c>
      <c r="AF203" s="17">
        <f t="shared" si="49"/>
        <v>5262.35</v>
      </c>
      <c r="AG203" s="18">
        <f t="shared" si="50"/>
        <v>128.35000000000036</v>
      </c>
      <c r="AH203" s="19">
        <f t="shared" si="51"/>
        <v>2.5000000000000133E-2</v>
      </c>
      <c r="AI203" s="20">
        <v>13.6</v>
      </c>
      <c r="AJ203" s="20">
        <v>450</v>
      </c>
      <c r="AK203" s="20"/>
      <c r="AL203" s="20">
        <v>688</v>
      </c>
      <c r="AM203" s="20">
        <f t="shared" si="52"/>
        <v>77655.960000000006</v>
      </c>
      <c r="AN203" s="7" t="s">
        <v>176</v>
      </c>
      <c r="AO203" s="20"/>
      <c r="AP203" s="21" t="s">
        <v>465</v>
      </c>
      <c r="AQ203" s="21"/>
      <c r="AR203" s="5" t="s">
        <v>466</v>
      </c>
      <c r="AS203" s="5" t="s">
        <v>164</v>
      </c>
      <c r="AT203" s="5" t="s">
        <v>59</v>
      </c>
      <c r="AU203" s="20"/>
      <c r="AV203" s="21"/>
      <c r="AW203" s="21"/>
      <c r="AX203" s="21"/>
    </row>
    <row r="204" spans="1:50" s="55" customFormat="1">
      <c r="A204" s="86" t="s">
        <v>318</v>
      </c>
      <c r="B204" s="5">
        <v>15017767</v>
      </c>
      <c r="C204" s="5" t="s">
        <v>573</v>
      </c>
      <c r="D204" s="5" t="s">
        <v>321</v>
      </c>
      <c r="E204" s="5" t="s">
        <v>52</v>
      </c>
      <c r="F204" s="5" t="s">
        <v>62</v>
      </c>
      <c r="G204" s="5" t="s">
        <v>202</v>
      </c>
      <c r="H204" s="5" t="s">
        <v>464</v>
      </c>
      <c r="I204" s="6">
        <v>43101</v>
      </c>
      <c r="J204" s="5" t="s">
        <v>336</v>
      </c>
      <c r="K204" s="5" t="s">
        <v>511</v>
      </c>
      <c r="L204" s="5" t="s">
        <v>324</v>
      </c>
      <c r="M204" s="7">
        <v>6</v>
      </c>
      <c r="N204" s="7" t="s">
        <v>176</v>
      </c>
      <c r="O204" s="8">
        <v>4589</v>
      </c>
      <c r="P204" s="9">
        <v>0.02</v>
      </c>
      <c r="Q204" s="10">
        <f t="shared" si="40"/>
        <v>92</v>
      </c>
      <c r="R204" s="9">
        <v>5.0000000000000001E-3</v>
      </c>
      <c r="S204" s="10">
        <f t="shared" si="41"/>
        <v>23</v>
      </c>
      <c r="T204" s="9">
        <f t="shared" si="42"/>
        <v>2.5059925909784266E-2</v>
      </c>
      <c r="U204" s="10">
        <f t="shared" si="43"/>
        <v>115</v>
      </c>
      <c r="V204" s="10">
        <f t="shared" si="44"/>
        <v>4704</v>
      </c>
      <c r="W204" s="11">
        <v>4634.8900000000003</v>
      </c>
      <c r="X204" s="12">
        <f t="shared" si="45"/>
        <v>45.890000000000327</v>
      </c>
      <c r="Y204" s="13">
        <f t="shared" si="46"/>
        <v>0.01</v>
      </c>
      <c r="Z204" s="14" t="str">
        <f t="shared" si="47"/>
        <v>0.00%-8.40%</v>
      </c>
      <c r="AA204" s="15"/>
      <c r="AB204" s="15"/>
      <c r="AC204" s="15"/>
      <c r="AD204" s="16"/>
      <c r="AE204" s="8">
        <f t="shared" si="48"/>
        <v>0</v>
      </c>
      <c r="AF204" s="17">
        <f t="shared" si="49"/>
        <v>4634.8900000000003</v>
      </c>
      <c r="AG204" s="18">
        <f t="shared" si="50"/>
        <v>45.890000000000327</v>
      </c>
      <c r="AH204" s="19">
        <f t="shared" si="51"/>
        <v>1.0000000000000009E-2</v>
      </c>
      <c r="AI204" s="20">
        <v>13.6</v>
      </c>
      <c r="AJ204" s="20">
        <v>450</v>
      </c>
      <c r="AK204" s="20"/>
      <c r="AL204" s="20">
        <v>688</v>
      </c>
      <c r="AM204" s="20">
        <f t="shared" si="52"/>
        <v>69122.504000000001</v>
      </c>
      <c r="AN204" s="7" t="s">
        <v>176</v>
      </c>
      <c r="AO204" s="20"/>
      <c r="AP204" s="21" t="s">
        <v>465</v>
      </c>
      <c r="AQ204" s="21"/>
      <c r="AR204" s="5" t="s">
        <v>466</v>
      </c>
      <c r="AS204" s="5" t="s">
        <v>164</v>
      </c>
      <c r="AT204" s="5" t="s">
        <v>59</v>
      </c>
      <c r="AU204" s="20"/>
      <c r="AV204" s="21"/>
      <c r="AW204" s="21"/>
      <c r="AX204" s="21"/>
    </row>
    <row r="205" spans="1:50" s="55" customFormat="1">
      <c r="A205" s="86" t="s">
        <v>318</v>
      </c>
      <c r="B205" s="5">
        <v>15014258</v>
      </c>
      <c r="C205" s="5" t="s">
        <v>574</v>
      </c>
      <c r="D205" s="5" t="s">
        <v>321</v>
      </c>
      <c r="E205" s="5" t="s">
        <v>52</v>
      </c>
      <c r="F205" s="5" t="s">
        <v>62</v>
      </c>
      <c r="G205" s="5" t="s">
        <v>202</v>
      </c>
      <c r="H205" s="5" t="s">
        <v>464</v>
      </c>
      <c r="I205" s="6">
        <v>42217</v>
      </c>
      <c r="J205" s="5" t="s">
        <v>336</v>
      </c>
      <c r="K205" s="5" t="s">
        <v>511</v>
      </c>
      <c r="L205" s="5" t="s">
        <v>324</v>
      </c>
      <c r="M205" s="7">
        <v>6</v>
      </c>
      <c r="N205" s="7" t="s">
        <v>176</v>
      </c>
      <c r="O205" s="8">
        <v>4857</v>
      </c>
      <c r="P205" s="9">
        <v>0.02</v>
      </c>
      <c r="Q205" s="10">
        <f t="shared" si="40"/>
        <v>97</v>
      </c>
      <c r="R205" s="9">
        <v>5.0000000000000001E-3</v>
      </c>
      <c r="S205" s="10">
        <f t="shared" si="41"/>
        <v>24</v>
      </c>
      <c r="T205" s="9">
        <f t="shared" si="42"/>
        <v>2.4912497426394894E-2</v>
      </c>
      <c r="U205" s="10">
        <f t="shared" si="43"/>
        <v>121</v>
      </c>
      <c r="V205" s="10">
        <f t="shared" si="44"/>
        <v>4978</v>
      </c>
      <c r="W205" s="11">
        <v>4978.4250000000002</v>
      </c>
      <c r="X205" s="12">
        <f t="shared" si="45"/>
        <v>121.42500000000018</v>
      </c>
      <c r="Y205" s="13">
        <f t="shared" si="46"/>
        <v>2.5000000000000001E-2</v>
      </c>
      <c r="Z205" s="14" t="str">
        <f t="shared" si="47"/>
        <v>0.00%-8.40%</v>
      </c>
      <c r="AA205" s="15"/>
      <c r="AB205" s="15"/>
      <c r="AC205" s="15"/>
      <c r="AD205" s="16"/>
      <c r="AE205" s="8">
        <f t="shared" si="48"/>
        <v>0</v>
      </c>
      <c r="AF205" s="17">
        <f t="shared" si="49"/>
        <v>4978.4250000000002</v>
      </c>
      <c r="AG205" s="18">
        <f t="shared" si="50"/>
        <v>121.42500000000018</v>
      </c>
      <c r="AH205" s="19">
        <f t="shared" si="51"/>
        <v>2.5000000000000133E-2</v>
      </c>
      <c r="AI205" s="20">
        <v>13.6</v>
      </c>
      <c r="AJ205" s="20">
        <v>450</v>
      </c>
      <c r="AK205" s="20"/>
      <c r="AL205" s="20">
        <v>688</v>
      </c>
      <c r="AM205" s="20">
        <f t="shared" si="52"/>
        <v>73794.58</v>
      </c>
      <c r="AN205" s="7" t="s">
        <v>176</v>
      </c>
      <c r="AO205" s="20"/>
      <c r="AP205" s="21" t="s">
        <v>465</v>
      </c>
      <c r="AQ205" s="21"/>
      <c r="AR205" s="5" t="s">
        <v>466</v>
      </c>
      <c r="AS205" s="5" t="s">
        <v>164</v>
      </c>
      <c r="AT205" s="5" t="s">
        <v>59</v>
      </c>
      <c r="AU205" s="20"/>
      <c r="AV205" s="21"/>
      <c r="AW205" s="21"/>
      <c r="AX205" s="21"/>
    </row>
    <row r="206" spans="1:50" s="55" customFormat="1">
      <c r="A206" s="86" t="s">
        <v>318</v>
      </c>
      <c r="B206" s="5">
        <v>15018820</v>
      </c>
      <c r="C206" s="5" t="s">
        <v>575</v>
      </c>
      <c r="D206" s="5" t="s">
        <v>321</v>
      </c>
      <c r="E206" s="5" t="s">
        <v>52</v>
      </c>
      <c r="F206" s="5" t="s">
        <v>62</v>
      </c>
      <c r="G206" s="5" t="s">
        <v>202</v>
      </c>
      <c r="H206" s="5" t="s">
        <v>464</v>
      </c>
      <c r="I206" s="6">
        <v>43124</v>
      </c>
      <c r="J206" s="5" t="s">
        <v>336</v>
      </c>
      <c r="K206" s="5" t="s">
        <v>511</v>
      </c>
      <c r="L206" s="5" t="s">
        <v>324</v>
      </c>
      <c r="M206" s="7">
        <v>6</v>
      </c>
      <c r="N206" s="7" t="s">
        <v>176</v>
      </c>
      <c r="O206" s="8">
        <v>4912</v>
      </c>
      <c r="P206" s="9">
        <v>0.02</v>
      </c>
      <c r="Q206" s="10">
        <f t="shared" si="40"/>
        <v>98</v>
      </c>
      <c r="R206" s="9">
        <v>5.0000000000000001E-3</v>
      </c>
      <c r="S206" s="10">
        <f t="shared" si="41"/>
        <v>25</v>
      </c>
      <c r="T206" s="9">
        <f t="shared" si="42"/>
        <v>2.5040716612377851E-2</v>
      </c>
      <c r="U206" s="10">
        <f t="shared" si="43"/>
        <v>123</v>
      </c>
      <c r="V206" s="10">
        <f t="shared" si="44"/>
        <v>5035</v>
      </c>
      <c r="W206" s="11">
        <v>4936.5600000000004</v>
      </c>
      <c r="X206" s="12">
        <f t="shared" si="45"/>
        <v>24.5600000000004</v>
      </c>
      <c r="Y206" s="13">
        <f t="shared" si="46"/>
        <v>5.0000000000000001E-3</v>
      </c>
      <c r="Z206" s="14" t="str">
        <f t="shared" si="47"/>
        <v>0.00%-8.40%</v>
      </c>
      <c r="AA206" s="15"/>
      <c r="AB206" s="15"/>
      <c r="AC206" s="15"/>
      <c r="AD206" s="16"/>
      <c r="AE206" s="8">
        <f t="shared" si="48"/>
        <v>0</v>
      </c>
      <c r="AF206" s="17">
        <f t="shared" si="49"/>
        <v>4936.5600000000004</v>
      </c>
      <c r="AG206" s="18">
        <f t="shared" si="50"/>
        <v>24.5600000000004</v>
      </c>
      <c r="AH206" s="19">
        <f t="shared" si="51"/>
        <v>5.0000000000001155E-3</v>
      </c>
      <c r="AI206" s="20">
        <v>13.6</v>
      </c>
      <c r="AJ206" s="20">
        <v>450</v>
      </c>
      <c r="AK206" s="20"/>
      <c r="AL206" s="20">
        <v>688</v>
      </c>
      <c r="AM206" s="20">
        <f t="shared" si="52"/>
        <v>73225.216</v>
      </c>
      <c r="AN206" s="7" t="s">
        <v>176</v>
      </c>
      <c r="AO206" s="20"/>
      <c r="AP206" s="21" t="s">
        <v>513</v>
      </c>
      <c r="AQ206" s="21"/>
      <c r="AR206" s="5" t="s">
        <v>466</v>
      </c>
      <c r="AS206" s="5" t="s">
        <v>164</v>
      </c>
      <c r="AT206" s="5" t="s">
        <v>59</v>
      </c>
      <c r="AU206" s="20"/>
      <c r="AV206" s="21"/>
      <c r="AW206" s="21"/>
      <c r="AX206" s="21"/>
    </row>
    <row r="207" spans="1:50" s="55" customFormat="1">
      <c r="A207" s="86" t="s">
        <v>318</v>
      </c>
      <c r="B207" s="5">
        <v>15011858</v>
      </c>
      <c r="C207" s="5" t="s">
        <v>576</v>
      </c>
      <c r="D207" s="5" t="s">
        <v>321</v>
      </c>
      <c r="E207" s="5" t="s">
        <v>52</v>
      </c>
      <c r="F207" s="5" t="s">
        <v>62</v>
      </c>
      <c r="G207" s="5" t="s">
        <v>202</v>
      </c>
      <c r="H207" s="5" t="s">
        <v>464</v>
      </c>
      <c r="I207" s="6">
        <v>41609</v>
      </c>
      <c r="J207" s="5" t="s">
        <v>336</v>
      </c>
      <c r="K207" s="5" t="s">
        <v>511</v>
      </c>
      <c r="L207" s="5" t="s">
        <v>324</v>
      </c>
      <c r="M207" s="7">
        <v>6</v>
      </c>
      <c r="N207" s="7" t="s">
        <v>176</v>
      </c>
      <c r="O207" s="8">
        <v>4446</v>
      </c>
      <c r="P207" s="9">
        <v>0.02</v>
      </c>
      <c r="Q207" s="10">
        <f t="shared" si="40"/>
        <v>89</v>
      </c>
      <c r="R207" s="9">
        <v>5.0000000000000001E-3</v>
      </c>
      <c r="S207" s="10">
        <f t="shared" si="41"/>
        <v>22</v>
      </c>
      <c r="T207" s="9">
        <f t="shared" si="42"/>
        <v>2.4966261808367071E-2</v>
      </c>
      <c r="U207" s="10">
        <f t="shared" si="43"/>
        <v>111</v>
      </c>
      <c r="V207" s="10">
        <f t="shared" si="44"/>
        <v>4557</v>
      </c>
      <c r="W207" s="11">
        <v>4446</v>
      </c>
      <c r="X207" s="12">
        <f t="shared" si="45"/>
        <v>0</v>
      </c>
      <c r="Y207" s="13">
        <f t="shared" si="46"/>
        <v>0</v>
      </c>
      <c r="Z207" s="14" t="str">
        <f t="shared" si="47"/>
        <v>0.00%-8.40%</v>
      </c>
      <c r="AA207" s="15"/>
      <c r="AB207" s="15"/>
      <c r="AC207" s="15"/>
      <c r="AD207" s="16"/>
      <c r="AE207" s="8">
        <f t="shared" si="48"/>
        <v>0</v>
      </c>
      <c r="AF207" s="17">
        <f t="shared" si="49"/>
        <v>4446</v>
      </c>
      <c r="AG207" s="18">
        <f t="shared" si="50"/>
        <v>0</v>
      </c>
      <c r="AH207" s="19">
        <f t="shared" si="51"/>
        <v>0</v>
      </c>
      <c r="AI207" s="20">
        <v>13.6</v>
      </c>
      <c r="AJ207" s="20">
        <v>450</v>
      </c>
      <c r="AK207" s="20"/>
      <c r="AL207" s="20">
        <v>688</v>
      </c>
      <c r="AM207" s="20">
        <f t="shared" si="52"/>
        <v>66553.600000000006</v>
      </c>
      <c r="AN207" s="7" t="s">
        <v>176</v>
      </c>
      <c r="AO207" s="20" t="s">
        <v>364</v>
      </c>
      <c r="AP207" s="21" t="s">
        <v>508</v>
      </c>
      <c r="AQ207" s="21" t="s">
        <v>281</v>
      </c>
      <c r="AR207" s="5" t="s">
        <v>466</v>
      </c>
      <c r="AS207" s="5" t="s">
        <v>164</v>
      </c>
      <c r="AT207" s="5" t="s">
        <v>59</v>
      </c>
      <c r="AU207" s="20"/>
      <c r="AV207" s="21"/>
      <c r="AW207" s="21"/>
      <c r="AX207" s="21"/>
    </row>
    <row r="208" spans="1:50" s="55" customFormat="1">
      <c r="A208" s="86" t="s">
        <v>318</v>
      </c>
      <c r="B208" s="5">
        <v>15010192</v>
      </c>
      <c r="C208" s="5" t="s">
        <v>577</v>
      </c>
      <c r="D208" s="5" t="s">
        <v>321</v>
      </c>
      <c r="E208" s="5" t="s">
        <v>52</v>
      </c>
      <c r="F208" s="5" t="s">
        <v>62</v>
      </c>
      <c r="G208" s="5" t="s">
        <v>202</v>
      </c>
      <c r="H208" s="5" t="s">
        <v>464</v>
      </c>
      <c r="I208" s="6">
        <v>41548</v>
      </c>
      <c r="J208" s="5" t="s">
        <v>336</v>
      </c>
      <c r="K208" s="5" t="s">
        <v>511</v>
      </c>
      <c r="L208" s="5" t="s">
        <v>324</v>
      </c>
      <c r="M208" s="7">
        <v>6</v>
      </c>
      <c r="N208" s="7" t="s">
        <v>176</v>
      </c>
      <c r="O208" s="8">
        <v>5202</v>
      </c>
      <c r="P208" s="9">
        <v>0.02</v>
      </c>
      <c r="Q208" s="10">
        <f t="shared" si="40"/>
        <v>104</v>
      </c>
      <c r="R208" s="9">
        <v>5.0000000000000001E-3</v>
      </c>
      <c r="S208" s="10">
        <f t="shared" si="41"/>
        <v>26</v>
      </c>
      <c r="T208" s="9">
        <f t="shared" si="42"/>
        <v>2.4990388312187622E-2</v>
      </c>
      <c r="U208" s="10">
        <f t="shared" si="43"/>
        <v>130</v>
      </c>
      <c r="V208" s="10">
        <f t="shared" si="44"/>
        <v>5332</v>
      </c>
      <c r="W208" s="11">
        <v>5332.05</v>
      </c>
      <c r="X208" s="12">
        <f t="shared" si="45"/>
        <v>130.05000000000018</v>
      </c>
      <c r="Y208" s="13">
        <f t="shared" si="46"/>
        <v>2.5000000000000001E-2</v>
      </c>
      <c r="Z208" s="14" t="str">
        <f t="shared" si="47"/>
        <v>0.00%-8.40%</v>
      </c>
      <c r="AA208" s="15"/>
      <c r="AB208" s="15"/>
      <c r="AC208" s="15"/>
      <c r="AD208" s="16"/>
      <c r="AE208" s="8">
        <f t="shared" si="48"/>
        <v>0</v>
      </c>
      <c r="AF208" s="17">
        <f t="shared" si="49"/>
        <v>5332.05</v>
      </c>
      <c r="AG208" s="18">
        <f t="shared" si="50"/>
        <v>130.05000000000018</v>
      </c>
      <c r="AH208" s="19">
        <f t="shared" si="51"/>
        <v>2.5000000000000133E-2</v>
      </c>
      <c r="AI208" s="20">
        <v>13.6</v>
      </c>
      <c r="AJ208" s="20">
        <v>450</v>
      </c>
      <c r="AK208" s="20"/>
      <c r="AL208" s="20">
        <v>688</v>
      </c>
      <c r="AM208" s="20">
        <f t="shared" si="52"/>
        <v>78603.88</v>
      </c>
      <c r="AN208" s="7" t="s">
        <v>176</v>
      </c>
      <c r="AO208" s="20"/>
      <c r="AP208" s="21" t="s">
        <v>465</v>
      </c>
      <c r="AQ208" s="21"/>
      <c r="AR208" s="5" t="s">
        <v>466</v>
      </c>
      <c r="AS208" s="5" t="s">
        <v>164</v>
      </c>
      <c r="AT208" s="5" t="s">
        <v>59</v>
      </c>
      <c r="AU208" s="20"/>
      <c r="AV208" s="21"/>
      <c r="AW208" s="21"/>
      <c r="AX208" s="21"/>
    </row>
    <row r="209" spans="1:50" s="55" customFormat="1">
      <c r="A209" s="86" t="s">
        <v>318</v>
      </c>
      <c r="B209" s="5">
        <v>15009293</v>
      </c>
      <c r="C209" s="5" t="s">
        <v>578</v>
      </c>
      <c r="D209" s="5" t="s">
        <v>321</v>
      </c>
      <c r="E209" s="5" t="s">
        <v>52</v>
      </c>
      <c r="F209" s="5" t="s">
        <v>62</v>
      </c>
      <c r="G209" s="5" t="s">
        <v>202</v>
      </c>
      <c r="H209" s="5" t="s">
        <v>464</v>
      </c>
      <c r="I209" s="6">
        <v>41487</v>
      </c>
      <c r="J209" s="5" t="s">
        <v>336</v>
      </c>
      <c r="K209" s="5" t="s">
        <v>511</v>
      </c>
      <c r="L209" s="5" t="s">
        <v>324</v>
      </c>
      <c r="M209" s="7">
        <v>6</v>
      </c>
      <c r="N209" s="7" t="s">
        <v>176</v>
      </c>
      <c r="O209" s="8">
        <v>4804</v>
      </c>
      <c r="P209" s="9">
        <v>0.02</v>
      </c>
      <c r="Q209" s="10">
        <f t="shared" si="40"/>
        <v>96</v>
      </c>
      <c r="R209" s="9">
        <v>5.0000000000000001E-3</v>
      </c>
      <c r="S209" s="10">
        <f t="shared" si="41"/>
        <v>24</v>
      </c>
      <c r="T209" s="9">
        <f t="shared" si="42"/>
        <v>2.497918401332223E-2</v>
      </c>
      <c r="U209" s="10">
        <f t="shared" si="43"/>
        <v>120</v>
      </c>
      <c r="V209" s="10">
        <f t="shared" si="44"/>
        <v>4924</v>
      </c>
      <c r="W209" s="11">
        <v>4804</v>
      </c>
      <c r="X209" s="12">
        <f t="shared" si="45"/>
        <v>0</v>
      </c>
      <c r="Y209" s="13">
        <f t="shared" si="46"/>
        <v>0</v>
      </c>
      <c r="Z209" s="14" t="str">
        <f t="shared" si="47"/>
        <v>0.00%-8.40%</v>
      </c>
      <c r="AA209" s="15"/>
      <c r="AB209" s="15"/>
      <c r="AC209" s="15"/>
      <c r="AD209" s="16"/>
      <c r="AE209" s="8">
        <f t="shared" si="48"/>
        <v>0</v>
      </c>
      <c r="AF209" s="17">
        <f t="shared" si="49"/>
        <v>4804</v>
      </c>
      <c r="AG209" s="18">
        <f t="shared" si="50"/>
        <v>0</v>
      </c>
      <c r="AH209" s="19">
        <f t="shared" si="51"/>
        <v>0</v>
      </c>
      <c r="AI209" s="20">
        <v>13.6</v>
      </c>
      <c r="AJ209" s="20">
        <v>450</v>
      </c>
      <c r="AK209" s="20"/>
      <c r="AL209" s="20">
        <v>688</v>
      </c>
      <c r="AM209" s="20">
        <f t="shared" si="52"/>
        <v>71422.399999999994</v>
      </c>
      <c r="AN209" s="7" t="s">
        <v>176</v>
      </c>
      <c r="AO209" s="20" t="s">
        <v>364</v>
      </c>
      <c r="AP209" s="21" t="s">
        <v>508</v>
      </c>
      <c r="AQ209" s="21" t="s">
        <v>281</v>
      </c>
      <c r="AR209" s="5" t="s">
        <v>466</v>
      </c>
      <c r="AS209" s="5" t="s">
        <v>164</v>
      </c>
      <c r="AT209" s="5" t="s">
        <v>59</v>
      </c>
      <c r="AU209" s="20"/>
      <c r="AV209" s="21"/>
      <c r="AW209" s="21"/>
      <c r="AX209" s="21"/>
    </row>
    <row r="210" spans="1:50" s="55" customFormat="1">
      <c r="A210" s="86" t="s">
        <v>318</v>
      </c>
      <c r="B210" s="5">
        <v>15016991</v>
      </c>
      <c r="C210" s="5" t="s">
        <v>579</v>
      </c>
      <c r="D210" s="5" t="s">
        <v>321</v>
      </c>
      <c r="E210" s="5" t="s">
        <v>52</v>
      </c>
      <c r="F210" s="5" t="s">
        <v>62</v>
      </c>
      <c r="G210" s="5" t="s">
        <v>202</v>
      </c>
      <c r="H210" s="5" t="s">
        <v>464</v>
      </c>
      <c r="I210" s="6">
        <v>42979</v>
      </c>
      <c r="J210" s="5" t="s">
        <v>336</v>
      </c>
      <c r="K210" s="5" t="s">
        <v>548</v>
      </c>
      <c r="L210" s="5" t="s">
        <v>324</v>
      </c>
      <c r="M210" s="7">
        <v>6</v>
      </c>
      <c r="N210" s="7" t="s">
        <v>176</v>
      </c>
      <c r="O210" s="8">
        <v>4675</v>
      </c>
      <c r="P210" s="9">
        <v>0.02</v>
      </c>
      <c r="Q210" s="10">
        <f t="shared" si="40"/>
        <v>94</v>
      </c>
      <c r="R210" s="9">
        <v>5.0000000000000001E-3</v>
      </c>
      <c r="S210" s="10">
        <f t="shared" si="41"/>
        <v>23</v>
      </c>
      <c r="T210" s="9">
        <f t="shared" si="42"/>
        <v>2.502673796791444E-2</v>
      </c>
      <c r="U210" s="10">
        <f t="shared" si="43"/>
        <v>117</v>
      </c>
      <c r="V210" s="10">
        <f t="shared" si="44"/>
        <v>4792</v>
      </c>
      <c r="W210" s="11">
        <v>4675</v>
      </c>
      <c r="X210" s="12">
        <f t="shared" si="45"/>
        <v>0</v>
      </c>
      <c r="Y210" s="13">
        <f t="shared" si="46"/>
        <v>0</v>
      </c>
      <c r="Z210" s="14" t="str">
        <f t="shared" si="47"/>
        <v>0.00%-8.40%</v>
      </c>
      <c r="AA210" s="15"/>
      <c r="AB210" s="15"/>
      <c r="AC210" s="15"/>
      <c r="AD210" s="16"/>
      <c r="AE210" s="8">
        <f t="shared" si="48"/>
        <v>0</v>
      </c>
      <c r="AF210" s="17">
        <f t="shared" si="49"/>
        <v>4675</v>
      </c>
      <c r="AG210" s="18">
        <f t="shared" si="50"/>
        <v>0</v>
      </c>
      <c r="AH210" s="19">
        <f t="shared" si="51"/>
        <v>0</v>
      </c>
      <c r="AI210" s="20">
        <v>13.6</v>
      </c>
      <c r="AJ210" s="20">
        <v>450</v>
      </c>
      <c r="AK210" s="20"/>
      <c r="AL210" s="20">
        <v>688</v>
      </c>
      <c r="AM210" s="20">
        <f t="shared" si="52"/>
        <v>69668</v>
      </c>
      <c r="AN210" s="7" t="s">
        <v>176</v>
      </c>
      <c r="AO210" s="20"/>
      <c r="AP210" s="21" t="s">
        <v>487</v>
      </c>
      <c r="AQ210" s="21" t="s">
        <v>496</v>
      </c>
      <c r="AR210" s="5" t="s">
        <v>466</v>
      </c>
      <c r="AS210" s="5" t="s">
        <v>164</v>
      </c>
      <c r="AT210" s="5" t="s">
        <v>59</v>
      </c>
      <c r="AU210" s="20"/>
      <c r="AV210" s="21"/>
      <c r="AW210" s="21"/>
      <c r="AX210" s="21"/>
    </row>
    <row r="211" spans="1:50" s="55" customFormat="1">
      <c r="A211" s="86" t="s">
        <v>318</v>
      </c>
      <c r="B211" s="5">
        <v>15009224</v>
      </c>
      <c r="C211" s="5" t="s">
        <v>580</v>
      </c>
      <c r="D211" s="5" t="s">
        <v>321</v>
      </c>
      <c r="E211" s="5" t="s">
        <v>52</v>
      </c>
      <c r="F211" s="5" t="s">
        <v>62</v>
      </c>
      <c r="G211" s="5" t="s">
        <v>202</v>
      </c>
      <c r="H211" s="5" t="s">
        <v>464</v>
      </c>
      <c r="I211" s="6">
        <v>41487</v>
      </c>
      <c r="J211" s="5" t="s">
        <v>336</v>
      </c>
      <c r="K211" s="5" t="s">
        <v>511</v>
      </c>
      <c r="L211" s="5" t="s">
        <v>324</v>
      </c>
      <c r="M211" s="7">
        <v>6</v>
      </c>
      <c r="N211" s="7" t="s">
        <v>176</v>
      </c>
      <c r="O211" s="8">
        <v>5324</v>
      </c>
      <c r="P211" s="9">
        <v>0.02</v>
      </c>
      <c r="Q211" s="10">
        <f t="shared" si="40"/>
        <v>106</v>
      </c>
      <c r="R211" s="9">
        <v>5.0000000000000001E-3</v>
      </c>
      <c r="S211" s="10">
        <f t="shared" si="41"/>
        <v>27</v>
      </c>
      <c r="T211" s="9">
        <f t="shared" si="42"/>
        <v>2.4981217129977459E-2</v>
      </c>
      <c r="U211" s="10">
        <f t="shared" si="43"/>
        <v>133</v>
      </c>
      <c r="V211" s="10">
        <f t="shared" si="44"/>
        <v>5457</v>
      </c>
      <c r="W211" s="11">
        <v>5536.96</v>
      </c>
      <c r="X211" s="12">
        <f t="shared" si="45"/>
        <v>212.96000000000004</v>
      </c>
      <c r="Y211" s="13">
        <f t="shared" si="46"/>
        <v>0.04</v>
      </c>
      <c r="Z211" s="14" t="str">
        <f t="shared" si="47"/>
        <v>0.00%-8.40%</v>
      </c>
      <c r="AA211" s="15"/>
      <c r="AB211" s="15"/>
      <c r="AC211" s="15"/>
      <c r="AD211" s="16"/>
      <c r="AE211" s="8">
        <f t="shared" si="48"/>
        <v>0</v>
      </c>
      <c r="AF211" s="17">
        <f t="shared" si="49"/>
        <v>5536.96</v>
      </c>
      <c r="AG211" s="18">
        <f t="shared" si="50"/>
        <v>212.96000000000004</v>
      </c>
      <c r="AH211" s="19">
        <f t="shared" si="51"/>
        <v>4.0000000000000036E-2</v>
      </c>
      <c r="AI211" s="20">
        <v>13.6</v>
      </c>
      <c r="AJ211" s="20">
        <v>450</v>
      </c>
      <c r="AK211" s="20"/>
      <c r="AL211" s="20">
        <v>688</v>
      </c>
      <c r="AM211" s="20">
        <f t="shared" si="52"/>
        <v>81390.656000000003</v>
      </c>
      <c r="AN211" s="7" t="s">
        <v>176</v>
      </c>
      <c r="AO211" s="20"/>
      <c r="AP211" s="21" t="s">
        <v>525</v>
      </c>
      <c r="AQ211" s="21"/>
      <c r="AR211" s="5" t="s">
        <v>466</v>
      </c>
      <c r="AS211" s="5" t="s">
        <v>164</v>
      </c>
      <c r="AT211" s="5" t="s">
        <v>59</v>
      </c>
      <c r="AU211" s="20"/>
      <c r="AV211" s="21"/>
      <c r="AW211" s="21"/>
      <c r="AX211" s="21"/>
    </row>
    <row r="212" spans="1:50" s="55" customFormat="1">
      <c r="A212" s="86" t="s">
        <v>318</v>
      </c>
      <c r="B212" s="5">
        <v>15012511</v>
      </c>
      <c r="C212" s="5" t="s">
        <v>581</v>
      </c>
      <c r="D212" s="5" t="s">
        <v>321</v>
      </c>
      <c r="E212" s="5" t="s">
        <v>52</v>
      </c>
      <c r="F212" s="5" t="s">
        <v>62</v>
      </c>
      <c r="G212" s="5" t="s">
        <v>202</v>
      </c>
      <c r="H212" s="5" t="s">
        <v>464</v>
      </c>
      <c r="I212" s="6">
        <v>41760</v>
      </c>
      <c r="J212" s="5" t="s">
        <v>336</v>
      </c>
      <c r="K212" s="5" t="s">
        <v>511</v>
      </c>
      <c r="L212" s="5" t="s">
        <v>324</v>
      </c>
      <c r="M212" s="7">
        <v>6</v>
      </c>
      <c r="N212" s="7" t="s">
        <v>176</v>
      </c>
      <c r="O212" s="8">
        <v>4860</v>
      </c>
      <c r="P212" s="9">
        <v>0.02</v>
      </c>
      <c r="Q212" s="10">
        <f t="shared" si="40"/>
        <v>97</v>
      </c>
      <c r="R212" s="9">
        <v>5.0000000000000001E-3</v>
      </c>
      <c r="S212" s="10">
        <f t="shared" si="41"/>
        <v>24</v>
      </c>
      <c r="T212" s="9">
        <f t="shared" si="42"/>
        <v>2.4897119341563786E-2</v>
      </c>
      <c r="U212" s="10">
        <f t="shared" si="43"/>
        <v>121</v>
      </c>
      <c r="V212" s="10">
        <f t="shared" si="44"/>
        <v>4981</v>
      </c>
      <c r="W212" s="11">
        <v>4981.5</v>
      </c>
      <c r="X212" s="12">
        <f t="shared" si="45"/>
        <v>121.5</v>
      </c>
      <c r="Y212" s="13">
        <f t="shared" si="46"/>
        <v>2.5000000000000001E-2</v>
      </c>
      <c r="Z212" s="14" t="str">
        <f t="shared" si="47"/>
        <v>0.00%-8.40%</v>
      </c>
      <c r="AA212" s="15"/>
      <c r="AB212" s="15"/>
      <c r="AC212" s="15"/>
      <c r="AD212" s="16"/>
      <c r="AE212" s="8">
        <f t="shared" si="48"/>
        <v>0</v>
      </c>
      <c r="AF212" s="17">
        <f t="shared" si="49"/>
        <v>4981.5</v>
      </c>
      <c r="AG212" s="18">
        <f t="shared" si="50"/>
        <v>121.5</v>
      </c>
      <c r="AH212" s="19">
        <f t="shared" si="51"/>
        <v>2.4999999999999911E-2</v>
      </c>
      <c r="AI212" s="20">
        <v>13.6</v>
      </c>
      <c r="AJ212" s="20">
        <v>450</v>
      </c>
      <c r="AK212" s="20"/>
      <c r="AL212" s="20">
        <v>688</v>
      </c>
      <c r="AM212" s="20">
        <f t="shared" si="52"/>
        <v>73836.399999999994</v>
      </c>
      <c r="AN212" s="7" t="s">
        <v>176</v>
      </c>
      <c r="AO212" s="20"/>
      <c r="AP212" s="21" t="s">
        <v>465</v>
      </c>
      <c r="AQ212" s="21"/>
      <c r="AR212" s="5" t="s">
        <v>466</v>
      </c>
      <c r="AS212" s="5" t="s">
        <v>164</v>
      </c>
      <c r="AT212" s="5" t="s">
        <v>59</v>
      </c>
      <c r="AU212" s="20"/>
      <c r="AV212" s="21"/>
      <c r="AW212" s="21"/>
      <c r="AX212" s="21"/>
    </row>
    <row r="213" spans="1:50" s="55" customFormat="1">
      <c r="A213" s="86" t="s">
        <v>318</v>
      </c>
      <c r="B213" s="5">
        <v>15018086</v>
      </c>
      <c r="C213" s="5" t="s">
        <v>582</v>
      </c>
      <c r="D213" s="5" t="s">
        <v>321</v>
      </c>
      <c r="E213" s="5" t="s">
        <v>52</v>
      </c>
      <c r="F213" s="5" t="s">
        <v>62</v>
      </c>
      <c r="G213" s="5" t="s">
        <v>202</v>
      </c>
      <c r="H213" s="5" t="s">
        <v>464</v>
      </c>
      <c r="I213" s="6">
        <v>43132</v>
      </c>
      <c r="J213" s="5" t="s">
        <v>336</v>
      </c>
      <c r="K213" s="5" t="s">
        <v>511</v>
      </c>
      <c r="L213" s="5" t="s">
        <v>324</v>
      </c>
      <c r="M213" s="7">
        <v>6</v>
      </c>
      <c r="N213" s="7" t="s">
        <v>176</v>
      </c>
      <c r="O213" s="8">
        <v>5208</v>
      </c>
      <c r="P213" s="9">
        <v>0.02</v>
      </c>
      <c r="Q213" s="10">
        <f t="shared" si="40"/>
        <v>104</v>
      </c>
      <c r="R213" s="9">
        <v>5.0000000000000001E-3</v>
      </c>
      <c r="S213" s="10">
        <f t="shared" si="41"/>
        <v>26</v>
      </c>
      <c r="T213" s="9">
        <f t="shared" si="42"/>
        <v>2.4961597542242704E-2</v>
      </c>
      <c r="U213" s="10">
        <f t="shared" si="43"/>
        <v>130</v>
      </c>
      <c r="V213" s="10">
        <f t="shared" si="44"/>
        <v>5338</v>
      </c>
      <c r="W213" s="11">
        <v>5338.2</v>
      </c>
      <c r="X213" s="12">
        <f t="shared" si="45"/>
        <v>130.19999999999982</v>
      </c>
      <c r="Y213" s="13">
        <f t="shared" si="46"/>
        <v>2.5000000000000001E-2</v>
      </c>
      <c r="Z213" s="14" t="str">
        <f t="shared" si="47"/>
        <v>0.00%-8.40%</v>
      </c>
      <c r="AA213" s="15"/>
      <c r="AB213" s="15"/>
      <c r="AC213" s="15"/>
      <c r="AD213" s="16"/>
      <c r="AE213" s="8">
        <f t="shared" si="48"/>
        <v>0</v>
      </c>
      <c r="AF213" s="17">
        <f t="shared" si="49"/>
        <v>5338.2</v>
      </c>
      <c r="AG213" s="18">
        <f t="shared" si="50"/>
        <v>130.19999999999982</v>
      </c>
      <c r="AH213" s="19">
        <f t="shared" si="51"/>
        <v>2.4999999999999911E-2</v>
      </c>
      <c r="AI213" s="20">
        <v>13.6</v>
      </c>
      <c r="AJ213" s="20">
        <v>450</v>
      </c>
      <c r="AK213" s="20"/>
      <c r="AL213" s="20">
        <v>688</v>
      </c>
      <c r="AM213" s="20">
        <f t="shared" si="52"/>
        <v>78687.51999999999</v>
      </c>
      <c r="AN213" s="7" t="s">
        <v>176</v>
      </c>
      <c r="AO213" s="20"/>
      <c r="AP213" s="21" t="s">
        <v>465</v>
      </c>
      <c r="AQ213" s="21"/>
      <c r="AR213" s="5" t="s">
        <v>466</v>
      </c>
      <c r="AS213" s="5" t="s">
        <v>164</v>
      </c>
      <c r="AT213" s="5" t="s">
        <v>59</v>
      </c>
      <c r="AU213" s="20"/>
      <c r="AV213" s="21"/>
      <c r="AW213" s="21"/>
      <c r="AX213" s="21"/>
    </row>
    <row r="214" spans="1:50" s="55" customFormat="1">
      <c r="A214" s="86" t="s">
        <v>318</v>
      </c>
      <c r="B214" s="5">
        <v>15018096</v>
      </c>
      <c r="C214" s="5" t="s">
        <v>583</v>
      </c>
      <c r="D214" s="5" t="s">
        <v>321</v>
      </c>
      <c r="E214" s="5" t="s">
        <v>52</v>
      </c>
      <c r="F214" s="5" t="s">
        <v>62</v>
      </c>
      <c r="G214" s="5" t="s">
        <v>202</v>
      </c>
      <c r="H214" s="5" t="s">
        <v>464</v>
      </c>
      <c r="I214" s="6">
        <v>43160</v>
      </c>
      <c r="J214" s="5" t="s">
        <v>336</v>
      </c>
      <c r="K214" s="5" t="s">
        <v>511</v>
      </c>
      <c r="L214" s="5" t="s">
        <v>324</v>
      </c>
      <c r="M214" s="7">
        <v>6</v>
      </c>
      <c r="N214" s="7" t="s">
        <v>176</v>
      </c>
      <c r="O214" s="8">
        <v>5296</v>
      </c>
      <c r="P214" s="9">
        <v>0.02</v>
      </c>
      <c r="Q214" s="10">
        <f t="shared" si="40"/>
        <v>106</v>
      </c>
      <c r="R214" s="9">
        <v>5.0000000000000001E-3</v>
      </c>
      <c r="S214" s="10">
        <f t="shared" si="41"/>
        <v>26</v>
      </c>
      <c r="T214" s="9">
        <f t="shared" si="42"/>
        <v>2.4924471299093656E-2</v>
      </c>
      <c r="U214" s="10">
        <f t="shared" si="43"/>
        <v>132</v>
      </c>
      <c r="V214" s="10">
        <f t="shared" si="44"/>
        <v>5428</v>
      </c>
      <c r="W214" s="11">
        <v>5507.84</v>
      </c>
      <c r="X214" s="12">
        <f t="shared" si="45"/>
        <v>211.84000000000015</v>
      </c>
      <c r="Y214" s="13">
        <f t="shared" si="46"/>
        <v>0.04</v>
      </c>
      <c r="Z214" s="14" t="str">
        <f t="shared" si="47"/>
        <v>0.00%-8.40%</v>
      </c>
      <c r="AA214" s="15"/>
      <c r="AB214" s="15"/>
      <c r="AC214" s="15"/>
      <c r="AD214" s="16"/>
      <c r="AE214" s="8">
        <f t="shared" si="48"/>
        <v>0</v>
      </c>
      <c r="AF214" s="17">
        <f t="shared" si="49"/>
        <v>5507.84</v>
      </c>
      <c r="AG214" s="18">
        <f t="shared" si="50"/>
        <v>211.84000000000015</v>
      </c>
      <c r="AH214" s="19">
        <f t="shared" si="51"/>
        <v>4.0000000000000036E-2</v>
      </c>
      <c r="AI214" s="20">
        <v>13.6</v>
      </c>
      <c r="AJ214" s="20">
        <v>450</v>
      </c>
      <c r="AK214" s="20"/>
      <c r="AL214" s="20">
        <v>688</v>
      </c>
      <c r="AM214" s="20">
        <f t="shared" si="52"/>
        <v>80994.623999999996</v>
      </c>
      <c r="AN214" s="7" t="s">
        <v>176</v>
      </c>
      <c r="AO214" s="20"/>
      <c r="AP214" s="21" t="s">
        <v>525</v>
      </c>
      <c r="AQ214" s="21"/>
      <c r="AR214" s="5" t="s">
        <v>466</v>
      </c>
      <c r="AS214" s="5" t="s">
        <v>164</v>
      </c>
      <c r="AT214" s="5" t="s">
        <v>59</v>
      </c>
      <c r="AU214" s="20"/>
      <c r="AV214" s="21"/>
      <c r="AW214" s="21"/>
      <c r="AX214" s="21"/>
    </row>
    <row r="215" spans="1:50" s="55" customFormat="1">
      <c r="A215" s="86" t="s">
        <v>318</v>
      </c>
      <c r="B215" s="5">
        <v>15010303</v>
      </c>
      <c r="C215" s="5" t="s">
        <v>584</v>
      </c>
      <c r="D215" s="5" t="s">
        <v>321</v>
      </c>
      <c r="E215" s="5" t="s">
        <v>52</v>
      </c>
      <c r="F215" s="5" t="s">
        <v>62</v>
      </c>
      <c r="G215" s="5" t="s">
        <v>202</v>
      </c>
      <c r="H215" s="5" t="s">
        <v>464</v>
      </c>
      <c r="I215" s="6">
        <v>41548</v>
      </c>
      <c r="J215" s="5" t="s">
        <v>336</v>
      </c>
      <c r="K215" s="5" t="s">
        <v>511</v>
      </c>
      <c r="L215" s="5" t="s">
        <v>324</v>
      </c>
      <c r="M215" s="7">
        <v>6</v>
      </c>
      <c r="N215" s="7" t="s">
        <v>176</v>
      </c>
      <c r="O215" s="8">
        <v>4670</v>
      </c>
      <c r="P215" s="9">
        <v>0.02</v>
      </c>
      <c r="Q215" s="10">
        <f t="shared" si="40"/>
        <v>93</v>
      </c>
      <c r="R215" s="9">
        <v>5.0000000000000001E-3</v>
      </c>
      <c r="S215" s="10">
        <f t="shared" si="41"/>
        <v>23</v>
      </c>
      <c r="T215" s="9">
        <f t="shared" si="42"/>
        <v>2.4839400428265525E-2</v>
      </c>
      <c r="U215" s="10">
        <f t="shared" si="43"/>
        <v>116</v>
      </c>
      <c r="V215" s="10">
        <f t="shared" si="44"/>
        <v>4786</v>
      </c>
      <c r="W215" s="11">
        <v>4670</v>
      </c>
      <c r="X215" s="12">
        <f t="shared" si="45"/>
        <v>0</v>
      </c>
      <c r="Y215" s="13">
        <f t="shared" si="46"/>
        <v>0</v>
      </c>
      <c r="Z215" s="14" t="str">
        <f t="shared" si="47"/>
        <v>0.00%-8.40%</v>
      </c>
      <c r="AA215" s="15"/>
      <c r="AB215" s="15"/>
      <c r="AC215" s="15"/>
      <c r="AD215" s="16"/>
      <c r="AE215" s="8">
        <f t="shared" si="48"/>
        <v>0</v>
      </c>
      <c r="AF215" s="17">
        <f t="shared" si="49"/>
        <v>4670</v>
      </c>
      <c r="AG215" s="18">
        <f t="shared" si="50"/>
        <v>0</v>
      </c>
      <c r="AH215" s="19">
        <f t="shared" si="51"/>
        <v>0</v>
      </c>
      <c r="AI215" s="20">
        <v>13.6</v>
      </c>
      <c r="AJ215" s="20">
        <v>450</v>
      </c>
      <c r="AK215" s="20"/>
      <c r="AL215" s="20">
        <v>688</v>
      </c>
      <c r="AM215" s="20">
        <f t="shared" si="52"/>
        <v>69600</v>
      </c>
      <c r="AN215" s="7" t="s">
        <v>176</v>
      </c>
      <c r="AO215" s="20" t="s">
        <v>364</v>
      </c>
      <c r="AP215" s="21" t="s">
        <v>508</v>
      </c>
      <c r="AQ215" s="21" t="s">
        <v>281</v>
      </c>
      <c r="AR215" s="5" t="s">
        <v>466</v>
      </c>
      <c r="AS215" s="5" t="s">
        <v>164</v>
      </c>
      <c r="AT215" s="5" t="s">
        <v>59</v>
      </c>
      <c r="AU215" s="20"/>
      <c r="AV215" s="21"/>
      <c r="AW215" s="21"/>
      <c r="AX215" s="21"/>
    </row>
    <row r="216" spans="1:50" s="55" customFormat="1">
      <c r="A216" s="86" t="s">
        <v>318</v>
      </c>
      <c r="B216" s="5">
        <v>15009781</v>
      </c>
      <c r="C216" s="5" t="s">
        <v>585</v>
      </c>
      <c r="D216" s="5" t="s">
        <v>321</v>
      </c>
      <c r="E216" s="5" t="s">
        <v>52</v>
      </c>
      <c r="F216" s="5" t="s">
        <v>62</v>
      </c>
      <c r="G216" s="5" t="s">
        <v>202</v>
      </c>
      <c r="H216" s="5" t="s">
        <v>464</v>
      </c>
      <c r="I216" s="6">
        <v>41487</v>
      </c>
      <c r="J216" s="5" t="s">
        <v>336</v>
      </c>
      <c r="K216" s="5" t="s">
        <v>511</v>
      </c>
      <c r="L216" s="5" t="s">
        <v>324</v>
      </c>
      <c r="M216" s="7">
        <v>6</v>
      </c>
      <c r="N216" s="7" t="s">
        <v>176</v>
      </c>
      <c r="O216" s="8">
        <v>4999</v>
      </c>
      <c r="P216" s="9">
        <v>0.02</v>
      </c>
      <c r="Q216" s="10">
        <f t="shared" si="40"/>
        <v>100</v>
      </c>
      <c r="R216" s="9">
        <v>5.0000000000000001E-3</v>
      </c>
      <c r="S216" s="10">
        <f t="shared" si="41"/>
        <v>25</v>
      </c>
      <c r="T216" s="9">
        <f t="shared" si="42"/>
        <v>2.500500100020004E-2</v>
      </c>
      <c r="U216" s="10">
        <f t="shared" si="43"/>
        <v>125</v>
      </c>
      <c r="V216" s="10">
        <f t="shared" si="44"/>
        <v>5124</v>
      </c>
      <c r="W216" s="11">
        <v>5123.9750000000004</v>
      </c>
      <c r="X216" s="12">
        <f t="shared" si="45"/>
        <v>124.97500000000036</v>
      </c>
      <c r="Y216" s="13">
        <f t="shared" si="46"/>
        <v>2.5000000000000001E-2</v>
      </c>
      <c r="Z216" s="14" t="str">
        <f t="shared" si="47"/>
        <v>0.00%-8.40%</v>
      </c>
      <c r="AA216" s="15"/>
      <c r="AB216" s="15"/>
      <c r="AC216" s="15"/>
      <c r="AD216" s="16"/>
      <c r="AE216" s="8">
        <f t="shared" si="48"/>
        <v>0</v>
      </c>
      <c r="AF216" s="17">
        <f t="shared" si="49"/>
        <v>5123.9750000000004</v>
      </c>
      <c r="AG216" s="18">
        <f t="shared" si="50"/>
        <v>124.97500000000036</v>
      </c>
      <c r="AH216" s="19">
        <f t="shared" si="51"/>
        <v>2.5000000000000133E-2</v>
      </c>
      <c r="AI216" s="20">
        <v>13.6</v>
      </c>
      <c r="AJ216" s="20">
        <v>450</v>
      </c>
      <c r="AK216" s="20"/>
      <c r="AL216" s="20">
        <v>688</v>
      </c>
      <c r="AM216" s="20">
        <f t="shared" si="52"/>
        <v>75774.06</v>
      </c>
      <c r="AN216" s="7" t="s">
        <v>176</v>
      </c>
      <c r="AO216" s="20"/>
      <c r="AP216" s="21" t="s">
        <v>465</v>
      </c>
      <c r="AQ216" s="21"/>
      <c r="AR216" s="5" t="s">
        <v>466</v>
      </c>
      <c r="AS216" s="5" t="s">
        <v>164</v>
      </c>
      <c r="AT216" s="5" t="s">
        <v>59</v>
      </c>
      <c r="AU216" s="20"/>
      <c r="AV216" s="21"/>
      <c r="AW216" s="21"/>
      <c r="AX216" s="21"/>
    </row>
    <row r="217" spans="1:50" s="55" customFormat="1">
      <c r="A217" s="86" t="s">
        <v>318</v>
      </c>
      <c r="B217" s="5">
        <v>15015065</v>
      </c>
      <c r="C217" s="5" t="s">
        <v>586</v>
      </c>
      <c r="D217" s="5" t="s">
        <v>321</v>
      </c>
      <c r="E217" s="5" t="s">
        <v>52</v>
      </c>
      <c r="F217" s="5" t="s">
        <v>62</v>
      </c>
      <c r="G217" s="5" t="s">
        <v>202</v>
      </c>
      <c r="H217" s="5" t="s">
        <v>464</v>
      </c>
      <c r="I217" s="6">
        <v>42552</v>
      </c>
      <c r="J217" s="5" t="s">
        <v>336</v>
      </c>
      <c r="K217" s="5" t="s">
        <v>511</v>
      </c>
      <c r="L217" s="5" t="s">
        <v>324</v>
      </c>
      <c r="M217" s="7">
        <v>6</v>
      </c>
      <c r="N217" s="7" t="s">
        <v>176</v>
      </c>
      <c r="O217" s="8">
        <v>5550</v>
      </c>
      <c r="P217" s="9">
        <v>0.02</v>
      </c>
      <c r="Q217" s="10">
        <f t="shared" si="40"/>
        <v>111</v>
      </c>
      <c r="R217" s="9">
        <v>5.0000000000000001E-3</v>
      </c>
      <c r="S217" s="10">
        <f t="shared" si="41"/>
        <v>28</v>
      </c>
      <c r="T217" s="9">
        <f t="shared" si="42"/>
        <v>2.5045045045045046E-2</v>
      </c>
      <c r="U217" s="10">
        <f t="shared" si="43"/>
        <v>139</v>
      </c>
      <c r="V217" s="10">
        <f t="shared" si="44"/>
        <v>5689</v>
      </c>
      <c r="W217" s="11">
        <v>5688.75</v>
      </c>
      <c r="X217" s="12">
        <f t="shared" si="45"/>
        <v>138.75</v>
      </c>
      <c r="Y217" s="13">
        <f t="shared" si="46"/>
        <v>2.5000000000000001E-2</v>
      </c>
      <c r="Z217" s="14" t="str">
        <f t="shared" si="47"/>
        <v>0.00%-8.40%</v>
      </c>
      <c r="AA217" s="15"/>
      <c r="AB217" s="15"/>
      <c r="AC217" s="15"/>
      <c r="AD217" s="16"/>
      <c r="AE217" s="8">
        <f t="shared" si="48"/>
        <v>0</v>
      </c>
      <c r="AF217" s="17">
        <f t="shared" si="49"/>
        <v>5688.75</v>
      </c>
      <c r="AG217" s="18">
        <f t="shared" si="50"/>
        <v>138.75</v>
      </c>
      <c r="AH217" s="19">
        <f t="shared" si="51"/>
        <v>2.4999999999999911E-2</v>
      </c>
      <c r="AI217" s="20">
        <v>13.6</v>
      </c>
      <c r="AJ217" s="20">
        <v>450</v>
      </c>
      <c r="AK217" s="20"/>
      <c r="AL217" s="20">
        <v>688</v>
      </c>
      <c r="AM217" s="20">
        <f t="shared" si="52"/>
        <v>83455</v>
      </c>
      <c r="AN217" s="7" t="s">
        <v>176</v>
      </c>
      <c r="AO217" s="20"/>
      <c r="AP217" s="21" t="s">
        <v>465</v>
      </c>
      <c r="AQ217" s="21"/>
      <c r="AR217" s="5" t="s">
        <v>466</v>
      </c>
      <c r="AS217" s="5" t="s">
        <v>164</v>
      </c>
      <c r="AT217" s="5" t="s">
        <v>59</v>
      </c>
      <c r="AU217" s="20"/>
      <c r="AV217" s="21"/>
      <c r="AW217" s="21"/>
      <c r="AX217" s="21"/>
    </row>
    <row r="218" spans="1:50" s="55" customFormat="1">
      <c r="A218" s="86" t="s">
        <v>318</v>
      </c>
      <c r="B218" s="5">
        <v>15002796</v>
      </c>
      <c r="C218" s="5" t="s">
        <v>587</v>
      </c>
      <c r="D218" s="5" t="s">
        <v>321</v>
      </c>
      <c r="E218" s="5" t="s">
        <v>52</v>
      </c>
      <c r="F218" s="5" t="s">
        <v>62</v>
      </c>
      <c r="G218" s="5" t="s">
        <v>202</v>
      </c>
      <c r="H218" s="5" t="s">
        <v>464</v>
      </c>
      <c r="I218" s="6">
        <v>40148</v>
      </c>
      <c r="J218" s="5" t="s">
        <v>336</v>
      </c>
      <c r="K218" s="5" t="s">
        <v>511</v>
      </c>
      <c r="L218" s="5" t="s">
        <v>324</v>
      </c>
      <c r="M218" s="7">
        <v>6</v>
      </c>
      <c r="N218" s="7" t="s">
        <v>176</v>
      </c>
      <c r="O218" s="8">
        <v>5258</v>
      </c>
      <c r="P218" s="9">
        <v>0.02</v>
      </c>
      <c r="Q218" s="10">
        <f t="shared" si="40"/>
        <v>105</v>
      </c>
      <c r="R218" s="9">
        <v>5.0000000000000001E-3</v>
      </c>
      <c r="S218" s="10">
        <f t="shared" si="41"/>
        <v>26</v>
      </c>
      <c r="T218" s="9">
        <f t="shared" si="42"/>
        <v>2.4914416127805251E-2</v>
      </c>
      <c r="U218" s="10">
        <f t="shared" si="43"/>
        <v>131</v>
      </c>
      <c r="V218" s="10">
        <f t="shared" si="44"/>
        <v>5389</v>
      </c>
      <c r="W218" s="11">
        <v>5389.45</v>
      </c>
      <c r="X218" s="12">
        <f t="shared" si="45"/>
        <v>131.44999999999982</v>
      </c>
      <c r="Y218" s="13">
        <f t="shared" si="46"/>
        <v>2.5000000000000001E-2</v>
      </c>
      <c r="Z218" s="14" t="str">
        <f t="shared" si="47"/>
        <v>0.00%-8.40%</v>
      </c>
      <c r="AA218" s="15"/>
      <c r="AB218" s="15"/>
      <c r="AC218" s="15"/>
      <c r="AD218" s="16"/>
      <c r="AE218" s="8">
        <f t="shared" si="48"/>
        <v>0</v>
      </c>
      <c r="AF218" s="17">
        <f t="shared" si="49"/>
        <v>5389.45</v>
      </c>
      <c r="AG218" s="18">
        <f t="shared" si="50"/>
        <v>131.44999999999982</v>
      </c>
      <c r="AH218" s="19">
        <f t="shared" si="51"/>
        <v>2.4999999999999911E-2</v>
      </c>
      <c r="AI218" s="20">
        <v>13.6</v>
      </c>
      <c r="AJ218" s="20">
        <v>450</v>
      </c>
      <c r="AK218" s="20"/>
      <c r="AL218" s="20">
        <v>688</v>
      </c>
      <c r="AM218" s="20">
        <f t="shared" si="52"/>
        <v>79384.51999999999</v>
      </c>
      <c r="AN218" s="7" t="s">
        <v>176</v>
      </c>
      <c r="AO218" s="20"/>
      <c r="AP218" s="21" t="s">
        <v>465</v>
      </c>
      <c r="AQ218" s="21"/>
      <c r="AR218" s="5" t="s">
        <v>466</v>
      </c>
      <c r="AS218" s="5" t="s">
        <v>164</v>
      </c>
      <c r="AT218" s="5" t="s">
        <v>59</v>
      </c>
      <c r="AU218" s="20"/>
      <c r="AV218" s="21"/>
      <c r="AW218" s="21"/>
      <c r="AX218" s="21"/>
    </row>
    <row r="219" spans="1:50" s="55" customFormat="1">
      <c r="A219" s="86" t="s">
        <v>318</v>
      </c>
      <c r="B219" s="5">
        <v>15014340</v>
      </c>
      <c r="C219" s="5" t="s">
        <v>587</v>
      </c>
      <c r="D219" s="5" t="s">
        <v>321</v>
      </c>
      <c r="E219" s="5" t="s">
        <v>52</v>
      </c>
      <c r="F219" s="5" t="s">
        <v>62</v>
      </c>
      <c r="G219" s="5" t="s">
        <v>202</v>
      </c>
      <c r="H219" s="5" t="s">
        <v>464</v>
      </c>
      <c r="I219" s="6">
        <v>42217</v>
      </c>
      <c r="J219" s="5" t="s">
        <v>336</v>
      </c>
      <c r="K219" s="5" t="s">
        <v>511</v>
      </c>
      <c r="L219" s="5" t="s">
        <v>324</v>
      </c>
      <c r="M219" s="7">
        <v>6</v>
      </c>
      <c r="N219" s="7" t="s">
        <v>176</v>
      </c>
      <c r="O219" s="8">
        <v>4903</v>
      </c>
      <c r="P219" s="9">
        <v>0.02</v>
      </c>
      <c r="Q219" s="10">
        <f t="shared" si="40"/>
        <v>98</v>
      </c>
      <c r="R219" s="9">
        <v>5.0000000000000001E-3</v>
      </c>
      <c r="S219" s="10">
        <f t="shared" si="41"/>
        <v>25</v>
      </c>
      <c r="T219" s="9">
        <f t="shared" si="42"/>
        <v>2.5086681623495821E-2</v>
      </c>
      <c r="U219" s="10">
        <f t="shared" si="43"/>
        <v>123</v>
      </c>
      <c r="V219" s="10">
        <f t="shared" si="44"/>
        <v>5026</v>
      </c>
      <c r="W219" s="11">
        <v>5025.5749999999998</v>
      </c>
      <c r="X219" s="12">
        <f t="shared" si="45"/>
        <v>122.57499999999982</v>
      </c>
      <c r="Y219" s="13">
        <f t="shared" si="46"/>
        <v>2.5000000000000001E-2</v>
      </c>
      <c r="Z219" s="14" t="str">
        <f t="shared" si="47"/>
        <v>0.00%-8.40%</v>
      </c>
      <c r="AA219" s="15"/>
      <c r="AB219" s="15"/>
      <c r="AC219" s="15"/>
      <c r="AD219" s="16"/>
      <c r="AE219" s="8">
        <f t="shared" si="48"/>
        <v>0</v>
      </c>
      <c r="AF219" s="17">
        <f t="shared" si="49"/>
        <v>5025.5749999999998</v>
      </c>
      <c r="AG219" s="18">
        <f t="shared" si="50"/>
        <v>122.57499999999982</v>
      </c>
      <c r="AH219" s="19">
        <f t="shared" si="51"/>
        <v>2.4999999999999911E-2</v>
      </c>
      <c r="AI219" s="20">
        <v>13.6</v>
      </c>
      <c r="AJ219" s="20">
        <v>450</v>
      </c>
      <c r="AK219" s="20"/>
      <c r="AL219" s="20">
        <v>688</v>
      </c>
      <c r="AM219" s="20">
        <f t="shared" si="52"/>
        <v>74435.819999999992</v>
      </c>
      <c r="AN219" s="7" t="s">
        <v>176</v>
      </c>
      <c r="AO219" s="20"/>
      <c r="AP219" s="21" t="s">
        <v>465</v>
      </c>
      <c r="AQ219" s="21"/>
      <c r="AR219" s="5" t="s">
        <v>466</v>
      </c>
      <c r="AS219" s="5" t="s">
        <v>164</v>
      </c>
      <c r="AT219" s="5" t="s">
        <v>59</v>
      </c>
      <c r="AU219" s="20"/>
      <c r="AV219" s="21"/>
      <c r="AW219" s="21"/>
      <c r="AX219" s="21"/>
    </row>
    <row r="220" spans="1:50" s="55" customFormat="1">
      <c r="A220" s="86" t="s">
        <v>318</v>
      </c>
      <c r="B220" s="5">
        <v>15012526</v>
      </c>
      <c r="C220" s="5" t="s">
        <v>588</v>
      </c>
      <c r="D220" s="5" t="s">
        <v>321</v>
      </c>
      <c r="E220" s="5" t="s">
        <v>52</v>
      </c>
      <c r="F220" s="5" t="s">
        <v>62</v>
      </c>
      <c r="G220" s="5" t="s">
        <v>202</v>
      </c>
      <c r="H220" s="5" t="s">
        <v>464</v>
      </c>
      <c r="I220" s="6">
        <v>41791</v>
      </c>
      <c r="J220" s="5" t="s">
        <v>336</v>
      </c>
      <c r="K220" s="5" t="s">
        <v>511</v>
      </c>
      <c r="L220" s="5" t="s">
        <v>324</v>
      </c>
      <c r="M220" s="7">
        <v>6</v>
      </c>
      <c r="N220" s="7" t="s">
        <v>176</v>
      </c>
      <c r="O220" s="8">
        <v>4978</v>
      </c>
      <c r="P220" s="9">
        <v>0.02</v>
      </c>
      <c r="Q220" s="10">
        <f t="shared" si="40"/>
        <v>100</v>
      </c>
      <c r="R220" s="9">
        <v>5.0000000000000001E-3</v>
      </c>
      <c r="S220" s="10">
        <f t="shared" si="41"/>
        <v>25</v>
      </c>
      <c r="T220" s="9">
        <f t="shared" si="42"/>
        <v>2.5110486139011651E-2</v>
      </c>
      <c r="U220" s="10">
        <f t="shared" si="43"/>
        <v>125</v>
      </c>
      <c r="V220" s="10">
        <f t="shared" si="44"/>
        <v>5103</v>
      </c>
      <c r="W220" s="11">
        <v>5102.45</v>
      </c>
      <c r="X220" s="12">
        <f t="shared" si="45"/>
        <v>124.44999999999982</v>
      </c>
      <c r="Y220" s="13">
        <f t="shared" si="46"/>
        <v>2.5000000000000001E-2</v>
      </c>
      <c r="Z220" s="14" t="str">
        <f t="shared" si="47"/>
        <v>0.00%-8.40%</v>
      </c>
      <c r="AA220" s="15"/>
      <c r="AB220" s="15"/>
      <c r="AC220" s="15"/>
      <c r="AD220" s="16"/>
      <c r="AE220" s="8">
        <f t="shared" si="48"/>
        <v>0</v>
      </c>
      <c r="AF220" s="17">
        <f t="shared" si="49"/>
        <v>5102.45</v>
      </c>
      <c r="AG220" s="18">
        <f t="shared" si="50"/>
        <v>124.44999999999982</v>
      </c>
      <c r="AH220" s="19">
        <f t="shared" si="51"/>
        <v>2.4999999999999911E-2</v>
      </c>
      <c r="AI220" s="20">
        <v>13.6</v>
      </c>
      <c r="AJ220" s="20">
        <v>450</v>
      </c>
      <c r="AK220" s="20"/>
      <c r="AL220" s="20">
        <v>688</v>
      </c>
      <c r="AM220" s="20">
        <f t="shared" si="52"/>
        <v>75481.319999999992</v>
      </c>
      <c r="AN220" s="7" t="s">
        <v>176</v>
      </c>
      <c r="AO220" s="20"/>
      <c r="AP220" s="21" t="s">
        <v>465</v>
      </c>
      <c r="AQ220" s="21"/>
      <c r="AR220" s="5" t="s">
        <v>466</v>
      </c>
      <c r="AS220" s="5" t="s">
        <v>164</v>
      </c>
      <c r="AT220" s="5" t="s">
        <v>59</v>
      </c>
      <c r="AU220" s="20"/>
      <c r="AV220" s="21"/>
      <c r="AW220" s="21"/>
      <c r="AX220" s="21"/>
    </row>
    <row r="221" spans="1:50" s="55" customFormat="1">
      <c r="A221" s="86" t="s">
        <v>318</v>
      </c>
      <c r="B221" s="5">
        <v>15009263</v>
      </c>
      <c r="C221" s="5" t="s">
        <v>589</v>
      </c>
      <c r="D221" s="5" t="s">
        <v>321</v>
      </c>
      <c r="E221" s="5" t="s">
        <v>52</v>
      </c>
      <c r="F221" s="5" t="s">
        <v>62</v>
      </c>
      <c r="G221" s="5" t="s">
        <v>202</v>
      </c>
      <c r="H221" s="5" t="s">
        <v>464</v>
      </c>
      <c r="I221" s="6">
        <v>41279</v>
      </c>
      <c r="J221" s="5" t="s">
        <v>336</v>
      </c>
      <c r="K221" s="5" t="s">
        <v>511</v>
      </c>
      <c r="L221" s="5" t="s">
        <v>324</v>
      </c>
      <c r="M221" s="7">
        <v>6</v>
      </c>
      <c r="N221" s="7" t="s">
        <v>176</v>
      </c>
      <c r="O221" s="8">
        <v>4860</v>
      </c>
      <c r="P221" s="9">
        <v>0.02</v>
      </c>
      <c r="Q221" s="10">
        <f t="shared" si="40"/>
        <v>97</v>
      </c>
      <c r="R221" s="9">
        <v>5.0000000000000001E-3</v>
      </c>
      <c r="S221" s="10">
        <f t="shared" si="41"/>
        <v>24</v>
      </c>
      <c r="T221" s="9">
        <f t="shared" si="42"/>
        <v>2.4897119341563786E-2</v>
      </c>
      <c r="U221" s="10">
        <f t="shared" si="43"/>
        <v>121</v>
      </c>
      <c r="V221" s="10">
        <f t="shared" si="44"/>
        <v>4981</v>
      </c>
      <c r="W221" s="11">
        <v>4981.5</v>
      </c>
      <c r="X221" s="12">
        <f t="shared" si="45"/>
        <v>121.5</v>
      </c>
      <c r="Y221" s="13">
        <f t="shared" si="46"/>
        <v>2.5000000000000001E-2</v>
      </c>
      <c r="Z221" s="14" t="str">
        <f t="shared" si="47"/>
        <v>0.00%-8.40%</v>
      </c>
      <c r="AA221" s="15"/>
      <c r="AB221" s="15"/>
      <c r="AC221" s="15"/>
      <c r="AD221" s="16"/>
      <c r="AE221" s="8">
        <f t="shared" si="48"/>
        <v>0</v>
      </c>
      <c r="AF221" s="17">
        <f t="shared" si="49"/>
        <v>4981.5</v>
      </c>
      <c r="AG221" s="18">
        <f t="shared" si="50"/>
        <v>121.5</v>
      </c>
      <c r="AH221" s="19">
        <f t="shared" si="51"/>
        <v>2.4999999999999911E-2</v>
      </c>
      <c r="AI221" s="20">
        <v>13.6</v>
      </c>
      <c r="AJ221" s="20">
        <v>450</v>
      </c>
      <c r="AK221" s="20"/>
      <c r="AL221" s="20">
        <v>688</v>
      </c>
      <c r="AM221" s="20">
        <f t="shared" si="52"/>
        <v>73836.399999999994</v>
      </c>
      <c r="AN221" s="7" t="s">
        <v>176</v>
      </c>
      <c r="AO221" s="20"/>
      <c r="AP221" s="21" t="s">
        <v>465</v>
      </c>
      <c r="AQ221" s="21"/>
      <c r="AR221" s="5" t="s">
        <v>466</v>
      </c>
      <c r="AS221" s="5" t="s">
        <v>164</v>
      </c>
      <c r="AT221" s="5" t="s">
        <v>59</v>
      </c>
      <c r="AU221" s="20"/>
      <c r="AV221" s="21"/>
      <c r="AW221" s="21"/>
      <c r="AX221" s="21"/>
    </row>
    <row r="222" spans="1:50" s="55" customFormat="1">
      <c r="A222" s="86" t="s">
        <v>318</v>
      </c>
      <c r="B222" s="5">
        <v>15011573</v>
      </c>
      <c r="C222" s="5" t="s">
        <v>590</v>
      </c>
      <c r="D222" s="5" t="s">
        <v>321</v>
      </c>
      <c r="E222" s="5" t="s">
        <v>52</v>
      </c>
      <c r="F222" s="5" t="s">
        <v>62</v>
      </c>
      <c r="G222" s="5" t="s">
        <v>202</v>
      </c>
      <c r="H222" s="5" t="s">
        <v>464</v>
      </c>
      <c r="I222" s="6">
        <v>41640</v>
      </c>
      <c r="J222" s="5" t="s">
        <v>336</v>
      </c>
      <c r="K222" s="5" t="s">
        <v>511</v>
      </c>
      <c r="L222" s="5" t="s">
        <v>324</v>
      </c>
      <c r="M222" s="7">
        <v>6</v>
      </c>
      <c r="N222" s="7" t="s">
        <v>176</v>
      </c>
      <c r="O222" s="8">
        <v>5227</v>
      </c>
      <c r="P222" s="9">
        <v>0.02</v>
      </c>
      <c r="Q222" s="10">
        <f t="shared" si="40"/>
        <v>105</v>
      </c>
      <c r="R222" s="9">
        <v>5.0000000000000001E-3</v>
      </c>
      <c r="S222" s="10">
        <f t="shared" si="41"/>
        <v>26</v>
      </c>
      <c r="T222" s="9">
        <f t="shared" si="42"/>
        <v>2.5062177157069064E-2</v>
      </c>
      <c r="U222" s="10">
        <f t="shared" si="43"/>
        <v>131</v>
      </c>
      <c r="V222" s="10">
        <f t="shared" si="44"/>
        <v>5358</v>
      </c>
      <c r="W222" s="11">
        <v>5357.6750000000002</v>
      </c>
      <c r="X222" s="12">
        <f t="shared" si="45"/>
        <v>130.67500000000018</v>
      </c>
      <c r="Y222" s="13">
        <f t="shared" si="46"/>
        <v>2.5000000000000001E-2</v>
      </c>
      <c r="Z222" s="14" t="str">
        <f t="shared" si="47"/>
        <v>0.00%-8.40%</v>
      </c>
      <c r="AA222" s="15"/>
      <c r="AB222" s="15"/>
      <c r="AC222" s="15"/>
      <c r="AD222" s="16"/>
      <c r="AE222" s="8">
        <f t="shared" si="48"/>
        <v>0</v>
      </c>
      <c r="AF222" s="17">
        <f t="shared" si="49"/>
        <v>5357.6750000000002</v>
      </c>
      <c r="AG222" s="18">
        <f t="shared" si="50"/>
        <v>130.67500000000018</v>
      </c>
      <c r="AH222" s="19">
        <f t="shared" si="51"/>
        <v>2.5000000000000133E-2</v>
      </c>
      <c r="AI222" s="20">
        <v>13.6</v>
      </c>
      <c r="AJ222" s="20">
        <v>450</v>
      </c>
      <c r="AK222" s="20"/>
      <c r="AL222" s="20">
        <v>688</v>
      </c>
      <c r="AM222" s="20">
        <f t="shared" si="52"/>
        <v>78952.38</v>
      </c>
      <c r="AN222" s="7" t="s">
        <v>176</v>
      </c>
      <c r="AO222" s="20"/>
      <c r="AP222" s="21" t="s">
        <v>465</v>
      </c>
      <c r="AQ222" s="21"/>
      <c r="AR222" s="5" t="s">
        <v>466</v>
      </c>
      <c r="AS222" s="5" t="s">
        <v>164</v>
      </c>
      <c r="AT222" s="5" t="s">
        <v>59</v>
      </c>
      <c r="AU222" s="20"/>
      <c r="AV222" s="21"/>
      <c r="AW222" s="21"/>
      <c r="AX222" s="21"/>
    </row>
    <row r="223" spans="1:50" s="55" customFormat="1">
      <c r="A223" s="86" t="s">
        <v>318</v>
      </c>
      <c r="B223" s="5">
        <v>15007838</v>
      </c>
      <c r="C223" s="5" t="s">
        <v>591</v>
      </c>
      <c r="D223" s="5" t="s">
        <v>321</v>
      </c>
      <c r="E223" s="5" t="s">
        <v>52</v>
      </c>
      <c r="F223" s="5" t="s">
        <v>62</v>
      </c>
      <c r="G223" s="5" t="s">
        <v>202</v>
      </c>
      <c r="H223" s="5" t="s">
        <v>464</v>
      </c>
      <c r="I223" s="6">
        <v>41275</v>
      </c>
      <c r="J223" s="5" t="s">
        <v>336</v>
      </c>
      <c r="K223" s="5" t="s">
        <v>511</v>
      </c>
      <c r="L223" s="5" t="s">
        <v>324</v>
      </c>
      <c r="M223" s="7">
        <v>6</v>
      </c>
      <c r="N223" s="7" t="s">
        <v>176</v>
      </c>
      <c r="O223" s="8">
        <v>4559</v>
      </c>
      <c r="P223" s="9">
        <v>0.02</v>
      </c>
      <c r="Q223" s="10">
        <f t="shared" si="40"/>
        <v>91</v>
      </c>
      <c r="R223" s="9">
        <v>5.0000000000000001E-3</v>
      </c>
      <c r="S223" s="10">
        <f t="shared" si="41"/>
        <v>23</v>
      </c>
      <c r="T223" s="9">
        <f t="shared" si="42"/>
        <v>2.5005483658697081E-2</v>
      </c>
      <c r="U223" s="10">
        <f t="shared" si="43"/>
        <v>114</v>
      </c>
      <c r="V223" s="10">
        <f t="shared" si="44"/>
        <v>4673</v>
      </c>
      <c r="W223" s="11">
        <v>4672.9750000000004</v>
      </c>
      <c r="X223" s="12">
        <f t="shared" si="45"/>
        <v>113.97500000000036</v>
      </c>
      <c r="Y223" s="13">
        <f t="shared" si="46"/>
        <v>2.5000000000000001E-2</v>
      </c>
      <c r="Z223" s="14" t="str">
        <f t="shared" si="47"/>
        <v>0.00%-8.40%</v>
      </c>
      <c r="AA223" s="15"/>
      <c r="AB223" s="15"/>
      <c r="AC223" s="15"/>
      <c r="AD223" s="16"/>
      <c r="AE223" s="8">
        <f t="shared" si="48"/>
        <v>0</v>
      </c>
      <c r="AF223" s="17">
        <f t="shared" si="49"/>
        <v>4672.9750000000004</v>
      </c>
      <c r="AG223" s="18">
        <f t="shared" si="50"/>
        <v>113.97500000000036</v>
      </c>
      <c r="AH223" s="19">
        <f t="shared" si="51"/>
        <v>2.5000000000000133E-2</v>
      </c>
      <c r="AI223" s="20">
        <v>13.6</v>
      </c>
      <c r="AJ223" s="20">
        <v>450</v>
      </c>
      <c r="AK223" s="20"/>
      <c r="AL223" s="20">
        <v>688</v>
      </c>
      <c r="AM223" s="20">
        <f t="shared" si="52"/>
        <v>69640.460000000006</v>
      </c>
      <c r="AN223" s="7" t="s">
        <v>176</v>
      </c>
      <c r="AO223" s="20"/>
      <c r="AP223" s="21" t="s">
        <v>465</v>
      </c>
      <c r="AQ223" s="21"/>
      <c r="AR223" s="5" t="s">
        <v>466</v>
      </c>
      <c r="AS223" s="5" t="s">
        <v>164</v>
      </c>
      <c r="AT223" s="5" t="s">
        <v>59</v>
      </c>
      <c r="AU223" s="20"/>
      <c r="AV223" s="21"/>
      <c r="AW223" s="21"/>
      <c r="AX223" s="21"/>
    </row>
    <row r="224" spans="1:50" s="55" customFormat="1">
      <c r="A224" s="86" t="s">
        <v>318</v>
      </c>
      <c r="B224" s="5">
        <v>15017041</v>
      </c>
      <c r="C224" s="5" t="s">
        <v>592</v>
      </c>
      <c r="D224" s="5" t="s">
        <v>321</v>
      </c>
      <c r="E224" s="5" t="s">
        <v>52</v>
      </c>
      <c r="F224" s="5" t="s">
        <v>62</v>
      </c>
      <c r="G224" s="5" t="s">
        <v>202</v>
      </c>
      <c r="H224" s="5" t="s">
        <v>464</v>
      </c>
      <c r="I224" s="6">
        <v>42979</v>
      </c>
      <c r="J224" s="5" t="s">
        <v>336</v>
      </c>
      <c r="K224" s="5" t="s">
        <v>511</v>
      </c>
      <c r="L224" s="5" t="s">
        <v>324</v>
      </c>
      <c r="M224" s="7">
        <v>6</v>
      </c>
      <c r="N224" s="7" t="s">
        <v>176</v>
      </c>
      <c r="O224" s="8">
        <v>4675</v>
      </c>
      <c r="P224" s="9">
        <v>0.02</v>
      </c>
      <c r="Q224" s="10">
        <f t="shared" si="40"/>
        <v>94</v>
      </c>
      <c r="R224" s="9">
        <v>5.0000000000000001E-3</v>
      </c>
      <c r="S224" s="10">
        <f t="shared" si="41"/>
        <v>23</v>
      </c>
      <c r="T224" s="9">
        <f t="shared" si="42"/>
        <v>2.502673796791444E-2</v>
      </c>
      <c r="U224" s="10">
        <f t="shared" si="43"/>
        <v>117</v>
      </c>
      <c r="V224" s="10">
        <f t="shared" si="44"/>
        <v>4792</v>
      </c>
      <c r="W224" s="11">
        <v>4721.75</v>
      </c>
      <c r="X224" s="12">
        <f t="shared" si="45"/>
        <v>46.75</v>
      </c>
      <c r="Y224" s="13">
        <f t="shared" si="46"/>
        <v>0.01</v>
      </c>
      <c r="Z224" s="14" t="str">
        <f t="shared" si="47"/>
        <v>0.00%-8.40%</v>
      </c>
      <c r="AA224" s="15"/>
      <c r="AB224" s="15"/>
      <c r="AC224" s="15"/>
      <c r="AD224" s="16"/>
      <c r="AE224" s="8">
        <f t="shared" si="48"/>
        <v>0</v>
      </c>
      <c r="AF224" s="17">
        <f t="shared" si="49"/>
        <v>4721.75</v>
      </c>
      <c r="AG224" s="18">
        <f t="shared" si="50"/>
        <v>46.75</v>
      </c>
      <c r="AH224" s="19">
        <f t="shared" si="51"/>
        <v>1.0000000000000009E-2</v>
      </c>
      <c r="AI224" s="20">
        <v>13.6</v>
      </c>
      <c r="AJ224" s="20">
        <v>500</v>
      </c>
      <c r="AK224" s="20"/>
      <c r="AL224" s="20">
        <v>688</v>
      </c>
      <c r="AM224" s="20">
        <f t="shared" si="52"/>
        <v>70903.799999999988</v>
      </c>
      <c r="AN224" s="7" t="s">
        <v>176</v>
      </c>
      <c r="AO224" s="20"/>
      <c r="AP224" s="21" t="s">
        <v>465</v>
      </c>
      <c r="AQ224" s="21"/>
      <c r="AR224" s="5" t="s">
        <v>466</v>
      </c>
      <c r="AS224" s="5" t="s">
        <v>164</v>
      </c>
      <c r="AT224" s="5" t="s">
        <v>59</v>
      </c>
      <c r="AU224" s="20"/>
      <c r="AV224" s="21"/>
      <c r="AW224" s="21"/>
      <c r="AX224" s="21"/>
    </row>
    <row r="225" spans="1:50" s="55" customFormat="1">
      <c r="A225" s="86" t="s">
        <v>318</v>
      </c>
      <c r="B225" s="5">
        <v>15010242</v>
      </c>
      <c r="C225" s="5" t="s">
        <v>593</v>
      </c>
      <c r="D225" s="5" t="s">
        <v>321</v>
      </c>
      <c r="E225" s="5" t="s">
        <v>52</v>
      </c>
      <c r="F225" s="5" t="s">
        <v>62</v>
      </c>
      <c r="G225" s="5" t="s">
        <v>202</v>
      </c>
      <c r="H225" s="5" t="s">
        <v>464</v>
      </c>
      <c r="I225" s="6">
        <v>41548</v>
      </c>
      <c r="J225" s="5" t="s">
        <v>336</v>
      </c>
      <c r="K225" s="5" t="s">
        <v>511</v>
      </c>
      <c r="L225" s="5" t="s">
        <v>324</v>
      </c>
      <c r="M225" s="7">
        <v>6</v>
      </c>
      <c r="N225" s="7" t="s">
        <v>176</v>
      </c>
      <c r="O225" s="8">
        <v>5223</v>
      </c>
      <c r="P225" s="9">
        <v>0.02</v>
      </c>
      <c r="Q225" s="10">
        <f t="shared" si="40"/>
        <v>104</v>
      </c>
      <c r="R225" s="9">
        <v>5.0000000000000001E-3</v>
      </c>
      <c r="S225" s="10">
        <f t="shared" si="41"/>
        <v>26</v>
      </c>
      <c r="T225" s="9">
        <f t="shared" si="42"/>
        <v>2.488991001340226E-2</v>
      </c>
      <c r="U225" s="10">
        <f t="shared" si="43"/>
        <v>130</v>
      </c>
      <c r="V225" s="10">
        <f t="shared" si="44"/>
        <v>5353</v>
      </c>
      <c r="W225" s="11">
        <v>5353.5749999999998</v>
      </c>
      <c r="X225" s="12">
        <f t="shared" si="45"/>
        <v>130.57499999999982</v>
      </c>
      <c r="Y225" s="13">
        <f t="shared" si="46"/>
        <v>2.5000000000000001E-2</v>
      </c>
      <c r="Z225" s="14" t="str">
        <f t="shared" si="47"/>
        <v>0.00%-8.40%</v>
      </c>
      <c r="AA225" s="15"/>
      <c r="AB225" s="15"/>
      <c r="AC225" s="15"/>
      <c r="AD225" s="16"/>
      <c r="AE225" s="8">
        <f t="shared" si="48"/>
        <v>0</v>
      </c>
      <c r="AF225" s="17">
        <f t="shared" si="49"/>
        <v>5353.5749999999998</v>
      </c>
      <c r="AG225" s="18">
        <f t="shared" si="50"/>
        <v>130.57499999999982</v>
      </c>
      <c r="AH225" s="19">
        <f t="shared" si="51"/>
        <v>2.4999999999999911E-2</v>
      </c>
      <c r="AI225" s="20">
        <v>13.6</v>
      </c>
      <c r="AJ225" s="20">
        <v>450</v>
      </c>
      <c r="AK225" s="20"/>
      <c r="AL225" s="20">
        <v>688</v>
      </c>
      <c r="AM225" s="20">
        <f t="shared" si="52"/>
        <v>78896.62</v>
      </c>
      <c r="AN225" s="7" t="s">
        <v>176</v>
      </c>
      <c r="AO225" s="20"/>
      <c r="AP225" s="21" t="s">
        <v>465</v>
      </c>
      <c r="AQ225" s="21"/>
      <c r="AR225" s="5" t="s">
        <v>466</v>
      </c>
      <c r="AS225" s="5" t="s">
        <v>164</v>
      </c>
      <c r="AT225" s="5" t="s">
        <v>59</v>
      </c>
      <c r="AU225" s="20"/>
      <c r="AV225" s="21"/>
      <c r="AW225" s="21"/>
      <c r="AX225" s="21"/>
    </row>
    <row r="226" spans="1:50" s="55" customFormat="1">
      <c r="A226" s="86" t="s">
        <v>318</v>
      </c>
      <c r="B226" s="5">
        <v>15009468</v>
      </c>
      <c r="C226" s="5" t="s">
        <v>594</v>
      </c>
      <c r="D226" s="5" t="s">
        <v>321</v>
      </c>
      <c r="E226" s="5" t="s">
        <v>52</v>
      </c>
      <c r="F226" s="5" t="s">
        <v>62</v>
      </c>
      <c r="G226" s="5" t="s">
        <v>202</v>
      </c>
      <c r="H226" s="5" t="s">
        <v>464</v>
      </c>
      <c r="I226" s="6">
        <v>41487</v>
      </c>
      <c r="J226" s="5" t="s">
        <v>336</v>
      </c>
      <c r="K226" s="5" t="s">
        <v>511</v>
      </c>
      <c r="L226" s="5" t="s">
        <v>324</v>
      </c>
      <c r="M226" s="7">
        <v>6</v>
      </c>
      <c r="N226" s="7" t="s">
        <v>176</v>
      </c>
      <c r="O226" s="8">
        <v>4860</v>
      </c>
      <c r="P226" s="9">
        <v>0.02</v>
      </c>
      <c r="Q226" s="10">
        <f t="shared" si="40"/>
        <v>97</v>
      </c>
      <c r="R226" s="9">
        <v>5.0000000000000001E-3</v>
      </c>
      <c r="S226" s="10">
        <f t="shared" si="41"/>
        <v>24</v>
      </c>
      <c r="T226" s="9">
        <f t="shared" si="42"/>
        <v>2.4897119341563786E-2</v>
      </c>
      <c r="U226" s="10">
        <f t="shared" si="43"/>
        <v>121</v>
      </c>
      <c r="V226" s="10">
        <f t="shared" si="44"/>
        <v>4981</v>
      </c>
      <c r="W226" s="11">
        <v>4981.5</v>
      </c>
      <c r="X226" s="12">
        <f t="shared" si="45"/>
        <v>121.5</v>
      </c>
      <c r="Y226" s="13">
        <f t="shared" si="46"/>
        <v>2.5000000000000001E-2</v>
      </c>
      <c r="Z226" s="14" t="str">
        <f t="shared" si="47"/>
        <v>0.00%-8.40%</v>
      </c>
      <c r="AA226" s="15"/>
      <c r="AB226" s="15"/>
      <c r="AC226" s="15"/>
      <c r="AD226" s="16"/>
      <c r="AE226" s="8">
        <f t="shared" si="48"/>
        <v>0</v>
      </c>
      <c r="AF226" s="17">
        <f t="shared" si="49"/>
        <v>4981.5</v>
      </c>
      <c r="AG226" s="18">
        <f t="shared" si="50"/>
        <v>121.5</v>
      </c>
      <c r="AH226" s="19">
        <f t="shared" si="51"/>
        <v>2.4999999999999911E-2</v>
      </c>
      <c r="AI226" s="20">
        <v>13.6</v>
      </c>
      <c r="AJ226" s="20">
        <v>450</v>
      </c>
      <c r="AK226" s="20"/>
      <c r="AL226" s="20">
        <v>688</v>
      </c>
      <c r="AM226" s="20">
        <f t="shared" si="52"/>
        <v>73836.399999999994</v>
      </c>
      <c r="AN226" s="7" t="s">
        <v>176</v>
      </c>
      <c r="AO226" s="20"/>
      <c r="AP226" s="21" t="s">
        <v>465</v>
      </c>
      <c r="AQ226" s="21"/>
      <c r="AR226" s="5" t="s">
        <v>466</v>
      </c>
      <c r="AS226" s="5" t="s">
        <v>164</v>
      </c>
      <c r="AT226" s="5" t="s">
        <v>59</v>
      </c>
      <c r="AU226" s="20"/>
      <c r="AV226" s="21"/>
      <c r="AW226" s="21"/>
      <c r="AX226" s="21"/>
    </row>
    <row r="227" spans="1:50" s="55" customFormat="1">
      <c r="A227" s="86" t="s">
        <v>318</v>
      </c>
      <c r="B227" s="5">
        <v>15018867</v>
      </c>
      <c r="C227" s="5" t="s">
        <v>595</v>
      </c>
      <c r="D227" s="5" t="s">
        <v>321</v>
      </c>
      <c r="E227" s="5" t="s">
        <v>52</v>
      </c>
      <c r="F227" s="5" t="s">
        <v>62</v>
      </c>
      <c r="G227" s="5" t="s">
        <v>202</v>
      </c>
      <c r="H227" s="5" t="s">
        <v>464</v>
      </c>
      <c r="I227" s="6">
        <v>43344</v>
      </c>
      <c r="J227" s="5" t="s">
        <v>336</v>
      </c>
      <c r="K227" s="5" t="s">
        <v>511</v>
      </c>
      <c r="L227" s="5" t="s">
        <v>324</v>
      </c>
      <c r="M227" s="7">
        <v>6</v>
      </c>
      <c r="N227" s="7" t="s">
        <v>176</v>
      </c>
      <c r="O227" s="8">
        <v>4601</v>
      </c>
      <c r="P227" s="9">
        <v>0.02</v>
      </c>
      <c r="Q227" s="10">
        <f t="shared" si="40"/>
        <v>92</v>
      </c>
      <c r="R227" s="9">
        <v>5.0000000000000001E-3</v>
      </c>
      <c r="S227" s="10">
        <f t="shared" si="41"/>
        <v>23</v>
      </c>
      <c r="T227" s="9">
        <f t="shared" si="42"/>
        <v>2.4994566398608999E-2</v>
      </c>
      <c r="U227" s="10">
        <f t="shared" si="43"/>
        <v>115</v>
      </c>
      <c r="V227" s="10">
        <f t="shared" si="44"/>
        <v>4716</v>
      </c>
      <c r="W227" s="11">
        <v>4716.0249999999996</v>
      </c>
      <c r="X227" s="12">
        <f t="shared" si="45"/>
        <v>115.02499999999964</v>
      </c>
      <c r="Y227" s="13">
        <f t="shared" si="46"/>
        <v>2.5000000000000001E-2</v>
      </c>
      <c r="Z227" s="14" t="str">
        <f t="shared" si="47"/>
        <v>0.00%-8.40%</v>
      </c>
      <c r="AA227" s="15"/>
      <c r="AB227" s="15"/>
      <c r="AC227" s="15"/>
      <c r="AD227" s="16"/>
      <c r="AE227" s="8">
        <f t="shared" si="48"/>
        <v>0</v>
      </c>
      <c r="AF227" s="17">
        <f t="shared" si="49"/>
        <v>4716.0249999999996</v>
      </c>
      <c r="AG227" s="18">
        <f t="shared" si="50"/>
        <v>115.02499999999964</v>
      </c>
      <c r="AH227" s="19">
        <f t="shared" si="51"/>
        <v>2.4999999999999911E-2</v>
      </c>
      <c r="AI227" s="20">
        <v>13.6</v>
      </c>
      <c r="AJ227" s="20">
        <v>450</v>
      </c>
      <c r="AK227" s="20"/>
      <c r="AL227" s="20">
        <v>688</v>
      </c>
      <c r="AM227" s="20">
        <f t="shared" si="52"/>
        <v>70225.94</v>
      </c>
      <c r="AN227" s="7" t="s">
        <v>176</v>
      </c>
      <c r="AO227" s="20"/>
      <c r="AP227" s="21" t="s">
        <v>465</v>
      </c>
      <c r="AQ227" s="21"/>
      <c r="AR227" s="5" t="s">
        <v>466</v>
      </c>
      <c r="AS227" s="5" t="s">
        <v>164</v>
      </c>
      <c r="AT227" s="5" t="s">
        <v>59</v>
      </c>
      <c r="AU227" s="20"/>
      <c r="AV227" s="21"/>
      <c r="AW227" s="21"/>
      <c r="AX227" s="21"/>
    </row>
    <row r="228" spans="1:50" s="55" customFormat="1">
      <c r="A228" s="86" t="s">
        <v>318</v>
      </c>
      <c r="B228" s="5">
        <v>15018442</v>
      </c>
      <c r="C228" s="5" t="s">
        <v>596</v>
      </c>
      <c r="D228" s="5" t="s">
        <v>321</v>
      </c>
      <c r="E228" s="5" t="s">
        <v>52</v>
      </c>
      <c r="F228" s="5" t="s">
        <v>62</v>
      </c>
      <c r="G228" s="5" t="s">
        <v>202</v>
      </c>
      <c r="H228" s="5" t="s">
        <v>464</v>
      </c>
      <c r="I228" s="6">
        <v>43221</v>
      </c>
      <c r="J228" s="5" t="s">
        <v>336</v>
      </c>
      <c r="K228" s="5" t="s">
        <v>511</v>
      </c>
      <c r="L228" s="5" t="s">
        <v>324</v>
      </c>
      <c r="M228" s="7">
        <v>6</v>
      </c>
      <c r="N228" s="7" t="s">
        <v>176</v>
      </c>
      <c r="O228" s="8">
        <v>4709</v>
      </c>
      <c r="P228" s="9">
        <v>0.02</v>
      </c>
      <c r="Q228" s="10">
        <f t="shared" si="40"/>
        <v>94</v>
      </c>
      <c r="R228" s="9">
        <v>5.0000000000000001E-3</v>
      </c>
      <c r="S228" s="10">
        <f t="shared" si="41"/>
        <v>24</v>
      </c>
      <c r="T228" s="9">
        <f t="shared" si="42"/>
        <v>2.5058398810787853E-2</v>
      </c>
      <c r="U228" s="10">
        <f t="shared" si="43"/>
        <v>118</v>
      </c>
      <c r="V228" s="10">
        <f t="shared" si="44"/>
        <v>4827</v>
      </c>
      <c r="W228" s="11">
        <v>4709</v>
      </c>
      <c r="X228" s="12">
        <f t="shared" si="45"/>
        <v>0</v>
      </c>
      <c r="Y228" s="13">
        <f t="shared" si="46"/>
        <v>0</v>
      </c>
      <c r="Z228" s="14" t="str">
        <f t="shared" si="47"/>
        <v>0.00%-8.40%</v>
      </c>
      <c r="AA228" s="15"/>
      <c r="AB228" s="15"/>
      <c r="AC228" s="15"/>
      <c r="AD228" s="16"/>
      <c r="AE228" s="8">
        <f t="shared" si="48"/>
        <v>0</v>
      </c>
      <c r="AF228" s="17">
        <f t="shared" si="49"/>
        <v>4709</v>
      </c>
      <c r="AG228" s="18">
        <f t="shared" si="50"/>
        <v>0</v>
      </c>
      <c r="AH228" s="19">
        <f t="shared" si="51"/>
        <v>0</v>
      </c>
      <c r="AI228" s="20">
        <v>13.6</v>
      </c>
      <c r="AJ228" s="20">
        <v>450</v>
      </c>
      <c r="AK228" s="20"/>
      <c r="AL228" s="20">
        <v>688</v>
      </c>
      <c r="AM228" s="20">
        <f t="shared" si="52"/>
        <v>70130.399999999994</v>
      </c>
      <c r="AN228" s="7" t="s">
        <v>176</v>
      </c>
      <c r="AO228" s="20"/>
      <c r="AP228" s="21" t="s">
        <v>97</v>
      </c>
      <c r="AQ228" s="21" t="s">
        <v>97</v>
      </c>
      <c r="AR228" s="5" t="s">
        <v>466</v>
      </c>
      <c r="AS228" s="5" t="s">
        <v>164</v>
      </c>
      <c r="AT228" s="5" t="s">
        <v>59</v>
      </c>
      <c r="AU228" s="20"/>
      <c r="AV228" s="21"/>
      <c r="AW228" s="21"/>
      <c r="AX228" s="21"/>
    </row>
    <row r="229" spans="1:50" s="55" customFormat="1">
      <c r="A229" s="86" t="s">
        <v>318</v>
      </c>
      <c r="B229" s="5">
        <v>15011396</v>
      </c>
      <c r="C229" s="5" t="s">
        <v>597</v>
      </c>
      <c r="D229" s="5" t="s">
        <v>321</v>
      </c>
      <c r="E229" s="5" t="s">
        <v>52</v>
      </c>
      <c r="F229" s="5" t="s">
        <v>62</v>
      </c>
      <c r="G229" s="5" t="s">
        <v>202</v>
      </c>
      <c r="H229" s="5" t="s">
        <v>464</v>
      </c>
      <c r="I229" s="6">
        <v>41609</v>
      </c>
      <c r="J229" s="5" t="s">
        <v>336</v>
      </c>
      <c r="K229" s="5" t="s">
        <v>511</v>
      </c>
      <c r="L229" s="5" t="s">
        <v>324</v>
      </c>
      <c r="M229" s="7">
        <v>6</v>
      </c>
      <c r="N229" s="7" t="s">
        <v>176</v>
      </c>
      <c r="O229" s="8">
        <v>4714</v>
      </c>
      <c r="P229" s="9">
        <v>0.02</v>
      </c>
      <c r="Q229" s="10">
        <f t="shared" si="40"/>
        <v>94</v>
      </c>
      <c r="R229" s="9">
        <v>5.0000000000000001E-3</v>
      </c>
      <c r="S229" s="10">
        <f t="shared" si="41"/>
        <v>24</v>
      </c>
      <c r="T229" s="9">
        <f t="shared" si="42"/>
        <v>2.5031820110309716E-2</v>
      </c>
      <c r="U229" s="10">
        <f t="shared" si="43"/>
        <v>118</v>
      </c>
      <c r="V229" s="10">
        <f t="shared" si="44"/>
        <v>4832</v>
      </c>
      <c r="W229" s="11">
        <v>4831.8500000000004</v>
      </c>
      <c r="X229" s="12">
        <f t="shared" si="45"/>
        <v>117.85000000000036</v>
      </c>
      <c r="Y229" s="13">
        <f t="shared" si="46"/>
        <v>2.5000000000000001E-2</v>
      </c>
      <c r="Z229" s="14" t="str">
        <f t="shared" si="47"/>
        <v>0.00%-8.40%</v>
      </c>
      <c r="AA229" s="15"/>
      <c r="AB229" s="15"/>
      <c r="AC229" s="15"/>
      <c r="AD229" s="16"/>
      <c r="AE229" s="8">
        <f t="shared" si="48"/>
        <v>0</v>
      </c>
      <c r="AF229" s="17">
        <f t="shared" si="49"/>
        <v>4831.8500000000004</v>
      </c>
      <c r="AG229" s="18">
        <f t="shared" si="50"/>
        <v>117.85000000000036</v>
      </c>
      <c r="AH229" s="19">
        <f t="shared" si="51"/>
        <v>2.5000000000000133E-2</v>
      </c>
      <c r="AI229" s="20">
        <v>13.6</v>
      </c>
      <c r="AJ229" s="20">
        <v>450</v>
      </c>
      <c r="AK229" s="20"/>
      <c r="AL229" s="20">
        <v>688</v>
      </c>
      <c r="AM229" s="20">
        <f t="shared" si="52"/>
        <v>71801.16</v>
      </c>
      <c r="AN229" s="7" t="s">
        <v>176</v>
      </c>
      <c r="AO229" s="20"/>
      <c r="AP229" s="21" t="s">
        <v>465</v>
      </c>
      <c r="AQ229" s="21"/>
      <c r="AR229" s="5" t="s">
        <v>466</v>
      </c>
      <c r="AS229" s="5" t="s">
        <v>164</v>
      </c>
      <c r="AT229" s="5" t="s">
        <v>59</v>
      </c>
      <c r="AU229" s="20"/>
      <c r="AV229" s="21"/>
      <c r="AW229" s="21"/>
      <c r="AX229" s="21"/>
    </row>
    <row r="230" spans="1:50" s="55" customFormat="1">
      <c r="A230" s="86" t="s">
        <v>318</v>
      </c>
      <c r="B230" s="5">
        <v>15014629</v>
      </c>
      <c r="C230" s="5" t="s">
        <v>598</v>
      </c>
      <c r="D230" s="5" t="s">
        <v>321</v>
      </c>
      <c r="E230" s="5" t="s">
        <v>52</v>
      </c>
      <c r="F230" s="5" t="s">
        <v>62</v>
      </c>
      <c r="G230" s="5" t="s">
        <v>202</v>
      </c>
      <c r="H230" s="5" t="s">
        <v>464</v>
      </c>
      <c r="I230" s="6">
        <v>42401</v>
      </c>
      <c r="J230" s="5" t="s">
        <v>336</v>
      </c>
      <c r="K230" s="5" t="s">
        <v>511</v>
      </c>
      <c r="L230" s="5" t="s">
        <v>324</v>
      </c>
      <c r="M230" s="7">
        <v>6</v>
      </c>
      <c r="N230" s="7" t="s">
        <v>176</v>
      </c>
      <c r="O230" s="8">
        <v>4975</v>
      </c>
      <c r="P230" s="9">
        <v>0.02</v>
      </c>
      <c r="Q230" s="10">
        <f t="shared" si="40"/>
        <v>100</v>
      </c>
      <c r="R230" s="9">
        <v>5.0000000000000001E-3</v>
      </c>
      <c r="S230" s="10">
        <f t="shared" si="41"/>
        <v>25</v>
      </c>
      <c r="T230" s="9">
        <f t="shared" si="42"/>
        <v>2.5125628140703519E-2</v>
      </c>
      <c r="U230" s="10">
        <f t="shared" si="43"/>
        <v>125</v>
      </c>
      <c r="V230" s="10">
        <f t="shared" si="44"/>
        <v>5100</v>
      </c>
      <c r="W230" s="11">
        <v>5099.375</v>
      </c>
      <c r="X230" s="12">
        <f t="shared" si="45"/>
        <v>124.375</v>
      </c>
      <c r="Y230" s="13">
        <f t="shared" si="46"/>
        <v>2.5000000000000001E-2</v>
      </c>
      <c r="Z230" s="14" t="str">
        <f t="shared" si="47"/>
        <v>0.00%-8.40%</v>
      </c>
      <c r="AA230" s="15"/>
      <c r="AB230" s="15"/>
      <c r="AC230" s="15"/>
      <c r="AD230" s="16"/>
      <c r="AE230" s="8">
        <f t="shared" si="48"/>
        <v>0</v>
      </c>
      <c r="AF230" s="17">
        <f t="shared" si="49"/>
        <v>5099.375</v>
      </c>
      <c r="AG230" s="18">
        <f t="shared" si="50"/>
        <v>124.375</v>
      </c>
      <c r="AH230" s="19">
        <f t="shared" si="51"/>
        <v>2.4999999999999911E-2</v>
      </c>
      <c r="AI230" s="20">
        <v>13.6</v>
      </c>
      <c r="AJ230" s="20">
        <v>450</v>
      </c>
      <c r="AK230" s="20"/>
      <c r="AL230" s="20">
        <v>688</v>
      </c>
      <c r="AM230" s="20">
        <f t="shared" si="52"/>
        <v>75439.5</v>
      </c>
      <c r="AN230" s="7" t="s">
        <v>176</v>
      </c>
      <c r="AO230" s="20"/>
      <c r="AP230" s="21" t="s">
        <v>465</v>
      </c>
      <c r="AQ230" s="21"/>
      <c r="AR230" s="5" t="s">
        <v>466</v>
      </c>
      <c r="AS230" s="5" t="s">
        <v>164</v>
      </c>
      <c r="AT230" s="5" t="s">
        <v>59</v>
      </c>
      <c r="AU230" s="20"/>
      <c r="AV230" s="21"/>
      <c r="AW230" s="21"/>
      <c r="AX230" s="21"/>
    </row>
    <row r="231" spans="1:50" s="55" customFormat="1">
      <c r="A231" s="86" t="s">
        <v>318</v>
      </c>
      <c r="B231" s="5">
        <v>15006926</v>
      </c>
      <c r="C231" s="5" t="s">
        <v>599</v>
      </c>
      <c r="D231" s="5" t="s">
        <v>321</v>
      </c>
      <c r="E231" s="5" t="s">
        <v>52</v>
      </c>
      <c r="F231" s="5" t="s">
        <v>62</v>
      </c>
      <c r="G231" s="5" t="s">
        <v>202</v>
      </c>
      <c r="H231" s="5" t="s">
        <v>464</v>
      </c>
      <c r="I231" s="6">
        <v>41000</v>
      </c>
      <c r="J231" s="5" t="s">
        <v>336</v>
      </c>
      <c r="K231" s="5" t="s">
        <v>511</v>
      </c>
      <c r="L231" s="5" t="s">
        <v>324</v>
      </c>
      <c r="M231" s="7">
        <v>6</v>
      </c>
      <c r="N231" s="7" t="s">
        <v>176</v>
      </c>
      <c r="O231" s="8">
        <v>5736</v>
      </c>
      <c r="P231" s="9">
        <v>0.02</v>
      </c>
      <c r="Q231" s="10">
        <f t="shared" si="40"/>
        <v>115</v>
      </c>
      <c r="R231" s="9">
        <v>5.0000000000000001E-3</v>
      </c>
      <c r="S231" s="10">
        <f t="shared" si="41"/>
        <v>29</v>
      </c>
      <c r="T231" s="9">
        <f t="shared" si="42"/>
        <v>2.5104602510460251E-2</v>
      </c>
      <c r="U231" s="10">
        <f t="shared" si="43"/>
        <v>144</v>
      </c>
      <c r="V231" s="10">
        <f t="shared" si="44"/>
        <v>5880</v>
      </c>
      <c r="W231" s="11">
        <v>6022.8</v>
      </c>
      <c r="X231" s="12">
        <f t="shared" si="45"/>
        <v>286.80000000000018</v>
      </c>
      <c r="Y231" s="13">
        <f t="shared" si="46"/>
        <v>0.05</v>
      </c>
      <c r="Z231" s="14" t="str">
        <f t="shared" si="47"/>
        <v>0.00%-8.40%</v>
      </c>
      <c r="AA231" s="15"/>
      <c r="AB231" s="15"/>
      <c r="AC231" s="15"/>
      <c r="AD231" s="16"/>
      <c r="AE231" s="8">
        <f t="shared" si="48"/>
        <v>0</v>
      </c>
      <c r="AF231" s="17">
        <f t="shared" si="49"/>
        <v>6022.8</v>
      </c>
      <c r="AG231" s="18">
        <f t="shared" si="50"/>
        <v>286.80000000000018</v>
      </c>
      <c r="AH231" s="19">
        <f t="shared" si="51"/>
        <v>5.0000000000000044E-2</v>
      </c>
      <c r="AI231" s="20">
        <v>13.6</v>
      </c>
      <c r="AJ231" s="20">
        <v>450</v>
      </c>
      <c r="AK231" s="20"/>
      <c r="AL231" s="20">
        <v>688</v>
      </c>
      <c r="AM231" s="20">
        <f t="shared" si="52"/>
        <v>87998.080000000002</v>
      </c>
      <c r="AN231" s="7" t="s">
        <v>176</v>
      </c>
      <c r="AO231" s="20"/>
      <c r="AP231" s="21" t="s">
        <v>525</v>
      </c>
      <c r="AQ231" s="21"/>
      <c r="AR231" s="5" t="s">
        <v>466</v>
      </c>
      <c r="AS231" s="5" t="s">
        <v>164</v>
      </c>
      <c r="AT231" s="5" t="s">
        <v>59</v>
      </c>
      <c r="AU231" s="20"/>
      <c r="AV231" s="21"/>
      <c r="AW231" s="21"/>
      <c r="AX231" s="21"/>
    </row>
    <row r="232" spans="1:50" s="55" customFormat="1">
      <c r="A232" s="86" t="s">
        <v>318</v>
      </c>
      <c r="B232" s="5">
        <v>15007919</v>
      </c>
      <c r="C232" s="5" t="s">
        <v>600</v>
      </c>
      <c r="D232" s="5" t="s">
        <v>321</v>
      </c>
      <c r="E232" s="5" t="s">
        <v>52</v>
      </c>
      <c r="F232" s="5" t="s">
        <v>62</v>
      </c>
      <c r="G232" s="5" t="s">
        <v>202</v>
      </c>
      <c r="H232" s="5" t="s">
        <v>464</v>
      </c>
      <c r="I232" s="6">
        <v>41365</v>
      </c>
      <c r="J232" s="5" t="s">
        <v>336</v>
      </c>
      <c r="K232" s="5" t="s">
        <v>511</v>
      </c>
      <c r="L232" s="5" t="s">
        <v>324</v>
      </c>
      <c r="M232" s="7">
        <v>6</v>
      </c>
      <c r="N232" s="7" t="s">
        <v>176</v>
      </c>
      <c r="O232" s="8">
        <v>4869</v>
      </c>
      <c r="P232" s="9">
        <v>0.02</v>
      </c>
      <c r="Q232" s="10">
        <f t="shared" si="40"/>
        <v>97</v>
      </c>
      <c r="R232" s="9">
        <v>5.0000000000000001E-3</v>
      </c>
      <c r="S232" s="10">
        <f t="shared" si="41"/>
        <v>24</v>
      </c>
      <c r="T232" s="9">
        <f t="shared" si="42"/>
        <v>2.4851098788252209E-2</v>
      </c>
      <c r="U232" s="10">
        <f t="shared" si="43"/>
        <v>121</v>
      </c>
      <c r="V232" s="10">
        <f t="shared" si="44"/>
        <v>4990</v>
      </c>
      <c r="W232" s="11">
        <v>4917.6899999999996</v>
      </c>
      <c r="X232" s="12">
        <f t="shared" si="45"/>
        <v>48.6899999999996</v>
      </c>
      <c r="Y232" s="13">
        <f t="shared" si="46"/>
        <v>0.01</v>
      </c>
      <c r="Z232" s="14" t="str">
        <f t="shared" si="47"/>
        <v>0.00%-8.40%</v>
      </c>
      <c r="AA232" s="15"/>
      <c r="AB232" s="15"/>
      <c r="AC232" s="15"/>
      <c r="AD232" s="16"/>
      <c r="AE232" s="8">
        <f t="shared" si="48"/>
        <v>0</v>
      </c>
      <c r="AF232" s="17">
        <f t="shared" si="49"/>
        <v>4917.6899999999996</v>
      </c>
      <c r="AG232" s="18">
        <f t="shared" si="50"/>
        <v>48.6899999999996</v>
      </c>
      <c r="AH232" s="19">
        <f t="shared" si="51"/>
        <v>1.0000000000000009E-2</v>
      </c>
      <c r="AI232" s="20">
        <v>13.6</v>
      </c>
      <c r="AJ232" s="20">
        <v>450</v>
      </c>
      <c r="AK232" s="20"/>
      <c r="AL232" s="20">
        <v>688</v>
      </c>
      <c r="AM232" s="20">
        <f t="shared" si="52"/>
        <v>72968.583999999988</v>
      </c>
      <c r="AN232" s="7" t="s">
        <v>176</v>
      </c>
      <c r="AO232" s="20"/>
      <c r="AP232" s="21" t="s">
        <v>465</v>
      </c>
      <c r="AQ232" s="21"/>
      <c r="AR232" s="5" t="s">
        <v>466</v>
      </c>
      <c r="AS232" s="5" t="s">
        <v>164</v>
      </c>
      <c r="AT232" s="5" t="s">
        <v>59</v>
      </c>
      <c r="AU232" s="20"/>
      <c r="AV232" s="21"/>
      <c r="AW232" s="21"/>
      <c r="AX232" s="21"/>
    </row>
    <row r="233" spans="1:50" s="55" customFormat="1">
      <c r="A233" s="86" t="s">
        <v>318</v>
      </c>
      <c r="B233" s="5">
        <v>15010869</v>
      </c>
      <c r="C233" s="5" t="s">
        <v>601</v>
      </c>
      <c r="D233" s="5" t="s">
        <v>321</v>
      </c>
      <c r="E233" s="5" t="s">
        <v>52</v>
      </c>
      <c r="F233" s="5" t="s">
        <v>62</v>
      </c>
      <c r="G233" s="5" t="s">
        <v>202</v>
      </c>
      <c r="H233" s="5" t="s">
        <v>464</v>
      </c>
      <c r="I233" s="6">
        <v>41579</v>
      </c>
      <c r="J233" s="5" t="s">
        <v>336</v>
      </c>
      <c r="K233" s="5" t="s">
        <v>511</v>
      </c>
      <c r="L233" s="5" t="s">
        <v>324</v>
      </c>
      <c r="M233" s="7">
        <v>6</v>
      </c>
      <c r="N233" s="7" t="s">
        <v>176</v>
      </c>
      <c r="O233" s="8">
        <v>4620</v>
      </c>
      <c r="P233" s="9">
        <v>0.02</v>
      </c>
      <c r="Q233" s="10">
        <f t="shared" si="40"/>
        <v>92</v>
      </c>
      <c r="R233" s="9">
        <v>5.0000000000000001E-3</v>
      </c>
      <c r="S233" s="10">
        <f t="shared" si="41"/>
        <v>23</v>
      </c>
      <c r="T233" s="9">
        <f t="shared" si="42"/>
        <v>2.4891774891774892E-2</v>
      </c>
      <c r="U233" s="10">
        <f t="shared" si="43"/>
        <v>115</v>
      </c>
      <c r="V233" s="10">
        <f t="shared" si="44"/>
        <v>4735</v>
      </c>
      <c r="W233" s="11">
        <v>4643.1000000000004</v>
      </c>
      <c r="X233" s="12">
        <f t="shared" si="45"/>
        <v>23.100000000000364</v>
      </c>
      <c r="Y233" s="13">
        <f t="shared" si="46"/>
        <v>5.0000000000000001E-3</v>
      </c>
      <c r="Z233" s="14" t="str">
        <f t="shared" si="47"/>
        <v>0.00%-8.40%</v>
      </c>
      <c r="AA233" s="15"/>
      <c r="AB233" s="15"/>
      <c r="AC233" s="15"/>
      <c r="AD233" s="16"/>
      <c r="AE233" s="8">
        <f t="shared" si="48"/>
        <v>0</v>
      </c>
      <c r="AF233" s="17">
        <f t="shared" si="49"/>
        <v>4643.1000000000004</v>
      </c>
      <c r="AG233" s="18">
        <f t="shared" si="50"/>
        <v>23.100000000000364</v>
      </c>
      <c r="AH233" s="19">
        <f t="shared" si="51"/>
        <v>5.0000000000001155E-3</v>
      </c>
      <c r="AI233" s="20">
        <v>13.6</v>
      </c>
      <c r="AJ233" s="20">
        <v>450</v>
      </c>
      <c r="AK233" s="20"/>
      <c r="AL233" s="20">
        <v>688</v>
      </c>
      <c r="AM233" s="20">
        <f t="shared" si="52"/>
        <v>69234.16</v>
      </c>
      <c r="AN233" s="7" t="s">
        <v>176</v>
      </c>
      <c r="AO233" s="20"/>
      <c r="AP233" s="21" t="s">
        <v>513</v>
      </c>
      <c r="AQ233" s="21"/>
      <c r="AR233" s="5" t="s">
        <v>466</v>
      </c>
      <c r="AS233" s="5" t="s">
        <v>164</v>
      </c>
      <c r="AT233" s="5" t="s">
        <v>59</v>
      </c>
      <c r="AU233" s="20"/>
      <c r="AV233" s="21"/>
      <c r="AW233" s="21"/>
      <c r="AX233" s="21"/>
    </row>
    <row r="234" spans="1:50" s="55" customFormat="1">
      <c r="A234" s="86" t="s">
        <v>318</v>
      </c>
      <c r="B234" s="5">
        <v>15018245</v>
      </c>
      <c r="C234" s="5" t="s">
        <v>602</v>
      </c>
      <c r="D234" s="5" t="s">
        <v>321</v>
      </c>
      <c r="E234" s="5" t="s">
        <v>52</v>
      </c>
      <c r="F234" s="5" t="s">
        <v>62</v>
      </c>
      <c r="G234" s="5" t="s">
        <v>202</v>
      </c>
      <c r="H234" s="5" t="s">
        <v>464</v>
      </c>
      <c r="I234" s="6">
        <v>43160</v>
      </c>
      <c r="J234" s="5" t="s">
        <v>336</v>
      </c>
      <c r="K234" s="5" t="s">
        <v>511</v>
      </c>
      <c r="L234" s="5" t="s">
        <v>324</v>
      </c>
      <c r="M234" s="7">
        <v>6</v>
      </c>
      <c r="N234" s="7" t="s">
        <v>176</v>
      </c>
      <c r="O234" s="8">
        <v>4871</v>
      </c>
      <c r="P234" s="9">
        <v>0.02</v>
      </c>
      <c r="Q234" s="10">
        <f t="shared" si="40"/>
        <v>97</v>
      </c>
      <c r="R234" s="9">
        <v>5.0000000000000001E-3</v>
      </c>
      <c r="S234" s="10">
        <f t="shared" si="41"/>
        <v>24</v>
      </c>
      <c r="T234" s="9">
        <f t="shared" si="42"/>
        <v>2.4840895093409976E-2</v>
      </c>
      <c r="U234" s="10">
        <f t="shared" si="43"/>
        <v>121</v>
      </c>
      <c r="V234" s="10">
        <f t="shared" si="44"/>
        <v>4992</v>
      </c>
      <c r="W234" s="11">
        <v>4992.7749999999996</v>
      </c>
      <c r="X234" s="12">
        <f t="shared" si="45"/>
        <v>121.77499999999964</v>
      </c>
      <c r="Y234" s="13">
        <f t="shared" si="46"/>
        <v>2.5000000000000001E-2</v>
      </c>
      <c r="Z234" s="14" t="str">
        <f t="shared" si="47"/>
        <v>0.00%-8.40%</v>
      </c>
      <c r="AA234" s="15"/>
      <c r="AB234" s="15"/>
      <c r="AC234" s="15"/>
      <c r="AD234" s="16"/>
      <c r="AE234" s="8">
        <f t="shared" si="48"/>
        <v>0</v>
      </c>
      <c r="AF234" s="17">
        <f t="shared" si="49"/>
        <v>4992.7749999999996</v>
      </c>
      <c r="AG234" s="18">
        <f t="shared" si="50"/>
        <v>121.77499999999964</v>
      </c>
      <c r="AH234" s="19">
        <f t="shared" si="51"/>
        <v>2.4999999999999911E-2</v>
      </c>
      <c r="AI234" s="20">
        <v>13.6</v>
      </c>
      <c r="AJ234" s="20">
        <v>450</v>
      </c>
      <c r="AK234" s="20"/>
      <c r="AL234" s="20">
        <v>688</v>
      </c>
      <c r="AM234" s="20">
        <f t="shared" si="52"/>
        <v>73989.739999999991</v>
      </c>
      <c r="AN234" s="7" t="s">
        <v>176</v>
      </c>
      <c r="AO234" s="20"/>
      <c r="AP234" s="21" t="s">
        <v>465</v>
      </c>
      <c r="AQ234" s="21"/>
      <c r="AR234" s="5" t="s">
        <v>466</v>
      </c>
      <c r="AS234" s="5" t="s">
        <v>164</v>
      </c>
      <c r="AT234" s="5" t="s">
        <v>59</v>
      </c>
      <c r="AU234" s="20"/>
      <c r="AV234" s="21"/>
      <c r="AW234" s="21"/>
      <c r="AX234" s="21"/>
    </row>
    <row r="235" spans="1:50" s="55" customFormat="1">
      <c r="A235" s="86" t="s">
        <v>318</v>
      </c>
      <c r="B235" s="5">
        <v>15017465</v>
      </c>
      <c r="C235" s="5" t="s">
        <v>603</v>
      </c>
      <c r="D235" s="5" t="s">
        <v>321</v>
      </c>
      <c r="E235" s="5" t="s">
        <v>52</v>
      </c>
      <c r="F235" s="5" t="s">
        <v>62</v>
      </c>
      <c r="G235" s="5" t="s">
        <v>202</v>
      </c>
      <c r="H235" s="5" t="s">
        <v>464</v>
      </c>
      <c r="I235" s="6">
        <v>43282</v>
      </c>
      <c r="J235" s="5" t="s">
        <v>336</v>
      </c>
      <c r="K235" s="5" t="s">
        <v>511</v>
      </c>
      <c r="L235" s="5" t="s">
        <v>324</v>
      </c>
      <c r="M235" s="7">
        <v>6</v>
      </c>
      <c r="N235" s="7" t="s">
        <v>176</v>
      </c>
      <c r="O235" s="8">
        <v>4790</v>
      </c>
      <c r="P235" s="9">
        <v>0.02</v>
      </c>
      <c r="Q235" s="10">
        <f t="shared" si="40"/>
        <v>96</v>
      </c>
      <c r="R235" s="9">
        <v>5.0000000000000001E-3</v>
      </c>
      <c r="S235" s="10">
        <f t="shared" si="41"/>
        <v>24</v>
      </c>
      <c r="T235" s="9">
        <f t="shared" si="42"/>
        <v>2.5052192066805846E-2</v>
      </c>
      <c r="U235" s="10">
        <f t="shared" si="43"/>
        <v>120</v>
      </c>
      <c r="V235" s="10">
        <f t="shared" si="44"/>
        <v>4910</v>
      </c>
      <c r="W235" s="11">
        <v>4909.75</v>
      </c>
      <c r="X235" s="12">
        <f t="shared" si="45"/>
        <v>119.75</v>
      </c>
      <c r="Y235" s="13">
        <f t="shared" si="46"/>
        <v>2.5000000000000001E-2</v>
      </c>
      <c r="Z235" s="14" t="str">
        <f t="shared" si="47"/>
        <v>0.00%-8.40%</v>
      </c>
      <c r="AA235" s="15"/>
      <c r="AB235" s="15"/>
      <c r="AC235" s="15"/>
      <c r="AD235" s="16"/>
      <c r="AE235" s="8">
        <f t="shared" si="48"/>
        <v>0</v>
      </c>
      <c r="AF235" s="17">
        <f t="shared" si="49"/>
        <v>4909.75</v>
      </c>
      <c r="AG235" s="18">
        <f t="shared" si="50"/>
        <v>119.75</v>
      </c>
      <c r="AH235" s="19">
        <f t="shared" si="51"/>
        <v>2.4999999999999911E-2</v>
      </c>
      <c r="AI235" s="20">
        <v>13.6</v>
      </c>
      <c r="AJ235" s="20">
        <v>450</v>
      </c>
      <c r="AK235" s="20"/>
      <c r="AL235" s="20">
        <v>688</v>
      </c>
      <c r="AM235" s="20">
        <f t="shared" si="52"/>
        <v>72860.599999999991</v>
      </c>
      <c r="AN235" s="7" t="s">
        <v>176</v>
      </c>
      <c r="AO235" s="20"/>
      <c r="AP235" s="21" t="s">
        <v>465</v>
      </c>
      <c r="AQ235" s="21"/>
      <c r="AR235" s="5" t="s">
        <v>466</v>
      </c>
      <c r="AS235" s="5" t="s">
        <v>164</v>
      </c>
      <c r="AT235" s="5" t="s">
        <v>59</v>
      </c>
      <c r="AU235" s="20"/>
      <c r="AV235" s="21"/>
      <c r="AW235" s="21"/>
      <c r="AX235" s="21"/>
    </row>
    <row r="236" spans="1:50" s="55" customFormat="1">
      <c r="A236" s="86" t="s">
        <v>318</v>
      </c>
      <c r="B236" s="5">
        <v>15017042</v>
      </c>
      <c r="C236" s="5" t="s">
        <v>604</v>
      </c>
      <c r="D236" s="5" t="s">
        <v>321</v>
      </c>
      <c r="E236" s="5" t="s">
        <v>52</v>
      </c>
      <c r="F236" s="5" t="s">
        <v>62</v>
      </c>
      <c r="G236" s="5" t="s">
        <v>202</v>
      </c>
      <c r="H236" s="5" t="s">
        <v>464</v>
      </c>
      <c r="I236" s="6">
        <v>42979</v>
      </c>
      <c r="J236" s="5" t="s">
        <v>336</v>
      </c>
      <c r="K236" s="5" t="s">
        <v>511</v>
      </c>
      <c r="L236" s="5" t="s">
        <v>324</v>
      </c>
      <c r="M236" s="7">
        <v>6</v>
      </c>
      <c r="N236" s="7" t="s">
        <v>176</v>
      </c>
      <c r="O236" s="8">
        <v>4814</v>
      </c>
      <c r="P236" s="9">
        <v>0.02</v>
      </c>
      <c r="Q236" s="10">
        <f t="shared" si="40"/>
        <v>96</v>
      </c>
      <c r="R236" s="9">
        <v>5.0000000000000001E-3</v>
      </c>
      <c r="S236" s="10">
        <f t="shared" si="41"/>
        <v>24</v>
      </c>
      <c r="T236" s="9">
        <f t="shared" si="42"/>
        <v>2.4927295388450354E-2</v>
      </c>
      <c r="U236" s="10">
        <f t="shared" si="43"/>
        <v>120</v>
      </c>
      <c r="V236" s="10">
        <f t="shared" si="44"/>
        <v>4934</v>
      </c>
      <c r="W236" s="11">
        <v>4838.07</v>
      </c>
      <c r="X236" s="12">
        <f t="shared" si="45"/>
        <v>24.069999999999709</v>
      </c>
      <c r="Y236" s="13">
        <f t="shared" si="46"/>
        <v>5.0000000000000001E-3</v>
      </c>
      <c r="Z236" s="14" t="str">
        <f t="shared" si="47"/>
        <v>0.00%-8.40%</v>
      </c>
      <c r="AA236" s="15"/>
      <c r="AB236" s="15"/>
      <c r="AC236" s="15"/>
      <c r="AD236" s="16"/>
      <c r="AE236" s="8">
        <f t="shared" si="48"/>
        <v>0</v>
      </c>
      <c r="AF236" s="17">
        <f t="shared" si="49"/>
        <v>4838.07</v>
      </c>
      <c r="AG236" s="18">
        <f t="shared" si="50"/>
        <v>24.069999999999709</v>
      </c>
      <c r="AH236" s="19">
        <f t="shared" si="51"/>
        <v>4.9999999999998934E-3</v>
      </c>
      <c r="AI236" s="20">
        <v>13.6</v>
      </c>
      <c r="AJ236" s="20">
        <v>450</v>
      </c>
      <c r="AK236" s="20"/>
      <c r="AL236" s="20">
        <v>688</v>
      </c>
      <c r="AM236" s="20">
        <f t="shared" si="52"/>
        <v>71885.751999999993</v>
      </c>
      <c r="AN236" s="7" t="s">
        <v>176</v>
      </c>
      <c r="AO236" s="20"/>
      <c r="AP236" s="21" t="s">
        <v>513</v>
      </c>
      <c r="AQ236" s="21"/>
      <c r="AR236" s="5" t="s">
        <v>466</v>
      </c>
      <c r="AS236" s="5" t="s">
        <v>164</v>
      </c>
      <c r="AT236" s="5" t="s">
        <v>59</v>
      </c>
      <c r="AU236" s="20"/>
      <c r="AV236" s="21"/>
      <c r="AW236" s="21"/>
      <c r="AX236" s="21"/>
    </row>
    <row r="237" spans="1:50" s="55" customFormat="1">
      <c r="A237" s="86" t="s">
        <v>318</v>
      </c>
      <c r="B237" s="5">
        <v>15009093</v>
      </c>
      <c r="C237" s="5" t="s">
        <v>605</v>
      </c>
      <c r="D237" s="5" t="s">
        <v>321</v>
      </c>
      <c r="E237" s="5" t="s">
        <v>52</v>
      </c>
      <c r="F237" s="5" t="s">
        <v>62</v>
      </c>
      <c r="G237" s="5" t="s">
        <v>202</v>
      </c>
      <c r="H237" s="5" t="s">
        <v>464</v>
      </c>
      <c r="I237" s="6">
        <v>41426</v>
      </c>
      <c r="J237" s="5" t="s">
        <v>336</v>
      </c>
      <c r="K237" s="5" t="s">
        <v>511</v>
      </c>
      <c r="L237" s="5" t="s">
        <v>324</v>
      </c>
      <c r="M237" s="7">
        <v>6</v>
      </c>
      <c r="N237" s="7" t="s">
        <v>176</v>
      </c>
      <c r="O237" s="8">
        <v>5413</v>
      </c>
      <c r="P237" s="9">
        <v>0.02</v>
      </c>
      <c r="Q237" s="10">
        <f t="shared" si="40"/>
        <v>108</v>
      </c>
      <c r="R237" s="9">
        <v>5.0000000000000001E-3</v>
      </c>
      <c r="S237" s="10">
        <f t="shared" si="41"/>
        <v>27</v>
      </c>
      <c r="T237" s="9">
        <f t="shared" si="42"/>
        <v>2.4939959357103268E-2</v>
      </c>
      <c r="U237" s="10">
        <f t="shared" si="43"/>
        <v>135</v>
      </c>
      <c r="V237" s="10">
        <f t="shared" si="44"/>
        <v>5548</v>
      </c>
      <c r="W237" s="11">
        <v>5548.3249999999998</v>
      </c>
      <c r="X237" s="12">
        <f t="shared" si="45"/>
        <v>135.32499999999982</v>
      </c>
      <c r="Y237" s="13">
        <f t="shared" si="46"/>
        <v>2.5000000000000001E-2</v>
      </c>
      <c r="Z237" s="14" t="str">
        <f t="shared" si="47"/>
        <v>0.00%-8.40%</v>
      </c>
      <c r="AA237" s="15"/>
      <c r="AB237" s="15"/>
      <c r="AC237" s="15"/>
      <c r="AD237" s="16"/>
      <c r="AE237" s="8">
        <f t="shared" si="48"/>
        <v>0</v>
      </c>
      <c r="AF237" s="17">
        <f t="shared" si="49"/>
        <v>5548.3249999999998</v>
      </c>
      <c r="AG237" s="18">
        <f t="shared" si="50"/>
        <v>135.32499999999982</v>
      </c>
      <c r="AH237" s="19">
        <f t="shared" si="51"/>
        <v>2.4999999999999911E-2</v>
      </c>
      <c r="AI237" s="20">
        <v>13.6</v>
      </c>
      <c r="AJ237" s="20">
        <v>450</v>
      </c>
      <c r="AK237" s="20"/>
      <c r="AL237" s="20">
        <v>688</v>
      </c>
      <c r="AM237" s="20">
        <f t="shared" si="52"/>
        <v>81545.22</v>
      </c>
      <c r="AN237" s="7" t="s">
        <v>176</v>
      </c>
      <c r="AO237" s="20"/>
      <c r="AP237" s="21" t="s">
        <v>465</v>
      </c>
      <c r="AQ237" s="21"/>
      <c r="AR237" s="5" t="s">
        <v>466</v>
      </c>
      <c r="AS237" s="5" t="s">
        <v>164</v>
      </c>
      <c r="AT237" s="5" t="s">
        <v>59</v>
      </c>
      <c r="AU237" s="20"/>
      <c r="AV237" s="21"/>
      <c r="AW237" s="21"/>
      <c r="AX237" s="21"/>
    </row>
    <row r="238" spans="1:50" s="55" customFormat="1">
      <c r="A238" s="86" t="s">
        <v>318</v>
      </c>
      <c r="B238" s="5">
        <v>15015098</v>
      </c>
      <c r="C238" s="5" t="s">
        <v>606</v>
      </c>
      <c r="D238" s="5" t="s">
        <v>321</v>
      </c>
      <c r="E238" s="5" t="s">
        <v>52</v>
      </c>
      <c r="F238" s="5" t="s">
        <v>62</v>
      </c>
      <c r="G238" s="5" t="s">
        <v>202</v>
      </c>
      <c r="H238" s="5" t="s">
        <v>464</v>
      </c>
      <c r="I238" s="6">
        <v>42552</v>
      </c>
      <c r="J238" s="5" t="s">
        <v>336</v>
      </c>
      <c r="K238" s="5" t="s">
        <v>511</v>
      </c>
      <c r="L238" s="5" t="s">
        <v>324</v>
      </c>
      <c r="M238" s="7">
        <v>6</v>
      </c>
      <c r="N238" s="7" t="s">
        <v>176</v>
      </c>
      <c r="O238" s="8">
        <v>5410</v>
      </c>
      <c r="P238" s="9">
        <v>0.02</v>
      </c>
      <c r="Q238" s="10">
        <f t="shared" si="40"/>
        <v>108</v>
      </c>
      <c r="R238" s="9">
        <v>5.0000000000000001E-3</v>
      </c>
      <c r="S238" s="10">
        <f t="shared" si="41"/>
        <v>27</v>
      </c>
      <c r="T238" s="9">
        <f t="shared" si="42"/>
        <v>2.4953789279112754E-2</v>
      </c>
      <c r="U238" s="10">
        <f t="shared" si="43"/>
        <v>135</v>
      </c>
      <c r="V238" s="10">
        <f t="shared" si="44"/>
        <v>5545</v>
      </c>
      <c r="W238" s="11">
        <v>5545.25</v>
      </c>
      <c r="X238" s="12">
        <f t="shared" si="45"/>
        <v>135.25</v>
      </c>
      <c r="Y238" s="13">
        <f t="shared" si="46"/>
        <v>2.5000000000000001E-2</v>
      </c>
      <c r="Z238" s="14" t="str">
        <f t="shared" si="47"/>
        <v>0.00%-8.40%</v>
      </c>
      <c r="AA238" s="15"/>
      <c r="AB238" s="15"/>
      <c r="AC238" s="15"/>
      <c r="AD238" s="16"/>
      <c r="AE238" s="8">
        <f t="shared" si="48"/>
        <v>0</v>
      </c>
      <c r="AF238" s="17">
        <f t="shared" si="49"/>
        <v>5545.25</v>
      </c>
      <c r="AG238" s="18">
        <f t="shared" si="50"/>
        <v>135.25</v>
      </c>
      <c r="AH238" s="19">
        <f t="shared" si="51"/>
        <v>2.4999999999999911E-2</v>
      </c>
      <c r="AI238" s="20">
        <v>13.6</v>
      </c>
      <c r="AJ238" s="20">
        <v>500</v>
      </c>
      <c r="AK238" s="20"/>
      <c r="AL238" s="20">
        <v>688</v>
      </c>
      <c r="AM238" s="20">
        <f t="shared" si="52"/>
        <v>82103.399999999994</v>
      </c>
      <c r="AN238" s="7" t="s">
        <v>176</v>
      </c>
      <c r="AO238" s="20"/>
      <c r="AP238" s="21" t="s">
        <v>465</v>
      </c>
      <c r="AQ238" s="21"/>
      <c r="AR238" s="5" t="s">
        <v>466</v>
      </c>
      <c r="AS238" s="5" t="s">
        <v>164</v>
      </c>
      <c r="AT238" s="5" t="s">
        <v>59</v>
      </c>
      <c r="AU238" s="20"/>
      <c r="AV238" s="21"/>
      <c r="AW238" s="21"/>
      <c r="AX238" s="21"/>
    </row>
    <row r="239" spans="1:50" s="55" customFormat="1">
      <c r="A239" s="86" t="s">
        <v>318</v>
      </c>
      <c r="B239" s="5">
        <v>15005990</v>
      </c>
      <c r="C239" s="5" t="s">
        <v>607</v>
      </c>
      <c r="D239" s="5" t="s">
        <v>321</v>
      </c>
      <c r="E239" s="5" t="s">
        <v>52</v>
      </c>
      <c r="F239" s="5" t="s">
        <v>62</v>
      </c>
      <c r="G239" s="5" t="s">
        <v>202</v>
      </c>
      <c r="H239" s="5" t="s">
        <v>464</v>
      </c>
      <c r="I239" s="6">
        <v>40909</v>
      </c>
      <c r="J239" s="5" t="s">
        <v>336</v>
      </c>
      <c r="K239" s="5" t="s">
        <v>511</v>
      </c>
      <c r="L239" s="5" t="s">
        <v>324</v>
      </c>
      <c r="M239" s="7">
        <v>6</v>
      </c>
      <c r="N239" s="7" t="s">
        <v>176</v>
      </c>
      <c r="O239" s="8">
        <v>4714</v>
      </c>
      <c r="P239" s="9">
        <v>0.02</v>
      </c>
      <c r="Q239" s="10">
        <f t="shared" si="40"/>
        <v>94</v>
      </c>
      <c r="R239" s="9">
        <v>5.0000000000000001E-3</v>
      </c>
      <c r="S239" s="10">
        <f t="shared" si="41"/>
        <v>24</v>
      </c>
      <c r="T239" s="9">
        <f t="shared" si="42"/>
        <v>2.5031820110309716E-2</v>
      </c>
      <c r="U239" s="10">
        <f t="shared" si="43"/>
        <v>118</v>
      </c>
      <c r="V239" s="10">
        <f t="shared" si="44"/>
        <v>4832</v>
      </c>
      <c r="W239" s="11">
        <v>4714</v>
      </c>
      <c r="X239" s="12">
        <f t="shared" si="45"/>
        <v>0</v>
      </c>
      <c r="Y239" s="13">
        <f t="shared" si="46"/>
        <v>0</v>
      </c>
      <c r="Z239" s="14" t="str">
        <f t="shared" si="47"/>
        <v>0.00%-8.40%</v>
      </c>
      <c r="AA239" s="15"/>
      <c r="AB239" s="15"/>
      <c r="AC239" s="15"/>
      <c r="AD239" s="16"/>
      <c r="AE239" s="8">
        <f t="shared" si="48"/>
        <v>0</v>
      </c>
      <c r="AF239" s="17">
        <f t="shared" si="49"/>
        <v>4714</v>
      </c>
      <c r="AG239" s="18">
        <f t="shared" si="50"/>
        <v>0</v>
      </c>
      <c r="AH239" s="19">
        <f t="shared" si="51"/>
        <v>0</v>
      </c>
      <c r="AI239" s="20">
        <v>13.6</v>
      </c>
      <c r="AJ239" s="20">
        <v>450</v>
      </c>
      <c r="AK239" s="20"/>
      <c r="AL239" s="20">
        <v>688</v>
      </c>
      <c r="AM239" s="20">
        <f t="shared" si="52"/>
        <v>70198.399999999994</v>
      </c>
      <c r="AN239" s="7" t="s">
        <v>176</v>
      </c>
      <c r="AO239" s="20"/>
      <c r="AP239" s="21" t="s">
        <v>97</v>
      </c>
      <c r="AQ239" s="21" t="s">
        <v>97</v>
      </c>
      <c r="AR239" s="5" t="s">
        <v>466</v>
      </c>
      <c r="AS239" s="5" t="s">
        <v>164</v>
      </c>
      <c r="AT239" s="5" t="s">
        <v>59</v>
      </c>
      <c r="AU239" s="20"/>
      <c r="AV239" s="21"/>
      <c r="AW239" s="21"/>
      <c r="AX239" s="21"/>
    </row>
    <row r="240" spans="1:50" s="55" customFormat="1">
      <c r="A240" s="86" t="s">
        <v>318</v>
      </c>
      <c r="B240" s="5">
        <v>15016381</v>
      </c>
      <c r="C240" s="5" t="s">
        <v>608</v>
      </c>
      <c r="D240" s="5" t="s">
        <v>321</v>
      </c>
      <c r="E240" s="5" t="s">
        <v>52</v>
      </c>
      <c r="F240" s="5" t="s">
        <v>62</v>
      </c>
      <c r="G240" s="5" t="s">
        <v>202</v>
      </c>
      <c r="H240" s="5" t="s">
        <v>464</v>
      </c>
      <c r="I240" s="6">
        <v>42948</v>
      </c>
      <c r="J240" s="5" t="s">
        <v>336</v>
      </c>
      <c r="K240" s="5" t="s">
        <v>548</v>
      </c>
      <c r="L240" s="5" t="s">
        <v>324</v>
      </c>
      <c r="M240" s="7">
        <v>6</v>
      </c>
      <c r="N240" s="7" t="s">
        <v>176</v>
      </c>
      <c r="O240" s="8">
        <v>4605</v>
      </c>
      <c r="P240" s="9">
        <v>0.02</v>
      </c>
      <c r="Q240" s="10">
        <f t="shared" si="40"/>
        <v>92</v>
      </c>
      <c r="R240" s="9">
        <v>5.0000000000000001E-3</v>
      </c>
      <c r="S240" s="10">
        <f t="shared" si="41"/>
        <v>23</v>
      </c>
      <c r="T240" s="9">
        <f t="shared" si="42"/>
        <v>2.4972855591748101E-2</v>
      </c>
      <c r="U240" s="10">
        <f t="shared" si="43"/>
        <v>115</v>
      </c>
      <c r="V240" s="10">
        <f t="shared" si="44"/>
        <v>4720</v>
      </c>
      <c r="W240" s="11">
        <v>4651.05</v>
      </c>
      <c r="X240" s="12">
        <f t="shared" si="45"/>
        <v>46.050000000000182</v>
      </c>
      <c r="Y240" s="13">
        <f t="shared" si="46"/>
        <v>0.01</v>
      </c>
      <c r="Z240" s="14" t="str">
        <f t="shared" si="47"/>
        <v>0.00%-8.40%</v>
      </c>
      <c r="AA240" s="15"/>
      <c r="AB240" s="15"/>
      <c r="AC240" s="15"/>
      <c r="AD240" s="16"/>
      <c r="AE240" s="8">
        <f t="shared" si="48"/>
        <v>0</v>
      </c>
      <c r="AF240" s="17">
        <f t="shared" si="49"/>
        <v>4651.05</v>
      </c>
      <c r="AG240" s="18">
        <f t="shared" si="50"/>
        <v>46.050000000000182</v>
      </c>
      <c r="AH240" s="19">
        <f t="shared" si="51"/>
        <v>1.0000000000000009E-2</v>
      </c>
      <c r="AI240" s="20">
        <v>13.6</v>
      </c>
      <c r="AJ240" s="20">
        <v>450</v>
      </c>
      <c r="AK240" s="20"/>
      <c r="AL240" s="20">
        <v>688</v>
      </c>
      <c r="AM240" s="20">
        <f t="shared" si="52"/>
        <v>69342.28</v>
      </c>
      <c r="AN240" s="7" t="s">
        <v>176</v>
      </c>
      <c r="AO240" s="20"/>
      <c r="AP240" s="21" t="s">
        <v>465</v>
      </c>
      <c r="AQ240" s="21"/>
      <c r="AR240" s="5" t="s">
        <v>466</v>
      </c>
      <c r="AS240" s="5" t="s">
        <v>164</v>
      </c>
      <c r="AT240" s="5" t="s">
        <v>59</v>
      </c>
      <c r="AU240" s="20"/>
      <c r="AV240" s="21"/>
      <c r="AW240" s="21"/>
      <c r="AX240" s="21"/>
    </row>
    <row r="241" spans="1:50" s="55" customFormat="1">
      <c r="A241" s="86" t="s">
        <v>318</v>
      </c>
      <c r="B241" s="5">
        <v>15013380</v>
      </c>
      <c r="C241" s="5" t="s">
        <v>609</v>
      </c>
      <c r="D241" s="5" t="s">
        <v>321</v>
      </c>
      <c r="E241" s="5" t="s">
        <v>52</v>
      </c>
      <c r="F241" s="5" t="s">
        <v>62</v>
      </c>
      <c r="G241" s="5" t="s">
        <v>202</v>
      </c>
      <c r="H241" s="5" t="s">
        <v>464</v>
      </c>
      <c r="I241" s="6">
        <v>42186</v>
      </c>
      <c r="J241" s="5" t="s">
        <v>336</v>
      </c>
      <c r="K241" s="5" t="s">
        <v>511</v>
      </c>
      <c r="L241" s="5" t="s">
        <v>324</v>
      </c>
      <c r="M241" s="7">
        <v>6</v>
      </c>
      <c r="N241" s="7" t="s">
        <v>176</v>
      </c>
      <c r="O241" s="8">
        <v>5179</v>
      </c>
      <c r="P241" s="9">
        <v>0.02</v>
      </c>
      <c r="Q241" s="10">
        <f t="shared" si="40"/>
        <v>104</v>
      </c>
      <c r="R241" s="9">
        <v>5.0000000000000001E-3</v>
      </c>
      <c r="S241" s="10">
        <f t="shared" si="41"/>
        <v>26</v>
      </c>
      <c r="T241" s="9">
        <f t="shared" si="42"/>
        <v>2.5101370921027225E-2</v>
      </c>
      <c r="U241" s="10">
        <f t="shared" si="43"/>
        <v>130</v>
      </c>
      <c r="V241" s="10">
        <f t="shared" si="44"/>
        <v>5309</v>
      </c>
      <c r="W241" s="11">
        <v>5308.4750000000004</v>
      </c>
      <c r="X241" s="12">
        <f t="shared" si="45"/>
        <v>129.47500000000036</v>
      </c>
      <c r="Y241" s="13">
        <f t="shared" si="46"/>
        <v>2.5000000000000001E-2</v>
      </c>
      <c r="Z241" s="14" t="str">
        <f t="shared" si="47"/>
        <v>0.00%-8.40%</v>
      </c>
      <c r="AA241" s="15"/>
      <c r="AB241" s="15"/>
      <c r="AC241" s="15"/>
      <c r="AD241" s="16"/>
      <c r="AE241" s="8">
        <f t="shared" si="48"/>
        <v>0</v>
      </c>
      <c r="AF241" s="17">
        <f t="shared" si="49"/>
        <v>5308.4750000000004</v>
      </c>
      <c r="AG241" s="18">
        <f t="shared" si="50"/>
        <v>129.47500000000036</v>
      </c>
      <c r="AH241" s="19">
        <f t="shared" si="51"/>
        <v>2.5000000000000133E-2</v>
      </c>
      <c r="AI241" s="20">
        <v>13.6</v>
      </c>
      <c r="AJ241" s="20">
        <v>450</v>
      </c>
      <c r="AK241" s="20"/>
      <c r="AL241" s="20">
        <v>688</v>
      </c>
      <c r="AM241" s="20">
        <f t="shared" si="52"/>
        <v>78283.260000000009</v>
      </c>
      <c r="AN241" s="7" t="s">
        <v>176</v>
      </c>
      <c r="AO241" s="20"/>
      <c r="AP241" s="21" t="s">
        <v>465</v>
      </c>
      <c r="AQ241" s="21"/>
      <c r="AR241" s="5" t="s">
        <v>466</v>
      </c>
      <c r="AS241" s="5" t="s">
        <v>164</v>
      </c>
      <c r="AT241" s="5" t="s">
        <v>59</v>
      </c>
      <c r="AU241" s="20"/>
      <c r="AV241" s="21"/>
      <c r="AW241" s="21"/>
      <c r="AX241" s="21"/>
    </row>
    <row r="242" spans="1:50" s="55" customFormat="1">
      <c r="A242" s="86" t="s">
        <v>318</v>
      </c>
      <c r="B242" s="5">
        <v>15016972</v>
      </c>
      <c r="C242" s="5" t="s">
        <v>610</v>
      </c>
      <c r="D242" s="5" t="s">
        <v>321</v>
      </c>
      <c r="E242" s="5" t="s">
        <v>52</v>
      </c>
      <c r="F242" s="5" t="s">
        <v>62</v>
      </c>
      <c r="G242" s="5" t="s">
        <v>202</v>
      </c>
      <c r="H242" s="5" t="s">
        <v>464</v>
      </c>
      <c r="I242" s="6">
        <v>42979</v>
      </c>
      <c r="J242" s="5" t="s">
        <v>336</v>
      </c>
      <c r="K242" s="5" t="s">
        <v>511</v>
      </c>
      <c r="L242" s="5" t="s">
        <v>324</v>
      </c>
      <c r="M242" s="7">
        <v>6</v>
      </c>
      <c r="N242" s="7" t="s">
        <v>176</v>
      </c>
      <c r="O242" s="8">
        <v>4991</v>
      </c>
      <c r="P242" s="9">
        <v>0.02</v>
      </c>
      <c r="Q242" s="10">
        <f t="shared" si="40"/>
        <v>100</v>
      </c>
      <c r="R242" s="9">
        <v>5.0000000000000001E-3</v>
      </c>
      <c r="S242" s="10">
        <f t="shared" si="41"/>
        <v>25</v>
      </c>
      <c r="T242" s="9">
        <f t="shared" si="42"/>
        <v>2.5045081146062912E-2</v>
      </c>
      <c r="U242" s="10">
        <f t="shared" si="43"/>
        <v>125</v>
      </c>
      <c r="V242" s="10">
        <f t="shared" si="44"/>
        <v>5116</v>
      </c>
      <c r="W242" s="11">
        <v>5115.7749999999996</v>
      </c>
      <c r="X242" s="12">
        <f t="shared" si="45"/>
        <v>124.77499999999964</v>
      </c>
      <c r="Y242" s="13">
        <f t="shared" si="46"/>
        <v>2.5000000000000001E-2</v>
      </c>
      <c r="Z242" s="14" t="str">
        <f t="shared" si="47"/>
        <v>0.00%-8.40%</v>
      </c>
      <c r="AA242" s="15"/>
      <c r="AB242" s="15"/>
      <c r="AC242" s="15"/>
      <c r="AD242" s="16"/>
      <c r="AE242" s="8">
        <f t="shared" si="48"/>
        <v>0</v>
      </c>
      <c r="AF242" s="17">
        <f t="shared" si="49"/>
        <v>5115.7749999999996</v>
      </c>
      <c r="AG242" s="18">
        <f t="shared" si="50"/>
        <v>124.77499999999964</v>
      </c>
      <c r="AH242" s="19">
        <f t="shared" si="51"/>
        <v>2.4999999999999911E-2</v>
      </c>
      <c r="AI242" s="20">
        <v>13.6</v>
      </c>
      <c r="AJ242" s="20">
        <v>450</v>
      </c>
      <c r="AK242" s="20"/>
      <c r="AL242" s="20">
        <v>688</v>
      </c>
      <c r="AM242" s="20">
        <f t="shared" si="52"/>
        <v>75662.539999999994</v>
      </c>
      <c r="AN242" s="7" t="s">
        <v>176</v>
      </c>
      <c r="AO242" s="20"/>
      <c r="AP242" s="21" t="s">
        <v>465</v>
      </c>
      <c r="AQ242" s="21"/>
      <c r="AR242" s="5" t="s">
        <v>466</v>
      </c>
      <c r="AS242" s="5" t="s">
        <v>164</v>
      </c>
      <c r="AT242" s="5" t="s">
        <v>59</v>
      </c>
      <c r="AU242" s="20"/>
      <c r="AV242" s="21"/>
      <c r="AW242" s="21"/>
      <c r="AX242" s="21"/>
    </row>
    <row r="243" spans="1:50" s="55" customFormat="1">
      <c r="A243" s="86" t="s">
        <v>318</v>
      </c>
      <c r="B243" s="5">
        <v>15009953</v>
      </c>
      <c r="C243" s="5" t="s">
        <v>611</v>
      </c>
      <c r="D243" s="5" t="s">
        <v>321</v>
      </c>
      <c r="E243" s="5" t="s">
        <v>52</v>
      </c>
      <c r="F243" s="5" t="s">
        <v>62</v>
      </c>
      <c r="G243" s="5" t="s">
        <v>202</v>
      </c>
      <c r="H243" s="5" t="s">
        <v>464</v>
      </c>
      <c r="I243" s="6">
        <v>41487</v>
      </c>
      <c r="J243" s="5" t="s">
        <v>336</v>
      </c>
      <c r="K243" s="5" t="s">
        <v>511</v>
      </c>
      <c r="L243" s="5" t="s">
        <v>324</v>
      </c>
      <c r="M243" s="7">
        <v>6</v>
      </c>
      <c r="N243" s="7" t="s">
        <v>176</v>
      </c>
      <c r="O243" s="8">
        <v>4598</v>
      </c>
      <c r="P243" s="9">
        <v>0.02</v>
      </c>
      <c r="Q243" s="10">
        <f t="shared" si="40"/>
        <v>92</v>
      </c>
      <c r="R243" s="9">
        <v>5.0000000000000001E-3</v>
      </c>
      <c r="S243" s="10">
        <f t="shared" si="41"/>
        <v>23</v>
      </c>
      <c r="T243" s="9">
        <f t="shared" si="42"/>
        <v>2.5010874293170945E-2</v>
      </c>
      <c r="U243" s="10">
        <f t="shared" si="43"/>
        <v>115</v>
      </c>
      <c r="V243" s="10">
        <f t="shared" si="44"/>
        <v>4713</v>
      </c>
      <c r="W243" s="11">
        <v>4712.95</v>
      </c>
      <c r="X243" s="12">
        <f t="shared" si="45"/>
        <v>114.94999999999982</v>
      </c>
      <c r="Y243" s="13">
        <f t="shared" si="46"/>
        <v>2.5000000000000001E-2</v>
      </c>
      <c r="Z243" s="14" t="str">
        <f t="shared" si="47"/>
        <v>0.00%-8.40%</v>
      </c>
      <c r="AA243" s="15"/>
      <c r="AB243" s="15"/>
      <c r="AC243" s="15"/>
      <c r="AD243" s="16"/>
      <c r="AE243" s="8">
        <f t="shared" si="48"/>
        <v>0</v>
      </c>
      <c r="AF243" s="17">
        <f t="shared" si="49"/>
        <v>4712.95</v>
      </c>
      <c r="AG243" s="18">
        <f t="shared" si="50"/>
        <v>114.94999999999982</v>
      </c>
      <c r="AH243" s="19">
        <f t="shared" si="51"/>
        <v>2.4999999999999911E-2</v>
      </c>
      <c r="AI243" s="20">
        <v>13.6</v>
      </c>
      <c r="AJ243" s="20">
        <v>450</v>
      </c>
      <c r="AK243" s="20"/>
      <c r="AL243" s="20">
        <v>688</v>
      </c>
      <c r="AM243" s="20">
        <f t="shared" si="52"/>
        <v>70184.12</v>
      </c>
      <c r="AN243" s="7" t="s">
        <v>176</v>
      </c>
      <c r="AO243" s="20"/>
      <c r="AP243" s="21" t="s">
        <v>465</v>
      </c>
      <c r="AQ243" s="21"/>
      <c r="AR243" s="5" t="s">
        <v>466</v>
      </c>
      <c r="AS243" s="5" t="s">
        <v>164</v>
      </c>
      <c r="AT243" s="5" t="s">
        <v>59</v>
      </c>
      <c r="AU243" s="20"/>
      <c r="AV243" s="21"/>
      <c r="AW243" s="21"/>
      <c r="AX243" s="21"/>
    </row>
    <row r="244" spans="1:50" s="55" customFormat="1">
      <c r="A244" s="86" t="s">
        <v>318</v>
      </c>
      <c r="B244" s="5">
        <v>15013386</v>
      </c>
      <c r="C244" s="5" t="s">
        <v>612</v>
      </c>
      <c r="D244" s="5" t="s">
        <v>321</v>
      </c>
      <c r="E244" s="5" t="s">
        <v>52</v>
      </c>
      <c r="F244" s="5" t="s">
        <v>62</v>
      </c>
      <c r="G244" s="5" t="s">
        <v>202</v>
      </c>
      <c r="H244" s="5" t="s">
        <v>464</v>
      </c>
      <c r="I244" s="6">
        <v>42186</v>
      </c>
      <c r="J244" s="5" t="s">
        <v>336</v>
      </c>
      <c r="K244" s="5" t="s">
        <v>511</v>
      </c>
      <c r="L244" s="5" t="s">
        <v>324</v>
      </c>
      <c r="M244" s="7">
        <v>6</v>
      </c>
      <c r="N244" s="7" t="s">
        <v>176</v>
      </c>
      <c r="O244" s="8">
        <v>4599</v>
      </c>
      <c r="P244" s="9">
        <v>0.02</v>
      </c>
      <c r="Q244" s="10">
        <f t="shared" si="40"/>
        <v>92</v>
      </c>
      <c r="R244" s="9">
        <v>5.0000000000000001E-3</v>
      </c>
      <c r="S244" s="10">
        <f t="shared" si="41"/>
        <v>23</v>
      </c>
      <c r="T244" s="9">
        <f t="shared" si="42"/>
        <v>2.5005435964340073E-2</v>
      </c>
      <c r="U244" s="10">
        <f t="shared" si="43"/>
        <v>115</v>
      </c>
      <c r="V244" s="10">
        <f t="shared" si="44"/>
        <v>4714</v>
      </c>
      <c r="W244" s="11">
        <v>4713.9750000000004</v>
      </c>
      <c r="X244" s="12">
        <f t="shared" si="45"/>
        <v>114.97500000000036</v>
      </c>
      <c r="Y244" s="13">
        <f t="shared" si="46"/>
        <v>2.5000000000000001E-2</v>
      </c>
      <c r="Z244" s="14" t="str">
        <f t="shared" si="47"/>
        <v>0.00%-8.40%</v>
      </c>
      <c r="AA244" s="15"/>
      <c r="AB244" s="15"/>
      <c r="AC244" s="15"/>
      <c r="AD244" s="16"/>
      <c r="AE244" s="8">
        <f t="shared" si="48"/>
        <v>0</v>
      </c>
      <c r="AF244" s="17">
        <f t="shared" si="49"/>
        <v>4713.9750000000004</v>
      </c>
      <c r="AG244" s="18">
        <f t="shared" si="50"/>
        <v>114.97500000000036</v>
      </c>
      <c r="AH244" s="19">
        <f t="shared" si="51"/>
        <v>2.5000000000000133E-2</v>
      </c>
      <c r="AI244" s="20">
        <v>13.6</v>
      </c>
      <c r="AJ244" s="20">
        <v>450</v>
      </c>
      <c r="AK244" s="20"/>
      <c r="AL244" s="20">
        <v>688</v>
      </c>
      <c r="AM244" s="20">
        <f t="shared" si="52"/>
        <v>70198.06</v>
      </c>
      <c r="AN244" s="7" t="s">
        <v>176</v>
      </c>
      <c r="AO244" s="20"/>
      <c r="AP244" s="21" t="s">
        <v>465</v>
      </c>
      <c r="AQ244" s="21"/>
      <c r="AR244" s="5" t="s">
        <v>466</v>
      </c>
      <c r="AS244" s="5" t="s">
        <v>164</v>
      </c>
      <c r="AT244" s="5" t="s">
        <v>59</v>
      </c>
      <c r="AU244" s="20"/>
      <c r="AV244" s="21"/>
      <c r="AW244" s="21"/>
      <c r="AX244" s="21"/>
    </row>
    <row r="245" spans="1:50" s="55" customFormat="1">
      <c r="A245" s="86" t="s">
        <v>318</v>
      </c>
      <c r="B245" s="5">
        <v>15018240</v>
      </c>
      <c r="C245" s="5" t="s">
        <v>613</v>
      </c>
      <c r="D245" s="5" t="s">
        <v>321</v>
      </c>
      <c r="E245" s="5" t="s">
        <v>52</v>
      </c>
      <c r="F245" s="5" t="s">
        <v>62</v>
      </c>
      <c r="G245" s="5" t="s">
        <v>202</v>
      </c>
      <c r="H245" s="5" t="s">
        <v>464</v>
      </c>
      <c r="I245" s="6">
        <v>43160</v>
      </c>
      <c r="J245" s="5" t="s">
        <v>336</v>
      </c>
      <c r="K245" s="5" t="s">
        <v>511</v>
      </c>
      <c r="L245" s="5" t="s">
        <v>324</v>
      </c>
      <c r="M245" s="7">
        <v>6</v>
      </c>
      <c r="N245" s="7" t="s">
        <v>176</v>
      </c>
      <c r="O245" s="8">
        <v>4847</v>
      </c>
      <c r="P245" s="9">
        <v>0.02</v>
      </c>
      <c r="Q245" s="10">
        <f t="shared" si="40"/>
        <v>97</v>
      </c>
      <c r="R245" s="9">
        <v>5.0000000000000001E-3</v>
      </c>
      <c r="S245" s="10">
        <f t="shared" si="41"/>
        <v>24</v>
      </c>
      <c r="T245" s="9">
        <f t="shared" si="42"/>
        <v>2.4963895192902825E-2</v>
      </c>
      <c r="U245" s="10">
        <f t="shared" si="43"/>
        <v>121</v>
      </c>
      <c r="V245" s="10">
        <f t="shared" si="44"/>
        <v>4968</v>
      </c>
      <c r="W245" s="11">
        <v>4847</v>
      </c>
      <c r="X245" s="12">
        <f t="shared" si="45"/>
        <v>0</v>
      </c>
      <c r="Y245" s="13">
        <f t="shared" si="46"/>
        <v>0</v>
      </c>
      <c r="Z245" s="14" t="str">
        <f t="shared" si="47"/>
        <v>0.00%-8.40%</v>
      </c>
      <c r="AA245" s="15"/>
      <c r="AB245" s="15"/>
      <c r="AC245" s="15"/>
      <c r="AD245" s="16"/>
      <c r="AE245" s="8">
        <f t="shared" si="48"/>
        <v>0</v>
      </c>
      <c r="AF245" s="17">
        <f t="shared" si="49"/>
        <v>4847</v>
      </c>
      <c r="AG245" s="18">
        <f t="shared" si="50"/>
        <v>0</v>
      </c>
      <c r="AH245" s="19">
        <f t="shared" si="51"/>
        <v>0</v>
      </c>
      <c r="AI245" s="20">
        <v>13.6</v>
      </c>
      <c r="AJ245" s="20">
        <v>450</v>
      </c>
      <c r="AK245" s="20"/>
      <c r="AL245" s="20">
        <v>688</v>
      </c>
      <c r="AM245" s="20">
        <f t="shared" si="52"/>
        <v>72007.199999999997</v>
      </c>
      <c r="AN245" s="7" t="s">
        <v>176</v>
      </c>
      <c r="AO245" s="20"/>
      <c r="AP245" s="21" t="s">
        <v>487</v>
      </c>
      <c r="AQ245" s="21" t="s">
        <v>496</v>
      </c>
      <c r="AR245" s="5" t="s">
        <v>466</v>
      </c>
      <c r="AS245" s="5" t="s">
        <v>164</v>
      </c>
      <c r="AT245" s="5" t="s">
        <v>59</v>
      </c>
      <c r="AU245" s="20"/>
      <c r="AV245" s="21"/>
      <c r="AW245" s="21"/>
      <c r="AX245" s="21"/>
    </row>
    <row r="246" spans="1:50" s="55" customFormat="1">
      <c r="A246" s="86" t="s">
        <v>318</v>
      </c>
      <c r="B246" s="5">
        <v>15017414</v>
      </c>
      <c r="C246" s="5" t="s">
        <v>614</v>
      </c>
      <c r="D246" s="5" t="s">
        <v>321</v>
      </c>
      <c r="E246" s="5" t="s">
        <v>52</v>
      </c>
      <c r="F246" s="5" t="s">
        <v>62</v>
      </c>
      <c r="G246" s="5" t="s">
        <v>202</v>
      </c>
      <c r="H246" s="5" t="s">
        <v>464</v>
      </c>
      <c r="I246" s="6">
        <v>42979</v>
      </c>
      <c r="J246" s="5" t="s">
        <v>336</v>
      </c>
      <c r="K246" s="5" t="s">
        <v>511</v>
      </c>
      <c r="L246" s="5" t="s">
        <v>324</v>
      </c>
      <c r="M246" s="7">
        <v>6</v>
      </c>
      <c r="N246" s="7" t="s">
        <v>176</v>
      </c>
      <c r="O246" s="8">
        <v>5008</v>
      </c>
      <c r="P246" s="9">
        <v>0.02</v>
      </c>
      <c r="Q246" s="10">
        <f t="shared" si="40"/>
        <v>100</v>
      </c>
      <c r="R246" s="9">
        <v>5.0000000000000001E-3</v>
      </c>
      <c r="S246" s="10">
        <f t="shared" si="41"/>
        <v>25</v>
      </c>
      <c r="T246" s="9">
        <f t="shared" si="42"/>
        <v>2.496006389776358E-2</v>
      </c>
      <c r="U246" s="10">
        <f t="shared" si="43"/>
        <v>125</v>
      </c>
      <c r="V246" s="10">
        <f t="shared" si="44"/>
        <v>5133</v>
      </c>
      <c r="W246" s="11">
        <v>5133.2</v>
      </c>
      <c r="X246" s="12">
        <f t="shared" si="45"/>
        <v>125.19999999999982</v>
      </c>
      <c r="Y246" s="13">
        <f t="shared" si="46"/>
        <v>2.5000000000000001E-2</v>
      </c>
      <c r="Z246" s="14" t="str">
        <f t="shared" si="47"/>
        <v>0.00%-8.40%</v>
      </c>
      <c r="AA246" s="15"/>
      <c r="AB246" s="15"/>
      <c r="AC246" s="15"/>
      <c r="AD246" s="16"/>
      <c r="AE246" s="8">
        <f t="shared" si="48"/>
        <v>0</v>
      </c>
      <c r="AF246" s="17">
        <f t="shared" si="49"/>
        <v>5133.2</v>
      </c>
      <c r="AG246" s="18">
        <f t="shared" si="50"/>
        <v>125.19999999999982</v>
      </c>
      <c r="AH246" s="19">
        <f t="shared" si="51"/>
        <v>2.4999999999999911E-2</v>
      </c>
      <c r="AI246" s="20">
        <v>13.6</v>
      </c>
      <c r="AJ246" s="20">
        <v>450</v>
      </c>
      <c r="AK246" s="20"/>
      <c r="AL246" s="20">
        <v>688</v>
      </c>
      <c r="AM246" s="20">
        <f t="shared" si="52"/>
        <v>75899.51999999999</v>
      </c>
      <c r="AN246" s="7" t="s">
        <v>176</v>
      </c>
      <c r="AO246" s="20"/>
      <c r="AP246" s="21" t="s">
        <v>465</v>
      </c>
      <c r="AQ246" s="21"/>
      <c r="AR246" s="5" t="s">
        <v>466</v>
      </c>
      <c r="AS246" s="5" t="s">
        <v>164</v>
      </c>
      <c r="AT246" s="5" t="s">
        <v>59</v>
      </c>
      <c r="AU246" s="20"/>
      <c r="AV246" s="21"/>
      <c r="AW246" s="21"/>
      <c r="AX246" s="21"/>
    </row>
    <row r="247" spans="1:50" s="55" customFormat="1">
      <c r="A247" s="86" t="s">
        <v>318</v>
      </c>
      <c r="B247" s="5">
        <v>15012863</v>
      </c>
      <c r="C247" s="5" t="s">
        <v>615</v>
      </c>
      <c r="D247" s="5" t="s">
        <v>321</v>
      </c>
      <c r="E247" s="5" t="s">
        <v>52</v>
      </c>
      <c r="F247" s="5" t="s">
        <v>62</v>
      </c>
      <c r="G247" s="5" t="s">
        <v>202</v>
      </c>
      <c r="H247" s="5" t="s">
        <v>464</v>
      </c>
      <c r="I247" s="6">
        <v>41852</v>
      </c>
      <c r="J247" s="5" t="s">
        <v>336</v>
      </c>
      <c r="K247" s="5" t="s">
        <v>511</v>
      </c>
      <c r="L247" s="5" t="s">
        <v>324</v>
      </c>
      <c r="M247" s="7">
        <v>6</v>
      </c>
      <c r="N247" s="7" t="s">
        <v>176</v>
      </c>
      <c r="O247" s="8">
        <v>5502</v>
      </c>
      <c r="P247" s="9">
        <v>0.02</v>
      </c>
      <c r="Q247" s="10">
        <f t="shared" si="40"/>
        <v>110</v>
      </c>
      <c r="R247" s="9">
        <v>5.0000000000000001E-3</v>
      </c>
      <c r="S247" s="10">
        <f t="shared" si="41"/>
        <v>28</v>
      </c>
      <c r="T247" s="9">
        <f t="shared" si="42"/>
        <v>2.5081788440567066E-2</v>
      </c>
      <c r="U247" s="10">
        <f t="shared" si="43"/>
        <v>138</v>
      </c>
      <c r="V247" s="10">
        <f t="shared" si="44"/>
        <v>5640</v>
      </c>
      <c r="W247" s="11">
        <v>5639.55</v>
      </c>
      <c r="X247" s="12">
        <f t="shared" si="45"/>
        <v>137.55000000000018</v>
      </c>
      <c r="Y247" s="13">
        <f t="shared" si="46"/>
        <v>2.5000000000000001E-2</v>
      </c>
      <c r="Z247" s="14" t="str">
        <f t="shared" si="47"/>
        <v>0.00%-8.40%</v>
      </c>
      <c r="AA247" s="15"/>
      <c r="AB247" s="15"/>
      <c r="AC247" s="15"/>
      <c r="AD247" s="16"/>
      <c r="AE247" s="8">
        <f t="shared" si="48"/>
        <v>0</v>
      </c>
      <c r="AF247" s="17">
        <f t="shared" si="49"/>
        <v>5639.55</v>
      </c>
      <c r="AG247" s="18">
        <f t="shared" si="50"/>
        <v>137.55000000000018</v>
      </c>
      <c r="AH247" s="19">
        <f t="shared" si="51"/>
        <v>2.5000000000000133E-2</v>
      </c>
      <c r="AI247" s="20">
        <v>13.6</v>
      </c>
      <c r="AJ247" s="20">
        <v>450</v>
      </c>
      <c r="AK247" s="20"/>
      <c r="AL247" s="20">
        <v>688</v>
      </c>
      <c r="AM247" s="20">
        <f t="shared" si="52"/>
        <v>82785.88</v>
      </c>
      <c r="AN247" s="7" t="s">
        <v>176</v>
      </c>
      <c r="AO247" s="20"/>
      <c r="AP247" s="21" t="s">
        <v>465</v>
      </c>
      <c r="AQ247" s="21"/>
      <c r="AR247" s="5" t="s">
        <v>466</v>
      </c>
      <c r="AS247" s="5" t="s">
        <v>164</v>
      </c>
      <c r="AT247" s="5" t="s">
        <v>59</v>
      </c>
      <c r="AU247" s="20"/>
      <c r="AV247" s="21"/>
      <c r="AW247" s="21"/>
      <c r="AX247" s="21"/>
    </row>
    <row r="248" spans="1:50" s="55" customFormat="1">
      <c r="A248" s="86" t="s">
        <v>318</v>
      </c>
      <c r="B248" s="5">
        <v>15007475</v>
      </c>
      <c r="C248" s="5" t="s">
        <v>616</v>
      </c>
      <c r="D248" s="5" t="s">
        <v>321</v>
      </c>
      <c r="E248" s="5" t="s">
        <v>52</v>
      </c>
      <c r="F248" s="5" t="s">
        <v>62</v>
      </c>
      <c r="G248" s="5" t="s">
        <v>202</v>
      </c>
      <c r="H248" s="5" t="s">
        <v>464</v>
      </c>
      <c r="I248" s="6">
        <v>41153</v>
      </c>
      <c r="J248" s="5" t="s">
        <v>336</v>
      </c>
      <c r="K248" s="5" t="s">
        <v>511</v>
      </c>
      <c r="L248" s="5" t="s">
        <v>324</v>
      </c>
      <c r="M248" s="7">
        <v>6</v>
      </c>
      <c r="N248" s="7" t="s">
        <v>176</v>
      </c>
      <c r="O248" s="8">
        <v>5713</v>
      </c>
      <c r="P248" s="9">
        <v>0.02</v>
      </c>
      <c r="Q248" s="10">
        <f t="shared" si="40"/>
        <v>114</v>
      </c>
      <c r="R248" s="9">
        <v>5.0000000000000001E-3</v>
      </c>
      <c r="S248" s="10">
        <f t="shared" si="41"/>
        <v>29</v>
      </c>
      <c r="T248" s="9">
        <f t="shared" si="42"/>
        <v>2.5030631892175741E-2</v>
      </c>
      <c r="U248" s="10">
        <f t="shared" si="43"/>
        <v>143</v>
      </c>
      <c r="V248" s="10">
        <f t="shared" si="44"/>
        <v>5856</v>
      </c>
      <c r="W248" s="11">
        <v>5998.65</v>
      </c>
      <c r="X248" s="12">
        <f t="shared" si="45"/>
        <v>285.64999999999964</v>
      </c>
      <c r="Y248" s="13">
        <f t="shared" si="46"/>
        <v>0.05</v>
      </c>
      <c r="Z248" s="14" t="str">
        <f t="shared" si="47"/>
        <v>0.00%-8.40%</v>
      </c>
      <c r="AA248" s="15"/>
      <c r="AB248" s="15"/>
      <c r="AC248" s="15"/>
      <c r="AD248" s="16"/>
      <c r="AE248" s="8">
        <f t="shared" si="48"/>
        <v>0</v>
      </c>
      <c r="AF248" s="17">
        <f t="shared" si="49"/>
        <v>5998.65</v>
      </c>
      <c r="AG248" s="18">
        <f t="shared" si="50"/>
        <v>285.64999999999964</v>
      </c>
      <c r="AH248" s="19">
        <f t="shared" si="51"/>
        <v>5.0000000000000044E-2</v>
      </c>
      <c r="AI248" s="20">
        <v>13.6</v>
      </c>
      <c r="AJ248" s="20">
        <v>450</v>
      </c>
      <c r="AK248" s="20"/>
      <c r="AL248" s="20">
        <v>688</v>
      </c>
      <c r="AM248" s="20">
        <f t="shared" si="52"/>
        <v>87669.64</v>
      </c>
      <c r="AN248" s="7" t="s">
        <v>176</v>
      </c>
      <c r="AO248" s="20"/>
      <c r="AP248" s="21" t="s">
        <v>525</v>
      </c>
      <c r="AQ248" s="21"/>
      <c r="AR248" s="5" t="s">
        <v>466</v>
      </c>
      <c r="AS248" s="5" t="s">
        <v>164</v>
      </c>
      <c r="AT248" s="5" t="s">
        <v>59</v>
      </c>
      <c r="AU248" s="20"/>
      <c r="AV248" s="21"/>
      <c r="AW248" s="21"/>
      <c r="AX248" s="21"/>
    </row>
    <row r="249" spans="1:50" s="55" customFormat="1">
      <c r="A249" s="86" t="s">
        <v>318</v>
      </c>
      <c r="B249" s="5">
        <v>15009529</v>
      </c>
      <c r="C249" s="5" t="s">
        <v>617</v>
      </c>
      <c r="D249" s="5" t="s">
        <v>321</v>
      </c>
      <c r="E249" s="5" t="s">
        <v>52</v>
      </c>
      <c r="F249" s="5" t="s">
        <v>62</v>
      </c>
      <c r="G249" s="5" t="s">
        <v>202</v>
      </c>
      <c r="H249" s="5" t="s">
        <v>464</v>
      </c>
      <c r="I249" s="6">
        <v>41487</v>
      </c>
      <c r="J249" s="5" t="s">
        <v>336</v>
      </c>
      <c r="K249" s="5" t="s">
        <v>511</v>
      </c>
      <c r="L249" s="5" t="s">
        <v>324</v>
      </c>
      <c r="M249" s="7">
        <v>6</v>
      </c>
      <c r="N249" s="7" t="s">
        <v>176</v>
      </c>
      <c r="O249" s="8">
        <v>4519</v>
      </c>
      <c r="P249" s="9">
        <v>0.02</v>
      </c>
      <c r="Q249" s="10">
        <f t="shared" si="40"/>
        <v>90</v>
      </c>
      <c r="R249" s="9">
        <v>5.0000000000000001E-3</v>
      </c>
      <c r="S249" s="10">
        <f t="shared" si="41"/>
        <v>23</v>
      </c>
      <c r="T249" s="9">
        <f t="shared" si="42"/>
        <v>2.5005532197388804E-2</v>
      </c>
      <c r="U249" s="10">
        <f t="shared" si="43"/>
        <v>113</v>
      </c>
      <c r="V249" s="10">
        <f t="shared" si="44"/>
        <v>4632</v>
      </c>
      <c r="W249" s="11">
        <v>4541.5950000000003</v>
      </c>
      <c r="X249" s="12">
        <f t="shared" si="45"/>
        <v>22.595000000000255</v>
      </c>
      <c r="Y249" s="13">
        <f t="shared" si="46"/>
        <v>5.0000000000000001E-3</v>
      </c>
      <c r="Z249" s="14" t="str">
        <f t="shared" si="47"/>
        <v>0.00%-8.40%</v>
      </c>
      <c r="AA249" s="15"/>
      <c r="AB249" s="15"/>
      <c r="AC249" s="15"/>
      <c r="AD249" s="16"/>
      <c r="AE249" s="8">
        <f t="shared" si="48"/>
        <v>0</v>
      </c>
      <c r="AF249" s="17">
        <f t="shared" si="49"/>
        <v>4541.5950000000003</v>
      </c>
      <c r="AG249" s="18">
        <f t="shared" si="50"/>
        <v>22.595000000000255</v>
      </c>
      <c r="AH249" s="19">
        <f t="shared" si="51"/>
        <v>5.0000000000001155E-3</v>
      </c>
      <c r="AI249" s="20">
        <v>13.6</v>
      </c>
      <c r="AJ249" s="20">
        <v>450</v>
      </c>
      <c r="AK249" s="20"/>
      <c r="AL249" s="20">
        <v>688</v>
      </c>
      <c r="AM249" s="20">
        <f t="shared" si="52"/>
        <v>67853.69200000001</v>
      </c>
      <c r="AN249" s="7" t="s">
        <v>176</v>
      </c>
      <c r="AO249" s="20"/>
      <c r="AP249" s="21" t="s">
        <v>465</v>
      </c>
      <c r="AQ249" s="21"/>
      <c r="AR249" s="5" t="s">
        <v>466</v>
      </c>
      <c r="AS249" s="5" t="s">
        <v>164</v>
      </c>
      <c r="AT249" s="5" t="s">
        <v>59</v>
      </c>
      <c r="AU249" s="20"/>
      <c r="AV249" s="21"/>
      <c r="AW249" s="21"/>
      <c r="AX249" s="21"/>
    </row>
    <row r="250" spans="1:50" s="55" customFormat="1">
      <c r="A250" s="86" t="s">
        <v>318</v>
      </c>
      <c r="B250" s="5">
        <v>15014743</v>
      </c>
      <c r="C250" s="5" t="s">
        <v>618</v>
      </c>
      <c r="D250" s="5" t="s">
        <v>321</v>
      </c>
      <c r="E250" s="5" t="s">
        <v>52</v>
      </c>
      <c r="F250" s="5" t="s">
        <v>62</v>
      </c>
      <c r="G250" s="5" t="s">
        <v>202</v>
      </c>
      <c r="H250" s="5" t="s">
        <v>464</v>
      </c>
      <c r="I250" s="6">
        <v>42339</v>
      </c>
      <c r="J250" s="5" t="s">
        <v>336</v>
      </c>
      <c r="K250" s="5" t="s">
        <v>511</v>
      </c>
      <c r="L250" s="5" t="s">
        <v>324</v>
      </c>
      <c r="M250" s="7">
        <v>6</v>
      </c>
      <c r="N250" s="7" t="s">
        <v>176</v>
      </c>
      <c r="O250" s="8">
        <v>5180</v>
      </c>
      <c r="P250" s="9">
        <v>0.02</v>
      </c>
      <c r="Q250" s="10">
        <f t="shared" si="40"/>
        <v>104</v>
      </c>
      <c r="R250" s="9">
        <v>5.0000000000000001E-3</v>
      </c>
      <c r="S250" s="10">
        <f t="shared" si="41"/>
        <v>26</v>
      </c>
      <c r="T250" s="9">
        <f t="shared" si="42"/>
        <v>2.5096525096525095E-2</v>
      </c>
      <c r="U250" s="10">
        <f t="shared" si="43"/>
        <v>130</v>
      </c>
      <c r="V250" s="10">
        <f t="shared" si="44"/>
        <v>5310</v>
      </c>
      <c r="W250" s="11">
        <v>5180</v>
      </c>
      <c r="X250" s="12">
        <f t="shared" si="45"/>
        <v>0</v>
      </c>
      <c r="Y250" s="13">
        <f t="shared" si="46"/>
        <v>0</v>
      </c>
      <c r="Z250" s="14" t="str">
        <f t="shared" si="47"/>
        <v>0.00%-8.40%</v>
      </c>
      <c r="AA250" s="15"/>
      <c r="AB250" s="15"/>
      <c r="AC250" s="15"/>
      <c r="AD250" s="16"/>
      <c r="AE250" s="8">
        <f t="shared" si="48"/>
        <v>0</v>
      </c>
      <c r="AF250" s="17">
        <f t="shared" si="49"/>
        <v>5180</v>
      </c>
      <c r="AG250" s="18">
        <f t="shared" si="50"/>
        <v>0</v>
      </c>
      <c r="AH250" s="19">
        <f t="shared" si="51"/>
        <v>0</v>
      </c>
      <c r="AI250" s="20">
        <v>13.6</v>
      </c>
      <c r="AJ250" s="20">
        <v>500</v>
      </c>
      <c r="AK250" s="20"/>
      <c r="AL250" s="20">
        <v>688</v>
      </c>
      <c r="AM250" s="20">
        <f t="shared" si="52"/>
        <v>77136</v>
      </c>
      <c r="AN250" s="7" t="s">
        <v>176</v>
      </c>
      <c r="AO250" s="20" t="s">
        <v>364</v>
      </c>
      <c r="AP250" s="21" t="s">
        <v>508</v>
      </c>
      <c r="AQ250" s="21" t="s">
        <v>619</v>
      </c>
      <c r="AR250" s="5" t="s">
        <v>466</v>
      </c>
      <c r="AS250" s="5" t="s">
        <v>164</v>
      </c>
      <c r="AT250" s="5" t="s">
        <v>59</v>
      </c>
      <c r="AU250" s="20"/>
      <c r="AV250" s="21"/>
      <c r="AW250" s="21"/>
      <c r="AX250" s="21"/>
    </row>
    <row r="251" spans="1:50" s="55" customFormat="1">
      <c r="A251" s="86" t="s">
        <v>318</v>
      </c>
      <c r="B251" s="5">
        <v>15021765</v>
      </c>
      <c r="C251" s="5" t="s">
        <v>620</v>
      </c>
      <c r="D251" s="5" t="s">
        <v>321</v>
      </c>
      <c r="E251" s="5" t="s">
        <v>52</v>
      </c>
      <c r="F251" s="5" t="s">
        <v>62</v>
      </c>
      <c r="G251" s="5" t="s">
        <v>202</v>
      </c>
      <c r="H251" s="5" t="s">
        <v>464</v>
      </c>
      <c r="I251" s="6">
        <v>44652</v>
      </c>
      <c r="J251" s="5" t="s">
        <v>336</v>
      </c>
      <c r="K251" s="5" t="s">
        <v>511</v>
      </c>
      <c r="L251" s="5" t="s">
        <v>324</v>
      </c>
      <c r="M251" s="7">
        <v>6</v>
      </c>
      <c r="N251" s="7" t="s">
        <v>176</v>
      </c>
      <c r="O251" s="8">
        <v>4629</v>
      </c>
      <c r="P251" s="9">
        <v>0.02</v>
      </c>
      <c r="Q251" s="10">
        <f t="shared" si="40"/>
        <v>93</v>
      </c>
      <c r="R251" s="9">
        <v>5.0000000000000001E-3</v>
      </c>
      <c r="S251" s="10">
        <f t="shared" si="41"/>
        <v>23</v>
      </c>
      <c r="T251" s="9">
        <f t="shared" si="42"/>
        <v>2.5059408079498812E-2</v>
      </c>
      <c r="U251" s="10">
        <f t="shared" si="43"/>
        <v>116</v>
      </c>
      <c r="V251" s="10">
        <f t="shared" si="44"/>
        <v>4745</v>
      </c>
      <c r="W251" s="11">
        <v>4744.7250000000004</v>
      </c>
      <c r="X251" s="12">
        <f t="shared" si="45"/>
        <v>115.72500000000036</v>
      </c>
      <c r="Y251" s="13">
        <f t="shared" si="46"/>
        <v>2.5000000000000001E-2</v>
      </c>
      <c r="Z251" s="14" t="str">
        <f t="shared" si="47"/>
        <v>0.00%-8.40%</v>
      </c>
      <c r="AA251" s="15"/>
      <c r="AB251" s="15"/>
      <c r="AC251" s="15"/>
      <c r="AD251" s="16"/>
      <c r="AE251" s="8">
        <f t="shared" si="48"/>
        <v>0</v>
      </c>
      <c r="AF251" s="17">
        <f t="shared" si="49"/>
        <v>4744.7250000000004</v>
      </c>
      <c r="AG251" s="18">
        <f t="shared" si="50"/>
        <v>115.72500000000036</v>
      </c>
      <c r="AH251" s="19">
        <f t="shared" si="51"/>
        <v>2.5000000000000133E-2</v>
      </c>
      <c r="AI251" s="20">
        <v>13.6</v>
      </c>
      <c r="AJ251" s="20">
        <v>450</v>
      </c>
      <c r="AK251" s="20"/>
      <c r="AL251" s="20">
        <v>688</v>
      </c>
      <c r="AM251" s="20">
        <f t="shared" si="52"/>
        <v>70616.260000000009</v>
      </c>
      <c r="AN251" s="7" t="s">
        <v>176</v>
      </c>
      <c r="AO251" s="20"/>
      <c r="AP251" s="21" t="s">
        <v>465</v>
      </c>
      <c r="AQ251" s="21"/>
      <c r="AR251" s="5" t="s">
        <v>466</v>
      </c>
      <c r="AS251" s="5" t="s">
        <v>164</v>
      </c>
      <c r="AT251" s="5" t="s">
        <v>59</v>
      </c>
      <c r="AU251" s="20"/>
      <c r="AV251" s="21"/>
      <c r="AW251" s="21"/>
      <c r="AX251" s="21"/>
    </row>
    <row r="252" spans="1:50" s="55" customFormat="1">
      <c r="A252" s="86" t="s">
        <v>318</v>
      </c>
      <c r="B252" s="5">
        <v>15016288</v>
      </c>
      <c r="C252" s="5" t="s">
        <v>621</v>
      </c>
      <c r="D252" s="5" t="s">
        <v>321</v>
      </c>
      <c r="E252" s="5" t="s">
        <v>52</v>
      </c>
      <c r="F252" s="5" t="s">
        <v>62</v>
      </c>
      <c r="G252" s="5" t="s">
        <v>202</v>
      </c>
      <c r="H252" s="5" t="s">
        <v>464</v>
      </c>
      <c r="I252" s="6">
        <v>42948</v>
      </c>
      <c r="J252" s="5" t="s">
        <v>336</v>
      </c>
      <c r="K252" s="5" t="s">
        <v>511</v>
      </c>
      <c r="L252" s="5" t="s">
        <v>324</v>
      </c>
      <c r="M252" s="7">
        <v>6</v>
      </c>
      <c r="N252" s="7" t="s">
        <v>176</v>
      </c>
      <c r="O252" s="8">
        <v>5377</v>
      </c>
      <c r="P252" s="9">
        <v>0.02</v>
      </c>
      <c r="Q252" s="10">
        <f t="shared" si="40"/>
        <v>108</v>
      </c>
      <c r="R252" s="9">
        <v>5.0000000000000001E-3</v>
      </c>
      <c r="S252" s="10">
        <f t="shared" si="41"/>
        <v>27</v>
      </c>
      <c r="T252" s="9">
        <f t="shared" si="42"/>
        <v>2.510693695369165E-2</v>
      </c>
      <c r="U252" s="10">
        <f t="shared" si="43"/>
        <v>135</v>
      </c>
      <c r="V252" s="10">
        <f t="shared" si="44"/>
        <v>5512</v>
      </c>
      <c r="W252" s="11">
        <v>5645.85</v>
      </c>
      <c r="X252" s="12">
        <f t="shared" si="45"/>
        <v>268.85000000000036</v>
      </c>
      <c r="Y252" s="13">
        <f t="shared" si="46"/>
        <v>0.05</v>
      </c>
      <c r="Z252" s="14" t="str">
        <f t="shared" si="47"/>
        <v>0.00%-8.40%</v>
      </c>
      <c r="AA252" s="15"/>
      <c r="AB252" s="15"/>
      <c r="AC252" s="15"/>
      <c r="AD252" s="16"/>
      <c r="AE252" s="8">
        <f t="shared" si="48"/>
        <v>0</v>
      </c>
      <c r="AF252" s="17">
        <f t="shared" si="49"/>
        <v>5645.85</v>
      </c>
      <c r="AG252" s="18">
        <f t="shared" si="50"/>
        <v>268.85000000000036</v>
      </c>
      <c r="AH252" s="19">
        <f t="shared" si="51"/>
        <v>5.0000000000000044E-2</v>
      </c>
      <c r="AI252" s="20">
        <v>13.6</v>
      </c>
      <c r="AJ252" s="20">
        <v>450</v>
      </c>
      <c r="AK252" s="20"/>
      <c r="AL252" s="20">
        <v>688</v>
      </c>
      <c r="AM252" s="20">
        <f t="shared" si="52"/>
        <v>82871.56</v>
      </c>
      <c r="AN252" s="7" t="s">
        <v>176</v>
      </c>
      <c r="AO252" s="20"/>
      <c r="AP252" s="21" t="s">
        <v>525</v>
      </c>
      <c r="AQ252" s="21"/>
      <c r="AR252" s="5" t="s">
        <v>466</v>
      </c>
      <c r="AS252" s="5" t="s">
        <v>164</v>
      </c>
      <c r="AT252" s="5" t="s">
        <v>59</v>
      </c>
      <c r="AU252" s="20"/>
      <c r="AV252" s="21"/>
      <c r="AW252" s="21"/>
      <c r="AX252" s="21"/>
    </row>
    <row r="253" spans="1:50" s="55" customFormat="1">
      <c r="A253" s="86" t="s">
        <v>318</v>
      </c>
      <c r="B253" s="5">
        <v>15013909</v>
      </c>
      <c r="C253" s="5" t="s">
        <v>622</v>
      </c>
      <c r="D253" s="5" t="s">
        <v>321</v>
      </c>
      <c r="E253" s="5" t="s">
        <v>52</v>
      </c>
      <c r="F253" s="5" t="s">
        <v>62</v>
      </c>
      <c r="G253" s="5" t="s">
        <v>202</v>
      </c>
      <c r="H253" s="5" t="s">
        <v>464</v>
      </c>
      <c r="I253" s="6">
        <v>42095</v>
      </c>
      <c r="J253" s="5" t="s">
        <v>336</v>
      </c>
      <c r="K253" s="5" t="s">
        <v>511</v>
      </c>
      <c r="L253" s="5" t="s">
        <v>324</v>
      </c>
      <c r="M253" s="7">
        <v>6</v>
      </c>
      <c r="N253" s="7" t="s">
        <v>176</v>
      </c>
      <c r="O253" s="8">
        <v>5134</v>
      </c>
      <c r="P253" s="9">
        <v>0.02</v>
      </c>
      <c r="Q253" s="10">
        <f t="shared" si="40"/>
        <v>103</v>
      </c>
      <c r="R253" s="9">
        <v>5.0000000000000001E-3</v>
      </c>
      <c r="S253" s="10">
        <f t="shared" si="41"/>
        <v>26</v>
      </c>
      <c r="T253" s="9">
        <f t="shared" si="42"/>
        <v>2.5126606934164394E-2</v>
      </c>
      <c r="U253" s="10">
        <f t="shared" si="43"/>
        <v>129</v>
      </c>
      <c r="V253" s="10">
        <f t="shared" si="44"/>
        <v>5263</v>
      </c>
      <c r="W253" s="11">
        <v>5262.35</v>
      </c>
      <c r="X253" s="12">
        <f t="shared" si="45"/>
        <v>128.35000000000036</v>
      </c>
      <c r="Y253" s="13">
        <f t="shared" si="46"/>
        <v>2.5000000000000001E-2</v>
      </c>
      <c r="Z253" s="14" t="str">
        <f t="shared" si="47"/>
        <v>0.00%-8.40%</v>
      </c>
      <c r="AA253" s="15"/>
      <c r="AB253" s="15"/>
      <c r="AC253" s="15"/>
      <c r="AD253" s="16"/>
      <c r="AE253" s="8">
        <f t="shared" si="48"/>
        <v>0</v>
      </c>
      <c r="AF253" s="17">
        <f t="shared" si="49"/>
        <v>5262.35</v>
      </c>
      <c r="AG253" s="18">
        <f t="shared" si="50"/>
        <v>128.35000000000036</v>
      </c>
      <c r="AH253" s="19">
        <f t="shared" si="51"/>
        <v>2.5000000000000133E-2</v>
      </c>
      <c r="AI253" s="20">
        <v>13.6</v>
      </c>
      <c r="AJ253" s="20">
        <v>450</v>
      </c>
      <c r="AK253" s="20"/>
      <c r="AL253" s="20">
        <v>688</v>
      </c>
      <c r="AM253" s="20">
        <f t="shared" si="52"/>
        <v>77655.960000000006</v>
      </c>
      <c r="AN253" s="7" t="s">
        <v>176</v>
      </c>
      <c r="AO253" s="20"/>
      <c r="AP253" s="21" t="s">
        <v>465</v>
      </c>
      <c r="AQ253" s="21"/>
      <c r="AR253" s="5" t="s">
        <v>466</v>
      </c>
      <c r="AS253" s="5" t="s">
        <v>164</v>
      </c>
      <c r="AT253" s="5" t="s">
        <v>59</v>
      </c>
      <c r="AU253" s="20"/>
      <c r="AV253" s="21"/>
      <c r="AW253" s="21"/>
      <c r="AX253" s="21"/>
    </row>
    <row r="254" spans="1:50" s="55" customFormat="1">
      <c r="A254" s="86" t="s">
        <v>318</v>
      </c>
      <c r="B254" s="5">
        <v>15004707</v>
      </c>
      <c r="C254" s="5" t="s">
        <v>623</v>
      </c>
      <c r="D254" s="5" t="s">
        <v>321</v>
      </c>
      <c r="E254" s="5" t="s">
        <v>52</v>
      </c>
      <c r="F254" s="5" t="s">
        <v>62</v>
      </c>
      <c r="G254" s="5" t="s">
        <v>202</v>
      </c>
      <c r="H254" s="5" t="s">
        <v>464</v>
      </c>
      <c r="I254" s="6">
        <v>40575</v>
      </c>
      <c r="J254" s="5" t="s">
        <v>336</v>
      </c>
      <c r="K254" s="5" t="s">
        <v>511</v>
      </c>
      <c r="L254" s="5" t="s">
        <v>324</v>
      </c>
      <c r="M254" s="7">
        <v>6</v>
      </c>
      <c r="N254" s="7" t="s">
        <v>176</v>
      </c>
      <c r="O254" s="8">
        <v>4627</v>
      </c>
      <c r="P254" s="9">
        <v>0.02</v>
      </c>
      <c r="Q254" s="10">
        <f t="shared" si="40"/>
        <v>93</v>
      </c>
      <c r="R254" s="9">
        <v>5.0000000000000001E-3</v>
      </c>
      <c r="S254" s="10">
        <f t="shared" si="41"/>
        <v>23</v>
      </c>
      <c r="T254" s="9">
        <f t="shared" si="42"/>
        <v>2.5070239896261077E-2</v>
      </c>
      <c r="U254" s="10">
        <f t="shared" si="43"/>
        <v>116</v>
      </c>
      <c r="V254" s="10">
        <f t="shared" si="44"/>
        <v>4743</v>
      </c>
      <c r="W254" s="11">
        <v>4627</v>
      </c>
      <c r="X254" s="12">
        <f t="shared" si="45"/>
        <v>0</v>
      </c>
      <c r="Y254" s="13">
        <f t="shared" si="46"/>
        <v>0</v>
      </c>
      <c r="Z254" s="14" t="str">
        <f t="shared" si="47"/>
        <v>0.00%-8.40%</v>
      </c>
      <c r="AA254" s="15"/>
      <c r="AB254" s="15"/>
      <c r="AC254" s="15"/>
      <c r="AD254" s="16"/>
      <c r="AE254" s="8">
        <f t="shared" si="48"/>
        <v>0</v>
      </c>
      <c r="AF254" s="17">
        <f t="shared" si="49"/>
        <v>4627</v>
      </c>
      <c r="AG254" s="18">
        <f t="shared" si="50"/>
        <v>0</v>
      </c>
      <c r="AH254" s="19">
        <f t="shared" si="51"/>
        <v>0</v>
      </c>
      <c r="AI254" s="20">
        <v>13.6</v>
      </c>
      <c r="AJ254" s="20">
        <v>450</v>
      </c>
      <c r="AK254" s="20"/>
      <c r="AL254" s="20">
        <v>688</v>
      </c>
      <c r="AM254" s="20">
        <f t="shared" si="52"/>
        <v>69015.199999999997</v>
      </c>
      <c r="AN254" s="7" t="s">
        <v>176</v>
      </c>
      <c r="AO254" s="20" t="s">
        <v>364</v>
      </c>
      <c r="AP254" s="21" t="s">
        <v>508</v>
      </c>
      <c r="AQ254" s="21" t="s">
        <v>281</v>
      </c>
      <c r="AR254" s="5" t="s">
        <v>466</v>
      </c>
      <c r="AS254" s="5" t="s">
        <v>164</v>
      </c>
      <c r="AT254" s="5" t="s">
        <v>59</v>
      </c>
      <c r="AU254" s="20"/>
      <c r="AV254" s="21"/>
      <c r="AW254" s="21"/>
      <c r="AX254" s="21"/>
    </row>
    <row r="255" spans="1:50" s="55" customFormat="1">
      <c r="A255" s="86" t="s">
        <v>318</v>
      </c>
      <c r="B255" s="5">
        <v>15011436</v>
      </c>
      <c r="C255" s="5" t="s">
        <v>624</v>
      </c>
      <c r="D255" s="5" t="s">
        <v>321</v>
      </c>
      <c r="E255" s="5" t="s">
        <v>52</v>
      </c>
      <c r="F255" s="5" t="s">
        <v>62</v>
      </c>
      <c r="G255" s="5" t="s">
        <v>202</v>
      </c>
      <c r="H255" s="5" t="s">
        <v>464</v>
      </c>
      <c r="I255" s="6">
        <v>41640</v>
      </c>
      <c r="J255" s="5" t="s">
        <v>336</v>
      </c>
      <c r="K255" s="5" t="s">
        <v>511</v>
      </c>
      <c r="L255" s="5" t="s">
        <v>324</v>
      </c>
      <c r="M255" s="7">
        <v>6</v>
      </c>
      <c r="N255" s="7" t="s">
        <v>176</v>
      </c>
      <c r="O255" s="8">
        <v>4903</v>
      </c>
      <c r="P255" s="9">
        <v>0.02</v>
      </c>
      <c r="Q255" s="10">
        <f t="shared" si="40"/>
        <v>98</v>
      </c>
      <c r="R255" s="9">
        <v>5.0000000000000001E-3</v>
      </c>
      <c r="S255" s="10">
        <f t="shared" si="41"/>
        <v>25</v>
      </c>
      <c r="T255" s="9">
        <f t="shared" si="42"/>
        <v>2.5086681623495821E-2</v>
      </c>
      <c r="U255" s="10">
        <f t="shared" si="43"/>
        <v>123</v>
      </c>
      <c r="V255" s="10">
        <f t="shared" si="44"/>
        <v>5026</v>
      </c>
      <c r="W255" s="11">
        <v>5025.5749999999998</v>
      </c>
      <c r="X255" s="12">
        <f t="shared" si="45"/>
        <v>122.57499999999982</v>
      </c>
      <c r="Y255" s="13">
        <f t="shared" si="46"/>
        <v>2.5000000000000001E-2</v>
      </c>
      <c r="Z255" s="14" t="str">
        <f t="shared" si="47"/>
        <v>0.00%-8.40%</v>
      </c>
      <c r="AA255" s="15"/>
      <c r="AB255" s="15"/>
      <c r="AC255" s="15"/>
      <c r="AD255" s="16"/>
      <c r="AE255" s="8">
        <f t="shared" si="48"/>
        <v>0</v>
      </c>
      <c r="AF255" s="17">
        <f t="shared" si="49"/>
        <v>5025.5749999999998</v>
      </c>
      <c r="AG255" s="18">
        <f t="shared" si="50"/>
        <v>122.57499999999982</v>
      </c>
      <c r="AH255" s="19">
        <f t="shared" si="51"/>
        <v>2.4999999999999911E-2</v>
      </c>
      <c r="AI255" s="20">
        <v>13.6</v>
      </c>
      <c r="AJ255" s="20">
        <v>450</v>
      </c>
      <c r="AK255" s="20"/>
      <c r="AL255" s="20">
        <v>688</v>
      </c>
      <c r="AM255" s="20">
        <f t="shared" si="52"/>
        <v>74435.819999999992</v>
      </c>
      <c r="AN255" s="7" t="s">
        <v>176</v>
      </c>
      <c r="AO255" s="20"/>
      <c r="AP255" s="21" t="s">
        <v>465</v>
      </c>
      <c r="AQ255" s="21"/>
      <c r="AR255" s="5" t="s">
        <v>466</v>
      </c>
      <c r="AS255" s="5" t="s">
        <v>164</v>
      </c>
      <c r="AT255" s="5" t="s">
        <v>59</v>
      </c>
      <c r="AU255" s="20"/>
      <c r="AV255" s="21"/>
      <c r="AW255" s="21"/>
      <c r="AX255" s="21"/>
    </row>
    <row r="256" spans="1:50" s="55" customFormat="1">
      <c r="A256" s="86" t="s">
        <v>318</v>
      </c>
      <c r="B256" s="5">
        <v>15018831</v>
      </c>
      <c r="C256" s="5" t="s">
        <v>625</v>
      </c>
      <c r="D256" s="5" t="s">
        <v>321</v>
      </c>
      <c r="E256" s="5" t="s">
        <v>52</v>
      </c>
      <c r="F256" s="5" t="s">
        <v>62</v>
      </c>
      <c r="G256" s="5" t="s">
        <v>202</v>
      </c>
      <c r="H256" s="5" t="s">
        <v>464</v>
      </c>
      <c r="I256" s="6">
        <v>43313</v>
      </c>
      <c r="J256" s="5" t="s">
        <v>336</v>
      </c>
      <c r="K256" s="5" t="s">
        <v>548</v>
      </c>
      <c r="L256" s="5" t="s">
        <v>324</v>
      </c>
      <c r="M256" s="7">
        <v>6</v>
      </c>
      <c r="N256" s="7" t="s">
        <v>176</v>
      </c>
      <c r="O256" s="8">
        <v>4707</v>
      </c>
      <c r="P256" s="9">
        <v>0.02</v>
      </c>
      <c r="Q256" s="10">
        <f t="shared" si="40"/>
        <v>94</v>
      </c>
      <c r="R256" s="9">
        <v>5.0000000000000001E-3</v>
      </c>
      <c r="S256" s="10">
        <f t="shared" si="41"/>
        <v>24</v>
      </c>
      <c r="T256" s="9">
        <f t="shared" si="42"/>
        <v>2.5069046101550883E-2</v>
      </c>
      <c r="U256" s="10">
        <f t="shared" si="43"/>
        <v>118</v>
      </c>
      <c r="V256" s="10">
        <f t="shared" si="44"/>
        <v>4825</v>
      </c>
      <c r="W256" s="11">
        <v>4730.5349999999999</v>
      </c>
      <c r="X256" s="12">
        <f t="shared" si="45"/>
        <v>23.534999999999854</v>
      </c>
      <c r="Y256" s="13">
        <f t="shared" si="46"/>
        <v>5.0000000000000001E-3</v>
      </c>
      <c r="Z256" s="14" t="str">
        <f t="shared" si="47"/>
        <v>0.00%-8.40%</v>
      </c>
      <c r="AA256" s="15"/>
      <c r="AB256" s="15"/>
      <c r="AC256" s="15"/>
      <c r="AD256" s="16"/>
      <c r="AE256" s="8">
        <f t="shared" si="48"/>
        <v>0</v>
      </c>
      <c r="AF256" s="17">
        <f t="shared" si="49"/>
        <v>4730.5349999999999</v>
      </c>
      <c r="AG256" s="18">
        <f t="shared" si="50"/>
        <v>23.534999999999854</v>
      </c>
      <c r="AH256" s="19">
        <f t="shared" si="51"/>
        <v>4.9999999999998934E-3</v>
      </c>
      <c r="AI256" s="20">
        <v>13.6</v>
      </c>
      <c r="AJ256" s="20">
        <v>450</v>
      </c>
      <c r="AK256" s="20"/>
      <c r="AL256" s="20">
        <v>688</v>
      </c>
      <c r="AM256" s="20">
        <f t="shared" si="52"/>
        <v>70423.275999999998</v>
      </c>
      <c r="AN256" s="7" t="s">
        <v>176</v>
      </c>
      <c r="AO256" s="20"/>
      <c r="AP256" s="21" t="s">
        <v>465</v>
      </c>
      <c r="AQ256" s="21"/>
      <c r="AR256" s="5" t="s">
        <v>466</v>
      </c>
      <c r="AS256" s="5" t="s">
        <v>164</v>
      </c>
      <c r="AT256" s="5" t="s">
        <v>59</v>
      </c>
      <c r="AU256" s="20"/>
      <c r="AV256" s="21"/>
      <c r="AW256" s="21"/>
      <c r="AX256" s="21"/>
    </row>
    <row r="257" spans="1:50" s="55" customFormat="1">
      <c r="A257" s="86" t="s">
        <v>318</v>
      </c>
      <c r="B257" s="5">
        <v>15020480</v>
      </c>
      <c r="C257" s="5" t="s">
        <v>626</v>
      </c>
      <c r="D257" s="5" t="s">
        <v>321</v>
      </c>
      <c r="E257" s="5" t="s">
        <v>52</v>
      </c>
      <c r="F257" s="5" t="s">
        <v>62</v>
      </c>
      <c r="G257" s="5" t="s">
        <v>202</v>
      </c>
      <c r="H257" s="5" t="s">
        <v>464</v>
      </c>
      <c r="I257" s="6">
        <v>44256</v>
      </c>
      <c r="J257" s="5" t="s">
        <v>336</v>
      </c>
      <c r="K257" s="5" t="s">
        <v>511</v>
      </c>
      <c r="L257" s="5" t="s">
        <v>324</v>
      </c>
      <c r="M257" s="7">
        <v>6</v>
      </c>
      <c r="N257" s="7" t="s">
        <v>176</v>
      </c>
      <c r="O257" s="8">
        <v>4899</v>
      </c>
      <c r="P257" s="9">
        <v>0.02</v>
      </c>
      <c r="Q257" s="10">
        <f t="shared" si="40"/>
        <v>98</v>
      </c>
      <c r="R257" s="9">
        <v>5.0000000000000001E-3</v>
      </c>
      <c r="S257" s="10">
        <f t="shared" si="41"/>
        <v>24</v>
      </c>
      <c r="T257" s="9">
        <f t="shared" si="42"/>
        <v>2.4903041437027963E-2</v>
      </c>
      <c r="U257" s="10">
        <f t="shared" si="43"/>
        <v>122</v>
      </c>
      <c r="V257" s="10">
        <f t="shared" si="44"/>
        <v>5021</v>
      </c>
      <c r="W257" s="11">
        <v>5021.4750000000004</v>
      </c>
      <c r="X257" s="12">
        <f t="shared" si="45"/>
        <v>122.47500000000036</v>
      </c>
      <c r="Y257" s="13">
        <f t="shared" si="46"/>
        <v>2.5000000000000001E-2</v>
      </c>
      <c r="Z257" s="14" t="str">
        <f t="shared" si="47"/>
        <v>0.00%-8.40%</v>
      </c>
      <c r="AA257" s="15"/>
      <c r="AB257" s="15"/>
      <c r="AC257" s="15"/>
      <c r="AD257" s="16"/>
      <c r="AE257" s="8">
        <f t="shared" si="48"/>
        <v>0</v>
      </c>
      <c r="AF257" s="17">
        <f t="shared" si="49"/>
        <v>5021.4750000000004</v>
      </c>
      <c r="AG257" s="18">
        <f t="shared" si="50"/>
        <v>122.47500000000036</v>
      </c>
      <c r="AH257" s="19">
        <f t="shared" si="51"/>
        <v>2.5000000000000133E-2</v>
      </c>
      <c r="AI257" s="20">
        <v>13.6</v>
      </c>
      <c r="AJ257" s="20">
        <v>450</v>
      </c>
      <c r="AK257" s="20"/>
      <c r="AL257" s="20">
        <v>688</v>
      </c>
      <c r="AM257" s="20">
        <f t="shared" si="52"/>
        <v>74380.06</v>
      </c>
      <c r="AN257" s="7" t="s">
        <v>176</v>
      </c>
      <c r="AO257" s="20"/>
      <c r="AP257" s="21" t="s">
        <v>465</v>
      </c>
      <c r="AQ257" s="21"/>
      <c r="AR257" s="5" t="s">
        <v>466</v>
      </c>
      <c r="AS257" s="5" t="s">
        <v>164</v>
      </c>
      <c r="AT257" s="5" t="s">
        <v>59</v>
      </c>
      <c r="AU257" s="20"/>
      <c r="AV257" s="21"/>
      <c r="AW257" s="21"/>
      <c r="AX257" s="21"/>
    </row>
    <row r="258" spans="1:50" s="55" customFormat="1">
      <c r="A258" s="86" t="s">
        <v>318</v>
      </c>
      <c r="B258" s="5">
        <v>15018310</v>
      </c>
      <c r="C258" s="5" t="s">
        <v>627</v>
      </c>
      <c r="D258" s="5" t="s">
        <v>321</v>
      </c>
      <c r="E258" s="5" t="s">
        <v>52</v>
      </c>
      <c r="F258" s="5" t="s">
        <v>62</v>
      </c>
      <c r="G258" s="5" t="s">
        <v>202</v>
      </c>
      <c r="H258" s="5" t="s">
        <v>464</v>
      </c>
      <c r="I258" s="6">
        <v>43191</v>
      </c>
      <c r="J258" s="5" t="s">
        <v>336</v>
      </c>
      <c r="K258" s="5" t="s">
        <v>511</v>
      </c>
      <c r="L258" s="5" t="s">
        <v>324</v>
      </c>
      <c r="M258" s="7">
        <v>6</v>
      </c>
      <c r="N258" s="7" t="s">
        <v>176</v>
      </c>
      <c r="O258" s="8">
        <v>5143</v>
      </c>
      <c r="P258" s="9">
        <v>0.02</v>
      </c>
      <c r="Q258" s="10">
        <f t="shared" si="40"/>
        <v>103</v>
      </c>
      <c r="R258" s="9">
        <v>5.0000000000000001E-3</v>
      </c>
      <c r="S258" s="10">
        <f t="shared" si="41"/>
        <v>26</v>
      </c>
      <c r="T258" s="9">
        <f t="shared" si="42"/>
        <v>2.5082636593427961E-2</v>
      </c>
      <c r="U258" s="10">
        <f t="shared" si="43"/>
        <v>129</v>
      </c>
      <c r="V258" s="10">
        <f t="shared" si="44"/>
        <v>5272</v>
      </c>
      <c r="W258" s="11">
        <v>5271.5749999999998</v>
      </c>
      <c r="X258" s="12">
        <f t="shared" si="45"/>
        <v>128.57499999999982</v>
      </c>
      <c r="Y258" s="13">
        <f t="shared" si="46"/>
        <v>2.5000000000000001E-2</v>
      </c>
      <c r="Z258" s="14" t="str">
        <f t="shared" si="47"/>
        <v>0.00%-8.40%</v>
      </c>
      <c r="AA258" s="15"/>
      <c r="AB258" s="15"/>
      <c r="AC258" s="15"/>
      <c r="AD258" s="16"/>
      <c r="AE258" s="8">
        <f t="shared" si="48"/>
        <v>0</v>
      </c>
      <c r="AF258" s="17">
        <f t="shared" si="49"/>
        <v>5271.5749999999998</v>
      </c>
      <c r="AG258" s="18">
        <f t="shared" si="50"/>
        <v>128.57499999999982</v>
      </c>
      <c r="AH258" s="19">
        <f t="shared" si="51"/>
        <v>2.4999999999999911E-2</v>
      </c>
      <c r="AI258" s="20">
        <v>13.6</v>
      </c>
      <c r="AJ258" s="20">
        <v>450</v>
      </c>
      <c r="AK258" s="20"/>
      <c r="AL258" s="20">
        <v>688</v>
      </c>
      <c r="AM258" s="20">
        <f t="shared" si="52"/>
        <v>77781.42</v>
      </c>
      <c r="AN258" s="7" t="s">
        <v>176</v>
      </c>
      <c r="AO258" s="20"/>
      <c r="AP258" s="21" t="s">
        <v>465</v>
      </c>
      <c r="AQ258" s="21"/>
      <c r="AR258" s="5" t="s">
        <v>466</v>
      </c>
      <c r="AS258" s="5" t="s">
        <v>164</v>
      </c>
      <c r="AT258" s="5" t="s">
        <v>59</v>
      </c>
      <c r="AU258" s="20"/>
      <c r="AV258" s="21"/>
      <c r="AW258" s="21"/>
      <c r="AX258" s="21"/>
    </row>
    <row r="259" spans="1:50" s="55" customFormat="1">
      <c r="A259" s="86" t="s">
        <v>318</v>
      </c>
      <c r="B259" s="5">
        <v>15015381</v>
      </c>
      <c r="C259" s="5" t="s">
        <v>628</v>
      </c>
      <c r="D259" s="5" t="s">
        <v>321</v>
      </c>
      <c r="E259" s="5" t="s">
        <v>52</v>
      </c>
      <c r="F259" s="5" t="s">
        <v>62</v>
      </c>
      <c r="G259" s="5" t="s">
        <v>202</v>
      </c>
      <c r="H259" s="5" t="s">
        <v>464</v>
      </c>
      <c r="I259" s="6">
        <v>42614</v>
      </c>
      <c r="J259" s="5" t="s">
        <v>336</v>
      </c>
      <c r="K259" s="5" t="s">
        <v>511</v>
      </c>
      <c r="L259" s="5" t="s">
        <v>324</v>
      </c>
      <c r="M259" s="7">
        <v>6</v>
      </c>
      <c r="N259" s="7" t="s">
        <v>176</v>
      </c>
      <c r="O259" s="8">
        <v>4602</v>
      </c>
      <c r="P259" s="9">
        <v>0.02</v>
      </c>
      <c r="Q259" s="10">
        <f t="shared" si="40"/>
        <v>92</v>
      </c>
      <c r="R259" s="9">
        <v>5.0000000000000001E-3</v>
      </c>
      <c r="S259" s="10">
        <f t="shared" si="41"/>
        <v>23</v>
      </c>
      <c r="T259" s="9">
        <f t="shared" si="42"/>
        <v>2.4989135158626684E-2</v>
      </c>
      <c r="U259" s="10">
        <f t="shared" si="43"/>
        <v>115</v>
      </c>
      <c r="V259" s="10">
        <f t="shared" si="44"/>
        <v>4717</v>
      </c>
      <c r="W259" s="11">
        <v>4602</v>
      </c>
      <c r="X259" s="12">
        <f t="shared" si="45"/>
        <v>0</v>
      </c>
      <c r="Y259" s="13">
        <f t="shared" si="46"/>
        <v>0</v>
      </c>
      <c r="Z259" s="14" t="str">
        <f t="shared" si="47"/>
        <v>0.00%-8.40%</v>
      </c>
      <c r="AA259" s="15"/>
      <c r="AB259" s="15"/>
      <c r="AC259" s="15"/>
      <c r="AD259" s="16"/>
      <c r="AE259" s="8">
        <f t="shared" si="48"/>
        <v>0</v>
      </c>
      <c r="AF259" s="17">
        <f t="shared" si="49"/>
        <v>4602</v>
      </c>
      <c r="AG259" s="18">
        <f t="shared" si="50"/>
        <v>0</v>
      </c>
      <c r="AH259" s="19">
        <f t="shared" si="51"/>
        <v>0</v>
      </c>
      <c r="AI259" s="20">
        <v>13.6</v>
      </c>
      <c r="AJ259" s="20">
        <v>450</v>
      </c>
      <c r="AK259" s="20"/>
      <c r="AL259" s="20">
        <v>688</v>
      </c>
      <c r="AM259" s="20">
        <f t="shared" si="52"/>
        <v>68675.199999999997</v>
      </c>
      <c r="AN259" s="7" t="s">
        <v>176</v>
      </c>
      <c r="AO259" s="20"/>
      <c r="AP259" s="21" t="s">
        <v>487</v>
      </c>
      <c r="AQ259" s="21" t="s">
        <v>496</v>
      </c>
      <c r="AR259" s="5" t="s">
        <v>466</v>
      </c>
      <c r="AS259" s="5" t="s">
        <v>164</v>
      </c>
      <c r="AT259" s="5" t="s">
        <v>59</v>
      </c>
      <c r="AU259" s="20"/>
      <c r="AV259" s="21"/>
      <c r="AW259" s="21"/>
      <c r="AX259" s="21"/>
    </row>
    <row r="260" spans="1:50" s="55" customFormat="1">
      <c r="A260" s="86" t="s">
        <v>318</v>
      </c>
      <c r="B260" s="5">
        <v>15008592</v>
      </c>
      <c r="C260" s="5" t="s">
        <v>629</v>
      </c>
      <c r="D260" s="5" t="s">
        <v>321</v>
      </c>
      <c r="E260" s="5" t="s">
        <v>52</v>
      </c>
      <c r="F260" s="5" t="s">
        <v>62</v>
      </c>
      <c r="G260" s="5" t="s">
        <v>202</v>
      </c>
      <c r="H260" s="5" t="s">
        <v>464</v>
      </c>
      <c r="I260" s="6">
        <v>41365</v>
      </c>
      <c r="J260" s="5" t="s">
        <v>336</v>
      </c>
      <c r="K260" s="5" t="s">
        <v>511</v>
      </c>
      <c r="L260" s="5" t="s">
        <v>324</v>
      </c>
      <c r="M260" s="7">
        <v>6</v>
      </c>
      <c r="N260" s="7" t="s">
        <v>176</v>
      </c>
      <c r="O260" s="8">
        <v>5156</v>
      </c>
      <c r="P260" s="9">
        <v>0.02</v>
      </c>
      <c r="Q260" s="10">
        <f t="shared" si="40"/>
        <v>103</v>
      </c>
      <c r="R260" s="9">
        <v>5.0000000000000001E-3</v>
      </c>
      <c r="S260" s="10">
        <f t="shared" si="41"/>
        <v>26</v>
      </c>
      <c r="T260" s="9">
        <f t="shared" si="42"/>
        <v>2.5019394879751744E-2</v>
      </c>
      <c r="U260" s="10">
        <f t="shared" si="43"/>
        <v>129</v>
      </c>
      <c r="V260" s="10">
        <f t="shared" si="44"/>
        <v>5285</v>
      </c>
      <c r="W260" s="11">
        <v>5284.9</v>
      </c>
      <c r="X260" s="12">
        <f t="shared" si="45"/>
        <v>128.89999999999964</v>
      </c>
      <c r="Y260" s="13">
        <f t="shared" si="46"/>
        <v>2.5000000000000001E-2</v>
      </c>
      <c r="Z260" s="14" t="str">
        <f t="shared" si="47"/>
        <v>0.00%-8.40%</v>
      </c>
      <c r="AA260" s="15"/>
      <c r="AB260" s="15"/>
      <c r="AC260" s="15"/>
      <c r="AD260" s="16"/>
      <c r="AE260" s="8">
        <f t="shared" si="48"/>
        <v>0</v>
      </c>
      <c r="AF260" s="17">
        <f t="shared" si="49"/>
        <v>5284.9</v>
      </c>
      <c r="AG260" s="18">
        <f t="shared" si="50"/>
        <v>128.89999999999964</v>
      </c>
      <c r="AH260" s="19">
        <f t="shared" si="51"/>
        <v>2.4999999999999911E-2</v>
      </c>
      <c r="AI260" s="20">
        <v>13.6</v>
      </c>
      <c r="AJ260" s="20">
        <v>450</v>
      </c>
      <c r="AK260" s="20"/>
      <c r="AL260" s="20">
        <v>688</v>
      </c>
      <c r="AM260" s="20">
        <f t="shared" si="52"/>
        <v>77962.64</v>
      </c>
      <c r="AN260" s="7" t="s">
        <v>176</v>
      </c>
      <c r="AO260" s="20"/>
      <c r="AP260" s="21" t="s">
        <v>465</v>
      </c>
      <c r="AQ260" s="21"/>
      <c r="AR260" s="5" t="s">
        <v>466</v>
      </c>
      <c r="AS260" s="5" t="s">
        <v>164</v>
      </c>
      <c r="AT260" s="5" t="s">
        <v>59</v>
      </c>
      <c r="AU260" s="20"/>
      <c r="AV260" s="21"/>
      <c r="AW260" s="21"/>
      <c r="AX260" s="21"/>
    </row>
    <row r="261" spans="1:50" s="55" customFormat="1">
      <c r="A261" s="86" t="s">
        <v>318</v>
      </c>
      <c r="B261" s="5">
        <v>15017389</v>
      </c>
      <c r="C261" s="5" t="s">
        <v>630</v>
      </c>
      <c r="D261" s="5" t="s">
        <v>321</v>
      </c>
      <c r="E261" s="5" t="s">
        <v>52</v>
      </c>
      <c r="F261" s="5" t="s">
        <v>62</v>
      </c>
      <c r="G261" s="5" t="s">
        <v>202</v>
      </c>
      <c r="H261" s="5" t="s">
        <v>464</v>
      </c>
      <c r="I261" s="6">
        <v>42979</v>
      </c>
      <c r="J261" s="5" t="s">
        <v>336</v>
      </c>
      <c r="K261" s="5" t="s">
        <v>511</v>
      </c>
      <c r="L261" s="5" t="s">
        <v>324</v>
      </c>
      <c r="M261" s="7">
        <v>6</v>
      </c>
      <c r="N261" s="7" t="s">
        <v>176</v>
      </c>
      <c r="O261" s="8">
        <v>4631</v>
      </c>
      <c r="P261" s="9">
        <v>0.02</v>
      </c>
      <c r="Q261" s="10">
        <f t="shared" si="40"/>
        <v>93</v>
      </c>
      <c r="R261" s="9">
        <v>5.0000000000000001E-3</v>
      </c>
      <c r="S261" s="10">
        <f t="shared" si="41"/>
        <v>23</v>
      </c>
      <c r="T261" s="9">
        <f t="shared" si="42"/>
        <v>2.5048585618656877E-2</v>
      </c>
      <c r="U261" s="10">
        <f t="shared" si="43"/>
        <v>116</v>
      </c>
      <c r="V261" s="10">
        <f t="shared" si="44"/>
        <v>4747</v>
      </c>
      <c r="W261" s="11">
        <v>4654.1549999999997</v>
      </c>
      <c r="X261" s="12">
        <f t="shared" si="45"/>
        <v>23.154999999999745</v>
      </c>
      <c r="Y261" s="13">
        <f t="shared" si="46"/>
        <v>5.0000000000000001E-3</v>
      </c>
      <c r="Z261" s="14" t="str">
        <f t="shared" si="47"/>
        <v>0.00%-8.40%</v>
      </c>
      <c r="AA261" s="15"/>
      <c r="AB261" s="15"/>
      <c r="AC261" s="15"/>
      <c r="AD261" s="16"/>
      <c r="AE261" s="8">
        <f t="shared" si="48"/>
        <v>0</v>
      </c>
      <c r="AF261" s="17">
        <f t="shared" si="49"/>
        <v>4654.1549999999997</v>
      </c>
      <c r="AG261" s="18">
        <f t="shared" si="50"/>
        <v>23.154999999999745</v>
      </c>
      <c r="AH261" s="19">
        <f t="shared" si="51"/>
        <v>4.9999999999998934E-3</v>
      </c>
      <c r="AI261" s="20">
        <v>13.6</v>
      </c>
      <c r="AJ261" s="20">
        <v>450</v>
      </c>
      <c r="AK261" s="20"/>
      <c r="AL261" s="20">
        <v>688</v>
      </c>
      <c r="AM261" s="20">
        <f t="shared" si="52"/>
        <v>69384.508000000002</v>
      </c>
      <c r="AN261" s="7" t="s">
        <v>176</v>
      </c>
      <c r="AO261" s="20"/>
      <c r="AP261" s="21" t="s">
        <v>513</v>
      </c>
      <c r="AQ261" s="21"/>
      <c r="AR261" s="5" t="s">
        <v>466</v>
      </c>
      <c r="AS261" s="5" t="s">
        <v>164</v>
      </c>
      <c r="AT261" s="5" t="s">
        <v>59</v>
      </c>
      <c r="AU261" s="20"/>
      <c r="AV261" s="21"/>
      <c r="AW261" s="21"/>
      <c r="AX261" s="21"/>
    </row>
    <row r="262" spans="1:50" s="55" customFormat="1">
      <c r="A262" s="86" t="s">
        <v>318</v>
      </c>
      <c r="B262" s="5">
        <v>15008519</v>
      </c>
      <c r="C262" s="5" t="s">
        <v>631</v>
      </c>
      <c r="D262" s="5" t="s">
        <v>321</v>
      </c>
      <c r="E262" s="5" t="s">
        <v>52</v>
      </c>
      <c r="F262" s="5" t="s">
        <v>62</v>
      </c>
      <c r="G262" s="5" t="s">
        <v>202</v>
      </c>
      <c r="H262" s="5" t="s">
        <v>464</v>
      </c>
      <c r="I262" s="6">
        <v>41365</v>
      </c>
      <c r="J262" s="5" t="s">
        <v>336</v>
      </c>
      <c r="K262" s="5" t="s">
        <v>511</v>
      </c>
      <c r="L262" s="5" t="s">
        <v>324</v>
      </c>
      <c r="M262" s="7">
        <v>6</v>
      </c>
      <c r="N262" s="7" t="s">
        <v>176</v>
      </c>
      <c r="O262" s="8">
        <v>5620</v>
      </c>
      <c r="P262" s="9">
        <v>0.02</v>
      </c>
      <c r="Q262" s="10">
        <f t="shared" si="40"/>
        <v>112</v>
      </c>
      <c r="R262" s="9">
        <v>5.0000000000000001E-3</v>
      </c>
      <c r="S262" s="10">
        <f t="shared" si="41"/>
        <v>28</v>
      </c>
      <c r="T262" s="9">
        <f t="shared" si="42"/>
        <v>2.491103202846975E-2</v>
      </c>
      <c r="U262" s="10">
        <f t="shared" si="43"/>
        <v>140</v>
      </c>
      <c r="V262" s="10">
        <f t="shared" si="44"/>
        <v>5760</v>
      </c>
      <c r="W262" s="11">
        <v>5901</v>
      </c>
      <c r="X262" s="12">
        <f t="shared" si="45"/>
        <v>281</v>
      </c>
      <c r="Y262" s="13">
        <f t="shared" si="46"/>
        <v>0.05</v>
      </c>
      <c r="Z262" s="14" t="str">
        <f t="shared" si="47"/>
        <v>0.00%-8.40%</v>
      </c>
      <c r="AA262" s="15"/>
      <c r="AB262" s="15"/>
      <c r="AC262" s="15"/>
      <c r="AD262" s="16"/>
      <c r="AE262" s="8">
        <f t="shared" si="48"/>
        <v>0</v>
      </c>
      <c r="AF262" s="17">
        <f t="shared" si="49"/>
        <v>5901</v>
      </c>
      <c r="AG262" s="18">
        <f t="shared" si="50"/>
        <v>281</v>
      </c>
      <c r="AH262" s="19">
        <f t="shared" si="51"/>
        <v>5.0000000000000044E-2</v>
      </c>
      <c r="AI262" s="20">
        <v>13.6</v>
      </c>
      <c r="AJ262" s="20">
        <v>450</v>
      </c>
      <c r="AK262" s="20"/>
      <c r="AL262" s="20">
        <v>688</v>
      </c>
      <c r="AM262" s="20">
        <f t="shared" si="52"/>
        <v>86341.599999999991</v>
      </c>
      <c r="AN262" s="7" t="s">
        <v>176</v>
      </c>
      <c r="AO262" s="20" t="s">
        <v>490</v>
      </c>
      <c r="AP262" s="21" t="s">
        <v>465</v>
      </c>
      <c r="AQ262" s="21"/>
      <c r="AR262" s="5" t="s">
        <v>466</v>
      </c>
      <c r="AS262" s="5" t="s">
        <v>164</v>
      </c>
      <c r="AT262" s="5" t="s">
        <v>59</v>
      </c>
      <c r="AU262" s="20"/>
      <c r="AV262" s="21"/>
      <c r="AW262" s="21"/>
      <c r="AX262" s="21"/>
    </row>
    <row r="263" spans="1:50" s="55" customFormat="1">
      <c r="A263" s="86" t="s">
        <v>318</v>
      </c>
      <c r="B263" s="5">
        <v>15009339</v>
      </c>
      <c r="C263" s="5" t="s">
        <v>632</v>
      </c>
      <c r="D263" s="5" t="s">
        <v>321</v>
      </c>
      <c r="E263" s="5" t="s">
        <v>52</v>
      </c>
      <c r="F263" s="5" t="s">
        <v>62</v>
      </c>
      <c r="G263" s="5" t="s">
        <v>202</v>
      </c>
      <c r="H263" s="5" t="s">
        <v>464</v>
      </c>
      <c r="I263" s="6">
        <v>41487</v>
      </c>
      <c r="J263" s="5" t="s">
        <v>336</v>
      </c>
      <c r="K263" s="5" t="s">
        <v>511</v>
      </c>
      <c r="L263" s="5" t="s">
        <v>324</v>
      </c>
      <c r="M263" s="7">
        <v>6</v>
      </c>
      <c r="N263" s="7" t="s">
        <v>176</v>
      </c>
      <c r="O263" s="8">
        <v>5607</v>
      </c>
      <c r="P263" s="9">
        <v>0.02</v>
      </c>
      <c r="Q263" s="10">
        <f t="shared" si="40"/>
        <v>112</v>
      </c>
      <c r="R263" s="9">
        <v>5.0000000000000001E-3</v>
      </c>
      <c r="S263" s="10">
        <f t="shared" si="41"/>
        <v>28</v>
      </c>
      <c r="T263" s="9">
        <f t="shared" si="42"/>
        <v>2.4968789013732832E-2</v>
      </c>
      <c r="U263" s="10">
        <f t="shared" si="43"/>
        <v>140</v>
      </c>
      <c r="V263" s="10">
        <f t="shared" si="44"/>
        <v>5747</v>
      </c>
      <c r="W263" s="11">
        <v>5747.1750000000002</v>
      </c>
      <c r="X263" s="12">
        <f t="shared" si="45"/>
        <v>140.17500000000018</v>
      </c>
      <c r="Y263" s="13">
        <f t="shared" si="46"/>
        <v>2.5000000000000001E-2</v>
      </c>
      <c r="Z263" s="14" t="str">
        <f t="shared" si="47"/>
        <v>0.00%-8.40%</v>
      </c>
      <c r="AA263" s="15"/>
      <c r="AB263" s="15"/>
      <c r="AC263" s="15"/>
      <c r="AD263" s="16"/>
      <c r="AE263" s="8">
        <f t="shared" si="48"/>
        <v>0</v>
      </c>
      <c r="AF263" s="17">
        <f t="shared" si="49"/>
        <v>5747.1750000000002</v>
      </c>
      <c r="AG263" s="18">
        <f t="shared" si="50"/>
        <v>140.17500000000018</v>
      </c>
      <c r="AH263" s="19">
        <f t="shared" si="51"/>
        <v>2.5000000000000133E-2</v>
      </c>
      <c r="AI263" s="20">
        <v>13.6</v>
      </c>
      <c r="AJ263" s="20">
        <v>450</v>
      </c>
      <c r="AK263" s="20"/>
      <c r="AL263" s="20">
        <v>688</v>
      </c>
      <c r="AM263" s="20">
        <f t="shared" si="52"/>
        <v>84249.58</v>
      </c>
      <c r="AN263" s="7" t="s">
        <v>176</v>
      </c>
      <c r="AO263" s="20"/>
      <c r="AP263" s="21" t="s">
        <v>465</v>
      </c>
      <c r="AQ263" s="21"/>
      <c r="AR263" s="5" t="s">
        <v>466</v>
      </c>
      <c r="AS263" s="5" t="s">
        <v>164</v>
      </c>
      <c r="AT263" s="5" t="s">
        <v>59</v>
      </c>
      <c r="AU263" s="20"/>
      <c r="AV263" s="21"/>
      <c r="AW263" s="21"/>
      <c r="AX263" s="21"/>
    </row>
    <row r="264" spans="1:50" s="55" customFormat="1">
      <c r="A264" s="86" t="s">
        <v>318</v>
      </c>
      <c r="B264" s="5">
        <v>15018860</v>
      </c>
      <c r="C264" s="5" t="s">
        <v>633</v>
      </c>
      <c r="D264" s="5" t="s">
        <v>321</v>
      </c>
      <c r="E264" s="5" t="s">
        <v>52</v>
      </c>
      <c r="F264" s="5" t="s">
        <v>62</v>
      </c>
      <c r="G264" s="5" t="s">
        <v>202</v>
      </c>
      <c r="H264" s="5" t="s">
        <v>464</v>
      </c>
      <c r="I264" s="6">
        <v>43344</v>
      </c>
      <c r="J264" s="5" t="s">
        <v>336</v>
      </c>
      <c r="K264" s="5" t="s">
        <v>511</v>
      </c>
      <c r="L264" s="5" t="s">
        <v>324</v>
      </c>
      <c r="M264" s="7">
        <v>6</v>
      </c>
      <c r="N264" s="7" t="s">
        <v>176</v>
      </c>
      <c r="O264" s="8">
        <v>4604</v>
      </c>
      <c r="P264" s="9">
        <v>0.02</v>
      </c>
      <c r="Q264" s="10">
        <f t="shared" si="40"/>
        <v>92</v>
      </c>
      <c r="R264" s="9">
        <v>5.0000000000000001E-3</v>
      </c>
      <c r="S264" s="10">
        <f t="shared" si="41"/>
        <v>23</v>
      </c>
      <c r="T264" s="9">
        <f t="shared" si="42"/>
        <v>2.4978279756733276E-2</v>
      </c>
      <c r="U264" s="10">
        <f t="shared" si="43"/>
        <v>115</v>
      </c>
      <c r="V264" s="10">
        <f t="shared" si="44"/>
        <v>4719</v>
      </c>
      <c r="W264" s="11">
        <v>4719.1000000000004</v>
      </c>
      <c r="X264" s="12">
        <f t="shared" si="45"/>
        <v>115.10000000000036</v>
      </c>
      <c r="Y264" s="13">
        <f t="shared" si="46"/>
        <v>2.5000000000000001E-2</v>
      </c>
      <c r="Z264" s="14" t="str">
        <f t="shared" si="47"/>
        <v>0.00%-8.40%</v>
      </c>
      <c r="AA264" s="15"/>
      <c r="AB264" s="15"/>
      <c r="AC264" s="15"/>
      <c r="AD264" s="16"/>
      <c r="AE264" s="8">
        <f t="shared" si="48"/>
        <v>0</v>
      </c>
      <c r="AF264" s="17">
        <f t="shared" si="49"/>
        <v>4719.1000000000004</v>
      </c>
      <c r="AG264" s="18">
        <f t="shared" si="50"/>
        <v>115.10000000000036</v>
      </c>
      <c r="AH264" s="19">
        <f t="shared" si="51"/>
        <v>2.5000000000000133E-2</v>
      </c>
      <c r="AI264" s="20">
        <v>13.6</v>
      </c>
      <c r="AJ264" s="20">
        <v>450</v>
      </c>
      <c r="AK264" s="20"/>
      <c r="AL264" s="20">
        <v>688</v>
      </c>
      <c r="AM264" s="20">
        <f t="shared" si="52"/>
        <v>70267.760000000009</v>
      </c>
      <c r="AN264" s="7" t="s">
        <v>176</v>
      </c>
      <c r="AO264" s="20"/>
      <c r="AP264" s="21" t="s">
        <v>465</v>
      </c>
      <c r="AQ264" s="21"/>
      <c r="AR264" s="5" t="s">
        <v>466</v>
      </c>
      <c r="AS264" s="5" t="s">
        <v>164</v>
      </c>
      <c r="AT264" s="5" t="s">
        <v>59</v>
      </c>
      <c r="AU264" s="20"/>
      <c r="AV264" s="21"/>
      <c r="AW264" s="21"/>
      <c r="AX264" s="21"/>
    </row>
    <row r="265" spans="1:50" s="55" customFormat="1">
      <c r="A265" s="86" t="s">
        <v>318</v>
      </c>
      <c r="B265" s="5">
        <v>15018864</v>
      </c>
      <c r="C265" s="5" t="s">
        <v>634</v>
      </c>
      <c r="D265" s="5" t="s">
        <v>321</v>
      </c>
      <c r="E265" s="5" t="s">
        <v>52</v>
      </c>
      <c r="F265" s="5" t="s">
        <v>62</v>
      </c>
      <c r="G265" s="5" t="s">
        <v>202</v>
      </c>
      <c r="H265" s="5" t="s">
        <v>464</v>
      </c>
      <c r="I265" s="6">
        <v>43344</v>
      </c>
      <c r="J265" s="5" t="s">
        <v>336</v>
      </c>
      <c r="K265" s="5" t="s">
        <v>511</v>
      </c>
      <c r="L265" s="5" t="s">
        <v>324</v>
      </c>
      <c r="M265" s="7">
        <v>6</v>
      </c>
      <c r="N265" s="7" t="s">
        <v>176</v>
      </c>
      <c r="O265" s="8">
        <v>5279</v>
      </c>
      <c r="P265" s="9">
        <v>0.02</v>
      </c>
      <c r="Q265" s="10">
        <f t="shared" ref="Q265:Q328" si="53">ROUND(O265*P265,0)</f>
        <v>106</v>
      </c>
      <c r="R265" s="9">
        <v>5.0000000000000001E-3</v>
      </c>
      <c r="S265" s="10">
        <f t="shared" ref="S265:S328" si="54">ROUND(O265*R265,0)</f>
        <v>26</v>
      </c>
      <c r="T265" s="9">
        <f t="shared" ref="T265:T328" si="55">U265/O265</f>
        <v>2.5004735745406327E-2</v>
      </c>
      <c r="U265" s="10">
        <f t="shared" ref="U265:U328" si="56">Q265+S265</f>
        <v>132</v>
      </c>
      <c r="V265" s="10">
        <f t="shared" ref="V265:V328" si="57">O265+U265</f>
        <v>5411</v>
      </c>
      <c r="W265" s="11">
        <v>5410.9750000000004</v>
      </c>
      <c r="X265" s="12">
        <f t="shared" ref="X265:X328" si="58">W265-O265</f>
        <v>131.97500000000036</v>
      </c>
      <c r="Y265" s="13">
        <f t="shared" ref="Y265:Y328" si="59">ROUND(W265/O265-1,4)</f>
        <v>2.5000000000000001E-2</v>
      </c>
      <c r="Z265" s="14" t="str">
        <f t="shared" ref="Z265:Z328" si="60">IF(OR(M265=1,M265=2,M265=4),TEXT(T265*0.8,"0.00%")&amp;"-"&amp;TEXT(T265*1.2,"0.00%"),IF(OR(M265=3,M265=6),TEXT(0,"0.00%")&amp;"-"&amp;TEXT(7%*1.2,"0.00%"),IF(OR(M265=5,M265=7),TEXT((S265/O265),"0.00%")&amp;"-"&amp;TEXT((S265/O265)+7%,"0.00%"),"")))</f>
        <v>0.00%-8.40%</v>
      </c>
      <c r="AA265" s="15"/>
      <c r="AB265" s="15"/>
      <c r="AC265" s="15"/>
      <c r="AD265" s="16"/>
      <c r="AE265" s="8">
        <f t="shared" ref="AE265:AE328" si="61">ROUND(O265*AD265,0)</f>
        <v>0</v>
      </c>
      <c r="AF265" s="17">
        <f t="shared" ref="AF265:AF328" si="62">W265+AE265</f>
        <v>5410.9750000000004</v>
      </c>
      <c r="AG265" s="18">
        <f t="shared" ref="AG265:AG328" si="63">AF265-O265</f>
        <v>131.97500000000036</v>
      </c>
      <c r="AH265" s="19">
        <f t="shared" ref="AH265:AH328" si="64">AF265/O265-1</f>
        <v>2.5000000000000133E-2</v>
      </c>
      <c r="AI265" s="20">
        <v>13.6</v>
      </c>
      <c r="AJ265" s="20">
        <v>500</v>
      </c>
      <c r="AK265" s="20"/>
      <c r="AL265" s="20">
        <v>688</v>
      </c>
      <c r="AM265" s="20">
        <f t="shared" ref="AM265:AM328" si="65">AF265*AI265+AJ265*12+AL265+IF(AC265="",AK265,IF(AC265="D",5000,IF(AC265="C",1000,0)))*12</f>
        <v>80277.260000000009</v>
      </c>
      <c r="AN265" s="7" t="s">
        <v>176</v>
      </c>
      <c r="AO265" s="20"/>
      <c r="AP265" s="21" t="s">
        <v>465</v>
      </c>
      <c r="AQ265" s="21"/>
      <c r="AR265" s="5" t="s">
        <v>466</v>
      </c>
      <c r="AS265" s="5" t="s">
        <v>164</v>
      </c>
      <c r="AT265" s="5" t="s">
        <v>59</v>
      </c>
      <c r="AU265" s="20"/>
      <c r="AV265" s="21"/>
      <c r="AW265" s="21"/>
      <c r="AX265" s="21"/>
    </row>
    <row r="266" spans="1:50" s="55" customFormat="1">
      <c r="A266" s="86" t="s">
        <v>318</v>
      </c>
      <c r="B266" s="5">
        <v>15019934</v>
      </c>
      <c r="C266" s="5" t="s">
        <v>635</v>
      </c>
      <c r="D266" s="5" t="s">
        <v>321</v>
      </c>
      <c r="E266" s="5" t="s">
        <v>52</v>
      </c>
      <c r="F266" s="5" t="s">
        <v>62</v>
      </c>
      <c r="G266" s="5" t="s">
        <v>202</v>
      </c>
      <c r="H266" s="5" t="s">
        <v>464</v>
      </c>
      <c r="I266" s="6">
        <v>44136</v>
      </c>
      <c r="J266" s="5" t="s">
        <v>336</v>
      </c>
      <c r="K266" s="5" t="s">
        <v>511</v>
      </c>
      <c r="L266" s="5" t="s">
        <v>324</v>
      </c>
      <c r="M266" s="7">
        <v>6</v>
      </c>
      <c r="N266" s="7" t="s">
        <v>176</v>
      </c>
      <c r="O266" s="8">
        <v>4967</v>
      </c>
      <c r="P266" s="9">
        <v>0.02</v>
      </c>
      <c r="Q266" s="10">
        <f t="shared" si="53"/>
        <v>99</v>
      </c>
      <c r="R266" s="9">
        <v>5.0000000000000001E-3</v>
      </c>
      <c r="S266" s="10">
        <f t="shared" si="54"/>
        <v>25</v>
      </c>
      <c r="T266" s="9">
        <f t="shared" si="55"/>
        <v>2.4964767465270786E-2</v>
      </c>
      <c r="U266" s="10">
        <f t="shared" si="56"/>
        <v>124</v>
      </c>
      <c r="V266" s="10">
        <f t="shared" si="57"/>
        <v>5091</v>
      </c>
      <c r="W266" s="11">
        <v>4967</v>
      </c>
      <c r="X266" s="12">
        <f t="shared" si="58"/>
        <v>0</v>
      </c>
      <c r="Y266" s="13">
        <f t="shared" si="59"/>
        <v>0</v>
      </c>
      <c r="Z266" s="14" t="str">
        <f t="shared" si="60"/>
        <v>0.00%-8.40%</v>
      </c>
      <c r="AA266" s="15"/>
      <c r="AB266" s="15"/>
      <c r="AC266" s="15"/>
      <c r="AD266" s="16"/>
      <c r="AE266" s="8">
        <f t="shared" si="61"/>
        <v>0</v>
      </c>
      <c r="AF266" s="17">
        <f t="shared" si="62"/>
        <v>4967</v>
      </c>
      <c r="AG266" s="18">
        <f t="shared" si="63"/>
        <v>0</v>
      </c>
      <c r="AH266" s="19">
        <f t="shared" si="64"/>
        <v>0</v>
      </c>
      <c r="AI266" s="20">
        <v>13.6</v>
      </c>
      <c r="AJ266" s="20">
        <v>450</v>
      </c>
      <c r="AK266" s="20"/>
      <c r="AL266" s="20">
        <v>688</v>
      </c>
      <c r="AM266" s="20">
        <f t="shared" si="65"/>
        <v>73639.199999999997</v>
      </c>
      <c r="AN266" s="7" t="s">
        <v>176</v>
      </c>
      <c r="AO266" s="20"/>
      <c r="AP266" s="21" t="s">
        <v>97</v>
      </c>
      <c r="AQ266" s="21" t="s">
        <v>97</v>
      </c>
      <c r="AR266" s="5" t="s">
        <v>466</v>
      </c>
      <c r="AS266" s="5" t="s">
        <v>164</v>
      </c>
      <c r="AT266" s="5" t="s">
        <v>59</v>
      </c>
      <c r="AU266" s="20"/>
      <c r="AV266" s="21"/>
      <c r="AW266" s="21"/>
      <c r="AX266" s="21"/>
    </row>
    <row r="267" spans="1:50" s="55" customFormat="1">
      <c r="A267" s="86" t="s">
        <v>318</v>
      </c>
      <c r="B267" s="5">
        <v>15005153</v>
      </c>
      <c r="C267" s="5" t="s">
        <v>636</v>
      </c>
      <c r="D267" s="5" t="s">
        <v>321</v>
      </c>
      <c r="E267" s="5" t="s">
        <v>52</v>
      </c>
      <c r="F267" s="5" t="s">
        <v>62</v>
      </c>
      <c r="G267" s="5" t="s">
        <v>202</v>
      </c>
      <c r="H267" s="5" t="s">
        <v>464</v>
      </c>
      <c r="I267" s="6">
        <v>43282</v>
      </c>
      <c r="J267" s="5" t="s">
        <v>336</v>
      </c>
      <c r="K267" s="5" t="s">
        <v>548</v>
      </c>
      <c r="L267" s="5" t="s">
        <v>324</v>
      </c>
      <c r="M267" s="7">
        <v>6</v>
      </c>
      <c r="N267" s="7" t="s">
        <v>176</v>
      </c>
      <c r="O267" s="8">
        <v>5325</v>
      </c>
      <c r="P267" s="9">
        <v>0.02</v>
      </c>
      <c r="Q267" s="10">
        <f t="shared" si="53"/>
        <v>107</v>
      </c>
      <c r="R267" s="9">
        <v>5.0000000000000001E-3</v>
      </c>
      <c r="S267" s="10">
        <f t="shared" si="54"/>
        <v>27</v>
      </c>
      <c r="T267" s="9">
        <f t="shared" si="55"/>
        <v>2.516431924882629E-2</v>
      </c>
      <c r="U267" s="10">
        <f t="shared" si="56"/>
        <v>134</v>
      </c>
      <c r="V267" s="10">
        <f t="shared" si="57"/>
        <v>5459</v>
      </c>
      <c r="W267" s="11">
        <v>5458.125</v>
      </c>
      <c r="X267" s="12">
        <f t="shared" si="58"/>
        <v>133.125</v>
      </c>
      <c r="Y267" s="13">
        <f t="shared" si="59"/>
        <v>2.5000000000000001E-2</v>
      </c>
      <c r="Z267" s="14" t="str">
        <f t="shared" si="60"/>
        <v>0.00%-8.40%</v>
      </c>
      <c r="AA267" s="15"/>
      <c r="AB267" s="15"/>
      <c r="AC267" s="15"/>
      <c r="AD267" s="16"/>
      <c r="AE267" s="8">
        <f t="shared" si="61"/>
        <v>0</v>
      </c>
      <c r="AF267" s="17">
        <f t="shared" si="62"/>
        <v>5458.125</v>
      </c>
      <c r="AG267" s="18">
        <f t="shared" si="63"/>
        <v>133.125</v>
      </c>
      <c r="AH267" s="19">
        <f t="shared" si="64"/>
        <v>2.4999999999999911E-2</v>
      </c>
      <c r="AI267" s="20">
        <v>13.6</v>
      </c>
      <c r="AJ267" s="20">
        <v>450</v>
      </c>
      <c r="AK267" s="20"/>
      <c r="AL267" s="20">
        <v>688</v>
      </c>
      <c r="AM267" s="20">
        <f t="shared" si="65"/>
        <v>80318.5</v>
      </c>
      <c r="AN267" s="7" t="s">
        <v>176</v>
      </c>
      <c r="AO267" s="20"/>
      <c r="AP267" s="21" t="s">
        <v>465</v>
      </c>
      <c r="AQ267" s="21"/>
      <c r="AR267" s="5" t="s">
        <v>466</v>
      </c>
      <c r="AS267" s="5" t="s">
        <v>164</v>
      </c>
      <c r="AT267" s="5" t="s">
        <v>59</v>
      </c>
      <c r="AU267" s="20"/>
      <c r="AV267" s="21"/>
      <c r="AW267" s="21"/>
      <c r="AX267" s="21"/>
    </row>
    <row r="268" spans="1:50" s="55" customFormat="1">
      <c r="A268" s="86" t="s">
        <v>318</v>
      </c>
      <c r="B268" s="5">
        <v>15000682</v>
      </c>
      <c r="C268" s="5" t="s">
        <v>637</v>
      </c>
      <c r="D268" s="5" t="s">
        <v>321</v>
      </c>
      <c r="E268" s="5" t="s">
        <v>52</v>
      </c>
      <c r="F268" s="5" t="s">
        <v>62</v>
      </c>
      <c r="G268" s="5" t="s">
        <v>202</v>
      </c>
      <c r="H268" s="5" t="s">
        <v>464</v>
      </c>
      <c r="I268" s="6">
        <v>38991</v>
      </c>
      <c r="J268" s="5" t="s">
        <v>336</v>
      </c>
      <c r="K268" s="5" t="s">
        <v>511</v>
      </c>
      <c r="L268" s="5" t="s">
        <v>324</v>
      </c>
      <c r="M268" s="7">
        <v>6</v>
      </c>
      <c r="N268" s="7" t="s">
        <v>176</v>
      </c>
      <c r="O268" s="8">
        <v>4981</v>
      </c>
      <c r="P268" s="9">
        <v>0.02</v>
      </c>
      <c r="Q268" s="10">
        <f t="shared" si="53"/>
        <v>100</v>
      </c>
      <c r="R268" s="9">
        <v>5.0000000000000001E-3</v>
      </c>
      <c r="S268" s="10">
        <f t="shared" si="54"/>
        <v>25</v>
      </c>
      <c r="T268" s="9">
        <f t="shared" si="55"/>
        <v>2.5095362377032724E-2</v>
      </c>
      <c r="U268" s="10">
        <f t="shared" si="56"/>
        <v>125</v>
      </c>
      <c r="V268" s="10">
        <f t="shared" si="57"/>
        <v>5106</v>
      </c>
      <c r="W268" s="11">
        <v>4981</v>
      </c>
      <c r="X268" s="12">
        <f t="shared" si="58"/>
        <v>0</v>
      </c>
      <c r="Y268" s="13">
        <f t="shared" si="59"/>
        <v>0</v>
      </c>
      <c r="Z268" s="14" t="str">
        <f t="shared" si="60"/>
        <v>0.00%-8.40%</v>
      </c>
      <c r="AA268" s="15"/>
      <c r="AB268" s="15"/>
      <c r="AC268" s="15"/>
      <c r="AD268" s="16"/>
      <c r="AE268" s="8">
        <f t="shared" si="61"/>
        <v>0</v>
      </c>
      <c r="AF268" s="17">
        <f t="shared" si="62"/>
        <v>4981</v>
      </c>
      <c r="AG268" s="18">
        <f t="shared" si="63"/>
        <v>0</v>
      </c>
      <c r="AH268" s="19">
        <f t="shared" si="64"/>
        <v>0</v>
      </c>
      <c r="AI268" s="20">
        <v>13.6</v>
      </c>
      <c r="AJ268" s="20">
        <v>450</v>
      </c>
      <c r="AK268" s="20"/>
      <c r="AL268" s="20">
        <v>688</v>
      </c>
      <c r="AM268" s="20">
        <f t="shared" si="65"/>
        <v>73829.599999999991</v>
      </c>
      <c r="AN268" s="7" t="s">
        <v>176</v>
      </c>
      <c r="AO268" s="20" t="s">
        <v>364</v>
      </c>
      <c r="AP268" s="21" t="s">
        <v>508</v>
      </c>
      <c r="AQ268" s="21" t="s">
        <v>281</v>
      </c>
      <c r="AR268" s="5" t="s">
        <v>466</v>
      </c>
      <c r="AS268" s="5" t="s">
        <v>164</v>
      </c>
      <c r="AT268" s="5" t="s">
        <v>59</v>
      </c>
      <c r="AU268" s="20"/>
      <c r="AV268" s="21"/>
      <c r="AW268" s="21"/>
      <c r="AX268" s="21"/>
    </row>
    <row r="269" spans="1:50" s="55" customFormat="1">
      <c r="A269" s="86" t="s">
        <v>318</v>
      </c>
      <c r="B269" s="5">
        <v>15020416</v>
      </c>
      <c r="C269" s="5" t="s">
        <v>638</v>
      </c>
      <c r="D269" s="5" t="s">
        <v>321</v>
      </c>
      <c r="E269" s="5" t="s">
        <v>52</v>
      </c>
      <c r="F269" s="5" t="s">
        <v>62</v>
      </c>
      <c r="G269" s="5" t="s">
        <v>202</v>
      </c>
      <c r="H269" s="5" t="s">
        <v>464</v>
      </c>
      <c r="I269" s="6">
        <v>44378</v>
      </c>
      <c r="J269" s="5" t="s">
        <v>336</v>
      </c>
      <c r="K269" s="5" t="s">
        <v>511</v>
      </c>
      <c r="L269" s="5" t="s">
        <v>324</v>
      </c>
      <c r="M269" s="7">
        <v>6</v>
      </c>
      <c r="N269" s="7" t="s">
        <v>176</v>
      </c>
      <c r="O269" s="8">
        <v>4548</v>
      </c>
      <c r="P269" s="9">
        <v>0.02</v>
      </c>
      <c r="Q269" s="10">
        <f t="shared" si="53"/>
        <v>91</v>
      </c>
      <c r="R269" s="9">
        <v>5.0000000000000001E-3</v>
      </c>
      <c r="S269" s="10">
        <f t="shared" si="54"/>
        <v>23</v>
      </c>
      <c r="T269" s="9">
        <f t="shared" si="55"/>
        <v>2.5065963060686015E-2</v>
      </c>
      <c r="U269" s="10">
        <f t="shared" si="56"/>
        <v>114</v>
      </c>
      <c r="V269" s="10">
        <f t="shared" si="57"/>
        <v>4662</v>
      </c>
      <c r="W269" s="11">
        <v>4548</v>
      </c>
      <c r="X269" s="12">
        <f t="shared" si="58"/>
        <v>0</v>
      </c>
      <c r="Y269" s="13">
        <f t="shared" si="59"/>
        <v>0</v>
      </c>
      <c r="Z269" s="14" t="str">
        <f t="shared" si="60"/>
        <v>0.00%-8.40%</v>
      </c>
      <c r="AA269" s="15"/>
      <c r="AB269" s="15"/>
      <c r="AC269" s="15"/>
      <c r="AD269" s="16"/>
      <c r="AE269" s="8">
        <f t="shared" si="61"/>
        <v>0</v>
      </c>
      <c r="AF269" s="17">
        <f t="shared" si="62"/>
        <v>4548</v>
      </c>
      <c r="AG269" s="18">
        <f t="shared" si="63"/>
        <v>0</v>
      </c>
      <c r="AH269" s="19">
        <f t="shared" si="64"/>
        <v>0</v>
      </c>
      <c r="AI269" s="20">
        <v>13.6</v>
      </c>
      <c r="AJ269" s="20">
        <v>450</v>
      </c>
      <c r="AK269" s="20"/>
      <c r="AL269" s="20">
        <v>688</v>
      </c>
      <c r="AM269" s="20">
        <f t="shared" si="65"/>
        <v>67940.799999999988</v>
      </c>
      <c r="AN269" s="7" t="s">
        <v>176</v>
      </c>
      <c r="AO269" s="20" t="s">
        <v>364</v>
      </c>
      <c r="AP269" s="21" t="s">
        <v>508</v>
      </c>
      <c r="AQ269" s="21" t="s">
        <v>281</v>
      </c>
      <c r="AR269" s="5" t="s">
        <v>466</v>
      </c>
      <c r="AS269" s="5" t="s">
        <v>164</v>
      </c>
      <c r="AT269" s="5" t="s">
        <v>59</v>
      </c>
      <c r="AU269" s="20"/>
      <c r="AV269" s="21"/>
      <c r="AW269" s="21"/>
      <c r="AX269" s="21"/>
    </row>
    <row r="270" spans="1:50" s="55" customFormat="1">
      <c r="A270" s="86" t="s">
        <v>318</v>
      </c>
      <c r="B270" s="5">
        <v>15006748</v>
      </c>
      <c r="C270" s="5" t="s">
        <v>639</v>
      </c>
      <c r="D270" s="5" t="s">
        <v>321</v>
      </c>
      <c r="E270" s="5" t="s">
        <v>52</v>
      </c>
      <c r="F270" s="5" t="s">
        <v>62</v>
      </c>
      <c r="G270" s="5" t="s">
        <v>202</v>
      </c>
      <c r="H270" s="5" t="s">
        <v>464</v>
      </c>
      <c r="I270" s="6">
        <v>40940</v>
      </c>
      <c r="J270" s="5" t="s">
        <v>336</v>
      </c>
      <c r="K270" s="5" t="s">
        <v>511</v>
      </c>
      <c r="L270" s="5" t="s">
        <v>324</v>
      </c>
      <c r="M270" s="7">
        <v>6</v>
      </c>
      <c r="N270" s="7" t="s">
        <v>176</v>
      </c>
      <c r="O270" s="8">
        <v>5175</v>
      </c>
      <c r="P270" s="9">
        <v>0.02</v>
      </c>
      <c r="Q270" s="10">
        <f t="shared" si="53"/>
        <v>104</v>
      </c>
      <c r="R270" s="9">
        <v>5.0000000000000001E-3</v>
      </c>
      <c r="S270" s="10">
        <f t="shared" si="54"/>
        <v>26</v>
      </c>
      <c r="T270" s="9">
        <f t="shared" si="55"/>
        <v>2.5120772946859903E-2</v>
      </c>
      <c r="U270" s="10">
        <f t="shared" si="56"/>
        <v>130</v>
      </c>
      <c r="V270" s="10">
        <f t="shared" si="57"/>
        <v>5305</v>
      </c>
      <c r="W270" s="11">
        <v>5304.375</v>
      </c>
      <c r="X270" s="12">
        <f t="shared" si="58"/>
        <v>129.375</v>
      </c>
      <c r="Y270" s="13">
        <f t="shared" si="59"/>
        <v>2.5000000000000001E-2</v>
      </c>
      <c r="Z270" s="14" t="str">
        <f t="shared" si="60"/>
        <v>0.00%-8.40%</v>
      </c>
      <c r="AA270" s="15"/>
      <c r="AB270" s="15"/>
      <c r="AC270" s="15"/>
      <c r="AD270" s="16"/>
      <c r="AE270" s="8">
        <f t="shared" si="61"/>
        <v>0</v>
      </c>
      <c r="AF270" s="17">
        <f t="shared" si="62"/>
        <v>5304.375</v>
      </c>
      <c r="AG270" s="18">
        <f t="shared" si="63"/>
        <v>129.375</v>
      </c>
      <c r="AH270" s="19">
        <f t="shared" si="64"/>
        <v>2.4999999999999911E-2</v>
      </c>
      <c r="AI270" s="20">
        <v>13.6</v>
      </c>
      <c r="AJ270" s="20">
        <v>450</v>
      </c>
      <c r="AK270" s="20"/>
      <c r="AL270" s="20">
        <v>688</v>
      </c>
      <c r="AM270" s="20">
        <f t="shared" si="65"/>
        <v>78227.5</v>
      </c>
      <c r="AN270" s="7" t="s">
        <v>176</v>
      </c>
      <c r="AO270" s="20"/>
      <c r="AP270" s="21" t="s">
        <v>465</v>
      </c>
      <c r="AQ270" s="21"/>
      <c r="AR270" s="5" t="s">
        <v>466</v>
      </c>
      <c r="AS270" s="5" t="s">
        <v>164</v>
      </c>
      <c r="AT270" s="5" t="s">
        <v>59</v>
      </c>
      <c r="AU270" s="20"/>
      <c r="AV270" s="21"/>
      <c r="AW270" s="21"/>
      <c r="AX270" s="21"/>
    </row>
    <row r="271" spans="1:50" s="55" customFormat="1">
      <c r="A271" s="86" t="s">
        <v>318</v>
      </c>
      <c r="B271" s="5">
        <v>15019908</v>
      </c>
      <c r="C271" s="5" t="s">
        <v>639</v>
      </c>
      <c r="D271" s="5" t="s">
        <v>321</v>
      </c>
      <c r="E271" s="5" t="s">
        <v>52</v>
      </c>
      <c r="F271" s="5" t="s">
        <v>62</v>
      </c>
      <c r="G271" s="5" t="s">
        <v>202</v>
      </c>
      <c r="H271" s="5" t="s">
        <v>464</v>
      </c>
      <c r="I271" s="6">
        <v>44044</v>
      </c>
      <c r="J271" s="5" t="s">
        <v>336</v>
      </c>
      <c r="K271" s="5" t="s">
        <v>511</v>
      </c>
      <c r="L271" s="5" t="s">
        <v>324</v>
      </c>
      <c r="M271" s="7">
        <v>6</v>
      </c>
      <c r="N271" s="7" t="s">
        <v>176</v>
      </c>
      <c r="O271" s="8">
        <v>5064</v>
      </c>
      <c r="P271" s="9">
        <v>0.02</v>
      </c>
      <c r="Q271" s="10">
        <f t="shared" si="53"/>
        <v>101</v>
      </c>
      <c r="R271" s="9">
        <v>5.0000000000000001E-3</v>
      </c>
      <c r="S271" s="10">
        <f t="shared" si="54"/>
        <v>25</v>
      </c>
      <c r="T271" s="9">
        <f t="shared" si="55"/>
        <v>2.4881516587677725E-2</v>
      </c>
      <c r="U271" s="10">
        <f t="shared" si="56"/>
        <v>126</v>
      </c>
      <c r="V271" s="10">
        <f t="shared" si="57"/>
        <v>5190</v>
      </c>
      <c r="W271" s="11">
        <v>5190.6000000000004</v>
      </c>
      <c r="X271" s="12">
        <f t="shared" si="58"/>
        <v>126.60000000000036</v>
      </c>
      <c r="Y271" s="13">
        <f t="shared" si="59"/>
        <v>2.5000000000000001E-2</v>
      </c>
      <c r="Z271" s="14" t="str">
        <f t="shared" si="60"/>
        <v>0.00%-8.40%</v>
      </c>
      <c r="AA271" s="15"/>
      <c r="AB271" s="15"/>
      <c r="AC271" s="15"/>
      <c r="AD271" s="16"/>
      <c r="AE271" s="8">
        <f t="shared" si="61"/>
        <v>0</v>
      </c>
      <c r="AF271" s="17">
        <f t="shared" si="62"/>
        <v>5190.6000000000004</v>
      </c>
      <c r="AG271" s="18">
        <f t="shared" si="63"/>
        <v>126.60000000000036</v>
      </c>
      <c r="AH271" s="19">
        <f t="shared" si="64"/>
        <v>2.5000000000000133E-2</v>
      </c>
      <c r="AI271" s="20">
        <v>13.6</v>
      </c>
      <c r="AJ271" s="20">
        <v>450</v>
      </c>
      <c r="AK271" s="20"/>
      <c r="AL271" s="20">
        <v>688</v>
      </c>
      <c r="AM271" s="20">
        <f t="shared" si="65"/>
        <v>76680.160000000003</v>
      </c>
      <c r="AN271" s="7" t="s">
        <v>176</v>
      </c>
      <c r="AO271" s="20"/>
      <c r="AP271" s="21" t="s">
        <v>465</v>
      </c>
      <c r="AQ271" s="21"/>
      <c r="AR271" s="5" t="s">
        <v>466</v>
      </c>
      <c r="AS271" s="5" t="s">
        <v>164</v>
      </c>
      <c r="AT271" s="5" t="s">
        <v>59</v>
      </c>
      <c r="AU271" s="20"/>
      <c r="AV271" s="21"/>
      <c r="AW271" s="21"/>
      <c r="AX271" s="21"/>
    </row>
    <row r="272" spans="1:50" s="55" customFormat="1">
      <c r="A272" s="86" t="s">
        <v>318</v>
      </c>
      <c r="B272" s="5">
        <v>15003250</v>
      </c>
      <c r="C272" s="5" t="s">
        <v>640</v>
      </c>
      <c r="D272" s="5" t="s">
        <v>321</v>
      </c>
      <c r="E272" s="5" t="s">
        <v>52</v>
      </c>
      <c r="F272" s="5" t="s">
        <v>62</v>
      </c>
      <c r="G272" s="5" t="s">
        <v>202</v>
      </c>
      <c r="H272" s="5" t="s">
        <v>464</v>
      </c>
      <c r="I272" s="6">
        <v>40269</v>
      </c>
      <c r="J272" s="5" t="s">
        <v>336</v>
      </c>
      <c r="K272" s="5" t="s">
        <v>511</v>
      </c>
      <c r="L272" s="5" t="s">
        <v>324</v>
      </c>
      <c r="M272" s="7">
        <v>6</v>
      </c>
      <c r="N272" s="7" t="s">
        <v>176</v>
      </c>
      <c r="O272" s="8">
        <v>5622</v>
      </c>
      <c r="P272" s="9">
        <v>0.02</v>
      </c>
      <c r="Q272" s="10">
        <f t="shared" si="53"/>
        <v>112</v>
      </c>
      <c r="R272" s="9">
        <v>5.0000000000000001E-3</v>
      </c>
      <c r="S272" s="10">
        <f t="shared" si="54"/>
        <v>28</v>
      </c>
      <c r="T272" s="9">
        <f t="shared" si="55"/>
        <v>2.4902170046246886E-2</v>
      </c>
      <c r="U272" s="10">
        <f t="shared" si="56"/>
        <v>140</v>
      </c>
      <c r="V272" s="10">
        <f t="shared" si="57"/>
        <v>5762</v>
      </c>
      <c r="W272" s="11">
        <v>6015.54</v>
      </c>
      <c r="X272" s="12">
        <f t="shared" si="58"/>
        <v>393.53999999999996</v>
      </c>
      <c r="Y272" s="13">
        <f t="shared" si="59"/>
        <v>7.0000000000000007E-2</v>
      </c>
      <c r="Z272" s="14" t="str">
        <f t="shared" si="60"/>
        <v>0.00%-8.40%</v>
      </c>
      <c r="AA272" s="15"/>
      <c r="AB272" s="15"/>
      <c r="AC272" s="15"/>
      <c r="AD272" s="16"/>
      <c r="AE272" s="8">
        <f t="shared" si="61"/>
        <v>0</v>
      </c>
      <c r="AF272" s="17">
        <f t="shared" si="62"/>
        <v>6015.54</v>
      </c>
      <c r="AG272" s="18">
        <f t="shared" si="63"/>
        <v>393.53999999999996</v>
      </c>
      <c r="AH272" s="19">
        <f t="shared" si="64"/>
        <v>7.0000000000000062E-2</v>
      </c>
      <c r="AI272" s="20">
        <v>13.6</v>
      </c>
      <c r="AJ272" s="20">
        <v>450</v>
      </c>
      <c r="AK272" s="20"/>
      <c r="AL272" s="20">
        <v>688</v>
      </c>
      <c r="AM272" s="20">
        <f t="shared" si="65"/>
        <v>87899.343999999997</v>
      </c>
      <c r="AN272" s="7" t="s">
        <v>176</v>
      </c>
      <c r="AO272" s="20"/>
      <c r="AP272" s="21" t="s">
        <v>525</v>
      </c>
      <c r="AQ272" s="21"/>
      <c r="AR272" s="5" t="s">
        <v>466</v>
      </c>
      <c r="AS272" s="5" t="s">
        <v>164</v>
      </c>
      <c r="AT272" s="5" t="s">
        <v>59</v>
      </c>
      <c r="AU272" s="20"/>
      <c r="AV272" s="21"/>
      <c r="AW272" s="21"/>
      <c r="AX272" s="21"/>
    </row>
    <row r="273" spans="1:50" s="55" customFormat="1">
      <c r="A273" s="86" t="s">
        <v>318</v>
      </c>
      <c r="B273" s="5">
        <v>15005388</v>
      </c>
      <c r="C273" s="5" t="s">
        <v>641</v>
      </c>
      <c r="D273" s="5" t="s">
        <v>360</v>
      </c>
      <c r="E273" s="5" t="s">
        <v>52</v>
      </c>
      <c r="F273" s="5" t="s">
        <v>62</v>
      </c>
      <c r="G273" s="5" t="s">
        <v>202</v>
      </c>
      <c r="H273" s="5" t="s">
        <v>197</v>
      </c>
      <c r="I273" s="6">
        <v>40611</v>
      </c>
      <c r="J273" s="5" t="s">
        <v>361</v>
      </c>
      <c r="K273" s="5" t="s">
        <v>361</v>
      </c>
      <c r="L273" s="5" t="s">
        <v>324</v>
      </c>
      <c r="M273" s="7">
        <v>6</v>
      </c>
      <c r="N273" s="7" t="s">
        <v>176</v>
      </c>
      <c r="O273" s="8">
        <v>5701</v>
      </c>
      <c r="P273" s="9">
        <v>0.02</v>
      </c>
      <c r="Q273" s="10">
        <f t="shared" si="53"/>
        <v>114</v>
      </c>
      <c r="R273" s="9">
        <v>5.0000000000000001E-3</v>
      </c>
      <c r="S273" s="10">
        <f t="shared" si="54"/>
        <v>29</v>
      </c>
      <c r="T273" s="9">
        <f t="shared" si="55"/>
        <v>2.5083318716014734E-2</v>
      </c>
      <c r="U273" s="10">
        <f t="shared" si="56"/>
        <v>143</v>
      </c>
      <c r="V273" s="10">
        <f t="shared" si="57"/>
        <v>5844</v>
      </c>
      <c r="W273" s="11">
        <v>5893.5249999999996</v>
      </c>
      <c r="X273" s="12">
        <f t="shared" si="58"/>
        <v>192.52499999999964</v>
      </c>
      <c r="Y273" s="13">
        <f t="shared" si="59"/>
        <v>3.3799999999999997E-2</v>
      </c>
      <c r="Z273" s="14" t="str">
        <f t="shared" si="60"/>
        <v>0.00%-8.40%</v>
      </c>
      <c r="AA273" s="15"/>
      <c r="AB273" s="15"/>
      <c r="AC273" s="15"/>
      <c r="AD273" s="16"/>
      <c r="AE273" s="8">
        <f t="shared" si="61"/>
        <v>0</v>
      </c>
      <c r="AF273" s="17">
        <f t="shared" si="62"/>
        <v>5893.5249999999996</v>
      </c>
      <c r="AG273" s="18">
        <f t="shared" si="63"/>
        <v>192.52499999999964</v>
      </c>
      <c r="AH273" s="19">
        <f t="shared" si="64"/>
        <v>3.3770391159445579E-2</v>
      </c>
      <c r="AI273" s="20">
        <v>13.6</v>
      </c>
      <c r="AJ273" s="20">
        <v>450</v>
      </c>
      <c r="AK273" s="20"/>
      <c r="AL273" s="20">
        <v>688</v>
      </c>
      <c r="AM273" s="20">
        <f t="shared" si="65"/>
        <v>86239.939999999988</v>
      </c>
      <c r="AN273" s="7" t="s">
        <v>176</v>
      </c>
      <c r="AO273" s="20"/>
      <c r="AP273" s="21" t="s">
        <v>465</v>
      </c>
      <c r="AQ273" s="21"/>
      <c r="AR273" s="5" t="s">
        <v>466</v>
      </c>
      <c r="AS273" s="5" t="s">
        <v>164</v>
      </c>
      <c r="AT273" s="5" t="s">
        <v>59</v>
      </c>
      <c r="AU273" s="20"/>
      <c r="AV273" s="21"/>
      <c r="AW273" s="21"/>
      <c r="AX273" s="21"/>
    </row>
    <row r="274" spans="1:50" s="55" customFormat="1">
      <c r="A274" s="86" t="s">
        <v>318</v>
      </c>
      <c r="B274" s="5">
        <v>15016325</v>
      </c>
      <c r="C274" s="5" t="s">
        <v>642</v>
      </c>
      <c r="D274" s="5" t="s">
        <v>321</v>
      </c>
      <c r="E274" s="5" t="s">
        <v>52</v>
      </c>
      <c r="F274" s="5" t="s">
        <v>62</v>
      </c>
      <c r="G274" s="5" t="s">
        <v>202</v>
      </c>
      <c r="H274" s="5" t="s">
        <v>464</v>
      </c>
      <c r="I274" s="6">
        <v>42948</v>
      </c>
      <c r="J274" s="5" t="s">
        <v>336</v>
      </c>
      <c r="K274" s="5" t="s">
        <v>511</v>
      </c>
      <c r="L274" s="5" t="s">
        <v>324</v>
      </c>
      <c r="M274" s="7">
        <v>6</v>
      </c>
      <c r="N274" s="7" t="s">
        <v>176</v>
      </c>
      <c r="O274" s="8">
        <v>4558</v>
      </c>
      <c r="P274" s="9">
        <v>0.02</v>
      </c>
      <c r="Q274" s="10">
        <f t="shared" si="53"/>
        <v>91</v>
      </c>
      <c r="R274" s="9">
        <v>5.0000000000000001E-3</v>
      </c>
      <c r="S274" s="10">
        <f t="shared" si="54"/>
        <v>23</v>
      </c>
      <c r="T274" s="9">
        <f t="shared" si="55"/>
        <v>2.5010969723562967E-2</v>
      </c>
      <c r="U274" s="10">
        <f t="shared" si="56"/>
        <v>114</v>
      </c>
      <c r="V274" s="10">
        <f t="shared" si="57"/>
        <v>4672</v>
      </c>
      <c r="W274" s="11">
        <v>4558</v>
      </c>
      <c r="X274" s="12">
        <f t="shared" si="58"/>
        <v>0</v>
      </c>
      <c r="Y274" s="13">
        <f t="shared" si="59"/>
        <v>0</v>
      </c>
      <c r="Z274" s="14" t="str">
        <f t="shared" si="60"/>
        <v>0.00%-8.40%</v>
      </c>
      <c r="AA274" s="15"/>
      <c r="AB274" s="15"/>
      <c r="AC274" s="15"/>
      <c r="AD274" s="16"/>
      <c r="AE274" s="8">
        <f t="shared" si="61"/>
        <v>0</v>
      </c>
      <c r="AF274" s="17">
        <f t="shared" si="62"/>
        <v>4558</v>
      </c>
      <c r="AG274" s="18">
        <f t="shared" si="63"/>
        <v>0</v>
      </c>
      <c r="AH274" s="19">
        <f t="shared" si="64"/>
        <v>0</v>
      </c>
      <c r="AI274" s="20">
        <v>13.6</v>
      </c>
      <c r="AJ274" s="20">
        <v>450</v>
      </c>
      <c r="AK274" s="20"/>
      <c r="AL274" s="20">
        <v>688</v>
      </c>
      <c r="AM274" s="20">
        <f t="shared" si="65"/>
        <v>68076.799999999988</v>
      </c>
      <c r="AN274" s="7" t="s">
        <v>176</v>
      </c>
      <c r="AO274" s="20" t="s">
        <v>364</v>
      </c>
      <c r="AP274" s="21" t="s">
        <v>508</v>
      </c>
      <c r="AQ274" s="21" t="s">
        <v>281</v>
      </c>
      <c r="AR274" s="5" t="s">
        <v>466</v>
      </c>
      <c r="AS274" s="5" t="s">
        <v>164</v>
      </c>
      <c r="AT274" s="5" t="s">
        <v>59</v>
      </c>
      <c r="AU274" s="20"/>
      <c r="AV274" s="21"/>
      <c r="AW274" s="21"/>
      <c r="AX274" s="21"/>
    </row>
    <row r="275" spans="1:50" s="55" customFormat="1">
      <c r="A275" s="86" t="s">
        <v>318</v>
      </c>
      <c r="B275" s="5">
        <v>15009186</v>
      </c>
      <c r="C275" s="5" t="s">
        <v>643</v>
      </c>
      <c r="D275" s="5" t="s">
        <v>321</v>
      </c>
      <c r="E275" s="5" t="s">
        <v>52</v>
      </c>
      <c r="F275" s="5" t="s">
        <v>62</v>
      </c>
      <c r="G275" s="5" t="s">
        <v>202</v>
      </c>
      <c r="H275" s="5" t="s">
        <v>464</v>
      </c>
      <c r="I275" s="6">
        <v>41259</v>
      </c>
      <c r="J275" s="5" t="s">
        <v>336</v>
      </c>
      <c r="K275" s="5" t="s">
        <v>511</v>
      </c>
      <c r="L275" s="5" t="s">
        <v>324</v>
      </c>
      <c r="M275" s="7">
        <v>6</v>
      </c>
      <c r="N275" s="7" t="s">
        <v>176</v>
      </c>
      <c r="O275" s="8">
        <v>4765</v>
      </c>
      <c r="P275" s="9">
        <v>0.02</v>
      </c>
      <c r="Q275" s="10">
        <f t="shared" si="53"/>
        <v>95</v>
      </c>
      <c r="R275" s="9">
        <v>5.0000000000000001E-3</v>
      </c>
      <c r="S275" s="10">
        <f t="shared" si="54"/>
        <v>24</v>
      </c>
      <c r="T275" s="9">
        <f t="shared" si="55"/>
        <v>2.497376705141658E-2</v>
      </c>
      <c r="U275" s="10">
        <f t="shared" si="56"/>
        <v>119</v>
      </c>
      <c r="V275" s="10">
        <f t="shared" si="57"/>
        <v>4884</v>
      </c>
      <c r="W275" s="11">
        <v>4812.6499999999996</v>
      </c>
      <c r="X275" s="12">
        <f t="shared" si="58"/>
        <v>47.649999999999636</v>
      </c>
      <c r="Y275" s="13">
        <f t="shared" si="59"/>
        <v>0.01</v>
      </c>
      <c r="Z275" s="14" t="str">
        <f t="shared" si="60"/>
        <v>0.00%-8.40%</v>
      </c>
      <c r="AA275" s="15"/>
      <c r="AB275" s="15"/>
      <c r="AC275" s="15"/>
      <c r="AD275" s="16"/>
      <c r="AE275" s="8">
        <f t="shared" si="61"/>
        <v>0</v>
      </c>
      <c r="AF275" s="17">
        <f t="shared" si="62"/>
        <v>4812.6499999999996</v>
      </c>
      <c r="AG275" s="18">
        <f t="shared" si="63"/>
        <v>47.649999999999636</v>
      </c>
      <c r="AH275" s="19">
        <f t="shared" si="64"/>
        <v>1.0000000000000009E-2</v>
      </c>
      <c r="AI275" s="20">
        <v>13.6</v>
      </c>
      <c r="AJ275" s="20">
        <v>450</v>
      </c>
      <c r="AK275" s="20"/>
      <c r="AL275" s="20">
        <v>688</v>
      </c>
      <c r="AM275" s="20">
        <f t="shared" si="65"/>
        <v>71540.039999999994</v>
      </c>
      <c r="AN275" s="7" t="s">
        <v>176</v>
      </c>
      <c r="AO275" s="20"/>
      <c r="AP275" s="21" t="s">
        <v>465</v>
      </c>
      <c r="AQ275" s="21"/>
      <c r="AR275" s="5" t="s">
        <v>466</v>
      </c>
      <c r="AS275" s="5" t="s">
        <v>164</v>
      </c>
      <c r="AT275" s="5" t="s">
        <v>59</v>
      </c>
      <c r="AU275" s="20"/>
      <c r="AV275" s="21"/>
      <c r="AW275" s="21"/>
      <c r="AX275" s="21"/>
    </row>
    <row r="276" spans="1:50" s="55" customFormat="1">
      <c r="A276" s="86" t="s">
        <v>318</v>
      </c>
      <c r="B276" s="5">
        <v>15018847</v>
      </c>
      <c r="C276" s="5" t="s">
        <v>644</v>
      </c>
      <c r="D276" s="5" t="s">
        <v>321</v>
      </c>
      <c r="E276" s="5" t="s">
        <v>52</v>
      </c>
      <c r="F276" s="5" t="s">
        <v>62</v>
      </c>
      <c r="G276" s="5" t="s">
        <v>202</v>
      </c>
      <c r="H276" s="5" t="s">
        <v>464</v>
      </c>
      <c r="I276" s="6">
        <v>43160</v>
      </c>
      <c r="J276" s="5" t="s">
        <v>336</v>
      </c>
      <c r="K276" s="5" t="s">
        <v>511</v>
      </c>
      <c r="L276" s="5" t="s">
        <v>324</v>
      </c>
      <c r="M276" s="7">
        <v>6</v>
      </c>
      <c r="N276" s="7" t="s">
        <v>176</v>
      </c>
      <c r="O276" s="8">
        <v>4639</v>
      </c>
      <c r="P276" s="9">
        <v>0.02</v>
      </c>
      <c r="Q276" s="10">
        <f t="shared" si="53"/>
        <v>93</v>
      </c>
      <c r="R276" s="9">
        <v>5.0000000000000001E-3</v>
      </c>
      <c r="S276" s="10">
        <f t="shared" si="54"/>
        <v>23</v>
      </c>
      <c r="T276" s="9">
        <f t="shared" si="55"/>
        <v>2.5005389092476828E-2</v>
      </c>
      <c r="U276" s="10">
        <f t="shared" si="56"/>
        <v>116</v>
      </c>
      <c r="V276" s="10">
        <f t="shared" si="57"/>
        <v>4755</v>
      </c>
      <c r="W276" s="11">
        <v>4754.9750000000004</v>
      </c>
      <c r="X276" s="12">
        <f t="shared" si="58"/>
        <v>115.97500000000036</v>
      </c>
      <c r="Y276" s="13">
        <f t="shared" si="59"/>
        <v>2.5000000000000001E-2</v>
      </c>
      <c r="Z276" s="14" t="str">
        <f t="shared" si="60"/>
        <v>0.00%-8.40%</v>
      </c>
      <c r="AA276" s="15"/>
      <c r="AB276" s="15"/>
      <c r="AC276" s="15"/>
      <c r="AD276" s="16"/>
      <c r="AE276" s="8">
        <f t="shared" si="61"/>
        <v>0</v>
      </c>
      <c r="AF276" s="17">
        <f t="shared" si="62"/>
        <v>4754.9750000000004</v>
      </c>
      <c r="AG276" s="18">
        <f t="shared" si="63"/>
        <v>115.97500000000036</v>
      </c>
      <c r="AH276" s="19">
        <f t="shared" si="64"/>
        <v>2.5000000000000133E-2</v>
      </c>
      <c r="AI276" s="20">
        <v>13.6</v>
      </c>
      <c r="AJ276" s="20">
        <v>450</v>
      </c>
      <c r="AK276" s="20"/>
      <c r="AL276" s="20">
        <v>688</v>
      </c>
      <c r="AM276" s="20">
        <f t="shared" si="65"/>
        <v>70755.66</v>
      </c>
      <c r="AN276" s="7" t="s">
        <v>176</v>
      </c>
      <c r="AO276" s="20"/>
      <c r="AP276" s="21" t="s">
        <v>465</v>
      </c>
      <c r="AQ276" s="21"/>
      <c r="AR276" s="5" t="s">
        <v>466</v>
      </c>
      <c r="AS276" s="5" t="s">
        <v>164</v>
      </c>
      <c r="AT276" s="5" t="s">
        <v>59</v>
      </c>
      <c r="AU276" s="20"/>
      <c r="AV276" s="21"/>
      <c r="AW276" s="21"/>
      <c r="AX276" s="21"/>
    </row>
    <row r="277" spans="1:50" s="55" customFormat="1">
      <c r="A277" s="86" t="s">
        <v>318</v>
      </c>
      <c r="B277" s="5">
        <v>15004770</v>
      </c>
      <c r="C277" s="5" t="s">
        <v>645</v>
      </c>
      <c r="D277" s="5" t="s">
        <v>321</v>
      </c>
      <c r="E277" s="5" t="s">
        <v>52</v>
      </c>
      <c r="F277" s="5" t="s">
        <v>62</v>
      </c>
      <c r="G277" s="5" t="s">
        <v>202</v>
      </c>
      <c r="H277" s="5" t="s">
        <v>464</v>
      </c>
      <c r="I277" s="6">
        <v>40634</v>
      </c>
      <c r="J277" s="5" t="s">
        <v>336</v>
      </c>
      <c r="K277" s="5" t="s">
        <v>511</v>
      </c>
      <c r="L277" s="5" t="s">
        <v>324</v>
      </c>
      <c r="M277" s="7">
        <v>6</v>
      </c>
      <c r="N277" s="7" t="s">
        <v>176</v>
      </c>
      <c r="O277" s="8">
        <v>5341</v>
      </c>
      <c r="P277" s="9">
        <v>0.02</v>
      </c>
      <c r="Q277" s="10">
        <f t="shared" si="53"/>
        <v>107</v>
      </c>
      <c r="R277" s="9">
        <v>5.0000000000000001E-3</v>
      </c>
      <c r="S277" s="10">
        <f t="shared" si="54"/>
        <v>27</v>
      </c>
      <c r="T277" s="9">
        <f t="shared" si="55"/>
        <v>2.5088934656431378E-2</v>
      </c>
      <c r="U277" s="10">
        <f t="shared" si="56"/>
        <v>134</v>
      </c>
      <c r="V277" s="10">
        <f t="shared" si="57"/>
        <v>5475</v>
      </c>
      <c r="W277" s="11">
        <v>5341</v>
      </c>
      <c r="X277" s="12">
        <f t="shared" si="58"/>
        <v>0</v>
      </c>
      <c r="Y277" s="13">
        <f t="shared" si="59"/>
        <v>0</v>
      </c>
      <c r="Z277" s="14" t="str">
        <f t="shared" si="60"/>
        <v>0.00%-8.40%</v>
      </c>
      <c r="AA277" s="15"/>
      <c r="AB277" s="15"/>
      <c r="AC277" s="15"/>
      <c r="AD277" s="16"/>
      <c r="AE277" s="8">
        <f t="shared" si="61"/>
        <v>0</v>
      </c>
      <c r="AF277" s="17">
        <f t="shared" si="62"/>
        <v>5341</v>
      </c>
      <c r="AG277" s="18">
        <f t="shared" si="63"/>
        <v>0</v>
      </c>
      <c r="AH277" s="19">
        <f t="shared" si="64"/>
        <v>0</v>
      </c>
      <c r="AI277" s="20">
        <v>13.6</v>
      </c>
      <c r="AJ277" s="20">
        <v>450</v>
      </c>
      <c r="AK277" s="20"/>
      <c r="AL277" s="20">
        <v>688</v>
      </c>
      <c r="AM277" s="20">
        <f t="shared" si="65"/>
        <v>78725.599999999991</v>
      </c>
      <c r="AN277" s="7" t="s">
        <v>176</v>
      </c>
      <c r="AO277" s="20"/>
      <c r="AP277" s="21" t="s">
        <v>97</v>
      </c>
      <c r="AQ277" s="21" t="s">
        <v>97</v>
      </c>
      <c r="AR277" s="5" t="s">
        <v>466</v>
      </c>
      <c r="AS277" s="5" t="s">
        <v>164</v>
      </c>
      <c r="AT277" s="5" t="s">
        <v>59</v>
      </c>
      <c r="AU277" s="20"/>
      <c r="AV277" s="21"/>
      <c r="AW277" s="21"/>
      <c r="AX277" s="21"/>
    </row>
    <row r="278" spans="1:50" s="55" customFormat="1">
      <c r="A278" s="86" t="s">
        <v>318</v>
      </c>
      <c r="B278" s="5">
        <v>15016688</v>
      </c>
      <c r="C278" s="5" t="s">
        <v>646</v>
      </c>
      <c r="D278" s="5" t="s">
        <v>321</v>
      </c>
      <c r="E278" s="5" t="s">
        <v>52</v>
      </c>
      <c r="F278" s="5" t="s">
        <v>62</v>
      </c>
      <c r="G278" s="5" t="s">
        <v>202</v>
      </c>
      <c r="H278" s="5" t="s">
        <v>464</v>
      </c>
      <c r="I278" s="6">
        <v>42948</v>
      </c>
      <c r="J278" s="5" t="s">
        <v>336</v>
      </c>
      <c r="K278" s="5" t="s">
        <v>511</v>
      </c>
      <c r="L278" s="5" t="s">
        <v>324</v>
      </c>
      <c r="M278" s="7">
        <v>6</v>
      </c>
      <c r="N278" s="7" t="s">
        <v>176</v>
      </c>
      <c r="O278" s="8">
        <v>5094</v>
      </c>
      <c r="P278" s="9">
        <v>0.02</v>
      </c>
      <c r="Q278" s="10">
        <f t="shared" si="53"/>
        <v>102</v>
      </c>
      <c r="R278" s="9">
        <v>5.0000000000000001E-3</v>
      </c>
      <c r="S278" s="10">
        <f t="shared" si="54"/>
        <v>25</v>
      </c>
      <c r="T278" s="9">
        <f t="shared" si="55"/>
        <v>2.4931291715744014E-2</v>
      </c>
      <c r="U278" s="10">
        <f t="shared" si="56"/>
        <v>127</v>
      </c>
      <c r="V278" s="10">
        <f t="shared" si="57"/>
        <v>5221</v>
      </c>
      <c r="W278" s="11">
        <v>5221.3500000000004</v>
      </c>
      <c r="X278" s="12">
        <f t="shared" si="58"/>
        <v>127.35000000000036</v>
      </c>
      <c r="Y278" s="13">
        <f t="shared" si="59"/>
        <v>2.5000000000000001E-2</v>
      </c>
      <c r="Z278" s="14" t="str">
        <f t="shared" si="60"/>
        <v>0.00%-8.40%</v>
      </c>
      <c r="AA278" s="15"/>
      <c r="AB278" s="15"/>
      <c r="AC278" s="15"/>
      <c r="AD278" s="16"/>
      <c r="AE278" s="8">
        <f t="shared" si="61"/>
        <v>0</v>
      </c>
      <c r="AF278" s="17">
        <f t="shared" si="62"/>
        <v>5221.3500000000004</v>
      </c>
      <c r="AG278" s="18">
        <f t="shared" si="63"/>
        <v>127.35000000000036</v>
      </c>
      <c r="AH278" s="19">
        <f t="shared" si="64"/>
        <v>2.5000000000000133E-2</v>
      </c>
      <c r="AI278" s="20">
        <v>13.6</v>
      </c>
      <c r="AJ278" s="20">
        <v>450</v>
      </c>
      <c r="AK278" s="20"/>
      <c r="AL278" s="20">
        <v>688</v>
      </c>
      <c r="AM278" s="20">
        <f t="shared" si="65"/>
        <v>77098.36</v>
      </c>
      <c r="AN278" s="7" t="s">
        <v>176</v>
      </c>
      <c r="AO278" s="20"/>
      <c r="AP278" s="21" t="s">
        <v>465</v>
      </c>
      <c r="AQ278" s="21"/>
      <c r="AR278" s="5" t="s">
        <v>466</v>
      </c>
      <c r="AS278" s="5" t="s">
        <v>164</v>
      </c>
      <c r="AT278" s="5" t="s">
        <v>59</v>
      </c>
      <c r="AU278" s="20"/>
      <c r="AV278" s="21"/>
      <c r="AW278" s="21"/>
      <c r="AX278" s="21"/>
    </row>
    <row r="279" spans="1:50" s="55" customFormat="1">
      <c r="A279" s="86" t="s">
        <v>318</v>
      </c>
      <c r="B279" s="5">
        <v>15017185</v>
      </c>
      <c r="C279" s="5" t="s">
        <v>646</v>
      </c>
      <c r="D279" s="5" t="s">
        <v>321</v>
      </c>
      <c r="E279" s="5" t="s">
        <v>52</v>
      </c>
      <c r="F279" s="5" t="s">
        <v>62</v>
      </c>
      <c r="G279" s="5" t="s">
        <v>202</v>
      </c>
      <c r="H279" s="5" t="s">
        <v>464</v>
      </c>
      <c r="I279" s="6">
        <v>42948</v>
      </c>
      <c r="J279" s="5" t="s">
        <v>336</v>
      </c>
      <c r="K279" s="5" t="s">
        <v>511</v>
      </c>
      <c r="L279" s="5" t="s">
        <v>324</v>
      </c>
      <c r="M279" s="7">
        <v>6</v>
      </c>
      <c r="N279" s="7" t="s">
        <v>176</v>
      </c>
      <c r="O279" s="8">
        <v>4616</v>
      </c>
      <c r="P279" s="9">
        <v>0.02</v>
      </c>
      <c r="Q279" s="10">
        <f t="shared" si="53"/>
        <v>92</v>
      </c>
      <c r="R279" s="9">
        <v>5.0000000000000001E-3</v>
      </c>
      <c r="S279" s="10">
        <f t="shared" si="54"/>
        <v>23</v>
      </c>
      <c r="T279" s="9">
        <f t="shared" si="55"/>
        <v>2.4913344887348355E-2</v>
      </c>
      <c r="U279" s="10">
        <f t="shared" si="56"/>
        <v>115</v>
      </c>
      <c r="V279" s="10">
        <f t="shared" si="57"/>
        <v>4731</v>
      </c>
      <c r="W279" s="11">
        <v>4731.3999999999996</v>
      </c>
      <c r="X279" s="12">
        <f t="shared" si="58"/>
        <v>115.39999999999964</v>
      </c>
      <c r="Y279" s="13">
        <f t="shared" si="59"/>
        <v>2.5000000000000001E-2</v>
      </c>
      <c r="Z279" s="14" t="str">
        <f t="shared" si="60"/>
        <v>0.00%-8.40%</v>
      </c>
      <c r="AA279" s="15"/>
      <c r="AB279" s="15"/>
      <c r="AC279" s="15"/>
      <c r="AD279" s="16"/>
      <c r="AE279" s="8">
        <f t="shared" si="61"/>
        <v>0</v>
      </c>
      <c r="AF279" s="17">
        <f t="shared" si="62"/>
        <v>4731.3999999999996</v>
      </c>
      <c r="AG279" s="18">
        <f t="shared" si="63"/>
        <v>115.39999999999964</v>
      </c>
      <c r="AH279" s="19">
        <f t="shared" si="64"/>
        <v>2.4999999999999911E-2</v>
      </c>
      <c r="AI279" s="20">
        <v>13.6</v>
      </c>
      <c r="AJ279" s="20">
        <v>450</v>
      </c>
      <c r="AK279" s="20"/>
      <c r="AL279" s="20">
        <v>688</v>
      </c>
      <c r="AM279" s="20">
        <f t="shared" si="65"/>
        <v>70435.039999999994</v>
      </c>
      <c r="AN279" s="7" t="s">
        <v>176</v>
      </c>
      <c r="AO279" s="20"/>
      <c r="AP279" s="21" t="s">
        <v>465</v>
      </c>
      <c r="AQ279" s="21"/>
      <c r="AR279" s="5" t="s">
        <v>466</v>
      </c>
      <c r="AS279" s="5" t="s">
        <v>164</v>
      </c>
      <c r="AT279" s="5" t="s">
        <v>59</v>
      </c>
      <c r="AU279" s="20"/>
      <c r="AV279" s="21"/>
      <c r="AW279" s="21"/>
      <c r="AX279" s="21"/>
    </row>
    <row r="280" spans="1:50" s="55" customFormat="1">
      <c r="A280" s="86" t="s">
        <v>318</v>
      </c>
      <c r="B280" s="5">
        <v>15003890</v>
      </c>
      <c r="C280" s="5" t="s">
        <v>647</v>
      </c>
      <c r="D280" s="5" t="s">
        <v>321</v>
      </c>
      <c r="E280" s="5" t="s">
        <v>52</v>
      </c>
      <c r="F280" s="5" t="s">
        <v>62</v>
      </c>
      <c r="G280" s="5" t="s">
        <v>202</v>
      </c>
      <c r="H280" s="5" t="s">
        <v>464</v>
      </c>
      <c r="I280" s="6">
        <v>40756</v>
      </c>
      <c r="J280" s="5" t="s">
        <v>336</v>
      </c>
      <c r="K280" s="5" t="s">
        <v>648</v>
      </c>
      <c r="L280" s="5" t="s">
        <v>324</v>
      </c>
      <c r="M280" s="7">
        <v>6</v>
      </c>
      <c r="N280" s="7" t="s">
        <v>176</v>
      </c>
      <c r="O280" s="8">
        <v>5115</v>
      </c>
      <c r="P280" s="9">
        <v>0.02</v>
      </c>
      <c r="Q280" s="10">
        <f t="shared" si="53"/>
        <v>102</v>
      </c>
      <c r="R280" s="9">
        <v>5.0000000000000001E-3</v>
      </c>
      <c r="S280" s="10">
        <f t="shared" si="54"/>
        <v>26</v>
      </c>
      <c r="T280" s="9">
        <f t="shared" si="55"/>
        <v>2.5024437927663734E-2</v>
      </c>
      <c r="U280" s="10">
        <f t="shared" si="56"/>
        <v>128</v>
      </c>
      <c r="V280" s="10">
        <f t="shared" si="57"/>
        <v>5243</v>
      </c>
      <c r="W280" s="11">
        <v>5473.05</v>
      </c>
      <c r="X280" s="12">
        <f t="shared" si="58"/>
        <v>358.05000000000018</v>
      </c>
      <c r="Y280" s="13">
        <f t="shared" si="59"/>
        <v>7.0000000000000007E-2</v>
      </c>
      <c r="Z280" s="14" t="str">
        <f t="shared" si="60"/>
        <v>0.00%-8.40%</v>
      </c>
      <c r="AA280" s="15"/>
      <c r="AB280" s="15"/>
      <c r="AC280" s="15"/>
      <c r="AD280" s="16"/>
      <c r="AE280" s="8">
        <f t="shared" si="61"/>
        <v>0</v>
      </c>
      <c r="AF280" s="17">
        <f t="shared" si="62"/>
        <v>5473.05</v>
      </c>
      <c r="AG280" s="18">
        <f t="shared" si="63"/>
        <v>358.05000000000018</v>
      </c>
      <c r="AH280" s="19">
        <f t="shared" si="64"/>
        <v>7.0000000000000062E-2</v>
      </c>
      <c r="AI280" s="20">
        <v>13.6</v>
      </c>
      <c r="AJ280" s="20">
        <v>450</v>
      </c>
      <c r="AK280" s="20"/>
      <c r="AL280" s="20">
        <v>688</v>
      </c>
      <c r="AM280" s="20">
        <f t="shared" si="65"/>
        <v>80521.48</v>
      </c>
      <c r="AN280" s="7" t="s">
        <v>176</v>
      </c>
      <c r="AO280" s="20"/>
      <c r="AP280" s="21" t="s">
        <v>465</v>
      </c>
      <c r="AQ280" s="21"/>
      <c r="AR280" s="5" t="s">
        <v>466</v>
      </c>
      <c r="AS280" s="5" t="s">
        <v>164</v>
      </c>
      <c r="AT280" s="5" t="s">
        <v>59</v>
      </c>
      <c r="AU280" s="20"/>
      <c r="AV280" s="21"/>
      <c r="AW280" s="21"/>
      <c r="AX280" s="21"/>
    </row>
    <row r="281" spans="1:50" s="55" customFormat="1">
      <c r="A281" s="86" t="s">
        <v>318</v>
      </c>
      <c r="B281" s="5">
        <v>15011281</v>
      </c>
      <c r="C281" s="5" t="s">
        <v>649</v>
      </c>
      <c r="D281" s="5" t="s">
        <v>321</v>
      </c>
      <c r="E281" s="5" t="s">
        <v>52</v>
      </c>
      <c r="F281" s="5" t="s">
        <v>62</v>
      </c>
      <c r="G281" s="5" t="s">
        <v>202</v>
      </c>
      <c r="H281" s="5" t="s">
        <v>464</v>
      </c>
      <c r="I281" s="6">
        <v>41609</v>
      </c>
      <c r="J281" s="5" t="s">
        <v>336</v>
      </c>
      <c r="K281" s="5" t="s">
        <v>511</v>
      </c>
      <c r="L281" s="5" t="s">
        <v>324</v>
      </c>
      <c r="M281" s="7">
        <v>6</v>
      </c>
      <c r="N281" s="7" t="s">
        <v>176</v>
      </c>
      <c r="O281" s="8">
        <v>5223</v>
      </c>
      <c r="P281" s="9">
        <v>0.02</v>
      </c>
      <c r="Q281" s="10">
        <f t="shared" si="53"/>
        <v>104</v>
      </c>
      <c r="R281" s="9">
        <v>5.0000000000000001E-3</v>
      </c>
      <c r="S281" s="10">
        <f t="shared" si="54"/>
        <v>26</v>
      </c>
      <c r="T281" s="9">
        <f t="shared" si="55"/>
        <v>2.488991001340226E-2</v>
      </c>
      <c r="U281" s="10">
        <f t="shared" si="56"/>
        <v>130</v>
      </c>
      <c r="V281" s="10">
        <f t="shared" si="57"/>
        <v>5353</v>
      </c>
      <c r="W281" s="11">
        <v>5484.15</v>
      </c>
      <c r="X281" s="12">
        <f t="shared" si="58"/>
        <v>261.14999999999964</v>
      </c>
      <c r="Y281" s="13">
        <f t="shared" si="59"/>
        <v>0.05</v>
      </c>
      <c r="Z281" s="14" t="str">
        <f t="shared" si="60"/>
        <v>0.00%-8.40%</v>
      </c>
      <c r="AA281" s="15"/>
      <c r="AB281" s="15"/>
      <c r="AC281" s="15"/>
      <c r="AD281" s="16"/>
      <c r="AE281" s="8">
        <f t="shared" si="61"/>
        <v>0</v>
      </c>
      <c r="AF281" s="17">
        <f t="shared" si="62"/>
        <v>5484.15</v>
      </c>
      <c r="AG281" s="18">
        <f t="shared" si="63"/>
        <v>261.14999999999964</v>
      </c>
      <c r="AH281" s="19">
        <f t="shared" si="64"/>
        <v>4.9999999999999822E-2</v>
      </c>
      <c r="AI281" s="20">
        <v>13.6</v>
      </c>
      <c r="AJ281" s="20">
        <v>500</v>
      </c>
      <c r="AK281" s="20"/>
      <c r="AL281" s="20">
        <v>688</v>
      </c>
      <c r="AM281" s="20">
        <f t="shared" si="65"/>
        <v>81272.439999999988</v>
      </c>
      <c r="AN281" s="7" t="s">
        <v>176</v>
      </c>
      <c r="AO281" s="20"/>
      <c r="AP281" s="21" t="s">
        <v>465</v>
      </c>
      <c r="AQ281" s="21"/>
      <c r="AR281" s="5" t="s">
        <v>466</v>
      </c>
      <c r="AS281" s="5" t="s">
        <v>164</v>
      </c>
      <c r="AT281" s="5" t="s">
        <v>59</v>
      </c>
      <c r="AU281" s="20"/>
      <c r="AV281" s="21"/>
      <c r="AW281" s="21"/>
      <c r="AX281" s="21"/>
    </row>
    <row r="282" spans="1:50" s="55" customFormat="1">
      <c r="A282" s="86" t="s">
        <v>318</v>
      </c>
      <c r="B282" s="5">
        <v>15012599</v>
      </c>
      <c r="C282" s="5" t="s">
        <v>650</v>
      </c>
      <c r="D282" s="5" t="s">
        <v>321</v>
      </c>
      <c r="E282" s="5" t="s">
        <v>52</v>
      </c>
      <c r="F282" s="5" t="s">
        <v>62</v>
      </c>
      <c r="G282" s="5" t="s">
        <v>202</v>
      </c>
      <c r="H282" s="5" t="s">
        <v>464</v>
      </c>
      <c r="I282" s="6">
        <v>41791</v>
      </c>
      <c r="J282" s="5" t="s">
        <v>336</v>
      </c>
      <c r="K282" s="5" t="s">
        <v>511</v>
      </c>
      <c r="L282" s="5" t="s">
        <v>324</v>
      </c>
      <c r="M282" s="7">
        <v>6</v>
      </c>
      <c r="N282" s="7" t="s">
        <v>176</v>
      </c>
      <c r="O282" s="8">
        <v>5559</v>
      </c>
      <c r="P282" s="9">
        <v>0.02</v>
      </c>
      <c r="Q282" s="10">
        <f t="shared" si="53"/>
        <v>111</v>
      </c>
      <c r="R282" s="9">
        <v>5.0000000000000001E-3</v>
      </c>
      <c r="S282" s="10">
        <f t="shared" si="54"/>
        <v>28</v>
      </c>
      <c r="T282" s="9">
        <f t="shared" si="55"/>
        <v>2.5004497211728729E-2</v>
      </c>
      <c r="U282" s="10">
        <f t="shared" si="56"/>
        <v>139</v>
      </c>
      <c r="V282" s="10">
        <f t="shared" si="57"/>
        <v>5698</v>
      </c>
      <c r="W282" s="11">
        <v>5697.9750000000004</v>
      </c>
      <c r="X282" s="12">
        <f t="shared" si="58"/>
        <v>138.97500000000036</v>
      </c>
      <c r="Y282" s="13">
        <f t="shared" si="59"/>
        <v>2.5000000000000001E-2</v>
      </c>
      <c r="Z282" s="14" t="str">
        <f t="shared" si="60"/>
        <v>0.00%-8.40%</v>
      </c>
      <c r="AA282" s="15"/>
      <c r="AB282" s="15"/>
      <c r="AC282" s="15"/>
      <c r="AD282" s="16"/>
      <c r="AE282" s="8">
        <f t="shared" si="61"/>
        <v>0</v>
      </c>
      <c r="AF282" s="17">
        <f t="shared" si="62"/>
        <v>5697.9750000000004</v>
      </c>
      <c r="AG282" s="18">
        <f t="shared" si="63"/>
        <v>138.97500000000036</v>
      </c>
      <c r="AH282" s="19">
        <f t="shared" si="64"/>
        <v>2.5000000000000133E-2</v>
      </c>
      <c r="AI282" s="20">
        <v>13.6</v>
      </c>
      <c r="AJ282" s="20">
        <v>450</v>
      </c>
      <c r="AK282" s="20"/>
      <c r="AL282" s="20">
        <v>688</v>
      </c>
      <c r="AM282" s="20">
        <f t="shared" si="65"/>
        <v>83580.460000000006</v>
      </c>
      <c r="AN282" s="7" t="s">
        <v>176</v>
      </c>
      <c r="AO282" s="20"/>
      <c r="AP282" s="21" t="s">
        <v>465</v>
      </c>
      <c r="AQ282" s="21"/>
      <c r="AR282" s="5" t="s">
        <v>466</v>
      </c>
      <c r="AS282" s="5" t="s">
        <v>164</v>
      </c>
      <c r="AT282" s="5" t="s">
        <v>59</v>
      </c>
      <c r="AU282" s="20"/>
      <c r="AV282" s="21"/>
      <c r="AW282" s="21"/>
      <c r="AX282" s="21"/>
    </row>
    <row r="283" spans="1:50" s="55" customFormat="1">
      <c r="A283" s="86" t="s">
        <v>318</v>
      </c>
      <c r="B283" s="5">
        <v>15010911</v>
      </c>
      <c r="C283" s="5" t="s">
        <v>651</v>
      </c>
      <c r="D283" s="5" t="s">
        <v>321</v>
      </c>
      <c r="E283" s="5" t="s">
        <v>52</v>
      </c>
      <c r="F283" s="5" t="s">
        <v>62</v>
      </c>
      <c r="G283" s="5" t="s">
        <v>202</v>
      </c>
      <c r="H283" s="5" t="s">
        <v>464</v>
      </c>
      <c r="I283" s="6">
        <v>41548</v>
      </c>
      <c r="J283" s="5" t="s">
        <v>336</v>
      </c>
      <c r="K283" s="5" t="s">
        <v>548</v>
      </c>
      <c r="L283" s="5" t="s">
        <v>324</v>
      </c>
      <c r="M283" s="7">
        <v>6</v>
      </c>
      <c r="N283" s="7" t="s">
        <v>176</v>
      </c>
      <c r="O283" s="8">
        <v>5006</v>
      </c>
      <c r="P283" s="9">
        <v>0.02</v>
      </c>
      <c r="Q283" s="10">
        <f t="shared" si="53"/>
        <v>100</v>
      </c>
      <c r="R283" s="9">
        <v>5.0000000000000001E-3</v>
      </c>
      <c r="S283" s="10">
        <f t="shared" si="54"/>
        <v>25</v>
      </c>
      <c r="T283" s="9">
        <f t="shared" si="55"/>
        <v>2.4970035956851776E-2</v>
      </c>
      <c r="U283" s="10">
        <f t="shared" si="56"/>
        <v>125</v>
      </c>
      <c r="V283" s="10">
        <f t="shared" si="57"/>
        <v>5131</v>
      </c>
      <c r="W283" s="11">
        <v>5131.1499999999996</v>
      </c>
      <c r="X283" s="12">
        <f t="shared" si="58"/>
        <v>125.14999999999964</v>
      </c>
      <c r="Y283" s="13">
        <f t="shared" si="59"/>
        <v>2.5000000000000001E-2</v>
      </c>
      <c r="Z283" s="14" t="str">
        <f t="shared" si="60"/>
        <v>0.00%-8.40%</v>
      </c>
      <c r="AA283" s="15"/>
      <c r="AB283" s="15"/>
      <c r="AC283" s="15"/>
      <c r="AD283" s="16"/>
      <c r="AE283" s="8">
        <f t="shared" si="61"/>
        <v>0</v>
      </c>
      <c r="AF283" s="17">
        <f t="shared" si="62"/>
        <v>5131.1499999999996</v>
      </c>
      <c r="AG283" s="18">
        <f t="shared" si="63"/>
        <v>125.14999999999964</v>
      </c>
      <c r="AH283" s="19">
        <f t="shared" si="64"/>
        <v>2.4999999999999911E-2</v>
      </c>
      <c r="AI283" s="20">
        <v>13.6</v>
      </c>
      <c r="AJ283" s="20">
        <v>450</v>
      </c>
      <c r="AK283" s="20"/>
      <c r="AL283" s="20">
        <v>688</v>
      </c>
      <c r="AM283" s="20">
        <f t="shared" si="65"/>
        <v>75871.64</v>
      </c>
      <c r="AN283" s="7" t="s">
        <v>176</v>
      </c>
      <c r="AO283" s="20"/>
      <c r="AP283" s="21" t="s">
        <v>465</v>
      </c>
      <c r="AQ283" s="21"/>
      <c r="AR283" s="5" t="s">
        <v>466</v>
      </c>
      <c r="AS283" s="5" t="s">
        <v>164</v>
      </c>
      <c r="AT283" s="5" t="s">
        <v>59</v>
      </c>
      <c r="AU283" s="20"/>
      <c r="AV283" s="21"/>
      <c r="AW283" s="21"/>
      <c r="AX283" s="21"/>
    </row>
    <row r="284" spans="1:50" s="55" customFormat="1">
      <c r="A284" s="86" t="s">
        <v>318</v>
      </c>
      <c r="B284" s="5">
        <v>15006219</v>
      </c>
      <c r="C284" s="5" t="s">
        <v>652</v>
      </c>
      <c r="D284" s="5" t="s">
        <v>321</v>
      </c>
      <c r="E284" s="5" t="s">
        <v>52</v>
      </c>
      <c r="F284" s="5" t="s">
        <v>62</v>
      </c>
      <c r="G284" s="5" t="s">
        <v>202</v>
      </c>
      <c r="H284" s="5" t="s">
        <v>464</v>
      </c>
      <c r="I284" s="6">
        <v>40909</v>
      </c>
      <c r="J284" s="5" t="s">
        <v>336</v>
      </c>
      <c r="K284" s="5" t="s">
        <v>511</v>
      </c>
      <c r="L284" s="5" t="s">
        <v>324</v>
      </c>
      <c r="M284" s="7">
        <v>6</v>
      </c>
      <c r="N284" s="7" t="s">
        <v>176</v>
      </c>
      <c r="O284" s="8">
        <v>4811</v>
      </c>
      <c r="P284" s="9">
        <v>0.02</v>
      </c>
      <c r="Q284" s="10">
        <f t="shared" si="53"/>
        <v>96</v>
      </c>
      <c r="R284" s="9">
        <v>5.0000000000000001E-3</v>
      </c>
      <c r="S284" s="10">
        <f t="shared" si="54"/>
        <v>24</v>
      </c>
      <c r="T284" s="9">
        <f t="shared" si="55"/>
        <v>2.4942839326543339E-2</v>
      </c>
      <c r="U284" s="10">
        <f t="shared" si="56"/>
        <v>120</v>
      </c>
      <c r="V284" s="10">
        <f t="shared" si="57"/>
        <v>4931</v>
      </c>
      <c r="W284" s="11">
        <v>4931.2749999999996</v>
      </c>
      <c r="X284" s="12">
        <f t="shared" si="58"/>
        <v>120.27499999999964</v>
      </c>
      <c r="Y284" s="13">
        <f t="shared" si="59"/>
        <v>2.5000000000000001E-2</v>
      </c>
      <c r="Z284" s="14" t="str">
        <f t="shared" si="60"/>
        <v>0.00%-8.40%</v>
      </c>
      <c r="AA284" s="15"/>
      <c r="AB284" s="15"/>
      <c r="AC284" s="15"/>
      <c r="AD284" s="16"/>
      <c r="AE284" s="8">
        <f t="shared" si="61"/>
        <v>0</v>
      </c>
      <c r="AF284" s="17">
        <f t="shared" si="62"/>
        <v>4931.2749999999996</v>
      </c>
      <c r="AG284" s="18">
        <f t="shared" si="63"/>
        <v>120.27499999999964</v>
      </c>
      <c r="AH284" s="19">
        <f t="shared" si="64"/>
        <v>2.4999999999999911E-2</v>
      </c>
      <c r="AI284" s="20">
        <v>13.6</v>
      </c>
      <c r="AJ284" s="20">
        <v>500</v>
      </c>
      <c r="AK284" s="20"/>
      <c r="AL284" s="20">
        <v>688</v>
      </c>
      <c r="AM284" s="20">
        <f t="shared" si="65"/>
        <v>73753.34</v>
      </c>
      <c r="AN284" s="7" t="s">
        <v>176</v>
      </c>
      <c r="AO284" s="20"/>
      <c r="AP284" s="21" t="s">
        <v>465</v>
      </c>
      <c r="AQ284" s="21"/>
      <c r="AR284" s="5" t="s">
        <v>466</v>
      </c>
      <c r="AS284" s="5" t="s">
        <v>164</v>
      </c>
      <c r="AT284" s="5" t="s">
        <v>59</v>
      </c>
      <c r="AU284" s="20"/>
      <c r="AV284" s="21"/>
      <c r="AW284" s="21"/>
      <c r="AX284" s="21"/>
    </row>
    <row r="285" spans="1:50" s="55" customFormat="1">
      <c r="A285" s="86" t="s">
        <v>318</v>
      </c>
      <c r="B285" s="5">
        <v>15018593</v>
      </c>
      <c r="C285" s="5" t="s">
        <v>653</v>
      </c>
      <c r="D285" s="5" t="s">
        <v>321</v>
      </c>
      <c r="E285" s="5" t="s">
        <v>52</v>
      </c>
      <c r="F285" s="5" t="s">
        <v>62</v>
      </c>
      <c r="G285" s="5" t="s">
        <v>202</v>
      </c>
      <c r="H285" s="5" t="s">
        <v>464</v>
      </c>
      <c r="I285" s="6">
        <v>43252</v>
      </c>
      <c r="J285" s="5" t="s">
        <v>336</v>
      </c>
      <c r="K285" s="5" t="s">
        <v>511</v>
      </c>
      <c r="L285" s="5" t="s">
        <v>324</v>
      </c>
      <c r="M285" s="7">
        <v>6</v>
      </c>
      <c r="N285" s="7" t="s">
        <v>176</v>
      </c>
      <c r="O285" s="8">
        <v>4975</v>
      </c>
      <c r="P285" s="9">
        <v>0.02</v>
      </c>
      <c r="Q285" s="10">
        <f t="shared" si="53"/>
        <v>100</v>
      </c>
      <c r="R285" s="9">
        <v>5.0000000000000001E-3</v>
      </c>
      <c r="S285" s="10">
        <f t="shared" si="54"/>
        <v>25</v>
      </c>
      <c r="T285" s="9">
        <f t="shared" si="55"/>
        <v>2.5125628140703519E-2</v>
      </c>
      <c r="U285" s="10">
        <f t="shared" si="56"/>
        <v>125</v>
      </c>
      <c r="V285" s="10">
        <f t="shared" si="57"/>
        <v>5100</v>
      </c>
      <c r="W285" s="11">
        <v>4975</v>
      </c>
      <c r="X285" s="12">
        <f t="shared" si="58"/>
        <v>0</v>
      </c>
      <c r="Y285" s="13">
        <f t="shared" si="59"/>
        <v>0</v>
      </c>
      <c r="Z285" s="14" t="str">
        <f t="shared" si="60"/>
        <v>0.00%-8.40%</v>
      </c>
      <c r="AA285" s="15"/>
      <c r="AB285" s="15"/>
      <c r="AC285" s="15"/>
      <c r="AD285" s="16"/>
      <c r="AE285" s="8">
        <f t="shared" si="61"/>
        <v>0</v>
      </c>
      <c r="AF285" s="17">
        <f t="shared" si="62"/>
        <v>4975</v>
      </c>
      <c r="AG285" s="18">
        <f t="shared" si="63"/>
        <v>0</v>
      </c>
      <c r="AH285" s="19">
        <f t="shared" si="64"/>
        <v>0</v>
      </c>
      <c r="AI285" s="20">
        <v>13.6</v>
      </c>
      <c r="AJ285" s="20">
        <v>450</v>
      </c>
      <c r="AK285" s="20"/>
      <c r="AL285" s="20">
        <v>688</v>
      </c>
      <c r="AM285" s="20">
        <f t="shared" si="65"/>
        <v>73748</v>
      </c>
      <c r="AN285" s="7" t="s">
        <v>176</v>
      </c>
      <c r="AO285" s="20"/>
      <c r="AP285" s="21" t="s">
        <v>487</v>
      </c>
      <c r="AQ285" s="21" t="s">
        <v>496</v>
      </c>
      <c r="AR285" s="5" t="s">
        <v>466</v>
      </c>
      <c r="AS285" s="5" t="s">
        <v>164</v>
      </c>
      <c r="AT285" s="5" t="s">
        <v>59</v>
      </c>
      <c r="AU285" s="20"/>
      <c r="AV285" s="21"/>
      <c r="AW285" s="21"/>
      <c r="AX285" s="21"/>
    </row>
    <row r="286" spans="1:50" s="55" customFormat="1">
      <c r="A286" s="86" t="s">
        <v>318</v>
      </c>
      <c r="B286" s="5">
        <v>15003667</v>
      </c>
      <c r="C286" s="5" t="s">
        <v>654</v>
      </c>
      <c r="D286" s="5" t="s">
        <v>321</v>
      </c>
      <c r="E286" s="5" t="s">
        <v>52</v>
      </c>
      <c r="F286" s="5" t="s">
        <v>62</v>
      </c>
      <c r="G286" s="5" t="s">
        <v>202</v>
      </c>
      <c r="H286" s="5" t="s">
        <v>464</v>
      </c>
      <c r="I286" s="6">
        <v>40360</v>
      </c>
      <c r="J286" s="5" t="s">
        <v>336</v>
      </c>
      <c r="K286" s="5" t="s">
        <v>511</v>
      </c>
      <c r="L286" s="5" t="s">
        <v>324</v>
      </c>
      <c r="M286" s="7">
        <v>6</v>
      </c>
      <c r="N286" s="7" t="s">
        <v>176</v>
      </c>
      <c r="O286" s="8">
        <v>5727</v>
      </c>
      <c r="P286" s="9">
        <v>0.02</v>
      </c>
      <c r="Q286" s="10">
        <f t="shared" si="53"/>
        <v>115</v>
      </c>
      <c r="R286" s="9">
        <v>5.0000000000000001E-3</v>
      </c>
      <c r="S286" s="10">
        <f t="shared" si="54"/>
        <v>29</v>
      </c>
      <c r="T286" s="9">
        <f t="shared" si="55"/>
        <v>2.5144054478784705E-2</v>
      </c>
      <c r="U286" s="10">
        <f t="shared" si="56"/>
        <v>144</v>
      </c>
      <c r="V286" s="10">
        <f t="shared" si="57"/>
        <v>5871</v>
      </c>
      <c r="W286" s="11">
        <v>5870.1750000000002</v>
      </c>
      <c r="X286" s="12">
        <f t="shared" si="58"/>
        <v>143.17500000000018</v>
      </c>
      <c r="Y286" s="13">
        <f t="shared" si="59"/>
        <v>2.5000000000000001E-2</v>
      </c>
      <c r="Z286" s="14" t="str">
        <f t="shared" si="60"/>
        <v>0.00%-8.40%</v>
      </c>
      <c r="AA286" s="15" t="s">
        <v>87</v>
      </c>
      <c r="AB286" s="15" t="s">
        <v>655</v>
      </c>
      <c r="AC286" s="15"/>
      <c r="AD286" s="16">
        <v>0.06</v>
      </c>
      <c r="AE286" s="8">
        <f t="shared" si="61"/>
        <v>344</v>
      </c>
      <c r="AF286" s="17">
        <f t="shared" si="62"/>
        <v>6214.1750000000002</v>
      </c>
      <c r="AG286" s="18">
        <f t="shared" si="63"/>
        <v>487.17500000000018</v>
      </c>
      <c r="AH286" s="19">
        <f t="shared" si="64"/>
        <v>8.5066352365985809E-2</v>
      </c>
      <c r="AI286" s="20">
        <v>13.6</v>
      </c>
      <c r="AJ286" s="20">
        <v>450</v>
      </c>
      <c r="AK286" s="20"/>
      <c r="AL286" s="20">
        <v>688</v>
      </c>
      <c r="AM286" s="20">
        <f t="shared" si="65"/>
        <v>90600.78</v>
      </c>
      <c r="AN286" s="7" t="s">
        <v>176</v>
      </c>
      <c r="AO286" s="20"/>
      <c r="AP286" s="21" t="s">
        <v>656</v>
      </c>
      <c r="AQ286" s="21" t="s">
        <v>179</v>
      </c>
      <c r="AR286" s="5" t="s">
        <v>466</v>
      </c>
      <c r="AS286" s="5" t="s">
        <v>164</v>
      </c>
      <c r="AT286" s="5" t="s">
        <v>59</v>
      </c>
      <c r="AU286" s="20"/>
      <c r="AV286" s="21"/>
      <c r="AW286" s="21"/>
      <c r="AX286" s="21"/>
    </row>
    <row r="287" spans="1:50" s="55" customFormat="1">
      <c r="A287" s="86" t="s">
        <v>318</v>
      </c>
      <c r="B287" s="5">
        <v>15016439</v>
      </c>
      <c r="C287" s="5" t="s">
        <v>657</v>
      </c>
      <c r="D287" s="5" t="s">
        <v>321</v>
      </c>
      <c r="E287" s="5" t="s">
        <v>52</v>
      </c>
      <c r="F287" s="5" t="s">
        <v>62</v>
      </c>
      <c r="G287" s="5" t="s">
        <v>202</v>
      </c>
      <c r="H287" s="5" t="s">
        <v>464</v>
      </c>
      <c r="I287" s="6">
        <v>42917</v>
      </c>
      <c r="J287" s="5" t="s">
        <v>336</v>
      </c>
      <c r="K287" s="5" t="s">
        <v>511</v>
      </c>
      <c r="L287" s="5" t="s">
        <v>324</v>
      </c>
      <c r="M287" s="7">
        <v>6</v>
      </c>
      <c r="N287" s="7" t="s">
        <v>176</v>
      </c>
      <c r="O287" s="8">
        <v>4673</v>
      </c>
      <c r="P287" s="9">
        <v>0.02</v>
      </c>
      <c r="Q287" s="10">
        <f t="shared" si="53"/>
        <v>93</v>
      </c>
      <c r="R287" s="9">
        <v>5.0000000000000001E-3</v>
      </c>
      <c r="S287" s="10">
        <f t="shared" si="54"/>
        <v>23</v>
      </c>
      <c r="T287" s="9">
        <f t="shared" si="55"/>
        <v>2.4823453884014551E-2</v>
      </c>
      <c r="U287" s="10">
        <f t="shared" si="56"/>
        <v>116</v>
      </c>
      <c r="V287" s="10">
        <f t="shared" si="57"/>
        <v>4789</v>
      </c>
      <c r="W287" s="11">
        <v>4696.3649999999998</v>
      </c>
      <c r="X287" s="12">
        <f t="shared" si="58"/>
        <v>23.364999999999782</v>
      </c>
      <c r="Y287" s="13">
        <f t="shared" si="59"/>
        <v>5.0000000000000001E-3</v>
      </c>
      <c r="Z287" s="14" t="str">
        <f t="shared" si="60"/>
        <v>0.00%-8.40%</v>
      </c>
      <c r="AA287" s="15"/>
      <c r="AB287" s="15"/>
      <c r="AC287" s="15"/>
      <c r="AD287" s="16"/>
      <c r="AE287" s="8">
        <f t="shared" si="61"/>
        <v>0</v>
      </c>
      <c r="AF287" s="17">
        <f t="shared" si="62"/>
        <v>4696.3649999999998</v>
      </c>
      <c r="AG287" s="18">
        <f t="shared" si="63"/>
        <v>23.364999999999782</v>
      </c>
      <c r="AH287" s="19">
        <f t="shared" si="64"/>
        <v>4.9999999999998934E-3</v>
      </c>
      <c r="AI287" s="20">
        <v>13.6</v>
      </c>
      <c r="AJ287" s="20">
        <v>450</v>
      </c>
      <c r="AK287" s="20"/>
      <c r="AL287" s="20">
        <v>688</v>
      </c>
      <c r="AM287" s="20">
        <f t="shared" si="65"/>
        <v>69958.563999999998</v>
      </c>
      <c r="AN287" s="7" t="s">
        <v>176</v>
      </c>
      <c r="AO287" s="20"/>
      <c r="AP287" s="21" t="s">
        <v>513</v>
      </c>
      <c r="AQ287" s="21"/>
      <c r="AR287" s="5" t="s">
        <v>466</v>
      </c>
      <c r="AS287" s="5" t="s">
        <v>164</v>
      </c>
      <c r="AT287" s="5" t="s">
        <v>59</v>
      </c>
      <c r="AU287" s="20"/>
      <c r="AV287" s="21"/>
      <c r="AW287" s="21"/>
      <c r="AX287" s="21"/>
    </row>
    <row r="288" spans="1:50" s="55" customFormat="1">
      <c r="A288" s="86" t="s">
        <v>318</v>
      </c>
      <c r="B288" s="5">
        <v>15018857</v>
      </c>
      <c r="C288" s="5" t="s">
        <v>658</v>
      </c>
      <c r="D288" s="5" t="s">
        <v>321</v>
      </c>
      <c r="E288" s="5" t="s">
        <v>52</v>
      </c>
      <c r="F288" s="5" t="s">
        <v>62</v>
      </c>
      <c r="G288" s="5" t="s">
        <v>202</v>
      </c>
      <c r="H288" s="5" t="s">
        <v>464</v>
      </c>
      <c r="I288" s="6">
        <v>43166</v>
      </c>
      <c r="J288" s="5" t="s">
        <v>336</v>
      </c>
      <c r="K288" s="5" t="s">
        <v>511</v>
      </c>
      <c r="L288" s="5" t="s">
        <v>324</v>
      </c>
      <c r="M288" s="7">
        <v>6</v>
      </c>
      <c r="N288" s="7" t="s">
        <v>176</v>
      </c>
      <c r="O288" s="8">
        <v>5225</v>
      </c>
      <c r="P288" s="9">
        <v>0.02</v>
      </c>
      <c r="Q288" s="10">
        <f t="shared" si="53"/>
        <v>105</v>
      </c>
      <c r="R288" s="9">
        <v>5.0000000000000001E-3</v>
      </c>
      <c r="S288" s="10">
        <f t="shared" si="54"/>
        <v>26</v>
      </c>
      <c r="T288" s="9">
        <f t="shared" si="55"/>
        <v>2.5071770334928231E-2</v>
      </c>
      <c r="U288" s="10">
        <f t="shared" si="56"/>
        <v>131</v>
      </c>
      <c r="V288" s="10">
        <f t="shared" si="57"/>
        <v>5356</v>
      </c>
      <c r="W288" s="11">
        <v>5486.25</v>
      </c>
      <c r="X288" s="12">
        <f t="shared" si="58"/>
        <v>261.25</v>
      </c>
      <c r="Y288" s="13">
        <f t="shared" si="59"/>
        <v>0.05</v>
      </c>
      <c r="Z288" s="14" t="str">
        <f t="shared" si="60"/>
        <v>0.00%-8.40%</v>
      </c>
      <c r="AA288" s="15"/>
      <c r="AB288" s="15"/>
      <c r="AC288" s="15"/>
      <c r="AD288" s="16"/>
      <c r="AE288" s="8">
        <f t="shared" si="61"/>
        <v>0</v>
      </c>
      <c r="AF288" s="17">
        <f t="shared" si="62"/>
        <v>5486.25</v>
      </c>
      <c r="AG288" s="18">
        <f t="shared" si="63"/>
        <v>261.25</v>
      </c>
      <c r="AH288" s="19">
        <f t="shared" si="64"/>
        <v>5.0000000000000044E-2</v>
      </c>
      <c r="AI288" s="20">
        <v>13.6</v>
      </c>
      <c r="AJ288" s="20">
        <v>450</v>
      </c>
      <c r="AK288" s="20"/>
      <c r="AL288" s="20">
        <v>688</v>
      </c>
      <c r="AM288" s="20">
        <f t="shared" si="65"/>
        <v>80701</v>
      </c>
      <c r="AN288" s="7" t="s">
        <v>176</v>
      </c>
      <c r="AO288" s="20"/>
      <c r="AP288" s="21" t="s">
        <v>525</v>
      </c>
      <c r="AQ288" s="21"/>
      <c r="AR288" s="5" t="s">
        <v>466</v>
      </c>
      <c r="AS288" s="5" t="s">
        <v>164</v>
      </c>
      <c r="AT288" s="5" t="s">
        <v>59</v>
      </c>
      <c r="AU288" s="20"/>
      <c r="AV288" s="21"/>
      <c r="AW288" s="21"/>
      <c r="AX288" s="21"/>
    </row>
    <row r="289" spans="1:50" s="55" customFormat="1">
      <c r="A289" s="86" t="s">
        <v>318</v>
      </c>
      <c r="B289" s="5">
        <v>15005081</v>
      </c>
      <c r="C289" s="5" t="s">
        <v>659</v>
      </c>
      <c r="D289" s="5" t="s">
        <v>321</v>
      </c>
      <c r="E289" s="5" t="s">
        <v>52</v>
      </c>
      <c r="F289" s="5" t="s">
        <v>62</v>
      </c>
      <c r="G289" s="5" t="s">
        <v>202</v>
      </c>
      <c r="H289" s="5" t="s">
        <v>464</v>
      </c>
      <c r="I289" s="6">
        <v>40725</v>
      </c>
      <c r="J289" s="5" t="s">
        <v>336</v>
      </c>
      <c r="K289" s="5" t="s">
        <v>511</v>
      </c>
      <c r="L289" s="5" t="s">
        <v>324</v>
      </c>
      <c r="M289" s="7">
        <v>6</v>
      </c>
      <c r="N289" s="7" t="s">
        <v>176</v>
      </c>
      <c r="O289" s="8">
        <v>4868</v>
      </c>
      <c r="P289" s="9">
        <v>0.02</v>
      </c>
      <c r="Q289" s="10">
        <f t="shared" si="53"/>
        <v>97</v>
      </c>
      <c r="R289" s="9">
        <v>5.0000000000000001E-3</v>
      </c>
      <c r="S289" s="10">
        <f t="shared" si="54"/>
        <v>24</v>
      </c>
      <c r="T289" s="9">
        <f t="shared" si="55"/>
        <v>2.4856203779786361E-2</v>
      </c>
      <c r="U289" s="10">
        <f t="shared" si="56"/>
        <v>121</v>
      </c>
      <c r="V289" s="10">
        <f t="shared" si="57"/>
        <v>4989</v>
      </c>
      <c r="W289" s="11">
        <v>4892.34</v>
      </c>
      <c r="X289" s="12">
        <f t="shared" si="58"/>
        <v>24.340000000000146</v>
      </c>
      <c r="Y289" s="13">
        <f t="shared" si="59"/>
        <v>5.0000000000000001E-3</v>
      </c>
      <c r="Z289" s="14" t="str">
        <f t="shared" si="60"/>
        <v>0.00%-8.40%</v>
      </c>
      <c r="AA289" s="15"/>
      <c r="AB289" s="15"/>
      <c r="AC289" s="15"/>
      <c r="AD289" s="16"/>
      <c r="AE289" s="8">
        <f t="shared" si="61"/>
        <v>0</v>
      </c>
      <c r="AF289" s="17">
        <f t="shared" si="62"/>
        <v>4892.34</v>
      </c>
      <c r="AG289" s="18">
        <f t="shared" si="63"/>
        <v>24.340000000000146</v>
      </c>
      <c r="AH289" s="19">
        <f t="shared" si="64"/>
        <v>5.0000000000001155E-3</v>
      </c>
      <c r="AI289" s="20">
        <v>13.6</v>
      </c>
      <c r="AJ289" s="20">
        <v>450</v>
      </c>
      <c r="AK289" s="20"/>
      <c r="AL289" s="20">
        <v>688</v>
      </c>
      <c r="AM289" s="20">
        <f t="shared" si="65"/>
        <v>72623.823999999993</v>
      </c>
      <c r="AN289" s="7" t="s">
        <v>176</v>
      </c>
      <c r="AO289" s="20"/>
      <c r="AP289" s="21" t="s">
        <v>513</v>
      </c>
      <c r="AQ289" s="21"/>
      <c r="AR289" s="5" t="s">
        <v>466</v>
      </c>
      <c r="AS289" s="5" t="s">
        <v>164</v>
      </c>
      <c r="AT289" s="5" t="s">
        <v>59</v>
      </c>
      <c r="AU289" s="20"/>
      <c r="AV289" s="21"/>
      <c r="AW289" s="21"/>
      <c r="AX289" s="21"/>
    </row>
    <row r="290" spans="1:50" s="55" customFormat="1">
      <c r="A290" s="86" t="s">
        <v>318</v>
      </c>
      <c r="B290" s="5">
        <v>15009043</v>
      </c>
      <c r="C290" s="5" t="s">
        <v>660</v>
      </c>
      <c r="D290" s="5" t="s">
        <v>321</v>
      </c>
      <c r="E290" s="5" t="s">
        <v>52</v>
      </c>
      <c r="F290" s="5" t="s">
        <v>62</v>
      </c>
      <c r="G290" s="5" t="s">
        <v>202</v>
      </c>
      <c r="H290" s="5" t="s">
        <v>464</v>
      </c>
      <c r="I290" s="6">
        <v>41456</v>
      </c>
      <c r="J290" s="5" t="s">
        <v>336</v>
      </c>
      <c r="K290" s="5" t="s">
        <v>511</v>
      </c>
      <c r="L290" s="5" t="s">
        <v>324</v>
      </c>
      <c r="M290" s="7">
        <v>6</v>
      </c>
      <c r="N290" s="7" t="s">
        <v>176</v>
      </c>
      <c r="O290" s="8">
        <v>5007</v>
      </c>
      <c r="P290" s="9">
        <v>0.02</v>
      </c>
      <c r="Q290" s="10">
        <f t="shared" si="53"/>
        <v>100</v>
      </c>
      <c r="R290" s="9">
        <v>5.0000000000000001E-3</v>
      </c>
      <c r="S290" s="10">
        <f t="shared" si="54"/>
        <v>25</v>
      </c>
      <c r="T290" s="9">
        <f t="shared" si="55"/>
        <v>2.4965048931495905E-2</v>
      </c>
      <c r="U290" s="10">
        <f t="shared" si="56"/>
        <v>125</v>
      </c>
      <c r="V290" s="10">
        <f t="shared" si="57"/>
        <v>5132</v>
      </c>
      <c r="W290" s="11">
        <v>5007</v>
      </c>
      <c r="X290" s="12">
        <f t="shared" si="58"/>
        <v>0</v>
      </c>
      <c r="Y290" s="13">
        <f t="shared" si="59"/>
        <v>0</v>
      </c>
      <c r="Z290" s="14" t="str">
        <f t="shared" si="60"/>
        <v>0.00%-8.40%</v>
      </c>
      <c r="AA290" s="15"/>
      <c r="AB290" s="15"/>
      <c r="AC290" s="15"/>
      <c r="AD290" s="16"/>
      <c r="AE290" s="8">
        <f t="shared" si="61"/>
        <v>0</v>
      </c>
      <c r="AF290" s="17">
        <f t="shared" si="62"/>
        <v>5007</v>
      </c>
      <c r="AG290" s="18">
        <f t="shared" si="63"/>
        <v>0</v>
      </c>
      <c r="AH290" s="19">
        <f t="shared" si="64"/>
        <v>0</v>
      </c>
      <c r="AI290" s="20">
        <v>13.6</v>
      </c>
      <c r="AJ290" s="20">
        <v>450</v>
      </c>
      <c r="AK290" s="20"/>
      <c r="AL290" s="20">
        <v>688</v>
      </c>
      <c r="AM290" s="20">
        <f t="shared" si="65"/>
        <v>74183.199999999997</v>
      </c>
      <c r="AN290" s="7" t="s">
        <v>176</v>
      </c>
      <c r="AO290" s="20"/>
      <c r="AP290" s="21" t="s">
        <v>97</v>
      </c>
      <c r="AQ290" s="21" t="s">
        <v>97</v>
      </c>
      <c r="AR290" s="5" t="s">
        <v>466</v>
      </c>
      <c r="AS290" s="5" t="s">
        <v>164</v>
      </c>
      <c r="AT290" s="5" t="s">
        <v>59</v>
      </c>
      <c r="AU290" s="20"/>
      <c r="AV290" s="21"/>
      <c r="AW290" s="21"/>
      <c r="AX290" s="21"/>
    </row>
    <row r="291" spans="1:50" s="55" customFormat="1">
      <c r="A291" s="86" t="s">
        <v>318</v>
      </c>
      <c r="B291" s="5">
        <v>15016621</v>
      </c>
      <c r="C291" s="5" t="s">
        <v>661</v>
      </c>
      <c r="D291" s="5" t="s">
        <v>321</v>
      </c>
      <c r="E291" s="5" t="s">
        <v>52</v>
      </c>
      <c r="F291" s="5" t="s">
        <v>62</v>
      </c>
      <c r="G291" s="5" t="s">
        <v>202</v>
      </c>
      <c r="H291" s="5" t="s">
        <v>464</v>
      </c>
      <c r="I291" s="6">
        <v>42917</v>
      </c>
      <c r="J291" s="5" t="s">
        <v>336</v>
      </c>
      <c r="K291" s="5" t="s">
        <v>511</v>
      </c>
      <c r="L291" s="5" t="s">
        <v>324</v>
      </c>
      <c r="M291" s="7">
        <v>6</v>
      </c>
      <c r="N291" s="7" t="s">
        <v>176</v>
      </c>
      <c r="O291" s="8">
        <v>4591</v>
      </c>
      <c r="P291" s="9">
        <v>0.02</v>
      </c>
      <c r="Q291" s="10">
        <f t="shared" si="53"/>
        <v>92</v>
      </c>
      <c r="R291" s="9">
        <v>5.0000000000000001E-3</v>
      </c>
      <c r="S291" s="10">
        <f t="shared" si="54"/>
        <v>23</v>
      </c>
      <c r="T291" s="9">
        <f t="shared" si="55"/>
        <v>2.5049008930516228E-2</v>
      </c>
      <c r="U291" s="10">
        <f t="shared" si="56"/>
        <v>115</v>
      </c>
      <c r="V291" s="10">
        <f t="shared" si="57"/>
        <v>4706</v>
      </c>
      <c r="W291" s="11">
        <v>4591</v>
      </c>
      <c r="X291" s="12">
        <f t="shared" si="58"/>
        <v>0</v>
      </c>
      <c r="Y291" s="13">
        <f t="shared" si="59"/>
        <v>0</v>
      </c>
      <c r="Z291" s="14" t="str">
        <f t="shared" si="60"/>
        <v>0.00%-8.40%</v>
      </c>
      <c r="AA291" s="15"/>
      <c r="AB291" s="15"/>
      <c r="AC291" s="15"/>
      <c r="AD291" s="16"/>
      <c r="AE291" s="8">
        <f t="shared" si="61"/>
        <v>0</v>
      </c>
      <c r="AF291" s="17">
        <f t="shared" si="62"/>
        <v>4591</v>
      </c>
      <c r="AG291" s="18">
        <f t="shared" si="63"/>
        <v>0</v>
      </c>
      <c r="AH291" s="19">
        <f t="shared" si="64"/>
        <v>0</v>
      </c>
      <c r="AI291" s="20">
        <v>13.6</v>
      </c>
      <c r="AJ291" s="20">
        <v>450</v>
      </c>
      <c r="AK291" s="20"/>
      <c r="AL291" s="20">
        <v>688</v>
      </c>
      <c r="AM291" s="20">
        <f t="shared" si="65"/>
        <v>68525.600000000006</v>
      </c>
      <c r="AN291" s="7" t="s">
        <v>176</v>
      </c>
      <c r="AO291" s="20" t="s">
        <v>364</v>
      </c>
      <c r="AP291" s="21" t="s">
        <v>508</v>
      </c>
      <c r="AQ291" s="21" t="s">
        <v>281</v>
      </c>
      <c r="AR291" s="5" t="s">
        <v>466</v>
      </c>
      <c r="AS291" s="5" t="s">
        <v>164</v>
      </c>
      <c r="AT291" s="5" t="s">
        <v>59</v>
      </c>
      <c r="AU291" s="20"/>
      <c r="AV291" s="21"/>
      <c r="AW291" s="21"/>
      <c r="AX291" s="21"/>
    </row>
    <row r="292" spans="1:50" s="55" customFormat="1">
      <c r="A292" s="86" t="s">
        <v>318</v>
      </c>
      <c r="B292" s="5">
        <v>15018438</v>
      </c>
      <c r="C292" s="5" t="s">
        <v>662</v>
      </c>
      <c r="D292" s="5" t="s">
        <v>321</v>
      </c>
      <c r="E292" s="5" t="s">
        <v>52</v>
      </c>
      <c r="F292" s="5" t="s">
        <v>62</v>
      </c>
      <c r="G292" s="5" t="s">
        <v>202</v>
      </c>
      <c r="H292" s="5" t="s">
        <v>464</v>
      </c>
      <c r="I292" s="6">
        <v>43221</v>
      </c>
      <c r="J292" s="5" t="s">
        <v>336</v>
      </c>
      <c r="K292" s="5" t="s">
        <v>511</v>
      </c>
      <c r="L292" s="5" t="s">
        <v>324</v>
      </c>
      <c r="M292" s="7">
        <v>6</v>
      </c>
      <c r="N292" s="7" t="s">
        <v>176</v>
      </c>
      <c r="O292" s="8">
        <v>4796</v>
      </c>
      <c r="P292" s="9">
        <v>0.02</v>
      </c>
      <c r="Q292" s="10">
        <f t="shared" si="53"/>
        <v>96</v>
      </c>
      <c r="R292" s="9">
        <v>5.0000000000000001E-3</v>
      </c>
      <c r="S292" s="10">
        <f t="shared" si="54"/>
        <v>24</v>
      </c>
      <c r="T292" s="9">
        <f t="shared" si="55"/>
        <v>2.5020850708924104E-2</v>
      </c>
      <c r="U292" s="10">
        <f t="shared" si="56"/>
        <v>120</v>
      </c>
      <c r="V292" s="10">
        <f t="shared" si="57"/>
        <v>4916</v>
      </c>
      <c r="W292" s="11">
        <v>4915.8999999999996</v>
      </c>
      <c r="X292" s="12">
        <f t="shared" si="58"/>
        <v>119.89999999999964</v>
      </c>
      <c r="Y292" s="13">
        <f t="shared" si="59"/>
        <v>2.5000000000000001E-2</v>
      </c>
      <c r="Z292" s="14" t="str">
        <f t="shared" si="60"/>
        <v>0.00%-8.40%</v>
      </c>
      <c r="AA292" s="15"/>
      <c r="AB292" s="15"/>
      <c r="AC292" s="15"/>
      <c r="AD292" s="16"/>
      <c r="AE292" s="8">
        <f t="shared" si="61"/>
        <v>0</v>
      </c>
      <c r="AF292" s="17">
        <f t="shared" si="62"/>
        <v>4915.8999999999996</v>
      </c>
      <c r="AG292" s="18">
        <f t="shared" si="63"/>
        <v>119.89999999999964</v>
      </c>
      <c r="AH292" s="19">
        <f t="shared" si="64"/>
        <v>2.4999999999999911E-2</v>
      </c>
      <c r="AI292" s="20">
        <v>13.6</v>
      </c>
      <c r="AJ292" s="20">
        <v>450</v>
      </c>
      <c r="AK292" s="20"/>
      <c r="AL292" s="20">
        <v>688</v>
      </c>
      <c r="AM292" s="20">
        <f t="shared" si="65"/>
        <v>72944.239999999991</v>
      </c>
      <c r="AN292" s="7" t="s">
        <v>176</v>
      </c>
      <c r="AO292" s="20"/>
      <c r="AP292" s="21" t="s">
        <v>465</v>
      </c>
      <c r="AQ292" s="21"/>
      <c r="AR292" s="5" t="s">
        <v>466</v>
      </c>
      <c r="AS292" s="5" t="s">
        <v>164</v>
      </c>
      <c r="AT292" s="5" t="s">
        <v>59</v>
      </c>
      <c r="AU292" s="20"/>
      <c r="AV292" s="21"/>
      <c r="AW292" s="21"/>
      <c r="AX292" s="21"/>
    </row>
    <row r="293" spans="1:50" s="55" customFormat="1">
      <c r="A293" s="86" t="s">
        <v>318</v>
      </c>
      <c r="B293" s="5">
        <v>15014826</v>
      </c>
      <c r="C293" s="5" t="s">
        <v>663</v>
      </c>
      <c r="D293" s="5" t="s">
        <v>321</v>
      </c>
      <c r="E293" s="5" t="s">
        <v>52</v>
      </c>
      <c r="F293" s="5" t="s">
        <v>62</v>
      </c>
      <c r="G293" s="5" t="s">
        <v>202</v>
      </c>
      <c r="H293" s="5" t="s">
        <v>464</v>
      </c>
      <c r="I293" s="6">
        <v>42339</v>
      </c>
      <c r="J293" s="5" t="s">
        <v>336</v>
      </c>
      <c r="K293" s="5" t="s">
        <v>511</v>
      </c>
      <c r="L293" s="5" t="s">
        <v>324</v>
      </c>
      <c r="M293" s="7">
        <v>6</v>
      </c>
      <c r="N293" s="7" t="s">
        <v>176</v>
      </c>
      <c r="O293" s="8">
        <v>4860</v>
      </c>
      <c r="P293" s="9">
        <v>0.02</v>
      </c>
      <c r="Q293" s="10">
        <f t="shared" si="53"/>
        <v>97</v>
      </c>
      <c r="R293" s="9">
        <v>5.0000000000000001E-3</v>
      </c>
      <c r="S293" s="10">
        <f t="shared" si="54"/>
        <v>24</v>
      </c>
      <c r="T293" s="9">
        <f t="shared" si="55"/>
        <v>2.4897119341563786E-2</v>
      </c>
      <c r="U293" s="10">
        <f t="shared" si="56"/>
        <v>121</v>
      </c>
      <c r="V293" s="10">
        <f t="shared" si="57"/>
        <v>4981</v>
      </c>
      <c r="W293" s="11">
        <v>4981.5</v>
      </c>
      <c r="X293" s="12">
        <f t="shared" si="58"/>
        <v>121.5</v>
      </c>
      <c r="Y293" s="13">
        <f t="shared" si="59"/>
        <v>2.5000000000000001E-2</v>
      </c>
      <c r="Z293" s="14" t="str">
        <f t="shared" si="60"/>
        <v>0.00%-8.40%</v>
      </c>
      <c r="AA293" s="15"/>
      <c r="AB293" s="15"/>
      <c r="AC293" s="15"/>
      <c r="AD293" s="16"/>
      <c r="AE293" s="8">
        <f t="shared" si="61"/>
        <v>0</v>
      </c>
      <c r="AF293" s="17">
        <f t="shared" si="62"/>
        <v>4981.5</v>
      </c>
      <c r="AG293" s="18">
        <f t="shared" si="63"/>
        <v>121.5</v>
      </c>
      <c r="AH293" s="19">
        <f t="shared" si="64"/>
        <v>2.4999999999999911E-2</v>
      </c>
      <c r="AI293" s="20">
        <v>13.6</v>
      </c>
      <c r="AJ293" s="20">
        <v>450</v>
      </c>
      <c r="AK293" s="20"/>
      <c r="AL293" s="20">
        <v>688</v>
      </c>
      <c r="AM293" s="20">
        <f t="shared" si="65"/>
        <v>73836.399999999994</v>
      </c>
      <c r="AN293" s="7" t="s">
        <v>176</v>
      </c>
      <c r="AO293" s="20"/>
      <c r="AP293" s="21" t="s">
        <v>465</v>
      </c>
      <c r="AQ293" s="21"/>
      <c r="AR293" s="5" t="s">
        <v>466</v>
      </c>
      <c r="AS293" s="5" t="s">
        <v>164</v>
      </c>
      <c r="AT293" s="5" t="s">
        <v>59</v>
      </c>
      <c r="AU293" s="20"/>
      <c r="AV293" s="21"/>
      <c r="AW293" s="21"/>
      <c r="AX293" s="21"/>
    </row>
    <row r="294" spans="1:50" s="55" customFormat="1">
      <c r="A294" s="86" t="s">
        <v>318</v>
      </c>
      <c r="B294" s="5">
        <v>15016471</v>
      </c>
      <c r="C294" s="5" t="s">
        <v>664</v>
      </c>
      <c r="D294" s="5" t="s">
        <v>321</v>
      </c>
      <c r="E294" s="5" t="s">
        <v>52</v>
      </c>
      <c r="F294" s="5" t="s">
        <v>62</v>
      </c>
      <c r="G294" s="5" t="s">
        <v>202</v>
      </c>
      <c r="H294" s="5" t="s">
        <v>464</v>
      </c>
      <c r="I294" s="6">
        <v>42887</v>
      </c>
      <c r="J294" s="5" t="s">
        <v>336</v>
      </c>
      <c r="K294" s="5" t="s">
        <v>511</v>
      </c>
      <c r="L294" s="5" t="s">
        <v>324</v>
      </c>
      <c r="M294" s="7">
        <v>6</v>
      </c>
      <c r="N294" s="7" t="s">
        <v>176</v>
      </c>
      <c r="O294" s="8">
        <v>4650</v>
      </c>
      <c r="P294" s="9">
        <v>0.02</v>
      </c>
      <c r="Q294" s="10">
        <f t="shared" si="53"/>
        <v>93</v>
      </c>
      <c r="R294" s="9">
        <v>5.0000000000000001E-3</v>
      </c>
      <c r="S294" s="10">
        <f t="shared" si="54"/>
        <v>23</v>
      </c>
      <c r="T294" s="9">
        <f t="shared" si="55"/>
        <v>2.4946236559139787E-2</v>
      </c>
      <c r="U294" s="10">
        <f t="shared" si="56"/>
        <v>116</v>
      </c>
      <c r="V294" s="10">
        <f t="shared" si="57"/>
        <v>4766</v>
      </c>
      <c r="W294" s="11">
        <v>4650</v>
      </c>
      <c r="X294" s="12">
        <f t="shared" si="58"/>
        <v>0</v>
      </c>
      <c r="Y294" s="13">
        <f t="shared" si="59"/>
        <v>0</v>
      </c>
      <c r="Z294" s="14" t="str">
        <f t="shared" si="60"/>
        <v>0.00%-8.40%</v>
      </c>
      <c r="AA294" s="15"/>
      <c r="AB294" s="15"/>
      <c r="AC294" s="15"/>
      <c r="AD294" s="16"/>
      <c r="AE294" s="8">
        <f t="shared" si="61"/>
        <v>0</v>
      </c>
      <c r="AF294" s="17">
        <f t="shared" si="62"/>
        <v>4650</v>
      </c>
      <c r="AG294" s="18">
        <f t="shared" si="63"/>
        <v>0</v>
      </c>
      <c r="AH294" s="19">
        <f t="shared" si="64"/>
        <v>0</v>
      </c>
      <c r="AI294" s="20">
        <v>13.6</v>
      </c>
      <c r="AJ294" s="20">
        <v>450</v>
      </c>
      <c r="AK294" s="20"/>
      <c r="AL294" s="20">
        <v>688</v>
      </c>
      <c r="AM294" s="20">
        <f t="shared" si="65"/>
        <v>69328</v>
      </c>
      <c r="AN294" s="7" t="s">
        <v>176</v>
      </c>
      <c r="AO294" s="20"/>
      <c r="AP294" s="21" t="s">
        <v>487</v>
      </c>
      <c r="AQ294" s="21" t="s">
        <v>496</v>
      </c>
      <c r="AR294" s="5" t="s">
        <v>466</v>
      </c>
      <c r="AS294" s="5" t="s">
        <v>164</v>
      </c>
      <c r="AT294" s="5" t="s">
        <v>59</v>
      </c>
      <c r="AU294" s="20"/>
      <c r="AV294" s="21"/>
      <c r="AW294" s="21"/>
      <c r="AX294" s="21"/>
    </row>
    <row r="295" spans="1:50" s="55" customFormat="1">
      <c r="A295" s="86" t="s">
        <v>318</v>
      </c>
      <c r="B295" s="5">
        <v>15015980</v>
      </c>
      <c r="C295" s="5" t="s">
        <v>665</v>
      </c>
      <c r="D295" s="5" t="s">
        <v>321</v>
      </c>
      <c r="E295" s="5" t="s">
        <v>52</v>
      </c>
      <c r="F295" s="5" t="s">
        <v>62</v>
      </c>
      <c r="G295" s="5" t="s">
        <v>202</v>
      </c>
      <c r="H295" s="5" t="s">
        <v>464</v>
      </c>
      <c r="I295" s="6">
        <v>42767</v>
      </c>
      <c r="J295" s="5" t="s">
        <v>336</v>
      </c>
      <c r="K295" s="5" t="s">
        <v>511</v>
      </c>
      <c r="L295" s="5" t="s">
        <v>324</v>
      </c>
      <c r="M295" s="7">
        <v>6</v>
      </c>
      <c r="N295" s="7" t="s">
        <v>176</v>
      </c>
      <c r="O295" s="8">
        <v>5554</v>
      </c>
      <c r="P295" s="9">
        <v>0.02</v>
      </c>
      <c r="Q295" s="10">
        <f t="shared" si="53"/>
        <v>111</v>
      </c>
      <c r="R295" s="9">
        <v>5.0000000000000001E-3</v>
      </c>
      <c r="S295" s="10">
        <f t="shared" si="54"/>
        <v>28</v>
      </c>
      <c r="T295" s="9">
        <f t="shared" si="55"/>
        <v>2.5027007562117391E-2</v>
      </c>
      <c r="U295" s="10">
        <f t="shared" si="56"/>
        <v>139</v>
      </c>
      <c r="V295" s="10">
        <f t="shared" si="57"/>
        <v>5693</v>
      </c>
      <c r="W295" s="11">
        <v>5554</v>
      </c>
      <c r="X295" s="12">
        <f t="shared" si="58"/>
        <v>0</v>
      </c>
      <c r="Y295" s="13">
        <f t="shared" si="59"/>
        <v>0</v>
      </c>
      <c r="Z295" s="14" t="str">
        <f t="shared" si="60"/>
        <v>0.00%-8.40%</v>
      </c>
      <c r="AA295" s="15"/>
      <c r="AB295" s="15"/>
      <c r="AC295" s="15"/>
      <c r="AD295" s="16"/>
      <c r="AE295" s="8">
        <f t="shared" si="61"/>
        <v>0</v>
      </c>
      <c r="AF295" s="17">
        <f t="shared" si="62"/>
        <v>5554</v>
      </c>
      <c r="AG295" s="18">
        <f t="shared" si="63"/>
        <v>0</v>
      </c>
      <c r="AH295" s="19">
        <f t="shared" si="64"/>
        <v>0</v>
      </c>
      <c r="AI295" s="20">
        <v>13.6</v>
      </c>
      <c r="AJ295" s="20">
        <v>450</v>
      </c>
      <c r="AK295" s="20"/>
      <c r="AL295" s="20">
        <v>688</v>
      </c>
      <c r="AM295" s="20">
        <f t="shared" si="65"/>
        <v>81622.399999999994</v>
      </c>
      <c r="AN295" s="7" t="s">
        <v>176</v>
      </c>
      <c r="AO295" s="20"/>
      <c r="AP295" s="21" t="s">
        <v>97</v>
      </c>
      <c r="AQ295" s="21" t="s">
        <v>97</v>
      </c>
      <c r="AR295" s="5" t="s">
        <v>466</v>
      </c>
      <c r="AS295" s="5" t="s">
        <v>164</v>
      </c>
      <c r="AT295" s="5" t="s">
        <v>59</v>
      </c>
      <c r="AU295" s="20"/>
      <c r="AV295" s="21"/>
      <c r="AW295" s="21"/>
      <c r="AX295" s="21"/>
    </row>
    <row r="296" spans="1:50" s="55" customFormat="1">
      <c r="A296" s="86" t="s">
        <v>318</v>
      </c>
      <c r="B296" s="5">
        <v>15009181</v>
      </c>
      <c r="C296" s="5" t="s">
        <v>666</v>
      </c>
      <c r="D296" s="5" t="s">
        <v>321</v>
      </c>
      <c r="E296" s="5" t="s">
        <v>52</v>
      </c>
      <c r="F296" s="5" t="s">
        <v>62</v>
      </c>
      <c r="G296" s="5" t="s">
        <v>202</v>
      </c>
      <c r="H296" s="5" t="s">
        <v>464</v>
      </c>
      <c r="I296" s="6">
        <v>41259</v>
      </c>
      <c r="J296" s="5" t="s">
        <v>336</v>
      </c>
      <c r="K296" s="5" t="s">
        <v>511</v>
      </c>
      <c r="L296" s="5" t="s">
        <v>324</v>
      </c>
      <c r="M296" s="7">
        <v>6</v>
      </c>
      <c r="N296" s="7" t="s">
        <v>176</v>
      </c>
      <c r="O296" s="8">
        <v>5154</v>
      </c>
      <c r="P296" s="9">
        <v>0.02</v>
      </c>
      <c r="Q296" s="10">
        <f t="shared" si="53"/>
        <v>103</v>
      </c>
      <c r="R296" s="9">
        <v>5.0000000000000001E-3</v>
      </c>
      <c r="S296" s="10">
        <f t="shared" si="54"/>
        <v>26</v>
      </c>
      <c r="T296" s="9">
        <f t="shared" si="55"/>
        <v>2.5029103608847497E-2</v>
      </c>
      <c r="U296" s="10">
        <f t="shared" si="56"/>
        <v>129</v>
      </c>
      <c r="V296" s="10">
        <f t="shared" si="57"/>
        <v>5283</v>
      </c>
      <c r="W296" s="11">
        <v>5282.85</v>
      </c>
      <c r="X296" s="12">
        <f t="shared" si="58"/>
        <v>128.85000000000036</v>
      </c>
      <c r="Y296" s="13">
        <f t="shared" si="59"/>
        <v>2.5000000000000001E-2</v>
      </c>
      <c r="Z296" s="14" t="str">
        <f t="shared" si="60"/>
        <v>0.00%-8.40%</v>
      </c>
      <c r="AA296" s="15"/>
      <c r="AB296" s="15"/>
      <c r="AC296" s="15"/>
      <c r="AD296" s="16"/>
      <c r="AE296" s="8">
        <f t="shared" si="61"/>
        <v>0</v>
      </c>
      <c r="AF296" s="17">
        <f t="shared" si="62"/>
        <v>5282.85</v>
      </c>
      <c r="AG296" s="18">
        <f t="shared" si="63"/>
        <v>128.85000000000036</v>
      </c>
      <c r="AH296" s="19">
        <f t="shared" si="64"/>
        <v>2.5000000000000133E-2</v>
      </c>
      <c r="AI296" s="20">
        <v>13.6</v>
      </c>
      <c r="AJ296" s="20">
        <v>500</v>
      </c>
      <c r="AK296" s="20"/>
      <c r="AL296" s="20">
        <v>688</v>
      </c>
      <c r="AM296" s="20">
        <f t="shared" si="65"/>
        <v>78534.760000000009</v>
      </c>
      <c r="AN296" s="7" t="s">
        <v>176</v>
      </c>
      <c r="AO296" s="20"/>
      <c r="AP296" s="21" t="s">
        <v>465</v>
      </c>
      <c r="AQ296" s="21"/>
      <c r="AR296" s="5" t="s">
        <v>466</v>
      </c>
      <c r="AS296" s="5" t="s">
        <v>164</v>
      </c>
      <c r="AT296" s="5" t="s">
        <v>59</v>
      </c>
      <c r="AU296" s="20"/>
      <c r="AV296" s="21"/>
      <c r="AW296" s="21"/>
      <c r="AX296" s="21"/>
    </row>
    <row r="297" spans="1:50" s="55" customFormat="1">
      <c r="A297" s="86" t="s">
        <v>318</v>
      </c>
      <c r="B297" s="5">
        <v>15006015</v>
      </c>
      <c r="C297" s="5" t="s">
        <v>667</v>
      </c>
      <c r="D297" s="5" t="s">
        <v>321</v>
      </c>
      <c r="E297" s="5" t="s">
        <v>52</v>
      </c>
      <c r="F297" s="5" t="s">
        <v>62</v>
      </c>
      <c r="G297" s="5" t="s">
        <v>202</v>
      </c>
      <c r="H297" s="5" t="s">
        <v>464</v>
      </c>
      <c r="I297" s="6">
        <v>40848</v>
      </c>
      <c r="J297" s="5" t="s">
        <v>336</v>
      </c>
      <c r="K297" s="5" t="s">
        <v>511</v>
      </c>
      <c r="L297" s="5" t="s">
        <v>324</v>
      </c>
      <c r="M297" s="7">
        <v>6</v>
      </c>
      <c r="N297" s="7" t="s">
        <v>176</v>
      </c>
      <c r="O297" s="8">
        <v>4913</v>
      </c>
      <c r="P297" s="9">
        <v>0.02</v>
      </c>
      <c r="Q297" s="10">
        <f t="shared" si="53"/>
        <v>98</v>
      </c>
      <c r="R297" s="9">
        <v>5.0000000000000001E-3</v>
      </c>
      <c r="S297" s="10">
        <f t="shared" si="54"/>
        <v>25</v>
      </c>
      <c r="T297" s="9">
        <f t="shared" si="55"/>
        <v>2.5035619784245879E-2</v>
      </c>
      <c r="U297" s="10">
        <f t="shared" si="56"/>
        <v>123</v>
      </c>
      <c r="V297" s="10">
        <f t="shared" si="57"/>
        <v>5036</v>
      </c>
      <c r="W297" s="11">
        <v>5035.8249999999998</v>
      </c>
      <c r="X297" s="12">
        <f t="shared" si="58"/>
        <v>122.82499999999982</v>
      </c>
      <c r="Y297" s="13">
        <f t="shared" si="59"/>
        <v>2.5000000000000001E-2</v>
      </c>
      <c r="Z297" s="14" t="str">
        <f t="shared" si="60"/>
        <v>0.00%-8.40%</v>
      </c>
      <c r="AA297" s="15"/>
      <c r="AB297" s="15"/>
      <c r="AC297" s="15"/>
      <c r="AD297" s="16"/>
      <c r="AE297" s="8">
        <f t="shared" si="61"/>
        <v>0</v>
      </c>
      <c r="AF297" s="17">
        <f t="shared" si="62"/>
        <v>5035.8249999999998</v>
      </c>
      <c r="AG297" s="18">
        <f t="shared" si="63"/>
        <v>122.82499999999982</v>
      </c>
      <c r="AH297" s="19">
        <f t="shared" si="64"/>
        <v>2.4999999999999911E-2</v>
      </c>
      <c r="AI297" s="20">
        <v>13.6</v>
      </c>
      <c r="AJ297" s="20">
        <v>500</v>
      </c>
      <c r="AK297" s="20"/>
      <c r="AL297" s="20">
        <v>688</v>
      </c>
      <c r="AM297" s="20">
        <f t="shared" si="65"/>
        <v>75175.22</v>
      </c>
      <c r="AN297" s="7" t="s">
        <v>176</v>
      </c>
      <c r="AO297" s="20"/>
      <c r="AP297" s="21" t="s">
        <v>465</v>
      </c>
      <c r="AQ297" s="21"/>
      <c r="AR297" s="5" t="s">
        <v>466</v>
      </c>
      <c r="AS297" s="5" t="s">
        <v>164</v>
      </c>
      <c r="AT297" s="5" t="s">
        <v>59</v>
      </c>
      <c r="AU297" s="20"/>
      <c r="AV297" s="21"/>
      <c r="AW297" s="21"/>
      <c r="AX297" s="21"/>
    </row>
    <row r="298" spans="1:50" s="55" customFormat="1">
      <c r="A298" s="86" t="s">
        <v>318</v>
      </c>
      <c r="B298" s="5">
        <v>15016541</v>
      </c>
      <c r="C298" s="5" t="s">
        <v>668</v>
      </c>
      <c r="D298" s="5" t="s">
        <v>321</v>
      </c>
      <c r="E298" s="5" t="s">
        <v>52</v>
      </c>
      <c r="F298" s="5" t="s">
        <v>62</v>
      </c>
      <c r="G298" s="5" t="s">
        <v>202</v>
      </c>
      <c r="H298" s="5" t="s">
        <v>464</v>
      </c>
      <c r="I298" s="6">
        <v>42917</v>
      </c>
      <c r="J298" s="5" t="s">
        <v>336</v>
      </c>
      <c r="K298" s="5" t="s">
        <v>511</v>
      </c>
      <c r="L298" s="5" t="s">
        <v>324</v>
      </c>
      <c r="M298" s="7">
        <v>6</v>
      </c>
      <c r="N298" s="7" t="s">
        <v>176</v>
      </c>
      <c r="O298" s="8">
        <v>5088</v>
      </c>
      <c r="P298" s="9">
        <v>0.02</v>
      </c>
      <c r="Q298" s="10">
        <f t="shared" si="53"/>
        <v>102</v>
      </c>
      <c r="R298" s="9">
        <v>5.0000000000000001E-3</v>
      </c>
      <c r="S298" s="10">
        <f t="shared" si="54"/>
        <v>25</v>
      </c>
      <c r="T298" s="9">
        <f t="shared" si="55"/>
        <v>2.4960691823899372E-2</v>
      </c>
      <c r="U298" s="10">
        <f t="shared" si="56"/>
        <v>127</v>
      </c>
      <c r="V298" s="10">
        <f t="shared" si="57"/>
        <v>5215</v>
      </c>
      <c r="W298" s="11">
        <v>5215.2</v>
      </c>
      <c r="X298" s="12">
        <f t="shared" si="58"/>
        <v>127.19999999999982</v>
      </c>
      <c r="Y298" s="13">
        <f t="shared" si="59"/>
        <v>2.5000000000000001E-2</v>
      </c>
      <c r="Z298" s="14" t="str">
        <f t="shared" si="60"/>
        <v>0.00%-8.40%</v>
      </c>
      <c r="AA298" s="15"/>
      <c r="AB298" s="15"/>
      <c r="AC298" s="15"/>
      <c r="AD298" s="16"/>
      <c r="AE298" s="8">
        <f t="shared" si="61"/>
        <v>0</v>
      </c>
      <c r="AF298" s="17">
        <f t="shared" si="62"/>
        <v>5215.2</v>
      </c>
      <c r="AG298" s="18">
        <f t="shared" si="63"/>
        <v>127.19999999999982</v>
      </c>
      <c r="AH298" s="19">
        <f t="shared" si="64"/>
        <v>2.4999999999999911E-2</v>
      </c>
      <c r="AI298" s="20">
        <v>13.6</v>
      </c>
      <c r="AJ298" s="20">
        <v>450</v>
      </c>
      <c r="AK298" s="20"/>
      <c r="AL298" s="20">
        <v>688</v>
      </c>
      <c r="AM298" s="20">
        <f t="shared" si="65"/>
        <v>77014.720000000001</v>
      </c>
      <c r="AN298" s="7" t="s">
        <v>176</v>
      </c>
      <c r="AO298" s="20"/>
      <c r="AP298" s="21" t="s">
        <v>465</v>
      </c>
      <c r="AQ298" s="21"/>
      <c r="AR298" s="5" t="s">
        <v>466</v>
      </c>
      <c r="AS298" s="5" t="s">
        <v>164</v>
      </c>
      <c r="AT298" s="5" t="s">
        <v>59</v>
      </c>
      <c r="AU298" s="20"/>
      <c r="AV298" s="21"/>
      <c r="AW298" s="21"/>
      <c r="AX298" s="21"/>
    </row>
    <row r="299" spans="1:50" s="55" customFormat="1">
      <c r="A299" s="86" t="s">
        <v>318</v>
      </c>
      <c r="B299" s="5">
        <v>15011226</v>
      </c>
      <c r="C299" s="5" t="s">
        <v>669</v>
      </c>
      <c r="D299" s="5" t="s">
        <v>321</v>
      </c>
      <c r="E299" s="5" t="s">
        <v>52</v>
      </c>
      <c r="F299" s="5" t="s">
        <v>62</v>
      </c>
      <c r="G299" s="5" t="s">
        <v>202</v>
      </c>
      <c r="H299" s="5" t="s">
        <v>464</v>
      </c>
      <c r="I299" s="6">
        <v>41548</v>
      </c>
      <c r="J299" s="5" t="s">
        <v>336</v>
      </c>
      <c r="K299" s="5" t="s">
        <v>511</v>
      </c>
      <c r="L299" s="5" t="s">
        <v>324</v>
      </c>
      <c r="M299" s="7">
        <v>6</v>
      </c>
      <c r="N299" s="7" t="s">
        <v>176</v>
      </c>
      <c r="O299" s="8">
        <v>4418</v>
      </c>
      <c r="P299" s="9">
        <v>0.02</v>
      </c>
      <c r="Q299" s="10">
        <f t="shared" si="53"/>
        <v>88</v>
      </c>
      <c r="R299" s="9">
        <v>5.0000000000000001E-3</v>
      </c>
      <c r="S299" s="10">
        <f t="shared" si="54"/>
        <v>22</v>
      </c>
      <c r="T299" s="9">
        <f t="shared" si="55"/>
        <v>2.489814395654142E-2</v>
      </c>
      <c r="U299" s="10">
        <f t="shared" si="56"/>
        <v>110</v>
      </c>
      <c r="V299" s="10">
        <f t="shared" si="57"/>
        <v>4528</v>
      </c>
      <c r="W299" s="11">
        <v>4528.45</v>
      </c>
      <c r="X299" s="12">
        <f t="shared" si="58"/>
        <v>110.44999999999982</v>
      </c>
      <c r="Y299" s="13">
        <f t="shared" si="59"/>
        <v>2.5000000000000001E-2</v>
      </c>
      <c r="Z299" s="14" t="str">
        <f t="shared" si="60"/>
        <v>0.00%-8.40%</v>
      </c>
      <c r="AA299" s="15"/>
      <c r="AB299" s="15"/>
      <c r="AC299" s="15"/>
      <c r="AD299" s="16"/>
      <c r="AE299" s="8">
        <f t="shared" si="61"/>
        <v>0</v>
      </c>
      <c r="AF299" s="17">
        <f t="shared" si="62"/>
        <v>4528.45</v>
      </c>
      <c r="AG299" s="18">
        <f t="shared" si="63"/>
        <v>110.44999999999982</v>
      </c>
      <c r="AH299" s="19">
        <f t="shared" si="64"/>
        <v>2.4999999999999911E-2</v>
      </c>
      <c r="AI299" s="20">
        <v>13.6</v>
      </c>
      <c r="AJ299" s="20">
        <v>450</v>
      </c>
      <c r="AK299" s="20"/>
      <c r="AL299" s="20">
        <v>688</v>
      </c>
      <c r="AM299" s="20">
        <f t="shared" si="65"/>
        <v>67674.92</v>
      </c>
      <c r="AN299" s="7" t="s">
        <v>176</v>
      </c>
      <c r="AO299" s="20"/>
      <c r="AP299" s="21" t="s">
        <v>465</v>
      </c>
      <c r="AQ299" s="21"/>
      <c r="AR299" s="5" t="s">
        <v>466</v>
      </c>
      <c r="AS299" s="5" t="s">
        <v>164</v>
      </c>
      <c r="AT299" s="5" t="s">
        <v>59</v>
      </c>
      <c r="AU299" s="20"/>
      <c r="AV299" s="21"/>
      <c r="AW299" s="21"/>
      <c r="AX299" s="21"/>
    </row>
    <row r="300" spans="1:50" s="55" customFormat="1">
      <c r="A300" s="86" t="s">
        <v>318</v>
      </c>
      <c r="B300" s="5">
        <v>15005729</v>
      </c>
      <c r="C300" s="5" t="s">
        <v>670</v>
      </c>
      <c r="D300" s="5" t="s">
        <v>321</v>
      </c>
      <c r="E300" s="5" t="s">
        <v>52</v>
      </c>
      <c r="F300" s="5" t="s">
        <v>62</v>
      </c>
      <c r="G300" s="5" t="s">
        <v>202</v>
      </c>
      <c r="H300" s="5" t="s">
        <v>464</v>
      </c>
      <c r="I300" s="6">
        <v>40817</v>
      </c>
      <c r="J300" s="5" t="s">
        <v>336</v>
      </c>
      <c r="K300" s="5" t="s">
        <v>511</v>
      </c>
      <c r="L300" s="5" t="s">
        <v>324</v>
      </c>
      <c r="M300" s="7">
        <v>6</v>
      </c>
      <c r="N300" s="7" t="s">
        <v>176</v>
      </c>
      <c r="O300" s="8">
        <v>5079</v>
      </c>
      <c r="P300" s="9">
        <v>0.02</v>
      </c>
      <c r="Q300" s="10">
        <f t="shared" si="53"/>
        <v>102</v>
      </c>
      <c r="R300" s="9">
        <v>5.0000000000000001E-3</v>
      </c>
      <c r="S300" s="10">
        <f t="shared" si="54"/>
        <v>25</v>
      </c>
      <c r="T300" s="9">
        <f t="shared" si="55"/>
        <v>2.5004922228785195E-2</v>
      </c>
      <c r="U300" s="10">
        <f t="shared" si="56"/>
        <v>127</v>
      </c>
      <c r="V300" s="10">
        <f t="shared" si="57"/>
        <v>5206</v>
      </c>
      <c r="W300" s="11">
        <v>5205.9750000000004</v>
      </c>
      <c r="X300" s="12">
        <f t="shared" si="58"/>
        <v>126.97500000000036</v>
      </c>
      <c r="Y300" s="13">
        <f t="shared" si="59"/>
        <v>2.5000000000000001E-2</v>
      </c>
      <c r="Z300" s="14" t="str">
        <f t="shared" si="60"/>
        <v>0.00%-8.40%</v>
      </c>
      <c r="AA300" s="15"/>
      <c r="AB300" s="15"/>
      <c r="AC300" s="15"/>
      <c r="AD300" s="16"/>
      <c r="AE300" s="8">
        <f t="shared" si="61"/>
        <v>0</v>
      </c>
      <c r="AF300" s="17">
        <f t="shared" si="62"/>
        <v>5205.9750000000004</v>
      </c>
      <c r="AG300" s="18">
        <f t="shared" si="63"/>
        <v>126.97500000000036</v>
      </c>
      <c r="AH300" s="19">
        <f t="shared" si="64"/>
        <v>2.5000000000000133E-2</v>
      </c>
      <c r="AI300" s="20">
        <v>13.6</v>
      </c>
      <c r="AJ300" s="20">
        <v>450</v>
      </c>
      <c r="AK300" s="20"/>
      <c r="AL300" s="20">
        <v>688</v>
      </c>
      <c r="AM300" s="20">
        <f t="shared" si="65"/>
        <v>76889.260000000009</v>
      </c>
      <c r="AN300" s="7" t="s">
        <v>176</v>
      </c>
      <c r="AO300" s="20"/>
      <c r="AP300" s="21" t="s">
        <v>465</v>
      </c>
      <c r="AQ300" s="21"/>
      <c r="AR300" s="5" t="s">
        <v>466</v>
      </c>
      <c r="AS300" s="5" t="s">
        <v>164</v>
      </c>
      <c r="AT300" s="5" t="s">
        <v>59</v>
      </c>
      <c r="AU300" s="20"/>
      <c r="AV300" s="21"/>
      <c r="AW300" s="21"/>
      <c r="AX300" s="21"/>
    </row>
    <row r="301" spans="1:50" s="55" customFormat="1">
      <c r="A301" s="86" t="s">
        <v>318</v>
      </c>
      <c r="B301" s="5">
        <v>15013816</v>
      </c>
      <c r="C301" s="5" t="s">
        <v>671</v>
      </c>
      <c r="D301" s="5" t="s">
        <v>321</v>
      </c>
      <c r="E301" s="5" t="s">
        <v>52</v>
      </c>
      <c r="F301" s="5" t="s">
        <v>62</v>
      </c>
      <c r="G301" s="5" t="s">
        <v>202</v>
      </c>
      <c r="H301" s="5" t="s">
        <v>464</v>
      </c>
      <c r="I301" s="6">
        <v>42095</v>
      </c>
      <c r="J301" s="5" t="s">
        <v>336</v>
      </c>
      <c r="K301" s="5" t="s">
        <v>511</v>
      </c>
      <c r="L301" s="5" t="s">
        <v>324</v>
      </c>
      <c r="M301" s="7">
        <v>6</v>
      </c>
      <c r="N301" s="7" t="s">
        <v>176</v>
      </c>
      <c r="O301" s="8">
        <v>5164</v>
      </c>
      <c r="P301" s="9">
        <v>0.02</v>
      </c>
      <c r="Q301" s="10">
        <f t="shared" si="53"/>
        <v>103</v>
      </c>
      <c r="R301" s="9">
        <v>5.0000000000000001E-3</v>
      </c>
      <c r="S301" s="10">
        <f t="shared" si="54"/>
        <v>26</v>
      </c>
      <c r="T301" s="9">
        <f t="shared" si="55"/>
        <v>2.4980635166537569E-2</v>
      </c>
      <c r="U301" s="10">
        <f t="shared" si="56"/>
        <v>129</v>
      </c>
      <c r="V301" s="10">
        <f t="shared" si="57"/>
        <v>5293</v>
      </c>
      <c r="W301" s="11">
        <v>5422.2</v>
      </c>
      <c r="X301" s="12">
        <f t="shared" si="58"/>
        <v>258.19999999999982</v>
      </c>
      <c r="Y301" s="13">
        <f t="shared" si="59"/>
        <v>0.05</v>
      </c>
      <c r="Z301" s="14" t="str">
        <f t="shared" si="60"/>
        <v>0.00%-8.40%</v>
      </c>
      <c r="AA301" s="15"/>
      <c r="AB301" s="15"/>
      <c r="AC301" s="15"/>
      <c r="AD301" s="16"/>
      <c r="AE301" s="8">
        <f t="shared" si="61"/>
        <v>0</v>
      </c>
      <c r="AF301" s="17">
        <f t="shared" si="62"/>
        <v>5422.2</v>
      </c>
      <c r="AG301" s="18">
        <f t="shared" si="63"/>
        <v>258.19999999999982</v>
      </c>
      <c r="AH301" s="19">
        <f t="shared" si="64"/>
        <v>5.0000000000000044E-2</v>
      </c>
      <c r="AI301" s="20">
        <v>13.6</v>
      </c>
      <c r="AJ301" s="20">
        <v>500</v>
      </c>
      <c r="AK301" s="20"/>
      <c r="AL301" s="20">
        <v>688</v>
      </c>
      <c r="AM301" s="20">
        <f t="shared" si="65"/>
        <v>80429.919999999998</v>
      </c>
      <c r="AN301" s="7" t="s">
        <v>176</v>
      </c>
      <c r="AO301" s="20"/>
      <c r="AP301" s="21" t="s">
        <v>465</v>
      </c>
      <c r="AQ301" s="21"/>
      <c r="AR301" s="5" t="s">
        <v>466</v>
      </c>
      <c r="AS301" s="5" t="s">
        <v>164</v>
      </c>
      <c r="AT301" s="5" t="s">
        <v>59</v>
      </c>
      <c r="AU301" s="20"/>
      <c r="AV301" s="21"/>
      <c r="AW301" s="21"/>
      <c r="AX301" s="21"/>
    </row>
    <row r="302" spans="1:50" s="55" customFormat="1">
      <c r="A302" s="86" t="s">
        <v>318</v>
      </c>
      <c r="B302" s="5">
        <v>15001941</v>
      </c>
      <c r="C302" s="5" t="s">
        <v>672</v>
      </c>
      <c r="D302" s="5" t="s">
        <v>321</v>
      </c>
      <c r="E302" s="5" t="s">
        <v>52</v>
      </c>
      <c r="F302" s="5" t="s">
        <v>62</v>
      </c>
      <c r="G302" s="5" t="s">
        <v>202</v>
      </c>
      <c r="H302" s="5" t="s">
        <v>464</v>
      </c>
      <c r="I302" s="6">
        <v>39680</v>
      </c>
      <c r="J302" s="5" t="s">
        <v>336</v>
      </c>
      <c r="K302" s="5" t="s">
        <v>511</v>
      </c>
      <c r="L302" s="5" t="s">
        <v>324</v>
      </c>
      <c r="M302" s="7">
        <v>6</v>
      </c>
      <c r="N302" s="7" t="s">
        <v>176</v>
      </c>
      <c r="O302" s="8">
        <v>5303</v>
      </c>
      <c r="P302" s="9">
        <v>0.02</v>
      </c>
      <c r="Q302" s="10">
        <f t="shared" si="53"/>
        <v>106</v>
      </c>
      <c r="R302" s="9">
        <v>5.0000000000000001E-3</v>
      </c>
      <c r="S302" s="10">
        <f t="shared" si="54"/>
        <v>27</v>
      </c>
      <c r="T302" s="9">
        <f t="shared" si="55"/>
        <v>2.5080143315104657E-2</v>
      </c>
      <c r="U302" s="10">
        <f t="shared" si="56"/>
        <v>133</v>
      </c>
      <c r="V302" s="10">
        <f t="shared" si="57"/>
        <v>5436</v>
      </c>
      <c r="W302" s="11">
        <v>5435.5749999999998</v>
      </c>
      <c r="X302" s="12">
        <f t="shared" si="58"/>
        <v>132.57499999999982</v>
      </c>
      <c r="Y302" s="13">
        <f t="shared" si="59"/>
        <v>2.5000000000000001E-2</v>
      </c>
      <c r="Z302" s="14" t="str">
        <f t="shared" si="60"/>
        <v>0.00%-8.40%</v>
      </c>
      <c r="AA302" s="15"/>
      <c r="AB302" s="15"/>
      <c r="AC302" s="15"/>
      <c r="AD302" s="16"/>
      <c r="AE302" s="8">
        <f t="shared" si="61"/>
        <v>0</v>
      </c>
      <c r="AF302" s="17">
        <f t="shared" si="62"/>
        <v>5435.5749999999998</v>
      </c>
      <c r="AG302" s="18">
        <f t="shared" si="63"/>
        <v>132.57499999999982</v>
      </c>
      <c r="AH302" s="19">
        <f t="shared" si="64"/>
        <v>2.4999999999999911E-2</v>
      </c>
      <c r="AI302" s="20">
        <v>13.6</v>
      </c>
      <c r="AJ302" s="20">
        <v>450</v>
      </c>
      <c r="AK302" s="20"/>
      <c r="AL302" s="20">
        <v>688</v>
      </c>
      <c r="AM302" s="20">
        <f t="shared" si="65"/>
        <v>80011.819999999992</v>
      </c>
      <c r="AN302" s="7" t="s">
        <v>176</v>
      </c>
      <c r="AO302" s="20"/>
      <c r="AP302" s="21" t="s">
        <v>465</v>
      </c>
      <c r="AQ302" s="21"/>
      <c r="AR302" s="5" t="s">
        <v>466</v>
      </c>
      <c r="AS302" s="5" t="s">
        <v>164</v>
      </c>
      <c r="AT302" s="5" t="s">
        <v>59</v>
      </c>
      <c r="AU302" s="20"/>
      <c r="AV302" s="21"/>
      <c r="AW302" s="21"/>
      <c r="AX302" s="21"/>
    </row>
    <row r="303" spans="1:50" s="55" customFormat="1">
      <c r="A303" s="86" t="s">
        <v>318</v>
      </c>
      <c r="B303" s="5">
        <v>15021223</v>
      </c>
      <c r="C303" s="5" t="s">
        <v>673</v>
      </c>
      <c r="D303" s="5" t="s">
        <v>321</v>
      </c>
      <c r="E303" s="5" t="s">
        <v>52</v>
      </c>
      <c r="F303" s="5" t="s">
        <v>62</v>
      </c>
      <c r="G303" s="5" t="s">
        <v>202</v>
      </c>
      <c r="H303" s="5" t="s">
        <v>464</v>
      </c>
      <c r="I303" s="6">
        <v>44440</v>
      </c>
      <c r="J303" s="5" t="s">
        <v>336</v>
      </c>
      <c r="K303" s="5" t="s">
        <v>511</v>
      </c>
      <c r="L303" s="5" t="s">
        <v>324</v>
      </c>
      <c r="M303" s="7">
        <v>6</v>
      </c>
      <c r="N303" s="7" t="s">
        <v>176</v>
      </c>
      <c r="O303" s="8">
        <v>4755</v>
      </c>
      <c r="P303" s="9">
        <v>0.02</v>
      </c>
      <c r="Q303" s="10">
        <f t="shared" si="53"/>
        <v>95</v>
      </c>
      <c r="R303" s="9">
        <v>5.0000000000000001E-3</v>
      </c>
      <c r="S303" s="10">
        <f t="shared" si="54"/>
        <v>24</v>
      </c>
      <c r="T303" s="9">
        <f t="shared" si="55"/>
        <v>2.5026288117770766E-2</v>
      </c>
      <c r="U303" s="10">
        <f t="shared" si="56"/>
        <v>119</v>
      </c>
      <c r="V303" s="10">
        <f t="shared" si="57"/>
        <v>4874</v>
      </c>
      <c r="W303" s="11">
        <v>4778.7749999999996</v>
      </c>
      <c r="X303" s="12">
        <f t="shared" si="58"/>
        <v>23.774999999999636</v>
      </c>
      <c r="Y303" s="13">
        <f t="shared" si="59"/>
        <v>5.0000000000000001E-3</v>
      </c>
      <c r="Z303" s="14" t="str">
        <f t="shared" si="60"/>
        <v>0.00%-8.40%</v>
      </c>
      <c r="AA303" s="15"/>
      <c r="AB303" s="15"/>
      <c r="AC303" s="15"/>
      <c r="AD303" s="16"/>
      <c r="AE303" s="8">
        <f t="shared" si="61"/>
        <v>0</v>
      </c>
      <c r="AF303" s="17">
        <f t="shared" si="62"/>
        <v>4778.7749999999996</v>
      </c>
      <c r="AG303" s="18">
        <f t="shared" si="63"/>
        <v>23.774999999999636</v>
      </c>
      <c r="AH303" s="19">
        <f t="shared" si="64"/>
        <v>4.9999999999998934E-3</v>
      </c>
      <c r="AI303" s="20">
        <v>13.6</v>
      </c>
      <c r="AJ303" s="20">
        <v>450</v>
      </c>
      <c r="AK303" s="20"/>
      <c r="AL303" s="20">
        <v>688</v>
      </c>
      <c r="AM303" s="20">
        <f t="shared" si="65"/>
        <v>71079.34</v>
      </c>
      <c r="AN303" s="7" t="s">
        <v>176</v>
      </c>
      <c r="AO303" s="20"/>
      <c r="AP303" s="21" t="s">
        <v>513</v>
      </c>
      <c r="AQ303" s="21"/>
      <c r="AR303" s="5" t="s">
        <v>466</v>
      </c>
      <c r="AS303" s="5" t="s">
        <v>164</v>
      </c>
      <c r="AT303" s="5" t="s">
        <v>59</v>
      </c>
      <c r="AU303" s="20"/>
      <c r="AV303" s="21"/>
      <c r="AW303" s="21"/>
      <c r="AX303" s="21"/>
    </row>
    <row r="304" spans="1:50" s="55" customFormat="1">
      <c r="A304" s="86" t="s">
        <v>318</v>
      </c>
      <c r="B304" s="5">
        <v>15001380</v>
      </c>
      <c r="C304" s="5" t="s">
        <v>674</v>
      </c>
      <c r="D304" s="5" t="s">
        <v>321</v>
      </c>
      <c r="E304" s="5" t="s">
        <v>52</v>
      </c>
      <c r="F304" s="5" t="s">
        <v>62</v>
      </c>
      <c r="G304" s="5" t="s">
        <v>202</v>
      </c>
      <c r="H304" s="5" t="s">
        <v>464</v>
      </c>
      <c r="I304" s="6">
        <v>39503</v>
      </c>
      <c r="J304" s="5" t="s">
        <v>336</v>
      </c>
      <c r="K304" s="5" t="s">
        <v>511</v>
      </c>
      <c r="L304" s="5" t="s">
        <v>324</v>
      </c>
      <c r="M304" s="7">
        <v>6</v>
      </c>
      <c r="N304" s="7" t="s">
        <v>176</v>
      </c>
      <c r="O304" s="8">
        <v>5227</v>
      </c>
      <c r="P304" s="9">
        <v>0.02</v>
      </c>
      <c r="Q304" s="10">
        <f t="shared" si="53"/>
        <v>105</v>
      </c>
      <c r="R304" s="9">
        <v>5.0000000000000001E-3</v>
      </c>
      <c r="S304" s="10">
        <f t="shared" si="54"/>
        <v>26</v>
      </c>
      <c r="T304" s="9">
        <f t="shared" si="55"/>
        <v>2.5062177157069064E-2</v>
      </c>
      <c r="U304" s="10">
        <f t="shared" si="56"/>
        <v>131</v>
      </c>
      <c r="V304" s="10">
        <f t="shared" si="57"/>
        <v>5358</v>
      </c>
      <c r="W304" s="11">
        <v>5357.6750000000002</v>
      </c>
      <c r="X304" s="12">
        <f t="shared" si="58"/>
        <v>130.67500000000018</v>
      </c>
      <c r="Y304" s="13">
        <f t="shared" si="59"/>
        <v>2.5000000000000001E-2</v>
      </c>
      <c r="Z304" s="14" t="str">
        <f t="shared" si="60"/>
        <v>0.00%-8.40%</v>
      </c>
      <c r="AA304" s="15"/>
      <c r="AB304" s="15"/>
      <c r="AC304" s="15"/>
      <c r="AD304" s="16"/>
      <c r="AE304" s="8">
        <f t="shared" si="61"/>
        <v>0</v>
      </c>
      <c r="AF304" s="17">
        <f t="shared" si="62"/>
        <v>5357.6750000000002</v>
      </c>
      <c r="AG304" s="18">
        <f t="shared" si="63"/>
        <v>130.67500000000018</v>
      </c>
      <c r="AH304" s="19">
        <f t="shared" si="64"/>
        <v>2.5000000000000133E-2</v>
      </c>
      <c r="AI304" s="20">
        <v>13.6</v>
      </c>
      <c r="AJ304" s="20">
        <v>450</v>
      </c>
      <c r="AK304" s="20"/>
      <c r="AL304" s="20">
        <v>688</v>
      </c>
      <c r="AM304" s="20">
        <f t="shared" si="65"/>
        <v>78952.38</v>
      </c>
      <c r="AN304" s="7" t="s">
        <v>176</v>
      </c>
      <c r="AO304" s="20"/>
      <c r="AP304" s="21" t="s">
        <v>465</v>
      </c>
      <c r="AQ304" s="21"/>
      <c r="AR304" s="5" t="s">
        <v>466</v>
      </c>
      <c r="AS304" s="5" t="s">
        <v>164</v>
      </c>
      <c r="AT304" s="5" t="s">
        <v>59</v>
      </c>
      <c r="AU304" s="20"/>
      <c r="AV304" s="21"/>
      <c r="AW304" s="21"/>
      <c r="AX304" s="21"/>
    </row>
    <row r="305" spans="1:50" s="55" customFormat="1">
      <c r="A305" s="86" t="s">
        <v>318</v>
      </c>
      <c r="B305" s="5">
        <v>15019684</v>
      </c>
      <c r="C305" s="5" t="s">
        <v>675</v>
      </c>
      <c r="D305" s="5" t="s">
        <v>321</v>
      </c>
      <c r="E305" s="5" t="s">
        <v>52</v>
      </c>
      <c r="F305" s="5" t="s">
        <v>62</v>
      </c>
      <c r="G305" s="5" t="s">
        <v>202</v>
      </c>
      <c r="H305" s="5" t="s">
        <v>464</v>
      </c>
      <c r="I305" s="6">
        <v>44044</v>
      </c>
      <c r="J305" s="5" t="s">
        <v>336</v>
      </c>
      <c r="K305" s="5" t="s">
        <v>511</v>
      </c>
      <c r="L305" s="5" t="s">
        <v>324</v>
      </c>
      <c r="M305" s="7">
        <v>6</v>
      </c>
      <c r="N305" s="7" t="s">
        <v>176</v>
      </c>
      <c r="O305" s="8">
        <v>5219</v>
      </c>
      <c r="P305" s="9">
        <v>0.02</v>
      </c>
      <c r="Q305" s="10">
        <f t="shared" si="53"/>
        <v>104</v>
      </c>
      <c r="R305" s="9">
        <v>5.0000000000000001E-3</v>
      </c>
      <c r="S305" s="10">
        <f t="shared" si="54"/>
        <v>26</v>
      </c>
      <c r="T305" s="9">
        <f t="shared" si="55"/>
        <v>2.4908986395861275E-2</v>
      </c>
      <c r="U305" s="10">
        <f t="shared" si="56"/>
        <v>130</v>
      </c>
      <c r="V305" s="10">
        <f t="shared" si="57"/>
        <v>5349</v>
      </c>
      <c r="W305" s="11">
        <v>5479.95</v>
      </c>
      <c r="X305" s="12">
        <f t="shared" si="58"/>
        <v>260.94999999999982</v>
      </c>
      <c r="Y305" s="13">
        <f t="shared" si="59"/>
        <v>0.05</v>
      </c>
      <c r="Z305" s="14" t="str">
        <f t="shared" si="60"/>
        <v>0.00%-8.40%</v>
      </c>
      <c r="AA305" s="15"/>
      <c r="AB305" s="15"/>
      <c r="AC305" s="15"/>
      <c r="AD305" s="16"/>
      <c r="AE305" s="8">
        <f t="shared" si="61"/>
        <v>0</v>
      </c>
      <c r="AF305" s="17">
        <f t="shared" si="62"/>
        <v>5479.95</v>
      </c>
      <c r="AG305" s="18">
        <f t="shared" si="63"/>
        <v>260.94999999999982</v>
      </c>
      <c r="AH305" s="19">
        <f t="shared" si="64"/>
        <v>5.0000000000000044E-2</v>
      </c>
      <c r="AI305" s="20">
        <v>13.6</v>
      </c>
      <c r="AJ305" s="20">
        <v>450</v>
      </c>
      <c r="AK305" s="20"/>
      <c r="AL305" s="20">
        <v>688</v>
      </c>
      <c r="AM305" s="20">
        <f t="shared" si="65"/>
        <v>80615.319999999992</v>
      </c>
      <c r="AN305" s="7" t="s">
        <v>176</v>
      </c>
      <c r="AO305" s="20"/>
      <c r="AP305" s="21" t="s">
        <v>465</v>
      </c>
      <c r="AQ305" s="21"/>
      <c r="AR305" s="5" t="s">
        <v>466</v>
      </c>
      <c r="AS305" s="5" t="s">
        <v>164</v>
      </c>
      <c r="AT305" s="5" t="s">
        <v>59</v>
      </c>
      <c r="AU305" s="20"/>
      <c r="AV305" s="21"/>
      <c r="AW305" s="21"/>
      <c r="AX305" s="21"/>
    </row>
    <row r="306" spans="1:50" s="55" customFormat="1">
      <c r="A306" s="86" t="s">
        <v>318</v>
      </c>
      <c r="B306" s="5">
        <v>15004203</v>
      </c>
      <c r="C306" s="5" t="s">
        <v>676</v>
      </c>
      <c r="D306" s="5" t="s">
        <v>321</v>
      </c>
      <c r="E306" s="5" t="s">
        <v>52</v>
      </c>
      <c r="F306" s="5" t="s">
        <v>62</v>
      </c>
      <c r="G306" s="5" t="s">
        <v>202</v>
      </c>
      <c r="H306" s="5" t="s">
        <v>464</v>
      </c>
      <c r="I306" s="6">
        <v>40575</v>
      </c>
      <c r="J306" s="5" t="s">
        <v>336</v>
      </c>
      <c r="K306" s="5" t="s">
        <v>511</v>
      </c>
      <c r="L306" s="5" t="s">
        <v>324</v>
      </c>
      <c r="M306" s="7">
        <v>6</v>
      </c>
      <c r="N306" s="7" t="s">
        <v>176</v>
      </c>
      <c r="O306" s="8">
        <v>4853</v>
      </c>
      <c r="P306" s="9">
        <v>0.02</v>
      </c>
      <c r="Q306" s="10">
        <f t="shared" si="53"/>
        <v>97</v>
      </c>
      <c r="R306" s="9">
        <v>5.0000000000000001E-3</v>
      </c>
      <c r="S306" s="10">
        <f t="shared" si="54"/>
        <v>24</v>
      </c>
      <c r="T306" s="9">
        <f t="shared" si="55"/>
        <v>2.4933031114774365E-2</v>
      </c>
      <c r="U306" s="10">
        <f t="shared" si="56"/>
        <v>121</v>
      </c>
      <c r="V306" s="10">
        <f t="shared" si="57"/>
        <v>4974</v>
      </c>
      <c r="W306" s="11">
        <v>4853</v>
      </c>
      <c r="X306" s="12">
        <f t="shared" si="58"/>
        <v>0</v>
      </c>
      <c r="Y306" s="13">
        <f t="shared" si="59"/>
        <v>0</v>
      </c>
      <c r="Z306" s="14" t="str">
        <f t="shared" si="60"/>
        <v>0.00%-8.40%</v>
      </c>
      <c r="AA306" s="15"/>
      <c r="AB306" s="15"/>
      <c r="AC306" s="15"/>
      <c r="AD306" s="16"/>
      <c r="AE306" s="8">
        <f t="shared" si="61"/>
        <v>0</v>
      </c>
      <c r="AF306" s="17">
        <f t="shared" si="62"/>
        <v>4853</v>
      </c>
      <c r="AG306" s="18">
        <f t="shared" si="63"/>
        <v>0</v>
      </c>
      <c r="AH306" s="19">
        <f t="shared" si="64"/>
        <v>0</v>
      </c>
      <c r="AI306" s="20">
        <v>13.6</v>
      </c>
      <c r="AJ306" s="20">
        <v>450</v>
      </c>
      <c r="AK306" s="20"/>
      <c r="AL306" s="20">
        <v>688</v>
      </c>
      <c r="AM306" s="20">
        <f t="shared" si="65"/>
        <v>72088.800000000003</v>
      </c>
      <c r="AN306" s="7" t="s">
        <v>176</v>
      </c>
      <c r="AO306" s="20" t="s">
        <v>364</v>
      </c>
      <c r="AP306" s="21" t="s">
        <v>508</v>
      </c>
      <c r="AQ306" s="21" t="s">
        <v>281</v>
      </c>
      <c r="AR306" s="5" t="s">
        <v>466</v>
      </c>
      <c r="AS306" s="5" t="s">
        <v>164</v>
      </c>
      <c r="AT306" s="5" t="s">
        <v>59</v>
      </c>
      <c r="AU306" s="20"/>
      <c r="AV306" s="21"/>
      <c r="AW306" s="21"/>
      <c r="AX306" s="21"/>
    </row>
    <row r="307" spans="1:50" s="55" customFormat="1">
      <c r="A307" s="86" t="s">
        <v>318</v>
      </c>
      <c r="B307" s="5">
        <v>15001498</v>
      </c>
      <c r="C307" s="5" t="s">
        <v>677</v>
      </c>
      <c r="D307" s="5" t="s">
        <v>321</v>
      </c>
      <c r="E307" s="5" t="s">
        <v>52</v>
      </c>
      <c r="F307" s="5" t="s">
        <v>62</v>
      </c>
      <c r="G307" s="5" t="s">
        <v>202</v>
      </c>
      <c r="H307" s="5" t="s">
        <v>464</v>
      </c>
      <c r="I307" s="6">
        <v>39552</v>
      </c>
      <c r="J307" s="5" t="s">
        <v>336</v>
      </c>
      <c r="K307" s="5" t="s">
        <v>511</v>
      </c>
      <c r="L307" s="5" t="s">
        <v>324</v>
      </c>
      <c r="M307" s="7">
        <v>6</v>
      </c>
      <c r="N307" s="7" t="s">
        <v>176</v>
      </c>
      <c r="O307" s="8">
        <v>4762</v>
      </c>
      <c r="P307" s="9">
        <v>0.02</v>
      </c>
      <c r="Q307" s="10">
        <f t="shared" si="53"/>
        <v>95</v>
      </c>
      <c r="R307" s="9">
        <v>5.0000000000000001E-3</v>
      </c>
      <c r="S307" s="10">
        <f t="shared" si="54"/>
        <v>24</v>
      </c>
      <c r="T307" s="9">
        <f t="shared" si="55"/>
        <v>2.49895002099958E-2</v>
      </c>
      <c r="U307" s="10">
        <f t="shared" si="56"/>
        <v>119</v>
      </c>
      <c r="V307" s="10">
        <f t="shared" si="57"/>
        <v>4881</v>
      </c>
      <c r="W307" s="11">
        <v>4785.8100000000004</v>
      </c>
      <c r="X307" s="12">
        <f t="shared" si="58"/>
        <v>23.8100000000004</v>
      </c>
      <c r="Y307" s="13">
        <f t="shared" si="59"/>
        <v>5.0000000000000001E-3</v>
      </c>
      <c r="Z307" s="14" t="str">
        <f t="shared" si="60"/>
        <v>0.00%-8.40%</v>
      </c>
      <c r="AA307" s="15"/>
      <c r="AB307" s="15"/>
      <c r="AC307" s="15"/>
      <c r="AD307" s="16"/>
      <c r="AE307" s="8">
        <f t="shared" si="61"/>
        <v>0</v>
      </c>
      <c r="AF307" s="17">
        <f t="shared" si="62"/>
        <v>4785.8100000000004</v>
      </c>
      <c r="AG307" s="18">
        <f t="shared" si="63"/>
        <v>23.8100000000004</v>
      </c>
      <c r="AH307" s="19">
        <f t="shared" si="64"/>
        <v>5.0000000000001155E-3</v>
      </c>
      <c r="AI307" s="20">
        <v>13.6</v>
      </c>
      <c r="AJ307" s="20">
        <v>450</v>
      </c>
      <c r="AK307" s="20"/>
      <c r="AL307" s="20">
        <v>688</v>
      </c>
      <c r="AM307" s="20">
        <f t="shared" si="65"/>
        <v>71175.016000000003</v>
      </c>
      <c r="AN307" s="7" t="s">
        <v>176</v>
      </c>
      <c r="AO307" s="20"/>
      <c r="AP307" s="21" t="s">
        <v>513</v>
      </c>
      <c r="AQ307" s="21"/>
      <c r="AR307" s="5" t="s">
        <v>466</v>
      </c>
      <c r="AS307" s="5" t="s">
        <v>164</v>
      </c>
      <c r="AT307" s="5" t="s">
        <v>59</v>
      </c>
      <c r="AU307" s="20"/>
      <c r="AV307" s="21"/>
      <c r="AW307" s="21"/>
      <c r="AX307" s="21"/>
    </row>
    <row r="308" spans="1:50" s="55" customFormat="1">
      <c r="A308" s="86" t="s">
        <v>318</v>
      </c>
      <c r="B308" s="5">
        <v>15013788</v>
      </c>
      <c r="C308" s="5" t="s">
        <v>678</v>
      </c>
      <c r="D308" s="5" t="s">
        <v>321</v>
      </c>
      <c r="E308" s="5" t="s">
        <v>52</v>
      </c>
      <c r="F308" s="5" t="s">
        <v>62</v>
      </c>
      <c r="G308" s="5" t="s">
        <v>202</v>
      </c>
      <c r="H308" s="5" t="s">
        <v>464</v>
      </c>
      <c r="I308" s="6">
        <v>42064</v>
      </c>
      <c r="J308" s="5" t="s">
        <v>336</v>
      </c>
      <c r="K308" s="5" t="s">
        <v>511</v>
      </c>
      <c r="L308" s="5" t="s">
        <v>324</v>
      </c>
      <c r="M308" s="7">
        <v>6</v>
      </c>
      <c r="N308" s="7" t="s">
        <v>176</v>
      </c>
      <c r="O308" s="8">
        <v>5040</v>
      </c>
      <c r="P308" s="9">
        <v>0.02</v>
      </c>
      <c r="Q308" s="10">
        <f t="shared" si="53"/>
        <v>101</v>
      </c>
      <c r="R308" s="9">
        <v>5.0000000000000001E-3</v>
      </c>
      <c r="S308" s="10">
        <f t="shared" si="54"/>
        <v>25</v>
      </c>
      <c r="T308" s="9">
        <f t="shared" si="55"/>
        <v>2.5000000000000001E-2</v>
      </c>
      <c r="U308" s="10">
        <f t="shared" si="56"/>
        <v>126</v>
      </c>
      <c r="V308" s="10">
        <f t="shared" si="57"/>
        <v>5166</v>
      </c>
      <c r="W308" s="11">
        <v>5166</v>
      </c>
      <c r="X308" s="12">
        <f t="shared" si="58"/>
        <v>126</v>
      </c>
      <c r="Y308" s="13">
        <f t="shared" si="59"/>
        <v>2.5000000000000001E-2</v>
      </c>
      <c r="Z308" s="14" t="str">
        <f t="shared" si="60"/>
        <v>0.00%-8.40%</v>
      </c>
      <c r="AA308" s="15"/>
      <c r="AB308" s="15"/>
      <c r="AC308" s="15"/>
      <c r="AD308" s="16"/>
      <c r="AE308" s="8">
        <f t="shared" si="61"/>
        <v>0</v>
      </c>
      <c r="AF308" s="17">
        <f t="shared" si="62"/>
        <v>5166</v>
      </c>
      <c r="AG308" s="18">
        <f t="shared" si="63"/>
        <v>126</v>
      </c>
      <c r="AH308" s="19">
        <f t="shared" si="64"/>
        <v>2.4999999999999911E-2</v>
      </c>
      <c r="AI308" s="20">
        <v>13.6</v>
      </c>
      <c r="AJ308" s="20">
        <v>500</v>
      </c>
      <c r="AK308" s="20"/>
      <c r="AL308" s="20">
        <v>688</v>
      </c>
      <c r="AM308" s="20">
        <f t="shared" si="65"/>
        <v>76945.599999999991</v>
      </c>
      <c r="AN308" s="7" t="s">
        <v>176</v>
      </c>
      <c r="AO308" s="20"/>
      <c r="AP308" s="21" t="s">
        <v>465</v>
      </c>
      <c r="AQ308" s="21"/>
      <c r="AR308" s="5" t="s">
        <v>466</v>
      </c>
      <c r="AS308" s="5" t="s">
        <v>164</v>
      </c>
      <c r="AT308" s="5" t="s">
        <v>59</v>
      </c>
      <c r="AU308" s="20"/>
      <c r="AV308" s="21"/>
      <c r="AW308" s="21"/>
      <c r="AX308" s="21"/>
    </row>
    <row r="309" spans="1:50" s="55" customFormat="1">
      <c r="A309" s="86" t="s">
        <v>318</v>
      </c>
      <c r="B309" s="5">
        <v>15021576</v>
      </c>
      <c r="C309" s="5" t="s">
        <v>679</v>
      </c>
      <c r="D309" s="5" t="s">
        <v>321</v>
      </c>
      <c r="E309" s="5" t="s">
        <v>52</v>
      </c>
      <c r="F309" s="5" t="s">
        <v>62</v>
      </c>
      <c r="G309" s="5" t="s">
        <v>202</v>
      </c>
      <c r="H309" s="5" t="s">
        <v>464</v>
      </c>
      <c r="I309" s="6">
        <v>44531</v>
      </c>
      <c r="J309" s="5" t="s">
        <v>336</v>
      </c>
      <c r="K309" s="5" t="s">
        <v>511</v>
      </c>
      <c r="L309" s="5" t="s">
        <v>324</v>
      </c>
      <c r="M309" s="7">
        <v>6</v>
      </c>
      <c r="N309" s="7" t="s">
        <v>176</v>
      </c>
      <c r="O309" s="8">
        <v>4479</v>
      </c>
      <c r="P309" s="9">
        <v>0.02</v>
      </c>
      <c r="Q309" s="10">
        <f t="shared" si="53"/>
        <v>90</v>
      </c>
      <c r="R309" s="9">
        <v>5.0000000000000001E-3</v>
      </c>
      <c r="S309" s="10">
        <f t="shared" si="54"/>
        <v>22</v>
      </c>
      <c r="T309" s="9">
        <f t="shared" si="55"/>
        <v>2.5005581603036391E-2</v>
      </c>
      <c r="U309" s="10">
        <f t="shared" si="56"/>
        <v>112</v>
      </c>
      <c r="V309" s="10">
        <f t="shared" si="57"/>
        <v>4591</v>
      </c>
      <c r="W309" s="11">
        <v>4590.9750000000004</v>
      </c>
      <c r="X309" s="12">
        <f t="shared" si="58"/>
        <v>111.97500000000036</v>
      </c>
      <c r="Y309" s="13">
        <f t="shared" si="59"/>
        <v>2.5000000000000001E-2</v>
      </c>
      <c r="Z309" s="14" t="str">
        <f t="shared" si="60"/>
        <v>0.00%-8.40%</v>
      </c>
      <c r="AA309" s="15"/>
      <c r="AB309" s="15"/>
      <c r="AC309" s="15"/>
      <c r="AD309" s="16"/>
      <c r="AE309" s="8">
        <f t="shared" si="61"/>
        <v>0</v>
      </c>
      <c r="AF309" s="17">
        <f t="shared" si="62"/>
        <v>4590.9750000000004</v>
      </c>
      <c r="AG309" s="18">
        <f t="shared" si="63"/>
        <v>111.97500000000036</v>
      </c>
      <c r="AH309" s="19">
        <f t="shared" si="64"/>
        <v>2.5000000000000133E-2</v>
      </c>
      <c r="AI309" s="20">
        <v>13.6</v>
      </c>
      <c r="AJ309" s="20">
        <v>450</v>
      </c>
      <c r="AK309" s="20"/>
      <c r="AL309" s="20">
        <v>688</v>
      </c>
      <c r="AM309" s="20">
        <f t="shared" si="65"/>
        <v>68525.260000000009</v>
      </c>
      <c r="AN309" s="7" t="s">
        <v>176</v>
      </c>
      <c r="AO309" s="20"/>
      <c r="AP309" s="21" t="s">
        <v>465</v>
      </c>
      <c r="AQ309" s="21"/>
      <c r="AR309" s="5" t="s">
        <v>466</v>
      </c>
      <c r="AS309" s="5" t="s">
        <v>164</v>
      </c>
      <c r="AT309" s="5" t="s">
        <v>59</v>
      </c>
      <c r="AU309" s="20"/>
      <c r="AV309" s="21"/>
      <c r="AW309" s="21"/>
      <c r="AX309" s="21"/>
    </row>
    <row r="310" spans="1:50" s="55" customFormat="1">
      <c r="A310" s="86" t="s">
        <v>318</v>
      </c>
      <c r="B310" s="5">
        <v>15005218</v>
      </c>
      <c r="C310" s="5" t="s">
        <v>680</v>
      </c>
      <c r="D310" s="5" t="s">
        <v>321</v>
      </c>
      <c r="E310" s="5" t="s">
        <v>52</v>
      </c>
      <c r="F310" s="5" t="s">
        <v>62</v>
      </c>
      <c r="G310" s="5" t="s">
        <v>202</v>
      </c>
      <c r="H310" s="5" t="s">
        <v>464</v>
      </c>
      <c r="I310" s="6">
        <v>40756</v>
      </c>
      <c r="J310" s="5" t="s">
        <v>336</v>
      </c>
      <c r="K310" s="5" t="s">
        <v>511</v>
      </c>
      <c r="L310" s="5" t="s">
        <v>324</v>
      </c>
      <c r="M310" s="7">
        <v>6</v>
      </c>
      <c r="N310" s="7" t="s">
        <v>176</v>
      </c>
      <c r="O310" s="8">
        <v>4682</v>
      </c>
      <c r="P310" s="9">
        <v>0.02</v>
      </c>
      <c r="Q310" s="10">
        <f t="shared" si="53"/>
        <v>94</v>
      </c>
      <c r="R310" s="9">
        <v>5.0000000000000001E-3</v>
      </c>
      <c r="S310" s="10">
        <f t="shared" si="54"/>
        <v>23</v>
      </c>
      <c r="T310" s="9">
        <f t="shared" si="55"/>
        <v>2.4989320803075608E-2</v>
      </c>
      <c r="U310" s="10">
        <f t="shared" si="56"/>
        <v>117</v>
      </c>
      <c r="V310" s="10">
        <f t="shared" si="57"/>
        <v>4799</v>
      </c>
      <c r="W310" s="11">
        <v>4799.05</v>
      </c>
      <c r="X310" s="12">
        <f t="shared" si="58"/>
        <v>117.05000000000018</v>
      </c>
      <c r="Y310" s="13">
        <f t="shared" si="59"/>
        <v>2.5000000000000001E-2</v>
      </c>
      <c r="Z310" s="14" t="str">
        <f t="shared" si="60"/>
        <v>0.00%-8.40%</v>
      </c>
      <c r="AA310" s="15"/>
      <c r="AB310" s="15"/>
      <c r="AC310" s="15"/>
      <c r="AD310" s="16"/>
      <c r="AE310" s="8">
        <f t="shared" si="61"/>
        <v>0</v>
      </c>
      <c r="AF310" s="17">
        <f t="shared" si="62"/>
        <v>4799.05</v>
      </c>
      <c r="AG310" s="18">
        <f t="shared" si="63"/>
        <v>117.05000000000018</v>
      </c>
      <c r="AH310" s="19">
        <f t="shared" si="64"/>
        <v>2.5000000000000133E-2</v>
      </c>
      <c r="AI310" s="20">
        <v>13.6</v>
      </c>
      <c r="AJ310" s="20">
        <v>450</v>
      </c>
      <c r="AK310" s="20"/>
      <c r="AL310" s="20">
        <v>688</v>
      </c>
      <c r="AM310" s="20">
        <f t="shared" si="65"/>
        <v>71355.08</v>
      </c>
      <c r="AN310" s="7" t="s">
        <v>176</v>
      </c>
      <c r="AO310" s="20"/>
      <c r="AP310" s="21" t="s">
        <v>465</v>
      </c>
      <c r="AQ310" s="21"/>
      <c r="AR310" s="5" t="s">
        <v>466</v>
      </c>
      <c r="AS310" s="5" t="s">
        <v>164</v>
      </c>
      <c r="AT310" s="5" t="s">
        <v>59</v>
      </c>
      <c r="AU310" s="20"/>
      <c r="AV310" s="21"/>
      <c r="AW310" s="21"/>
      <c r="AX310" s="21"/>
    </row>
    <row r="311" spans="1:50" s="55" customFormat="1">
      <c r="A311" s="86" t="s">
        <v>318</v>
      </c>
      <c r="B311" s="5">
        <v>15020462</v>
      </c>
      <c r="C311" s="5" t="s">
        <v>681</v>
      </c>
      <c r="D311" s="5" t="s">
        <v>321</v>
      </c>
      <c r="E311" s="5" t="s">
        <v>52</v>
      </c>
      <c r="F311" s="5" t="s">
        <v>62</v>
      </c>
      <c r="G311" s="5" t="s">
        <v>202</v>
      </c>
      <c r="H311" s="5" t="s">
        <v>464</v>
      </c>
      <c r="I311" s="6">
        <v>44378</v>
      </c>
      <c r="J311" s="5" t="s">
        <v>336</v>
      </c>
      <c r="K311" s="5" t="s">
        <v>511</v>
      </c>
      <c r="L311" s="5" t="s">
        <v>324</v>
      </c>
      <c r="M311" s="7">
        <v>6</v>
      </c>
      <c r="N311" s="7" t="s">
        <v>176</v>
      </c>
      <c r="O311" s="8">
        <v>4749</v>
      </c>
      <c r="P311" s="9">
        <v>0.02</v>
      </c>
      <c r="Q311" s="10">
        <f t="shared" si="53"/>
        <v>95</v>
      </c>
      <c r="R311" s="9">
        <v>5.0000000000000001E-3</v>
      </c>
      <c r="S311" s="10">
        <f t="shared" si="54"/>
        <v>24</v>
      </c>
      <c r="T311" s="9">
        <f t="shared" si="55"/>
        <v>2.5057906927774268E-2</v>
      </c>
      <c r="U311" s="10">
        <f t="shared" si="56"/>
        <v>119</v>
      </c>
      <c r="V311" s="10">
        <f t="shared" si="57"/>
        <v>4868</v>
      </c>
      <c r="W311" s="11">
        <v>4749</v>
      </c>
      <c r="X311" s="12">
        <f t="shared" si="58"/>
        <v>0</v>
      </c>
      <c r="Y311" s="13">
        <f t="shared" si="59"/>
        <v>0</v>
      </c>
      <c r="Z311" s="14" t="str">
        <f t="shared" si="60"/>
        <v>0.00%-8.40%</v>
      </c>
      <c r="AA311" s="15"/>
      <c r="AB311" s="15"/>
      <c r="AC311" s="15"/>
      <c r="AD311" s="16"/>
      <c r="AE311" s="8">
        <f t="shared" si="61"/>
        <v>0</v>
      </c>
      <c r="AF311" s="17">
        <f t="shared" si="62"/>
        <v>4749</v>
      </c>
      <c r="AG311" s="18">
        <f t="shared" si="63"/>
        <v>0</v>
      </c>
      <c r="AH311" s="19">
        <f t="shared" si="64"/>
        <v>0</v>
      </c>
      <c r="AI311" s="20">
        <v>13.6</v>
      </c>
      <c r="AJ311" s="20">
        <v>450</v>
      </c>
      <c r="AK311" s="20"/>
      <c r="AL311" s="20">
        <v>688</v>
      </c>
      <c r="AM311" s="20">
        <f t="shared" si="65"/>
        <v>70674.399999999994</v>
      </c>
      <c r="AN311" s="7" t="s">
        <v>176</v>
      </c>
      <c r="AO311" s="20" t="s">
        <v>364</v>
      </c>
      <c r="AP311" s="21" t="s">
        <v>508</v>
      </c>
      <c r="AQ311" s="21" t="s">
        <v>281</v>
      </c>
      <c r="AR311" s="5" t="s">
        <v>466</v>
      </c>
      <c r="AS311" s="5" t="s">
        <v>164</v>
      </c>
      <c r="AT311" s="5" t="s">
        <v>59</v>
      </c>
      <c r="AU311" s="20"/>
      <c r="AV311" s="21"/>
      <c r="AW311" s="21"/>
      <c r="AX311" s="21"/>
    </row>
    <row r="312" spans="1:50" s="55" customFormat="1">
      <c r="A312" s="86" t="s">
        <v>318</v>
      </c>
      <c r="B312" s="5">
        <v>15020021</v>
      </c>
      <c r="C312" s="5" t="s">
        <v>682</v>
      </c>
      <c r="D312" s="5" t="s">
        <v>321</v>
      </c>
      <c r="E312" s="5" t="s">
        <v>52</v>
      </c>
      <c r="F312" s="5" t="s">
        <v>62</v>
      </c>
      <c r="G312" s="5" t="s">
        <v>202</v>
      </c>
      <c r="H312" s="5" t="s">
        <v>464</v>
      </c>
      <c r="I312" s="6">
        <v>44317</v>
      </c>
      <c r="J312" s="5" t="s">
        <v>336</v>
      </c>
      <c r="K312" s="5" t="s">
        <v>511</v>
      </c>
      <c r="L312" s="5" t="s">
        <v>324</v>
      </c>
      <c r="M312" s="7">
        <v>6</v>
      </c>
      <c r="N312" s="7" t="s">
        <v>176</v>
      </c>
      <c r="O312" s="8">
        <v>4601</v>
      </c>
      <c r="P312" s="9">
        <v>0.02</v>
      </c>
      <c r="Q312" s="10">
        <f t="shared" si="53"/>
        <v>92</v>
      </c>
      <c r="R312" s="9">
        <v>5.0000000000000001E-3</v>
      </c>
      <c r="S312" s="10">
        <f t="shared" si="54"/>
        <v>23</v>
      </c>
      <c r="T312" s="9">
        <f t="shared" si="55"/>
        <v>2.4994566398608999E-2</v>
      </c>
      <c r="U312" s="10">
        <f t="shared" si="56"/>
        <v>115</v>
      </c>
      <c r="V312" s="10">
        <f t="shared" si="57"/>
        <v>4716</v>
      </c>
      <c r="W312" s="11">
        <v>4716.0249999999996</v>
      </c>
      <c r="X312" s="12">
        <f t="shared" si="58"/>
        <v>115.02499999999964</v>
      </c>
      <c r="Y312" s="13">
        <f t="shared" si="59"/>
        <v>2.5000000000000001E-2</v>
      </c>
      <c r="Z312" s="14" t="str">
        <f t="shared" si="60"/>
        <v>0.00%-8.40%</v>
      </c>
      <c r="AA312" s="15"/>
      <c r="AB312" s="15"/>
      <c r="AC312" s="15"/>
      <c r="AD312" s="16"/>
      <c r="AE312" s="8">
        <f t="shared" si="61"/>
        <v>0</v>
      </c>
      <c r="AF312" s="17">
        <f t="shared" si="62"/>
        <v>4716.0249999999996</v>
      </c>
      <c r="AG312" s="18">
        <f t="shared" si="63"/>
        <v>115.02499999999964</v>
      </c>
      <c r="AH312" s="19">
        <f t="shared" si="64"/>
        <v>2.4999999999999911E-2</v>
      </c>
      <c r="AI312" s="20">
        <v>13.6</v>
      </c>
      <c r="AJ312" s="20">
        <v>500</v>
      </c>
      <c r="AK312" s="20"/>
      <c r="AL312" s="20">
        <v>688</v>
      </c>
      <c r="AM312" s="20">
        <f t="shared" si="65"/>
        <v>70825.94</v>
      </c>
      <c r="AN312" s="7" t="s">
        <v>176</v>
      </c>
      <c r="AO312" s="20"/>
      <c r="AP312" s="21" t="s">
        <v>465</v>
      </c>
      <c r="AQ312" s="21"/>
      <c r="AR312" s="5" t="s">
        <v>466</v>
      </c>
      <c r="AS312" s="5" t="s">
        <v>164</v>
      </c>
      <c r="AT312" s="5" t="s">
        <v>59</v>
      </c>
      <c r="AU312" s="20"/>
      <c r="AV312" s="21"/>
      <c r="AW312" s="21"/>
      <c r="AX312" s="21"/>
    </row>
    <row r="313" spans="1:50" s="55" customFormat="1">
      <c r="A313" s="86" t="s">
        <v>318</v>
      </c>
      <c r="B313" s="5">
        <v>15019918</v>
      </c>
      <c r="C313" s="5" t="s">
        <v>683</v>
      </c>
      <c r="D313" s="5" t="s">
        <v>321</v>
      </c>
      <c r="E313" s="5" t="s">
        <v>52</v>
      </c>
      <c r="F313" s="5" t="s">
        <v>62</v>
      </c>
      <c r="G313" s="5" t="s">
        <v>202</v>
      </c>
      <c r="H313" s="5" t="s">
        <v>464</v>
      </c>
      <c r="I313" s="6">
        <v>44044</v>
      </c>
      <c r="J313" s="5" t="s">
        <v>336</v>
      </c>
      <c r="K313" s="5" t="s">
        <v>548</v>
      </c>
      <c r="L313" s="5" t="s">
        <v>324</v>
      </c>
      <c r="M313" s="7">
        <v>6</v>
      </c>
      <c r="N313" s="7" t="s">
        <v>176</v>
      </c>
      <c r="O313" s="8">
        <v>5096</v>
      </c>
      <c r="P313" s="9">
        <v>0.02</v>
      </c>
      <c r="Q313" s="10">
        <f t="shared" si="53"/>
        <v>102</v>
      </c>
      <c r="R313" s="9">
        <v>5.0000000000000001E-3</v>
      </c>
      <c r="S313" s="10">
        <f t="shared" si="54"/>
        <v>25</v>
      </c>
      <c r="T313" s="9">
        <f t="shared" si="55"/>
        <v>2.4921507064364207E-2</v>
      </c>
      <c r="U313" s="10">
        <f t="shared" si="56"/>
        <v>127</v>
      </c>
      <c r="V313" s="10">
        <f t="shared" si="57"/>
        <v>5223</v>
      </c>
      <c r="W313" s="11">
        <v>5121.4799999999996</v>
      </c>
      <c r="X313" s="12">
        <f t="shared" si="58"/>
        <v>25.479999999999563</v>
      </c>
      <c r="Y313" s="13">
        <f t="shared" si="59"/>
        <v>5.0000000000000001E-3</v>
      </c>
      <c r="Z313" s="14" t="str">
        <f t="shared" si="60"/>
        <v>0.00%-8.40%</v>
      </c>
      <c r="AA313" s="15"/>
      <c r="AB313" s="15"/>
      <c r="AC313" s="15"/>
      <c r="AD313" s="16"/>
      <c r="AE313" s="8">
        <f t="shared" si="61"/>
        <v>0</v>
      </c>
      <c r="AF313" s="17">
        <f t="shared" si="62"/>
        <v>5121.4799999999996</v>
      </c>
      <c r="AG313" s="18">
        <f t="shared" si="63"/>
        <v>25.479999999999563</v>
      </c>
      <c r="AH313" s="19">
        <f t="shared" si="64"/>
        <v>4.9999999999998934E-3</v>
      </c>
      <c r="AI313" s="20">
        <v>13.6</v>
      </c>
      <c r="AJ313" s="20">
        <v>450</v>
      </c>
      <c r="AK313" s="20"/>
      <c r="AL313" s="20">
        <v>688</v>
      </c>
      <c r="AM313" s="20">
        <f t="shared" si="65"/>
        <v>75740.127999999997</v>
      </c>
      <c r="AN313" s="7" t="s">
        <v>176</v>
      </c>
      <c r="AO313" s="20"/>
      <c r="AP313" s="21" t="s">
        <v>513</v>
      </c>
      <c r="AQ313" s="21"/>
      <c r="AR313" s="5" t="s">
        <v>466</v>
      </c>
      <c r="AS313" s="5" t="s">
        <v>164</v>
      </c>
      <c r="AT313" s="5" t="s">
        <v>59</v>
      </c>
      <c r="AU313" s="20"/>
      <c r="AV313" s="21"/>
      <c r="AW313" s="21"/>
      <c r="AX313" s="21"/>
    </row>
    <row r="314" spans="1:50" s="55" customFormat="1">
      <c r="A314" s="86" t="s">
        <v>318</v>
      </c>
      <c r="B314" s="5">
        <v>15011264</v>
      </c>
      <c r="C314" s="5" t="s">
        <v>684</v>
      </c>
      <c r="D314" s="5" t="s">
        <v>321</v>
      </c>
      <c r="E314" s="5" t="s">
        <v>52</v>
      </c>
      <c r="F314" s="5" t="s">
        <v>62</v>
      </c>
      <c r="G314" s="5" t="s">
        <v>202</v>
      </c>
      <c r="H314" s="5" t="s">
        <v>464</v>
      </c>
      <c r="I314" s="6">
        <v>41609</v>
      </c>
      <c r="J314" s="5" t="s">
        <v>336</v>
      </c>
      <c r="K314" s="5" t="s">
        <v>511</v>
      </c>
      <c r="L314" s="5" t="s">
        <v>324</v>
      </c>
      <c r="M314" s="7">
        <v>6</v>
      </c>
      <c r="N314" s="7" t="s">
        <v>176</v>
      </c>
      <c r="O314" s="8">
        <v>4548</v>
      </c>
      <c r="P314" s="9">
        <v>0.02</v>
      </c>
      <c r="Q314" s="10">
        <f t="shared" si="53"/>
        <v>91</v>
      </c>
      <c r="R314" s="9">
        <v>5.0000000000000001E-3</v>
      </c>
      <c r="S314" s="10">
        <f t="shared" si="54"/>
        <v>23</v>
      </c>
      <c r="T314" s="9">
        <f t="shared" si="55"/>
        <v>2.5065963060686015E-2</v>
      </c>
      <c r="U314" s="10">
        <f t="shared" si="56"/>
        <v>114</v>
      </c>
      <c r="V314" s="10">
        <f t="shared" si="57"/>
        <v>4662</v>
      </c>
      <c r="W314" s="11">
        <v>4593.4799999999996</v>
      </c>
      <c r="X314" s="12">
        <f t="shared" si="58"/>
        <v>45.479999999999563</v>
      </c>
      <c r="Y314" s="13">
        <f t="shared" si="59"/>
        <v>0.01</v>
      </c>
      <c r="Z314" s="14" t="str">
        <f t="shared" si="60"/>
        <v>0.00%-8.40%</v>
      </c>
      <c r="AA314" s="15"/>
      <c r="AB314" s="15"/>
      <c r="AC314" s="15"/>
      <c r="AD314" s="16"/>
      <c r="AE314" s="8">
        <f t="shared" si="61"/>
        <v>0</v>
      </c>
      <c r="AF314" s="17">
        <f t="shared" si="62"/>
        <v>4593.4799999999996</v>
      </c>
      <c r="AG314" s="18">
        <f t="shared" si="63"/>
        <v>45.479999999999563</v>
      </c>
      <c r="AH314" s="19">
        <f t="shared" si="64"/>
        <v>1.0000000000000009E-2</v>
      </c>
      <c r="AI314" s="20">
        <v>13.6</v>
      </c>
      <c r="AJ314" s="20">
        <v>450</v>
      </c>
      <c r="AK314" s="20"/>
      <c r="AL314" s="20">
        <v>688</v>
      </c>
      <c r="AM314" s="20">
        <f t="shared" si="65"/>
        <v>68559.327999999994</v>
      </c>
      <c r="AN314" s="7" t="s">
        <v>176</v>
      </c>
      <c r="AO314" s="20"/>
      <c r="AP314" s="21" t="s">
        <v>465</v>
      </c>
      <c r="AQ314" s="21"/>
      <c r="AR314" s="5" t="s">
        <v>466</v>
      </c>
      <c r="AS314" s="5" t="s">
        <v>164</v>
      </c>
      <c r="AT314" s="5" t="s">
        <v>59</v>
      </c>
      <c r="AU314" s="20"/>
      <c r="AV314" s="21"/>
      <c r="AW314" s="21"/>
      <c r="AX314" s="21"/>
    </row>
    <row r="315" spans="1:50" s="55" customFormat="1">
      <c r="A315" s="86" t="s">
        <v>318</v>
      </c>
      <c r="B315" s="5">
        <v>15016359</v>
      </c>
      <c r="C315" s="5" t="s">
        <v>685</v>
      </c>
      <c r="D315" s="5" t="s">
        <v>321</v>
      </c>
      <c r="E315" s="5" t="s">
        <v>52</v>
      </c>
      <c r="F315" s="5" t="s">
        <v>62</v>
      </c>
      <c r="G315" s="5" t="s">
        <v>202</v>
      </c>
      <c r="H315" s="5" t="s">
        <v>464</v>
      </c>
      <c r="I315" s="6">
        <v>42948</v>
      </c>
      <c r="J315" s="5" t="s">
        <v>336</v>
      </c>
      <c r="K315" s="5" t="s">
        <v>511</v>
      </c>
      <c r="L315" s="5" t="s">
        <v>324</v>
      </c>
      <c r="M315" s="7">
        <v>6</v>
      </c>
      <c r="N315" s="7" t="s">
        <v>176</v>
      </c>
      <c r="O315" s="8">
        <v>4927</v>
      </c>
      <c r="P315" s="9">
        <v>0.02</v>
      </c>
      <c r="Q315" s="10">
        <f t="shared" si="53"/>
        <v>99</v>
      </c>
      <c r="R315" s="9">
        <v>5.0000000000000001E-3</v>
      </c>
      <c r="S315" s="10">
        <f t="shared" si="54"/>
        <v>25</v>
      </c>
      <c r="T315" s="9">
        <f t="shared" si="55"/>
        <v>2.5167444692510657E-2</v>
      </c>
      <c r="U315" s="10">
        <f t="shared" si="56"/>
        <v>124</v>
      </c>
      <c r="V315" s="10">
        <f t="shared" si="57"/>
        <v>5051</v>
      </c>
      <c r="W315" s="11">
        <v>5050.1750000000002</v>
      </c>
      <c r="X315" s="12">
        <f t="shared" si="58"/>
        <v>123.17500000000018</v>
      </c>
      <c r="Y315" s="13">
        <f t="shared" si="59"/>
        <v>2.5000000000000001E-2</v>
      </c>
      <c r="Z315" s="14" t="str">
        <f t="shared" si="60"/>
        <v>0.00%-8.40%</v>
      </c>
      <c r="AA315" s="15"/>
      <c r="AB315" s="15"/>
      <c r="AC315" s="15"/>
      <c r="AD315" s="16"/>
      <c r="AE315" s="8">
        <f t="shared" si="61"/>
        <v>0</v>
      </c>
      <c r="AF315" s="17">
        <f t="shared" si="62"/>
        <v>5050.1750000000002</v>
      </c>
      <c r="AG315" s="18">
        <f t="shared" si="63"/>
        <v>123.17500000000018</v>
      </c>
      <c r="AH315" s="19">
        <f t="shared" si="64"/>
        <v>2.5000000000000133E-2</v>
      </c>
      <c r="AI315" s="20">
        <v>13.6</v>
      </c>
      <c r="AJ315" s="20">
        <v>450</v>
      </c>
      <c r="AK315" s="20"/>
      <c r="AL315" s="20">
        <v>688</v>
      </c>
      <c r="AM315" s="20">
        <f t="shared" si="65"/>
        <v>74770.38</v>
      </c>
      <c r="AN315" s="7" t="s">
        <v>176</v>
      </c>
      <c r="AO315" s="20"/>
      <c r="AP315" s="21" t="s">
        <v>465</v>
      </c>
      <c r="AQ315" s="21"/>
      <c r="AR315" s="5" t="s">
        <v>466</v>
      </c>
      <c r="AS315" s="5" t="s">
        <v>164</v>
      </c>
      <c r="AT315" s="5" t="s">
        <v>59</v>
      </c>
      <c r="AU315" s="20"/>
      <c r="AV315" s="21"/>
      <c r="AW315" s="21"/>
      <c r="AX315" s="21"/>
    </row>
    <row r="316" spans="1:50" s="55" customFormat="1">
      <c r="A316" s="86" t="s">
        <v>318</v>
      </c>
      <c r="B316" s="5">
        <v>15006267</v>
      </c>
      <c r="C316" s="5" t="s">
        <v>686</v>
      </c>
      <c r="D316" s="5" t="s">
        <v>321</v>
      </c>
      <c r="E316" s="5" t="s">
        <v>52</v>
      </c>
      <c r="F316" s="5" t="s">
        <v>62</v>
      </c>
      <c r="G316" s="5" t="s">
        <v>202</v>
      </c>
      <c r="H316" s="5" t="s">
        <v>464</v>
      </c>
      <c r="I316" s="6">
        <v>40940</v>
      </c>
      <c r="J316" s="5" t="s">
        <v>336</v>
      </c>
      <c r="K316" s="5" t="s">
        <v>511</v>
      </c>
      <c r="L316" s="5" t="s">
        <v>324</v>
      </c>
      <c r="M316" s="7">
        <v>6</v>
      </c>
      <c r="N316" s="7" t="s">
        <v>176</v>
      </c>
      <c r="O316" s="8">
        <v>5107</v>
      </c>
      <c r="P316" s="9">
        <v>0.02</v>
      </c>
      <c r="Q316" s="10">
        <f t="shared" si="53"/>
        <v>102</v>
      </c>
      <c r="R316" s="9">
        <v>5.0000000000000001E-3</v>
      </c>
      <c r="S316" s="10">
        <f t="shared" si="54"/>
        <v>26</v>
      </c>
      <c r="T316" s="9">
        <f t="shared" si="55"/>
        <v>2.5063638143724299E-2</v>
      </c>
      <c r="U316" s="10">
        <f t="shared" si="56"/>
        <v>128</v>
      </c>
      <c r="V316" s="10">
        <f t="shared" si="57"/>
        <v>5235</v>
      </c>
      <c r="W316" s="11">
        <v>5234.6750000000002</v>
      </c>
      <c r="X316" s="12">
        <f t="shared" si="58"/>
        <v>127.67500000000018</v>
      </c>
      <c r="Y316" s="13">
        <f t="shared" si="59"/>
        <v>2.5000000000000001E-2</v>
      </c>
      <c r="Z316" s="14" t="str">
        <f t="shared" si="60"/>
        <v>0.00%-8.40%</v>
      </c>
      <c r="AA316" s="15"/>
      <c r="AB316" s="15"/>
      <c r="AC316" s="15"/>
      <c r="AD316" s="16"/>
      <c r="AE316" s="8">
        <f t="shared" si="61"/>
        <v>0</v>
      </c>
      <c r="AF316" s="17">
        <f t="shared" si="62"/>
        <v>5234.6750000000002</v>
      </c>
      <c r="AG316" s="18">
        <f t="shared" si="63"/>
        <v>127.67500000000018</v>
      </c>
      <c r="AH316" s="19">
        <f t="shared" si="64"/>
        <v>2.5000000000000133E-2</v>
      </c>
      <c r="AI316" s="20">
        <v>13.6</v>
      </c>
      <c r="AJ316" s="20">
        <v>450</v>
      </c>
      <c r="AK316" s="20"/>
      <c r="AL316" s="20">
        <v>688</v>
      </c>
      <c r="AM316" s="20">
        <f t="shared" si="65"/>
        <v>77279.58</v>
      </c>
      <c r="AN316" s="7" t="s">
        <v>176</v>
      </c>
      <c r="AO316" s="20"/>
      <c r="AP316" s="21" t="s">
        <v>465</v>
      </c>
      <c r="AQ316" s="21"/>
      <c r="AR316" s="5" t="s">
        <v>466</v>
      </c>
      <c r="AS316" s="5" t="s">
        <v>164</v>
      </c>
      <c r="AT316" s="5" t="s">
        <v>59</v>
      </c>
      <c r="AU316" s="20"/>
      <c r="AV316" s="21"/>
      <c r="AW316" s="21"/>
      <c r="AX316" s="21"/>
    </row>
    <row r="317" spans="1:50" s="55" customFormat="1">
      <c r="A317" s="86" t="s">
        <v>318</v>
      </c>
      <c r="B317" s="5">
        <v>15011665</v>
      </c>
      <c r="C317" s="5" t="s">
        <v>687</v>
      </c>
      <c r="D317" s="5" t="s">
        <v>321</v>
      </c>
      <c r="E317" s="5" t="s">
        <v>52</v>
      </c>
      <c r="F317" s="5" t="s">
        <v>62</v>
      </c>
      <c r="G317" s="5" t="s">
        <v>202</v>
      </c>
      <c r="H317" s="5" t="s">
        <v>464</v>
      </c>
      <c r="I317" s="6">
        <v>41640</v>
      </c>
      <c r="J317" s="5" t="s">
        <v>336</v>
      </c>
      <c r="K317" s="5" t="s">
        <v>511</v>
      </c>
      <c r="L317" s="5" t="s">
        <v>324</v>
      </c>
      <c r="M317" s="7">
        <v>6</v>
      </c>
      <c r="N317" s="7" t="s">
        <v>176</v>
      </c>
      <c r="O317" s="8">
        <v>4723</v>
      </c>
      <c r="P317" s="9">
        <v>0.02</v>
      </c>
      <c r="Q317" s="10">
        <f t="shared" si="53"/>
        <v>94</v>
      </c>
      <c r="R317" s="9">
        <v>5.0000000000000001E-3</v>
      </c>
      <c r="S317" s="10">
        <f t="shared" si="54"/>
        <v>24</v>
      </c>
      <c r="T317" s="9">
        <f t="shared" si="55"/>
        <v>2.4984120262544991E-2</v>
      </c>
      <c r="U317" s="10">
        <f t="shared" si="56"/>
        <v>118</v>
      </c>
      <c r="V317" s="10">
        <f t="shared" si="57"/>
        <v>4841</v>
      </c>
      <c r="W317" s="11">
        <v>4841.0749999999998</v>
      </c>
      <c r="X317" s="12">
        <f t="shared" si="58"/>
        <v>118.07499999999982</v>
      </c>
      <c r="Y317" s="13">
        <f t="shared" si="59"/>
        <v>2.5000000000000001E-2</v>
      </c>
      <c r="Z317" s="14" t="str">
        <f t="shared" si="60"/>
        <v>0.00%-8.40%</v>
      </c>
      <c r="AA317" s="15"/>
      <c r="AB317" s="15"/>
      <c r="AC317" s="15"/>
      <c r="AD317" s="16"/>
      <c r="AE317" s="8">
        <f t="shared" si="61"/>
        <v>0</v>
      </c>
      <c r="AF317" s="17">
        <f t="shared" si="62"/>
        <v>4841.0749999999998</v>
      </c>
      <c r="AG317" s="18">
        <f t="shared" si="63"/>
        <v>118.07499999999982</v>
      </c>
      <c r="AH317" s="19">
        <f t="shared" si="64"/>
        <v>2.4999999999999911E-2</v>
      </c>
      <c r="AI317" s="20">
        <v>13.6</v>
      </c>
      <c r="AJ317" s="20">
        <v>450</v>
      </c>
      <c r="AK317" s="20"/>
      <c r="AL317" s="20">
        <v>688</v>
      </c>
      <c r="AM317" s="20">
        <f t="shared" si="65"/>
        <v>71926.62</v>
      </c>
      <c r="AN317" s="7" t="s">
        <v>176</v>
      </c>
      <c r="AO317" s="20"/>
      <c r="AP317" s="21" t="s">
        <v>465</v>
      </c>
      <c r="AQ317" s="21"/>
      <c r="AR317" s="5" t="s">
        <v>466</v>
      </c>
      <c r="AS317" s="5" t="s">
        <v>164</v>
      </c>
      <c r="AT317" s="5" t="s">
        <v>59</v>
      </c>
      <c r="AU317" s="20"/>
      <c r="AV317" s="21"/>
      <c r="AW317" s="21"/>
      <c r="AX317" s="21"/>
    </row>
    <row r="318" spans="1:50" s="55" customFormat="1">
      <c r="A318" s="86" t="s">
        <v>318</v>
      </c>
      <c r="B318" s="5">
        <v>15011123</v>
      </c>
      <c r="C318" s="5" t="s">
        <v>688</v>
      </c>
      <c r="D318" s="5" t="s">
        <v>321</v>
      </c>
      <c r="E318" s="5" t="s">
        <v>52</v>
      </c>
      <c r="F318" s="5" t="s">
        <v>62</v>
      </c>
      <c r="G318" s="5" t="s">
        <v>202</v>
      </c>
      <c r="H318" s="5" t="s">
        <v>464</v>
      </c>
      <c r="I318" s="6">
        <v>41640</v>
      </c>
      <c r="J318" s="5" t="s">
        <v>336</v>
      </c>
      <c r="K318" s="5" t="s">
        <v>511</v>
      </c>
      <c r="L318" s="5" t="s">
        <v>324</v>
      </c>
      <c r="M318" s="7">
        <v>6</v>
      </c>
      <c r="N318" s="7" t="s">
        <v>176</v>
      </c>
      <c r="O318" s="8">
        <v>4747</v>
      </c>
      <c r="P318" s="9">
        <v>0.02</v>
      </c>
      <c r="Q318" s="10">
        <f t="shared" si="53"/>
        <v>95</v>
      </c>
      <c r="R318" s="9">
        <v>5.0000000000000001E-3</v>
      </c>
      <c r="S318" s="10">
        <f t="shared" si="54"/>
        <v>24</v>
      </c>
      <c r="T318" s="9">
        <f t="shared" si="55"/>
        <v>2.5068464293237835E-2</v>
      </c>
      <c r="U318" s="10">
        <f t="shared" si="56"/>
        <v>119</v>
      </c>
      <c r="V318" s="10">
        <f t="shared" si="57"/>
        <v>4866</v>
      </c>
      <c r="W318" s="11">
        <v>4865.6750000000002</v>
      </c>
      <c r="X318" s="12">
        <f t="shared" si="58"/>
        <v>118.67500000000018</v>
      </c>
      <c r="Y318" s="13">
        <f t="shared" si="59"/>
        <v>2.5000000000000001E-2</v>
      </c>
      <c r="Z318" s="14" t="str">
        <f t="shared" si="60"/>
        <v>0.00%-8.40%</v>
      </c>
      <c r="AA318" s="15"/>
      <c r="AB318" s="15"/>
      <c r="AC318" s="15"/>
      <c r="AD318" s="16"/>
      <c r="AE318" s="8">
        <f t="shared" si="61"/>
        <v>0</v>
      </c>
      <c r="AF318" s="17">
        <f t="shared" si="62"/>
        <v>4865.6750000000002</v>
      </c>
      <c r="AG318" s="18">
        <f t="shared" si="63"/>
        <v>118.67500000000018</v>
      </c>
      <c r="AH318" s="19">
        <f t="shared" si="64"/>
        <v>2.5000000000000133E-2</v>
      </c>
      <c r="AI318" s="20">
        <v>13.6</v>
      </c>
      <c r="AJ318" s="20">
        <v>450</v>
      </c>
      <c r="AK318" s="20"/>
      <c r="AL318" s="20">
        <v>688</v>
      </c>
      <c r="AM318" s="20">
        <f t="shared" si="65"/>
        <v>72261.180000000008</v>
      </c>
      <c r="AN318" s="7" t="s">
        <v>176</v>
      </c>
      <c r="AO318" s="20"/>
      <c r="AP318" s="21" t="s">
        <v>465</v>
      </c>
      <c r="AQ318" s="21"/>
      <c r="AR318" s="5" t="s">
        <v>466</v>
      </c>
      <c r="AS318" s="5" t="s">
        <v>164</v>
      </c>
      <c r="AT318" s="5" t="s">
        <v>59</v>
      </c>
      <c r="AU318" s="20"/>
      <c r="AV318" s="21"/>
      <c r="AW318" s="21"/>
      <c r="AX318" s="21"/>
    </row>
    <row r="319" spans="1:50" s="55" customFormat="1">
      <c r="A319" s="86" t="s">
        <v>318</v>
      </c>
      <c r="B319" s="5">
        <v>15007473</v>
      </c>
      <c r="C319" s="5" t="s">
        <v>689</v>
      </c>
      <c r="D319" s="5" t="s">
        <v>321</v>
      </c>
      <c r="E319" s="5" t="s">
        <v>52</v>
      </c>
      <c r="F319" s="5" t="s">
        <v>62</v>
      </c>
      <c r="G319" s="5" t="s">
        <v>202</v>
      </c>
      <c r="H319" s="5" t="s">
        <v>464</v>
      </c>
      <c r="I319" s="6">
        <v>41153</v>
      </c>
      <c r="J319" s="5" t="s">
        <v>336</v>
      </c>
      <c r="K319" s="5" t="s">
        <v>511</v>
      </c>
      <c r="L319" s="5" t="s">
        <v>324</v>
      </c>
      <c r="M319" s="7">
        <v>6</v>
      </c>
      <c r="N319" s="7" t="s">
        <v>176</v>
      </c>
      <c r="O319" s="8">
        <v>5106</v>
      </c>
      <c r="P319" s="9">
        <v>0.02</v>
      </c>
      <c r="Q319" s="10">
        <f t="shared" si="53"/>
        <v>102</v>
      </c>
      <c r="R319" s="9">
        <v>5.0000000000000001E-3</v>
      </c>
      <c r="S319" s="10">
        <f t="shared" si="54"/>
        <v>26</v>
      </c>
      <c r="T319" s="9">
        <f t="shared" si="55"/>
        <v>2.5068546807677242E-2</v>
      </c>
      <c r="U319" s="10">
        <f t="shared" si="56"/>
        <v>128</v>
      </c>
      <c r="V319" s="10">
        <f t="shared" si="57"/>
        <v>5234</v>
      </c>
      <c r="W319" s="11">
        <v>5233.6499999999996</v>
      </c>
      <c r="X319" s="12">
        <f t="shared" si="58"/>
        <v>127.64999999999964</v>
      </c>
      <c r="Y319" s="13">
        <f t="shared" si="59"/>
        <v>2.5000000000000001E-2</v>
      </c>
      <c r="Z319" s="14" t="str">
        <f t="shared" si="60"/>
        <v>0.00%-8.40%</v>
      </c>
      <c r="AA319" s="15"/>
      <c r="AB319" s="15"/>
      <c r="AC319" s="15"/>
      <c r="AD319" s="16"/>
      <c r="AE319" s="8">
        <f t="shared" si="61"/>
        <v>0</v>
      </c>
      <c r="AF319" s="17">
        <f t="shared" si="62"/>
        <v>5233.6499999999996</v>
      </c>
      <c r="AG319" s="18">
        <f t="shared" si="63"/>
        <v>127.64999999999964</v>
      </c>
      <c r="AH319" s="19">
        <f t="shared" si="64"/>
        <v>2.4999999999999911E-2</v>
      </c>
      <c r="AI319" s="20">
        <v>13.6</v>
      </c>
      <c r="AJ319" s="20">
        <v>450</v>
      </c>
      <c r="AK319" s="20"/>
      <c r="AL319" s="20">
        <v>688</v>
      </c>
      <c r="AM319" s="20">
        <f t="shared" si="65"/>
        <v>77265.64</v>
      </c>
      <c r="AN319" s="7" t="s">
        <v>176</v>
      </c>
      <c r="AO319" s="20"/>
      <c r="AP319" s="21" t="s">
        <v>465</v>
      </c>
      <c r="AQ319" s="21"/>
      <c r="AR319" s="5" t="s">
        <v>466</v>
      </c>
      <c r="AS319" s="5" t="s">
        <v>164</v>
      </c>
      <c r="AT319" s="5" t="s">
        <v>59</v>
      </c>
      <c r="AU319" s="20"/>
      <c r="AV319" s="21"/>
      <c r="AW319" s="21"/>
      <c r="AX319" s="21"/>
    </row>
    <row r="320" spans="1:50" s="55" customFormat="1">
      <c r="A320" s="86" t="s">
        <v>318</v>
      </c>
      <c r="B320" s="5">
        <v>15010239</v>
      </c>
      <c r="C320" s="5" t="s">
        <v>690</v>
      </c>
      <c r="D320" s="5" t="s">
        <v>321</v>
      </c>
      <c r="E320" s="5" t="s">
        <v>52</v>
      </c>
      <c r="F320" s="5" t="s">
        <v>62</v>
      </c>
      <c r="G320" s="5" t="s">
        <v>202</v>
      </c>
      <c r="H320" s="5" t="s">
        <v>464</v>
      </c>
      <c r="I320" s="6">
        <v>41548</v>
      </c>
      <c r="J320" s="5" t="s">
        <v>336</v>
      </c>
      <c r="K320" s="5" t="s">
        <v>511</v>
      </c>
      <c r="L320" s="5" t="s">
        <v>324</v>
      </c>
      <c r="M320" s="7">
        <v>6</v>
      </c>
      <c r="N320" s="7" t="s">
        <v>176</v>
      </c>
      <c r="O320" s="8">
        <v>5035</v>
      </c>
      <c r="P320" s="9">
        <v>0.02</v>
      </c>
      <c r="Q320" s="10">
        <f t="shared" si="53"/>
        <v>101</v>
      </c>
      <c r="R320" s="9">
        <v>5.0000000000000001E-3</v>
      </c>
      <c r="S320" s="10">
        <f t="shared" si="54"/>
        <v>25</v>
      </c>
      <c r="T320" s="9">
        <f t="shared" si="55"/>
        <v>2.5024826216484608E-2</v>
      </c>
      <c r="U320" s="10">
        <f t="shared" si="56"/>
        <v>126</v>
      </c>
      <c r="V320" s="10">
        <f t="shared" si="57"/>
        <v>5161</v>
      </c>
      <c r="W320" s="11">
        <v>5160.875</v>
      </c>
      <c r="X320" s="12">
        <f t="shared" si="58"/>
        <v>125.875</v>
      </c>
      <c r="Y320" s="13">
        <f t="shared" si="59"/>
        <v>2.5000000000000001E-2</v>
      </c>
      <c r="Z320" s="14" t="str">
        <f t="shared" si="60"/>
        <v>0.00%-8.40%</v>
      </c>
      <c r="AA320" s="15"/>
      <c r="AB320" s="15"/>
      <c r="AC320" s="15"/>
      <c r="AD320" s="16"/>
      <c r="AE320" s="8">
        <f t="shared" si="61"/>
        <v>0</v>
      </c>
      <c r="AF320" s="17">
        <f t="shared" si="62"/>
        <v>5160.875</v>
      </c>
      <c r="AG320" s="18">
        <f t="shared" si="63"/>
        <v>125.875</v>
      </c>
      <c r="AH320" s="19">
        <f t="shared" si="64"/>
        <v>2.4999999999999911E-2</v>
      </c>
      <c r="AI320" s="20">
        <v>13.6</v>
      </c>
      <c r="AJ320" s="20">
        <v>450</v>
      </c>
      <c r="AK320" s="20"/>
      <c r="AL320" s="20">
        <v>688</v>
      </c>
      <c r="AM320" s="20">
        <f t="shared" si="65"/>
        <v>76275.899999999994</v>
      </c>
      <c r="AN320" s="7" t="s">
        <v>176</v>
      </c>
      <c r="AO320" s="20"/>
      <c r="AP320" s="21" t="s">
        <v>465</v>
      </c>
      <c r="AQ320" s="21"/>
      <c r="AR320" s="5" t="s">
        <v>466</v>
      </c>
      <c r="AS320" s="5" t="s">
        <v>164</v>
      </c>
      <c r="AT320" s="5" t="s">
        <v>59</v>
      </c>
      <c r="AU320" s="20"/>
      <c r="AV320" s="21"/>
      <c r="AW320" s="21"/>
      <c r="AX320" s="21"/>
    </row>
    <row r="321" spans="1:50" s="55" customFormat="1">
      <c r="A321" s="86" t="s">
        <v>318</v>
      </c>
      <c r="B321" s="5">
        <v>15005926</v>
      </c>
      <c r="C321" s="5" t="s">
        <v>691</v>
      </c>
      <c r="D321" s="5" t="s">
        <v>321</v>
      </c>
      <c r="E321" s="5" t="s">
        <v>52</v>
      </c>
      <c r="F321" s="5" t="s">
        <v>62</v>
      </c>
      <c r="G321" s="5" t="s">
        <v>202</v>
      </c>
      <c r="H321" s="5" t="s">
        <v>464</v>
      </c>
      <c r="I321" s="6">
        <v>40817</v>
      </c>
      <c r="J321" s="5" t="s">
        <v>336</v>
      </c>
      <c r="K321" s="5" t="s">
        <v>511</v>
      </c>
      <c r="L321" s="5" t="s">
        <v>324</v>
      </c>
      <c r="M321" s="7">
        <v>6</v>
      </c>
      <c r="N321" s="7" t="s">
        <v>176</v>
      </c>
      <c r="O321" s="8">
        <v>4570</v>
      </c>
      <c r="P321" s="9">
        <v>0.02</v>
      </c>
      <c r="Q321" s="10">
        <f t="shared" si="53"/>
        <v>91</v>
      </c>
      <c r="R321" s="9">
        <v>5.0000000000000001E-3</v>
      </c>
      <c r="S321" s="10">
        <f t="shared" si="54"/>
        <v>23</v>
      </c>
      <c r="T321" s="9">
        <f t="shared" si="55"/>
        <v>2.4945295404814005E-2</v>
      </c>
      <c r="U321" s="10">
        <f t="shared" si="56"/>
        <v>114</v>
      </c>
      <c r="V321" s="10">
        <f t="shared" si="57"/>
        <v>4684</v>
      </c>
      <c r="W321" s="11">
        <v>4570</v>
      </c>
      <c r="X321" s="12">
        <f t="shared" si="58"/>
        <v>0</v>
      </c>
      <c r="Y321" s="13">
        <f t="shared" si="59"/>
        <v>0</v>
      </c>
      <c r="Z321" s="14" t="str">
        <f t="shared" si="60"/>
        <v>0.00%-8.40%</v>
      </c>
      <c r="AA321" s="15"/>
      <c r="AB321" s="15"/>
      <c r="AC321" s="15"/>
      <c r="AD321" s="16"/>
      <c r="AE321" s="8">
        <f t="shared" si="61"/>
        <v>0</v>
      </c>
      <c r="AF321" s="17">
        <f t="shared" si="62"/>
        <v>4570</v>
      </c>
      <c r="AG321" s="18">
        <f t="shared" si="63"/>
        <v>0</v>
      </c>
      <c r="AH321" s="19">
        <f t="shared" si="64"/>
        <v>0</v>
      </c>
      <c r="AI321" s="20">
        <v>13.6</v>
      </c>
      <c r="AJ321" s="20">
        <v>450</v>
      </c>
      <c r="AK321" s="20"/>
      <c r="AL321" s="20">
        <v>688</v>
      </c>
      <c r="AM321" s="20">
        <f t="shared" si="65"/>
        <v>68240</v>
      </c>
      <c r="AN321" s="7" t="s">
        <v>176</v>
      </c>
      <c r="AO321" s="20"/>
      <c r="AP321" s="21" t="s">
        <v>487</v>
      </c>
      <c r="AQ321" s="21" t="s">
        <v>496</v>
      </c>
      <c r="AR321" s="5" t="s">
        <v>466</v>
      </c>
      <c r="AS321" s="5" t="s">
        <v>164</v>
      </c>
      <c r="AT321" s="5" t="s">
        <v>59</v>
      </c>
      <c r="AU321" s="20"/>
      <c r="AV321" s="21"/>
      <c r="AW321" s="21"/>
      <c r="AX321" s="21"/>
    </row>
    <row r="322" spans="1:50" s="55" customFormat="1">
      <c r="A322" s="86" t="s">
        <v>318</v>
      </c>
      <c r="B322" s="5">
        <v>15018591</v>
      </c>
      <c r="C322" s="5" t="s">
        <v>692</v>
      </c>
      <c r="D322" s="5" t="s">
        <v>321</v>
      </c>
      <c r="E322" s="5" t="s">
        <v>52</v>
      </c>
      <c r="F322" s="5" t="s">
        <v>62</v>
      </c>
      <c r="G322" s="5" t="s">
        <v>202</v>
      </c>
      <c r="H322" s="5" t="s">
        <v>464</v>
      </c>
      <c r="I322" s="6">
        <v>43252</v>
      </c>
      <c r="J322" s="5" t="s">
        <v>336</v>
      </c>
      <c r="K322" s="5" t="s">
        <v>511</v>
      </c>
      <c r="L322" s="5" t="s">
        <v>324</v>
      </c>
      <c r="M322" s="7">
        <v>6</v>
      </c>
      <c r="N322" s="7" t="s">
        <v>176</v>
      </c>
      <c r="O322" s="8">
        <v>5486</v>
      </c>
      <c r="P322" s="9">
        <v>0.02</v>
      </c>
      <c r="Q322" s="10">
        <f t="shared" si="53"/>
        <v>110</v>
      </c>
      <c r="R322" s="9">
        <v>5.0000000000000001E-3</v>
      </c>
      <c r="S322" s="10">
        <f t="shared" si="54"/>
        <v>27</v>
      </c>
      <c r="T322" s="9">
        <f t="shared" si="55"/>
        <v>2.4972657674079475E-2</v>
      </c>
      <c r="U322" s="10">
        <f t="shared" si="56"/>
        <v>137</v>
      </c>
      <c r="V322" s="10">
        <f t="shared" si="57"/>
        <v>5623</v>
      </c>
      <c r="W322" s="11">
        <v>5760.3</v>
      </c>
      <c r="X322" s="12">
        <f t="shared" si="58"/>
        <v>274.30000000000018</v>
      </c>
      <c r="Y322" s="13">
        <f t="shared" si="59"/>
        <v>0.05</v>
      </c>
      <c r="Z322" s="14" t="str">
        <f t="shared" si="60"/>
        <v>0.00%-8.40%</v>
      </c>
      <c r="AA322" s="15"/>
      <c r="AB322" s="15"/>
      <c r="AC322" s="15"/>
      <c r="AD322" s="16"/>
      <c r="AE322" s="8">
        <f t="shared" si="61"/>
        <v>0</v>
      </c>
      <c r="AF322" s="17">
        <f t="shared" si="62"/>
        <v>5760.3</v>
      </c>
      <c r="AG322" s="18">
        <f t="shared" si="63"/>
        <v>274.30000000000018</v>
      </c>
      <c r="AH322" s="19">
        <f t="shared" si="64"/>
        <v>5.0000000000000044E-2</v>
      </c>
      <c r="AI322" s="20">
        <v>13.6</v>
      </c>
      <c r="AJ322" s="20">
        <v>450</v>
      </c>
      <c r="AK322" s="20"/>
      <c r="AL322" s="20">
        <v>688</v>
      </c>
      <c r="AM322" s="20">
        <f t="shared" si="65"/>
        <v>84428.08</v>
      </c>
      <c r="AN322" s="7" t="s">
        <v>176</v>
      </c>
      <c r="AO322" s="20"/>
      <c r="AP322" s="21" t="s">
        <v>465</v>
      </c>
      <c r="AQ322" s="21"/>
      <c r="AR322" s="5" t="s">
        <v>466</v>
      </c>
      <c r="AS322" s="5" t="s">
        <v>164</v>
      </c>
      <c r="AT322" s="5" t="s">
        <v>59</v>
      </c>
      <c r="AU322" s="20"/>
      <c r="AV322" s="21"/>
      <c r="AW322" s="21"/>
      <c r="AX322" s="21"/>
    </row>
    <row r="323" spans="1:50" s="55" customFormat="1">
      <c r="A323" s="86" t="s">
        <v>318</v>
      </c>
      <c r="B323" s="5">
        <v>15013440</v>
      </c>
      <c r="C323" s="5" t="s">
        <v>693</v>
      </c>
      <c r="D323" s="5" t="s">
        <v>321</v>
      </c>
      <c r="E323" s="5" t="s">
        <v>52</v>
      </c>
      <c r="F323" s="5" t="s">
        <v>62</v>
      </c>
      <c r="G323" s="5" t="s">
        <v>202</v>
      </c>
      <c r="H323" s="5" t="s">
        <v>464</v>
      </c>
      <c r="I323" s="6">
        <v>41944</v>
      </c>
      <c r="J323" s="5" t="s">
        <v>336</v>
      </c>
      <c r="K323" s="5" t="s">
        <v>511</v>
      </c>
      <c r="L323" s="5" t="s">
        <v>324</v>
      </c>
      <c r="M323" s="7">
        <v>6</v>
      </c>
      <c r="N323" s="7" t="s">
        <v>176</v>
      </c>
      <c r="O323" s="8">
        <v>4694</v>
      </c>
      <c r="P323" s="9">
        <v>0.02</v>
      </c>
      <c r="Q323" s="10">
        <f t="shared" si="53"/>
        <v>94</v>
      </c>
      <c r="R323" s="9">
        <v>5.0000000000000001E-3</v>
      </c>
      <c r="S323" s="10">
        <f t="shared" si="54"/>
        <v>23</v>
      </c>
      <c r="T323" s="9">
        <f t="shared" si="55"/>
        <v>2.4925436727737536E-2</v>
      </c>
      <c r="U323" s="10">
        <f t="shared" si="56"/>
        <v>117</v>
      </c>
      <c r="V323" s="10">
        <f t="shared" si="57"/>
        <v>4811</v>
      </c>
      <c r="W323" s="11">
        <v>4811.3500000000004</v>
      </c>
      <c r="X323" s="12">
        <f t="shared" si="58"/>
        <v>117.35000000000036</v>
      </c>
      <c r="Y323" s="13">
        <f t="shared" si="59"/>
        <v>2.5000000000000001E-2</v>
      </c>
      <c r="Z323" s="14" t="str">
        <f t="shared" si="60"/>
        <v>0.00%-8.40%</v>
      </c>
      <c r="AA323" s="15"/>
      <c r="AB323" s="15"/>
      <c r="AC323" s="15"/>
      <c r="AD323" s="16"/>
      <c r="AE323" s="8">
        <f t="shared" si="61"/>
        <v>0</v>
      </c>
      <c r="AF323" s="17">
        <f t="shared" si="62"/>
        <v>4811.3500000000004</v>
      </c>
      <c r="AG323" s="18">
        <f t="shared" si="63"/>
        <v>117.35000000000036</v>
      </c>
      <c r="AH323" s="19">
        <f t="shared" si="64"/>
        <v>2.5000000000000133E-2</v>
      </c>
      <c r="AI323" s="20">
        <v>13.6</v>
      </c>
      <c r="AJ323" s="20">
        <v>450</v>
      </c>
      <c r="AK323" s="20"/>
      <c r="AL323" s="20">
        <v>688</v>
      </c>
      <c r="AM323" s="20">
        <f t="shared" si="65"/>
        <v>71522.36</v>
      </c>
      <c r="AN323" s="7" t="s">
        <v>176</v>
      </c>
      <c r="AO323" s="20"/>
      <c r="AP323" s="21" t="s">
        <v>465</v>
      </c>
      <c r="AQ323" s="21"/>
      <c r="AR323" s="5" t="s">
        <v>466</v>
      </c>
      <c r="AS323" s="5" t="s">
        <v>164</v>
      </c>
      <c r="AT323" s="5" t="s">
        <v>59</v>
      </c>
      <c r="AU323" s="20"/>
      <c r="AV323" s="21"/>
      <c r="AW323" s="21"/>
      <c r="AX323" s="21"/>
    </row>
    <row r="324" spans="1:50" s="55" customFormat="1">
      <c r="A324" s="86" t="s">
        <v>318</v>
      </c>
      <c r="B324" s="5">
        <v>15013350</v>
      </c>
      <c r="C324" s="5" t="s">
        <v>694</v>
      </c>
      <c r="D324" s="5" t="s">
        <v>321</v>
      </c>
      <c r="E324" s="5" t="s">
        <v>52</v>
      </c>
      <c r="F324" s="5" t="s">
        <v>62</v>
      </c>
      <c r="G324" s="5" t="s">
        <v>202</v>
      </c>
      <c r="H324" s="5" t="s">
        <v>464</v>
      </c>
      <c r="I324" s="6">
        <v>41913</v>
      </c>
      <c r="J324" s="5" t="s">
        <v>336</v>
      </c>
      <c r="K324" s="5" t="s">
        <v>511</v>
      </c>
      <c r="L324" s="5" t="s">
        <v>324</v>
      </c>
      <c r="M324" s="7">
        <v>6</v>
      </c>
      <c r="N324" s="7" t="s">
        <v>176</v>
      </c>
      <c r="O324" s="8">
        <v>4715</v>
      </c>
      <c r="P324" s="9">
        <v>0.02</v>
      </c>
      <c r="Q324" s="10">
        <f t="shared" si="53"/>
        <v>94</v>
      </c>
      <c r="R324" s="9">
        <v>5.0000000000000001E-3</v>
      </c>
      <c r="S324" s="10">
        <f t="shared" si="54"/>
        <v>24</v>
      </c>
      <c r="T324" s="9">
        <f t="shared" si="55"/>
        <v>2.5026511134676563E-2</v>
      </c>
      <c r="U324" s="10">
        <f t="shared" si="56"/>
        <v>118</v>
      </c>
      <c r="V324" s="10">
        <f t="shared" si="57"/>
        <v>4833</v>
      </c>
      <c r="W324" s="11">
        <v>4738.5749999999998</v>
      </c>
      <c r="X324" s="12">
        <f t="shared" si="58"/>
        <v>23.574999999999818</v>
      </c>
      <c r="Y324" s="13">
        <f t="shared" si="59"/>
        <v>5.0000000000000001E-3</v>
      </c>
      <c r="Z324" s="14" t="str">
        <f t="shared" si="60"/>
        <v>0.00%-8.40%</v>
      </c>
      <c r="AA324" s="15"/>
      <c r="AB324" s="15"/>
      <c r="AC324" s="15"/>
      <c r="AD324" s="16"/>
      <c r="AE324" s="8">
        <f t="shared" si="61"/>
        <v>0</v>
      </c>
      <c r="AF324" s="17">
        <f t="shared" si="62"/>
        <v>4738.5749999999998</v>
      </c>
      <c r="AG324" s="18">
        <f t="shared" si="63"/>
        <v>23.574999999999818</v>
      </c>
      <c r="AH324" s="19">
        <f t="shared" si="64"/>
        <v>4.9999999999998934E-3</v>
      </c>
      <c r="AI324" s="20">
        <v>13.6</v>
      </c>
      <c r="AJ324" s="20">
        <v>450</v>
      </c>
      <c r="AK324" s="20"/>
      <c r="AL324" s="20">
        <v>688</v>
      </c>
      <c r="AM324" s="20">
        <f t="shared" si="65"/>
        <v>70532.62</v>
      </c>
      <c r="AN324" s="7" t="s">
        <v>176</v>
      </c>
      <c r="AO324" s="20"/>
      <c r="AP324" s="21" t="s">
        <v>513</v>
      </c>
      <c r="AQ324" s="21"/>
      <c r="AR324" s="5" t="s">
        <v>466</v>
      </c>
      <c r="AS324" s="5" t="s">
        <v>164</v>
      </c>
      <c r="AT324" s="5" t="s">
        <v>59</v>
      </c>
      <c r="AU324" s="20"/>
      <c r="AV324" s="21"/>
      <c r="AW324" s="21"/>
      <c r="AX324" s="21"/>
    </row>
    <row r="325" spans="1:50" s="55" customFormat="1">
      <c r="A325" s="86" t="s">
        <v>318</v>
      </c>
      <c r="B325" s="5">
        <v>15014290</v>
      </c>
      <c r="C325" s="5" t="s">
        <v>695</v>
      </c>
      <c r="D325" s="5" t="s">
        <v>321</v>
      </c>
      <c r="E325" s="5" t="s">
        <v>52</v>
      </c>
      <c r="F325" s="5" t="s">
        <v>62</v>
      </c>
      <c r="G325" s="5" t="s">
        <v>202</v>
      </c>
      <c r="H325" s="5" t="s">
        <v>464</v>
      </c>
      <c r="I325" s="6">
        <v>42248</v>
      </c>
      <c r="J325" s="5" t="s">
        <v>336</v>
      </c>
      <c r="K325" s="5" t="s">
        <v>511</v>
      </c>
      <c r="L325" s="5" t="s">
        <v>324</v>
      </c>
      <c r="M325" s="7">
        <v>6</v>
      </c>
      <c r="N325" s="7" t="s">
        <v>176</v>
      </c>
      <c r="O325" s="8">
        <v>5440</v>
      </c>
      <c r="P325" s="9">
        <v>0.02</v>
      </c>
      <c r="Q325" s="10">
        <f t="shared" si="53"/>
        <v>109</v>
      </c>
      <c r="R325" s="9">
        <v>5.0000000000000001E-3</v>
      </c>
      <c r="S325" s="10">
        <f t="shared" si="54"/>
        <v>27</v>
      </c>
      <c r="T325" s="9">
        <f t="shared" si="55"/>
        <v>2.5000000000000001E-2</v>
      </c>
      <c r="U325" s="10">
        <f t="shared" si="56"/>
        <v>136</v>
      </c>
      <c r="V325" s="10">
        <f t="shared" si="57"/>
        <v>5576</v>
      </c>
      <c r="W325" s="11">
        <v>5657.6</v>
      </c>
      <c r="X325" s="12">
        <f t="shared" si="58"/>
        <v>217.60000000000036</v>
      </c>
      <c r="Y325" s="13">
        <f t="shared" si="59"/>
        <v>0.04</v>
      </c>
      <c r="Z325" s="14" t="str">
        <f t="shared" si="60"/>
        <v>0.00%-8.40%</v>
      </c>
      <c r="AA325" s="15"/>
      <c r="AB325" s="15"/>
      <c r="AC325" s="15"/>
      <c r="AD325" s="16"/>
      <c r="AE325" s="8">
        <f t="shared" si="61"/>
        <v>0</v>
      </c>
      <c r="AF325" s="17">
        <f t="shared" si="62"/>
        <v>5657.6</v>
      </c>
      <c r="AG325" s="18">
        <f t="shared" si="63"/>
        <v>217.60000000000036</v>
      </c>
      <c r="AH325" s="19">
        <f t="shared" si="64"/>
        <v>4.0000000000000036E-2</v>
      </c>
      <c r="AI325" s="20">
        <v>13.6</v>
      </c>
      <c r="AJ325" s="20">
        <v>450</v>
      </c>
      <c r="AK325" s="20"/>
      <c r="AL325" s="20">
        <v>688</v>
      </c>
      <c r="AM325" s="20">
        <f t="shared" si="65"/>
        <v>83031.360000000001</v>
      </c>
      <c r="AN325" s="7" t="s">
        <v>176</v>
      </c>
      <c r="AO325" s="20"/>
      <c r="AP325" s="21" t="s">
        <v>525</v>
      </c>
      <c r="AQ325" s="21"/>
      <c r="AR325" s="5" t="s">
        <v>466</v>
      </c>
      <c r="AS325" s="5" t="s">
        <v>164</v>
      </c>
      <c r="AT325" s="5" t="s">
        <v>59</v>
      </c>
      <c r="AU325" s="20"/>
      <c r="AV325" s="21"/>
      <c r="AW325" s="21"/>
      <c r="AX325" s="21"/>
    </row>
    <row r="326" spans="1:50" s="55" customFormat="1">
      <c r="A326" s="86" t="s">
        <v>318</v>
      </c>
      <c r="B326" s="5">
        <v>15020269</v>
      </c>
      <c r="C326" s="5" t="s">
        <v>696</v>
      </c>
      <c r="D326" s="5" t="s">
        <v>321</v>
      </c>
      <c r="E326" s="5" t="s">
        <v>52</v>
      </c>
      <c r="F326" s="5" t="s">
        <v>62</v>
      </c>
      <c r="G326" s="5" t="s">
        <v>202</v>
      </c>
      <c r="H326" s="5" t="s">
        <v>464</v>
      </c>
      <c r="I326" s="6">
        <v>44531</v>
      </c>
      <c r="J326" s="5" t="s">
        <v>336</v>
      </c>
      <c r="K326" s="5" t="s">
        <v>511</v>
      </c>
      <c r="L326" s="5" t="s">
        <v>324</v>
      </c>
      <c r="M326" s="7">
        <v>6</v>
      </c>
      <c r="N326" s="7" t="s">
        <v>176</v>
      </c>
      <c r="O326" s="8">
        <v>4751</v>
      </c>
      <c r="P326" s="9">
        <v>0.02</v>
      </c>
      <c r="Q326" s="10">
        <f t="shared" si="53"/>
        <v>95</v>
      </c>
      <c r="R326" s="9">
        <v>5.0000000000000001E-3</v>
      </c>
      <c r="S326" s="10">
        <f t="shared" si="54"/>
        <v>24</v>
      </c>
      <c r="T326" s="9">
        <f t="shared" si="55"/>
        <v>2.5047358450852451E-2</v>
      </c>
      <c r="U326" s="10">
        <f t="shared" si="56"/>
        <v>119</v>
      </c>
      <c r="V326" s="10">
        <f t="shared" si="57"/>
        <v>4870</v>
      </c>
      <c r="W326" s="11">
        <v>4869.7749999999996</v>
      </c>
      <c r="X326" s="12">
        <f t="shared" si="58"/>
        <v>118.77499999999964</v>
      </c>
      <c r="Y326" s="13">
        <f t="shared" si="59"/>
        <v>2.5000000000000001E-2</v>
      </c>
      <c r="Z326" s="14" t="str">
        <f t="shared" si="60"/>
        <v>0.00%-8.40%</v>
      </c>
      <c r="AA326" s="15"/>
      <c r="AB326" s="15"/>
      <c r="AC326" s="15"/>
      <c r="AD326" s="16"/>
      <c r="AE326" s="8">
        <f t="shared" si="61"/>
        <v>0</v>
      </c>
      <c r="AF326" s="17">
        <f t="shared" si="62"/>
        <v>4869.7749999999996</v>
      </c>
      <c r="AG326" s="18">
        <f t="shared" si="63"/>
        <v>118.77499999999964</v>
      </c>
      <c r="AH326" s="19">
        <f t="shared" si="64"/>
        <v>2.4999999999999911E-2</v>
      </c>
      <c r="AI326" s="20">
        <v>13.6</v>
      </c>
      <c r="AJ326" s="20">
        <v>450</v>
      </c>
      <c r="AK326" s="20"/>
      <c r="AL326" s="20">
        <v>688</v>
      </c>
      <c r="AM326" s="20">
        <f t="shared" si="65"/>
        <v>72316.939999999988</v>
      </c>
      <c r="AN326" s="7" t="s">
        <v>176</v>
      </c>
      <c r="AO326" s="20"/>
      <c r="AP326" s="21" t="s">
        <v>465</v>
      </c>
      <c r="AQ326" s="21"/>
      <c r="AR326" s="5" t="s">
        <v>466</v>
      </c>
      <c r="AS326" s="5" t="s">
        <v>164</v>
      </c>
      <c r="AT326" s="5" t="s">
        <v>59</v>
      </c>
      <c r="AU326" s="20"/>
      <c r="AV326" s="21"/>
      <c r="AW326" s="21"/>
      <c r="AX326" s="21"/>
    </row>
    <row r="327" spans="1:50" s="55" customFormat="1">
      <c r="A327" s="86" t="s">
        <v>318</v>
      </c>
      <c r="B327" s="5">
        <v>15005574</v>
      </c>
      <c r="C327" s="5" t="s">
        <v>697</v>
      </c>
      <c r="D327" s="5" t="s">
        <v>321</v>
      </c>
      <c r="E327" s="5" t="s">
        <v>52</v>
      </c>
      <c r="F327" s="5" t="s">
        <v>62</v>
      </c>
      <c r="G327" s="5" t="s">
        <v>202</v>
      </c>
      <c r="H327" s="5" t="s">
        <v>464</v>
      </c>
      <c r="I327" s="6">
        <v>40787</v>
      </c>
      <c r="J327" s="5" t="s">
        <v>336</v>
      </c>
      <c r="K327" s="5" t="s">
        <v>511</v>
      </c>
      <c r="L327" s="5" t="s">
        <v>324</v>
      </c>
      <c r="M327" s="7">
        <v>6</v>
      </c>
      <c r="N327" s="7" t="s">
        <v>176</v>
      </c>
      <c r="O327" s="8">
        <v>4860</v>
      </c>
      <c r="P327" s="9">
        <v>0.02</v>
      </c>
      <c r="Q327" s="10">
        <f t="shared" si="53"/>
        <v>97</v>
      </c>
      <c r="R327" s="9">
        <v>5.0000000000000001E-3</v>
      </c>
      <c r="S327" s="10">
        <f t="shared" si="54"/>
        <v>24</v>
      </c>
      <c r="T327" s="9">
        <f t="shared" si="55"/>
        <v>2.4897119341563786E-2</v>
      </c>
      <c r="U327" s="10">
        <f t="shared" si="56"/>
        <v>121</v>
      </c>
      <c r="V327" s="10">
        <f t="shared" si="57"/>
        <v>4981</v>
      </c>
      <c r="W327" s="11">
        <v>4860</v>
      </c>
      <c r="X327" s="12">
        <f t="shared" si="58"/>
        <v>0</v>
      </c>
      <c r="Y327" s="13">
        <f t="shared" si="59"/>
        <v>0</v>
      </c>
      <c r="Z327" s="14" t="str">
        <f t="shared" si="60"/>
        <v>0.00%-8.40%</v>
      </c>
      <c r="AA327" s="15"/>
      <c r="AB327" s="15"/>
      <c r="AC327" s="15"/>
      <c r="AD327" s="16"/>
      <c r="AE327" s="8">
        <f t="shared" si="61"/>
        <v>0</v>
      </c>
      <c r="AF327" s="17">
        <f t="shared" si="62"/>
        <v>4860</v>
      </c>
      <c r="AG327" s="18">
        <f t="shared" si="63"/>
        <v>0</v>
      </c>
      <c r="AH327" s="19">
        <f t="shared" si="64"/>
        <v>0</v>
      </c>
      <c r="AI327" s="20">
        <v>13.6</v>
      </c>
      <c r="AJ327" s="20">
        <v>450</v>
      </c>
      <c r="AK327" s="20"/>
      <c r="AL327" s="20">
        <v>688</v>
      </c>
      <c r="AM327" s="20">
        <f t="shared" si="65"/>
        <v>72184</v>
      </c>
      <c r="AN327" s="7" t="s">
        <v>176</v>
      </c>
      <c r="AO327" s="20"/>
      <c r="AP327" s="21" t="s">
        <v>97</v>
      </c>
      <c r="AQ327" s="21" t="s">
        <v>97</v>
      </c>
      <c r="AR327" s="5" t="s">
        <v>466</v>
      </c>
      <c r="AS327" s="5" t="s">
        <v>164</v>
      </c>
      <c r="AT327" s="5" t="s">
        <v>59</v>
      </c>
      <c r="AU327" s="20"/>
      <c r="AV327" s="21"/>
      <c r="AW327" s="21"/>
      <c r="AX327" s="21"/>
    </row>
    <row r="328" spans="1:50" s="55" customFormat="1">
      <c r="A328" s="86" t="s">
        <v>318</v>
      </c>
      <c r="B328" s="5">
        <v>15021794</v>
      </c>
      <c r="C328" s="5" t="s">
        <v>698</v>
      </c>
      <c r="D328" s="5" t="s">
        <v>321</v>
      </c>
      <c r="E328" s="5" t="s">
        <v>52</v>
      </c>
      <c r="F328" s="5" t="s">
        <v>62</v>
      </c>
      <c r="G328" s="5" t="s">
        <v>202</v>
      </c>
      <c r="H328" s="5" t="s">
        <v>464</v>
      </c>
      <c r="I328" s="6">
        <v>44652</v>
      </c>
      <c r="J328" s="5" t="s">
        <v>336</v>
      </c>
      <c r="K328" s="5" t="s">
        <v>511</v>
      </c>
      <c r="L328" s="5" t="s">
        <v>324</v>
      </c>
      <c r="M328" s="7">
        <v>6</v>
      </c>
      <c r="N328" s="7" t="s">
        <v>176</v>
      </c>
      <c r="O328" s="8">
        <v>4625</v>
      </c>
      <c r="P328" s="9">
        <v>0.02</v>
      </c>
      <c r="Q328" s="10">
        <f t="shared" si="53"/>
        <v>93</v>
      </c>
      <c r="R328" s="9">
        <v>5.0000000000000001E-3</v>
      </c>
      <c r="S328" s="10">
        <f t="shared" si="54"/>
        <v>23</v>
      </c>
      <c r="T328" s="9">
        <f t="shared" si="55"/>
        <v>2.5081081081081081E-2</v>
      </c>
      <c r="U328" s="10">
        <f t="shared" si="56"/>
        <v>116</v>
      </c>
      <c r="V328" s="10">
        <f t="shared" si="57"/>
        <v>4741</v>
      </c>
      <c r="W328" s="11">
        <v>4740.625</v>
      </c>
      <c r="X328" s="12">
        <f t="shared" si="58"/>
        <v>115.625</v>
      </c>
      <c r="Y328" s="13">
        <f t="shared" si="59"/>
        <v>2.5000000000000001E-2</v>
      </c>
      <c r="Z328" s="14" t="str">
        <f t="shared" si="60"/>
        <v>0.00%-8.40%</v>
      </c>
      <c r="AA328" s="15"/>
      <c r="AB328" s="15"/>
      <c r="AC328" s="15"/>
      <c r="AD328" s="16"/>
      <c r="AE328" s="8">
        <f t="shared" si="61"/>
        <v>0</v>
      </c>
      <c r="AF328" s="17">
        <f t="shared" si="62"/>
        <v>4740.625</v>
      </c>
      <c r="AG328" s="18">
        <f t="shared" si="63"/>
        <v>115.625</v>
      </c>
      <c r="AH328" s="19">
        <f t="shared" si="64"/>
        <v>2.4999999999999911E-2</v>
      </c>
      <c r="AI328" s="20">
        <v>13.6</v>
      </c>
      <c r="AJ328" s="20">
        <v>500</v>
      </c>
      <c r="AK328" s="20"/>
      <c r="AL328" s="20">
        <v>688</v>
      </c>
      <c r="AM328" s="20">
        <f t="shared" si="65"/>
        <v>71160.5</v>
      </c>
      <c r="AN328" s="7" t="s">
        <v>176</v>
      </c>
      <c r="AO328" s="20"/>
      <c r="AP328" s="21" t="s">
        <v>465</v>
      </c>
      <c r="AQ328" s="21"/>
      <c r="AR328" s="5" t="s">
        <v>466</v>
      </c>
      <c r="AS328" s="5" t="s">
        <v>164</v>
      </c>
      <c r="AT328" s="5" t="s">
        <v>59</v>
      </c>
      <c r="AU328" s="20"/>
      <c r="AV328" s="21"/>
      <c r="AW328" s="21"/>
      <c r="AX328" s="21"/>
    </row>
    <row r="329" spans="1:50" s="55" customFormat="1">
      <c r="A329" s="86" t="s">
        <v>318</v>
      </c>
      <c r="B329" s="5">
        <v>15014934</v>
      </c>
      <c r="C329" s="5" t="s">
        <v>699</v>
      </c>
      <c r="D329" s="5" t="s">
        <v>321</v>
      </c>
      <c r="E329" s="5" t="s">
        <v>52</v>
      </c>
      <c r="F329" s="5" t="s">
        <v>62</v>
      </c>
      <c r="G329" s="5" t="s">
        <v>202</v>
      </c>
      <c r="H329" s="5" t="s">
        <v>464</v>
      </c>
      <c r="I329" s="6">
        <v>42401</v>
      </c>
      <c r="J329" s="5" t="s">
        <v>336</v>
      </c>
      <c r="K329" s="5" t="s">
        <v>511</v>
      </c>
      <c r="L329" s="5" t="s">
        <v>324</v>
      </c>
      <c r="M329" s="7">
        <v>6</v>
      </c>
      <c r="N329" s="7" t="s">
        <v>176</v>
      </c>
      <c r="O329" s="8">
        <v>4684</v>
      </c>
      <c r="P329" s="9">
        <v>0.02</v>
      </c>
      <c r="Q329" s="10">
        <f t="shared" ref="Q329:Q392" si="66">ROUND(O329*P329,0)</f>
        <v>94</v>
      </c>
      <c r="R329" s="9">
        <v>5.0000000000000001E-3</v>
      </c>
      <c r="S329" s="10">
        <f t="shared" ref="S329:S392" si="67">ROUND(O329*R329,0)</f>
        <v>23</v>
      </c>
      <c r="T329" s="9">
        <f t="shared" ref="T329:T392" si="68">U329/O329</f>
        <v>2.497865072587532E-2</v>
      </c>
      <c r="U329" s="10">
        <f t="shared" ref="U329:U392" si="69">Q329+S329</f>
        <v>117</v>
      </c>
      <c r="V329" s="10">
        <f t="shared" ref="V329:V392" si="70">O329+U329</f>
        <v>4801</v>
      </c>
      <c r="W329" s="11">
        <v>4801.1000000000004</v>
      </c>
      <c r="X329" s="12">
        <f t="shared" ref="X329:X392" si="71">W329-O329</f>
        <v>117.10000000000036</v>
      </c>
      <c r="Y329" s="13">
        <f t="shared" ref="Y329:Y392" si="72">ROUND(W329/O329-1,4)</f>
        <v>2.5000000000000001E-2</v>
      </c>
      <c r="Z329" s="14" t="str">
        <f t="shared" ref="Z329:Z392" si="73">IF(OR(M329=1,M329=2,M329=4),TEXT(T329*0.8,"0.00%")&amp;"-"&amp;TEXT(T329*1.2,"0.00%"),IF(OR(M329=3,M329=6),TEXT(0,"0.00%")&amp;"-"&amp;TEXT(7%*1.2,"0.00%"),IF(OR(M329=5,M329=7),TEXT((S329/O329),"0.00%")&amp;"-"&amp;TEXT((S329/O329)+7%,"0.00%"),"")))</f>
        <v>0.00%-8.40%</v>
      </c>
      <c r="AA329" s="15"/>
      <c r="AB329" s="15"/>
      <c r="AC329" s="15"/>
      <c r="AD329" s="16"/>
      <c r="AE329" s="8">
        <f t="shared" ref="AE329:AE392" si="74">ROUND(O329*AD329,0)</f>
        <v>0</v>
      </c>
      <c r="AF329" s="17">
        <f t="shared" ref="AF329:AF392" si="75">W329+AE329</f>
        <v>4801.1000000000004</v>
      </c>
      <c r="AG329" s="18">
        <f t="shared" ref="AG329:AG392" si="76">AF329-O329</f>
        <v>117.10000000000036</v>
      </c>
      <c r="AH329" s="19">
        <f t="shared" ref="AH329:AH392" si="77">AF329/O329-1</f>
        <v>2.5000000000000133E-2</v>
      </c>
      <c r="AI329" s="20">
        <v>13.6</v>
      </c>
      <c r="AJ329" s="20">
        <v>450</v>
      </c>
      <c r="AK329" s="20"/>
      <c r="AL329" s="20">
        <v>688</v>
      </c>
      <c r="AM329" s="20">
        <f t="shared" ref="AM329:AM392" si="78">AF329*AI329+AJ329*12+AL329+IF(AC329="",AK329,IF(AC329="D",5000,IF(AC329="C",1000,0)))*12</f>
        <v>71382.960000000006</v>
      </c>
      <c r="AN329" s="7" t="s">
        <v>176</v>
      </c>
      <c r="AO329" s="20"/>
      <c r="AP329" s="21" t="s">
        <v>465</v>
      </c>
      <c r="AQ329" s="21"/>
      <c r="AR329" s="5" t="s">
        <v>466</v>
      </c>
      <c r="AS329" s="5" t="s">
        <v>164</v>
      </c>
      <c r="AT329" s="5" t="s">
        <v>59</v>
      </c>
      <c r="AU329" s="20"/>
      <c r="AV329" s="21"/>
      <c r="AW329" s="21"/>
      <c r="AX329" s="21"/>
    </row>
    <row r="330" spans="1:50" s="55" customFormat="1">
      <c r="A330" s="86" t="s">
        <v>318</v>
      </c>
      <c r="B330" s="5">
        <v>15012649</v>
      </c>
      <c r="C330" s="5" t="s">
        <v>700</v>
      </c>
      <c r="D330" s="5" t="s">
        <v>321</v>
      </c>
      <c r="E330" s="5" t="s">
        <v>52</v>
      </c>
      <c r="F330" s="5" t="s">
        <v>62</v>
      </c>
      <c r="G330" s="5" t="s">
        <v>202</v>
      </c>
      <c r="H330" s="5" t="s">
        <v>464</v>
      </c>
      <c r="I330" s="6">
        <v>41791</v>
      </c>
      <c r="J330" s="5" t="s">
        <v>336</v>
      </c>
      <c r="K330" s="5" t="s">
        <v>548</v>
      </c>
      <c r="L330" s="5" t="s">
        <v>324</v>
      </c>
      <c r="M330" s="7">
        <v>6</v>
      </c>
      <c r="N330" s="7" t="s">
        <v>176</v>
      </c>
      <c r="O330" s="8">
        <v>4768</v>
      </c>
      <c r="P330" s="9">
        <v>0.02</v>
      </c>
      <c r="Q330" s="10">
        <f t="shared" si="66"/>
        <v>95</v>
      </c>
      <c r="R330" s="9">
        <v>5.0000000000000001E-3</v>
      </c>
      <c r="S330" s="10">
        <f t="shared" si="67"/>
        <v>24</v>
      </c>
      <c r="T330" s="9">
        <f t="shared" si="68"/>
        <v>2.4958053691275166E-2</v>
      </c>
      <c r="U330" s="10">
        <f t="shared" si="69"/>
        <v>119</v>
      </c>
      <c r="V330" s="10">
        <f t="shared" si="70"/>
        <v>4887</v>
      </c>
      <c r="W330" s="11">
        <v>4887.2</v>
      </c>
      <c r="X330" s="12">
        <f t="shared" si="71"/>
        <v>119.19999999999982</v>
      </c>
      <c r="Y330" s="13">
        <f t="shared" si="72"/>
        <v>2.5000000000000001E-2</v>
      </c>
      <c r="Z330" s="14" t="str">
        <f t="shared" si="73"/>
        <v>0.00%-8.40%</v>
      </c>
      <c r="AA330" s="15"/>
      <c r="AB330" s="15"/>
      <c r="AC330" s="15"/>
      <c r="AD330" s="16"/>
      <c r="AE330" s="8">
        <f t="shared" si="74"/>
        <v>0</v>
      </c>
      <c r="AF330" s="17">
        <f t="shared" si="75"/>
        <v>4887.2</v>
      </c>
      <c r="AG330" s="18">
        <f t="shared" si="76"/>
        <v>119.19999999999982</v>
      </c>
      <c r="AH330" s="19">
        <f t="shared" si="77"/>
        <v>2.4999999999999911E-2</v>
      </c>
      <c r="AI330" s="20">
        <v>13.6</v>
      </c>
      <c r="AJ330" s="20">
        <v>450</v>
      </c>
      <c r="AK330" s="20"/>
      <c r="AL330" s="20">
        <v>688</v>
      </c>
      <c r="AM330" s="20">
        <f t="shared" si="78"/>
        <v>72553.919999999998</v>
      </c>
      <c r="AN330" s="7" t="s">
        <v>176</v>
      </c>
      <c r="AO330" s="20"/>
      <c r="AP330" s="21" t="s">
        <v>465</v>
      </c>
      <c r="AQ330" s="21"/>
      <c r="AR330" s="5" t="s">
        <v>466</v>
      </c>
      <c r="AS330" s="5" t="s">
        <v>164</v>
      </c>
      <c r="AT330" s="5" t="s">
        <v>59</v>
      </c>
      <c r="AU330" s="20"/>
      <c r="AV330" s="21"/>
      <c r="AW330" s="21"/>
      <c r="AX330" s="21"/>
    </row>
    <row r="331" spans="1:50" s="55" customFormat="1">
      <c r="A331" s="86" t="s">
        <v>318</v>
      </c>
      <c r="B331" s="5">
        <v>15018186</v>
      </c>
      <c r="C331" s="5" t="s">
        <v>701</v>
      </c>
      <c r="D331" s="5" t="s">
        <v>321</v>
      </c>
      <c r="E331" s="5" t="s">
        <v>52</v>
      </c>
      <c r="F331" s="5" t="s">
        <v>62</v>
      </c>
      <c r="G331" s="5" t="s">
        <v>202</v>
      </c>
      <c r="H331" s="5" t="s">
        <v>464</v>
      </c>
      <c r="I331" s="6">
        <v>43160</v>
      </c>
      <c r="J331" s="5" t="s">
        <v>336</v>
      </c>
      <c r="K331" s="5" t="s">
        <v>511</v>
      </c>
      <c r="L331" s="5" t="s">
        <v>324</v>
      </c>
      <c r="M331" s="7">
        <v>6</v>
      </c>
      <c r="N331" s="7" t="s">
        <v>176</v>
      </c>
      <c r="O331" s="8">
        <v>4682</v>
      </c>
      <c r="P331" s="9">
        <v>0.02</v>
      </c>
      <c r="Q331" s="10">
        <f t="shared" si="66"/>
        <v>94</v>
      </c>
      <c r="R331" s="9">
        <v>5.0000000000000001E-3</v>
      </c>
      <c r="S331" s="10">
        <f t="shared" si="67"/>
        <v>23</v>
      </c>
      <c r="T331" s="9">
        <f t="shared" si="68"/>
        <v>2.4989320803075608E-2</v>
      </c>
      <c r="U331" s="10">
        <f t="shared" si="69"/>
        <v>117</v>
      </c>
      <c r="V331" s="10">
        <f t="shared" si="70"/>
        <v>4799</v>
      </c>
      <c r="W331" s="11">
        <v>4799.05</v>
      </c>
      <c r="X331" s="12">
        <f t="shared" si="71"/>
        <v>117.05000000000018</v>
      </c>
      <c r="Y331" s="13">
        <f t="shared" si="72"/>
        <v>2.5000000000000001E-2</v>
      </c>
      <c r="Z331" s="14" t="str">
        <f t="shared" si="73"/>
        <v>0.00%-8.40%</v>
      </c>
      <c r="AA331" s="15"/>
      <c r="AB331" s="15"/>
      <c r="AC331" s="15"/>
      <c r="AD331" s="16"/>
      <c r="AE331" s="8">
        <f t="shared" si="74"/>
        <v>0</v>
      </c>
      <c r="AF331" s="17">
        <f t="shared" si="75"/>
        <v>4799.05</v>
      </c>
      <c r="AG331" s="18">
        <f t="shared" si="76"/>
        <v>117.05000000000018</v>
      </c>
      <c r="AH331" s="19">
        <f t="shared" si="77"/>
        <v>2.5000000000000133E-2</v>
      </c>
      <c r="AI331" s="20">
        <v>13.6</v>
      </c>
      <c r="AJ331" s="20">
        <v>450</v>
      </c>
      <c r="AK331" s="20"/>
      <c r="AL331" s="20">
        <v>688</v>
      </c>
      <c r="AM331" s="20">
        <f t="shared" si="78"/>
        <v>71355.08</v>
      </c>
      <c r="AN331" s="7" t="s">
        <v>176</v>
      </c>
      <c r="AO331" s="20"/>
      <c r="AP331" s="21" t="s">
        <v>465</v>
      </c>
      <c r="AQ331" s="21"/>
      <c r="AR331" s="5" t="s">
        <v>466</v>
      </c>
      <c r="AS331" s="5" t="s">
        <v>164</v>
      </c>
      <c r="AT331" s="5" t="s">
        <v>59</v>
      </c>
      <c r="AU331" s="20"/>
      <c r="AV331" s="21"/>
      <c r="AW331" s="21"/>
      <c r="AX331" s="21"/>
    </row>
    <row r="332" spans="1:50" s="55" customFormat="1">
      <c r="A332" s="86" t="s">
        <v>318</v>
      </c>
      <c r="B332" s="5">
        <v>15009030</v>
      </c>
      <c r="C332" s="5" t="s">
        <v>702</v>
      </c>
      <c r="D332" s="5" t="s">
        <v>321</v>
      </c>
      <c r="E332" s="5" t="s">
        <v>52</v>
      </c>
      <c r="F332" s="5" t="s">
        <v>62</v>
      </c>
      <c r="G332" s="5" t="s">
        <v>202</v>
      </c>
      <c r="H332" s="5" t="s">
        <v>464</v>
      </c>
      <c r="I332" s="6">
        <v>41426</v>
      </c>
      <c r="J332" s="5" t="s">
        <v>336</v>
      </c>
      <c r="K332" s="5" t="s">
        <v>511</v>
      </c>
      <c r="L332" s="5" t="s">
        <v>324</v>
      </c>
      <c r="M332" s="7">
        <v>6</v>
      </c>
      <c r="N332" s="7" t="s">
        <v>176</v>
      </c>
      <c r="O332" s="8">
        <v>5185</v>
      </c>
      <c r="P332" s="9">
        <v>0.02</v>
      </c>
      <c r="Q332" s="10">
        <f t="shared" si="66"/>
        <v>104</v>
      </c>
      <c r="R332" s="9">
        <v>5.0000000000000001E-3</v>
      </c>
      <c r="S332" s="10">
        <f t="shared" si="67"/>
        <v>26</v>
      </c>
      <c r="T332" s="9">
        <f t="shared" si="68"/>
        <v>2.5072324011571841E-2</v>
      </c>
      <c r="U332" s="10">
        <f t="shared" si="69"/>
        <v>130</v>
      </c>
      <c r="V332" s="10">
        <f t="shared" si="70"/>
        <v>5315</v>
      </c>
      <c r="W332" s="11">
        <v>5314.625</v>
      </c>
      <c r="X332" s="12">
        <f t="shared" si="71"/>
        <v>129.625</v>
      </c>
      <c r="Y332" s="13">
        <f t="shared" si="72"/>
        <v>2.5000000000000001E-2</v>
      </c>
      <c r="Z332" s="14" t="str">
        <f t="shared" si="73"/>
        <v>0.00%-8.40%</v>
      </c>
      <c r="AA332" s="15"/>
      <c r="AB332" s="15"/>
      <c r="AC332" s="15"/>
      <c r="AD332" s="16"/>
      <c r="AE332" s="8">
        <f t="shared" si="74"/>
        <v>0</v>
      </c>
      <c r="AF332" s="17">
        <f t="shared" si="75"/>
        <v>5314.625</v>
      </c>
      <c r="AG332" s="18">
        <f t="shared" si="76"/>
        <v>129.625</v>
      </c>
      <c r="AH332" s="19">
        <f t="shared" si="77"/>
        <v>2.4999999999999911E-2</v>
      </c>
      <c r="AI332" s="20">
        <v>13.6</v>
      </c>
      <c r="AJ332" s="20">
        <v>450</v>
      </c>
      <c r="AK332" s="20"/>
      <c r="AL332" s="20">
        <v>688</v>
      </c>
      <c r="AM332" s="20">
        <f t="shared" si="78"/>
        <v>78366.899999999994</v>
      </c>
      <c r="AN332" s="7" t="s">
        <v>176</v>
      </c>
      <c r="AO332" s="20"/>
      <c r="AP332" s="21" t="s">
        <v>465</v>
      </c>
      <c r="AQ332" s="21"/>
      <c r="AR332" s="5" t="s">
        <v>466</v>
      </c>
      <c r="AS332" s="5" t="s">
        <v>164</v>
      </c>
      <c r="AT332" s="5" t="s">
        <v>59</v>
      </c>
      <c r="AU332" s="20"/>
      <c r="AV332" s="21"/>
      <c r="AW332" s="21"/>
      <c r="AX332" s="21"/>
    </row>
    <row r="333" spans="1:50" s="55" customFormat="1">
      <c r="A333" s="86" t="s">
        <v>318</v>
      </c>
      <c r="B333" s="5">
        <v>15016526</v>
      </c>
      <c r="C333" s="5" t="s">
        <v>703</v>
      </c>
      <c r="D333" s="5" t="s">
        <v>321</v>
      </c>
      <c r="E333" s="5" t="s">
        <v>52</v>
      </c>
      <c r="F333" s="5" t="s">
        <v>62</v>
      </c>
      <c r="G333" s="5" t="s">
        <v>202</v>
      </c>
      <c r="H333" s="5" t="s">
        <v>464</v>
      </c>
      <c r="I333" s="6">
        <v>42948</v>
      </c>
      <c r="J333" s="5" t="s">
        <v>336</v>
      </c>
      <c r="K333" s="5" t="s">
        <v>511</v>
      </c>
      <c r="L333" s="5" t="s">
        <v>324</v>
      </c>
      <c r="M333" s="7">
        <v>6</v>
      </c>
      <c r="N333" s="7" t="s">
        <v>176</v>
      </c>
      <c r="O333" s="8">
        <v>5000</v>
      </c>
      <c r="P333" s="9">
        <v>0.02</v>
      </c>
      <c r="Q333" s="10">
        <f t="shared" si="66"/>
        <v>100</v>
      </c>
      <c r="R333" s="9">
        <v>5.0000000000000001E-3</v>
      </c>
      <c r="S333" s="10">
        <f t="shared" si="67"/>
        <v>25</v>
      </c>
      <c r="T333" s="9">
        <f t="shared" si="68"/>
        <v>2.5000000000000001E-2</v>
      </c>
      <c r="U333" s="10">
        <f t="shared" si="69"/>
        <v>125</v>
      </c>
      <c r="V333" s="10">
        <f t="shared" si="70"/>
        <v>5125</v>
      </c>
      <c r="W333" s="11">
        <v>5125</v>
      </c>
      <c r="X333" s="12">
        <f t="shared" si="71"/>
        <v>125</v>
      </c>
      <c r="Y333" s="13">
        <f t="shared" si="72"/>
        <v>2.5000000000000001E-2</v>
      </c>
      <c r="Z333" s="14" t="str">
        <f t="shared" si="73"/>
        <v>0.00%-8.40%</v>
      </c>
      <c r="AA333" s="15"/>
      <c r="AB333" s="15"/>
      <c r="AC333" s="15"/>
      <c r="AD333" s="16"/>
      <c r="AE333" s="8">
        <f t="shared" si="74"/>
        <v>0</v>
      </c>
      <c r="AF333" s="17">
        <f t="shared" si="75"/>
        <v>5125</v>
      </c>
      <c r="AG333" s="18">
        <f t="shared" si="76"/>
        <v>125</v>
      </c>
      <c r="AH333" s="19">
        <f t="shared" si="77"/>
        <v>2.4999999999999911E-2</v>
      </c>
      <c r="AI333" s="20">
        <v>13.6</v>
      </c>
      <c r="AJ333" s="20">
        <v>500</v>
      </c>
      <c r="AK333" s="20"/>
      <c r="AL333" s="20">
        <v>688</v>
      </c>
      <c r="AM333" s="20">
        <f t="shared" si="78"/>
        <v>76388</v>
      </c>
      <c r="AN333" s="7" t="s">
        <v>176</v>
      </c>
      <c r="AO333" s="20"/>
      <c r="AP333" s="21" t="s">
        <v>465</v>
      </c>
      <c r="AQ333" s="21"/>
      <c r="AR333" s="5" t="s">
        <v>466</v>
      </c>
      <c r="AS333" s="5" t="s">
        <v>164</v>
      </c>
      <c r="AT333" s="5" t="s">
        <v>59</v>
      </c>
      <c r="AU333" s="20"/>
      <c r="AV333" s="21"/>
      <c r="AW333" s="21"/>
      <c r="AX333" s="21"/>
    </row>
    <row r="334" spans="1:50" s="55" customFormat="1">
      <c r="A334" s="86" t="s">
        <v>318</v>
      </c>
      <c r="B334" s="5">
        <v>15004173</v>
      </c>
      <c r="C334" s="5" t="s">
        <v>704</v>
      </c>
      <c r="D334" s="5" t="s">
        <v>321</v>
      </c>
      <c r="E334" s="5" t="s">
        <v>52</v>
      </c>
      <c r="F334" s="5" t="s">
        <v>62</v>
      </c>
      <c r="G334" s="5" t="s">
        <v>202</v>
      </c>
      <c r="H334" s="5" t="s">
        <v>464</v>
      </c>
      <c r="I334" s="6">
        <v>40373</v>
      </c>
      <c r="J334" s="5" t="s">
        <v>336</v>
      </c>
      <c r="K334" s="5" t="s">
        <v>511</v>
      </c>
      <c r="L334" s="5" t="s">
        <v>324</v>
      </c>
      <c r="M334" s="7">
        <v>6</v>
      </c>
      <c r="N334" s="7" t="s">
        <v>176</v>
      </c>
      <c r="O334" s="8">
        <v>4957</v>
      </c>
      <c r="P334" s="9">
        <v>0.02</v>
      </c>
      <c r="Q334" s="10">
        <f t="shared" si="66"/>
        <v>99</v>
      </c>
      <c r="R334" s="9">
        <v>5.0000000000000001E-3</v>
      </c>
      <c r="S334" s="10">
        <f t="shared" si="67"/>
        <v>25</v>
      </c>
      <c r="T334" s="9">
        <f t="shared" si="68"/>
        <v>2.5015130119023603E-2</v>
      </c>
      <c r="U334" s="10">
        <f t="shared" si="69"/>
        <v>124</v>
      </c>
      <c r="V334" s="10">
        <f t="shared" si="70"/>
        <v>5081</v>
      </c>
      <c r="W334" s="11">
        <v>5080.9250000000002</v>
      </c>
      <c r="X334" s="12">
        <f t="shared" si="71"/>
        <v>123.92500000000018</v>
      </c>
      <c r="Y334" s="13">
        <f t="shared" si="72"/>
        <v>2.5000000000000001E-2</v>
      </c>
      <c r="Z334" s="14" t="str">
        <f t="shared" si="73"/>
        <v>0.00%-8.40%</v>
      </c>
      <c r="AA334" s="15"/>
      <c r="AB334" s="15"/>
      <c r="AC334" s="15"/>
      <c r="AD334" s="16"/>
      <c r="AE334" s="8">
        <f t="shared" si="74"/>
        <v>0</v>
      </c>
      <c r="AF334" s="17">
        <f t="shared" si="75"/>
        <v>5080.9250000000002</v>
      </c>
      <c r="AG334" s="18">
        <f t="shared" si="76"/>
        <v>123.92500000000018</v>
      </c>
      <c r="AH334" s="19">
        <f t="shared" si="77"/>
        <v>2.5000000000000133E-2</v>
      </c>
      <c r="AI334" s="20">
        <v>13.6</v>
      </c>
      <c r="AJ334" s="20">
        <v>450</v>
      </c>
      <c r="AK334" s="20"/>
      <c r="AL334" s="20">
        <v>688</v>
      </c>
      <c r="AM334" s="20">
        <f t="shared" si="78"/>
        <v>75188.58</v>
      </c>
      <c r="AN334" s="7" t="s">
        <v>176</v>
      </c>
      <c r="AO334" s="20"/>
      <c r="AP334" s="21" t="s">
        <v>465</v>
      </c>
      <c r="AQ334" s="21"/>
      <c r="AR334" s="5" t="s">
        <v>466</v>
      </c>
      <c r="AS334" s="5" t="s">
        <v>164</v>
      </c>
      <c r="AT334" s="5" t="s">
        <v>59</v>
      </c>
      <c r="AU334" s="20"/>
      <c r="AV334" s="21"/>
      <c r="AW334" s="21"/>
      <c r="AX334" s="21"/>
    </row>
    <row r="335" spans="1:50" s="55" customFormat="1">
      <c r="A335" s="86" t="s">
        <v>318</v>
      </c>
      <c r="B335" s="5">
        <v>15018194</v>
      </c>
      <c r="C335" s="5" t="s">
        <v>705</v>
      </c>
      <c r="D335" s="5" t="s">
        <v>321</v>
      </c>
      <c r="E335" s="5" t="s">
        <v>52</v>
      </c>
      <c r="F335" s="5" t="s">
        <v>62</v>
      </c>
      <c r="G335" s="5" t="s">
        <v>202</v>
      </c>
      <c r="H335" s="5" t="s">
        <v>464</v>
      </c>
      <c r="I335" s="6">
        <v>43160</v>
      </c>
      <c r="J335" s="5" t="s">
        <v>336</v>
      </c>
      <c r="K335" s="5" t="s">
        <v>511</v>
      </c>
      <c r="L335" s="5" t="s">
        <v>324</v>
      </c>
      <c r="M335" s="7">
        <v>6</v>
      </c>
      <c r="N335" s="7" t="s">
        <v>176</v>
      </c>
      <c r="O335" s="8">
        <v>4855</v>
      </c>
      <c r="P335" s="9">
        <v>0.02</v>
      </c>
      <c r="Q335" s="10">
        <f t="shared" si="66"/>
        <v>97</v>
      </c>
      <c r="R335" s="9">
        <v>5.0000000000000001E-3</v>
      </c>
      <c r="S335" s="10">
        <f t="shared" si="67"/>
        <v>24</v>
      </c>
      <c r="T335" s="9">
        <f t="shared" si="68"/>
        <v>2.4922760041194644E-2</v>
      </c>
      <c r="U335" s="10">
        <f t="shared" si="69"/>
        <v>121</v>
      </c>
      <c r="V335" s="10">
        <f t="shared" si="70"/>
        <v>4976</v>
      </c>
      <c r="W335" s="11">
        <v>4976.375</v>
      </c>
      <c r="X335" s="12">
        <f t="shared" si="71"/>
        <v>121.375</v>
      </c>
      <c r="Y335" s="13">
        <f t="shared" si="72"/>
        <v>2.5000000000000001E-2</v>
      </c>
      <c r="Z335" s="14" t="str">
        <f t="shared" si="73"/>
        <v>0.00%-8.40%</v>
      </c>
      <c r="AA335" s="15"/>
      <c r="AB335" s="15"/>
      <c r="AC335" s="15"/>
      <c r="AD335" s="16"/>
      <c r="AE335" s="8">
        <f t="shared" si="74"/>
        <v>0</v>
      </c>
      <c r="AF335" s="17">
        <f t="shared" si="75"/>
        <v>4976.375</v>
      </c>
      <c r="AG335" s="18">
        <f t="shared" si="76"/>
        <v>121.375</v>
      </c>
      <c r="AH335" s="19">
        <f t="shared" si="77"/>
        <v>2.4999999999999911E-2</v>
      </c>
      <c r="AI335" s="20">
        <v>13.6</v>
      </c>
      <c r="AJ335" s="20">
        <v>450</v>
      </c>
      <c r="AK335" s="20"/>
      <c r="AL335" s="20">
        <v>688</v>
      </c>
      <c r="AM335" s="20">
        <f t="shared" si="78"/>
        <v>73766.7</v>
      </c>
      <c r="AN335" s="7" t="s">
        <v>176</v>
      </c>
      <c r="AO335" s="20"/>
      <c r="AP335" s="21" t="s">
        <v>465</v>
      </c>
      <c r="AQ335" s="21"/>
      <c r="AR335" s="5" t="s">
        <v>466</v>
      </c>
      <c r="AS335" s="5" t="s">
        <v>164</v>
      </c>
      <c r="AT335" s="5" t="s">
        <v>59</v>
      </c>
      <c r="AU335" s="20"/>
      <c r="AV335" s="21"/>
      <c r="AW335" s="21"/>
      <c r="AX335" s="21"/>
    </row>
    <row r="336" spans="1:50" s="55" customFormat="1">
      <c r="A336" s="86" t="s">
        <v>318</v>
      </c>
      <c r="B336" s="5">
        <v>15016437</v>
      </c>
      <c r="C336" s="5" t="s">
        <v>706</v>
      </c>
      <c r="D336" s="5" t="s">
        <v>321</v>
      </c>
      <c r="E336" s="5" t="s">
        <v>52</v>
      </c>
      <c r="F336" s="5" t="s">
        <v>62</v>
      </c>
      <c r="G336" s="5" t="s">
        <v>202</v>
      </c>
      <c r="H336" s="5" t="s">
        <v>464</v>
      </c>
      <c r="I336" s="6">
        <v>42948</v>
      </c>
      <c r="J336" s="5" t="s">
        <v>336</v>
      </c>
      <c r="K336" s="5" t="s">
        <v>511</v>
      </c>
      <c r="L336" s="5" t="s">
        <v>324</v>
      </c>
      <c r="M336" s="7">
        <v>6</v>
      </c>
      <c r="N336" s="7" t="s">
        <v>176</v>
      </c>
      <c r="O336" s="8">
        <v>5025</v>
      </c>
      <c r="P336" s="9">
        <v>0.02</v>
      </c>
      <c r="Q336" s="10">
        <f t="shared" si="66"/>
        <v>101</v>
      </c>
      <c r="R336" s="9">
        <v>5.0000000000000001E-3</v>
      </c>
      <c r="S336" s="10">
        <f t="shared" si="67"/>
        <v>25</v>
      </c>
      <c r="T336" s="9">
        <f t="shared" si="68"/>
        <v>2.5074626865671641E-2</v>
      </c>
      <c r="U336" s="10">
        <f t="shared" si="69"/>
        <v>126</v>
      </c>
      <c r="V336" s="10">
        <f t="shared" si="70"/>
        <v>5151</v>
      </c>
      <c r="W336" s="11">
        <v>5226</v>
      </c>
      <c r="X336" s="12">
        <f t="shared" si="71"/>
        <v>201</v>
      </c>
      <c r="Y336" s="13">
        <f t="shared" si="72"/>
        <v>0.04</v>
      </c>
      <c r="Z336" s="14" t="str">
        <f t="shared" si="73"/>
        <v>0.00%-8.40%</v>
      </c>
      <c r="AA336" s="15"/>
      <c r="AB336" s="15"/>
      <c r="AC336" s="15"/>
      <c r="AD336" s="16"/>
      <c r="AE336" s="8">
        <f t="shared" si="74"/>
        <v>0</v>
      </c>
      <c r="AF336" s="17">
        <f t="shared" si="75"/>
        <v>5226</v>
      </c>
      <c r="AG336" s="18">
        <f t="shared" si="76"/>
        <v>201</v>
      </c>
      <c r="AH336" s="19">
        <f t="shared" si="77"/>
        <v>4.0000000000000036E-2</v>
      </c>
      <c r="AI336" s="20">
        <v>13.6</v>
      </c>
      <c r="AJ336" s="20">
        <v>450</v>
      </c>
      <c r="AK336" s="20"/>
      <c r="AL336" s="20">
        <v>688</v>
      </c>
      <c r="AM336" s="20">
        <f t="shared" si="78"/>
        <v>77161.599999999991</v>
      </c>
      <c r="AN336" s="7" t="s">
        <v>176</v>
      </c>
      <c r="AO336" s="20"/>
      <c r="AP336" s="21" t="s">
        <v>525</v>
      </c>
      <c r="AQ336" s="21"/>
      <c r="AR336" s="5" t="s">
        <v>466</v>
      </c>
      <c r="AS336" s="5" t="s">
        <v>164</v>
      </c>
      <c r="AT336" s="5" t="s">
        <v>59</v>
      </c>
      <c r="AU336" s="20"/>
      <c r="AV336" s="21"/>
      <c r="AW336" s="21"/>
      <c r="AX336" s="21"/>
    </row>
    <row r="337" spans="1:50" s="55" customFormat="1">
      <c r="A337" s="86" t="s">
        <v>318</v>
      </c>
      <c r="B337" s="5">
        <v>15017416</v>
      </c>
      <c r="C337" s="5" t="s">
        <v>707</v>
      </c>
      <c r="D337" s="5" t="s">
        <v>321</v>
      </c>
      <c r="E337" s="5" t="s">
        <v>52</v>
      </c>
      <c r="F337" s="5" t="s">
        <v>62</v>
      </c>
      <c r="G337" s="5" t="s">
        <v>202</v>
      </c>
      <c r="H337" s="5" t="s">
        <v>464</v>
      </c>
      <c r="I337" s="6">
        <v>42979</v>
      </c>
      <c r="J337" s="5" t="s">
        <v>336</v>
      </c>
      <c r="K337" s="5" t="s">
        <v>511</v>
      </c>
      <c r="L337" s="5" t="s">
        <v>324</v>
      </c>
      <c r="M337" s="7">
        <v>6</v>
      </c>
      <c r="N337" s="7" t="s">
        <v>176</v>
      </c>
      <c r="O337" s="8">
        <v>5035</v>
      </c>
      <c r="P337" s="9">
        <v>0.02</v>
      </c>
      <c r="Q337" s="10">
        <f t="shared" si="66"/>
        <v>101</v>
      </c>
      <c r="R337" s="9">
        <v>5.0000000000000001E-3</v>
      </c>
      <c r="S337" s="10">
        <f t="shared" si="67"/>
        <v>25</v>
      </c>
      <c r="T337" s="9">
        <f t="shared" si="68"/>
        <v>2.5024826216484608E-2</v>
      </c>
      <c r="U337" s="10">
        <f t="shared" si="69"/>
        <v>126</v>
      </c>
      <c r="V337" s="10">
        <f t="shared" si="70"/>
        <v>5161</v>
      </c>
      <c r="W337" s="11">
        <v>5160.875</v>
      </c>
      <c r="X337" s="12">
        <f t="shared" si="71"/>
        <v>125.875</v>
      </c>
      <c r="Y337" s="13">
        <f t="shared" si="72"/>
        <v>2.5000000000000001E-2</v>
      </c>
      <c r="Z337" s="14" t="str">
        <f t="shared" si="73"/>
        <v>0.00%-8.40%</v>
      </c>
      <c r="AA337" s="15"/>
      <c r="AB337" s="15"/>
      <c r="AC337" s="15"/>
      <c r="AD337" s="16"/>
      <c r="AE337" s="8">
        <f t="shared" si="74"/>
        <v>0</v>
      </c>
      <c r="AF337" s="17">
        <f t="shared" si="75"/>
        <v>5160.875</v>
      </c>
      <c r="AG337" s="18">
        <f t="shared" si="76"/>
        <v>125.875</v>
      </c>
      <c r="AH337" s="19">
        <f t="shared" si="77"/>
        <v>2.4999999999999911E-2</v>
      </c>
      <c r="AI337" s="20">
        <v>13.6</v>
      </c>
      <c r="AJ337" s="20">
        <v>450</v>
      </c>
      <c r="AK337" s="20"/>
      <c r="AL337" s="20">
        <v>688</v>
      </c>
      <c r="AM337" s="20">
        <f t="shared" si="78"/>
        <v>76275.899999999994</v>
      </c>
      <c r="AN337" s="7" t="s">
        <v>176</v>
      </c>
      <c r="AO337" s="20"/>
      <c r="AP337" s="21" t="s">
        <v>465</v>
      </c>
      <c r="AQ337" s="21"/>
      <c r="AR337" s="5" t="s">
        <v>466</v>
      </c>
      <c r="AS337" s="5" t="s">
        <v>164</v>
      </c>
      <c r="AT337" s="5" t="s">
        <v>59</v>
      </c>
      <c r="AU337" s="20"/>
      <c r="AV337" s="21"/>
      <c r="AW337" s="21"/>
      <c r="AX337" s="21"/>
    </row>
    <row r="338" spans="1:50" s="55" customFormat="1">
      <c r="A338" s="86" t="s">
        <v>318</v>
      </c>
      <c r="B338" s="5">
        <v>15018391</v>
      </c>
      <c r="C338" s="5" t="s">
        <v>708</v>
      </c>
      <c r="D338" s="5" t="s">
        <v>321</v>
      </c>
      <c r="E338" s="5" t="s">
        <v>52</v>
      </c>
      <c r="F338" s="5" t="s">
        <v>62</v>
      </c>
      <c r="G338" s="5" t="s">
        <v>202</v>
      </c>
      <c r="H338" s="5" t="s">
        <v>464</v>
      </c>
      <c r="I338" s="6">
        <v>43221</v>
      </c>
      <c r="J338" s="5" t="s">
        <v>336</v>
      </c>
      <c r="K338" s="5" t="s">
        <v>548</v>
      </c>
      <c r="L338" s="5" t="s">
        <v>324</v>
      </c>
      <c r="M338" s="7">
        <v>6</v>
      </c>
      <c r="N338" s="7" t="s">
        <v>176</v>
      </c>
      <c r="O338" s="8">
        <v>4903</v>
      </c>
      <c r="P338" s="9">
        <v>0.02</v>
      </c>
      <c r="Q338" s="10">
        <f t="shared" si="66"/>
        <v>98</v>
      </c>
      <c r="R338" s="9">
        <v>5.0000000000000001E-3</v>
      </c>
      <c r="S338" s="10">
        <f t="shared" si="67"/>
        <v>25</v>
      </c>
      <c r="T338" s="9">
        <f t="shared" si="68"/>
        <v>2.5086681623495821E-2</v>
      </c>
      <c r="U338" s="10">
        <f t="shared" si="69"/>
        <v>123</v>
      </c>
      <c r="V338" s="10">
        <f t="shared" si="70"/>
        <v>5026</v>
      </c>
      <c r="W338" s="11">
        <v>4903</v>
      </c>
      <c r="X338" s="12">
        <f t="shared" si="71"/>
        <v>0</v>
      </c>
      <c r="Y338" s="13">
        <f t="shared" si="72"/>
        <v>0</v>
      </c>
      <c r="Z338" s="14" t="str">
        <f t="shared" si="73"/>
        <v>0.00%-8.40%</v>
      </c>
      <c r="AA338" s="15"/>
      <c r="AB338" s="15"/>
      <c r="AC338" s="15"/>
      <c r="AD338" s="16"/>
      <c r="AE338" s="8">
        <f t="shared" si="74"/>
        <v>0</v>
      </c>
      <c r="AF338" s="17">
        <f t="shared" si="75"/>
        <v>4903</v>
      </c>
      <c r="AG338" s="18">
        <f t="shared" si="76"/>
        <v>0</v>
      </c>
      <c r="AH338" s="19">
        <f t="shared" si="77"/>
        <v>0</v>
      </c>
      <c r="AI338" s="20">
        <v>13.6</v>
      </c>
      <c r="AJ338" s="20">
        <v>450</v>
      </c>
      <c r="AK338" s="20"/>
      <c r="AL338" s="20">
        <v>688</v>
      </c>
      <c r="AM338" s="20">
        <f t="shared" si="78"/>
        <v>72768.800000000003</v>
      </c>
      <c r="AN338" s="7" t="s">
        <v>176</v>
      </c>
      <c r="AO338" s="20"/>
      <c r="AP338" s="21" t="s">
        <v>487</v>
      </c>
      <c r="AQ338" s="21" t="s">
        <v>496</v>
      </c>
      <c r="AR338" s="5" t="s">
        <v>466</v>
      </c>
      <c r="AS338" s="5" t="s">
        <v>164</v>
      </c>
      <c r="AT338" s="5" t="s">
        <v>59</v>
      </c>
      <c r="AU338" s="20"/>
      <c r="AV338" s="21"/>
      <c r="AW338" s="21"/>
      <c r="AX338" s="21"/>
    </row>
    <row r="339" spans="1:50" s="55" customFormat="1">
      <c r="A339" s="86" t="s">
        <v>318</v>
      </c>
      <c r="B339" s="5">
        <v>15014302</v>
      </c>
      <c r="C339" s="5" t="s">
        <v>709</v>
      </c>
      <c r="D339" s="5" t="s">
        <v>321</v>
      </c>
      <c r="E339" s="5" t="s">
        <v>52</v>
      </c>
      <c r="F339" s="5" t="s">
        <v>62</v>
      </c>
      <c r="G339" s="5" t="s">
        <v>202</v>
      </c>
      <c r="H339" s="5" t="s">
        <v>464</v>
      </c>
      <c r="I339" s="6">
        <v>42248</v>
      </c>
      <c r="J339" s="5" t="s">
        <v>336</v>
      </c>
      <c r="K339" s="5" t="s">
        <v>511</v>
      </c>
      <c r="L339" s="5" t="s">
        <v>324</v>
      </c>
      <c r="M339" s="7">
        <v>6</v>
      </c>
      <c r="N339" s="7" t="s">
        <v>176</v>
      </c>
      <c r="O339" s="8">
        <v>4924</v>
      </c>
      <c r="P339" s="9">
        <v>0.02</v>
      </c>
      <c r="Q339" s="10">
        <f t="shared" si="66"/>
        <v>98</v>
      </c>
      <c r="R339" s="9">
        <v>5.0000000000000001E-3</v>
      </c>
      <c r="S339" s="10">
        <f t="shared" si="67"/>
        <v>25</v>
      </c>
      <c r="T339" s="9">
        <f t="shared" si="68"/>
        <v>2.4979691307879772E-2</v>
      </c>
      <c r="U339" s="10">
        <f t="shared" si="69"/>
        <v>123</v>
      </c>
      <c r="V339" s="10">
        <f t="shared" si="70"/>
        <v>5047</v>
      </c>
      <c r="W339" s="11">
        <v>5047.1000000000004</v>
      </c>
      <c r="X339" s="12">
        <f t="shared" si="71"/>
        <v>123.10000000000036</v>
      </c>
      <c r="Y339" s="13">
        <f t="shared" si="72"/>
        <v>2.5000000000000001E-2</v>
      </c>
      <c r="Z339" s="14" t="str">
        <f t="shared" si="73"/>
        <v>0.00%-8.40%</v>
      </c>
      <c r="AA339" s="15"/>
      <c r="AB339" s="15"/>
      <c r="AC339" s="15"/>
      <c r="AD339" s="16"/>
      <c r="AE339" s="8">
        <f t="shared" si="74"/>
        <v>0</v>
      </c>
      <c r="AF339" s="17">
        <f t="shared" si="75"/>
        <v>5047.1000000000004</v>
      </c>
      <c r="AG339" s="18">
        <f t="shared" si="76"/>
        <v>123.10000000000036</v>
      </c>
      <c r="AH339" s="19">
        <f t="shared" si="77"/>
        <v>2.5000000000000133E-2</v>
      </c>
      <c r="AI339" s="20">
        <v>13.6</v>
      </c>
      <c r="AJ339" s="20">
        <v>450</v>
      </c>
      <c r="AK339" s="20"/>
      <c r="AL339" s="20">
        <v>688</v>
      </c>
      <c r="AM339" s="20">
        <f t="shared" si="78"/>
        <v>74728.56</v>
      </c>
      <c r="AN339" s="7" t="s">
        <v>176</v>
      </c>
      <c r="AO339" s="20"/>
      <c r="AP339" s="21" t="s">
        <v>465</v>
      </c>
      <c r="AQ339" s="21"/>
      <c r="AR339" s="5" t="s">
        <v>466</v>
      </c>
      <c r="AS339" s="5" t="s">
        <v>164</v>
      </c>
      <c r="AT339" s="5" t="s">
        <v>59</v>
      </c>
      <c r="AU339" s="20"/>
      <c r="AV339" s="21"/>
      <c r="AW339" s="21"/>
      <c r="AX339" s="21"/>
    </row>
    <row r="340" spans="1:50" s="55" customFormat="1">
      <c r="A340" s="86" t="s">
        <v>318</v>
      </c>
      <c r="B340" s="5">
        <v>15021550</v>
      </c>
      <c r="C340" s="5" t="s">
        <v>710</v>
      </c>
      <c r="D340" s="5" t="s">
        <v>321</v>
      </c>
      <c r="E340" s="5" t="s">
        <v>52</v>
      </c>
      <c r="F340" s="5" t="s">
        <v>62</v>
      </c>
      <c r="G340" s="5" t="s">
        <v>202</v>
      </c>
      <c r="H340" s="5" t="s">
        <v>464</v>
      </c>
      <c r="I340" s="6">
        <v>44531</v>
      </c>
      <c r="J340" s="5" t="s">
        <v>336</v>
      </c>
      <c r="K340" s="5" t="s">
        <v>511</v>
      </c>
      <c r="L340" s="5" t="s">
        <v>324</v>
      </c>
      <c r="M340" s="7">
        <v>6</v>
      </c>
      <c r="N340" s="7" t="s">
        <v>176</v>
      </c>
      <c r="O340" s="8">
        <v>4680</v>
      </c>
      <c r="P340" s="9">
        <v>0.02</v>
      </c>
      <c r="Q340" s="10">
        <f t="shared" si="66"/>
        <v>94</v>
      </c>
      <c r="R340" s="9">
        <v>5.0000000000000001E-3</v>
      </c>
      <c r="S340" s="10">
        <f t="shared" si="67"/>
        <v>23</v>
      </c>
      <c r="T340" s="9">
        <f t="shared" si="68"/>
        <v>2.5000000000000001E-2</v>
      </c>
      <c r="U340" s="10">
        <f t="shared" si="69"/>
        <v>117</v>
      </c>
      <c r="V340" s="10">
        <f t="shared" si="70"/>
        <v>4797</v>
      </c>
      <c r="W340" s="11">
        <v>4797</v>
      </c>
      <c r="X340" s="12">
        <f t="shared" si="71"/>
        <v>117</v>
      </c>
      <c r="Y340" s="13">
        <f t="shared" si="72"/>
        <v>2.5000000000000001E-2</v>
      </c>
      <c r="Z340" s="14" t="str">
        <f t="shared" si="73"/>
        <v>0.00%-8.40%</v>
      </c>
      <c r="AA340" s="15"/>
      <c r="AB340" s="15"/>
      <c r="AC340" s="15"/>
      <c r="AD340" s="16"/>
      <c r="AE340" s="8">
        <f t="shared" si="74"/>
        <v>0</v>
      </c>
      <c r="AF340" s="17">
        <f t="shared" si="75"/>
        <v>4797</v>
      </c>
      <c r="AG340" s="18">
        <f t="shared" si="76"/>
        <v>117</v>
      </c>
      <c r="AH340" s="19">
        <f t="shared" si="77"/>
        <v>2.4999999999999911E-2</v>
      </c>
      <c r="AI340" s="20">
        <v>13.6</v>
      </c>
      <c r="AJ340" s="20">
        <v>450</v>
      </c>
      <c r="AK340" s="20"/>
      <c r="AL340" s="20">
        <v>688</v>
      </c>
      <c r="AM340" s="20">
        <f t="shared" si="78"/>
        <v>71327.199999999997</v>
      </c>
      <c r="AN340" s="7" t="s">
        <v>176</v>
      </c>
      <c r="AO340" s="20"/>
      <c r="AP340" s="21" t="s">
        <v>465</v>
      </c>
      <c r="AQ340" s="21"/>
      <c r="AR340" s="5" t="s">
        <v>466</v>
      </c>
      <c r="AS340" s="5" t="s">
        <v>164</v>
      </c>
      <c r="AT340" s="5" t="s">
        <v>59</v>
      </c>
      <c r="AU340" s="20"/>
      <c r="AV340" s="21"/>
      <c r="AW340" s="21"/>
      <c r="AX340" s="21"/>
    </row>
    <row r="341" spans="1:50" s="55" customFormat="1">
      <c r="A341" s="86" t="s">
        <v>318</v>
      </c>
      <c r="B341" s="5">
        <v>15003614</v>
      </c>
      <c r="C341" s="5" t="s">
        <v>711</v>
      </c>
      <c r="D341" s="5" t="s">
        <v>321</v>
      </c>
      <c r="E341" s="5" t="s">
        <v>52</v>
      </c>
      <c r="F341" s="5" t="s">
        <v>62</v>
      </c>
      <c r="G341" s="5" t="s">
        <v>202</v>
      </c>
      <c r="H341" s="5" t="s">
        <v>464</v>
      </c>
      <c r="I341" s="6">
        <v>40360</v>
      </c>
      <c r="J341" s="5" t="s">
        <v>336</v>
      </c>
      <c r="K341" s="5" t="s">
        <v>511</v>
      </c>
      <c r="L341" s="5" t="s">
        <v>324</v>
      </c>
      <c r="M341" s="7">
        <v>6</v>
      </c>
      <c r="N341" s="7" t="s">
        <v>176</v>
      </c>
      <c r="O341" s="8">
        <v>5541</v>
      </c>
      <c r="P341" s="9">
        <v>0.02</v>
      </c>
      <c r="Q341" s="10">
        <f t="shared" si="66"/>
        <v>111</v>
      </c>
      <c r="R341" s="9">
        <v>5.0000000000000001E-3</v>
      </c>
      <c r="S341" s="10">
        <f t="shared" si="67"/>
        <v>28</v>
      </c>
      <c r="T341" s="9">
        <f t="shared" si="68"/>
        <v>2.5085724598447934E-2</v>
      </c>
      <c r="U341" s="10">
        <f t="shared" si="69"/>
        <v>139</v>
      </c>
      <c r="V341" s="10">
        <f t="shared" si="70"/>
        <v>5680</v>
      </c>
      <c r="W341" s="11">
        <v>5679.5249999999996</v>
      </c>
      <c r="X341" s="12">
        <f t="shared" si="71"/>
        <v>138.52499999999964</v>
      </c>
      <c r="Y341" s="13">
        <f t="shared" si="72"/>
        <v>2.5000000000000001E-2</v>
      </c>
      <c r="Z341" s="14" t="str">
        <f t="shared" si="73"/>
        <v>0.00%-8.40%</v>
      </c>
      <c r="AA341" s="15"/>
      <c r="AB341" s="15"/>
      <c r="AC341" s="15"/>
      <c r="AD341" s="16"/>
      <c r="AE341" s="8">
        <f t="shared" si="74"/>
        <v>0</v>
      </c>
      <c r="AF341" s="17">
        <f t="shared" si="75"/>
        <v>5679.5249999999996</v>
      </c>
      <c r="AG341" s="18">
        <f t="shared" si="76"/>
        <v>138.52499999999964</v>
      </c>
      <c r="AH341" s="19">
        <f t="shared" si="77"/>
        <v>2.4999999999999911E-2</v>
      </c>
      <c r="AI341" s="20">
        <v>13.6</v>
      </c>
      <c r="AJ341" s="20">
        <v>450</v>
      </c>
      <c r="AK341" s="20"/>
      <c r="AL341" s="20">
        <v>688</v>
      </c>
      <c r="AM341" s="20">
        <f t="shared" si="78"/>
        <v>83329.539999999994</v>
      </c>
      <c r="AN341" s="7" t="s">
        <v>176</v>
      </c>
      <c r="AO341" s="20"/>
      <c r="AP341" s="21" t="s">
        <v>465</v>
      </c>
      <c r="AQ341" s="21"/>
      <c r="AR341" s="5" t="s">
        <v>466</v>
      </c>
      <c r="AS341" s="5" t="s">
        <v>164</v>
      </c>
      <c r="AT341" s="5" t="s">
        <v>59</v>
      </c>
      <c r="AU341" s="20"/>
      <c r="AV341" s="21"/>
      <c r="AW341" s="21"/>
      <c r="AX341" s="21"/>
    </row>
    <row r="342" spans="1:50" s="55" customFormat="1">
      <c r="A342" s="86" t="s">
        <v>318</v>
      </c>
      <c r="B342" s="5">
        <v>15002453</v>
      </c>
      <c r="C342" s="5" t="s">
        <v>712</v>
      </c>
      <c r="D342" s="5" t="s">
        <v>321</v>
      </c>
      <c r="E342" s="5" t="s">
        <v>52</v>
      </c>
      <c r="F342" s="5" t="s">
        <v>62</v>
      </c>
      <c r="G342" s="5" t="s">
        <v>202</v>
      </c>
      <c r="H342" s="5" t="s">
        <v>464</v>
      </c>
      <c r="I342" s="6">
        <v>41852</v>
      </c>
      <c r="J342" s="5" t="s">
        <v>336</v>
      </c>
      <c r="K342" s="5" t="s">
        <v>511</v>
      </c>
      <c r="L342" s="5" t="s">
        <v>324</v>
      </c>
      <c r="M342" s="7">
        <v>6</v>
      </c>
      <c r="N342" s="7" t="s">
        <v>176</v>
      </c>
      <c r="O342" s="8">
        <v>5180</v>
      </c>
      <c r="P342" s="9">
        <v>0.02</v>
      </c>
      <c r="Q342" s="10">
        <f t="shared" si="66"/>
        <v>104</v>
      </c>
      <c r="R342" s="9">
        <v>5.0000000000000001E-3</v>
      </c>
      <c r="S342" s="10">
        <f t="shared" si="67"/>
        <v>26</v>
      </c>
      <c r="T342" s="9">
        <f t="shared" si="68"/>
        <v>2.5096525096525095E-2</v>
      </c>
      <c r="U342" s="10">
        <f t="shared" si="69"/>
        <v>130</v>
      </c>
      <c r="V342" s="10">
        <f t="shared" si="70"/>
        <v>5310</v>
      </c>
      <c r="W342" s="11">
        <v>5309.5</v>
      </c>
      <c r="X342" s="12">
        <f t="shared" si="71"/>
        <v>129.5</v>
      </c>
      <c r="Y342" s="13">
        <f t="shared" si="72"/>
        <v>2.5000000000000001E-2</v>
      </c>
      <c r="Z342" s="14" t="str">
        <f t="shared" si="73"/>
        <v>0.00%-8.40%</v>
      </c>
      <c r="AA342" s="15"/>
      <c r="AB342" s="15"/>
      <c r="AC342" s="15"/>
      <c r="AD342" s="16"/>
      <c r="AE342" s="8">
        <f t="shared" si="74"/>
        <v>0</v>
      </c>
      <c r="AF342" s="17">
        <f t="shared" si="75"/>
        <v>5309.5</v>
      </c>
      <c r="AG342" s="18">
        <f t="shared" si="76"/>
        <v>129.5</v>
      </c>
      <c r="AH342" s="19">
        <f t="shared" si="77"/>
        <v>2.4999999999999911E-2</v>
      </c>
      <c r="AI342" s="20">
        <v>13.6</v>
      </c>
      <c r="AJ342" s="20">
        <v>450</v>
      </c>
      <c r="AK342" s="20"/>
      <c r="AL342" s="20">
        <v>688</v>
      </c>
      <c r="AM342" s="20">
        <f t="shared" si="78"/>
        <v>78297.2</v>
      </c>
      <c r="AN342" s="7" t="s">
        <v>176</v>
      </c>
      <c r="AO342" s="20"/>
      <c r="AP342" s="21" t="s">
        <v>465</v>
      </c>
      <c r="AQ342" s="21"/>
      <c r="AR342" s="5" t="s">
        <v>466</v>
      </c>
      <c r="AS342" s="5" t="s">
        <v>164</v>
      </c>
      <c r="AT342" s="5" t="s">
        <v>59</v>
      </c>
      <c r="AU342" s="20"/>
      <c r="AV342" s="21"/>
      <c r="AW342" s="21"/>
      <c r="AX342" s="21"/>
    </row>
    <row r="343" spans="1:50" s="55" customFormat="1">
      <c r="A343" s="86" t="s">
        <v>318</v>
      </c>
      <c r="B343" s="5">
        <v>15010247</v>
      </c>
      <c r="C343" s="5" t="s">
        <v>713</v>
      </c>
      <c r="D343" s="5" t="s">
        <v>321</v>
      </c>
      <c r="E343" s="5" t="s">
        <v>52</v>
      </c>
      <c r="F343" s="5" t="s">
        <v>62</v>
      </c>
      <c r="G343" s="5" t="s">
        <v>202</v>
      </c>
      <c r="H343" s="5" t="s">
        <v>464</v>
      </c>
      <c r="I343" s="6">
        <v>41609</v>
      </c>
      <c r="J343" s="5" t="s">
        <v>336</v>
      </c>
      <c r="K343" s="5" t="s">
        <v>511</v>
      </c>
      <c r="L343" s="5" t="s">
        <v>324</v>
      </c>
      <c r="M343" s="7">
        <v>6</v>
      </c>
      <c r="N343" s="7" t="s">
        <v>176</v>
      </c>
      <c r="O343" s="8">
        <v>4920</v>
      </c>
      <c r="P343" s="9">
        <v>0.02</v>
      </c>
      <c r="Q343" s="10">
        <f t="shared" si="66"/>
        <v>98</v>
      </c>
      <c r="R343" s="9">
        <v>5.0000000000000001E-3</v>
      </c>
      <c r="S343" s="10">
        <f t="shared" si="67"/>
        <v>25</v>
      </c>
      <c r="T343" s="9">
        <f t="shared" si="68"/>
        <v>2.5000000000000001E-2</v>
      </c>
      <c r="U343" s="10">
        <f t="shared" si="69"/>
        <v>123</v>
      </c>
      <c r="V343" s="10">
        <f t="shared" si="70"/>
        <v>5043</v>
      </c>
      <c r="W343" s="11">
        <v>5043</v>
      </c>
      <c r="X343" s="12">
        <f t="shared" si="71"/>
        <v>123</v>
      </c>
      <c r="Y343" s="13">
        <f t="shared" si="72"/>
        <v>2.5000000000000001E-2</v>
      </c>
      <c r="Z343" s="14" t="str">
        <f t="shared" si="73"/>
        <v>0.00%-8.40%</v>
      </c>
      <c r="AA343" s="15"/>
      <c r="AB343" s="15"/>
      <c r="AC343" s="15"/>
      <c r="AD343" s="16"/>
      <c r="AE343" s="8">
        <f t="shared" si="74"/>
        <v>0</v>
      </c>
      <c r="AF343" s="17">
        <f t="shared" si="75"/>
        <v>5043</v>
      </c>
      <c r="AG343" s="18">
        <f t="shared" si="76"/>
        <v>123</v>
      </c>
      <c r="AH343" s="19">
        <f t="shared" si="77"/>
        <v>2.4999999999999911E-2</v>
      </c>
      <c r="AI343" s="20">
        <v>13.6</v>
      </c>
      <c r="AJ343" s="20">
        <v>450</v>
      </c>
      <c r="AK343" s="20"/>
      <c r="AL343" s="20">
        <v>688</v>
      </c>
      <c r="AM343" s="20">
        <f t="shared" si="78"/>
        <v>74672.800000000003</v>
      </c>
      <c r="AN343" s="7" t="s">
        <v>176</v>
      </c>
      <c r="AO343" s="20"/>
      <c r="AP343" s="21" t="s">
        <v>465</v>
      </c>
      <c r="AQ343" s="21"/>
      <c r="AR343" s="5" t="s">
        <v>466</v>
      </c>
      <c r="AS343" s="5" t="s">
        <v>164</v>
      </c>
      <c r="AT343" s="5" t="s">
        <v>59</v>
      </c>
      <c r="AU343" s="20"/>
      <c r="AV343" s="21"/>
      <c r="AW343" s="21"/>
      <c r="AX343" s="21"/>
    </row>
    <row r="344" spans="1:50" s="55" customFormat="1">
      <c r="A344" s="86" t="s">
        <v>318</v>
      </c>
      <c r="B344" s="5">
        <v>15008119</v>
      </c>
      <c r="C344" s="5" t="s">
        <v>714</v>
      </c>
      <c r="D344" s="5" t="s">
        <v>321</v>
      </c>
      <c r="E344" s="5" t="s">
        <v>52</v>
      </c>
      <c r="F344" s="5" t="s">
        <v>62</v>
      </c>
      <c r="G344" s="5" t="s">
        <v>202</v>
      </c>
      <c r="H344" s="5" t="s">
        <v>464</v>
      </c>
      <c r="I344" s="6">
        <v>41365</v>
      </c>
      <c r="J344" s="5" t="s">
        <v>336</v>
      </c>
      <c r="K344" s="5" t="s">
        <v>511</v>
      </c>
      <c r="L344" s="5" t="s">
        <v>324</v>
      </c>
      <c r="M344" s="7">
        <v>6</v>
      </c>
      <c r="N344" s="7" t="s">
        <v>176</v>
      </c>
      <c r="O344" s="8">
        <v>5378</v>
      </c>
      <c r="P344" s="9">
        <v>0.02</v>
      </c>
      <c r="Q344" s="10">
        <f t="shared" si="66"/>
        <v>108</v>
      </c>
      <c r="R344" s="9">
        <v>5.0000000000000001E-3</v>
      </c>
      <c r="S344" s="10">
        <f t="shared" si="67"/>
        <v>27</v>
      </c>
      <c r="T344" s="9">
        <f t="shared" si="68"/>
        <v>2.5102268501301598E-2</v>
      </c>
      <c r="U344" s="10">
        <f t="shared" si="69"/>
        <v>135</v>
      </c>
      <c r="V344" s="10">
        <f t="shared" si="70"/>
        <v>5513</v>
      </c>
      <c r="W344" s="11">
        <v>5404.89</v>
      </c>
      <c r="X344" s="12">
        <f t="shared" si="71"/>
        <v>26.890000000000327</v>
      </c>
      <c r="Y344" s="13">
        <f t="shared" si="72"/>
        <v>5.0000000000000001E-3</v>
      </c>
      <c r="Z344" s="14" t="str">
        <f t="shared" si="73"/>
        <v>0.00%-8.40%</v>
      </c>
      <c r="AA344" s="15"/>
      <c r="AB344" s="15"/>
      <c r="AC344" s="15"/>
      <c r="AD344" s="16"/>
      <c r="AE344" s="8">
        <f t="shared" si="74"/>
        <v>0</v>
      </c>
      <c r="AF344" s="17">
        <f t="shared" si="75"/>
        <v>5404.89</v>
      </c>
      <c r="AG344" s="18">
        <f t="shared" si="76"/>
        <v>26.890000000000327</v>
      </c>
      <c r="AH344" s="19">
        <f t="shared" si="77"/>
        <v>5.0000000000001155E-3</v>
      </c>
      <c r="AI344" s="20">
        <v>13.6</v>
      </c>
      <c r="AJ344" s="20">
        <v>450</v>
      </c>
      <c r="AK344" s="20"/>
      <c r="AL344" s="20">
        <v>688</v>
      </c>
      <c r="AM344" s="20">
        <f t="shared" si="78"/>
        <v>79594.504000000001</v>
      </c>
      <c r="AN344" s="7" t="s">
        <v>176</v>
      </c>
      <c r="AO344" s="20"/>
      <c r="AP344" s="21" t="s">
        <v>465</v>
      </c>
      <c r="AQ344" s="21"/>
      <c r="AR344" s="5" t="s">
        <v>466</v>
      </c>
      <c r="AS344" s="5" t="s">
        <v>164</v>
      </c>
      <c r="AT344" s="5" t="s">
        <v>59</v>
      </c>
      <c r="AU344" s="20"/>
      <c r="AV344" s="21"/>
      <c r="AW344" s="21"/>
      <c r="AX344" s="21"/>
    </row>
    <row r="345" spans="1:50" s="55" customFormat="1">
      <c r="A345" s="86" t="s">
        <v>318</v>
      </c>
      <c r="B345" s="5">
        <v>15018476</v>
      </c>
      <c r="C345" s="5" t="s">
        <v>715</v>
      </c>
      <c r="D345" s="5" t="s">
        <v>321</v>
      </c>
      <c r="E345" s="5" t="s">
        <v>52</v>
      </c>
      <c r="F345" s="5" t="s">
        <v>62</v>
      </c>
      <c r="G345" s="5" t="s">
        <v>202</v>
      </c>
      <c r="H345" s="5" t="s">
        <v>464</v>
      </c>
      <c r="I345" s="6">
        <v>43221</v>
      </c>
      <c r="J345" s="5" t="s">
        <v>336</v>
      </c>
      <c r="K345" s="5" t="s">
        <v>511</v>
      </c>
      <c r="L345" s="5" t="s">
        <v>324</v>
      </c>
      <c r="M345" s="7">
        <v>6</v>
      </c>
      <c r="N345" s="7" t="s">
        <v>176</v>
      </c>
      <c r="O345" s="8">
        <v>4765</v>
      </c>
      <c r="P345" s="9">
        <v>0.02</v>
      </c>
      <c r="Q345" s="10">
        <f t="shared" si="66"/>
        <v>95</v>
      </c>
      <c r="R345" s="9">
        <v>5.0000000000000001E-3</v>
      </c>
      <c r="S345" s="10">
        <f t="shared" si="67"/>
        <v>24</v>
      </c>
      <c r="T345" s="9">
        <f t="shared" si="68"/>
        <v>2.497376705141658E-2</v>
      </c>
      <c r="U345" s="10">
        <f t="shared" si="69"/>
        <v>119</v>
      </c>
      <c r="V345" s="10">
        <f t="shared" si="70"/>
        <v>4884</v>
      </c>
      <c r="W345" s="11">
        <v>4788.8249999999998</v>
      </c>
      <c r="X345" s="12">
        <f t="shared" si="71"/>
        <v>23.824999999999818</v>
      </c>
      <c r="Y345" s="13">
        <f t="shared" si="72"/>
        <v>5.0000000000000001E-3</v>
      </c>
      <c r="Z345" s="14" t="str">
        <f t="shared" si="73"/>
        <v>0.00%-8.40%</v>
      </c>
      <c r="AA345" s="15"/>
      <c r="AB345" s="15"/>
      <c r="AC345" s="15"/>
      <c r="AD345" s="16"/>
      <c r="AE345" s="8">
        <f t="shared" si="74"/>
        <v>0</v>
      </c>
      <c r="AF345" s="17">
        <f t="shared" si="75"/>
        <v>4788.8249999999998</v>
      </c>
      <c r="AG345" s="18">
        <f t="shared" si="76"/>
        <v>23.824999999999818</v>
      </c>
      <c r="AH345" s="19">
        <f t="shared" si="77"/>
        <v>4.9999999999998934E-3</v>
      </c>
      <c r="AI345" s="20">
        <v>13.6</v>
      </c>
      <c r="AJ345" s="20">
        <v>450</v>
      </c>
      <c r="AK345" s="20"/>
      <c r="AL345" s="20">
        <v>688</v>
      </c>
      <c r="AM345" s="20">
        <f t="shared" si="78"/>
        <v>71216.01999999999</v>
      </c>
      <c r="AN345" s="7" t="s">
        <v>176</v>
      </c>
      <c r="AO345" s="20"/>
      <c r="AP345" s="21" t="s">
        <v>513</v>
      </c>
      <c r="AQ345" s="21"/>
      <c r="AR345" s="5" t="s">
        <v>466</v>
      </c>
      <c r="AS345" s="5" t="s">
        <v>164</v>
      </c>
      <c r="AT345" s="5" t="s">
        <v>59</v>
      </c>
      <c r="AU345" s="20"/>
      <c r="AV345" s="21"/>
      <c r="AW345" s="21"/>
      <c r="AX345" s="21"/>
    </row>
    <row r="346" spans="1:50" s="55" customFormat="1">
      <c r="A346" s="86" t="s">
        <v>318</v>
      </c>
      <c r="B346" s="5">
        <v>15020404</v>
      </c>
      <c r="C346" s="5" t="s">
        <v>716</v>
      </c>
      <c r="D346" s="5" t="s">
        <v>321</v>
      </c>
      <c r="E346" s="5" t="s">
        <v>52</v>
      </c>
      <c r="F346" s="5" t="s">
        <v>62</v>
      </c>
      <c r="G346" s="5" t="s">
        <v>202</v>
      </c>
      <c r="H346" s="5" t="s">
        <v>464</v>
      </c>
      <c r="I346" s="6">
        <v>44317</v>
      </c>
      <c r="J346" s="5" t="s">
        <v>336</v>
      </c>
      <c r="K346" s="5" t="s">
        <v>511</v>
      </c>
      <c r="L346" s="5" t="s">
        <v>324</v>
      </c>
      <c r="M346" s="7">
        <v>6</v>
      </c>
      <c r="N346" s="7" t="s">
        <v>176</v>
      </c>
      <c r="O346" s="8">
        <v>4745</v>
      </c>
      <c r="P346" s="9">
        <v>0.02</v>
      </c>
      <c r="Q346" s="10">
        <f t="shared" si="66"/>
        <v>95</v>
      </c>
      <c r="R346" s="9">
        <v>5.0000000000000001E-3</v>
      </c>
      <c r="S346" s="10">
        <f t="shared" si="67"/>
        <v>24</v>
      </c>
      <c r="T346" s="9">
        <f t="shared" si="68"/>
        <v>2.5079030558482613E-2</v>
      </c>
      <c r="U346" s="10">
        <f t="shared" si="69"/>
        <v>119</v>
      </c>
      <c r="V346" s="10">
        <f t="shared" si="70"/>
        <v>4864</v>
      </c>
      <c r="W346" s="11">
        <v>4792.45</v>
      </c>
      <c r="X346" s="12">
        <f t="shared" si="71"/>
        <v>47.449999999999818</v>
      </c>
      <c r="Y346" s="13">
        <f t="shared" si="72"/>
        <v>0.01</v>
      </c>
      <c r="Z346" s="14" t="str">
        <f t="shared" si="73"/>
        <v>0.00%-8.40%</v>
      </c>
      <c r="AA346" s="15"/>
      <c r="AB346" s="15"/>
      <c r="AC346" s="15"/>
      <c r="AD346" s="16"/>
      <c r="AE346" s="8">
        <f t="shared" si="74"/>
        <v>0</v>
      </c>
      <c r="AF346" s="17">
        <f t="shared" si="75"/>
        <v>4792.45</v>
      </c>
      <c r="AG346" s="18">
        <f t="shared" si="76"/>
        <v>47.449999999999818</v>
      </c>
      <c r="AH346" s="19">
        <f t="shared" si="77"/>
        <v>1.0000000000000009E-2</v>
      </c>
      <c r="AI346" s="20">
        <v>13.6</v>
      </c>
      <c r="AJ346" s="20">
        <v>450</v>
      </c>
      <c r="AK346" s="20"/>
      <c r="AL346" s="20">
        <v>688</v>
      </c>
      <c r="AM346" s="20">
        <f t="shared" si="78"/>
        <v>71265.319999999992</v>
      </c>
      <c r="AN346" s="7" t="s">
        <v>176</v>
      </c>
      <c r="AO346" s="20"/>
      <c r="AP346" s="21" t="s">
        <v>465</v>
      </c>
      <c r="AQ346" s="21"/>
      <c r="AR346" s="5" t="s">
        <v>466</v>
      </c>
      <c r="AS346" s="5" t="s">
        <v>164</v>
      </c>
      <c r="AT346" s="5" t="s">
        <v>59</v>
      </c>
      <c r="AU346" s="20"/>
      <c r="AV346" s="21"/>
      <c r="AW346" s="21"/>
      <c r="AX346" s="21"/>
    </row>
    <row r="347" spans="1:50" s="55" customFormat="1">
      <c r="A347" s="86" t="s">
        <v>318</v>
      </c>
      <c r="B347" s="5">
        <v>15012046</v>
      </c>
      <c r="C347" s="5" t="s">
        <v>717</v>
      </c>
      <c r="D347" s="5" t="s">
        <v>321</v>
      </c>
      <c r="E347" s="5" t="s">
        <v>52</v>
      </c>
      <c r="F347" s="5" t="s">
        <v>62</v>
      </c>
      <c r="G347" s="5" t="s">
        <v>202</v>
      </c>
      <c r="H347" s="5" t="s">
        <v>464</v>
      </c>
      <c r="I347" s="6">
        <v>41699</v>
      </c>
      <c r="J347" s="5" t="s">
        <v>336</v>
      </c>
      <c r="K347" s="5" t="s">
        <v>511</v>
      </c>
      <c r="L347" s="5" t="s">
        <v>324</v>
      </c>
      <c r="M347" s="7">
        <v>6</v>
      </c>
      <c r="N347" s="7" t="s">
        <v>176</v>
      </c>
      <c r="O347" s="8">
        <v>5780</v>
      </c>
      <c r="P347" s="9">
        <v>0.02</v>
      </c>
      <c r="Q347" s="10">
        <f t="shared" si="66"/>
        <v>116</v>
      </c>
      <c r="R347" s="9">
        <v>5.0000000000000001E-3</v>
      </c>
      <c r="S347" s="10">
        <f t="shared" si="67"/>
        <v>29</v>
      </c>
      <c r="T347" s="9">
        <f t="shared" si="68"/>
        <v>2.5086505190311418E-2</v>
      </c>
      <c r="U347" s="10">
        <f t="shared" si="69"/>
        <v>145</v>
      </c>
      <c r="V347" s="10">
        <f t="shared" si="70"/>
        <v>5925</v>
      </c>
      <c r="W347" s="11">
        <v>6069</v>
      </c>
      <c r="X347" s="12">
        <f t="shared" si="71"/>
        <v>289</v>
      </c>
      <c r="Y347" s="13">
        <f t="shared" si="72"/>
        <v>0.05</v>
      </c>
      <c r="Z347" s="14" t="str">
        <f t="shared" si="73"/>
        <v>0.00%-8.40%</v>
      </c>
      <c r="AA347" s="15"/>
      <c r="AB347" s="15"/>
      <c r="AC347" s="15"/>
      <c r="AD347" s="16"/>
      <c r="AE347" s="8">
        <f t="shared" si="74"/>
        <v>0</v>
      </c>
      <c r="AF347" s="17">
        <f t="shared" si="75"/>
        <v>6069</v>
      </c>
      <c r="AG347" s="18">
        <f t="shared" si="76"/>
        <v>289</v>
      </c>
      <c r="AH347" s="19">
        <f t="shared" si="77"/>
        <v>5.0000000000000044E-2</v>
      </c>
      <c r="AI347" s="20">
        <v>13.6</v>
      </c>
      <c r="AJ347" s="20">
        <v>500</v>
      </c>
      <c r="AK347" s="20"/>
      <c r="AL347" s="20">
        <v>688</v>
      </c>
      <c r="AM347" s="20">
        <f t="shared" si="78"/>
        <v>89226.4</v>
      </c>
      <c r="AN347" s="7" t="s">
        <v>176</v>
      </c>
      <c r="AO347" s="20"/>
      <c r="AP347" s="21" t="s">
        <v>465</v>
      </c>
      <c r="AQ347" s="21"/>
      <c r="AR347" s="5" t="s">
        <v>466</v>
      </c>
      <c r="AS347" s="5" t="s">
        <v>164</v>
      </c>
      <c r="AT347" s="5" t="s">
        <v>59</v>
      </c>
      <c r="AU347" s="20"/>
      <c r="AV347" s="21"/>
      <c r="AW347" s="21"/>
      <c r="AX347" s="21"/>
    </row>
    <row r="348" spans="1:50" s="55" customFormat="1">
      <c r="A348" s="86" t="s">
        <v>318</v>
      </c>
      <c r="B348" s="5">
        <v>15018145</v>
      </c>
      <c r="C348" s="5" t="s">
        <v>718</v>
      </c>
      <c r="D348" s="5" t="s">
        <v>321</v>
      </c>
      <c r="E348" s="5" t="s">
        <v>52</v>
      </c>
      <c r="F348" s="5" t="s">
        <v>62</v>
      </c>
      <c r="G348" s="5" t="s">
        <v>202</v>
      </c>
      <c r="H348" s="5" t="s">
        <v>464</v>
      </c>
      <c r="I348" s="6">
        <v>43282</v>
      </c>
      <c r="J348" s="5" t="s">
        <v>336</v>
      </c>
      <c r="K348" s="5" t="s">
        <v>511</v>
      </c>
      <c r="L348" s="5" t="s">
        <v>324</v>
      </c>
      <c r="M348" s="7">
        <v>6</v>
      </c>
      <c r="N348" s="7" t="s">
        <v>176</v>
      </c>
      <c r="O348" s="8">
        <v>4882</v>
      </c>
      <c r="P348" s="9">
        <v>0.02</v>
      </c>
      <c r="Q348" s="10">
        <f t="shared" si="66"/>
        <v>98</v>
      </c>
      <c r="R348" s="9">
        <v>5.0000000000000001E-3</v>
      </c>
      <c r="S348" s="10">
        <f t="shared" si="67"/>
        <v>24</v>
      </c>
      <c r="T348" s="9">
        <f t="shared" si="68"/>
        <v>2.4989758295780418E-2</v>
      </c>
      <c r="U348" s="10">
        <f t="shared" si="69"/>
        <v>122</v>
      </c>
      <c r="V348" s="10">
        <f t="shared" si="70"/>
        <v>5004</v>
      </c>
      <c r="W348" s="11">
        <v>4906.41</v>
      </c>
      <c r="X348" s="12">
        <f t="shared" si="71"/>
        <v>24.409999999999854</v>
      </c>
      <c r="Y348" s="13">
        <f t="shared" si="72"/>
        <v>5.0000000000000001E-3</v>
      </c>
      <c r="Z348" s="14" t="str">
        <f t="shared" si="73"/>
        <v>0.00%-8.40%</v>
      </c>
      <c r="AA348" s="15"/>
      <c r="AB348" s="15"/>
      <c r="AC348" s="15"/>
      <c r="AD348" s="16"/>
      <c r="AE348" s="8">
        <f t="shared" si="74"/>
        <v>0</v>
      </c>
      <c r="AF348" s="17">
        <f t="shared" si="75"/>
        <v>4906.41</v>
      </c>
      <c r="AG348" s="18">
        <f t="shared" si="76"/>
        <v>24.409999999999854</v>
      </c>
      <c r="AH348" s="19">
        <f t="shared" si="77"/>
        <v>4.9999999999998934E-3</v>
      </c>
      <c r="AI348" s="20">
        <v>13.6</v>
      </c>
      <c r="AJ348" s="20">
        <v>450</v>
      </c>
      <c r="AK348" s="20"/>
      <c r="AL348" s="20">
        <v>688</v>
      </c>
      <c r="AM348" s="20">
        <f t="shared" si="78"/>
        <v>72815.175999999992</v>
      </c>
      <c r="AN348" s="7" t="s">
        <v>176</v>
      </c>
      <c r="AO348" s="20"/>
      <c r="AP348" s="21" t="s">
        <v>513</v>
      </c>
      <c r="AQ348" s="21"/>
      <c r="AR348" s="5" t="s">
        <v>466</v>
      </c>
      <c r="AS348" s="5" t="s">
        <v>164</v>
      </c>
      <c r="AT348" s="5" t="s">
        <v>59</v>
      </c>
      <c r="AU348" s="20"/>
      <c r="AV348" s="21"/>
      <c r="AW348" s="21"/>
      <c r="AX348" s="21"/>
    </row>
    <row r="349" spans="1:50" s="55" customFormat="1">
      <c r="A349" s="86" t="s">
        <v>318</v>
      </c>
      <c r="B349" s="5">
        <v>15012530</v>
      </c>
      <c r="C349" s="5" t="s">
        <v>719</v>
      </c>
      <c r="D349" s="5" t="s">
        <v>321</v>
      </c>
      <c r="E349" s="5" t="s">
        <v>52</v>
      </c>
      <c r="F349" s="5" t="s">
        <v>62</v>
      </c>
      <c r="G349" s="5" t="s">
        <v>202</v>
      </c>
      <c r="H349" s="5" t="s">
        <v>464</v>
      </c>
      <c r="I349" s="6">
        <v>41791</v>
      </c>
      <c r="J349" s="5" t="s">
        <v>336</v>
      </c>
      <c r="K349" s="5" t="s">
        <v>511</v>
      </c>
      <c r="L349" s="5" t="s">
        <v>324</v>
      </c>
      <c r="M349" s="7">
        <v>6</v>
      </c>
      <c r="N349" s="7" t="s">
        <v>176</v>
      </c>
      <c r="O349" s="8">
        <v>4976</v>
      </c>
      <c r="P349" s="9">
        <v>0.02</v>
      </c>
      <c r="Q349" s="10">
        <f t="shared" si="66"/>
        <v>100</v>
      </c>
      <c r="R349" s="9">
        <v>5.0000000000000001E-3</v>
      </c>
      <c r="S349" s="10">
        <f t="shared" si="67"/>
        <v>25</v>
      </c>
      <c r="T349" s="9">
        <f t="shared" si="68"/>
        <v>2.5120578778135047E-2</v>
      </c>
      <c r="U349" s="10">
        <f t="shared" si="69"/>
        <v>125</v>
      </c>
      <c r="V349" s="10">
        <f t="shared" si="70"/>
        <v>5101</v>
      </c>
      <c r="W349" s="11">
        <v>5100.3999999999996</v>
      </c>
      <c r="X349" s="12">
        <f t="shared" si="71"/>
        <v>124.39999999999964</v>
      </c>
      <c r="Y349" s="13">
        <f t="shared" si="72"/>
        <v>2.5000000000000001E-2</v>
      </c>
      <c r="Z349" s="14" t="str">
        <f t="shared" si="73"/>
        <v>0.00%-8.40%</v>
      </c>
      <c r="AA349" s="15"/>
      <c r="AB349" s="15"/>
      <c r="AC349" s="15"/>
      <c r="AD349" s="16"/>
      <c r="AE349" s="8">
        <f t="shared" si="74"/>
        <v>0</v>
      </c>
      <c r="AF349" s="17">
        <f t="shared" si="75"/>
        <v>5100.3999999999996</v>
      </c>
      <c r="AG349" s="18">
        <f t="shared" si="76"/>
        <v>124.39999999999964</v>
      </c>
      <c r="AH349" s="19">
        <f t="shared" si="77"/>
        <v>2.4999999999999911E-2</v>
      </c>
      <c r="AI349" s="20">
        <v>13.6</v>
      </c>
      <c r="AJ349" s="20">
        <v>450</v>
      </c>
      <c r="AK349" s="20"/>
      <c r="AL349" s="20">
        <v>688</v>
      </c>
      <c r="AM349" s="20">
        <f t="shared" si="78"/>
        <v>75453.439999999988</v>
      </c>
      <c r="AN349" s="7" t="s">
        <v>176</v>
      </c>
      <c r="AO349" s="20"/>
      <c r="AP349" s="21" t="s">
        <v>465</v>
      </c>
      <c r="AQ349" s="21"/>
      <c r="AR349" s="5" t="s">
        <v>466</v>
      </c>
      <c r="AS349" s="5" t="s">
        <v>164</v>
      </c>
      <c r="AT349" s="5" t="s">
        <v>59</v>
      </c>
      <c r="AU349" s="20"/>
      <c r="AV349" s="21"/>
      <c r="AW349" s="21"/>
      <c r="AX349" s="21"/>
    </row>
    <row r="350" spans="1:50" s="55" customFormat="1">
      <c r="A350" s="86" t="s">
        <v>318</v>
      </c>
      <c r="B350" s="5">
        <v>15016876</v>
      </c>
      <c r="C350" s="5" t="s">
        <v>720</v>
      </c>
      <c r="D350" s="5" t="s">
        <v>321</v>
      </c>
      <c r="E350" s="5" t="s">
        <v>52</v>
      </c>
      <c r="F350" s="5" t="s">
        <v>62</v>
      </c>
      <c r="G350" s="5" t="s">
        <v>202</v>
      </c>
      <c r="H350" s="5" t="s">
        <v>464</v>
      </c>
      <c r="I350" s="6">
        <v>42948</v>
      </c>
      <c r="J350" s="5" t="s">
        <v>336</v>
      </c>
      <c r="K350" s="5" t="s">
        <v>511</v>
      </c>
      <c r="L350" s="5" t="s">
        <v>324</v>
      </c>
      <c r="M350" s="7">
        <v>6</v>
      </c>
      <c r="N350" s="7" t="s">
        <v>176</v>
      </c>
      <c r="O350" s="8">
        <v>4641</v>
      </c>
      <c r="P350" s="9">
        <v>0.02</v>
      </c>
      <c r="Q350" s="10">
        <f t="shared" si="66"/>
        <v>93</v>
      </c>
      <c r="R350" s="9">
        <v>5.0000000000000001E-3</v>
      </c>
      <c r="S350" s="10">
        <f t="shared" si="67"/>
        <v>23</v>
      </c>
      <c r="T350" s="9">
        <f t="shared" si="68"/>
        <v>2.4994613229907349E-2</v>
      </c>
      <c r="U350" s="10">
        <f t="shared" si="69"/>
        <v>116</v>
      </c>
      <c r="V350" s="10">
        <f t="shared" si="70"/>
        <v>4757</v>
      </c>
      <c r="W350" s="11">
        <v>4664.2049999999999</v>
      </c>
      <c r="X350" s="12">
        <f t="shared" si="71"/>
        <v>23.204999999999927</v>
      </c>
      <c r="Y350" s="13">
        <f t="shared" si="72"/>
        <v>5.0000000000000001E-3</v>
      </c>
      <c r="Z350" s="14" t="str">
        <f t="shared" si="73"/>
        <v>0.00%-8.40%</v>
      </c>
      <c r="AA350" s="15"/>
      <c r="AB350" s="15"/>
      <c r="AC350" s="15"/>
      <c r="AD350" s="16"/>
      <c r="AE350" s="8">
        <f t="shared" si="74"/>
        <v>0</v>
      </c>
      <c r="AF350" s="17">
        <f t="shared" si="75"/>
        <v>4664.2049999999999</v>
      </c>
      <c r="AG350" s="18">
        <f t="shared" si="76"/>
        <v>23.204999999999927</v>
      </c>
      <c r="AH350" s="19">
        <f t="shared" si="77"/>
        <v>4.9999999999998934E-3</v>
      </c>
      <c r="AI350" s="20">
        <v>13.6</v>
      </c>
      <c r="AJ350" s="20">
        <v>450</v>
      </c>
      <c r="AK350" s="20"/>
      <c r="AL350" s="20">
        <v>688</v>
      </c>
      <c r="AM350" s="20">
        <f t="shared" si="78"/>
        <v>69521.187999999995</v>
      </c>
      <c r="AN350" s="7" t="s">
        <v>176</v>
      </c>
      <c r="AO350" s="20"/>
      <c r="AP350" s="21" t="s">
        <v>513</v>
      </c>
      <c r="AQ350" s="21"/>
      <c r="AR350" s="5" t="s">
        <v>466</v>
      </c>
      <c r="AS350" s="5" t="s">
        <v>164</v>
      </c>
      <c r="AT350" s="5" t="s">
        <v>59</v>
      </c>
      <c r="AU350" s="20"/>
      <c r="AV350" s="21"/>
      <c r="AW350" s="21"/>
      <c r="AX350" s="21"/>
    </row>
    <row r="351" spans="1:50" s="55" customFormat="1">
      <c r="A351" s="86" t="s">
        <v>318</v>
      </c>
      <c r="B351" s="5">
        <v>15004953</v>
      </c>
      <c r="C351" s="5" t="s">
        <v>721</v>
      </c>
      <c r="D351" s="5" t="s">
        <v>321</v>
      </c>
      <c r="E351" s="5" t="s">
        <v>52</v>
      </c>
      <c r="F351" s="5" t="s">
        <v>62</v>
      </c>
      <c r="G351" s="5" t="s">
        <v>202</v>
      </c>
      <c r="H351" s="5" t="s">
        <v>464</v>
      </c>
      <c r="I351" s="6">
        <v>40664</v>
      </c>
      <c r="J351" s="5" t="s">
        <v>336</v>
      </c>
      <c r="K351" s="5" t="s">
        <v>511</v>
      </c>
      <c r="L351" s="5" t="s">
        <v>324</v>
      </c>
      <c r="M351" s="7">
        <v>6</v>
      </c>
      <c r="N351" s="7" t="s">
        <v>176</v>
      </c>
      <c r="O351" s="8">
        <v>5275</v>
      </c>
      <c r="P351" s="9">
        <v>0.02</v>
      </c>
      <c r="Q351" s="10">
        <f t="shared" si="66"/>
        <v>106</v>
      </c>
      <c r="R351" s="9">
        <v>5.0000000000000001E-3</v>
      </c>
      <c r="S351" s="10">
        <f t="shared" si="67"/>
        <v>26</v>
      </c>
      <c r="T351" s="9">
        <f t="shared" si="68"/>
        <v>2.5023696682464455E-2</v>
      </c>
      <c r="U351" s="10">
        <f t="shared" si="69"/>
        <v>132</v>
      </c>
      <c r="V351" s="10">
        <f t="shared" si="70"/>
        <v>5407</v>
      </c>
      <c r="W351" s="11">
        <v>5406.875</v>
      </c>
      <c r="X351" s="12">
        <f t="shared" si="71"/>
        <v>131.875</v>
      </c>
      <c r="Y351" s="13">
        <f t="shared" si="72"/>
        <v>2.5000000000000001E-2</v>
      </c>
      <c r="Z351" s="14" t="str">
        <f t="shared" si="73"/>
        <v>0.00%-8.40%</v>
      </c>
      <c r="AA351" s="15"/>
      <c r="AB351" s="15"/>
      <c r="AC351" s="15"/>
      <c r="AD351" s="16"/>
      <c r="AE351" s="8">
        <f t="shared" si="74"/>
        <v>0</v>
      </c>
      <c r="AF351" s="17">
        <f t="shared" si="75"/>
        <v>5406.875</v>
      </c>
      <c r="AG351" s="18">
        <f t="shared" si="76"/>
        <v>131.875</v>
      </c>
      <c r="AH351" s="19">
        <f t="shared" si="77"/>
        <v>2.4999999999999911E-2</v>
      </c>
      <c r="AI351" s="20">
        <v>13.6</v>
      </c>
      <c r="AJ351" s="20">
        <v>450</v>
      </c>
      <c r="AK351" s="20"/>
      <c r="AL351" s="20">
        <v>688</v>
      </c>
      <c r="AM351" s="20">
        <f t="shared" si="78"/>
        <v>79621.5</v>
      </c>
      <c r="AN351" s="7" t="s">
        <v>176</v>
      </c>
      <c r="AO351" s="20"/>
      <c r="AP351" s="21" t="s">
        <v>465</v>
      </c>
      <c r="AQ351" s="21"/>
      <c r="AR351" s="5" t="s">
        <v>466</v>
      </c>
      <c r="AS351" s="5" t="s">
        <v>164</v>
      </c>
      <c r="AT351" s="5" t="s">
        <v>59</v>
      </c>
      <c r="AU351" s="20"/>
      <c r="AV351" s="21"/>
      <c r="AW351" s="21"/>
      <c r="AX351" s="21"/>
    </row>
    <row r="352" spans="1:50" s="55" customFormat="1">
      <c r="A352" s="86" t="s">
        <v>318</v>
      </c>
      <c r="B352" s="5">
        <v>15010590</v>
      </c>
      <c r="C352" s="5" t="s">
        <v>722</v>
      </c>
      <c r="D352" s="5" t="s">
        <v>321</v>
      </c>
      <c r="E352" s="5" t="s">
        <v>52</v>
      </c>
      <c r="F352" s="5" t="s">
        <v>62</v>
      </c>
      <c r="G352" s="5" t="s">
        <v>202</v>
      </c>
      <c r="H352" s="5" t="s">
        <v>464</v>
      </c>
      <c r="I352" s="6">
        <v>41548</v>
      </c>
      <c r="J352" s="5" t="s">
        <v>336</v>
      </c>
      <c r="K352" s="5" t="s">
        <v>511</v>
      </c>
      <c r="L352" s="5" t="s">
        <v>324</v>
      </c>
      <c r="M352" s="7">
        <v>6</v>
      </c>
      <c r="N352" s="7" t="s">
        <v>176</v>
      </c>
      <c r="O352" s="8">
        <v>4795</v>
      </c>
      <c r="P352" s="9">
        <v>0.02</v>
      </c>
      <c r="Q352" s="10">
        <f t="shared" si="66"/>
        <v>96</v>
      </c>
      <c r="R352" s="9">
        <v>5.0000000000000001E-3</v>
      </c>
      <c r="S352" s="10">
        <f t="shared" si="67"/>
        <v>24</v>
      </c>
      <c r="T352" s="9">
        <f t="shared" si="68"/>
        <v>2.502606882168926E-2</v>
      </c>
      <c r="U352" s="10">
        <f t="shared" si="69"/>
        <v>120</v>
      </c>
      <c r="V352" s="10">
        <f t="shared" si="70"/>
        <v>4915</v>
      </c>
      <c r="W352" s="11">
        <v>4818.9750000000004</v>
      </c>
      <c r="X352" s="12">
        <f t="shared" si="71"/>
        <v>23.975000000000364</v>
      </c>
      <c r="Y352" s="13">
        <f t="shared" si="72"/>
        <v>5.0000000000000001E-3</v>
      </c>
      <c r="Z352" s="14" t="str">
        <f t="shared" si="73"/>
        <v>0.00%-8.40%</v>
      </c>
      <c r="AA352" s="15"/>
      <c r="AB352" s="15"/>
      <c r="AC352" s="15"/>
      <c r="AD352" s="16"/>
      <c r="AE352" s="8">
        <f t="shared" si="74"/>
        <v>0</v>
      </c>
      <c r="AF352" s="17">
        <f t="shared" si="75"/>
        <v>4818.9750000000004</v>
      </c>
      <c r="AG352" s="18">
        <f t="shared" si="76"/>
        <v>23.975000000000364</v>
      </c>
      <c r="AH352" s="19">
        <f t="shared" si="77"/>
        <v>5.0000000000001155E-3</v>
      </c>
      <c r="AI352" s="20">
        <v>13.6</v>
      </c>
      <c r="AJ352" s="20">
        <v>450</v>
      </c>
      <c r="AK352" s="20"/>
      <c r="AL352" s="20">
        <v>688</v>
      </c>
      <c r="AM352" s="20">
        <f t="shared" si="78"/>
        <v>71626.06</v>
      </c>
      <c r="AN352" s="7" t="s">
        <v>176</v>
      </c>
      <c r="AO352" s="20"/>
      <c r="AP352" s="21" t="s">
        <v>465</v>
      </c>
      <c r="AQ352" s="21"/>
      <c r="AR352" s="5" t="s">
        <v>466</v>
      </c>
      <c r="AS352" s="5" t="s">
        <v>164</v>
      </c>
      <c r="AT352" s="5" t="s">
        <v>59</v>
      </c>
      <c r="AU352" s="20"/>
      <c r="AV352" s="21"/>
      <c r="AW352" s="21"/>
      <c r="AX352" s="21"/>
    </row>
    <row r="353" spans="1:50" s="55" customFormat="1">
      <c r="A353" s="86" t="s">
        <v>318</v>
      </c>
      <c r="B353" s="5">
        <v>15011540</v>
      </c>
      <c r="C353" s="5" t="s">
        <v>723</v>
      </c>
      <c r="D353" s="5" t="s">
        <v>321</v>
      </c>
      <c r="E353" s="5" t="s">
        <v>52</v>
      </c>
      <c r="F353" s="5" t="s">
        <v>62</v>
      </c>
      <c r="G353" s="5" t="s">
        <v>202</v>
      </c>
      <c r="H353" s="5" t="s">
        <v>464</v>
      </c>
      <c r="I353" s="6">
        <v>41609</v>
      </c>
      <c r="J353" s="5" t="s">
        <v>336</v>
      </c>
      <c r="K353" s="5" t="s">
        <v>511</v>
      </c>
      <c r="L353" s="5" t="s">
        <v>324</v>
      </c>
      <c r="M353" s="7">
        <v>6</v>
      </c>
      <c r="N353" s="7" t="s">
        <v>176</v>
      </c>
      <c r="O353" s="8">
        <v>4684</v>
      </c>
      <c r="P353" s="9">
        <v>0.02</v>
      </c>
      <c r="Q353" s="10">
        <f t="shared" si="66"/>
        <v>94</v>
      </c>
      <c r="R353" s="9">
        <v>5.0000000000000001E-3</v>
      </c>
      <c r="S353" s="10">
        <f t="shared" si="67"/>
        <v>23</v>
      </c>
      <c r="T353" s="9">
        <f t="shared" si="68"/>
        <v>2.497865072587532E-2</v>
      </c>
      <c r="U353" s="10">
        <f t="shared" si="69"/>
        <v>117</v>
      </c>
      <c r="V353" s="10">
        <f t="shared" si="70"/>
        <v>4801</v>
      </c>
      <c r="W353" s="11">
        <v>4801.1000000000004</v>
      </c>
      <c r="X353" s="12">
        <f t="shared" si="71"/>
        <v>117.10000000000036</v>
      </c>
      <c r="Y353" s="13">
        <f t="shared" si="72"/>
        <v>2.5000000000000001E-2</v>
      </c>
      <c r="Z353" s="14" t="str">
        <f t="shared" si="73"/>
        <v>0.00%-8.40%</v>
      </c>
      <c r="AA353" s="15"/>
      <c r="AB353" s="15"/>
      <c r="AC353" s="15"/>
      <c r="AD353" s="16"/>
      <c r="AE353" s="8">
        <f t="shared" si="74"/>
        <v>0</v>
      </c>
      <c r="AF353" s="17">
        <f t="shared" si="75"/>
        <v>4801.1000000000004</v>
      </c>
      <c r="AG353" s="18">
        <f t="shared" si="76"/>
        <v>117.10000000000036</v>
      </c>
      <c r="AH353" s="19">
        <f t="shared" si="77"/>
        <v>2.5000000000000133E-2</v>
      </c>
      <c r="AI353" s="20">
        <v>13.6</v>
      </c>
      <c r="AJ353" s="20">
        <v>450</v>
      </c>
      <c r="AK353" s="20"/>
      <c r="AL353" s="20">
        <v>688</v>
      </c>
      <c r="AM353" s="20">
        <f t="shared" si="78"/>
        <v>71382.960000000006</v>
      </c>
      <c r="AN353" s="7" t="s">
        <v>176</v>
      </c>
      <c r="AO353" s="20"/>
      <c r="AP353" s="21" t="s">
        <v>465</v>
      </c>
      <c r="AQ353" s="21"/>
      <c r="AR353" s="5" t="s">
        <v>466</v>
      </c>
      <c r="AS353" s="5" t="s">
        <v>164</v>
      </c>
      <c r="AT353" s="5" t="s">
        <v>59</v>
      </c>
      <c r="AU353" s="20"/>
      <c r="AV353" s="21"/>
      <c r="AW353" s="21"/>
      <c r="AX353" s="21"/>
    </row>
    <row r="354" spans="1:50" s="55" customFormat="1">
      <c r="A354" s="86" t="s">
        <v>318</v>
      </c>
      <c r="B354" s="5">
        <v>15014142</v>
      </c>
      <c r="C354" s="5" t="s">
        <v>724</v>
      </c>
      <c r="D354" s="5" t="s">
        <v>321</v>
      </c>
      <c r="E354" s="5" t="s">
        <v>52</v>
      </c>
      <c r="F354" s="5" t="s">
        <v>62</v>
      </c>
      <c r="G354" s="5" t="s">
        <v>202</v>
      </c>
      <c r="H354" s="5" t="s">
        <v>464</v>
      </c>
      <c r="I354" s="6">
        <v>42186</v>
      </c>
      <c r="J354" s="5" t="s">
        <v>336</v>
      </c>
      <c r="K354" s="5" t="s">
        <v>511</v>
      </c>
      <c r="L354" s="5" t="s">
        <v>324</v>
      </c>
      <c r="M354" s="7">
        <v>6</v>
      </c>
      <c r="N354" s="7" t="s">
        <v>176</v>
      </c>
      <c r="O354" s="8">
        <v>4784</v>
      </c>
      <c r="P354" s="9">
        <v>0.02</v>
      </c>
      <c r="Q354" s="10">
        <f t="shared" si="66"/>
        <v>96</v>
      </c>
      <c r="R354" s="9">
        <v>5.0000000000000001E-3</v>
      </c>
      <c r="S354" s="10">
        <f t="shared" si="67"/>
        <v>24</v>
      </c>
      <c r="T354" s="9">
        <f t="shared" si="68"/>
        <v>2.508361204013378E-2</v>
      </c>
      <c r="U354" s="10">
        <f t="shared" si="69"/>
        <v>120</v>
      </c>
      <c r="V354" s="10">
        <f t="shared" si="70"/>
        <v>4904</v>
      </c>
      <c r="W354" s="11">
        <v>4903.6000000000004</v>
      </c>
      <c r="X354" s="12">
        <f t="shared" si="71"/>
        <v>119.60000000000036</v>
      </c>
      <c r="Y354" s="13">
        <f t="shared" si="72"/>
        <v>2.5000000000000001E-2</v>
      </c>
      <c r="Z354" s="14" t="str">
        <f t="shared" si="73"/>
        <v>0.00%-8.40%</v>
      </c>
      <c r="AA354" s="15"/>
      <c r="AB354" s="15"/>
      <c r="AC354" s="15"/>
      <c r="AD354" s="16"/>
      <c r="AE354" s="8">
        <f t="shared" si="74"/>
        <v>0</v>
      </c>
      <c r="AF354" s="17">
        <f t="shared" si="75"/>
        <v>4903.6000000000004</v>
      </c>
      <c r="AG354" s="18">
        <f t="shared" si="76"/>
        <v>119.60000000000036</v>
      </c>
      <c r="AH354" s="19">
        <f t="shared" si="77"/>
        <v>2.5000000000000133E-2</v>
      </c>
      <c r="AI354" s="20">
        <v>13.6</v>
      </c>
      <c r="AJ354" s="20">
        <v>450</v>
      </c>
      <c r="AK354" s="20"/>
      <c r="AL354" s="20">
        <v>688</v>
      </c>
      <c r="AM354" s="20">
        <f t="shared" si="78"/>
        <v>72776.960000000006</v>
      </c>
      <c r="AN354" s="7" t="s">
        <v>176</v>
      </c>
      <c r="AO354" s="20"/>
      <c r="AP354" s="21" t="s">
        <v>465</v>
      </c>
      <c r="AQ354" s="21"/>
      <c r="AR354" s="5" t="s">
        <v>466</v>
      </c>
      <c r="AS354" s="5" t="s">
        <v>164</v>
      </c>
      <c r="AT354" s="5" t="s">
        <v>59</v>
      </c>
      <c r="AU354" s="20"/>
      <c r="AV354" s="21"/>
      <c r="AW354" s="21"/>
      <c r="AX354" s="21"/>
    </row>
    <row r="355" spans="1:50" s="55" customFormat="1">
      <c r="A355" s="86" t="s">
        <v>318</v>
      </c>
      <c r="B355" s="5">
        <v>15009184</v>
      </c>
      <c r="C355" s="5" t="s">
        <v>725</v>
      </c>
      <c r="D355" s="5" t="s">
        <v>321</v>
      </c>
      <c r="E355" s="5" t="s">
        <v>52</v>
      </c>
      <c r="F355" s="5" t="s">
        <v>62</v>
      </c>
      <c r="G355" s="5" t="s">
        <v>202</v>
      </c>
      <c r="H355" s="5" t="s">
        <v>464</v>
      </c>
      <c r="I355" s="6">
        <v>41259</v>
      </c>
      <c r="J355" s="5" t="s">
        <v>336</v>
      </c>
      <c r="K355" s="5" t="s">
        <v>511</v>
      </c>
      <c r="L355" s="5" t="s">
        <v>324</v>
      </c>
      <c r="M355" s="7">
        <v>6</v>
      </c>
      <c r="N355" s="7" t="s">
        <v>176</v>
      </c>
      <c r="O355" s="8">
        <v>5006</v>
      </c>
      <c r="P355" s="9">
        <v>0.02</v>
      </c>
      <c r="Q355" s="10">
        <f t="shared" si="66"/>
        <v>100</v>
      </c>
      <c r="R355" s="9">
        <v>5.0000000000000001E-3</v>
      </c>
      <c r="S355" s="10">
        <f t="shared" si="67"/>
        <v>25</v>
      </c>
      <c r="T355" s="9">
        <f t="shared" si="68"/>
        <v>2.4970035956851776E-2</v>
      </c>
      <c r="U355" s="10">
        <f t="shared" si="69"/>
        <v>125</v>
      </c>
      <c r="V355" s="10">
        <f t="shared" si="70"/>
        <v>5131</v>
      </c>
      <c r="W355" s="11">
        <v>5131.1499999999996</v>
      </c>
      <c r="X355" s="12">
        <f t="shared" si="71"/>
        <v>125.14999999999964</v>
      </c>
      <c r="Y355" s="13">
        <f t="shared" si="72"/>
        <v>2.5000000000000001E-2</v>
      </c>
      <c r="Z355" s="14" t="str">
        <f t="shared" si="73"/>
        <v>0.00%-8.40%</v>
      </c>
      <c r="AA355" s="15"/>
      <c r="AB355" s="15"/>
      <c r="AC355" s="15"/>
      <c r="AD355" s="16"/>
      <c r="AE355" s="8">
        <f t="shared" si="74"/>
        <v>0</v>
      </c>
      <c r="AF355" s="17">
        <f t="shared" si="75"/>
        <v>5131.1499999999996</v>
      </c>
      <c r="AG355" s="18">
        <f t="shared" si="76"/>
        <v>125.14999999999964</v>
      </c>
      <c r="AH355" s="19">
        <f t="shared" si="77"/>
        <v>2.4999999999999911E-2</v>
      </c>
      <c r="AI355" s="20">
        <v>13.6</v>
      </c>
      <c r="AJ355" s="20">
        <v>450</v>
      </c>
      <c r="AK355" s="20"/>
      <c r="AL355" s="20">
        <v>688</v>
      </c>
      <c r="AM355" s="20">
        <f t="shared" si="78"/>
        <v>75871.64</v>
      </c>
      <c r="AN355" s="7" t="s">
        <v>176</v>
      </c>
      <c r="AO355" s="20"/>
      <c r="AP355" s="21" t="s">
        <v>465</v>
      </c>
      <c r="AQ355" s="21"/>
      <c r="AR355" s="5" t="s">
        <v>466</v>
      </c>
      <c r="AS355" s="5" t="s">
        <v>164</v>
      </c>
      <c r="AT355" s="5" t="s">
        <v>59</v>
      </c>
      <c r="AU355" s="20"/>
      <c r="AV355" s="21"/>
      <c r="AW355" s="21"/>
      <c r="AX355" s="21"/>
    </row>
    <row r="356" spans="1:50" s="55" customFormat="1">
      <c r="A356" s="86" t="s">
        <v>318</v>
      </c>
      <c r="B356" s="5">
        <v>15018231</v>
      </c>
      <c r="C356" s="5" t="s">
        <v>726</v>
      </c>
      <c r="D356" s="5" t="s">
        <v>321</v>
      </c>
      <c r="E356" s="5" t="s">
        <v>52</v>
      </c>
      <c r="F356" s="5" t="s">
        <v>62</v>
      </c>
      <c r="G356" s="5" t="s">
        <v>202</v>
      </c>
      <c r="H356" s="5" t="s">
        <v>464</v>
      </c>
      <c r="I356" s="6">
        <v>43160</v>
      </c>
      <c r="J356" s="5" t="s">
        <v>336</v>
      </c>
      <c r="K356" s="5" t="s">
        <v>511</v>
      </c>
      <c r="L356" s="5" t="s">
        <v>324</v>
      </c>
      <c r="M356" s="7">
        <v>6</v>
      </c>
      <c r="N356" s="7" t="s">
        <v>176</v>
      </c>
      <c r="O356" s="8">
        <v>4711</v>
      </c>
      <c r="P356" s="9">
        <v>0.02</v>
      </c>
      <c r="Q356" s="10">
        <f t="shared" si="66"/>
        <v>94</v>
      </c>
      <c r="R356" s="9">
        <v>5.0000000000000001E-3</v>
      </c>
      <c r="S356" s="10">
        <f t="shared" si="67"/>
        <v>24</v>
      </c>
      <c r="T356" s="9">
        <f t="shared" si="68"/>
        <v>2.5047760560390576E-2</v>
      </c>
      <c r="U356" s="10">
        <f t="shared" si="69"/>
        <v>118</v>
      </c>
      <c r="V356" s="10">
        <f t="shared" si="70"/>
        <v>4829</v>
      </c>
      <c r="W356" s="11">
        <v>4758.1099999999997</v>
      </c>
      <c r="X356" s="12">
        <f t="shared" si="71"/>
        <v>47.109999999999673</v>
      </c>
      <c r="Y356" s="13">
        <f t="shared" si="72"/>
        <v>0.01</v>
      </c>
      <c r="Z356" s="14" t="str">
        <f t="shared" si="73"/>
        <v>0.00%-8.40%</v>
      </c>
      <c r="AA356" s="15"/>
      <c r="AB356" s="15"/>
      <c r="AC356" s="15"/>
      <c r="AD356" s="16"/>
      <c r="AE356" s="8">
        <f t="shared" si="74"/>
        <v>0</v>
      </c>
      <c r="AF356" s="17">
        <f t="shared" si="75"/>
        <v>4758.1099999999997</v>
      </c>
      <c r="AG356" s="18">
        <f t="shared" si="76"/>
        <v>47.109999999999673</v>
      </c>
      <c r="AH356" s="19">
        <f t="shared" si="77"/>
        <v>1.0000000000000009E-2</v>
      </c>
      <c r="AI356" s="20">
        <v>13.6</v>
      </c>
      <c r="AJ356" s="20">
        <v>450</v>
      </c>
      <c r="AK356" s="20"/>
      <c r="AL356" s="20">
        <v>688</v>
      </c>
      <c r="AM356" s="20">
        <f t="shared" si="78"/>
        <v>70798.296000000002</v>
      </c>
      <c r="AN356" s="7" t="s">
        <v>176</v>
      </c>
      <c r="AO356" s="20"/>
      <c r="AP356" s="21" t="s">
        <v>465</v>
      </c>
      <c r="AQ356" s="21"/>
      <c r="AR356" s="5" t="s">
        <v>466</v>
      </c>
      <c r="AS356" s="5" t="s">
        <v>164</v>
      </c>
      <c r="AT356" s="5" t="s">
        <v>59</v>
      </c>
      <c r="AU356" s="20"/>
      <c r="AV356" s="21"/>
      <c r="AW356" s="21"/>
      <c r="AX356" s="21"/>
    </row>
    <row r="357" spans="1:50" s="55" customFormat="1">
      <c r="A357" s="86" t="s">
        <v>318</v>
      </c>
      <c r="B357" s="5">
        <v>15015150</v>
      </c>
      <c r="C357" s="5" t="s">
        <v>727</v>
      </c>
      <c r="D357" s="5" t="s">
        <v>321</v>
      </c>
      <c r="E357" s="5" t="s">
        <v>52</v>
      </c>
      <c r="F357" s="5" t="s">
        <v>62</v>
      </c>
      <c r="G357" s="5" t="s">
        <v>202</v>
      </c>
      <c r="H357" s="5" t="s">
        <v>464</v>
      </c>
      <c r="I357" s="6">
        <v>42552</v>
      </c>
      <c r="J357" s="5" t="s">
        <v>336</v>
      </c>
      <c r="K357" s="5" t="s">
        <v>511</v>
      </c>
      <c r="L357" s="5" t="s">
        <v>324</v>
      </c>
      <c r="M357" s="7">
        <v>6</v>
      </c>
      <c r="N357" s="7" t="s">
        <v>176</v>
      </c>
      <c r="O357" s="8">
        <v>5256</v>
      </c>
      <c r="P357" s="9">
        <v>0.02</v>
      </c>
      <c r="Q357" s="10">
        <f t="shared" si="66"/>
        <v>105</v>
      </c>
      <c r="R357" s="9">
        <v>5.0000000000000001E-3</v>
      </c>
      <c r="S357" s="10">
        <f t="shared" si="67"/>
        <v>26</v>
      </c>
      <c r="T357" s="9">
        <f t="shared" si="68"/>
        <v>2.4923896499238964E-2</v>
      </c>
      <c r="U357" s="10">
        <f t="shared" si="69"/>
        <v>131</v>
      </c>
      <c r="V357" s="10">
        <f t="shared" si="70"/>
        <v>5387</v>
      </c>
      <c r="W357" s="11">
        <v>5518.8</v>
      </c>
      <c r="X357" s="12">
        <f t="shared" si="71"/>
        <v>262.80000000000018</v>
      </c>
      <c r="Y357" s="13">
        <f t="shared" si="72"/>
        <v>0.05</v>
      </c>
      <c r="Z357" s="14" t="str">
        <f t="shared" si="73"/>
        <v>0.00%-8.40%</v>
      </c>
      <c r="AA357" s="15"/>
      <c r="AB357" s="15"/>
      <c r="AC357" s="15"/>
      <c r="AD357" s="16"/>
      <c r="AE357" s="8">
        <f t="shared" si="74"/>
        <v>0</v>
      </c>
      <c r="AF357" s="17">
        <f t="shared" si="75"/>
        <v>5518.8</v>
      </c>
      <c r="AG357" s="18">
        <f t="shared" si="76"/>
        <v>262.80000000000018</v>
      </c>
      <c r="AH357" s="19">
        <f t="shared" si="77"/>
        <v>5.0000000000000044E-2</v>
      </c>
      <c r="AI357" s="20">
        <v>13.6</v>
      </c>
      <c r="AJ357" s="20">
        <v>450</v>
      </c>
      <c r="AK357" s="20"/>
      <c r="AL357" s="20">
        <v>688</v>
      </c>
      <c r="AM357" s="20">
        <f t="shared" si="78"/>
        <v>81143.680000000008</v>
      </c>
      <c r="AN357" s="7" t="s">
        <v>176</v>
      </c>
      <c r="AO357" s="20"/>
      <c r="AP357" s="21" t="s">
        <v>525</v>
      </c>
      <c r="AQ357" s="21"/>
      <c r="AR357" s="5" t="s">
        <v>466</v>
      </c>
      <c r="AS357" s="5" t="s">
        <v>164</v>
      </c>
      <c r="AT357" s="5" t="s">
        <v>59</v>
      </c>
      <c r="AU357" s="20"/>
      <c r="AV357" s="21"/>
      <c r="AW357" s="21"/>
      <c r="AX357" s="21"/>
    </row>
    <row r="358" spans="1:50" s="55" customFormat="1">
      <c r="A358" s="86" t="s">
        <v>318</v>
      </c>
      <c r="B358" s="5">
        <v>15018662</v>
      </c>
      <c r="C358" s="5" t="s">
        <v>728</v>
      </c>
      <c r="D358" s="5" t="s">
        <v>321</v>
      </c>
      <c r="E358" s="5" t="s">
        <v>52</v>
      </c>
      <c r="F358" s="5" t="s">
        <v>62</v>
      </c>
      <c r="G358" s="5" t="s">
        <v>202</v>
      </c>
      <c r="H358" s="5" t="s">
        <v>464</v>
      </c>
      <c r="I358" s="6">
        <v>43282</v>
      </c>
      <c r="J358" s="5" t="s">
        <v>336</v>
      </c>
      <c r="K358" s="5" t="s">
        <v>511</v>
      </c>
      <c r="L358" s="5" t="s">
        <v>324</v>
      </c>
      <c r="M358" s="7">
        <v>6</v>
      </c>
      <c r="N358" s="7" t="s">
        <v>176</v>
      </c>
      <c r="O358" s="8">
        <v>4991</v>
      </c>
      <c r="P358" s="9">
        <v>0.02</v>
      </c>
      <c r="Q358" s="10">
        <f t="shared" si="66"/>
        <v>100</v>
      </c>
      <c r="R358" s="9">
        <v>5.0000000000000001E-3</v>
      </c>
      <c r="S358" s="10">
        <f t="shared" si="67"/>
        <v>25</v>
      </c>
      <c r="T358" s="9">
        <f t="shared" si="68"/>
        <v>2.5045081146062912E-2</v>
      </c>
      <c r="U358" s="10">
        <f t="shared" si="69"/>
        <v>125</v>
      </c>
      <c r="V358" s="10">
        <f t="shared" si="70"/>
        <v>5116</v>
      </c>
      <c r="W358" s="11">
        <v>5115.7749999999996</v>
      </c>
      <c r="X358" s="12">
        <f t="shared" si="71"/>
        <v>124.77499999999964</v>
      </c>
      <c r="Y358" s="13">
        <f t="shared" si="72"/>
        <v>2.5000000000000001E-2</v>
      </c>
      <c r="Z358" s="14" t="str">
        <f t="shared" si="73"/>
        <v>0.00%-8.40%</v>
      </c>
      <c r="AA358" s="15"/>
      <c r="AB358" s="15"/>
      <c r="AC358" s="15"/>
      <c r="AD358" s="16"/>
      <c r="AE358" s="8">
        <f t="shared" si="74"/>
        <v>0</v>
      </c>
      <c r="AF358" s="17">
        <f t="shared" si="75"/>
        <v>5115.7749999999996</v>
      </c>
      <c r="AG358" s="18">
        <f t="shared" si="76"/>
        <v>124.77499999999964</v>
      </c>
      <c r="AH358" s="19">
        <f t="shared" si="77"/>
        <v>2.4999999999999911E-2</v>
      </c>
      <c r="AI358" s="20">
        <v>13.6</v>
      </c>
      <c r="AJ358" s="20">
        <v>450</v>
      </c>
      <c r="AK358" s="20"/>
      <c r="AL358" s="20">
        <v>688</v>
      </c>
      <c r="AM358" s="20">
        <f t="shared" si="78"/>
        <v>75662.539999999994</v>
      </c>
      <c r="AN358" s="7" t="s">
        <v>176</v>
      </c>
      <c r="AO358" s="20"/>
      <c r="AP358" s="21" t="s">
        <v>465</v>
      </c>
      <c r="AQ358" s="21"/>
      <c r="AR358" s="5" t="s">
        <v>466</v>
      </c>
      <c r="AS358" s="5" t="s">
        <v>164</v>
      </c>
      <c r="AT358" s="5" t="s">
        <v>59</v>
      </c>
      <c r="AU358" s="20"/>
      <c r="AV358" s="21"/>
      <c r="AW358" s="21"/>
      <c r="AX358" s="21"/>
    </row>
    <row r="359" spans="1:50" s="55" customFormat="1">
      <c r="A359" s="86" t="s">
        <v>318</v>
      </c>
      <c r="B359" s="5">
        <v>15011122</v>
      </c>
      <c r="C359" s="5" t="s">
        <v>729</v>
      </c>
      <c r="D359" s="5" t="s">
        <v>321</v>
      </c>
      <c r="E359" s="5" t="s">
        <v>52</v>
      </c>
      <c r="F359" s="5" t="s">
        <v>62</v>
      </c>
      <c r="G359" s="5" t="s">
        <v>202</v>
      </c>
      <c r="H359" s="5" t="s">
        <v>464</v>
      </c>
      <c r="I359" s="6">
        <v>41640</v>
      </c>
      <c r="J359" s="5" t="s">
        <v>336</v>
      </c>
      <c r="K359" s="5" t="s">
        <v>511</v>
      </c>
      <c r="L359" s="5" t="s">
        <v>324</v>
      </c>
      <c r="M359" s="7">
        <v>6</v>
      </c>
      <c r="N359" s="7" t="s">
        <v>176</v>
      </c>
      <c r="O359" s="8">
        <v>5164</v>
      </c>
      <c r="P359" s="9">
        <v>0.02</v>
      </c>
      <c r="Q359" s="10">
        <f t="shared" si="66"/>
        <v>103</v>
      </c>
      <c r="R359" s="9">
        <v>5.0000000000000001E-3</v>
      </c>
      <c r="S359" s="10">
        <f t="shared" si="67"/>
        <v>26</v>
      </c>
      <c r="T359" s="9">
        <f t="shared" si="68"/>
        <v>2.4980635166537569E-2</v>
      </c>
      <c r="U359" s="10">
        <f t="shared" si="69"/>
        <v>129</v>
      </c>
      <c r="V359" s="10">
        <f t="shared" si="70"/>
        <v>5293</v>
      </c>
      <c r="W359" s="11">
        <v>5293.1</v>
      </c>
      <c r="X359" s="12">
        <f t="shared" si="71"/>
        <v>129.10000000000036</v>
      </c>
      <c r="Y359" s="13">
        <f t="shared" si="72"/>
        <v>2.5000000000000001E-2</v>
      </c>
      <c r="Z359" s="14" t="str">
        <f t="shared" si="73"/>
        <v>0.00%-8.40%</v>
      </c>
      <c r="AA359" s="15"/>
      <c r="AB359" s="15"/>
      <c r="AC359" s="15"/>
      <c r="AD359" s="16"/>
      <c r="AE359" s="8">
        <f t="shared" si="74"/>
        <v>0</v>
      </c>
      <c r="AF359" s="17">
        <f t="shared" si="75"/>
        <v>5293.1</v>
      </c>
      <c r="AG359" s="18">
        <f t="shared" si="76"/>
        <v>129.10000000000036</v>
      </c>
      <c r="AH359" s="19">
        <f t="shared" si="77"/>
        <v>2.5000000000000133E-2</v>
      </c>
      <c r="AI359" s="20">
        <v>13.6</v>
      </c>
      <c r="AJ359" s="20">
        <v>450</v>
      </c>
      <c r="AK359" s="20"/>
      <c r="AL359" s="20">
        <v>688</v>
      </c>
      <c r="AM359" s="20">
        <f t="shared" si="78"/>
        <v>78074.16</v>
      </c>
      <c r="AN359" s="7" t="s">
        <v>176</v>
      </c>
      <c r="AO359" s="20"/>
      <c r="AP359" s="21" t="s">
        <v>465</v>
      </c>
      <c r="AQ359" s="21"/>
      <c r="AR359" s="5" t="s">
        <v>466</v>
      </c>
      <c r="AS359" s="5" t="s">
        <v>164</v>
      </c>
      <c r="AT359" s="5" t="s">
        <v>59</v>
      </c>
      <c r="AU359" s="20"/>
      <c r="AV359" s="21"/>
      <c r="AW359" s="21"/>
      <c r="AX359" s="21"/>
    </row>
    <row r="360" spans="1:50" s="55" customFormat="1">
      <c r="A360" s="86" t="s">
        <v>318</v>
      </c>
      <c r="B360" s="5">
        <v>15017179</v>
      </c>
      <c r="C360" s="5" t="s">
        <v>730</v>
      </c>
      <c r="D360" s="5" t="s">
        <v>321</v>
      </c>
      <c r="E360" s="5" t="s">
        <v>52</v>
      </c>
      <c r="F360" s="5" t="s">
        <v>62</v>
      </c>
      <c r="G360" s="5" t="s">
        <v>202</v>
      </c>
      <c r="H360" s="5" t="s">
        <v>464</v>
      </c>
      <c r="I360" s="6">
        <v>42979</v>
      </c>
      <c r="J360" s="5" t="s">
        <v>336</v>
      </c>
      <c r="K360" s="5" t="s">
        <v>548</v>
      </c>
      <c r="L360" s="5" t="s">
        <v>324</v>
      </c>
      <c r="M360" s="7">
        <v>6</v>
      </c>
      <c r="N360" s="7" t="s">
        <v>176</v>
      </c>
      <c r="O360" s="8">
        <v>4970</v>
      </c>
      <c r="P360" s="9">
        <v>0.02</v>
      </c>
      <c r="Q360" s="10">
        <f t="shared" si="66"/>
        <v>99</v>
      </c>
      <c r="R360" s="9">
        <v>5.0000000000000001E-3</v>
      </c>
      <c r="S360" s="10">
        <f t="shared" si="67"/>
        <v>25</v>
      </c>
      <c r="T360" s="9">
        <f t="shared" si="68"/>
        <v>2.4949698189134808E-2</v>
      </c>
      <c r="U360" s="10">
        <f t="shared" si="69"/>
        <v>124</v>
      </c>
      <c r="V360" s="10">
        <f t="shared" si="70"/>
        <v>5094</v>
      </c>
      <c r="W360" s="11">
        <v>5094.25</v>
      </c>
      <c r="X360" s="12">
        <f t="shared" si="71"/>
        <v>124.25</v>
      </c>
      <c r="Y360" s="13">
        <f t="shared" si="72"/>
        <v>2.5000000000000001E-2</v>
      </c>
      <c r="Z360" s="14" t="str">
        <f t="shared" si="73"/>
        <v>0.00%-8.40%</v>
      </c>
      <c r="AA360" s="15"/>
      <c r="AB360" s="15"/>
      <c r="AC360" s="15"/>
      <c r="AD360" s="16"/>
      <c r="AE360" s="8">
        <f t="shared" si="74"/>
        <v>0</v>
      </c>
      <c r="AF360" s="17">
        <f t="shared" si="75"/>
        <v>5094.25</v>
      </c>
      <c r="AG360" s="18">
        <f t="shared" si="76"/>
        <v>124.25</v>
      </c>
      <c r="AH360" s="19">
        <f t="shared" si="77"/>
        <v>2.4999999999999911E-2</v>
      </c>
      <c r="AI360" s="20">
        <v>13.6</v>
      </c>
      <c r="AJ360" s="20">
        <v>450</v>
      </c>
      <c r="AK360" s="20"/>
      <c r="AL360" s="20">
        <v>688</v>
      </c>
      <c r="AM360" s="20">
        <f t="shared" si="78"/>
        <v>75369.8</v>
      </c>
      <c r="AN360" s="7" t="s">
        <v>176</v>
      </c>
      <c r="AO360" s="20"/>
      <c r="AP360" s="21" t="s">
        <v>465</v>
      </c>
      <c r="AQ360" s="21"/>
      <c r="AR360" s="5" t="s">
        <v>466</v>
      </c>
      <c r="AS360" s="5" t="s">
        <v>164</v>
      </c>
      <c r="AT360" s="5" t="s">
        <v>59</v>
      </c>
      <c r="AU360" s="20"/>
      <c r="AV360" s="21"/>
      <c r="AW360" s="21"/>
      <c r="AX360" s="21"/>
    </row>
    <row r="361" spans="1:50" s="55" customFormat="1">
      <c r="A361" s="86" t="s">
        <v>318</v>
      </c>
      <c r="B361" s="5">
        <v>15014888</v>
      </c>
      <c r="C361" s="5" t="s">
        <v>731</v>
      </c>
      <c r="D361" s="5" t="s">
        <v>321</v>
      </c>
      <c r="E361" s="5" t="s">
        <v>52</v>
      </c>
      <c r="F361" s="5" t="s">
        <v>62</v>
      </c>
      <c r="G361" s="5" t="s">
        <v>202</v>
      </c>
      <c r="H361" s="5" t="s">
        <v>464</v>
      </c>
      <c r="I361" s="6">
        <v>42370</v>
      </c>
      <c r="J361" s="5" t="s">
        <v>336</v>
      </c>
      <c r="K361" s="5" t="s">
        <v>511</v>
      </c>
      <c r="L361" s="5" t="s">
        <v>324</v>
      </c>
      <c r="M361" s="7">
        <v>6</v>
      </c>
      <c r="N361" s="7" t="s">
        <v>176</v>
      </c>
      <c r="O361" s="8">
        <v>5174</v>
      </c>
      <c r="P361" s="9">
        <v>0.02</v>
      </c>
      <c r="Q361" s="10">
        <f t="shared" si="66"/>
        <v>103</v>
      </c>
      <c r="R361" s="9">
        <v>5.0000000000000001E-3</v>
      </c>
      <c r="S361" s="10">
        <f t="shared" si="67"/>
        <v>26</v>
      </c>
      <c r="T361" s="9">
        <f t="shared" si="68"/>
        <v>2.4932354078082721E-2</v>
      </c>
      <c r="U361" s="10">
        <f t="shared" si="69"/>
        <v>129</v>
      </c>
      <c r="V361" s="10">
        <f t="shared" si="70"/>
        <v>5303</v>
      </c>
      <c r="W361" s="11">
        <v>5303.35</v>
      </c>
      <c r="X361" s="12">
        <f t="shared" si="71"/>
        <v>129.35000000000036</v>
      </c>
      <c r="Y361" s="13">
        <f t="shared" si="72"/>
        <v>2.5000000000000001E-2</v>
      </c>
      <c r="Z361" s="14" t="str">
        <f t="shared" si="73"/>
        <v>0.00%-8.40%</v>
      </c>
      <c r="AA361" s="15"/>
      <c r="AB361" s="15"/>
      <c r="AC361" s="15"/>
      <c r="AD361" s="16"/>
      <c r="AE361" s="8">
        <f t="shared" si="74"/>
        <v>0</v>
      </c>
      <c r="AF361" s="17">
        <f t="shared" si="75"/>
        <v>5303.35</v>
      </c>
      <c r="AG361" s="18">
        <f t="shared" si="76"/>
        <v>129.35000000000036</v>
      </c>
      <c r="AH361" s="19">
        <f t="shared" si="77"/>
        <v>2.5000000000000133E-2</v>
      </c>
      <c r="AI361" s="20">
        <v>13.6</v>
      </c>
      <c r="AJ361" s="20">
        <v>450</v>
      </c>
      <c r="AK361" s="20"/>
      <c r="AL361" s="20">
        <v>688</v>
      </c>
      <c r="AM361" s="20">
        <f t="shared" si="78"/>
        <v>78213.56</v>
      </c>
      <c r="AN361" s="7" t="s">
        <v>176</v>
      </c>
      <c r="AO361" s="20"/>
      <c r="AP361" s="21" t="s">
        <v>465</v>
      </c>
      <c r="AQ361" s="21"/>
      <c r="AR361" s="5" t="s">
        <v>466</v>
      </c>
      <c r="AS361" s="5" t="s">
        <v>164</v>
      </c>
      <c r="AT361" s="5" t="s">
        <v>59</v>
      </c>
      <c r="AU361" s="20"/>
      <c r="AV361" s="21"/>
      <c r="AW361" s="21"/>
      <c r="AX361" s="21"/>
    </row>
    <row r="362" spans="1:50" s="55" customFormat="1">
      <c r="A362" s="86" t="s">
        <v>318</v>
      </c>
      <c r="B362" s="5">
        <v>15009663</v>
      </c>
      <c r="C362" s="5" t="s">
        <v>732</v>
      </c>
      <c r="D362" s="5" t="s">
        <v>321</v>
      </c>
      <c r="E362" s="5" t="s">
        <v>52</v>
      </c>
      <c r="F362" s="5" t="s">
        <v>62</v>
      </c>
      <c r="G362" s="5" t="s">
        <v>202</v>
      </c>
      <c r="H362" s="5" t="s">
        <v>464</v>
      </c>
      <c r="I362" s="6">
        <v>41487</v>
      </c>
      <c r="J362" s="5" t="s">
        <v>336</v>
      </c>
      <c r="K362" s="5" t="s">
        <v>511</v>
      </c>
      <c r="L362" s="5" t="s">
        <v>324</v>
      </c>
      <c r="M362" s="7">
        <v>6</v>
      </c>
      <c r="N362" s="7" t="s">
        <v>176</v>
      </c>
      <c r="O362" s="8">
        <v>4737</v>
      </c>
      <c r="P362" s="9">
        <v>0.02</v>
      </c>
      <c r="Q362" s="10">
        <f t="shared" si="66"/>
        <v>95</v>
      </c>
      <c r="R362" s="9">
        <v>5.0000000000000001E-3</v>
      </c>
      <c r="S362" s="10">
        <f t="shared" si="67"/>
        <v>24</v>
      </c>
      <c r="T362" s="9">
        <f t="shared" si="68"/>
        <v>2.5121384842727464E-2</v>
      </c>
      <c r="U362" s="10">
        <f t="shared" si="69"/>
        <v>119</v>
      </c>
      <c r="V362" s="10">
        <f t="shared" si="70"/>
        <v>4856</v>
      </c>
      <c r="W362" s="11">
        <v>4855.4250000000002</v>
      </c>
      <c r="X362" s="12">
        <f t="shared" si="71"/>
        <v>118.42500000000018</v>
      </c>
      <c r="Y362" s="13">
        <f t="shared" si="72"/>
        <v>2.5000000000000001E-2</v>
      </c>
      <c r="Z362" s="14" t="str">
        <f t="shared" si="73"/>
        <v>0.00%-8.40%</v>
      </c>
      <c r="AA362" s="15"/>
      <c r="AB362" s="15"/>
      <c r="AC362" s="15"/>
      <c r="AD362" s="16"/>
      <c r="AE362" s="8">
        <f t="shared" si="74"/>
        <v>0</v>
      </c>
      <c r="AF362" s="17">
        <f t="shared" si="75"/>
        <v>4855.4250000000002</v>
      </c>
      <c r="AG362" s="18">
        <f t="shared" si="76"/>
        <v>118.42500000000018</v>
      </c>
      <c r="AH362" s="19">
        <f t="shared" si="77"/>
        <v>2.5000000000000133E-2</v>
      </c>
      <c r="AI362" s="20">
        <v>13.6</v>
      </c>
      <c r="AJ362" s="20">
        <v>450</v>
      </c>
      <c r="AK362" s="20"/>
      <c r="AL362" s="20">
        <v>688</v>
      </c>
      <c r="AM362" s="20">
        <f t="shared" si="78"/>
        <v>72121.78</v>
      </c>
      <c r="AN362" s="7" t="s">
        <v>176</v>
      </c>
      <c r="AO362" s="20"/>
      <c r="AP362" s="21" t="s">
        <v>465</v>
      </c>
      <c r="AQ362" s="21"/>
      <c r="AR362" s="5" t="s">
        <v>466</v>
      </c>
      <c r="AS362" s="5" t="s">
        <v>164</v>
      </c>
      <c r="AT362" s="5" t="s">
        <v>59</v>
      </c>
      <c r="AU362" s="20"/>
      <c r="AV362" s="21"/>
      <c r="AW362" s="21"/>
      <c r="AX362" s="21"/>
    </row>
    <row r="363" spans="1:50" s="55" customFormat="1">
      <c r="A363" s="86" t="s">
        <v>318</v>
      </c>
      <c r="B363" s="5">
        <v>15010007</v>
      </c>
      <c r="C363" s="5" t="s">
        <v>733</v>
      </c>
      <c r="D363" s="5" t="s">
        <v>321</v>
      </c>
      <c r="E363" s="5" t="s">
        <v>52</v>
      </c>
      <c r="F363" s="5" t="s">
        <v>62</v>
      </c>
      <c r="G363" s="5" t="s">
        <v>202</v>
      </c>
      <c r="H363" s="5" t="s">
        <v>464</v>
      </c>
      <c r="I363" s="6">
        <v>41487</v>
      </c>
      <c r="J363" s="5" t="s">
        <v>336</v>
      </c>
      <c r="K363" s="5" t="s">
        <v>548</v>
      </c>
      <c r="L363" s="5" t="s">
        <v>324</v>
      </c>
      <c r="M363" s="7">
        <v>6</v>
      </c>
      <c r="N363" s="7" t="s">
        <v>176</v>
      </c>
      <c r="O363" s="8">
        <v>4643</v>
      </c>
      <c r="P363" s="9">
        <v>0.02</v>
      </c>
      <c r="Q363" s="10">
        <f t="shared" si="66"/>
        <v>93</v>
      </c>
      <c r="R363" s="9">
        <v>5.0000000000000001E-3</v>
      </c>
      <c r="S363" s="10">
        <f t="shared" si="67"/>
        <v>23</v>
      </c>
      <c r="T363" s="9">
        <f t="shared" si="68"/>
        <v>2.498384665087228E-2</v>
      </c>
      <c r="U363" s="10">
        <f t="shared" si="69"/>
        <v>116</v>
      </c>
      <c r="V363" s="10">
        <f t="shared" si="70"/>
        <v>4759</v>
      </c>
      <c r="W363" s="11">
        <v>4666.2150000000001</v>
      </c>
      <c r="X363" s="12">
        <f t="shared" si="71"/>
        <v>23.215000000000146</v>
      </c>
      <c r="Y363" s="13">
        <f t="shared" si="72"/>
        <v>5.0000000000000001E-3</v>
      </c>
      <c r="Z363" s="14" t="str">
        <f t="shared" si="73"/>
        <v>0.00%-8.40%</v>
      </c>
      <c r="AA363" s="15"/>
      <c r="AB363" s="15"/>
      <c r="AC363" s="15"/>
      <c r="AD363" s="16"/>
      <c r="AE363" s="8">
        <f t="shared" si="74"/>
        <v>0</v>
      </c>
      <c r="AF363" s="17">
        <f t="shared" si="75"/>
        <v>4666.2150000000001</v>
      </c>
      <c r="AG363" s="18">
        <f t="shared" si="76"/>
        <v>23.215000000000146</v>
      </c>
      <c r="AH363" s="19">
        <f t="shared" si="77"/>
        <v>5.0000000000001155E-3</v>
      </c>
      <c r="AI363" s="20">
        <v>13.6</v>
      </c>
      <c r="AJ363" s="20">
        <v>450</v>
      </c>
      <c r="AK363" s="20"/>
      <c r="AL363" s="20">
        <v>688</v>
      </c>
      <c r="AM363" s="20">
        <f t="shared" si="78"/>
        <v>69548.524000000005</v>
      </c>
      <c r="AN363" s="7" t="s">
        <v>176</v>
      </c>
      <c r="AO363" s="20"/>
      <c r="AP363" s="21" t="s">
        <v>513</v>
      </c>
      <c r="AQ363" s="21"/>
      <c r="AR363" s="5" t="s">
        <v>466</v>
      </c>
      <c r="AS363" s="5" t="s">
        <v>164</v>
      </c>
      <c r="AT363" s="5" t="s">
        <v>59</v>
      </c>
      <c r="AU363" s="20"/>
      <c r="AV363" s="21"/>
      <c r="AW363" s="21"/>
      <c r="AX363" s="21"/>
    </row>
    <row r="364" spans="1:50" s="55" customFormat="1">
      <c r="A364" s="86" t="s">
        <v>318</v>
      </c>
      <c r="B364" s="5">
        <v>15011326</v>
      </c>
      <c r="C364" s="5" t="s">
        <v>734</v>
      </c>
      <c r="D364" s="5" t="s">
        <v>321</v>
      </c>
      <c r="E364" s="5" t="s">
        <v>52</v>
      </c>
      <c r="F364" s="5" t="s">
        <v>62</v>
      </c>
      <c r="G364" s="5" t="s">
        <v>202</v>
      </c>
      <c r="H364" s="5" t="s">
        <v>464</v>
      </c>
      <c r="I364" s="6">
        <v>41579</v>
      </c>
      <c r="J364" s="5" t="s">
        <v>336</v>
      </c>
      <c r="K364" s="5" t="s">
        <v>548</v>
      </c>
      <c r="L364" s="5" t="s">
        <v>324</v>
      </c>
      <c r="M364" s="7">
        <v>6</v>
      </c>
      <c r="N364" s="7" t="s">
        <v>176</v>
      </c>
      <c r="O364" s="8">
        <v>4807</v>
      </c>
      <c r="P364" s="9">
        <v>0.02</v>
      </c>
      <c r="Q364" s="10">
        <f t="shared" si="66"/>
        <v>96</v>
      </c>
      <c r="R364" s="9">
        <v>5.0000000000000001E-3</v>
      </c>
      <c r="S364" s="10">
        <f t="shared" si="67"/>
        <v>24</v>
      </c>
      <c r="T364" s="9">
        <f t="shared" si="68"/>
        <v>2.4963594757645102E-2</v>
      </c>
      <c r="U364" s="10">
        <f t="shared" si="69"/>
        <v>120</v>
      </c>
      <c r="V364" s="10">
        <f t="shared" si="70"/>
        <v>4927</v>
      </c>
      <c r="W364" s="11">
        <v>4927.1750000000002</v>
      </c>
      <c r="X364" s="12">
        <f t="shared" si="71"/>
        <v>120.17500000000018</v>
      </c>
      <c r="Y364" s="13">
        <f t="shared" si="72"/>
        <v>2.5000000000000001E-2</v>
      </c>
      <c r="Z364" s="14" t="str">
        <f t="shared" si="73"/>
        <v>0.00%-8.40%</v>
      </c>
      <c r="AA364" s="15"/>
      <c r="AB364" s="15"/>
      <c r="AC364" s="15"/>
      <c r="AD364" s="16"/>
      <c r="AE364" s="8">
        <f t="shared" si="74"/>
        <v>0</v>
      </c>
      <c r="AF364" s="17">
        <f t="shared" si="75"/>
        <v>4927.1750000000002</v>
      </c>
      <c r="AG364" s="18">
        <f t="shared" si="76"/>
        <v>120.17500000000018</v>
      </c>
      <c r="AH364" s="19">
        <f t="shared" si="77"/>
        <v>2.5000000000000133E-2</v>
      </c>
      <c r="AI364" s="20">
        <v>13.6</v>
      </c>
      <c r="AJ364" s="20">
        <v>450</v>
      </c>
      <c r="AK364" s="20"/>
      <c r="AL364" s="20">
        <v>688</v>
      </c>
      <c r="AM364" s="20">
        <f t="shared" si="78"/>
        <v>73097.58</v>
      </c>
      <c r="AN364" s="7" t="s">
        <v>176</v>
      </c>
      <c r="AO364" s="20"/>
      <c r="AP364" s="21" t="s">
        <v>465</v>
      </c>
      <c r="AQ364" s="21"/>
      <c r="AR364" s="5" t="s">
        <v>466</v>
      </c>
      <c r="AS364" s="5" t="s">
        <v>164</v>
      </c>
      <c r="AT364" s="5" t="s">
        <v>59</v>
      </c>
      <c r="AU364" s="20"/>
      <c r="AV364" s="21"/>
      <c r="AW364" s="21"/>
      <c r="AX364" s="21"/>
    </row>
    <row r="365" spans="1:50" s="55" customFormat="1">
      <c r="A365" s="86" t="s">
        <v>318</v>
      </c>
      <c r="B365" s="5">
        <v>15018293</v>
      </c>
      <c r="C365" s="5" t="s">
        <v>735</v>
      </c>
      <c r="D365" s="5" t="s">
        <v>321</v>
      </c>
      <c r="E365" s="5" t="s">
        <v>52</v>
      </c>
      <c r="F365" s="5" t="s">
        <v>62</v>
      </c>
      <c r="G365" s="5" t="s">
        <v>202</v>
      </c>
      <c r="H365" s="5" t="s">
        <v>464</v>
      </c>
      <c r="I365" s="6">
        <v>43282</v>
      </c>
      <c r="J365" s="5" t="s">
        <v>336</v>
      </c>
      <c r="K365" s="5" t="s">
        <v>511</v>
      </c>
      <c r="L365" s="5" t="s">
        <v>324</v>
      </c>
      <c r="M365" s="7">
        <v>6</v>
      </c>
      <c r="N365" s="7" t="s">
        <v>176</v>
      </c>
      <c r="O365" s="8">
        <v>4882</v>
      </c>
      <c r="P365" s="9">
        <v>0.02</v>
      </c>
      <c r="Q365" s="10">
        <f t="shared" si="66"/>
        <v>98</v>
      </c>
      <c r="R365" s="9">
        <v>5.0000000000000001E-3</v>
      </c>
      <c r="S365" s="10">
        <f t="shared" si="67"/>
        <v>24</v>
      </c>
      <c r="T365" s="9">
        <f t="shared" si="68"/>
        <v>2.4989758295780418E-2</v>
      </c>
      <c r="U365" s="10">
        <f t="shared" si="69"/>
        <v>122</v>
      </c>
      <c r="V365" s="10">
        <f t="shared" si="70"/>
        <v>5004</v>
      </c>
      <c r="W365" s="11">
        <v>5004.05</v>
      </c>
      <c r="X365" s="12">
        <f t="shared" si="71"/>
        <v>122.05000000000018</v>
      </c>
      <c r="Y365" s="13">
        <f t="shared" si="72"/>
        <v>2.5000000000000001E-2</v>
      </c>
      <c r="Z365" s="14" t="str">
        <f t="shared" si="73"/>
        <v>0.00%-8.40%</v>
      </c>
      <c r="AA365" s="15"/>
      <c r="AB365" s="15"/>
      <c r="AC365" s="15"/>
      <c r="AD365" s="16"/>
      <c r="AE365" s="8">
        <f t="shared" si="74"/>
        <v>0</v>
      </c>
      <c r="AF365" s="17">
        <f t="shared" si="75"/>
        <v>5004.05</v>
      </c>
      <c r="AG365" s="18">
        <f t="shared" si="76"/>
        <v>122.05000000000018</v>
      </c>
      <c r="AH365" s="19">
        <f t="shared" si="77"/>
        <v>2.5000000000000133E-2</v>
      </c>
      <c r="AI365" s="20">
        <v>13.6</v>
      </c>
      <c r="AJ365" s="20">
        <v>450</v>
      </c>
      <c r="AK365" s="20"/>
      <c r="AL365" s="20">
        <v>688</v>
      </c>
      <c r="AM365" s="20">
        <f t="shared" si="78"/>
        <v>74143.08</v>
      </c>
      <c r="AN365" s="7" t="s">
        <v>176</v>
      </c>
      <c r="AO365" s="20"/>
      <c r="AP365" s="21" t="s">
        <v>465</v>
      </c>
      <c r="AQ365" s="21"/>
      <c r="AR365" s="5" t="s">
        <v>466</v>
      </c>
      <c r="AS365" s="5" t="s">
        <v>164</v>
      </c>
      <c r="AT365" s="5" t="s">
        <v>59</v>
      </c>
      <c r="AU365" s="20"/>
      <c r="AV365" s="21"/>
      <c r="AW365" s="21"/>
      <c r="AX365" s="21"/>
    </row>
    <row r="366" spans="1:50" s="55" customFormat="1">
      <c r="A366" s="86" t="s">
        <v>318</v>
      </c>
      <c r="B366" s="5">
        <v>15016286</v>
      </c>
      <c r="C366" s="5" t="s">
        <v>736</v>
      </c>
      <c r="D366" s="5" t="s">
        <v>321</v>
      </c>
      <c r="E366" s="5" t="s">
        <v>52</v>
      </c>
      <c r="F366" s="5" t="s">
        <v>62</v>
      </c>
      <c r="G366" s="5" t="s">
        <v>202</v>
      </c>
      <c r="H366" s="5" t="s">
        <v>464</v>
      </c>
      <c r="I366" s="6">
        <v>42917</v>
      </c>
      <c r="J366" s="5" t="s">
        <v>336</v>
      </c>
      <c r="K366" s="5" t="s">
        <v>511</v>
      </c>
      <c r="L366" s="5" t="s">
        <v>324</v>
      </c>
      <c r="M366" s="7">
        <v>6</v>
      </c>
      <c r="N366" s="7" t="s">
        <v>176</v>
      </c>
      <c r="O366" s="8">
        <v>4624</v>
      </c>
      <c r="P366" s="9">
        <v>0.02</v>
      </c>
      <c r="Q366" s="10">
        <f t="shared" si="66"/>
        <v>92</v>
      </c>
      <c r="R366" s="9">
        <v>5.0000000000000001E-3</v>
      </c>
      <c r="S366" s="10">
        <f t="shared" si="67"/>
        <v>23</v>
      </c>
      <c r="T366" s="9">
        <f t="shared" si="68"/>
        <v>2.4870242214532871E-2</v>
      </c>
      <c r="U366" s="10">
        <f t="shared" si="69"/>
        <v>115</v>
      </c>
      <c r="V366" s="10">
        <f t="shared" si="70"/>
        <v>4739</v>
      </c>
      <c r="W366" s="11">
        <v>4739.6000000000004</v>
      </c>
      <c r="X366" s="12">
        <f t="shared" si="71"/>
        <v>115.60000000000036</v>
      </c>
      <c r="Y366" s="13">
        <f t="shared" si="72"/>
        <v>2.5000000000000001E-2</v>
      </c>
      <c r="Z366" s="14" t="str">
        <f t="shared" si="73"/>
        <v>0.00%-8.40%</v>
      </c>
      <c r="AA366" s="15"/>
      <c r="AB366" s="15"/>
      <c r="AC366" s="15"/>
      <c r="AD366" s="16"/>
      <c r="AE366" s="8">
        <f t="shared" si="74"/>
        <v>0</v>
      </c>
      <c r="AF366" s="17">
        <f t="shared" si="75"/>
        <v>4739.6000000000004</v>
      </c>
      <c r="AG366" s="18">
        <f t="shared" si="76"/>
        <v>115.60000000000036</v>
      </c>
      <c r="AH366" s="19">
        <f t="shared" si="77"/>
        <v>2.5000000000000133E-2</v>
      </c>
      <c r="AI366" s="20">
        <v>13.6</v>
      </c>
      <c r="AJ366" s="20">
        <v>450</v>
      </c>
      <c r="AK366" s="20"/>
      <c r="AL366" s="20">
        <v>688</v>
      </c>
      <c r="AM366" s="20">
        <f t="shared" si="78"/>
        <v>70546.559999999998</v>
      </c>
      <c r="AN366" s="7" t="s">
        <v>176</v>
      </c>
      <c r="AO366" s="20"/>
      <c r="AP366" s="21" t="s">
        <v>465</v>
      </c>
      <c r="AQ366" s="21"/>
      <c r="AR366" s="5" t="s">
        <v>466</v>
      </c>
      <c r="AS366" s="5" t="s">
        <v>164</v>
      </c>
      <c r="AT366" s="5" t="s">
        <v>59</v>
      </c>
      <c r="AU366" s="20"/>
      <c r="AV366" s="21"/>
      <c r="AW366" s="21"/>
      <c r="AX366" s="21"/>
    </row>
    <row r="367" spans="1:50" s="55" customFormat="1">
      <c r="A367" s="86" t="s">
        <v>318</v>
      </c>
      <c r="B367" s="5">
        <v>15017050</v>
      </c>
      <c r="C367" s="5" t="s">
        <v>737</v>
      </c>
      <c r="D367" s="5" t="s">
        <v>321</v>
      </c>
      <c r="E367" s="5" t="s">
        <v>52</v>
      </c>
      <c r="F367" s="5" t="s">
        <v>62</v>
      </c>
      <c r="G367" s="5" t="s">
        <v>202</v>
      </c>
      <c r="H367" s="5" t="s">
        <v>464</v>
      </c>
      <c r="I367" s="6">
        <v>42948</v>
      </c>
      <c r="J367" s="5" t="s">
        <v>336</v>
      </c>
      <c r="K367" s="5" t="s">
        <v>511</v>
      </c>
      <c r="L367" s="5" t="s">
        <v>324</v>
      </c>
      <c r="M367" s="7">
        <v>6</v>
      </c>
      <c r="N367" s="7" t="s">
        <v>176</v>
      </c>
      <c r="O367" s="8">
        <v>4722</v>
      </c>
      <c r="P367" s="9">
        <v>0.02</v>
      </c>
      <c r="Q367" s="10">
        <f t="shared" si="66"/>
        <v>94</v>
      </c>
      <c r="R367" s="9">
        <v>5.0000000000000001E-3</v>
      </c>
      <c r="S367" s="10">
        <f t="shared" si="67"/>
        <v>24</v>
      </c>
      <c r="T367" s="9">
        <f t="shared" si="68"/>
        <v>2.4989411266412537E-2</v>
      </c>
      <c r="U367" s="10">
        <f t="shared" si="69"/>
        <v>118</v>
      </c>
      <c r="V367" s="10">
        <f t="shared" si="70"/>
        <v>4840</v>
      </c>
      <c r="W367" s="11">
        <v>4745.6099999999997</v>
      </c>
      <c r="X367" s="12">
        <f t="shared" si="71"/>
        <v>23.609999999999673</v>
      </c>
      <c r="Y367" s="13">
        <f t="shared" si="72"/>
        <v>5.0000000000000001E-3</v>
      </c>
      <c r="Z367" s="14" t="str">
        <f t="shared" si="73"/>
        <v>0.00%-8.40%</v>
      </c>
      <c r="AA367" s="15"/>
      <c r="AB367" s="15"/>
      <c r="AC367" s="15"/>
      <c r="AD367" s="16"/>
      <c r="AE367" s="8">
        <f t="shared" si="74"/>
        <v>0</v>
      </c>
      <c r="AF367" s="17">
        <f t="shared" si="75"/>
        <v>4745.6099999999997</v>
      </c>
      <c r="AG367" s="18">
        <f t="shared" si="76"/>
        <v>23.609999999999673</v>
      </c>
      <c r="AH367" s="19">
        <f t="shared" si="77"/>
        <v>4.9999999999998934E-3</v>
      </c>
      <c r="AI367" s="20">
        <v>13.6</v>
      </c>
      <c r="AJ367" s="20">
        <v>450</v>
      </c>
      <c r="AK367" s="20"/>
      <c r="AL367" s="20">
        <v>688</v>
      </c>
      <c r="AM367" s="20">
        <f t="shared" si="78"/>
        <v>70628.296000000002</v>
      </c>
      <c r="AN367" s="7" t="s">
        <v>176</v>
      </c>
      <c r="AO367" s="20"/>
      <c r="AP367" s="21" t="s">
        <v>513</v>
      </c>
      <c r="AQ367" s="21"/>
      <c r="AR367" s="5" t="s">
        <v>466</v>
      </c>
      <c r="AS367" s="5" t="s">
        <v>164</v>
      </c>
      <c r="AT367" s="5" t="s">
        <v>59</v>
      </c>
      <c r="AU367" s="20"/>
      <c r="AV367" s="21"/>
      <c r="AW367" s="21"/>
      <c r="AX367" s="21"/>
    </row>
    <row r="368" spans="1:50" s="55" customFormat="1">
      <c r="A368" s="86" t="s">
        <v>318</v>
      </c>
      <c r="B368" s="5">
        <v>15009187</v>
      </c>
      <c r="C368" s="5" t="s">
        <v>738</v>
      </c>
      <c r="D368" s="5" t="s">
        <v>321</v>
      </c>
      <c r="E368" s="5" t="s">
        <v>52</v>
      </c>
      <c r="F368" s="5" t="s">
        <v>62</v>
      </c>
      <c r="G368" s="5" t="s">
        <v>202</v>
      </c>
      <c r="H368" s="5" t="s">
        <v>464</v>
      </c>
      <c r="I368" s="6">
        <v>41259</v>
      </c>
      <c r="J368" s="5" t="s">
        <v>336</v>
      </c>
      <c r="K368" s="5" t="s">
        <v>511</v>
      </c>
      <c r="L368" s="5" t="s">
        <v>324</v>
      </c>
      <c r="M368" s="7">
        <v>6</v>
      </c>
      <c r="N368" s="7" t="s">
        <v>176</v>
      </c>
      <c r="O368" s="8">
        <v>5047</v>
      </c>
      <c r="P368" s="9">
        <v>0.02</v>
      </c>
      <c r="Q368" s="10">
        <f t="shared" si="66"/>
        <v>101</v>
      </c>
      <c r="R368" s="9">
        <v>5.0000000000000001E-3</v>
      </c>
      <c r="S368" s="10">
        <f t="shared" si="67"/>
        <v>25</v>
      </c>
      <c r="T368" s="9">
        <f t="shared" si="68"/>
        <v>2.4965325936199722E-2</v>
      </c>
      <c r="U368" s="10">
        <f t="shared" si="69"/>
        <v>126</v>
      </c>
      <c r="V368" s="10">
        <f t="shared" si="70"/>
        <v>5173</v>
      </c>
      <c r="W368" s="11">
        <v>5299.35</v>
      </c>
      <c r="X368" s="12">
        <f t="shared" si="71"/>
        <v>252.35000000000036</v>
      </c>
      <c r="Y368" s="13">
        <f t="shared" si="72"/>
        <v>0.05</v>
      </c>
      <c r="Z368" s="14" t="str">
        <f t="shared" si="73"/>
        <v>0.00%-8.40%</v>
      </c>
      <c r="AA368" s="15"/>
      <c r="AB368" s="15"/>
      <c r="AC368" s="15"/>
      <c r="AD368" s="16"/>
      <c r="AE368" s="8">
        <f t="shared" si="74"/>
        <v>0</v>
      </c>
      <c r="AF368" s="17">
        <f t="shared" si="75"/>
        <v>5299.35</v>
      </c>
      <c r="AG368" s="18">
        <f t="shared" si="76"/>
        <v>252.35000000000036</v>
      </c>
      <c r="AH368" s="19">
        <f t="shared" si="77"/>
        <v>5.0000000000000044E-2</v>
      </c>
      <c r="AI368" s="20">
        <v>13.6</v>
      </c>
      <c r="AJ368" s="20">
        <v>500</v>
      </c>
      <c r="AK368" s="20"/>
      <c r="AL368" s="20">
        <v>688</v>
      </c>
      <c r="AM368" s="20">
        <f t="shared" si="78"/>
        <v>78759.16</v>
      </c>
      <c r="AN368" s="7" t="s">
        <v>176</v>
      </c>
      <c r="AO368" s="20"/>
      <c r="AP368" s="21" t="s">
        <v>465</v>
      </c>
      <c r="AQ368" s="21"/>
      <c r="AR368" s="5" t="s">
        <v>466</v>
      </c>
      <c r="AS368" s="5" t="s">
        <v>164</v>
      </c>
      <c r="AT368" s="5" t="s">
        <v>59</v>
      </c>
      <c r="AU368" s="20"/>
      <c r="AV368" s="21"/>
      <c r="AW368" s="21"/>
      <c r="AX368" s="21"/>
    </row>
    <row r="369" spans="1:50" s="55" customFormat="1">
      <c r="A369" s="86" t="s">
        <v>318</v>
      </c>
      <c r="B369" s="5">
        <v>15019949</v>
      </c>
      <c r="C369" s="5" t="s">
        <v>739</v>
      </c>
      <c r="D369" s="5" t="s">
        <v>321</v>
      </c>
      <c r="E369" s="5" t="s">
        <v>52</v>
      </c>
      <c r="F369" s="5" t="s">
        <v>62</v>
      </c>
      <c r="G369" s="5" t="s">
        <v>202</v>
      </c>
      <c r="H369" s="5" t="s">
        <v>464</v>
      </c>
      <c r="I369" s="6">
        <v>44075</v>
      </c>
      <c r="J369" s="5" t="s">
        <v>336</v>
      </c>
      <c r="K369" s="5" t="s">
        <v>511</v>
      </c>
      <c r="L369" s="5" t="s">
        <v>324</v>
      </c>
      <c r="M369" s="7">
        <v>6</v>
      </c>
      <c r="N369" s="7" t="s">
        <v>176</v>
      </c>
      <c r="O369" s="8">
        <v>4993</v>
      </c>
      <c r="P369" s="9">
        <v>0.02</v>
      </c>
      <c r="Q369" s="10">
        <f t="shared" si="66"/>
        <v>100</v>
      </c>
      <c r="R369" s="9">
        <v>5.0000000000000001E-3</v>
      </c>
      <c r="S369" s="10">
        <f t="shared" si="67"/>
        <v>25</v>
      </c>
      <c r="T369" s="9">
        <f t="shared" si="68"/>
        <v>2.5035049068696174E-2</v>
      </c>
      <c r="U369" s="10">
        <f t="shared" si="69"/>
        <v>125</v>
      </c>
      <c r="V369" s="10">
        <f t="shared" si="70"/>
        <v>5118</v>
      </c>
      <c r="W369" s="11">
        <v>5117.8249999999998</v>
      </c>
      <c r="X369" s="12">
        <f t="shared" si="71"/>
        <v>124.82499999999982</v>
      </c>
      <c r="Y369" s="13">
        <f t="shared" si="72"/>
        <v>2.5000000000000001E-2</v>
      </c>
      <c r="Z369" s="14" t="str">
        <f t="shared" si="73"/>
        <v>0.00%-8.40%</v>
      </c>
      <c r="AA369" s="15"/>
      <c r="AB369" s="15"/>
      <c r="AC369" s="15"/>
      <c r="AD369" s="16"/>
      <c r="AE369" s="8">
        <f t="shared" si="74"/>
        <v>0</v>
      </c>
      <c r="AF369" s="17">
        <f t="shared" si="75"/>
        <v>5117.8249999999998</v>
      </c>
      <c r="AG369" s="18">
        <f t="shared" si="76"/>
        <v>124.82499999999982</v>
      </c>
      <c r="AH369" s="19">
        <f t="shared" si="77"/>
        <v>2.4999999999999911E-2</v>
      </c>
      <c r="AI369" s="20">
        <v>13.6</v>
      </c>
      <c r="AJ369" s="20">
        <v>450</v>
      </c>
      <c r="AK369" s="20"/>
      <c r="AL369" s="20">
        <v>688</v>
      </c>
      <c r="AM369" s="20">
        <f t="shared" si="78"/>
        <v>75690.42</v>
      </c>
      <c r="AN369" s="7" t="s">
        <v>176</v>
      </c>
      <c r="AO369" s="20"/>
      <c r="AP369" s="21" t="s">
        <v>465</v>
      </c>
      <c r="AQ369" s="21"/>
      <c r="AR369" s="5" t="s">
        <v>466</v>
      </c>
      <c r="AS369" s="5" t="s">
        <v>164</v>
      </c>
      <c r="AT369" s="5" t="s">
        <v>59</v>
      </c>
      <c r="AU369" s="20"/>
      <c r="AV369" s="21"/>
      <c r="AW369" s="21"/>
      <c r="AX369" s="21"/>
    </row>
    <row r="370" spans="1:50" s="55" customFormat="1">
      <c r="A370" s="86" t="s">
        <v>318</v>
      </c>
      <c r="B370" s="5">
        <v>15011586</v>
      </c>
      <c r="C370" s="5" t="s">
        <v>740</v>
      </c>
      <c r="D370" s="5" t="s">
        <v>321</v>
      </c>
      <c r="E370" s="5" t="s">
        <v>52</v>
      </c>
      <c r="F370" s="5" t="s">
        <v>62</v>
      </c>
      <c r="G370" s="5" t="s">
        <v>202</v>
      </c>
      <c r="H370" s="5" t="s">
        <v>464</v>
      </c>
      <c r="I370" s="6">
        <v>41640</v>
      </c>
      <c r="J370" s="5" t="s">
        <v>336</v>
      </c>
      <c r="K370" s="5" t="s">
        <v>511</v>
      </c>
      <c r="L370" s="5" t="s">
        <v>324</v>
      </c>
      <c r="M370" s="7">
        <v>6</v>
      </c>
      <c r="N370" s="7" t="s">
        <v>176</v>
      </c>
      <c r="O370" s="8">
        <v>5399</v>
      </c>
      <c r="P370" s="9">
        <v>0.02</v>
      </c>
      <c r="Q370" s="10">
        <f t="shared" si="66"/>
        <v>108</v>
      </c>
      <c r="R370" s="9">
        <v>5.0000000000000001E-3</v>
      </c>
      <c r="S370" s="10">
        <f t="shared" si="67"/>
        <v>27</v>
      </c>
      <c r="T370" s="9">
        <f t="shared" si="68"/>
        <v>2.5004630487127245E-2</v>
      </c>
      <c r="U370" s="10">
        <f t="shared" si="69"/>
        <v>135</v>
      </c>
      <c r="V370" s="10">
        <f t="shared" si="70"/>
        <v>5534</v>
      </c>
      <c r="W370" s="11">
        <v>5533.9750000000004</v>
      </c>
      <c r="X370" s="12">
        <f t="shared" si="71"/>
        <v>134.97500000000036</v>
      </c>
      <c r="Y370" s="13">
        <f t="shared" si="72"/>
        <v>2.5000000000000001E-2</v>
      </c>
      <c r="Z370" s="14" t="str">
        <f t="shared" si="73"/>
        <v>0.00%-8.40%</v>
      </c>
      <c r="AA370" s="15"/>
      <c r="AB370" s="15"/>
      <c r="AC370" s="15"/>
      <c r="AD370" s="16"/>
      <c r="AE370" s="8">
        <f t="shared" si="74"/>
        <v>0</v>
      </c>
      <c r="AF370" s="17">
        <f t="shared" si="75"/>
        <v>5533.9750000000004</v>
      </c>
      <c r="AG370" s="18">
        <f t="shared" si="76"/>
        <v>134.97500000000036</v>
      </c>
      <c r="AH370" s="19">
        <f t="shared" si="77"/>
        <v>2.5000000000000133E-2</v>
      </c>
      <c r="AI370" s="20">
        <v>13.6</v>
      </c>
      <c r="AJ370" s="20">
        <v>450</v>
      </c>
      <c r="AK370" s="20"/>
      <c r="AL370" s="20">
        <v>688</v>
      </c>
      <c r="AM370" s="20">
        <f t="shared" si="78"/>
        <v>81350.06</v>
      </c>
      <c r="AN370" s="7" t="s">
        <v>176</v>
      </c>
      <c r="AO370" s="20"/>
      <c r="AP370" s="21" t="s">
        <v>465</v>
      </c>
      <c r="AQ370" s="21"/>
      <c r="AR370" s="5" t="s">
        <v>466</v>
      </c>
      <c r="AS370" s="5" t="s">
        <v>164</v>
      </c>
      <c r="AT370" s="5" t="s">
        <v>59</v>
      </c>
      <c r="AU370" s="20"/>
      <c r="AV370" s="21"/>
      <c r="AW370" s="21"/>
      <c r="AX370" s="21"/>
    </row>
    <row r="371" spans="1:50" s="55" customFormat="1">
      <c r="A371" s="86" t="s">
        <v>318</v>
      </c>
      <c r="B371" s="5">
        <v>15017725</v>
      </c>
      <c r="C371" s="5" t="s">
        <v>741</v>
      </c>
      <c r="D371" s="5" t="s">
        <v>321</v>
      </c>
      <c r="E371" s="5" t="s">
        <v>52</v>
      </c>
      <c r="F371" s="5" t="s">
        <v>62</v>
      </c>
      <c r="G371" s="5" t="s">
        <v>202</v>
      </c>
      <c r="H371" s="5" t="s">
        <v>464</v>
      </c>
      <c r="I371" s="6">
        <v>43009</v>
      </c>
      <c r="J371" s="5" t="s">
        <v>336</v>
      </c>
      <c r="K371" s="5" t="s">
        <v>511</v>
      </c>
      <c r="L371" s="5" t="s">
        <v>324</v>
      </c>
      <c r="M371" s="7">
        <v>6</v>
      </c>
      <c r="N371" s="7" t="s">
        <v>176</v>
      </c>
      <c r="O371" s="8">
        <v>4860</v>
      </c>
      <c r="P371" s="9">
        <v>0.02</v>
      </c>
      <c r="Q371" s="10">
        <f t="shared" si="66"/>
        <v>97</v>
      </c>
      <c r="R371" s="9">
        <v>5.0000000000000001E-3</v>
      </c>
      <c r="S371" s="10">
        <f t="shared" si="67"/>
        <v>24</v>
      </c>
      <c r="T371" s="9">
        <f t="shared" si="68"/>
        <v>2.4897119341563786E-2</v>
      </c>
      <c r="U371" s="10">
        <f t="shared" si="69"/>
        <v>121</v>
      </c>
      <c r="V371" s="10">
        <f t="shared" si="70"/>
        <v>4981</v>
      </c>
      <c r="W371" s="11">
        <v>4981.5</v>
      </c>
      <c r="X371" s="12">
        <f t="shared" si="71"/>
        <v>121.5</v>
      </c>
      <c r="Y371" s="13">
        <f t="shared" si="72"/>
        <v>2.5000000000000001E-2</v>
      </c>
      <c r="Z371" s="14" t="str">
        <f t="shared" si="73"/>
        <v>0.00%-8.40%</v>
      </c>
      <c r="AA371" s="15"/>
      <c r="AB371" s="15"/>
      <c r="AC371" s="15"/>
      <c r="AD371" s="16"/>
      <c r="AE371" s="8">
        <f t="shared" si="74"/>
        <v>0</v>
      </c>
      <c r="AF371" s="17">
        <f t="shared" si="75"/>
        <v>4981.5</v>
      </c>
      <c r="AG371" s="18">
        <f t="shared" si="76"/>
        <v>121.5</v>
      </c>
      <c r="AH371" s="19">
        <f t="shared" si="77"/>
        <v>2.4999999999999911E-2</v>
      </c>
      <c r="AI371" s="20">
        <v>13.6</v>
      </c>
      <c r="AJ371" s="20">
        <v>450</v>
      </c>
      <c r="AK371" s="20"/>
      <c r="AL371" s="20">
        <v>688</v>
      </c>
      <c r="AM371" s="20">
        <f t="shared" si="78"/>
        <v>73836.399999999994</v>
      </c>
      <c r="AN371" s="7" t="s">
        <v>176</v>
      </c>
      <c r="AO371" s="20"/>
      <c r="AP371" s="21" t="s">
        <v>465</v>
      </c>
      <c r="AQ371" s="21"/>
      <c r="AR371" s="5" t="s">
        <v>466</v>
      </c>
      <c r="AS371" s="5" t="s">
        <v>164</v>
      </c>
      <c r="AT371" s="5" t="s">
        <v>59</v>
      </c>
      <c r="AU371" s="20"/>
      <c r="AV371" s="21"/>
      <c r="AW371" s="21"/>
      <c r="AX371" s="21"/>
    </row>
    <row r="372" spans="1:50" s="55" customFormat="1">
      <c r="A372" s="86" t="s">
        <v>318</v>
      </c>
      <c r="B372" s="5">
        <v>15016583</v>
      </c>
      <c r="C372" s="5" t="s">
        <v>742</v>
      </c>
      <c r="D372" s="5" t="s">
        <v>321</v>
      </c>
      <c r="E372" s="5" t="s">
        <v>52</v>
      </c>
      <c r="F372" s="5" t="s">
        <v>62</v>
      </c>
      <c r="G372" s="5" t="s">
        <v>202</v>
      </c>
      <c r="H372" s="5" t="s">
        <v>464</v>
      </c>
      <c r="I372" s="6">
        <v>42979</v>
      </c>
      <c r="J372" s="5" t="s">
        <v>336</v>
      </c>
      <c r="K372" s="5" t="s">
        <v>511</v>
      </c>
      <c r="L372" s="5" t="s">
        <v>324</v>
      </c>
      <c r="M372" s="7">
        <v>6</v>
      </c>
      <c r="N372" s="7" t="s">
        <v>176</v>
      </c>
      <c r="O372" s="8">
        <v>4895</v>
      </c>
      <c r="P372" s="9">
        <v>0.02</v>
      </c>
      <c r="Q372" s="10">
        <f t="shared" si="66"/>
        <v>98</v>
      </c>
      <c r="R372" s="9">
        <v>5.0000000000000001E-3</v>
      </c>
      <c r="S372" s="10">
        <f t="shared" si="67"/>
        <v>24</v>
      </c>
      <c r="T372" s="9">
        <f t="shared" si="68"/>
        <v>2.4923391215526048E-2</v>
      </c>
      <c r="U372" s="10">
        <f t="shared" si="69"/>
        <v>122</v>
      </c>
      <c r="V372" s="10">
        <f t="shared" si="70"/>
        <v>5017</v>
      </c>
      <c r="W372" s="11">
        <v>4895</v>
      </c>
      <c r="X372" s="12">
        <f t="shared" si="71"/>
        <v>0</v>
      </c>
      <c r="Y372" s="13">
        <f t="shared" si="72"/>
        <v>0</v>
      </c>
      <c r="Z372" s="14" t="str">
        <f t="shared" si="73"/>
        <v>0.00%-8.40%</v>
      </c>
      <c r="AA372" s="15"/>
      <c r="AB372" s="15"/>
      <c r="AC372" s="15"/>
      <c r="AD372" s="16"/>
      <c r="AE372" s="8">
        <f t="shared" si="74"/>
        <v>0</v>
      </c>
      <c r="AF372" s="17">
        <f t="shared" si="75"/>
        <v>4895</v>
      </c>
      <c r="AG372" s="18">
        <f t="shared" si="76"/>
        <v>0</v>
      </c>
      <c r="AH372" s="19">
        <f t="shared" si="77"/>
        <v>0</v>
      </c>
      <c r="AI372" s="20">
        <v>13.6</v>
      </c>
      <c r="AJ372" s="20">
        <v>450</v>
      </c>
      <c r="AK372" s="20"/>
      <c r="AL372" s="20">
        <v>688</v>
      </c>
      <c r="AM372" s="20">
        <f t="shared" si="78"/>
        <v>72660</v>
      </c>
      <c r="AN372" s="7" t="s">
        <v>176</v>
      </c>
      <c r="AO372" s="20"/>
      <c r="AP372" s="21" t="s">
        <v>97</v>
      </c>
      <c r="AQ372" s="21" t="s">
        <v>97</v>
      </c>
      <c r="AR372" s="5" t="s">
        <v>466</v>
      </c>
      <c r="AS372" s="5" t="s">
        <v>164</v>
      </c>
      <c r="AT372" s="5" t="s">
        <v>59</v>
      </c>
      <c r="AU372" s="20"/>
      <c r="AV372" s="21"/>
      <c r="AW372" s="21"/>
      <c r="AX372" s="21"/>
    </row>
    <row r="373" spans="1:50" s="55" customFormat="1">
      <c r="A373" s="86" t="s">
        <v>318</v>
      </c>
      <c r="B373" s="5">
        <v>15016778</v>
      </c>
      <c r="C373" s="5" t="s">
        <v>743</v>
      </c>
      <c r="D373" s="5" t="s">
        <v>321</v>
      </c>
      <c r="E373" s="5" t="s">
        <v>52</v>
      </c>
      <c r="F373" s="5" t="s">
        <v>62</v>
      </c>
      <c r="G373" s="5" t="s">
        <v>202</v>
      </c>
      <c r="H373" s="5" t="s">
        <v>464</v>
      </c>
      <c r="I373" s="6">
        <v>42948</v>
      </c>
      <c r="J373" s="5" t="s">
        <v>336</v>
      </c>
      <c r="K373" s="5" t="s">
        <v>511</v>
      </c>
      <c r="L373" s="5" t="s">
        <v>324</v>
      </c>
      <c r="M373" s="7">
        <v>6</v>
      </c>
      <c r="N373" s="7" t="s">
        <v>176</v>
      </c>
      <c r="O373" s="8">
        <v>4673</v>
      </c>
      <c r="P373" s="9">
        <v>0.02</v>
      </c>
      <c r="Q373" s="10">
        <f t="shared" si="66"/>
        <v>93</v>
      </c>
      <c r="R373" s="9">
        <v>5.0000000000000001E-3</v>
      </c>
      <c r="S373" s="10">
        <f t="shared" si="67"/>
        <v>23</v>
      </c>
      <c r="T373" s="9">
        <f t="shared" si="68"/>
        <v>2.4823453884014551E-2</v>
      </c>
      <c r="U373" s="10">
        <f t="shared" si="69"/>
        <v>116</v>
      </c>
      <c r="V373" s="10">
        <f t="shared" si="70"/>
        <v>4789</v>
      </c>
      <c r="W373" s="11">
        <v>4719.7299999999996</v>
      </c>
      <c r="X373" s="12">
        <f t="shared" si="71"/>
        <v>46.729999999999563</v>
      </c>
      <c r="Y373" s="13">
        <f t="shared" si="72"/>
        <v>0.01</v>
      </c>
      <c r="Z373" s="14" t="str">
        <f t="shared" si="73"/>
        <v>0.00%-8.40%</v>
      </c>
      <c r="AA373" s="15"/>
      <c r="AB373" s="15"/>
      <c r="AC373" s="15"/>
      <c r="AD373" s="16"/>
      <c r="AE373" s="8">
        <f t="shared" si="74"/>
        <v>0</v>
      </c>
      <c r="AF373" s="17">
        <f t="shared" si="75"/>
        <v>4719.7299999999996</v>
      </c>
      <c r="AG373" s="18">
        <f t="shared" si="76"/>
        <v>46.729999999999563</v>
      </c>
      <c r="AH373" s="19">
        <f t="shared" si="77"/>
        <v>1.0000000000000009E-2</v>
      </c>
      <c r="AI373" s="20">
        <v>13.6</v>
      </c>
      <c r="AJ373" s="20">
        <v>450</v>
      </c>
      <c r="AK373" s="20"/>
      <c r="AL373" s="20">
        <v>688</v>
      </c>
      <c r="AM373" s="20">
        <f t="shared" si="78"/>
        <v>70276.327999999994</v>
      </c>
      <c r="AN373" s="7" t="s">
        <v>176</v>
      </c>
      <c r="AO373" s="20"/>
      <c r="AP373" s="21" t="s">
        <v>465</v>
      </c>
      <c r="AQ373" s="21"/>
      <c r="AR373" s="5" t="s">
        <v>466</v>
      </c>
      <c r="AS373" s="5" t="s">
        <v>164</v>
      </c>
      <c r="AT373" s="5" t="s">
        <v>59</v>
      </c>
      <c r="AU373" s="20"/>
      <c r="AV373" s="21"/>
      <c r="AW373" s="21"/>
      <c r="AX373" s="21"/>
    </row>
    <row r="374" spans="1:50" s="55" customFormat="1">
      <c r="A374" s="86" t="s">
        <v>318</v>
      </c>
      <c r="B374" s="5">
        <v>15006118</v>
      </c>
      <c r="C374" s="5" t="s">
        <v>744</v>
      </c>
      <c r="D374" s="5" t="s">
        <v>321</v>
      </c>
      <c r="E374" s="5" t="s">
        <v>52</v>
      </c>
      <c r="F374" s="5" t="s">
        <v>62</v>
      </c>
      <c r="G374" s="5" t="s">
        <v>202</v>
      </c>
      <c r="H374" s="5" t="s">
        <v>464</v>
      </c>
      <c r="I374" s="6">
        <v>41275</v>
      </c>
      <c r="J374" s="5" t="s">
        <v>336</v>
      </c>
      <c r="K374" s="5" t="s">
        <v>511</v>
      </c>
      <c r="L374" s="5" t="s">
        <v>324</v>
      </c>
      <c r="M374" s="7">
        <v>6</v>
      </c>
      <c r="N374" s="7" t="s">
        <v>176</v>
      </c>
      <c r="O374" s="8">
        <v>4591</v>
      </c>
      <c r="P374" s="9">
        <v>0.02</v>
      </c>
      <c r="Q374" s="10">
        <f t="shared" si="66"/>
        <v>92</v>
      </c>
      <c r="R374" s="9">
        <v>5.0000000000000001E-3</v>
      </c>
      <c r="S374" s="10">
        <f t="shared" si="67"/>
        <v>23</v>
      </c>
      <c r="T374" s="9">
        <f t="shared" si="68"/>
        <v>2.5049008930516228E-2</v>
      </c>
      <c r="U374" s="10">
        <f t="shared" si="69"/>
        <v>115</v>
      </c>
      <c r="V374" s="10">
        <f t="shared" si="70"/>
        <v>4706</v>
      </c>
      <c r="W374" s="11">
        <v>4705.7749999999996</v>
      </c>
      <c r="X374" s="12">
        <f t="shared" si="71"/>
        <v>114.77499999999964</v>
      </c>
      <c r="Y374" s="13">
        <f t="shared" si="72"/>
        <v>2.5000000000000001E-2</v>
      </c>
      <c r="Z374" s="14" t="str">
        <f t="shared" si="73"/>
        <v>0.00%-8.40%</v>
      </c>
      <c r="AA374" s="15"/>
      <c r="AB374" s="15"/>
      <c r="AC374" s="15"/>
      <c r="AD374" s="16"/>
      <c r="AE374" s="8">
        <f t="shared" si="74"/>
        <v>0</v>
      </c>
      <c r="AF374" s="17">
        <f t="shared" si="75"/>
        <v>4705.7749999999996</v>
      </c>
      <c r="AG374" s="18">
        <f t="shared" si="76"/>
        <v>114.77499999999964</v>
      </c>
      <c r="AH374" s="19">
        <f t="shared" si="77"/>
        <v>2.4999999999999911E-2</v>
      </c>
      <c r="AI374" s="20">
        <v>13.6</v>
      </c>
      <c r="AJ374" s="20">
        <v>450</v>
      </c>
      <c r="AK374" s="20"/>
      <c r="AL374" s="20">
        <v>688</v>
      </c>
      <c r="AM374" s="20">
        <f t="shared" si="78"/>
        <v>70086.539999999994</v>
      </c>
      <c r="AN374" s="7" t="s">
        <v>176</v>
      </c>
      <c r="AO374" s="20"/>
      <c r="AP374" s="21" t="s">
        <v>465</v>
      </c>
      <c r="AQ374" s="21"/>
      <c r="AR374" s="5" t="s">
        <v>466</v>
      </c>
      <c r="AS374" s="5" t="s">
        <v>164</v>
      </c>
      <c r="AT374" s="5" t="s">
        <v>59</v>
      </c>
      <c r="AU374" s="20"/>
      <c r="AV374" s="21"/>
      <c r="AW374" s="21"/>
      <c r="AX374" s="21"/>
    </row>
    <row r="375" spans="1:50" s="55" customFormat="1">
      <c r="A375" s="86" t="s">
        <v>318</v>
      </c>
      <c r="B375" s="5">
        <v>15010970</v>
      </c>
      <c r="C375" s="5" t="s">
        <v>745</v>
      </c>
      <c r="D375" s="5" t="s">
        <v>321</v>
      </c>
      <c r="E375" s="5" t="s">
        <v>52</v>
      </c>
      <c r="F375" s="5" t="s">
        <v>62</v>
      </c>
      <c r="G375" s="5" t="s">
        <v>202</v>
      </c>
      <c r="H375" s="5" t="s">
        <v>464</v>
      </c>
      <c r="I375" s="6">
        <v>41579</v>
      </c>
      <c r="J375" s="5" t="s">
        <v>336</v>
      </c>
      <c r="K375" s="5" t="s">
        <v>511</v>
      </c>
      <c r="L375" s="5" t="s">
        <v>324</v>
      </c>
      <c r="M375" s="7">
        <v>6</v>
      </c>
      <c r="N375" s="7" t="s">
        <v>176</v>
      </c>
      <c r="O375" s="8">
        <v>4773</v>
      </c>
      <c r="P375" s="9">
        <v>0.02</v>
      </c>
      <c r="Q375" s="10">
        <f t="shared" si="66"/>
        <v>95</v>
      </c>
      <c r="R375" s="9">
        <v>5.0000000000000001E-3</v>
      </c>
      <c r="S375" s="10">
        <f t="shared" si="67"/>
        <v>24</v>
      </c>
      <c r="T375" s="9">
        <f t="shared" si="68"/>
        <v>2.4931908652838886E-2</v>
      </c>
      <c r="U375" s="10">
        <f t="shared" si="69"/>
        <v>119</v>
      </c>
      <c r="V375" s="10">
        <f t="shared" si="70"/>
        <v>4892</v>
      </c>
      <c r="W375" s="11">
        <v>4892.3249999999998</v>
      </c>
      <c r="X375" s="12">
        <f t="shared" si="71"/>
        <v>119.32499999999982</v>
      </c>
      <c r="Y375" s="13">
        <f t="shared" si="72"/>
        <v>2.5000000000000001E-2</v>
      </c>
      <c r="Z375" s="14" t="str">
        <f t="shared" si="73"/>
        <v>0.00%-8.40%</v>
      </c>
      <c r="AA375" s="15"/>
      <c r="AB375" s="15"/>
      <c r="AC375" s="15"/>
      <c r="AD375" s="16"/>
      <c r="AE375" s="8">
        <f t="shared" si="74"/>
        <v>0</v>
      </c>
      <c r="AF375" s="17">
        <f t="shared" si="75"/>
        <v>4892.3249999999998</v>
      </c>
      <c r="AG375" s="18">
        <f t="shared" si="76"/>
        <v>119.32499999999982</v>
      </c>
      <c r="AH375" s="19">
        <f t="shared" si="77"/>
        <v>2.4999999999999911E-2</v>
      </c>
      <c r="AI375" s="20">
        <v>13.6</v>
      </c>
      <c r="AJ375" s="20">
        <v>450</v>
      </c>
      <c r="AK375" s="20"/>
      <c r="AL375" s="20">
        <v>688</v>
      </c>
      <c r="AM375" s="20">
        <f t="shared" si="78"/>
        <v>72623.62</v>
      </c>
      <c r="AN375" s="7" t="s">
        <v>176</v>
      </c>
      <c r="AO375" s="20"/>
      <c r="AP375" s="21" t="s">
        <v>465</v>
      </c>
      <c r="AQ375" s="21"/>
      <c r="AR375" s="5" t="s">
        <v>466</v>
      </c>
      <c r="AS375" s="5" t="s">
        <v>164</v>
      </c>
      <c r="AT375" s="5" t="s">
        <v>59</v>
      </c>
      <c r="AU375" s="20"/>
      <c r="AV375" s="21"/>
      <c r="AW375" s="21"/>
      <c r="AX375" s="21"/>
    </row>
    <row r="376" spans="1:50" s="55" customFormat="1">
      <c r="A376" s="86" t="s">
        <v>318</v>
      </c>
      <c r="B376" s="5">
        <v>15007474</v>
      </c>
      <c r="C376" s="5" t="s">
        <v>746</v>
      </c>
      <c r="D376" s="5" t="s">
        <v>321</v>
      </c>
      <c r="E376" s="5" t="s">
        <v>52</v>
      </c>
      <c r="F376" s="5" t="s">
        <v>62</v>
      </c>
      <c r="G376" s="5" t="s">
        <v>202</v>
      </c>
      <c r="H376" s="5" t="s">
        <v>464</v>
      </c>
      <c r="I376" s="6">
        <v>41153</v>
      </c>
      <c r="J376" s="5" t="s">
        <v>336</v>
      </c>
      <c r="K376" s="5" t="s">
        <v>511</v>
      </c>
      <c r="L376" s="5" t="s">
        <v>324</v>
      </c>
      <c r="M376" s="7">
        <v>6</v>
      </c>
      <c r="N376" s="7" t="s">
        <v>176</v>
      </c>
      <c r="O376" s="8">
        <v>4898</v>
      </c>
      <c r="P376" s="9">
        <v>0.02</v>
      </c>
      <c r="Q376" s="10">
        <f t="shared" si="66"/>
        <v>98</v>
      </c>
      <c r="R376" s="9">
        <v>5.0000000000000001E-3</v>
      </c>
      <c r="S376" s="10">
        <f t="shared" si="67"/>
        <v>24</v>
      </c>
      <c r="T376" s="9">
        <f t="shared" si="68"/>
        <v>2.490812576561862E-2</v>
      </c>
      <c r="U376" s="10">
        <f t="shared" si="69"/>
        <v>122</v>
      </c>
      <c r="V376" s="10">
        <f t="shared" si="70"/>
        <v>5020</v>
      </c>
      <c r="W376" s="11">
        <v>5020.45</v>
      </c>
      <c r="X376" s="12">
        <f t="shared" si="71"/>
        <v>122.44999999999982</v>
      </c>
      <c r="Y376" s="13">
        <f t="shared" si="72"/>
        <v>2.5000000000000001E-2</v>
      </c>
      <c r="Z376" s="14" t="str">
        <f t="shared" si="73"/>
        <v>0.00%-8.40%</v>
      </c>
      <c r="AA376" s="15"/>
      <c r="AB376" s="15"/>
      <c r="AC376" s="15"/>
      <c r="AD376" s="16"/>
      <c r="AE376" s="8">
        <f t="shared" si="74"/>
        <v>0</v>
      </c>
      <c r="AF376" s="17">
        <f t="shared" si="75"/>
        <v>5020.45</v>
      </c>
      <c r="AG376" s="18">
        <f t="shared" si="76"/>
        <v>122.44999999999982</v>
      </c>
      <c r="AH376" s="19">
        <f t="shared" si="77"/>
        <v>2.4999999999999911E-2</v>
      </c>
      <c r="AI376" s="20">
        <v>13.6</v>
      </c>
      <c r="AJ376" s="20">
        <v>450</v>
      </c>
      <c r="AK376" s="20"/>
      <c r="AL376" s="20">
        <v>688</v>
      </c>
      <c r="AM376" s="20">
        <f t="shared" si="78"/>
        <v>74366.12</v>
      </c>
      <c r="AN376" s="7" t="s">
        <v>176</v>
      </c>
      <c r="AO376" s="20"/>
      <c r="AP376" s="21" t="s">
        <v>465</v>
      </c>
      <c r="AQ376" s="21"/>
      <c r="AR376" s="5" t="s">
        <v>466</v>
      </c>
      <c r="AS376" s="5" t="s">
        <v>164</v>
      </c>
      <c r="AT376" s="5" t="s">
        <v>59</v>
      </c>
      <c r="AU376" s="20"/>
      <c r="AV376" s="21"/>
      <c r="AW376" s="21"/>
      <c r="AX376" s="21"/>
    </row>
    <row r="377" spans="1:50" s="55" customFormat="1">
      <c r="A377" s="86" t="s">
        <v>318</v>
      </c>
      <c r="B377" s="5">
        <v>15015562</v>
      </c>
      <c r="C377" s="5" t="s">
        <v>747</v>
      </c>
      <c r="D377" s="5" t="s">
        <v>321</v>
      </c>
      <c r="E377" s="5" t="s">
        <v>52</v>
      </c>
      <c r="F377" s="5" t="s">
        <v>62</v>
      </c>
      <c r="G377" s="5" t="s">
        <v>202</v>
      </c>
      <c r="H377" s="5" t="s">
        <v>464</v>
      </c>
      <c r="I377" s="6">
        <v>42767</v>
      </c>
      <c r="J377" s="5" t="s">
        <v>336</v>
      </c>
      <c r="K377" s="5" t="s">
        <v>511</v>
      </c>
      <c r="L377" s="5" t="s">
        <v>324</v>
      </c>
      <c r="M377" s="7">
        <v>6</v>
      </c>
      <c r="N377" s="7" t="s">
        <v>176</v>
      </c>
      <c r="O377" s="8">
        <v>5736</v>
      </c>
      <c r="P377" s="9">
        <v>0.02</v>
      </c>
      <c r="Q377" s="10">
        <f t="shared" si="66"/>
        <v>115</v>
      </c>
      <c r="R377" s="9">
        <v>5.0000000000000001E-3</v>
      </c>
      <c r="S377" s="10">
        <f t="shared" si="67"/>
        <v>29</v>
      </c>
      <c r="T377" s="9">
        <f t="shared" si="68"/>
        <v>2.5104602510460251E-2</v>
      </c>
      <c r="U377" s="10">
        <f t="shared" si="69"/>
        <v>144</v>
      </c>
      <c r="V377" s="10">
        <f t="shared" si="70"/>
        <v>5880</v>
      </c>
      <c r="W377" s="11">
        <v>5764.68</v>
      </c>
      <c r="X377" s="12">
        <f t="shared" si="71"/>
        <v>28.680000000000291</v>
      </c>
      <c r="Y377" s="13">
        <f t="shared" si="72"/>
        <v>5.0000000000000001E-3</v>
      </c>
      <c r="Z377" s="14" t="str">
        <f t="shared" si="73"/>
        <v>0.00%-8.40%</v>
      </c>
      <c r="AA377" s="15"/>
      <c r="AB377" s="15"/>
      <c r="AC377" s="15"/>
      <c r="AD377" s="16"/>
      <c r="AE377" s="8">
        <f t="shared" si="74"/>
        <v>0</v>
      </c>
      <c r="AF377" s="17">
        <f t="shared" si="75"/>
        <v>5764.68</v>
      </c>
      <c r="AG377" s="18">
        <f t="shared" si="76"/>
        <v>28.680000000000291</v>
      </c>
      <c r="AH377" s="19">
        <f t="shared" si="77"/>
        <v>5.0000000000001155E-3</v>
      </c>
      <c r="AI377" s="20">
        <v>13.6</v>
      </c>
      <c r="AJ377" s="20">
        <v>450</v>
      </c>
      <c r="AK377" s="20"/>
      <c r="AL377" s="20">
        <v>688</v>
      </c>
      <c r="AM377" s="20">
        <f t="shared" si="78"/>
        <v>84487.648000000001</v>
      </c>
      <c r="AN377" s="7" t="s">
        <v>176</v>
      </c>
      <c r="AO377" s="20"/>
      <c r="AP377" s="21" t="s">
        <v>465</v>
      </c>
      <c r="AQ377" s="21"/>
      <c r="AR377" s="5" t="s">
        <v>466</v>
      </c>
      <c r="AS377" s="5" t="s">
        <v>164</v>
      </c>
      <c r="AT377" s="5" t="s">
        <v>59</v>
      </c>
      <c r="AU377" s="20"/>
      <c r="AV377" s="21"/>
      <c r="AW377" s="21"/>
      <c r="AX377" s="21"/>
    </row>
    <row r="378" spans="1:50" s="55" customFormat="1">
      <c r="A378" s="86" t="s">
        <v>318</v>
      </c>
      <c r="B378" s="5">
        <v>15017186</v>
      </c>
      <c r="C378" s="5" t="s">
        <v>748</v>
      </c>
      <c r="D378" s="5" t="s">
        <v>321</v>
      </c>
      <c r="E378" s="5" t="s">
        <v>52</v>
      </c>
      <c r="F378" s="5" t="s">
        <v>62</v>
      </c>
      <c r="G378" s="5" t="s">
        <v>202</v>
      </c>
      <c r="H378" s="5" t="s">
        <v>464</v>
      </c>
      <c r="I378" s="6">
        <v>43191</v>
      </c>
      <c r="J378" s="5" t="s">
        <v>336</v>
      </c>
      <c r="K378" s="5" t="s">
        <v>511</v>
      </c>
      <c r="L378" s="5" t="s">
        <v>324</v>
      </c>
      <c r="M378" s="7">
        <v>6</v>
      </c>
      <c r="N378" s="7" t="s">
        <v>176</v>
      </c>
      <c r="O378" s="8">
        <v>5076</v>
      </c>
      <c r="P378" s="9">
        <v>0.02</v>
      </c>
      <c r="Q378" s="10">
        <f t="shared" si="66"/>
        <v>102</v>
      </c>
      <c r="R378" s="9">
        <v>5.0000000000000001E-3</v>
      </c>
      <c r="S378" s="10">
        <f t="shared" si="67"/>
        <v>25</v>
      </c>
      <c r="T378" s="9">
        <f t="shared" si="68"/>
        <v>2.5019700551615447E-2</v>
      </c>
      <c r="U378" s="10">
        <f t="shared" si="69"/>
        <v>127</v>
      </c>
      <c r="V378" s="10">
        <f t="shared" si="70"/>
        <v>5203</v>
      </c>
      <c r="W378" s="11">
        <v>5076</v>
      </c>
      <c r="X378" s="12">
        <f t="shared" si="71"/>
        <v>0</v>
      </c>
      <c r="Y378" s="13">
        <f t="shared" si="72"/>
        <v>0</v>
      </c>
      <c r="Z378" s="14" t="str">
        <f t="shared" si="73"/>
        <v>0.00%-8.40%</v>
      </c>
      <c r="AA378" s="15"/>
      <c r="AB378" s="15"/>
      <c r="AC378" s="15"/>
      <c r="AD378" s="16"/>
      <c r="AE378" s="8">
        <f t="shared" si="74"/>
        <v>0</v>
      </c>
      <c r="AF378" s="17">
        <f t="shared" si="75"/>
        <v>5076</v>
      </c>
      <c r="AG378" s="18">
        <f t="shared" si="76"/>
        <v>0</v>
      </c>
      <c r="AH378" s="19">
        <f t="shared" si="77"/>
        <v>0</v>
      </c>
      <c r="AI378" s="20">
        <v>13.6</v>
      </c>
      <c r="AJ378" s="20">
        <v>450</v>
      </c>
      <c r="AK378" s="20"/>
      <c r="AL378" s="20">
        <v>688</v>
      </c>
      <c r="AM378" s="20">
        <f t="shared" si="78"/>
        <v>75121.599999999991</v>
      </c>
      <c r="AN378" s="7" t="s">
        <v>176</v>
      </c>
      <c r="AO378" s="20"/>
      <c r="AP378" s="21" t="s">
        <v>97</v>
      </c>
      <c r="AQ378" s="21" t="s">
        <v>97</v>
      </c>
      <c r="AR378" s="5" t="s">
        <v>466</v>
      </c>
      <c r="AS378" s="5" t="s">
        <v>164</v>
      </c>
      <c r="AT378" s="5" t="s">
        <v>59</v>
      </c>
      <c r="AU378" s="20"/>
      <c r="AV378" s="21"/>
      <c r="AW378" s="21"/>
      <c r="AX378" s="21"/>
    </row>
    <row r="379" spans="1:50" s="55" customFormat="1">
      <c r="A379" s="86" t="s">
        <v>318</v>
      </c>
      <c r="B379" s="5">
        <v>15001454</v>
      </c>
      <c r="C379" s="5" t="s">
        <v>749</v>
      </c>
      <c r="D379" s="5" t="s">
        <v>321</v>
      </c>
      <c r="E379" s="5" t="s">
        <v>52</v>
      </c>
      <c r="F379" s="5" t="s">
        <v>62</v>
      </c>
      <c r="G379" s="5" t="s">
        <v>207</v>
      </c>
      <c r="H379" s="5" t="s">
        <v>750</v>
      </c>
      <c r="I379" s="6">
        <v>39525</v>
      </c>
      <c r="J379" s="5" t="s">
        <v>323</v>
      </c>
      <c r="K379" s="5" t="s">
        <v>468</v>
      </c>
      <c r="L379" s="5" t="s">
        <v>324</v>
      </c>
      <c r="M379" s="7">
        <v>6</v>
      </c>
      <c r="N379" s="7" t="s">
        <v>176</v>
      </c>
      <c r="O379" s="8">
        <v>6750</v>
      </c>
      <c r="P379" s="9">
        <v>0.02</v>
      </c>
      <c r="Q379" s="10">
        <f t="shared" si="66"/>
        <v>135</v>
      </c>
      <c r="R379" s="9">
        <v>5.0000000000000001E-3</v>
      </c>
      <c r="S379" s="10">
        <f t="shared" si="67"/>
        <v>34</v>
      </c>
      <c r="T379" s="9">
        <f t="shared" si="68"/>
        <v>2.5037037037037038E-2</v>
      </c>
      <c r="U379" s="10">
        <f t="shared" si="69"/>
        <v>169</v>
      </c>
      <c r="V379" s="10">
        <f t="shared" si="70"/>
        <v>6919</v>
      </c>
      <c r="W379" s="11">
        <f>VLOOKUP(B379,[1]调薪计算!A:M,12,0)</f>
        <v>6918.7499999999991</v>
      </c>
      <c r="X379" s="12">
        <f t="shared" si="71"/>
        <v>168.74999999999909</v>
      </c>
      <c r="Y379" s="13">
        <f t="shared" si="72"/>
        <v>2.5000000000000001E-2</v>
      </c>
      <c r="Z379" s="14" t="str">
        <f t="shared" si="73"/>
        <v>0.00%-8.40%</v>
      </c>
      <c r="AA379" s="15"/>
      <c r="AB379" s="15"/>
      <c r="AC379" s="15"/>
      <c r="AD379" s="16"/>
      <c r="AE379" s="8">
        <f t="shared" si="74"/>
        <v>0</v>
      </c>
      <c r="AF379" s="17">
        <f t="shared" si="75"/>
        <v>6918.7499999999991</v>
      </c>
      <c r="AG379" s="18">
        <f t="shared" si="76"/>
        <v>168.74999999999909</v>
      </c>
      <c r="AH379" s="19">
        <f t="shared" si="77"/>
        <v>2.4999999999999911E-2</v>
      </c>
      <c r="AI379" s="20">
        <v>13.6</v>
      </c>
      <c r="AJ379" s="20">
        <v>450</v>
      </c>
      <c r="AK379" s="20"/>
      <c r="AL379" s="20">
        <v>688</v>
      </c>
      <c r="AM379" s="20">
        <f t="shared" si="78"/>
        <v>100182.99999999999</v>
      </c>
      <c r="AN379" s="7" t="s">
        <v>176</v>
      </c>
      <c r="AO379" s="20"/>
      <c r="AP379" s="21"/>
      <c r="AQ379" s="21"/>
      <c r="AR379" s="5" t="s">
        <v>751</v>
      </c>
      <c r="AS379" s="5" t="s">
        <v>164</v>
      </c>
      <c r="AT379" s="5" t="s">
        <v>59</v>
      </c>
      <c r="AU379" s="20"/>
      <c r="AV379" s="21"/>
      <c r="AW379" s="21"/>
      <c r="AX379" s="21"/>
    </row>
    <row r="380" spans="1:50" s="55" customFormat="1">
      <c r="A380" s="86" t="s">
        <v>318</v>
      </c>
      <c r="B380" s="5">
        <v>15001955</v>
      </c>
      <c r="C380" s="5" t="s">
        <v>752</v>
      </c>
      <c r="D380" s="5" t="s">
        <v>321</v>
      </c>
      <c r="E380" s="5" t="s">
        <v>52</v>
      </c>
      <c r="F380" s="5" t="s">
        <v>62</v>
      </c>
      <c r="G380" s="5" t="s">
        <v>207</v>
      </c>
      <c r="H380" s="5" t="s">
        <v>753</v>
      </c>
      <c r="I380" s="6">
        <v>39688</v>
      </c>
      <c r="J380" s="5" t="s">
        <v>323</v>
      </c>
      <c r="K380" s="5" t="s">
        <v>323</v>
      </c>
      <c r="L380" s="5" t="s">
        <v>324</v>
      </c>
      <c r="M380" s="7">
        <v>6</v>
      </c>
      <c r="N380" s="7" t="s">
        <v>176</v>
      </c>
      <c r="O380" s="8">
        <v>6817</v>
      </c>
      <c r="P380" s="9">
        <v>0.02</v>
      </c>
      <c r="Q380" s="10">
        <f t="shared" si="66"/>
        <v>136</v>
      </c>
      <c r="R380" s="9">
        <v>5.0000000000000001E-3</v>
      </c>
      <c r="S380" s="10">
        <f t="shared" si="67"/>
        <v>34</v>
      </c>
      <c r="T380" s="9">
        <f t="shared" si="68"/>
        <v>2.4937655860349128E-2</v>
      </c>
      <c r="U380" s="10">
        <f t="shared" si="69"/>
        <v>170</v>
      </c>
      <c r="V380" s="10">
        <f t="shared" si="70"/>
        <v>6987</v>
      </c>
      <c r="W380" s="11">
        <f>VLOOKUP(B380,[1]调薪计算!A:M,12,0)</f>
        <v>7226.02</v>
      </c>
      <c r="X380" s="12">
        <f t="shared" si="71"/>
        <v>409.02000000000044</v>
      </c>
      <c r="Y380" s="13">
        <f t="shared" si="72"/>
        <v>0.06</v>
      </c>
      <c r="Z380" s="14" t="str">
        <f t="shared" si="73"/>
        <v>0.00%-8.40%</v>
      </c>
      <c r="AA380" s="15"/>
      <c r="AB380" s="15"/>
      <c r="AC380" s="15"/>
      <c r="AD380" s="16"/>
      <c r="AE380" s="8">
        <f t="shared" si="74"/>
        <v>0</v>
      </c>
      <c r="AF380" s="17">
        <f t="shared" si="75"/>
        <v>7226.02</v>
      </c>
      <c r="AG380" s="18">
        <f t="shared" si="76"/>
        <v>409.02000000000044</v>
      </c>
      <c r="AH380" s="19">
        <f t="shared" si="77"/>
        <v>6.0000000000000053E-2</v>
      </c>
      <c r="AI380" s="20">
        <v>13.6</v>
      </c>
      <c r="AJ380" s="20">
        <v>500</v>
      </c>
      <c r="AK380" s="20"/>
      <c r="AL380" s="20">
        <v>688</v>
      </c>
      <c r="AM380" s="20">
        <f t="shared" si="78"/>
        <v>104961.872</v>
      </c>
      <c r="AN380" s="7" t="s">
        <v>176</v>
      </c>
      <c r="AO380" s="20"/>
      <c r="AP380" s="21"/>
      <c r="AQ380" s="21"/>
      <c r="AR380" s="5" t="s">
        <v>751</v>
      </c>
      <c r="AS380" s="5" t="s">
        <v>164</v>
      </c>
      <c r="AT380" s="5" t="s">
        <v>59</v>
      </c>
      <c r="AU380" s="20"/>
      <c r="AV380" s="21"/>
      <c r="AW380" s="21"/>
      <c r="AX380" s="21"/>
    </row>
    <row r="381" spans="1:50" s="55" customFormat="1">
      <c r="A381" s="86" t="s">
        <v>318</v>
      </c>
      <c r="B381" s="5">
        <v>15001420</v>
      </c>
      <c r="C381" s="5" t="s">
        <v>754</v>
      </c>
      <c r="D381" s="5" t="s">
        <v>321</v>
      </c>
      <c r="E381" s="5" t="s">
        <v>52</v>
      </c>
      <c r="F381" s="5" t="s">
        <v>62</v>
      </c>
      <c r="G381" s="5" t="s">
        <v>207</v>
      </c>
      <c r="H381" s="5" t="s">
        <v>753</v>
      </c>
      <c r="I381" s="6">
        <v>39511</v>
      </c>
      <c r="J381" s="5" t="s">
        <v>480</v>
      </c>
      <c r="K381" s="5" t="s">
        <v>480</v>
      </c>
      <c r="L381" s="5" t="s">
        <v>324</v>
      </c>
      <c r="M381" s="7">
        <v>6</v>
      </c>
      <c r="N381" s="7" t="s">
        <v>176</v>
      </c>
      <c r="O381" s="8">
        <v>9573</v>
      </c>
      <c r="P381" s="9">
        <v>0.02</v>
      </c>
      <c r="Q381" s="10">
        <f t="shared" si="66"/>
        <v>191</v>
      </c>
      <c r="R381" s="9">
        <v>5.0000000000000001E-3</v>
      </c>
      <c r="S381" s="10">
        <f t="shared" si="67"/>
        <v>48</v>
      </c>
      <c r="T381" s="9">
        <f t="shared" si="68"/>
        <v>2.4966050349942547E-2</v>
      </c>
      <c r="U381" s="10">
        <f t="shared" si="69"/>
        <v>239</v>
      </c>
      <c r="V381" s="10">
        <f t="shared" si="70"/>
        <v>9812</v>
      </c>
      <c r="W381" s="11">
        <f>VLOOKUP(B381,[1]调薪计算!A:M,12,0)</f>
        <v>9955.92</v>
      </c>
      <c r="X381" s="12">
        <f t="shared" si="71"/>
        <v>382.92000000000007</v>
      </c>
      <c r="Y381" s="13">
        <f t="shared" si="72"/>
        <v>0.04</v>
      </c>
      <c r="Z381" s="14" t="str">
        <f t="shared" si="73"/>
        <v>0.00%-8.40%</v>
      </c>
      <c r="AA381" s="15"/>
      <c r="AB381" s="15"/>
      <c r="AC381" s="15"/>
      <c r="AD381" s="16"/>
      <c r="AE381" s="8">
        <f t="shared" si="74"/>
        <v>0</v>
      </c>
      <c r="AF381" s="17">
        <f t="shared" si="75"/>
        <v>9955.92</v>
      </c>
      <c r="AG381" s="18">
        <f t="shared" si="76"/>
        <v>382.92000000000007</v>
      </c>
      <c r="AH381" s="19">
        <f t="shared" si="77"/>
        <v>4.0000000000000036E-2</v>
      </c>
      <c r="AI381" s="20">
        <v>13.6</v>
      </c>
      <c r="AJ381" s="20">
        <v>450</v>
      </c>
      <c r="AK381" s="20"/>
      <c r="AL381" s="20">
        <v>688</v>
      </c>
      <c r="AM381" s="20">
        <f t="shared" si="78"/>
        <v>141488.51199999999</v>
      </c>
      <c r="AN381" s="7" t="s">
        <v>176</v>
      </c>
      <c r="AO381" s="20"/>
      <c r="AP381" s="21"/>
      <c r="AQ381" s="21"/>
      <c r="AR381" s="5" t="s">
        <v>751</v>
      </c>
      <c r="AS381" s="5" t="s">
        <v>164</v>
      </c>
      <c r="AT381" s="5" t="s">
        <v>59</v>
      </c>
      <c r="AU381" s="20"/>
      <c r="AV381" s="21"/>
      <c r="AW381" s="21"/>
      <c r="AX381" s="21"/>
    </row>
    <row r="382" spans="1:50" s="55" customFormat="1">
      <c r="A382" s="86" t="s">
        <v>318</v>
      </c>
      <c r="B382" s="5">
        <v>15001924</v>
      </c>
      <c r="C382" s="5" t="s">
        <v>755</v>
      </c>
      <c r="D382" s="5" t="s">
        <v>321</v>
      </c>
      <c r="E382" s="5" t="s">
        <v>52</v>
      </c>
      <c r="F382" s="5" t="s">
        <v>62</v>
      </c>
      <c r="G382" s="5" t="s">
        <v>207</v>
      </c>
      <c r="H382" s="5" t="s">
        <v>753</v>
      </c>
      <c r="I382" s="6">
        <v>39673</v>
      </c>
      <c r="J382" s="5" t="s">
        <v>480</v>
      </c>
      <c r="K382" s="5" t="s">
        <v>480</v>
      </c>
      <c r="L382" s="5" t="s">
        <v>324</v>
      </c>
      <c r="M382" s="7">
        <v>6</v>
      </c>
      <c r="N382" s="7" t="s">
        <v>176</v>
      </c>
      <c r="O382" s="8">
        <v>8504</v>
      </c>
      <c r="P382" s="9">
        <v>0.02</v>
      </c>
      <c r="Q382" s="10">
        <f t="shared" si="66"/>
        <v>170</v>
      </c>
      <c r="R382" s="9">
        <v>5.0000000000000001E-3</v>
      </c>
      <c r="S382" s="10">
        <f t="shared" si="67"/>
        <v>43</v>
      </c>
      <c r="T382" s="9">
        <f t="shared" si="68"/>
        <v>2.504703668861712E-2</v>
      </c>
      <c r="U382" s="10">
        <f t="shared" si="69"/>
        <v>213</v>
      </c>
      <c r="V382" s="10">
        <f t="shared" si="70"/>
        <v>8717</v>
      </c>
      <c r="W382" s="11">
        <f>VLOOKUP(B382,[1]调薪计算!A:M,12,0)</f>
        <v>9062.7128000000012</v>
      </c>
      <c r="X382" s="12">
        <f t="shared" si="71"/>
        <v>558.71280000000115</v>
      </c>
      <c r="Y382" s="13">
        <f t="shared" si="72"/>
        <v>6.5699999999999995E-2</v>
      </c>
      <c r="Z382" s="14" t="str">
        <f t="shared" si="73"/>
        <v>0.00%-8.40%</v>
      </c>
      <c r="AA382" s="15"/>
      <c r="AB382" s="15"/>
      <c r="AC382" s="15"/>
      <c r="AD382" s="16"/>
      <c r="AE382" s="8">
        <f t="shared" si="74"/>
        <v>0</v>
      </c>
      <c r="AF382" s="17">
        <f t="shared" si="75"/>
        <v>9062.7128000000012</v>
      </c>
      <c r="AG382" s="18">
        <f t="shared" si="76"/>
        <v>558.71280000000115</v>
      </c>
      <c r="AH382" s="19">
        <f t="shared" si="77"/>
        <v>6.5700000000000092E-2</v>
      </c>
      <c r="AI382" s="20">
        <v>13.6</v>
      </c>
      <c r="AJ382" s="20">
        <v>500</v>
      </c>
      <c r="AK382" s="20"/>
      <c r="AL382" s="20">
        <v>688</v>
      </c>
      <c r="AM382" s="20">
        <f t="shared" si="78"/>
        <v>129940.89408000001</v>
      </c>
      <c r="AN382" s="7" t="s">
        <v>176</v>
      </c>
      <c r="AO382" s="20"/>
      <c r="AP382" s="21"/>
      <c r="AQ382" s="21"/>
      <c r="AR382" s="5" t="s">
        <v>751</v>
      </c>
      <c r="AS382" s="5" t="s">
        <v>164</v>
      </c>
      <c r="AT382" s="5" t="s">
        <v>59</v>
      </c>
      <c r="AU382" s="20"/>
      <c r="AV382" s="21"/>
      <c r="AW382" s="21"/>
      <c r="AX382" s="21"/>
    </row>
    <row r="383" spans="1:50" s="55" customFormat="1">
      <c r="A383" s="86" t="s">
        <v>318</v>
      </c>
      <c r="B383" s="5">
        <v>15001326</v>
      </c>
      <c r="C383" s="5" t="s">
        <v>756</v>
      </c>
      <c r="D383" s="5" t="s">
        <v>321</v>
      </c>
      <c r="E383" s="5" t="s">
        <v>52</v>
      </c>
      <c r="F383" s="5" t="s">
        <v>62</v>
      </c>
      <c r="G383" s="5" t="s">
        <v>207</v>
      </c>
      <c r="H383" s="5" t="s">
        <v>753</v>
      </c>
      <c r="I383" s="6">
        <v>39630</v>
      </c>
      <c r="J383" s="5" t="s">
        <v>480</v>
      </c>
      <c r="K383" s="5" t="s">
        <v>480</v>
      </c>
      <c r="L383" s="5" t="s">
        <v>324</v>
      </c>
      <c r="M383" s="7">
        <v>6</v>
      </c>
      <c r="N383" s="7" t="s">
        <v>176</v>
      </c>
      <c r="O383" s="8">
        <v>8349</v>
      </c>
      <c r="P383" s="9">
        <v>0.02</v>
      </c>
      <c r="Q383" s="10">
        <f t="shared" si="66"/>
        <v>167</v>
      </c>
      <c r="R383" s="9">
        <v>5.0000000000000001E-3</v>
      </c>
      <c r="S383" s="10">
        <f t="shared" si="67"/>
        <v>42</v>
      </c>
      <c r="T383" s="9">
        <f t="shared" si="68"/>
        <v>2.5032938076416336E-2</v>
      </c>
      <c r="U383" s="10">
        <f t="shared" si="69"/>
        <v>209</v>
      </c>
      <c r="V383" s="10">
        <f t="shared" si="70"/>
        <v>8558</v>
      </c>
      <c r="W383" s="11">
        <f>VLOOKUP(B383,[1]调薪计算!A:M,12,0)</f>
        <v>9012.92</v>
      </c>
      <c r="X383" s="12">
        <f t="shared" si="71"/>
        <v>663.92000000000007</v>
      </c>
      <c r="Y383" s="13">
        <f t="shared" si="72"/>
        <v>7.9500000000000001E-2</v>
      </c>
      <c r="Z383" s="14" t="str">
        <f t="shared" si="73"/>
        <v>0.00%-8.40%</v>
      </c>
      <c r="AA383" s="15"/>
      <c r="AB383" s="15"/>
      <c r="AC383" s="15"/>
      <c r="AD383" s="16"/>
      <c r="AE383" s="8">
        <f t="shared" si="74"/>
        <v>0</v>
      </c>
      <c r="AF383" s="17">
        <f t="shared" si="75"/>
        <v>9012.92</v>
      </c>
      <c r="AG383" s="18">
        <f t="shared" si="76"/>
        <v>663.92000000000007</v>
      </c>
      <c r="AH383" s="19">
        <f t="shared" si="77"/>
        <v>7.9520900706671505E-2</v>
      </c>
      <c r="AI383" s="20">
        <v>13.6</v>
      </c>
      <c r="AJ383" s="20">
        <v>500</v>
      </c>
      <c r="AK383" s="20"/>
      <c r="AL383" s="20">
        <v>688</v>
      </c>
      <c r="AM383" s="20">
        <f t="shared" si="78"/>
        <v>129263.712</v>
      </c>
      <c r="AN383" s="7" t="s">
        <v>176</v>
      </c>
      <c r="AO383" s="20"/>
      <c r="AP383" s="21"/>
      <c r="AQ383" s="21"/>
      <c r="AR383" s="5" t="s">
        <v>751</v>
      </c>
      <c r="AS383" s="5" t="s">
        <v>164</v>
      </c>
      <c r="AT383" s="5" t="s">
        <v>59</v>
      </c>
      <c r="AU383" s="20"/>
      <c r="AV383" s="21"/>
      <c r="AW383" s="21"/>
      <c r="AX383" s="21"/>
    </row>
    <row r="384" spans="1:50" s="55" customFormat="1">
      <c r="A384" s="86" t="s">
        <v>318</v>
      </c>
      <c r="B384" s="5">
        <v>15002906</v>
      </c>
      <c r="C384" s="5" t="s">
        <v>757</v>
      </c>
      <c r="D384" s="5" t="s">
        <v>321</v>
      </c>
      <c r="E384" s="5" t="s">
        <v>52</v>
      </c>
      <c r="F384" s="5" t="s">
        <v>62</v>
      </c>
      <c r="G384" s="5" t="s">
        <v>207</v>
      </c>
      <c r="H384" s="5" t="s">
        <v>753</v>
      </c>
      <c r="I384" s="6">
        <v>40210</v>
      </c>
      <c r="J384" s="5" t="s">
        <v>279</v>
      </c>
      <c r="K384" s="5" t="s">
        <v>279</v>
      </c>
      <c r="L384" s="5" t="s">
        <v>324</v>
      </c>
      <c r="M384" s="7">
        <v>6</v>
      </c>
      <c r="N384" s="7" t="s">
        <v>176</v>
      </c>
      <c r="O384" s="8">
        <v>6074</v>
      </c>
      <c r="P384" s="9">
        <v>0.02</v>
      </c>
      <c r="Q384" s="10">
        <f t="shared" si="66"/>
        <v>121</v>
      </c>
      <c r="R384" s="9">
        <v>5.0000000000000001E-3</v>
      </c>
      <c r="S384" s="10">
        <f t="shared" si="67"/>
        <v>30</v>
      </c>
      <c r="T384" s="9">
        <f t="shared" si="68"/>
        <v>2.4860059269015477E-2</v>
      </c>
      <c r="U384" s="10">
        <f t="shared" si="69"/>
        <v>151</v>
      </c>
      <c r="V384" s="10">
        <f t="shared" si="70"/>
        <v>6225</v>
      </c>
      <c r="W384" s="11">
        <f>VLOOKUP(B384,[1]调薪计算!A:M,12,0)</f>
        <v>6225.8499999999995</v>
      </c>
      <c r="X384" s="12">
        <f t="shared" si="71"/>
        <v>151.84999999999945</v>
      </c>
      <c r="Y384" s="13">
        <f t="shared" si="72"/>
        <v>2.5000000000000001E-2</v>
      </c>
      <c r="Z384" s="14" t="str">
        <f t="shared" si="73"/>
        <v>0.00%-8.40%</v>
      </c>
      <c r="AA384" s="15"/>
      <c r="AB384" s="15"/>
      <c r="AC384" s="15"/>
      <c r="AD384" s="16"/>
      <c r="AE384" s="8">
        <f t="shared" si="74"/>
        <v>0</v>
      </c>
      <c r="AF384" s="17">
        <f t="shared" si="75"/>
        <v>6225.8499999999995</v>
      </c>
      <c r="AG384" s="18">
        <f t="shared" si="76"/>
        <v>151.84999999999945</v>
      </c>
      <c r="AH384" s="19">
        <f t="shared" si="77"/>
        <v>2.4999999999999911E-2</v>
      </c>
      <c r="AI384" s="20">
        <v>13.6</v>
      </c>
      <c r="AJ384" s="20">
        <v>500</v>
      </c>
      <c r="AK384" s="20"/>
      <c r="AL384" s="20">
        <v>688</v>
      </c>
      <c r="AM384" s="20">
        <f t="shared" si="78"/>
        <v>91359.559999999983</v>
      </c>
      <c r="AN384" s="7" t="s">
        <v>176</v>
      </c>
      <c r="AO384" s="20"/>
      <c r="AP384" s="21"/>
      <c r="AQ384" s="21"/>
      <c r="AR384" s="5" t="s">
        <v>751</v>
      </c>
      <c r="AS384" s="5" t="s">
        <v>164</v>
      </c>
      <c r="AT384" s="5" t="s">
        <v>59</v>
      </c>
      <c r="AU384" s="20"/>
      <c r="AV384" s="21"/>
      <c r="AW384" s="21"/>
      <c r="AX384" s="21"/>
    </row>
    <row r="385" spans="1:50" s="55" customFormat="1">
      <c r="A385" s="86" t="s">
        <v>318</v>
      </c>
      <c r="B385" s="5">
        <v>15003156</v>
      </c>
      <c r="C385" s="5" t="s">
        <v>758</v>
      </c>
      <c r="D385" s="5" t="s">
        <v>321</v>
      </c>
      <c r="E385" s="5" t="s">
        <v>52</v>
      </c>
      <c r="F385" s="5" t="s">
        <v>62</v>
      </c>
      <c r="G385" s="5" t="s">
        <v>207</v>
      </c>
      <c r="H385" s="5" t="s">
        <v>753</v>
      </c>
      <c r="I385" s="6">
        <v>40299</v>
      </c>
      <c r="J385" s="5" t="s">
        <v>279</v>
      </c>
      <c r="K385" s="5" t="s">
        <v>279</v>
      </c>
      <c r="L385" s="5" t="s">
        <v>324</v>
      </c>
      <c r="M385" s="7">
        <v>6</v>
      </c>
      <c r="N385" s="7" t="s">
        <v>176</v>
      </c>
      <c r="O385" s="8">
        <v>5956</v>
      </c>
      <c r="P385" s="9">
        <v>0.02</v>
      </c>
      <c r="Q385" s="10">
        <f t="shared" si="66"/>
        <v>119</v>
      </c>
      <c r="R385" s="9">
        <v>5.0000000000000001E-3</v>
      </c>
      <c r="S385" s="10">
        <f t="shared" si="67"/>
        <v>30</v>
      </c>
      <c r="T385" s="9">
        <f t="shared" si="68"/>
        <v>2.5016789791806583E-2</v>
      </c>
      <c r="U385" s="10">
        <f t="shared" si="69"/>
        <v>149</v>
      </c>
      <c r="V385" s="10">
        <f t="shared" si="70"/>
        <v>6105</v>
      </c>
      <c r="W385" s="11">
        <f>VLOOKUP(B385,[1]调薪计算!A:M,12,0)</f>
        <v>6194.24</v>
      </c>
      <c r="X385" s="12">
        <f t="shared" si="71"/>
        <v>238.23999999999978</v>
      </c>
      <c r="Y385" s="13">
        <f t="shared" si="72"/>
        <v>0.04</v>
      </c>
      <c r="Z385" s="14" t="str">
        <f t="shared" si="73"/>
        <v>0.00%-8.40%</v>
      </c>
      <c r="AA385" s="15"/>
      <c r="AB385" s="15"/>
      <c r="AC385" s="15"/>
      <c r="AD385" s="16"/>
      <c r="AE385" s="8">
        <f t="shared" si="74"/>
        <v>0</v>
      </c>
      <c r="AF385" s="17">
        <f t="shared" si="75"/>
        <v>6194.24</v>
      </c>
      <c r="AG385" s="18">
        <f t="shared" si="76"/>
        <v>238.23999999999978</v>
      </c>
      <c r="AH385" s="19">
        <f t="shared" si="77"/>
        <v>4.0000000000000036E-2</v>
      </c>
      <c r="AI385" s="20">
        <v>13.6</v>
      </c>
      <c r="AJ385" s="20">
        <v>500</v>
      </c>
      <c r="AK385" s="20"/>
      <c r="AL385" s="20">
        <v>688</v>
      </c>
      <c r="AM385" s="20">
        <f t="shared" si="78"/>
        <v>90929.66399999999</v>
      </c>
      <c r="AN385" s="7" t="s">
        <v>176</v>
      </c>
      <c r="AO385" s="20" t="s">
        <v>364</v>
      </c>
      <c r="AP385" s="21"/>
      <c r="AQ385" s="21"/>
      <c r="AR385" s="5" t="s">
        <v>751</v>
      </c>
      <c r="AS385" s="5" t="s">
        <v>164</v>
      </c>
      <c r="AT385" s="5" t="s">
        <v>59</v>
      </c>
      <c r="AU385" s="20"/>
      <c r="AV385" s="21"/>
      <c r="AW385" s="21"/>
      <c r="AX385" s="21"/>
    </row>
    <row r="386" spans="1:50" s="55" customFormat="1">
      <c r="A386" s="86" t="s">
        <v>318</v>
      </c>
      <c r="B386" s="5">
        <v>15014094</v>
      </c>
      <c r="C386" s="5" t="s">
        <v>759</v>
      </c>
      <c r="D386" s="5" t="s">
        <v>321</v>
      </c>
      <c r="E386" s="5" t="s">
        <v>52</v>
      </c>
      <c r="F386" s="5" t="s">
        <v>62</v>
      </c>
      <c r="G386" s="5" t="s">
        <v>207</v>
      </c>
      <c r="H386" s="5" t="s">
        <v>753</v>
      </c>
      <c r="I386" s="6">
        <v>42186</v>
      </c>
      <c r="J386" s="5" t="s">
        <v>279</v>
      </c>
      <c r="K386" s="5" t="s">
        <v>279</v>
      </c>
      <c r="L386" s="5" t="s">
        <v>324</v>
      </c>
      <c r="M386" s="7">
        <v>6</v>
      </c>
      <c r="N386" s="7" t="s">
        <v>176</v>
      </c>
      <c r="O386" s="8">
        <v>6534</v>
      </c>
      <c r="P386" s="9">
        <v>0.02</v>
      </c>
      <c r="Q386" s="10">
        <f t="shared" si="66"/>
        <v>131</v>
      </c>
      <c r="R386" s="9">
        <v>5.0000000000000001E-3</v>
      </c>
      <c r="S386" s="10">
        <f t="shared" si="67"/>
        <v>33</v>
      </c>
      <c r="T386" s="9">
        <f t="shared" si="68"/>
        <v>2.509947964493419E-2</v>
      </c>
      <c r="U386" s="10">
        <f t="shared" si="69"/>
        <v>164</v>
      </c>
      <c r="V386" s="10">
        <f t="shared" si="70"/>
        <v>6698</v>
      </c>
      <c r="W386" s="11">
        <f>VLOOKUP(B386,[1]调薪计算!A:M,12,0)</f>
        <v>6697.3499999999995</v>
      </c>
      <c r="X386" s="12">
        <f t="shared" si="71"/>
        <v>163.34999999999945</v>
      </c>
      <c r="Y386" s="13">
        <f t="shared" si="72"/>
        <v>2.5000000000000001E-2</v>
      </c>
      <c r="Z386" s="14" t="str">
        <f t="shared" si="73"/>
        <v>0.00%-8.40%</v>
      </c>
      <c r="AA386" s="15"/>
      <c r="AB386" s="15"/>
      <c r="AC386" s="15"/>
      <c r="AD386" s="16"/>
      <c r="AE386" s="8">
        <f t="shared" si="74"/>
        <v>0</v>
      </c>
      <c r="AF386" s="17">
        <f t="shared" si="75"/>
        <v>6697.3499999999995</v>
      </c>
      <c r="AG386" s="18">
        <f t="shared" si="76"/>
        <v>163.34999999999945</v>
      </c>
      <c r="AH386" s="19">
        <f t="shared" si="77"/>
        <v>2.4999999999999911E-2</v>
      </c>
      <c r="AI386" s="20">
        <v>13.6</v>
      </c>
      <c r="AJ386" s="20">
        <v>500</v>
      </c>
      <c r="AK386" s="20"/>
      <c r="AL386" s="20">
        <v>688</v>
      </c>
      <c r="AM386" s="20">
        <f t="shared" si="78"/>
        <v>97771.959999999992</v>
      </c>
      <c r="AN386" s="7" t="s">
        <v>176</v>
      </c>
      <c r="AO386" s="20"/>
      <c r="AP386" s="21"/>
      <c r="AQ386" s="21"/>
      <c r="AR386" s="5" t="s">
        <v>751</v>
      </c>
      <c r="AS386" s="5" t="s">
        <v>164</v>
      </c>
      <c r="AT386" s="5" t="s">
        <v>59</v>
      </c>
      <c r="AU386" s="20"/>
      <c r="AV386" s="21"/>
      <c r="AW386" s="21"/>
      <c r="AX386" s="21"/>
    </row>
    <row r="387" spans="1:50" s="55" customFormat="1">
      <c r="A387" s="86" t="s">
        <v>318</v>
      </c>
      <c r="B387" s="5">
        <v>15000453</v>
      </c>
      <c r="C387" s="5" t="s">
        <v>760</v>
      </c>
      <c r="D387" s="5" t="s">
        <v>321</v>
      </c>
      <c r="E387" s="5" t="s">
        <v>52</v>
      </c>
      <c r="F387" s="5" t="s">
        <v>62</v>
      </c>
      <c r="G387" s="5" t="s">
        <v>207</v>
      </c>
      <c r="H387" s="5" t="s">
        <v>753</v>
      </c>
      <c r="I387" s="6">
        <v>38808</v>
      </c>
      <c r="J387" s="5" t="s">
        <v>279</v>
      </c>
      <c r="K387" s="5" t="s">
        <v>279</v>
      </c>
      <c r="L387" s="5" t="s">
        <v>324</v>
      </c>
      <c r="M387" s="7">
        <v>6</v>
      </c>
      <c r="N387" s="7" t="s">
        <v>176</v>
      </c>
      <c r="O387" s="8">
        <v>6000</v>
      </c>
      <c r="P387" s="9">
        <v>0.02</v>
      </c>
      <c r="Q387" s="10">
        <f t="shared" si="66"/>
        <v>120</v>
      </c>
      <c r="R387" s="9">
        <v>5.0000000000000001E-3</v>
      </c>
      <c r="S387" s="10">
        <f t="shared" si="67"/>
        <v>30</v>
      </c>
      <c r="T387" s="9">
        <f t="shared" si="68"/>
        <v>2.5000000000000001E-2</v>
      </c>
      <c r="U387" s="10">
        <f t="shared" si="69"/>
        <v>150</v>
      </c>
      <c r="V387" s="10">
        <f t="shared" si="70"/>
        <v>6150</v>
      </c>
      <c r="W387" s="11">
        <f>VLOOKUP(B387,[1]调薪计算!A:M,12,0)</f>
        <v>6270</v>
      </c>
      <c r="X387" s="12">
        <f t="shared" si="71"/>
        <v>270</v>
      </c>
      <c r="Y387" s="13">
        <f t="shared" si="72"/>
        <v>4.4999999999999998E-2</v>
      </c>
      <c r="Z387" s="14" t="str">
        <f t="shared" si="73"/>
        <v>0.00%-8.40%</v>
      </c>
      <c r="AA387" s="15"/>
      <c r="AB387" s="15"/>
      <c r="AC387" s="15"/>
      <c r="AD387" s="16"/>
      <c r="AE387" s="8">
        <f t="shared" si="74"/>
        <v>0</v>
      </c>
      <c r="AF387" s="17">
        <f t="shared" si="75"/>
        <v>6270</v>
      </c>
      <c r="AG387" s="18">
        <f t="shared" si="76"/>
        <v>270</v>
      </c>
      <c r="AH387" s="19">
        <f t="shared" si="77"/>
        <v>4.4999999999999929E-2</v>
      </c>
      <c r="AI387" s="20">
        <v>13.6</v>
      </c>
      <c r="AJ387" s="20">
        <v>500</v>
      </c>
      <c r="AK387" s="20"/>
      <c r="AL387" s="20">
        <v>688</v>
      </c>
      <c r="AM387" s="20">
        <f t="shared" si="78"/>
        <v>91960</v>
      </c>
      <c r="AN387" s="7" t="s">
        <v>176</v>
      </c>
      <c r="AO387" s="20"/>
      <c r="AP387" s="21"/>
      <c r="AQ387" s="21"/>
      <c r="AR387" s="5" t="s">
        <v>751</v>
      </c>
      <c r="AS387" s="5" t="s">
        <v>164</v>
      </c>
      <c r="AT387" s="5" t="s">
        <v>59</v>
      </c>
      <c r="AU387" s="20"/>
      <c r="AV387" s="21"/>
      <c r="AW387" s="21"/>
      <c r="AX387" s="21"/>
    </row>
    <row r="388" spans="1:50" s="55" customFormat="1">
      <c r="A388" s="86" t="s">
        <v>318</v>
      </c>
      <c r="B388" s="5">
        <v>15001961</v>
      </c>
      <c r="C388" s="5" t="s">
        <v>761</v>
      </c>
      <c r="D388" s="5" t="s">
        <v>321</v>
      </c>
      <c r="E388" s="5" t="s">
        <v>52</v>
      </c>
      <c r="F388" s="5" t="s">
        <v>62</v>
      </c>
      <c r="G388" s="5" t="s">
        <v>207</v>
      </c>
      <c r="H388" s="5" t="s">
        <v>753</v>
      </c>
      <c r="I388" s="6">
        <v>39688</v>
      </c>
      <c r="J388" s="5" t="s">
        <v>279</v>
      </c>
      <c r="K388" s="5" t="s">
        <v>279</v>
      </c>
      <c r="L388" s="5" t="s">
        <v>324</v>
      </c>
      <c r="M388" s="7">
        <v>6</v>
      </c>
      <c r="N388" s="7" t="s">
        <v>176</v>
      </c>
      <c r="O388" s="8">
        <v>6490</v>
      </c>
      <c r="P388" s="9">
        <v>0.02</v>
      </c>
      <c r="Q388" s="10">
        <f t="shared" si="66"/>
        <v>130</v>
      </c>
      <c r="R388" s="9">
        <v>5.0000000000000001E-3</v>
      </c>
      <c r="S388" s="10">
        <f t="shared" si="67"/>
        <v>32</v>
      </c>
      <c r="T388" s="9">
        <f t="shared" si="68"/>
        <v>2.4961479198767334E-2</v>
      </c>
      <c r="U388" s="10">
        <f t="shared" si="69"/>
        <v>162</v>
      </c>
      <c r="V388" s="10">
        <f t="shared" si="70"/>
        <v>6652</v>
      </c>
      <c r="W388" s="11">
        <f>VLOOKUP(B388,[1]调薪计算!A:M,12,0)</f>
        <v>6554.9</v>
      </c>
      <c r="X388" s="12">
        <f t="shared" si="71"/>
        <v>64.899999999999636</v>
      </c>
      <c r="Y388" s="13">
        <f t="shared" si="72"/>
        <v>0.01</v>
      </c>
      <c r="Z388" s="14" t="str">
        <f t="shared" si="73"/>
        <v>0.00%-8.40%</v>
      </c>
      <c r="AA388" s="15"/>
      <c r="AB388" s="15"/>
      <c r="AC388" s="15"/>
      <c r="AD388" s="16"/>
      <c r="AE388" s="8">
        <f t="shared" si="74"/>
        <v>0</v>
      </c>
      <c r="AF388" s="17">
        <f t="shared" si="75"/>
        <v>6554.9</v>
      </c>
      <c r="AG388" s="18">
        <f t="shared" si="76"/>
        <v>64.899999999999636</v>
      </c>
      <c r="AH388" s="19">
        <f t="shared" si="77"/>
        <v>1.0000000000000009E-2</v>
      </c>
      <c r="AI388" s="20">
        <v>13.6</v>
      </c>
      <c r="AJ388" s="20">
        <v>500</v>
      </c>
      <c r="AK388" s="20"/>
      <c r="AL388" s="20">
        <v>688</v>
      </c>
      <c r="AM388" s="20">
        <f t="shared" si="78"/>
        <v>95834.64</v>
      </c>
      <c r="AN388" s="7" t="s">
        <v>176</v>
      </c>
      <c r="AO388" s="20"/>
      <c r="AP388" s="21"/>
      <c r="AQ388" s="21"/>
      <c r="AR388" s="5" t="s">
        <v>751</v>
      </c>
      <c r="AS388" s="5" t="s">
        <v>164</v>
      </c>
      <c r="AT388" s="5" t="s">
        <v>59</v>
      </c>
      <c r="AU388" s="20"/>
      <c r="AV388" s="21"/>
      <c r="AW388" s="21"/>
      <c r="AX388" s="21"/>
    </row>
    <row r="389" spans="1:50" s="55" customFormat="1">
      <c r="A389" s="86" t="s">
        <v>318</v>
      </c>
      <c r="B389" s="5">
        <v>15014361</v>
      </c>
      <c r="C389" s="5" t="s">
        <v>762</v>
      </c>
      <c r="D389" s="5" t="s">
        <v>321</v>
      </c>
      <c r="E389" s="5" t="s">
        <v>52</v>
      </c>
      <c r="F389" s="5" t="s">
        <v>62</v>
      </c>
      <c r="G389" s="5" t="s">
        <v>207</v>
      </c>
      <c r="H389" s="5" t="s">
        <v>753</v>
      </c>
      <c r="I389" s="6">
        <v>42248</v>
      </c>
      <c r="J389" s="5" t="s">
        <v>279</v>
      </c>
      <c r="K389" s="5" t="s">
        <v>279</v>
      </c>
      <c r="L389" s="5" t="s">
        <v>324</v>
      </c>
      <c r="M389" s="7">
        <v>6</v>
      </c>
      <c r="N389" s="7" t="s">
        <v>176</v>
      </c>
      <c r="O389" s="8">
        <v>5656</v>
      </c>
      <c r="P389" s="9">
        <v>0.02</v>
      </c>
      <c r="Q389" s="10">
        <f t="shared" si="66"/>
        <v>113</v>
      </c>
      <c r="R389" s="9">
        <v>5.0000000000000001E-3</v>
      </c>
      <c r="S389" s="10">
        <f t="shared" si="67"/>
        <v>28</v>
      </c>
      <c r="T389" s="9">
        <f t="shared" si="68"/>
        <v>2.492927864214993E-2</v>
      </c>
      <c r="U389" s="10">
        <f t="shared" si="69"/>
        <v>141</v>
      </c>
      <c r="V389" s="10">
        <f t="shared" si="70"/>
        <v>5797</v>
      </c>
      <c r="W389" s="11">
        <f>VLOOKUP(B389,[1]调薪计算!A:M,12,0)</f>
        <v>6001.0159999999996</v>
      </c>
      <c r="X389" s="12">
        <f t="shared" si="71"/>
        <v>345.01599999999962</v>
      </c>
      <c r="Y389" s="13">
        <f t="shared" si="72"/>
        <v>6.0999999999999999E-2</v>
      </c>
      <c r="Z389" s="14" t="str">
        <f t="shared" si="73"/>
        <v>0.00%-8.40%</v>
      </c>
      <c r="AA389" s="15"/>
      <c r="AB389" s="15"/>
      <c r="AC389" s="15"/>
      <c r="AD389" s="16"/>
      <c r="AE389" s="8">
        <f t="shared" si="74"/>
        <v>0</v>
      </c>
      <c r="AF389" s="17">
        <f t="shared" si="75"/>
        <v>6001.0159999999996</v>
      </c>
      <c r="AG389" s="18">
        <f t="shared" si="76"/>
        <v>345.01599999999962</v>
      </c>
      <c r="AH389" s="19">
        <f t="shared" si="77"/>
        <v>6.0999999999999943E-2</v>
      </c>
      <c r="AI389" s="20">
        <v>13.6</v>
      </c>
      <c r="AJ389" s="20">
        <v>500</v>
      </c>
      <c r="AK389" s="20"/>
      <c r="AL389" s="20">
        <v>688</v>
      </c>
      <c r="AM389" s="20">
        <f t="shared" si="78"/>
        <v>88301.817599999995</v>
      </c>
      <c r="AN389" s="7" t="s">
        <v>176</v>
      </c>
      <c r="AO389" s="20"/>
      <c r="AP389" s="21"/>
      <c r="AQ389" s="21"/>
      <c r="AR389" s="5" t="s">
        <v>751</v>
      </c>
      <c r="AS389" s="5" t="s">
        <v>164</v>
      </c>
      <c r="AT389" s="5" t="s">
        <v>59</v>
      </c>
      <c r="AU389" s="20"/>
      <c r="AV389" s="21"/>
      <c r="AW389" s="21"/>
      <c r="AX389" s="21"/>
    </row>
    <row r="390" spans="1:50" s="55" customFormat="1">
      <c r="A390" s="86" t="s">
        <v>318</v>
      </c>
      <c r="B390" s="5">
        <v>15007741</v>
      </c>
      <c r="C390" s="5" t="s">
        <v>763</v>
      </c>
      <c r="D390" s="5" t="s">
        <v>321</v>
      </c>
      <c r="E390" s="5" t="s">
        <v>52</v>
      </c>
      <c r="F390" s="5" t="s">
        <v>62</v>
      </c>
      <c r="G390" s="5" t="s">
        <v>207</v>
      </c>
      <c r="H390" s="5" t="s">
        <v>753</v>
      </c>
      <c r="I390" s="6">
        <v>41244</v>
      </c>
      <c r="J390" s="5" t="s">
        <v>279</v>
      </c>
      <c r="K390" s="5" t="s">
        <v>279</v>
      </c>
      <c r="L390" s="5" t="s">
        <v>324</v>
      </c>
      <c r="M390" s="7">
        <v>6</v>
      </c>
      <c r="N390" s="7" t="s">
        <v>176</v>
      </c>
      <c r="O390" s="8">
        <v>6087</v>
      </c>
      <c r="P390" s="9">
        <v>0.02</v>
      </c>
      <c r="Q390" s="10">
        <f t="shared" si="66"/>
        <v>122</v>
      </c>
      <c r="R390" s="9">
        <v>5.0000000000000001E-3</v>
      </c>
      <c r="S390" s="10">
        <f t="shared" si="67"/>
        <v>30</v>
      </c>
      <c r="T390" s="9">
        <f t="shared" si="68"/>
        <v>2.4971250205355677E-2</v>
      </c>
      <c r="U390" s="10">
        <f t="shared" si="69"/>
        <v>152</v>
      </c>
      <c r="V390" s="10">
        <f t="shared" si="70"/>
        <v>6239</v>
      </c>
      <c r="W390" s="11">
        <f>VLOOKUP(B390,[1]调薪计算!A:M,12,0)</f>
        <v>6147.87</v>
      </c>
      <c r="X390" s="12">
        <f t="shared" si="71"/>
        <v>60.869999999999891</v>
      </c>
      <c r="Y390" s="13">
        <f t="shared" si="72"/>
        <v>0.01</v>
      </c>
      <c r="Z390" s="14" t="str">
        <f t="shared" si="73"/>
        <v>0.00%-8.40%</v>
      </c>
      <c r="AA390" s="15"/>
      <c r="AB390" s="15"/>
      <c r="AC390" s="15"/>
      <c r="AD390" s="16"/>
      <c r="AE390" s="8">
        <f t="shared" si="74"/>
        <v>0</v>
      </c>
      <c r="AF390" s="17">
        <f t="shared" si="75"/>
        <v>6147.87</v>
      </c>
      <c r="AG390" s="18">
        <f t="shared" si="76"/>
        <v>60.869999999999891</v>
      </c>
      <c r="AH390" s="19">
        <f t="shared" si="77"/>
        <v>1.0000000000000009E-2</v>
      </c>
      <c r="AI390" s="20">
        <v>13.6</v>
      </c>
      <c r="AJ390" s="20">
        <v>500</v>
      </c>
      <c r="AK390" s="20"/>
      <c r="AL390" s="20">
        <v>688</v>
      </c>
      <c r="AM390" s="20">
        <f t="shared" si="78"/>
        <v>90299.031999999992</v>
      </c>
      <c r="AN390" s="7" t="s">
        <v>176</v>
      </c>
      <c r="AO390" s="20"/>
      <c r="AP390" s="21"/>
      <c r="AQ390" s="21"/>
      <c r="AR390" s="5" t="s">
        <v>751</v>
      </c>
      <c r="AS390" s="5" t="s">
        <v>164</v>
      </c>
      <c r="AT390" s="5" t="s">
        <v>59</v>
      </c>
      <c r="AU390" s="20"/>
      <c r="AV390" s="21"/>
      <c r="AW390" s="21"/>
      <c r="AX390" s="21"/>
    </row>
    <row r="391" spans="1:50" s="55" customFormat="1">
      <c r="A391" s="86" t="s">
        <v>318</v>
      </c>
      <c r="B391" s="5">
        <v>15014970</v>
      </c>
      <c r="C391" s="5" t="s">
        <v>764</v>
      </c>
      <c r="D391" s="5" t="s">
        <v>321</v>
      </c>
      <c r="E391" s="5" t="s">
        <v>52</v>
      </c>
      <c r="F391" s="5" t="s">
        <v>62</v>
      </c>
      <c r="G391" s="5" t="s">
        <v>207</v>
      </c>
      <c r="H391" s="5" t="s">
        <v>753</v>
      </c>
      <c r="I391" s="6">
        <v>42370</v>
      </c>
      <c r="J391" s="5" t="s">
        <v>279</v>
      </c>
      <c r="K391" s="5" t="s">
        <v>279</v>
      </c>
      <c r="L391" s="5" t="s">
        <v>324</v>
      </c>
      <c r="M391" s="7">
        <v>6</v>
      </c>
      <c r="N391" s="7" t="s">
        <v>176</v>
      </c>
      <c r="O391" s="8">
        <v>6104</v>
      </c>
      <c r="P391" s="9">
        <v>0.02</v>
      </c>
      <c r="Q391" s="10">
        <f t="shared" si="66"/>
        <v>122</v>
      </c>
      <c r="R391" s="9">
        <v>5.0000000000000001E-3</v>
      </c>
      <c r="S391" s="10">
        <f t="shared" si="67"/>
        <v>31</v>
      </c>
      <c r="T391" s="9">
        <f t="shared" si="68"/>
        <v>2.5065530799475752E-2</v>
      </c>
      <c r="U391" s="10">
        <f t="shared" si="69"/>
        <v>153</v>
      </c>
      <c r="V391" s="10">
        <f t="shared" si="70"/>
        <v>6257</v>
      </c>
      <c r="W391" s="11">
        <f>VLOOKUP(B391,[1]调薪计算!A:M,12,0)</f>
        <v>6470.2400000000007</v>
      </c>
      <c r="X391" s="12">
        <f t="shared" si="71"/>
        <v>366.24000000000069</v>
      </c>
      <c r="Y391" s="13">
        <f t="shared" si="72"/>
        <v>0.06</v>
      </c>
      <c r="Z391" s="14" t="str">
        <f t="shared" si="73"/>
        <v>0.00%-8.40%</v>
      </c>
      <c r="AA391" s="15"/>
      <c r="AB391" s="15"/>
      <c r="AC391" s="15"/>
      <c r="AD391" s="16"/>
      <c r="AE391" s="8">
        <f t="shared" si="74"/>
        <v>0</v>
      </c>
      <c r="AF391" s="17">
        <f t="shared" si="75"/>
        <v>6470.2400000000007</v>
      </c>
      <c r="AG391" s="18">
        <f t="shared" si="76"/>
        <v>366.24000000000069</v>
      </c>
      <c r="AH391" s="19">
        <f t="shared" si="77"/>
        <v>6.0000000000000053E-2</v>
      </c>
      <c r="AI391" s="20">
        <v>13.6</v>
      </c>
      <c r="AJ391" s="20">
        <v>500</v>
      </c>
      <c r="AK391" s="20"/>
      <c r="AL391" s="20">
        <v>688</v>
      </c>
      <c r="AM391" s="20">
        <f t="shared" si="78"/>
        <v>94683.26400000001</v>
      </c>
      <c r="AN391" s="7" t="s">
        <v>176</v>
      </c>
      <c r="AO391" s="20"/>
      <c r="AP391" s="21"/>
      <c r="AQ391" s="21"/>
      <c r="AR391" s="5" t="s">
        <v>751</v>
      </c>
      <c r="AS391" s="5" t="s">
        <v>164</v>
      </c>
      <c r="AT391" s="5" t="s">
        <v>59</v>
      </c>
      <c r="AU391" s="20"/>
      <c r="AV391" s="21"/>
      <c r="AW391" s="21"/>
      <c r="AX391" s="21"/>
    </row>
    <row r="392" spans="1:50" s="55" customFormat="1">
      <c r="A392" s="86" t="s">
        <v>318</v>
      </c>
      <c r="B392" s="5">
        <v>15002037</v>
      </c>
      <c r="C392" s="5" t="s">
        <v>765</v>
      </c>
      <c r="D392" s="5" t="s">
        <v>321</v>
      </c>
      <c r="E392" s="5" t="s">
        <v>52</v>
      </c>
      <c r="F392" s="5" t="s">
        <v>62</v>
      </c>
      <c r="G392" s="5" t="s">
        <v>207</v>
      </c>
      <c r="H392" s="5" t="s">
        <v>750</v>
      </c>
      <c r="I392" s="6">
        <v>41487</v>
      </c>
      <c r="J392" s="5" t="s">
        <v>336</v>
      </c>
      <c r="K392" s="5" t="s">
        <v>766</v>
      </c>
      <c r="L392" s="5" t="s">
        <v>324</v>
      </c>
      <c r="M392" s="7">
        <v>6</v>
      </c>
      <c r="N392" s="7" t="s">
        <v>176</v>
      </c>
      <c r="O392" s="8">
        <v>6820</v>
      </c>
      <c r="P392" s="9">
        <v>0.02</v>
      </c>
      <c r="Q392" s="10">
        <f t="shared" si="66"/>
        <v>136</v>
      </c>
      <c r="R392" s="9">
        <v>5.0000000000000001E-3</v>
      </c>
      <c r="S392" s="10">
        <f t="shared" si="67"/>
        <v>34</v>
      </c>
      <c r="T392" s="9">
        <f t="shared" si="68"/>
        <v>2.4926686217008796E-2</v>
      </c>
      <c r="U392" s="10">
        <f t="shared" si="69"/>
        <v>170</v>
      </c>
      <c r="V392" s="10">
        <f t="shared" si="70"/>
        <v>6990</v>
      </c>
      <c r="W392" s="11">
        <f>VLOOKUP(B392,[1]调薪计算!A:M,12,0)</f>
        <v>6854.0999999999995</v>
      </c>
      <c r="X392" s="12">
        <f t="shared" si="71"/>
        <v>34.099999999999454</v>
      </c>
      <c r="Y392" s="13">
        <f t="shared" si="72"/>
        <v>5.0000000000000001E-3</v>
      </c>
      <c r="Z392" s="14" t="str">
        <f t="shared" si="73"/>
        <v>0.00%-8.40%</v>
      </c>
      <c r="AA392" s="15"/>
      <c r="AB392" s="15"/>
      <c r="AC392" s="15"/>
      <c r="AD392" s="16"/>
      <c r="AE392" s="8">
        <f t="shared" si="74"/>
        <v>0</v>
      </c>
      <c r="AF392" s="17">
        <f t="shared" si="75"/>
        <v>6854.0999999999995</v>
      </c>
      <c r="AG392" s="18">
        <f t="shared" si="76"/>
        <v>34.099999999999454</v>
      </c>
      <c r="AH392" s="19">
        <f t="shared" si="77"/>
        <v>4.9999999999998934E-3</v>
      </c>
      <c r="AI392" s="20">
        <v>13.6</v>
      </c>
      <c r="AJ392" s="20">
        <v>450</v>
      </c>
      <c r="AK392" s="20"/>
      <c r="AL392" s="20">
        <v>688</v>
      </c>
      <c r="AM392" s="20">
        <f t="shared" si="78"/>
        <v>99303.76</v>
      </c>
      <c r="AN392" s="7" t="s">
        <v>176</v>
      </c>
      <c r="AO392" s="20"/>
      <c r="AP392" s="21"/>
      <c r="AQ392" s="21"/>
      <c r="AR392" s="5" t="s">
        <v>751</v>
      </c>
      <c r="AS392" s="5" t="s">
        <v>164</v>
      </c>
      <c r="AT392" s="5" t="s">
        <v>59</v>
      </c>
      <c r="AU392" s="20"/>
      <c r="AV392" s="21"/>
      <c r="AW392" s="21"/>
      <c r="AX392" s="21"/>
    </row>
    <row r="393" spans="1:50" s="55" customFormat="1">
      <c r="A393" s="86" t="s">
        <v>318</v>
      </c>
      <c r="B393" s="5">
        <v>15018074</v>
      </c>
      <c r="C393" s="5" t="s">
        <v>767</v>
      </c>
      <c r="D393" s="5" t="s">
        <v>321</v>
      </c>
      <c r="E393" s="5" t="s">
        <v>52</v>
      </c>
      <c r="F393" s="5" t="s">
        <v>62</v>
      </c>
      <c r="G393" s="5" t="s">
        <v>207</v>
      </c>
      <c r="H393" s="5" t="s">
        <v>753</v>
      </c>
      <c r="I393" s="6">
        <v>43132</v>
      </c>
      <c r="J393" s="5" t="s">
        <v>279</v>
      </c>
      <c r="K393" s="5" t="s">
        <v>279</v>
      </c>
      <c r="L393" s="5" t="s">
        <v>324</v>
      </c>
      <c r="M393" s="7">
        <v>6</v>
      </c>
      <c r="N393" s="7" t="s">
        <v>176</v>
      </c>
      <c r="O393" s="8">
        <v>6003</v>
      </c>
      <c r="P393" s="9">
        <v>0.02</v>
      </c>
      <c r="Q393" s="10">
        <f t="shared" ref="Q393:Q456" si="79">ROUND(O393*P393,0)</f>
        <v>120</v>
      </c>
      <c r="R393" s="9">
        <v>5.0000000000000001E-3</v>
      </c>
      <c r="S393" s="10">
        <f t="shared" ref="S393:S456" si="80">ROUND(O393*R393,0)</f>
        <v>30</v>
      </c>
      <c r="T393" s="9">
        <f t="shared" ref="T393:T456" si="81">U393/O393</f>
        <v>2.498750624687656E-2</v>
      </c>
      <c r="U393" s="10">
        <f t="shared" ref="U393:U456" si="82">Q393+S393</f>
        <v>150</v>
      </c>
      <c r="V393" s="10">
        <f t="shared" ref="V393:V456" si="83">O393+U393</f>
        <v>6153</v>
      </c>
      <c r="W393" s="11">
        <f>VLOOKUP(B393,[1]调薪计算!A:M,12,0)</f>
        <v>6153.0749999999998</v>
      </c>
      <c r="X393" s="12">
        <f t="shared" ref="X393:X456" si="84">W393-O393</f>
        <v>150.07499999999982</v>
      </c>
      <c r="Y393" s="13">
        <f t="shared" ref="Y393:Y456" si="85">ROUND(W393/O393-1,4)</f>
        <v>2.5000000000000001E-2</v>
      </c>
      <c r="Z393" s="14" t="str">
        <f t="shared" ref="Z393:Z456" si="86">IF(OR(M393=1,M393=2,M393=4),TEXT(T393*0.8,"0.00%")&amp;"-"&amp;TEXT(T393*1.2,"0.00%"),IF(OR(M393=3,M393=6),TEXT(0,"0.00%")&amp;"-"&amp;TEXT(7%*1.2,"0.00%"),IF(OR(M393=5,M393=7),TEXT((S393/O393),"0.00%")&amp;"-"&amp;TEXT((S393/O393)+7%,"0.00%"),"")))</f>
        <v>0.00%-8.40%</v>
      </c>
      <c r="AA393" s="15"/>
      <c r="AB393" s="15"/>
      <c r="AC393" s="15"/>
      <c r="AD393" s="16"/>
      <c r="AE393" s="8">
        <f t="shared" ref="AE393:AE456" si="87">ROUND(O393*AD393,0)</f>
        <v>0</v>
      </c>
      <c r="AF393" s="17">
        <f t="shared" ref="AF393:AF456" si="88">W393+AE393</f>
        <v>6153.0749999999998</v>
      </c>
      <c r="AG393" s="18">
        <f t="shared" ref="AG393:AG456" si="89">AF393-O393</f>
        <v>150.07499999999982</v>
      </c>
      <c r="AH393" s="19">
        <f t="shared" ref="AH393:AH456" si="90">AF393/O393-1</f>
        <v>2.4999999999999911E-2</v>
      </c>
      <c r="AI393" s="20">
        <v>13.6</v>
      </c>
      <c r="AJ393" s="20">
        <v>500</v>
      </c>
      <c r="AK393" s="20"/>
      <c r="AL393" s="20">
        <v>688</v>
      </c>
      <c r="AM393" s="20">
        <f t="shared" ref="AM393:AM456" si="91">AF393*AI393+AJ393*12+AL393+IF(AC393="",AK393,IF(AC393="D",5000,IF(AC393="C",1000,0)))*12</f>
        <v>90369.819999999992</v>
      </c>
      <c r="AN393" s="7" t="s">
        <v>176</v>
      </c>
      <c r="AO393" s="20"/>
      <c r="AP393" s="21"/>
      <c r="AQ393" s="21"/>
      <c r="AR393" s="5" t="s">
        <v>751</v>
      </c>
      <c r="AS393" s="5" t="s">
        <v>164</v>
      </c>
      <c r="AT393" s="5" t="s">
        <v>59</v>
      </c>
      <c r="AU393" s="20"/>
      <c r="AV393" s="21"/>
      <c r="AW393" s="21"/>
      <c r="AX393" s="21"/>
    </row>
    <row r="394" spans="1:50" s="55" customFormat="1">
      <c r="A394" s="86" t="s">
        <v>318</v>
      </c>
      <c r="B394" s="5">
        <v>15012435</v>
      </c>
      <c r="C394" s="5" t="s">
        <v>768</v>
      </c>
      <c r="D394" s="5" t="s">
        <v>321</v>
      </c>
      <c r="E394" s="5" t="s">
        <v>52</v>
      </c>
      <c r="F394" s="5" t="s">
        <v>62</v>
      </c>
      <c r="G394" s="5" t="s">
        <v>207</v>
      </c>
      <c r="H394" s="5" t="s">
        <v>753</v>
      </c>
      <c r="I394" s="6">
        <v>41760</v>
      </c>
      <c r="J394" s="5" t="s">
        <v>279</v>
      </c>
      <c r="K394" s="5" t="s">
        <v>279</v>
      </c>
      <c r="L394" s="5" t="s">
        <v>324</v>
      </c>
      <c r="M394" s="7">
        <v>6</v>
      </c>
      <c r="N394" s="7" t="s">
        <v>176</v>
      </c>
      <c r="O394" s="8">
        <v>6173</v>
      </c>
      <c r="P394" s="9">
        <v>0.02</v>
      </c>
      <c r="Q394" s="10">
        <f t="shared" si="79"/>
        <v>123</v>
      </c>
      <c r="R394" s="9">
        <v>5.0000000000000001E-3</v>
      </c>
      <c r="S394" s="10">
        <f t="shared" si="80"/>
        <v>31</v>
      </c>
      <c r="T394" s="9">
        <f t="shared" si="81"/>
        <v>2.4947351368864411E-2</v>
      </c>
      <c r="U394" s="10">
        <f t="shared" si="82"/>
        <v>154</v>
      </c>
      <c r="V394" s="10">
        <f t="shared" si="83"/>
        <v>6327</v>
      </c>
      <c r="W394" s="11">
        <f>VLOOKUP(B394,[1]调薪计算!A:M,12,0)</f>
        <v>6450.7849999999999</v>
      </c>
      <c r="X394" s="12">
        <f t="shared" si="84"/>
        <v>277.78499999999985</v>
      </c>
      <c r="Y394" s="13">
        <f t="shared" si="85"/>
        <v>4.4999999999999998E-2</v>
      </c>
      <c r="Z394" s="14" t="str">
        <f t="shared" si="86"/>
        <v>0.00%-8.40%</v>
      </c>
      <c r="AA394" s="15"/>
      <c r="AB394" s="15"/>
      <c r="AC394" s="15"/>
      <c r="AD394" s="16"/>
      <c r="AE394" s="8">
        <f t="shared" si="87"/>
        <v>0</v>
      </c>
      <c r="AF394" s="17">
        <f t="shared" si="88"/>
        <v>6450.7849999999999</v>
      </c>
      <c r="AG394" s="18">
        <f t="shared" si="89"/>
        <v>277.78499999999985</v>
      </c>
      <c r="AH394" s="19">
        <f t="shared" si="90"/>
        <v>4.4999999999999929E-2</v>
      </c>
      <c r="AI394" s="20">
        <v>13.6</v>
      </c>
      <c r="AJ394" s="20">
        <v>500</v>
      </c>
      <c r="AK394" s="20"/>
      <c r="AL394" s="20">
        <v>688</v>
      </c>
      <c r="AM394" s="20">
        <f t="shared" si="91"/>
        <v>94418.675999999992</v>
      </c>
      <c r="AN394" s="7" t="s">
        <v>176</v>
      </c>
      <c r="AO394" s="20"/>
      <c r="AP394" s="21"/>
      <c r="AQ394" s="21"/>
      <c r="AR394" s="5" t="s">
        <v>751</v>
      </c>
      <c r="AS394" s="5" t="s">
        <v>164</v>
      </c>
      <c r="AT394" s="5" t="s">
        <v>59</v>
      </c>
      <c r="AU394" s="20"/>
      <c r="AV394" s="21"/>
      <c r="AW394" s="21"/>
      <c r="AX394" s="21"/>
    </row>
    <row r="395" spans="1:50" s="55" customFormat="1">
      <c r="A395" s="86" t="s">
        <v>318</v>
      </c>
      <c r="B395" s="5">
        <v>15004870</v>
      </c>
      <c r="C395" s="5" t="s">
        <v>769</v>
      </c>
      <c r="D395" s="5" t="s">
        <v>321</v>
      </c>
      <c r="E395" s="5" t="s">
        <v>52</v>
      </c>
      <c r="F395" s="5" t="s">
        <v>62</v>
      </c>
      <c r="G395" s="5" t="s">
        <v>207</v>
      </c>
      <c r="H395" s="5" t="s">
        <v>753</v>
      </c>
      <c r="I395" s="6">
        <v>40817</v>
      </c>
      <c r="J395" s="5" t="s">
        <v>279</v>
      </c>
      <c r="K395" s="5" t="s">
        <v>279</v>
      </c>
      <c r="L395" s="5" t="s">
        <v>324</v>
      </c>
      <c r="M395" s="7">
        <v>6</v>
      </c>
      <c r="N395" s="7" t="s">
        <v>176</v>
      </c>
      <c r="O395" s="8">
        <v>5964</v>
      </c>
      <c r="P395" s="9">
        <v>0.02</v>
      </c>
      <c r="Q395" s="10">
        <f t="shared" si="79"/>
        <v>119</v>
      </c>
      <c r="R395" s="9">
        <v>5.0000000000000001E-3</v>
      </c>
      <c r="S395" s="10">
        <f t="shared" si="80"/>
        <v>30</v>
      </c>
      <c r="T395" s="9">
        <f t="shared" si="81"/>
        <v>2.4983232729711601E-2</v>
      </c>
      <c r="U395" s="10">
        <f t="shared" si="82"/>
        <v>149</v>
      </c>
      <c r="V395" s="10">
        <f t="shared" si="83"/>
        <v>6113</v>
      </c>
      <c r="W395" s="11">
        <f>VLOOKUP(B395,[1]调薪计算!A:M,12,0)</f>
        <v>6113.0999999999995</v>
      </c>
      <c r="X395" s="12">
        <f t="shared" si="84"/>
        <v>149.09999999999945</v>
      </c>
      <c r="Y395" s="13">
        <f t="shared" si="85"/>
        <v>2.5000000000000001E-2</v>
      </c>
      <c r="Z395" s="14" t="str">
        <f t="shared" si="86"/>
        <v>0.00%-8.40%</v>
      </c>
      <c r="AA395" s="15"/>
      <c r="AB395" s="15"/>
      <c r="AC395" s="15"/>
      <c r="AD395" s="16"/>
      <c r="AE395" s="8">
        <f t="shared" si="87"/>
        <v>0</v>
      </c>
      <c r="AF395" s="17">
        <f t="shared" si="88"/>
        <v>6113.0999999999995</v>
      </c>
      <c r="AG395" s="18">
        <f t="shared" si="89"/>
        <v>149.09999999999945</v>
      </c>
      <c r="AH395" s="19">
        <f t="shared" si="90"/>
        <v>2.4999999999999911E-2</v>
      </c>
      <c r="AI395" s="20">
        <v>13.6</v>
      </c>
      <c r="AJ395" s="20">
        <v>500</v>
      </c>
      <c r="AK395" s="20"/>
      <c r="AL395" s="20">
        <v>688</v>
      </c>
      <c r="AM395" s="20">
        <f t="shared" si="91"/>
        <v>89826.159999999989</v>
      </c>
      <c r="AN395" s="7" t="s">
        <v>176</v>
      </c>
      <c r="AO395" s="20"/>
      <c r="AP395" s="21"/>
      <c r="AQ395" s="21"/>
      <c r="AR395" s="5" t="s">
        <v>751</v>
      </c>
      <c r="AS395" s="5" t="s">
        <v>164</v>
      </c>
      <c r="AT395" s="5" t="s">
        <v>59</v>
      </c>
      <c r="AU395" s="20"/>
      <c r="AV395" s="21"/>
      <c r="AW395" s="21"/>
      <c r="AX395" s="21"/>
    </row>
    <row r="396" spans="1:50" s="55" customFormat="1">
      <c r="A396" s="86" t="s">
        <v>318</v>
      </c>
      <c r="B396" s="5">
        <v>15003683</v>
      </c>
      <c r="C396" s="5" t="s">
        <v>770</v>
      </c>
      <c r="D396" s="5" t="s">
        <v>321</v>
      </c>
      <c r="E396" s="5" t="s">
        <v>52</v>
      </c>
      <c r="F396" s="5" t="s">
        <v>62</v>
      </c>
      <c r="G396" s="5" t="s">
        <v>207</v>
      </c>
      <c r="H396" s="5" t="s">
        <v>753</v>
      </c>
      <c r="I396" s="6">
        <v>40391</v>
      </c>
      <c r="J396" s="5" t="s">
        <v>279</v>
      </c>
      <c r="K396" s="5" t="s">
        <v>279</v>
      </c>
      <c r="L396" s="5" t="s">
        <v>324</v>
      </c>
      <c r="M396" s="7">
        <v>6</v>
      </c>
      <c r="N396" s="7" t="s">
        <v>176</v>
      </c>
      <c r="O396" s="8">
        <v>6087</v>
      </c>
      <c r="P396" s="9">
        <v>0.02</v>
      </c>
      <c r="Q396" s="10">
        <f t="shared" si="79"/>
        <v>122</v>
      </c>
      <c r="R396" s="9">
        <v>5.0000000000000001E-3</v>
      </c>
      <c r="S396" s="10">
        <f t="shared" si="80"/>
        <v>30</v>
      </c>
      <c r="T396" s="9">
        <f t="shared" si="81"/>
        <v>2.4971250205355677E-2</v>
      </c>
      <c r="U396" s="10">
        <f t="shared" si="82"/>
        <v>152</v>
      </c>
      <c r="V396" s="10">
        <f t="shared" si="83"/>
        <v>6239</v>
      </c>
      <c r="W396" s="11">
        <f>VLOOKUP(B396,[1]调薪计算!A:M,12,0)</f>
        <v>6239.1749999999993</v>
      </c>
      <c r="X396" s="12">
        <f t="shared" si="84"/>
        <v>152.17499999999927</v>
      </c>
      <c r="Y396" s="13">
        <f t="shared" si="85"/>
        <v>2.5000000000000001E-2</v>
      </c>
      <c r="Z396" s="14" t="str">
        <f t="shared" si="86"/>
        <v>0.00%-8.40%</v>
      </c>
      <c r="AA396" s="15"/>
      <c r="AB396" s="15"/>
      <c r="AC396" s="15"/>
      <c r="AD396" s="16"/>
      <c r="AE396" s="8">
        <f t="shared" si="87"/>
        <v>0</v>
      </c>
      <c r="AF396" s="17">
        <f t="shared" si="88"/>
        <v>6239.1749999999993</v>
      </c>
      <c r="AG396" s="18">
        <f t="shared" si="89"/>
        <v>152.17499999999927</v>
      </c>
      <c r="AH396" s="19">
        <f t="shared" si="90"/>
        <v>2.4999999999999911E-2</v>
      </c>
      <c r="AI396" s="20">
        <v>13.6</v>
      </c>
      <c r="AJ396" s="20">
        <v>500</v>
      </c>
      <c r="AK396" s="20"/>
      <c r="AL396" s="20">
        <v>688</v>
      </c>
      <c r="AM396" s="20">
        <f t="shared" si="91"/>
        <v>91540.779999999984</v>
      </c>
      <c r="AN396" s="7" t="s">
        <v>176</v>
      </c>
      <c r="AO396" s="20" t="s">
        <v>364</v>
      </c>
      <c r="AP396" s="21"/>
      <c r="AQ396" s="21"/>
      <c r="AR396" s="5" t="s">
        <v>751</v>
      </c>
      <c r="AS396" s="5" t="s">
        <v>164</v>
      </c>
      <c r="AT396" s="5" t="s">
        <v>59</v>
      </c>
      <c r="AU396" s="20"/>
      <c r="AV396" s="21"/>
      <c r="AW396" s="21"/>
      <c r="AX396" s="21"/>
    </row>
    <row r="397" spans="1:50" s="55" customFormat="1">
      <c r="A397" s="86" t="s">
        <v>318</v>
      </c>
      <c r="B397" s="5">
        <v>15020122</v>
      </c>
      <c r="C397" s="5" t="s">
        <v>771</v>
      </c>
      <c r="D397" s="5" t="s">
        <v>321</v>
      </c>
      <c r="E397" s="5" t="s">
        <v>52</v>
      </c>
      <c r="F397" s="5" t="s">
        <v>62</v>
      </c>
      <c r="G397" s="5" t="s">
        <v>207</v>
      </c>
      <c r="H397" s="5" t="s">
        <v>753</v>
      </c>
      <c r="I397" s="6">
        <v>44287</v>
      </c>
      <c r="J397" s="5" t="s">
        <v>279</v>
      </c>
      <c r="K397" s="5" t="s">
        <v>279</v>
      </c>
      <c r="L397" s="5" t="s">
        <v>324</v>
      </c>
      <c r="M397" s="7">
        <v>6</v>
      </c>
      <c r="N397" s="7" t="s">
        <v>176</v>
      </c>
      <c r="O397" s="8">
        <v>6602</v>
      </c>
      <c r="P397" s="9">
        <v>0.02</v>
      </c>
      <c r="Q397" s="10">
        <f t="shared" si="79"/>
        <v>132</v>
      </c>
      <c r="R397" s="9">
        <v>5.0000000000000001E-3</v>
      </c>
      <c r="S397" s="10">
        <f t="shared" si="80"/>
        <v>33</v>
      </c>
      <c r="T397" s="9">
        <f t="shared" si="81"/>
        <v>2.4992426537412904E-2</v>
      </c>
      <c r="U397" s="10">
        <f t="shared" si="82"/>
        <v>165</v>
      </c>
      <c r="V397" s="10">
        <f t="shared" si="83"/>
        <v>6767</v>
      </c>
      <c r="W397" s="11">
        <f>VLOOKUP(B397,[1]调薪计算!A:M,12,0)</f>
        <v>7064.14</v>
      </c>
      <c r="X397" s="12">
        <f t="shared" si="84"/>
        <v>462.14000000000033</v>
      </c>
      <c r="Y397" s="13">
        <f t="shared" si="85"/>
        <v>7.0000000000000007E-2</v>
      </c>
      <c r="Z397" s="14" t="str">
        <f t="shared" si="86"/>
        <v>0.00%-8.40%</v>
      </c>
      <c r="AA397" s="15"/>
      <c r="AB397" s="15"/>
      <c r="AC397" s="15"/>
      <c r="AD397" s="16"/>
      <c r="AE397" s="8">
        <f t="shared" si="87"/>
        <v>0</v>
      </c>
      <c r="AF397" s="17">
        <f t="shared" si="88"/>
        <v>7064.14</v>
      </c>
      <c r="AG397" s="18">
        <f t="shared" si="89"/>
        <v>462.14000000000033</v>
      </c>
      <c r="AH397" s="19">
        <f t="shared" si="90"/>
        <v>7.0000000000000062E-2</v>
      </c>
      <c r="AI397" s="20">
        <v>13.6</v>
      </c>
      <c r="AJ397" s="20">
        <v>500</v>
      </c>
      <c r="AK397" s="20"/>
      <c r="AL397" s="20">
        <v>688</v>
      </c>
      <c r="AM397" s="20">
        <f t="shared" si="91"/>
        <v>102760.304</v>
      </c>
      <c r="AN397" s="7" t="s">
        <v>176</v>
      </c>
      <c r="AO397" s="20"/>
      <c r="AP397" s="21"/>
      <c r="AQ397" s="21"/>
      <c r="AR397" s="5" t="s">
        <v>751</v>
      </c>
      <c r="AS397" s="5" t="s">
        <v>164</v>
      </c>
      <c r="AT397" s="5" t="s">
        <v>59</v>
      </c>
      <c r="AU397" s="20"/>
      <c r="AV397" s="21"/>
      <c r="AW397" s="21"/>
      <c r="AX397" s="21"/>
    </row>
    <row r="398" spans="1:50" s="55" customFormat="1">
      <c r="A398" s="86" t="s">
        <v>318</v>
      </c>
      <c r="B398" s="5">
        <v>15001861</v>
      </c>
      <c r="C398" s="5" t="s">
        <v>772</v>
      </c>
      <c r="D398" s="5" t="s">
        <v>321</v>
      </c>
      <c r="E398" s="5" t="s">
        <v>52</v>
      </c>
      <c r="F398" s="5" t="s">
        <v>62</v>
      </c>
      <c r="G398" s="5" t="s">
        <v>207</v>
      </c>
      <c r="H398" s="5" t="s">
        <v>753</v>
      </c>
      <c r="I398" s="6">
        <v>39657</v>
      </c>
      <c r="J398" s="5" t="s">
        <v>279</v>
      </c>
      <c r="K398" s="5" t="s">
        <v>279</v>
      </c>
      <c r="L398" s="5" t="s">
        <v>324</v>
      </c>
      <c r="M398" s="7">
        <v>6</v>
      </c>
      <c r="N398" s="7" t="s">
        <v>176</v>
      </c>
      <c r="O398" s="8">
        <v>7864</v>
      </c>
      <c r="P398" s="9">
        <v>0.02</v>
      </c>
      <c r="Q398" s="10">
        <f t="shared" si="79"/>
        <v>157</v>
      </c>
      <c r="R398" s="9">
        <v>5.0000000000000001E-3</v>
      </c>
      <c r="S398" s="10">
        <f t="shared" si="80"/>
        <v>39</v>
      </c>
      <c r="T398" s="9">
        <f t="shared" si="81"/>
        <v>2.4923702950152594E-2</v>
      </c>
      <c r="U398" s="10">
        <f t="shared" si="82"/>
        <v>196</v>
      </c>
      <c r="V398" s="10">
        <f t="shared" si="83"/>
        <v>8060</v>
      </c>
      <c r="W398" s="11">
        <f>VLOOKUP(B398,[1]调薪计算!A:M,12,0)</f>
        <v>8217.8799999999992</v>
      </c>
      <c r="X398" s="12">
        <f t="shared" si="84"/>
        <v>353.8799999999992</v>
      </c>
      <c r="Y398" s="13">
        <f t="shared" si="85"/>
        <v>4.4999999999999998E-2</v>
      </c>
      <c r="Z398" s="14" t="str">
        <f t="shared" si="86"/>
        <v>0.00%-8.40%</v>
      </c>
      <c r="AA398" s="15"/>
      <c r="AB398" s="15"/>
      <c r="AC398" s="15"/>
      <c r="AD398" s="16"/>
      <c r="AE398" s="8">
        <f t="shared" si="87"/>
        <v>0</v>
      </c>
      <c r="AF398" s="17">
        <f t="shared" si="88"/>
        <v>8217.8799999999992</v>
      </c>
      <c r="AG398" s="18">
        <f t="shared" si="89"/>
        <v>353.8799999999992</v>
      </c>
      <c r="AH398" s="19">
        <f t="shared" si="90"/>
        <v>4.4999999999999929E-2</v>
      </c>
      <c r="AI398" s="20">
        <v>13.6</v>
      </c>
      <c r="AJ398" s="20">
        <v>500</v>
      </c>
      <c r="AK398" s="20"/>
      <c r="AL398" s="20">
        <v>688</v>
      </c>
      <c r="AM398" s="20">
        <f t="shared" si="91"/>
        <v>118451.16799999999</v>
      </c>
      <c r="AN398" s="7" t="s">
        <v>176</v>
      </c>
      <c r="AO398" s="20"/>
      <c r="AP398" s="21"/>
      <c r="AQ398" s="21"/>
      <c r="AR398" s="5" t="s">
        <v>751</v>
      </c>
      <c r="AS398" s="5" t="s">
        <v>164</v>
      </c>
      <c r="AT398" s="5" t="s">
        <v>59</v>
      </c>
      <c r="AU398" s="20"/>
      <c r="AV398" s="21"/>
      <c r="AW398" s="21"/>
      <c r="AX398" s="21"/>
    </row>
    <row r="399" spans="1:50" s="55" customFormat="1">
      <c r="A399" s="86" t="s">
        <v>318</v>
      </c>
      <c r="B399" s="5">
        <v>15007513</v>
      </c>
      <c r="C399" s="5" t="s">
        <v>773</v>
      </c>
      <c r="D399" s="5" t="s">
        <v>321</v>
      </c>
      <c r="E399" s="5" t="s">
        <v>52</v>
      </c>
      <c r="F399" s="5" t="s">
        <v>62</v>
      </c>
      <c r="G399" s="5" t="s">
        <v>207</v>
      </c>
      <c r="H399" s="5" t="s">
        <v>753</v>
      </c>
      <c r="I399" s="6">
        <v>41153</v>
      </c>
      <c r="J399" s="5" t="s">
        <v>279</v>
      </c>
      <c r="K399" s="5" t="s">
        <v>279</v>
      </c>
      <c r="L399" s="5" t="s">
        <v>324</v>
      </c>
      <c r="M399" s="7">
        <v>6</v>
      </c>
      <c r="N399" s="7" t="s">
        <v>176</v>
      </c>
      <c r="O399" s="8">
        <v>5944</v>
      </c>
      <c r="P399" s="9">
        <v>0.02</v>
      </c>
      <c r="Q399" s="10">
        <f t="shared" si="79"/>
        <v>119</v>
      </c>
      <c r="R399" s="9">
        <v>5.0000000000000001E-3</v>
      </c>
      <c r="S399" s="10">
        <f t="shared" si="80"/>
        <v>30</v>
      </c>
      <c r="T399" s="9">
        <f t="shared" si="81"/>
        <v>2.5067294751009422E-2</v>
      </c>
      <c r="U399" s="10">
        <f t="shared" si="82"/>
        <v>149</v>
      </c>
      <c r="V399" s="10">
        <f t="shared" si="83"/>
        <v>6093</v>
      </c>
      <c r="W399" s="11">
        <f>VLOOKUP(B399,[1]调薪计算!A:M,12,0)</f>
        <v>6092.5999999999995</v>
      </c>
      <c r="X399" s="12">
        <f t="shared" si="84"/>
        <v>148.59999999999945</v>
      </c>
      <c r="Y399" s="13">
        <f t="shared" si="85"/>
        <v>2.5000000000000001E-2</v>
      </c>
      <c r="Z399" s="14" t="str">
        <f t="shared" si="86"/>
        <v>0.00%-8.40%</v>
      </c>
      <c r="AA399" s="15"/>
      <c r="AB399" s="15"/>
      <c r="AC399" s="15"/>
      <c r="AD399" s="16"/>
      <c r="AE399" s="8">
        <f t="shared" si="87"/>
        <v>0</v>
      </c>
      <c r="AF399" s="17">
        <f t="shared" si="88"/>
        <v>6092.5999999999995</v>
      </c>
      <c r="AG399" s="18">
        <f t="shared" si="89"/>
        <v>148.59999999999945</v>
      </c>
      <c r="AH399" s="19">
        <f t="shared" si="90"/>
        <v>2.4999999999999911E-2</v>
      </c>
      <c r="AI399" s="20">
        <v>13.6</v>
      </c>
      <c r="AJ399" s="20">
        <v>500</v>
      </c>
      <c r="AK399" s="20"/>
      <c r="AL399" s="20">
        <v>688</v>
      </c>
      <c r="AM399" s="20">
        <f t="shared" si="91"/>
        <v>89547.359999999986</v>
      </c>
      <c r="AN399" s="7" t="s">
        <v>176</v>
      </c>
      <c r="AO399" s="20"/>
      <c r="AP399" s="21"/>
      <c r="AQ399" s="21"/>
      <c r="AR399" s="5" t="s">
        <v>751</v>
      </c>
      <c r="AS399" s="5" t="s">
        <v>164</v>
      </c>
      <c r="AT399" s="5" t="s">
        <v>59</v>
      </c>
      <c r="AU399" s="20"/>
      <c r="AV399" s="21"/>
      <c r="AW399" s="21"/>
      <c r="AX399" s="21"/>
    </row>
    <row r="400" spans="1:50" s="55" customFormat="1">
      <c r="A400" s="86" t="s">
        <v>318</v>
      </c>
      <c r="B400" s="5">
        <v>15009207</v>
      </c>
      <c r="C400" s="5" t="s">
        <v>774</v>
      </c>
      <c r="D400" s="5" t="s">
        <v>321</v>
      </c>
      <c r="E400" s="5" t="s">
        <v>52</v>
      </c>
      <c r="F400" s="5" t="s">
        <v>62</v>
      </c>
      <c r="G400" s="5" t="s">
        <v>207</v>
      </c>
      <c r="H400" s="5" t="s">
        <v>750</v>
      </c>
      <c r="I400" s="6">
        <v>41487</v>
      </c>
      <c r="J400" s="5" t="s">
        <v>279</v>
      </c>
      <c r="K400" s="5" t="s">
        <v>279</v>
      </c>
      <c r="L400" s="5" t="s">
        <v>324</v>
      </c>
      <c r="M400" s="7">
        <v>6</v>
      </c>
      <c r="N400" s="7" t="s">
        <v>176</v>
      </c>
      <c r="O400" s="8">
        <v>7272</v>
      </c>
      <c r="P400" s="9">
        <v>0.02</v>
      </c>
      <c r="Q400" s="10">
        <f t="shared" si="79"/>
        <v>145</v>
      </c>
      <c r="R400" s="9">
        <v>5.0000000000000001E-3</v>
      </c>
      <c r="S400" s="10">
        <f t="shared" si="80"/>
        <v>36</v>
      </c>
      <c r="T400" s="9">
        <f t="shared" si="81"/>
        <v>2.4889988998899892E-2</v>
      </c>
      <c r="U400" s="10">
        <f t="shared" si="82"/>
        <v>181</v>
      </c>
      <c r="V400" s="10">
        <f t="shared" si="83"/>
        <v>7453</v>
      </c>
      <c r="W400" s="11">
        <f>VLOOKUP(B400,[1]调薪计算!A:M,12,0)</f>
        <v>7708.3200000000006</v>
      </c>
      <c r="X400" s="12">
        <f t="shared" si="84"/>
        <v>436.32000000000062</v>
      </c>
      <c r="Y400" s="13">
        <f t="shared" si="85"/>
        <v>0.06</v>
      </c>
      <c r="Z400" s="14" t="str">
        <f t="shared" si="86"/>
        <v>0.00%-8.40%</v>
      </c>
      <c r="AA400" s="15"/>
      <c r="AB400" s="15"/>
      <c r="AC400" s="15"/>
      <c r="AD400" s="16"/>
      <c r="AE400" s="8">
        <f t="shared" si="87"/>
        <v>0</v>
      </c>
      <c r="AF400" s="17">
        <f t="shared" si="88"/>
        <v>7708.3200000000006</v>
      </c>
      <c r="AG400" s="18">
        <f t="shared" si="89"/>
        <v>436.32000000000062</v>
      </c>
      <c r="AH400" s="19">
        <f t="shared" si="90"/>
        <v>6.0000000000000053E-2</v>
      </c>
      <c r="AI400" s="20">
        <v>13.6</v>
      </c>
      <c r="AJ400" s="20">
        <v>450</v>
      </c>
      <c r="AK400" s="20"/>
      <c r="AL400" s="20">
        <v>688</v>
      </c>
      <c r="AM400" s="20">
        <f t="shared" si="91"/>
        <v>110921.152</v>
      </c>
      <c r="AN400" s="7" t="s">
        <v>176</v>
      </c>
      <c r="AO400" s="20"/>
      <c r="AP400" s="21"/>
      <c r="AQ400" s="21"/>
      <c r="AR400" s="5" t="s">
        <v>751</v>
      </c>
      <c r="AS400" s="5" t="s">
        <v>164</v>
      </c>
      <c r="AT400" s="5" t="s">
        <v>59</v>
      </c>
      <c r="AU400" s="20"/>
      <c r="AV400" s="21"/>
      <c r="AW400" s="21"/>
      <c r="AX400" s="21"/>
    </row>
    <row r="401" spans="1:50" s="55" customFormat="1">
      <c r="A401" s="86" t="s">
        <v>318</v>
      </c>
      <c r="B401" s="5">
        <v>15006342</v>
      </c>
      <c r="C401" s="5" t="s">
        <v>775</v>
      </c>
      <c r="D401" s="5" t="s">
        <v>321</v>
      </c>
      <c r="E401" s="5" t="s">
        <v>52</v>
      </c>
      <c r="F401" s="5" t="s">
        <v>62</v>
      </c>
      <c r="G401" s="5" t="s">
        <v>207</v>
      </c>
      <c r="H401" s="5" t="s">
        <v>753</v>
      </c>
      <c r="I401" s="6">
        <v>40940</v>
      </c>
      <c r="J401" s="5" t="s">
        <v>279</v>
      </c>
      <c r="K401" s="5" t="s">
        <v>279</v>
      </c>
      <c r="L401" s="5" t="s">
        <v>324</v>
      </c>
      <c r="M401" s="7">
        <v>6</v>
      </c>
      <c r="N401" s="7" t="s">
        <v>176</v>
      </c>
      <c r="O401" s="8">
        <v>5745</v>
      </c>
      <c r="P401" s="9">
        <v>0.02</v>
      </c>
      <c r="Q401" s="10">
        <f t="shared" si="79"/>
        <v>115</v>
      </c>
      <c r="R401" s="9">
        <v>5.0000000000000001E-3</v>
      </c>
      <c r="S401" s="10">
        <f t="shared" si="80"/>
        <v>29</v>
      </c>
      <c r="T401" s="9">
        <f t="shared" si="81"/>
        <v>2.5065274151436032E-2</v>
      </c>
      <c r="U401" s="10">
        <f t="shared" si="82"/>
        <v>144</v>
      </c>
      <c r="V401" s="10">
        <f t="shared" si="83"/>
        <v>5889</v>
      </c>
      <c r="W401" s="11">
        <f>VLOOKUP(B401,[1]调薪计算!A:M,12,0)</f>
        <v>5917.35</v>
      </c>
      <c r="X401" s="12">
        <f t="shared" si="84"/>
        <v>172.35000000000036</v>
      </c>
      <c r="Y401" s="13">
        <f t="shared" si="85"/>
        <v>0.03</v>
      </c>
      <c r="Z401" s="14" t="str">
        <f t="shared" si="86"/>
        <v>0.00%-8.40%</v>
      </c>
      <c r="AA401" s="15"/>
      <c r="AB401" s="15"/>
      <c r="AC401" s="15"/>
      <c r="AD401" s="16"/>
      <c r="AE401" s="8">
        <f t="shared" si="87"/>
        <v>0</v>
      </c>
      <c r="AF401" s="17">
        <f t="shared" si="88"/>
        <v>5917.35</v>
      </c>
      <c r="AG401" s="18">
        <f t="shared" si="89"/>
        <v>172.35000000000036</v>
      </c>
      <c r="AH401" s="19">
        <f t="shared" si="90"/>
        <v>3.0000000000000027E-2</v>
      </c>
      <c r="AI401" s="20">
        <v>13.6</v>
      </c>
      <c r="AJ401" s="20">
        <v>500</v>
      </c>
      <c r="AK401" s="20"/>
      <c r="AL401" s="20">
        <v>688</v>
      </c>
      <c r="AM401" s="20">
        <f t="shared" si="91"/>
        <v>87163.96</v>
      </c>
      <c r="AN401" s="7" t="s">
        <v>176</v>
      </c>
      <c r="AO401" s="20"/>
      <c r="AP401" s="21"/>
      <c r="AQ401" s="21"/>
      <c r="AR401" s="5" t="s">
        <v>751</v>
      </c>
      <c r="AS401" s="5" t="s">
        <v>164</v>
      </c>
      <c r="AT401" s="5" t="s">
        <v>59</v>
      </c>
      <c r="AU401" s="20"/>
      <c r="AV401" s="21"/>
      <c r="AW401" s="21"/>
      <c r="AX401" s="21"/>
    </row>
    <row r="402" spans="1:50" s="55" customFormat="1">
      <c r="A402" s="86" t="s">
        <v>318</v>
      </c>
      <c r="B402" s="5">
        <v>15010148</v>
      </c>
      <c r="C402" s="5" t="s">
        <v>776</v>
      </c>
      <c r="D402" s="5" t="s">
        <v>321</v>
      </c>
      <c r="E402" s="5" t="s">
        <v>52</v>
      </c>
      <c r="F402" s="5" t="s">
        <v>62</v>
      </c>
      <c r="G402" s="5" t="s">
        <v>207</v>
      </c>
      <c r="H402" s="5" t="s">
        <v>750</v>
      </c>
      <c r="I402" s="6">
        <v>41487</v>
      </c>
      <c r="J402" s="5" t="s">
        <v>279</v>
      </c>
      <c r="K402" s="5" t="s">
        <v>279</v>
      </c>
      <c r="L402" s="5" t="s">
        <v>324</v>
      </c>
      <c r="M402" s="7">
        <v>6</v>
      </c>
      <c r="N402" s="7" t="s">
        <v>176</v>
      </c>
      <c r="O402" s="8">
        <v>7035</v>
      </c>
      <c r="P402" s="9">
        <v>0.02</v>
      </c>
      <c r="Q402" s="10">
        <f t="shared" si="79"/>
        <v>141</v>
      </c>
      <c r="R402" s="9">
        <v>5.0000000000000001E-3</v>
      </c>
      <c r="S402" s="10">
        <f t="shared" si="80"/>
        <v>35</v>
      </c>
      <c r="T402" s="9">
        <f t="shared" si="81"/>
        <v>2.5017768301350392E-2</v>
      </c>
      <c r="U402" s="10">
        <f t="shared" si="82"/>
        <v>176</v>
      </c>
      <c r="V402" s="10">
        <f t="shared" si="83"/>
        <v>7211</v>
      </c>
      <c r="W402" s="11">
        <f>VLOOKUP(B402,[1]调薪计算!A:M,12,0)</f>
        <v>7210.8749999999991</v>
      </c>
      <c r="X402" s="12">
        <f t="shared" si="84"/>
        <v>175.87499999999909</v>
      </c>
      <c r="Y402" s="13">
        <f t="shared" si="85"/>
        <v>2.5000000000000001E-2</v>
      </c>
      <c r="Z402" s="14" t="str">
        <f t="shared" si="86"/>
        <v>0.00%-8.40%</v>
      </c>
      <c r="AA402" s="15"/>
      <c r="AB402" s="15"/>
      <c r="AC402" s="15"/>
      <c r="AD402" s="16"/>
      <c r="AE402" s="8">
        <f t="shared" si="87"/>
        <v>0</v>
      </c>
      <c r="AF402" s="17">
        <f t="shared" si="88"/>
        <v>7210.8749999999991</v>
      </c>
      <c r="AG402" s="18">
        <f t="shared" si="89"/>
        <v>175.87499999999909</v>
      </c>
      <c r="AH402" s="19">
        <f t="shared" si="90"/>
        <v>2.4999999999999911E-2</v>
      </c>
      <c r="AI402" s="20">
        <v>13.6</v>
      </c>
      <c r="AJ402" s="20">
        <v>450</v>
      </c>
      <c r="AK402" s="20"/>
      <c r="AL402" s="20">
        <v>688</v>
      </c>
      <c r="AM402" s="20">
        <f t="shared" si="91"/>
        <v>104155.89999999998</v>
      </c>
      <c r="AN402" s="7" t="s">
        <v>176</v>
      </c>
      <c r="AO402" s="20"/>
      <c r="AP402" s="21"/>
      <c r="AQ402" s="21"/>
      <c r="AR402" s="5" t="s">
        <v>751</v>
      </c>
      <c r="AS402" s="5" t="s">
        <v>164</v>
      </c>
      <c r="AT402" s="5" t="s">
        <v>59</v>
      </c>
      <c r="AU402" s="20"/>
      <c r="AV402" s="21"/>
      <c r="AW402" s="21"/>
      <c r="AX402" s="21"/>
    </row>
    <row r="403" spans="1:50" s="55" customFormat="1">
      <c r="A403" s="86" t="s">
        <v>318</v>
      </c>
      <c r="B403" s="5">
        <v>15002856</v>
      </c>
      <c r="C403" s="5" t="s">
        <v>777</v>
      </c>
      <c r="D403" s="5" t="s">
        <v>321</v>
      </c>
      <c r="E403" s="5" t="s">
        <v>52</v>
      </c>
      <c r="F403" s="5" t="s">
        <v>62</v>
      </c>
      <c r="G403" s="5" t="s">
        <v>207</v>
      </c>
      <c r="H403" s="5" t="s">
        <v>753</v>
      </c>
      <c r="I403" s="6">
        <v>40360</v>
      </c>
      <c r="J403" s="5" t="s">
        <v>279</v>
      </c>
      <c r="K403" s="5" t="s">
        <v>279</v>
      </c>
      <c r="L403" s="5" t="s">
        <v>324</v>
      </c>
      <c r="M403" s="7">
        <v>6</v>
      </c>
      <c r="N403" s="7" t="s">
        <v>176</v>
      </c>
      <c r="O403" s="8">
        <v>6902</v>
      </c>
      <c r="P403" s="9">
        <v>0.02</v>
      </c>
      <c r="Q403" s="10">
        <f t="shared" si="79"/>
        <v>138</v>
      </c>
      <c r="R403" s="9">
        <v>5.0000000000000001E-3</v>
      </c>
      <c r="S403" s="10">
        <f t="shared" si="80"/>
        <v>35</v>
      </c>
      <c r="T403" s="9">
        <f t="shared" si="81"/>
        <v>2.5065198493190381E-2</v>
      </c>
      <c r="U403" s="10">
        <f t="shared" si="82"/>
        <v>173</v>
      </c>
      <c r="V403" s="10">
        <f t="shared" si="83"/>
        <v>7075</v>
      </c>
      <c r="W403" s="11">
        <f>VLOOKUP(B403,[1]调薪计算!A:M,12,0)</f>
        <v>7074.5499999999993</v>
      </c>
      <c r="X403" s="12">
        <f t="shared" si="84"/>
        <v>172.54999999999927</v>
      </c>
      <c r="Y403" s="13">
        <f t="shared" si="85"/>
        <v>2.5000000000000001E-2</v>
      </c>
      <c r="Z403" s="14" t="str">
        <f t="shared" si="86"/>
        <v>0.00%-8.40%</v>
      </c>
      <c r="AA403" s="15"/>
      <c r="AB403" s="15"/>
      <c r="AC403" s="15"/>
      <c r="AD403" s="16"/>
      <c r="AE403" s="8">
        <f t="shared" si="87"/>
        <v>0</v>
      </c>
      <c r="AF403" s="17">
        <f t="shared" si="88"/>
        <v>7074.5499999999993</v>
      </c>
      <c r="AG403" s="18">
        <f t="shared" si="89"/>
        <v>172.54999999999927</v>
      </c>
      <c r="AH403" s="19">
        <f t="shared" si="90"/>
        <v>2.4999999999999911E-2</v>
      </c>
      <c r="AI403" s="20">
        <v>13.6</v>
      </c>
      <c r="AJ403" s="20">
        <v>500</v>
      </c>
      <c r="AK403" s="20"/>
      <c r="AL403" s="20">
        <v>688</v>
      </c>
      <c r="AM403" s="20">
        <f t="shared" si="91"/>
        <v>102901.87999999999</v>
      </c>
      <c r="AN403" s="7" t="s">
        <v>176</v>
      </c>
      <c r="AO403" s="20"/>
      <c r="AP403" s="21"/>
      <c r="AQ403" s="21"/>
      <c r="AR403" s="5" t="s">
        <v>751</v>
      </c>
      <c r="AS403" s="5" t="s">
        <v>164</v>
      </c>
      <c r="AT403" s="5" t="s">
        <v>59</v>
      </c>
      <c r="AU403" s="20"/>
      <c r="AV403" s="21"/>
      <c r="AW403" s="21"/>
      <c r="AX403" s="21"/>
    </row>
    <row r="404" spans="1:50" s="55" customFormat="1">
      <c r="A404" s="86" t="s">
        <v>318</v>
      </c>
      <c r="B404" s="5">
        <v>15009699</v>
      </c>
      <c r="C404" s="5" t="s">
        <v>778</v>
      </c>
      <c r="D404" s="5" t="s">
        <v>321</v>
      </c>
      <c r="E404" s="5" t="s">
        <v>52</v>
      </c>
      <c r="F404" s="5" t="s">
        <v>62</v>
      </c>
      <c r="G404" s="5" t="s">
        <v>207</v>
      </c>
      <c r="H404" s="5" t="s">
        <v>753</v>
      </c>
      <c r="I404" s="6">
        <v>41518</v>
      </c>
      <c r="J404" s="5" t="s">
        <v>336</v>
      </c>
      <c r="K404" s="5" t="s">
        <v>511</v>
      </c>
      <c r="L404" s="5" t="s">
        <v>324</v>
      </c>
      <c r="M404" s="7">
        <v>6</v>
      </c>
      <c r="N404" s="7" t="s">
        <v>176</v>
      </c>
      <c r="O404" s="8">
        <v>5766</v>
      </c>
      <c r="P404" s="9">
        <v>0.02</v>
      </c>
      <c r="Q404" s="10">
        <f t="shared" si="79"/>
        <v>115</v>
      </c>
      <c r="R404" s="9">
        <v>5.0000000000000001E-3</v>
      </c>
      <c r="S404" s="10">
        <f t="shared" si="80"/>
        <v>29</v>
      </c>
      <c r="T404" s="9">
        <f t="shared" si="81"/>
        <v>2.497398543184183E-2</v>
      </c>
      <c r="U404" s="10">
        <f t="shared" si="82"/>
        <v>144</v>
      </c>
      <c r="V404" s="10">
        <f t="shared" si="83"/>
        <v>5910</v>
      </c>
      <c r="W404" s="11">
        <f>VLOOKUP(B404,[1]调薪计算!A:M,12,0)</f>
        <v>5910.15</v>
      </c>
      <c r="X404" s="12">
        <f t="shared" si="84"/>
        <v>144.14999999999964</v>
      </c>
      <c r="Y404" s="13">
        <f t="shared" si="85"/>
        <v>2.5000000000000001E-2</v>
      </c>
      <c r="Z404" s="14" t="str">
        <f t="shared" si="86"/>
        <v>0.00%-8.40%</v>
      </c>
      <c r="AA404" s="15"/>
      <c r="AB404" s="15"/>
      <c r="AC404" s="15"/>
      <c r="AD404" s="16"/>
      <c r="AE404" s="8">
        <f t="shared" si="87"/>
        <v>0</v>
      </c>
      <c r="AF404" s="17">
        <f t="shared" si="88"/>
        <v>5910.15</v>
      </c>
      <c r="AG404" s="18">
        <f t="shared" si="89"/>
        <v>144.14999999999964</v>
      </c>
      <c r="AH404" s="19">
        <f t="shared" si="90"/>
        <v>2.4999999999999911E-2</v>
      </c>
      <c r="AI404" s="20">
        <v>13.6</v>
      </c>
      <c r="AJ404" s="20">
        <v>500</v>
      </c>
      <c r="AK404" s="20"/>
      <c r="AL404" s="20">
        <v>688</v>
      </c>
      <c r="AM404" s="20">
        <f t="shared" si="91"/>
        <v>87066.04</v>
      </c>
      <c r="AN404" s="7" t="s">
        <v>176</v>
      </c>
      <c r="AO404" s="20"/>
      <c r="AP404" s="21"/>
      <c r="AQ404" s="21"/>
      <c r="AR404" s="5" t="s">
        <v>751</v>
      </c>
      <c r="AS404" s="5" t="s">
        <v>164</v>
      </c>
      <c r="AT404" s="5" t="s">
        <v>59</v>
      </c>
      <c r="AU404" s="20"/>
      <c r="AV404" s="21"/>
      <c r="AW404" s="21"/>
      <c r="AX404" s="21"/>
    </row>
    <row r="405" spans="1:50" s="55" customFormat="1">
      <c r="A405" s="86" t="s">
        <v>318</v>
      </c>
      <c r="B405" s="5">
        <v>15001392</v>
      </c>
      <c r="C405" s="5" t="s">
        <v>779</v>
      </c>
      <c r="D405" s="5" t="s">
        <v>321</v>
      </c>
      <c r="E405" s="5" t="s">
        <v>52</v>
      </c>
      <c r="F405" s="5" t="s">
        <v>62</v>
      </c>
      <c r="G405" s="5" t="s">
        <v>207</v>
      </c>
      <c r="H405" s="5" t="s">
        <v>753</v>
      </c>
      <c r="I405" s="6">
        <v>39505</v>
      </c>
      <c r="J405" s="5" t="s">
        <v>336</v>
      </c>
      <c r="K405" s="5" t="s">
        <v>511</v>
      </c>
      <c r="L405" s="5" t="s">
        <v>324</v>
      </c>
      <c r="M405" s="7">
        <v>6</v>
      </c>
      <c r="N405" s="7" t="s">
        <v>176</v>
      </c>
      <c r="O405" s="8">
        <v>5091</v>
      </c>
      <c r="P405" s="9">
        <v>0.02</v>
      </c>
      <c r="Q405" s="10">
        <f t="shared" si="79"/>
        <v>102</v>
      </c>
      <c r="R405" s="9">
        <v>5.0000000000000001E-3</v>
      </c>
      <c r="S405" s="10">
        <f t="shared" si="80"/>
        <v>25</v>
      </c>
      <c r="T405" s="9">
        <f t="shared" si="81"/>
        <v>2.494598310744451E-2</v>
      </c>
      <c r="U405" s="10">
        <f t="shared" si="82"/>
        <v>127</v>
      </c>
      <c r="V405" s="10">
        <f t="shared" si="83"/>
        <v>5218</v>
      </c>
      <c r="W405" s="11">
        <f>VLOOKUP(B405,[1]调薪计算!A:M,12,0)</f>
        <v>5141.91</v>
      </c>
      <c r="X405" s="12">
        <f t="shared" si="84"/>
        <v>50.909999999999854</v>
      </c>
      <c r="Y405" s="13">
        <f t="shared" si="85"/>
        <v>0.01</v>
      </c>
      <c r="Z405" s="14" t="str">
        <f t="shared" si="86"/>
        <v>0.00%-8.40%</v>
      </c>
      <c r="AA405" s="15"/>
      <c r="AB405" s="15"/>
      <c r="AC405" s="15"/>
      <c r="AD405" s="16"/>
      <c r="AE405" s="8">
        <f t="shared" si="87"/>
        <v>0</v>
      </c>
      <c r="AF405" s="17">
        <f t="shared" si="88"/>
        <v>5141.91</v>
      </c>
      <c r="AG405" s="18">
        <f t="shared" si="89"/>
        <v>50.909999999999854</v>
      </c>
      <c r="AH405" s="19">
        <f t="shared" si="90"/>
        <v>1.0000000000000009E-2</v>
      </c>
      <c r="AI405" s="20">
        <v>13.6</v>
      </c>
      <c r="AJ405" s="20">
        <v>500</v>
      </c>
      <c r="AK405" s="20"/>
      <c r="AL405" s="20">
        <v>688</v>
      </c>
      <c r="AM405" s="20">
        <f t="shared" si="91"/>
        <v>76617.975999999995</v>
      </c>
      <c r="AN405" s="7" t="s">
        <v>176</v>
      </c>
      <c r="AO405" s="20"/>
      <c r="AP405" s="21"/>
      <c r="AQ405" s="21"/>
      <c r="AR405" s="5" t="s">
        <v>751</v>
      </c>
      <c r="AS405" s="5" t="s">
        <v>164</v>
      </c>
      <c r="AT405" s="5" t="s">
        <v>59</v>
      </c>
      <c r="AU405" s="20"/>
      <c r="AV405" s="21"/>
      <c r="AW405" s="21"/>
      <c r="AX405" s="21"/>
    </row>
    <row r="406" spans="1:50" s="55" customFormat="1">
      <c r="A406" s="86" t="s">
        <v>318</v>
      </c>
      <c r="B406" s="5">
        <v>15001312</v>
      </c>
      <c r="C406" s="5" t="s">
        <v>780</v>
      </c>
      <c r="D406" s="5" t="s">
        <v>321</v>
      </c>
      <c r="E406" s="5" t="s">
        <v>52</v>
      </c>
      <c r="F406" s="5" t="s">
        <v>62</v>
      </c>
      <c r="G406" s="5" t="s">
        <v>207</v>
      </c>
      <c r="H406" s="5" t="s">
        <v>750</v>
      </c>
      <c r="I406" s="6">
        <v>39420</v>
      </c>
      <c r="J406" s="5" t="s">
        <v>279</v>
      </c>
      <c r="K406" s="5" t="s">
        <v>279</v>
      </c>
      <c r="L406" s="5" t="s">
        <v>324</v>
      </c>
      <c r="M406" s="7">
        <v>6</v>
      </c>
      <c r="N406" s="7" t="s">
        <v>176</v>
      </c>
      <c r="O406" s="8">
        <v>7911</v>
      </c>
      <c r="P406" s="9">
        <v>0.02</v>
      </c>
      <c r="Q406" s="10">
        <f t="shared" si="79"/>
        <v>158</v>
      </c>
      <c r="R406" s="9">
        <v>5.0000000000000001E-3</v>
      </c>
      <c r="S406" s="10">
        <f t="shared" si="80"/>
        <v>40</v>
      </c>
      <c r="T406" s="9">
        <f t="shared" si="81"/>
        <v>2.502844141069397E-2</v>
      </c>
      <c r="U406" s="10">
        <f t="shared" si="82"/>
        <v>198</v>
      </c>
      <c r="V406" s="10">
        <f t="shared" si="83"/>
        <v>8109</v>
      </c>
      <c r="W406" s="11">
        <f>VLOOKUP(B406,[1]调薪计算!A:M,12,0)</f>
        <v>8108.7749999999996</v>
      </c>
      <c r="X406" s="12">
        <f t="shared" si="84"/>
        <v>197.77499999999964</v>
      </c>
      <c r="Y406" s="13">
        <f t="shared" si="85"/>
        <v>2.5000000000000001E-2</v>
      </c>
      <c r="Z406" s="14" t="str">
        <f t="shared" si="86"/>
        <v>0.00%-8.40%</v>
      </c>
      <c r="AA406" s="15"/>
      <c r="AB406" s="15"/>
      <c r="AC406" s="15"/>
      <c r="AD406" s="16"/>
      <c r="AE406" s="8">
        <f t="shared" si="87"/>
        <v>0</v>
      </c>
      <c r="AF406" s="17">
        <f t="shared" si="88"/>
        <v>8108.7749999999996</v>
      </c>
      <c r="AG406" s="18">
        <f t="shared" si="89"/>
        <v>197.77499999999964</v>
      </c>
      <c r="AH406" s="19">
        <f t="shared" si="90"/>
        <v>2.4999999999999911E-2</v>
      </c>
      <c r="AI406" s="20">
        <v>13.6</v>
      </c>
      <c r="AJ406" s="20">
        <v>450</v>
      </c>
      <c r="AK406" s="20"/>
      <c r="AL406" s="20">
        <v>688</v>
      </c>
      <c r="AM406" s="20">
        <f t="shared" si="91"/>
        <v>116367.34</v>
      </c>
      <c r="AN406" s="7" t="s">
        <v>176</v>
      </c>
      <c r="AO406" s="20"/>
      <c r="AP406" s="21"/>
      <c r="AQ406" s="21"/>
      <c r="AR406" s="5" t="s">
        <v>751</v>
      </c>
      <c r="AS406" s="5" t="s">
        <v>164</v>
      </c>
      <c r="AT406" s="5" t="s">
        <v>59</v>
      </c>
      <c r="AU406" s="20"/>
      <c r="AV406" s="21"/>
      <c r="AW406" s="21"/>
      <c r="AX406" s="21"/>
    </row>
    <row r="407" spans="1:50" s="55" customFormat="1">
      <c r="A407" s="86" t="s">
        <v>318</v>
      </c>
      <c r="B407" s="5">
        <v>15009702</v>
      </c>
      <c r="C407" s="5" t="s">
        <v>781</v>
      </c>
      <c r="D407" s="5" t="s">
        <v>321</v>
      </c>
      <c r="E407" s="5" t="s">
        <v>52</v>
      </c>
      <c r="F407" s="5" t="s">
        <v>62</v>
      </c>
      <c r="G407" s="5" t="s">
        <v>207</v>
      </c>
      <c r="H407" s="5" t="s">
        <v>753</v>
      </c>
      <c r="I407" s="6">
        <v>41579</v>
      </c>
      <c r="J407" s="5" t="s">
        <v>336</v>
      </c>
      <c r="K407" s="5" t="s">
        <v>766</v>
      </c>
      <c r="L407" s="5" t="s">
        <v>324</v>
      </c>
      <c r="M407" s="7">
        <v>6</v>
      </c>
      <c r="N407" s="7" t="s">
        <v>176</v>
      </c>
      <c r="O407" s="8">
        <v>5648</v>
      </c>
      <c r="P407" s="9">
        <v>0.02</v>
      </c>
      <c r="Q407" s="10">
        <f t="shared" si="79"/>
        <v>113</v>
      </c>
      <c r="R407" s="9">
        <v>5.0000000000000001E-3</v>
      </c>
      <c r="S407" s="10">
        <f t="shared" si="80"/>
        <v>28</v>
      </c>
      <c r="T407" s="9">
        <f t="shared" si="81"/>
        <v>2.4964589235127479E-2</v>
      </c>
      <c r="U407" s="10">
        <f t="shared" si="82"/>
        <v>141</v>
      </c>
      <c r="V407" s="10">
        <f t="shared" si="83"/>
        <v>5789</v>
      </c>
      <c r="W407" s="11">
        <f>VLOOKUP(B407,[1]调薪计算!A:M,12,0)</f>
        <v>5789.2</v>
      </c>
      <c r="X407" s="12">
        <f t="shared" si="84"/>
        <v>141.19999999999982</v>
      </c>
      <c r="Y407" s="13">
        <f t="shared" si="85"/>
        <v>2.5000000000000001E-2</v>
      </c>
      <c r="Z407" s="14" t="str">
        <f t="shared" si="86"/>
        <v>0.00%-8.40%</v>
      </c>
      <c r="AA407" s="15"/>
      <c r="AB407" s="15"/>
      <c r="AC407" s="15"/>
      <c r="AD407" s="16"/>
      <c r="AE407" s="8">
        <f t="shared" si="87"/>
        <v>0</v>
      </c>
      <c r="AF407" s="17">
        <f t="shared" si="88"/>
        <v>5789.2</v>
      </c>
      <c r="AG407" s="18">
        <f t="shared" si="89"/>
        <v>141.19999999999982</v>
      </c>
      <c r="AH407" s="19">
        <f t="shared" si="90"/>
        <v>2.4999999999999911E-2</v>
      </c>
      <c r="AI407" s="20">
        <v>13.6</v>
      </c>
      <c r="AJ407" s="20">
        <v>500</v>
      </c>
      <c r="AK407" s="20"/>
      <c r="AL407" s="20">
        <v>688</v>
      </c>
      <c r="AM407" s="20">
        <f t="shared" si="91"/>
        <v>85421.119999999995</v>
      </c>
      <c r="AN407" s="7" t="s">
        <v>176</v>
      </c>
      <c r="AO407" s="20"/>
      <c r="AP407" s="21"/>
      <c r="AQ407" s="21"/>
      <c r="AR407" s="5" t="s">
        <v>751</v>
      </c>
      <c r="AS407" s="5" t="s">
        <v>164</v>
      </c>
      <c r="AT407" s="5" t="s">
        <v>59</v>
      </c>
      <c r="AU407" s="20"/>
      <c r="AV407" s="21"/>
      <c r="AW407" s="21"/>
      <c r="AX407" s="21"/>
    </row>
    <row r="408" spans="1:50" s="55" customFormat="1">
      <c r="A408" s="86" t="s">
        <v>318</v>
      </c>
      <c r="B408" s="5">
        <v>15012524</v>
      </c>
      <c r="C408" s="5" t="s">
        <v>782</v>
      </c>
      <c r="D408" s="5" t="s">
        <v>321</v>
      </c>
      <c r="E408" s="5" t="s">
        <v>52</v>
      </c>
      <c r="F408" s="5" t="s">
        <v>62</v>
      </c>
      <c r="G408" s="5" t="s">
        <v>207</v>
      </c>
      <c r="H408" s="5" t="s">
        <v>753</v>
      </c>
      <c r="I408" s="6">
        <v>41791</v>
      </c>
      <c r="J408" s="5" t="s">
        <v>336</v>
      </c>
      <c r="K408" s="5" t="s">
        <v>511</v>
      </c>
      <c r="L408" s="5" t="s">
        <v>324</v>
      </c>
      <c r="M408" s="7">
        <v>6</v>
      </c>
      <c r="N408" s="7" t="s">
        <v>176</v>
      </c>
      <c r="O408" s="8">
        <v>4493</v>
      </c>
      <c r="P408" s="9">
        <v>0.02</v>
      </c>
      <c r="Q408" s="10">
        <f t="shared" si="79"/>
        <v>90</v>
      </c>
      <c r="R408" s="9">
        <v>5.0000000000000001E-3</v>
      </c>
      <c r="S408" s="10">
        <f t="shared" si="80"/>
        <v>22</v>
      </c>
      <c r="T408" s="9">
        <f t="shared" si="81"/>
        <v>2.4927665257066547E-2</v>
      </c>
      <c r="U408" s="10">
        <f t="shared" si="82"/>
        <v>112</v>
      </c>
      <c r="V408" s="10">
        <f t="shared" si="83"/>
        <v>4605</v>
      </c>
      <c r="W408" s="11">
        <f>VLOOKUP(B408,[1]调薪计算!A:M,12,0)</f>
        <v>4605.3249999999998</v>
      </c>
      <c r="X408" s="12">
        <f t="shared" si="84"/>
        <v>112.32499999999982</v>
      </c>
      <c r="Y408" s="13">
        <f t="shared" si="85"/>
        <v>2.5000000000000001E-2</v>
      </c>
      <c r="Z408" s="14" t="str">
        <f t="shared" si="86"/>
        <v>0.00%-8.40%</v>
      </c>
      <c r="AA408" s="15"/>
      <c r="AB408" s="15"/>
      <c r="AC408" s="15"/>
      <c r="AD408" s="16"/>
      <c r="AE408" s="8">
        <f t="shared" si="87"/>
        <v>0</v>
      </c>
      <c r="AF408" s="17">
        <f t="shared" si="88"/>
        <v>4605.3249999999998</v>
      </c>
      <c r="AG408" s="18">
        <f t="shared" si="89"/>
        <v>112.32499999999982</v>
      </c>
      <c r="AH408" s="19">
        <f t="shared" si="90"/>
        <v>2.4999999999999911E-2</v>
      </c>
      <c r="AI408" s="20">
        <v>13.6</v>
      </c>
      <c r="AJ408" s="20">
        <v>500</v>
      </c>
      <c r="AK408" s="20"/>
      <c r="AL408" s="20">
        <v>688</v>
      </c>
      <c r="AM408" s="20">
        <f t="shared" si="91"/>
        <v>69320.42</v>
      </c>
      <c r="AN408" s="7" t="s">
        <v>176</v>
      </c>
      <c r="AO408" s="20"/>
      <c r="AP408" s="21"/>
      <c r="AQ408" s="21"/>
      <c r="AR408" s="5" t="s">
        <v>751</v>
      </c>
      <c r="AS408" s="5" t="s">
        <v>164</v>
      </c>
      <c r="AT408" s="5" t="s">
        <v>59</v>
      </c>
      <c r="AU408" s="20"/>
      <c r="AV408" s="21"/>
      <c r="AW408" s="21"/>
      <c r="AX408" s="21"/>
    </row>
    <row r="409" spans="1:50" s="55" customFormat="1">
      <c r="A409" s="86" t="s">
        <v>318</v>
      </c>
      <c r="B409" s="5">
        <v>15012451</v>
      </c>
      <c r="C409" s="5" t="s">
        <v>783</v>
      </c>
      <c r="D409" s="5" t="s">
        <v>321</v>
      </c>
      <c r="E409" s="5" t="s">
        <v>52</v>
      </c>
      <c r="F409" s="5" t="s">
        <v>62</v>
      </c>
      <c r="G409" s="5" t="s">
        <v>207</v>
      </c>
      <c r="H409" s="5" t="s">
        <v>753</v>
      </c>
      <c r="I409" s="6">
        <v>41730</v>
      </c>
      <c r="J409" s="5" t="s">
        <v>336</v>
      </c>
      <c r="K409" s="5" t="s">
        <v>511</v>
      </c>
      <c r="L409" s="5" t="s">
        <v>324</v>
      </c>
      <c r="M409" s="7">
        <v>6</v>
      </c>
      <c r="N409" s="7" t="s">
        <v>176</v>
      </c>
      <c r="O409" s="8">
        <v>4416</v>
      </c>
      <c r="P409" s="9">
        <v>0.02</v>
      </c>
      <c r="Q409" s="10">
        <f t="shared" si="79"/>
        <v>88</v>
      </c>
      <c r="R409" s="9">
        <v>5.0000000000000001E-3</v>
      </c>
      <c r="S409" s="10">
        <f t="shared" si="80"/>
        <v>22</v>
      </c>
      <c r="T409" s="9">
        <f t="shared" si="81"/>
        <v>2.4909420289855072E-2</v>
      </c>
      <c r="U409" s="10">
        <f t="shared" si="82"/>
        <v>110</v>
      </c>
      <c r="V409" s="10">
        <f t="shared" si="83"/>
        <v>4526</v>
      </c>
      <c r="W409" s="11">
        <f>VLOOKUP(B409,[1]调薪计算!A:M,12,0)</f>
        <v>4526.3999999999996</v>
      </c>
      <c r="X409" s="12">
        <f t="shared" si="84"/>
        <v>110.39999999999964</v>
      </c>
      <c r="Y409" s="13">
        <f t="shared" si="85"/>
        <v>2.5000000000000001E-2</v>
      </c>
      <c r="Z409" s="14" t="str">
        <f t="shared" si="86"/>
        <v>0.00%-8.40%</v>
      </c>
      <c r="AA409" s="15"/>
      <c r="AB409" s="15"/>
      <c r="AC409" s="15"/>
      <c r="AD409" s="16"/>
      <c r="AE409" s="8">
        <f t="shared" si="87"/>
        <v>0</v>
      </c>
      <c r="AF409" s="17">
        <f t="shared" si="88"/>
        <v>4526.3999999999996</v>
      </c>
      <c r="AG409" s="18">
        <f t="shared" si="89"/>
        <v>110.39999999999964</v>
      </c>
      <c r="AH409" s="19">
        <f t="shared" si="90"/>
        <v>2.4999999999999911E-2</v>
      </c>
      <c r="AI409" s="20">
        <v>13.6</v>
      </c>
      <c r="AJ409" s="20">
        <v>500</v>
      </c>
      <c r="AK409" s="20"/>
      <c r="AL409" s="20">
        <v>688</v>
      </c>
      <c r="AM409" s="20">
        <f t="shared" si="91"/>
        <v>68247.039999999994</v>
      </c>
      <c r="AN409" s="7" t="s">
        <v>176</v>
      </c>
      <c r="AO409" s="20"/>
      <c r="AP409" s="21"/>
      <c r="AQ409" s="21"/>
      <c r="AR409" s="5" t="s">
        <v>751</v>
      </c>
      <c r="AS409" s="5" t="s">
        <v>164</v>
      </c>
      <c r="AT409" s="5" t="s">
        <v>59</v>
      </c>
      <c r="AU409" s="20"/>
      <c r="AV409" s="21"/>
      <c r="AW409" s="21"/>
      <c r="AX409" s="21"/>
    </row>
    <row r="410" spans="1:50" s="55" customFormat="1">
      <c r="A410" s="86" t="s">
        <v>318</v>
      </c>
      <c r="B410" s="5">
        <v>15018329</v>
      </c>
      <c r="C410" s="5" t="s">
        <v>784</v>
      </c>
      <c r="D410" s="5" t="s">
        <v>321</v>
      </c>
      <c r="E410" s="5" t="s">
        <v>52</v>
      </c>
      <c r="F410" s="5" t="s">
        <v>62</v>
      </c>
      <c r="G410" s="5" t="s">
        <v>207</v>
      </c>
      <c r="H410" s="5" t="s">
        <v>753</v>
      </c>
      <c r="I410" s="6">
        <v>43191</v>
      </c>
      <c r="J410" s="5" t="s">
        <v>336</v>
      </c>
      <c r="K410" s="5" t="s">
        <v>511</v>
      </c>
      <c r="L410" s="5" t="s">
        <v>324</v>
      </c>
      <c r="M410" s="7">
        <v>6</v>
      </c>
      <c r="N410" s="7" t="s">
        <v>176</v>
      </c>
      <c r="O410" s="8">
        <v>4760</v>
      </c>
      <c r="P410" s="9">
        <v>0.02</v>
      </c>
      <c r="Q410" s="10">
        <f t="shared" si="79"/>
        <v>95</v>
      </c>
      <c r="R410" s="9">
        <v>5.0000000000000001E-3</v>
      </c>
      <c r="S410" s="10">
        <f t="shared" si="80"/>
        <v>24</v>
      </c>
      <c r="T410" s="9">
        <f t="shared" si="81"/>
        <v>2.5000000000000001E-2</v>
      </c>
      <c r="U410" s="10">
        <f t="shared" si="82"/>
        <v>119</v>
      </c>
      <c r="V410" s="10">
        <f t="shared" si="83"/>
        <v>4879</v>
      </c>
      <c r="W410" s="11">
        <f>VLOOKUP(B410,[1]调薪计算!A:M,12,0)</f>
        <v>4807.6000000000004</v>
      </c>
      <c r="X410" s="12">
        <f t="shared" si="84"/>
        <v>47.600000000000364</v>
      </c>
      <c r="Y410" s="13">
        <f t="shared" si="85"/>
        <v>0.01</v>
      </c>
      <c r="Z410" s="14" t="str">
        <f t="shared" si="86"/>
        <v>0.00%-8.40%</v>
      </c>
      <c r="AA410" s="15"/>
      <c r="AB410" s="15"/>
      <c r="AC410" s="15"/>
      <c r="AD410" s="16"/>
      <c r="AE410" s="8">
        <f t="shared" si="87"/>
        <v>0</v>
      </c>
      <c r="AF410" s="17">
        <f t="shared" si="88"/>
        <v>4807.6000000000004</v>
      </c>
      <c r="AG410" s="18">
        <f t="shared" si="89"/>
        <v>47.600000000000364</v>
      </c>
      <c r="AH410" s="19">
        <f t="shared" si="90"/>
        <v>1.0000000000000009E-2</v>
      </c>
      <c r="AI410" s="20">
        <v>13.6</v>
      </c>
      <c r="AJ410" s="20">
        <v>500</v>
      </c>
      <c r="AK410" s="20"/>
      <c r="AL410" s="20">
        <v>688</v>
      </c>
      <c r="AM410" s="20">
        <f t="shared" si="91"/>
        <v>72071.360000000001</v>
      </c>
      <c r="AN410" s="7" t="s">
        <v>176</v>
      </c>
      <c r="AO410" s="20"/>
      <c r="AP410" s="21"/>
      <c r="AQ410" s="21"/>
      <c r="AR410" s="5" t="s">
        <v>751</v>
      </c>
      <c r="AS410" s="5" t="s">
        <v>164</v>
      </c>
      <c r="AT410" s="5" t="s">
        <v>59</v>
      </c>
      <c r="AU410" s="20"/>
      <c r="AV410" s="21"/>
      <c r="AW410" s="21"/>
      <c r="AX410" s="21"/>
    </row>
    <row r="411" spans="1:50" s="55" customFormat="1">
      <c r="A411" s="86" t="s">
        <v>318</v>
      </c>
      <c r="B411" s="5">
        <v>15018812</v>
      </c>
      <c r="C411" s="5" t="s">
        <v>785</v>
      </c>
      <c r="D411" s="5" t="s">
        <v>321</v>
      </c>
      <c r="E411" s="5" t="s">
        <v>52</v>
      </c>
      <c r="F411" s="5" t="s">
        <v>62</v>
      </c>
      <c r="G411" s="5" t="s">
        <v>207</v>
      </c>
      <c r="H411" s="5" t="s">
        <v>753</v>
      </c>
      <c r="I411" s="6">
        <v>43117</v>
      </c>
      <c r="J411" s="5" t="s">
        <v>336</v>
      </c>
      <c r="K411" s="5" t="s">
        <v>511</v>
      </c>
      <c r="L411" s="5" t="s">
        <v>324</v>
      </c>
      <c r="M411" s="7">
        <v>6</v>
      </c>
      <c r="N411" s="7" t="s">
        <v>176</v>
      </c>
      <c r="O411" s="8">
        <v>5271</v>
      </c>
      <c r="P411" s="9">
        <v>0.02</v>
      </c>
      <c r="Q411" s="10">
        <f t="shared" si="79"/>
        <v>105</v>
      </c>
      <c r="R411" s="9">
        <v>5.0000000000000001E-3</v>
      </c>
      <c r="S411" s="10">
        <f t="shared" si="80"/>
        <v>26</v>
      </c>
      <c r="T411" s="9">
        <f t="shared" si="81"/>
        <v>2.4852969076076648E-2</v>
      </c>
      <c r="U411" s="10">
        <f t="shared" si="82"/>
        <v>131</v>
      </c>
      <c r="V411" s="10">
        <f t="shared" si="83"/>
        <v>5402</v>
      </c>
      <c r="W411" s="11">
        <f>VLOOKUP(B411,[1]调薪计算!A:M,12,0)</f>
        <v>5402.7749999999996</v>
      </c>
      <c r="X411" s="12">
        <f t="shared" si="84"/>
        <v>131.77499999999964</v>
      </c>
      <c r="Y411" s="13">
        <f t="shared" si="85"/>
        <v>2.5000000000000001E-2</v>
      </c>
      <c r="Z411" s="14" t="str">
        <f t="shared" si="86"/>
        <v>0.00%-8.40%</v>
      </c>
      <c r="AA411" s="15"/>
      <c r="AB411" s="15"/>
      <c r="AC411" s="15"/>
      <c r="AD411" s="16"/>
      <c r="AE411" s="8">
        <f t="shared" si="87"/>
        <v>0</v>
      </c>
      <c r="AF411" s="17">
        <f t="shared" si="88"/>
        <v>5402.7749999999996</v>
      </c>
      <c r="AG411" s="18">
        <f t="shared" si="89"/>
        <v>131.77499999999964</v>
      </c>
      <c r="AH411" s="19">
        <f t="shared" si="90"/>
        <v>2.4999999999999911E-2</v>
      </c>
      <c r="AI411" s="20">
        <v>13.6</v>
      </c>
      <c r="AJ411" s="20">
        <v>500</v>
      </c>
      <c r="AK411" s="20"/>
      <c r="AL411" s="20">
        <v>688</v>
      </c>
      <c r="AM411" s="20">
        <f t="shared" si="91"/>
        <v>80165.739999999991</v>
      </c>
      <c r="AN411" s="7" t="s">
        <v>176</v>
      </c>
      <c r="AO411" s="20"/>
      <c r="AP411" s="21"/>
      <c r="AQ411" s="21"/>
      <c r="AR411" s="5" t="s">
        <v>751</v>
      </c>
      <c r="AS411" s="5" t="s">
        <v>164</v>
      </c>
      <c r="AT411" s="5" t="s">
        <v>59</v>
      </c>
      <c r="AU411" s="20"/>
      <c r="AV411" s="21"/>
      <c r="AW411" s="21"/>
      <c r="AX411" s="21"/>
    </row>
    <row r="412" spans="1:50" s="55" customFormat="1">
      <c r="A412" s="86" t="s">
        <v>318</v>
      </c>
      <c r="B412" s="5">
        <v>15016820</v>
      </c>
      <c r="C412" s="5" t="s">
        <v>786</v>
      </c>
      <c r="D412" s="5" t="s">
        <v>321</v>
      </c>
      <c r="E412" s="5" t="s">
        <v>52</v>
      </c>
      <c r="F412" s="5" t="s">
        <v>62</v>
      </c>
      <c r="G412" s="5" t="s">
        <v>207</v>
      </c>
      <c r="H412" s="5" t="s">
        <v>753</v>
      </c>
      <c r="I412" s="6">
        <v>42948</v>
      </c>
      <c r="J412" s="5" t="s">
        <v>336</v>
      </c>
      <c r="K412" s="5" t="s">
        <v>511</v>
      </c>
      <c r="L412" s="5" t="s">
        <v>324</v>
      </c>
      <c r="M412" s="7">
        <v>6</v>
      </c>
      <c r="N412" s="7" t="s">
        <v>176</v>
      </c>
      <c r="O412" s="8">
        <v>4602</v>
      </c>
      <c r="P412" s="9">
        <v>0.02</v>
      </c>
      <c r="Q412" s="10">
        <f t="shared" si="79"/>
        <v>92</v>
      </c>
      <c r="R412" s="9">
        <v>5.0000000000000001E-3</v>
      </c>
      <c r="S412" s="10">
        <f t="shared" si="80"/>
        <v>23</v>
      </c>
      <c r="T412" s="9">
        <f t="shared" si="81"/>
        <v>2.4989135158626684E-2</v>
      </c>
      <c r="U412" s="10">
        <f t="shared" si="82"/>
        <v>115</v>
      </c>
      <c r="V412" s="10">
        <f t="shared" si="83"/>
        <v>4717</v>
      </c>
      <c r="W412" s="11">
        <f>VLOOKUP(B412,[1]调薪计算!A:M,12,0)</f>
        <v>4659.5249999999996</v>
      </c>
      <c r="X412" s="12">
        <f t="shared" si="84"/>
        <v>57.524999999999636</v>
      </c>
      <c r="Y412" s="13">
        <f t="shared" si="85"/>
        <v>1.2500000000000001E-2</v>
      </c>
      <c r="Z412" s="14" t="str">
        <f t="shared" si="86"/>
        <v>0.00%-8.40%</v>
      </c>
      <c r="AA412" s="15"/>
      <c r="AB412" s="15"/>
      <c r="AC412" s="15"/>
      <c r="AD412" s="16"/>
      <c r="AE412" s="8">
        <f t="shared" si="87"/>
        <v>0</v>
      </c>
      <c r="AF412" s="17">
        <f t="shared" si="88"/>
        <v>4659.5249999999996</v>
      </c>
      <c r="AG412" s="18">
        <f t="shared" si="89"/>
        <v>57.524999999999636</v>
      </c>
      <c r="AH412" s="19">
        <f t="shared" si="90"/>
        <v>1.2499999999999956E-2</v>
      </c>
      <c r="AI412" s="20">
        <v>13.6</v>
      </c>
      <c r="AJ412" s="20">
        <v>500</v>
      </c>
      <c r="AK412" s="20"/>
      <c r="AL412" s="20">
        <v>688</v>
      </c>
      <c r="AM412" s="20">
        <f t="shared" si="91"/>
        <v>70057.539999999994</v>
      </c>
      <c r="AN412" s="7" t="s">
        <v>176</v>
      </c>
      <c r="AO412" s="20"/>
      <c r="AP412" s="21"/>
      <c r="AQ412" s="21"/>
      <c r="AR412" s="5" t="s">
        <v>751</v>
      </c>
      <c r="AS412" s="5" t="s">
        <v>164</v>
      </c>
      <c r="AT412" s="5" t="s">
        <v>59</v>
      </c>
      <c r="AU412" s="20"/>
      <c r="AV412" s="21"/>
      <c r="AW412" s="21"/>
      <c r="AX412" s="21"/>
    </row>
    <row r="413" spans="1:50" s="55" customFormat="1">
      <c r="A413" s="86" t="s">
        <v>318</v>
      </c>
      <c r="B413" s="5">
        <v>15015656</v>
      </c>
      <c r="C413" s="5" t="s">
        <v>534</v>
      </c>
      <c r="D413" s="5" t="s">
        <v>321</v>
      </c>
      <c r="E413" s="5" t="s">
        <v>52</v>
      </c>
      <c r="F413" s="5" t="s">
        <v>62</v>
      </c>
      <c r="G413" s="5" t="s">
        <v>207</v>
      </c>
      <c r="H413" s="5" t="s">
        <v>753</v>
      </c>
      <c r="I413" s="6">
        <v>42634</v>
      </c>
      <c r="J413" s="5" t="s">
        <v>336</v>
      </c>
      <c r="K413" s="5" t="s">
        <v>511</v>
      </c>
      <c r="L413" s="5" t="s">
        <v>324</v>
      </c>
      <c r="M413" s="7">
        <v>6</v>
      </c>
      <c r="N413" s="7" t="s">
        <v>176</v>
      </c>
      <c r="O413" s="8">
        <v>5170</v>
      </c>
      <c r="P413" s="9">
        <v>0.02</v>
      </c>
      <c r="Q413" s="10">
        <f t="shared" si="79"/>
        <v>103</v>
      </c>
      <c r="R413" s="9">
        <v>5.0000000000000001E-3</v>
      </c>
      <c r="S413" s="10">
        <f t="shared" si="80"/>
        <v>26</v>
      </c>
      <c r="T413" s="9">
        <f t="shared" si="81"/>
        <v>2.4951644100580272E-2</v>
      </c>
      <c r="U413" s="10">
        <f t="shared" si="82"/>
        <v>129</v>
      </c>
      <c r="V413" s="10">
        <f t="shared" si="83"/>
        <v>5299</v>
      </c>
      <c r="W413" s="11">
        <f>VLOOKUP(B413,[1]调薪计算!A:M,12,0)</f>
        <v>5299.2499999999991</v>
      </c>
      <c r="X413" s="12">
        <f t="shared" si="84"/>
        <v>129.24999999999909</v>
      </c>
      <c r="Y413" s="13">
        <f t="shared" si="85"/>
        <v>2.5000000000000001E-2</v>
      </c>
      <c r="Z413" s="14" t="str">
        <f t="shared" si="86"/>
        <v>0.00%-8.40%</v>
      </c>
      <c r="AA413" s="15"/>
      <c r="AB413" s="15"/>
      <c r="AC413" s="15"/>
      <c r="AD413" s="16"/>
      <c r="AE413" s="8">
        <f t="shared" si="87"/>
        <v>0</v>
      </c>
      <c r="AF413" s="17">
        <f t="shared" si="88"/>
        <v>5299.2499999999991</v>
      </c>
      <c r="AG413" s="18">
        <f t="shared" si="89"/>
        <v>129.24999999999909</v>
      </c>
      <c r="AH413" s="19">
        <f t="shared" si="90"/>
        <v>2.4999999999999911E-2</v>
      </c>
      <c r="AI413" s="20">
        <v>13.6</v>
      </c>
      <c r="AJ413" s="20">
        <v>500</v>
      </c>
      <c r="AK413" s="20"/>
      <c r="AL413" s="20">
        <v>688</v>
      </c>
      <c r="AM413" s="20">
        <f t="shared" si="91"/>
        <v>78757.799999999988</v>
      </c>
      <c r="AN413" s="7" t="s">
        <v>176</v>
      </c>
      <c r="AO413" s="20"/>
      <c r="AP413" s="21"/>
      <c r="AQ413" s="21"/>
      <c r="AR413" s="5" t="s">
        <v>751</v>
      </c>
      <c r="AS413" s="5" t="s">
        <v>164</v>
      </c>
      <c r="AT413" s="5" t="s">
        <v>59</v>
      </c>
      <c r="AU413" s="20"/>
      <c r="AV413" s="21"/>
      <c r="AW413" s="21"/>
      <c r="AX413" s="21"/>
    </row>
    <row r="414" spans="1:50" s="55" customFormat="1">
      <c r="A414" s="86" t="s">
        <v>318</v>
      </c>
      <c r="B414" s="5">
        <v>15017366</v>
      </c>
      <c r="C414" s="5" t="s">
        <v>787</v>
      </c>
      <c r="D414" s="5" t="s">
        <v>321</v>
      </c>
      <c r="E414" s="5" t="s">
        <v>52</v>
      </c>
      <c r="F414" s="5" t="s">
        <v>62</v>
      </c>
      <c r="G414" s="5" t="s">
        <v>207</v>
      </c>
      <c r="H414" s="5" t="s">
        <v>753</v>
      </c>
      <c r="I414" s="6">
        <v>43009</v>
      </c>
      <c r="J414" s="5" t="s">
        <v>336</v>
      </c>
      <c r="K414" s="5" t="s">
        <v>511</v>
      </c>
      <c r="L414" s="5" t="s">
        <v>324</v>
      </c>
      <c r="M414" s="7">
        <v>6</v>
      </c>
      <c r="N414" s="7" t="s">
        <v>176</v>
      </c>
      <c r="O414" s="8">
        <v>4912</v>
      </c>
      <c r="P414" s="9">
        <v>0.02</v>
      </c>
      <c r="Q414" s="10">
        <f t="shared" si="79"/>
        <v>98</v>
      </c>
      <c r="R414" s="9">
        <v>5.0000000000000001E-3</v>
      </c>
      <c r="S414" s="10">
        <f t="shared" si="80"/>
        <v>25</v>
      </c>
      <c r="T414" s="9">
        <f t="shared" si="81"/>
        <v>2.5040716612377851E-2</v>
      </c>
      <c r="U414" s="10">
        <f t="shared" si="82"/>
        <v>123</v>
      </c>
      <c r="V414" s="10">
        <f t="shared" si="83"/>
        <v>5035</v>
      </c>
      <c r="W414" s="11">
        <f>VLOOKUP(B414,[1]调薪计算!A:M,12,0)</f>
        <v>5034.7999999999993</v>
      </c>
      <c r="X414" s="12">
        <f t="shared" si="84"/>
        <v>122.79999999999927</v>
      </c>
      <c r="Y414" s="13">
        <f t="shared" si="85"/>
        <v>2.5000000000000001E-2</v>
      </c>
      <c r="Z414" s="14" t="str">
        <f t="shared" si="86"/>
        <v>0.00%-8.40%</v>
      </c>
      <c r="AA414" s="15"/>
      <c r="AB414" s="15"/>
      <c r="AC414" s="15"/>
      <c r="AD414" s="16"/>
      <c r="AE414" s="8">
        <f t="shared" si="87"/>
        <v>0</v>
      </c>
      <c r="AF414" s="17">
        <f t="shared" si="88"/>
        <v>5034.7999999999993</v>
      </c>
      <c r="AG414" s="18">
        <f t="shared" si="89"/>
        <v>122.79999999999927</v>
      </c>
      <c r="AH414" s="19">
        <f t="shared" si="90"/>
        <v>2.4999999999999911E-2</v>
      </c>
      <c r="AI414" s="20">
        <v>13.6</v>
      </c>
      <c r="AJ414" s="20">
        <v>500</v>
      </c>
      <c r="AK414" s="20"/>
      <c r="AL414" s="20">
        <v>688</v>
      </c>
      <c r="AM414" s="20">
        <f t="shared" si="91"/>
        <v>75161.279999999984</v>
      </c>
      <c r="AN414" s="7" t="s">
        <v>176</v>
      </c>
      <c r="AO414" s="20"/>
      <c r="AP414" s="21"/>
      <c r="AQ414" s="21"/>
      <c r="AR414" s="5" t="s">
        <v>751</v>
      </c>
      <c r="AS414" s="5" t="s">
        <v>164</v>
      </c>
      <c r="AT414" s="5" t="s">
        <v>59</v>
      </c>
      <c r="AU414" s="20"/>
      <c r="AV414" s="21"/>
      <c r="AW414" s="21"/>
      <c r="AX414" s="21"/>
    </row>
    <row r="415" spans="1:50" s="55" customFormat="1">
      <c r="A415" s="86" t="s">
        <v>318</v>
      </c>
      <c r="B415" s="5">
        <v>15009209</v>
      </c>
      <c r="C415" s="5" t="s">
        <v>788</v>
      </c>
      <c r="D415" s="5" t="s">
        <v>321</v>
      </c>
      <c r="E415" s="5" t="s">
        <v>52</v>
      </c>
      <c r="F415" s="5" t="s">
        <v>62</v>
      </c>
      <c r="G415" s="5" t="s">
        <v>207</v>
      </c>
      <c r="H415" s="5" t="s">
        <v>753</v>
      </c>
      <c r="I415" s="6">
        <v>41487</v>
      </c>
      <c r="J415" s="5" t="s">
        <v>336</v>
      </c>
      <c r="K415" s="5" t="s">
        <v>511</v>
      </c>
      <c r="L415" s="5" t="s">
        <v>324</v>
      </c>
      <c r="M415" s="7">
        <v>6</v>
      </c>
      <c r="N415" s="7" t="s">
        <v>176</v>
      </c>
      <c r="O415" s="8">
        <v>4618</v>
      </c>
      <c r="P415" s="9">
        <v>0.02</v>
      </c>
      <c r="Q415" s="10">
        <f t="shared" si="79"/>
        <v>92</v>
      </c>
      <c r="R415" s="9">
        <v>5.0000000000000001E-3</v>
      </c>
      <c r="S415" s="10">
        <f t="shared" si="80"/>
        <v>23</v>
      </c>
      <c r="T415" s="9">
        <f t="shared" si="81"/>
        <v>2.4902555218709398E-2</v>
      </c>
      <c r="U415" s="10">
        <f t="shared" si="82"/>
        <v>115</v>
      </c>
      <c r="V415" s="10">
        <f t="shared" si="83"/>
        <v>4733</v>
      </c>
      <c r="W415" s="11">
        <f>VLOOKUP(B415,[1]调薪计算!A:M,12,0)</f>
        <v>4733.45</v>
      </c>
      <c r="X415" s="12">
        <f t="shared" si="84"/>
        <v>115.44999999999982</v>
      </c>
      <c r="Y415" s="13">
        <f t="shared" si="85"/>
        <v>2.5000000000000001E-2</v>
      </c>
      <c r="Z415" s="14" t="str">
        <f t="shared" si="86"/>
        <v>0.00%-8.40%</v>
      </c>
      <c r="AA415" s="15"/>
      <c r="AB415" s="15"/>
      <c r="AC415" s="15"/>
      <c r="AD415" s="16"/>
      <c r="AE415" s="8">
        <f t="shared" si="87"/>
        <v>0</v>
      </c>
      <c r="AF415" s="17">
        <f t="shared" si="88"/>
        <v>4733.45</v>
      </c>
      <c r="AG415" s="18">
        <f t="shared" si="89"/>
        <v>115.44999999999982</v>
      </c>
      <c r="AH415" s="19">
        <f t="shared" si="90"/>
        <v>2.4999999999999911E-2</v>
      </c>
      <c r="AI415" s="20">
        <v>13.6</v>
      </c>
      <c r="AJ415" s="20">
        <v>500</v>
      </c>
      <c r="AK415" s="20"/>
      <c r="AL415" s="20">
        <v>688</v>
      </c>
      <c r="AM415" s="20">
        <f t="shared" si="91"/>
        <v>71062.92</v>
      </c>
      <c r="AN415" s="7" t="s">
        <v>176</v>
      </c>
      <c r="AO415" s="20"/>
      <c r="AP415" s="21"/>
      <c r="AQ415" s="21"/>
      <c r="AR415" s="5" t="s">
        <v>751</v>
      </c>
      <c r="AS415" s="5" t="s">
        <v>164</v>
      </c>
      <c r="AT415" s="5" t="s">
        <v>59</v>
      </c>
      <c r="AU415" s="20"/>
      <c r="AV415" s="21"/>
      <c r="AW415" s="21"/>
      <c r="AX415" s="21"/>
    </row>
    <row r="416" spans="1:50" s="55" customFormat="1">
      <c r="A416" s="86" t="s">
        <v>318</v>
      </c>
      <c r="B416" s="5">
        <v>15011069</v>
      </c>
      <c r="C416" s="5" t="s">
        <v>789</v>
      </c>
      <c r="D416" s="5" t="s">
        <v>321</v>
      </c>
      <c r="E416" s="5" t="s">
        <v>52</v>
      </c>
      <c r="F416" s="5" t="s">
        <v>62</v>
      </c>
      <c r="G416" s="5" t="s">
        <v>207</v>
      </c>
      <c r="H416" s="5" t="s">
        <v>753</v>
      </c>
      <c r="I416" s="6">
        <v>41579</v>
      </c>
      <c r="J416" s="5" t="s">
        <v>336</v>
      </c>
      <c r="K416" s="5" t="s">
        <v>511</v>
      </c>
      <c r="L416" s="5" t="s">
        <v>324</v>
      </c>
      <c r="M416" s="7">
        <v>6</v>
      </c>
      <c r="N416" s="7" t="s">
        <v>176</v>
      </c>
      <c r="O416" s="8">
        <v>5478</v>
      </c>
      <c r="P416" s="9">
        <v>0.02</v>
      </c>
      <c r="Q416" s="10">
        <f t="shared" si="79"/>
        <v>110</v>
      </c>
      <c r="R416" s="9">
        <v>5.0000000000000001E-3</v>
      </c>
      <c r="S416" s="10">
        <f t="shared" si="80"/>
        <v>27</v>
      </c>
      <c r="T416" s="9">
        <f t="shared" si="81"/>
        <v>2.5009127418765972E-2</v>
      </c>
      <c r="U416" s="10">
        <f t="shared" si="82"/>
        <v>137</v>
      </c>
      <c r="V416" s="10">
        <f t="shared" si="83"/>
        <v>5615</v>
      </c>
      <c r="W416" s="11">
        <f>VLOOKUP(B416,[1]调薪计算!A:M,12,0)</f>
        <v>5532.78</v>
      </c>
      <c r="X416" s="12">
        <f t="shared" si="84"/>
        <v>54.779999999999745</v>
      </c>
      <c r="Y416" s="13">
        <f t="shared" si="85"/>
        <v>0.01</v>
      </c>
      <c r="Z416" s="14" t="str">
        <f t="shared" si="86"/>
        <v>0.00%-8.40%</v>
      </c>
      <c r="AA416" s="15"/>
      <c r="AB416" s="15"/>
      <c r="AC416" s="15"/>
      <c r="AD416" s="16"/>
      <c r="AE416" s="8">
        <f t="shared" si="87"/>
        <v>0</v>
      </c>
      <c r="AF416" s="17">
        <f t="shared" si="88"/>
        <v>5532.78</v>
      </c>
      <c r="AG416" s="18">
        <f t="shared" si="89"/>
        <v>54.779999999999745</v>
      </c>
      <c r="AH416" s="19">
        <f t="shared" si="90"/>
        <v>1.0000000000000009E-2</v>
      </c>
      <c r="AI416" s="20">
        <v>13.6</v>
      </c>
      <c r="AJ416" s="20">
        <v>500</v>
      </c>
      <c r="AK416" s="20"/>
      <c r="AL416" s="20">
        <v>688</v>
      </c>
      <c r="AM416" s="20">
        <f t="shared" si="91"/>
        <v>81933.80799999999</v>
      </c>
      <c r="AN416" s="7" t="s">
        <v>176</v>
      </c>
      <c r="AO416" s="20" t="s">
        <v>364</v>
      </c>
      <c r="AP416" s="21"/>
      <c r="AQ416" s="21"/>
      <c r="AR416" s="5" t="s">
        <v>751</v>
      </c>
      <c r="AS416" s="5" t="s">
        <v>164</v>
      </c>
      <c r="AT416" s="5" t="s">
        <v>59</v>
      </c>
      <c r="AU416" s="20"/>
      <c r="AV416" s="21"/>
      <c r="AW416" s="21"/>
      <c r="AX416" s="21"/>
    </row>
    <row r="417" spans="1:50" s="55" customFormat="1">
      <c r="A417" s="86" t="s">
        <v>318</v>
      </c>
      <c r="B417" s="5">
        <v>15017710</v>
      </c>
      <c r="C417" s="5" t="s">
        <v>790</v>
      </c>
      <c r="D417" s="5" t="s">
        <v>321</v>
      </c>
      <c r="E417" s="5" t="s">
        <v>52</v>
      </c>
      <c r="F417" s="5" t="s">
        <v>62</v>
      </c>
      <c r="G417" s="5" t="s">
        <v>207</v>
      </c>
      <c r="H417" s="5" t="s">
        <v>753</v>
      </c>
      <c r="I417" s="6">
        <v>43101</v>
      </c>
      <c r="J417" s="5" t="s">
        <v>336</v>
      </c>
      <c r="K417" s="5" t="s">
        <v>511</v>
      </c>
      <c r="L417" s="5" t="s">
        <v>324</v>
      </c>
      <c r="M417" s="7">
        <v>6</v>
      </c>
      <c r="N417" s="7" t="s">
        <v>176</v>
      </c>
      <c r="O417" s="8">
        <v>4667</v>
      </c>
      <c r="P417" s="9">
        <v>0.02</v>
      </c>
      <c r="Q417" s="10">
        <f t="shared" si="79"/>
        <v>93</v>
      </c>
      <c r="R417" s="9">
        <v>5.0000000000000001E-3</v>
      </c>
      <c r="S417" s="10">
        <f t="shared" si="80"/>
        <v>23</v>
      </c>
      <c r="T417" s="9">
        <f t="shared" si="81"/>
        <v>2.4855367473751874E-2</v>
      </c>
      <c r="U417" s="10">
        <f t="shared" si="82"/>
        <v>116</v>
      </c>
      <c r="V417" s="10">
        <f t="shared" si="83"/>
        <v>4783</v>
      </c>
      <c r="W417" s="11">
        <f>VLOOKUP(B417,[1]调薪计算!A:M,12,0)</f>
        <v>4783.6749999999993</v>
      </c>
      <c r="X417" s="12">
        <f t="shared" si="84"/>
        <v>116.67499999999927</v>
      </c>
      <c r="Y417" s="13">
        <f t="shared" si="85"/>
        <v>2.5000000000000001E-2</v>
      </c>
      <c r="Z417" s="14" t="str">
        <f t="shared" si="86"/>
        <v>0.00%-8.40%</v>
      </c>
      <c r="AA417" s="15"/>
      <c r="AB417" s="15"/>
      <c r="AC417" s="15"/>
      <c r="AD417" s="16"/>
      <c r="AE417" s="8">
        <f t="shared" si="87"/>
        <v>0</v>
      </c>
      <c r="AF417" s="17">
        <f t="shared" si="88"/>
        <v>4783.6749999999993</v>
      </c>
      <c r="AG417" s="18">
        <f t="shared" si="89"/>
        <v>116.67499999999927</v>
      </c>
      <c r="AH417" s="19">
        <f t="shared" si="90"/>
        <v>2.4999999999999911E-2</v>
      </c>
      <c r="AI417" s="20">
        <v>13.6</v>
      </c>
      <c r="AJ417" s="20">
        <v>500</v>
      </c>
      <c r="AK417" s="20"/>
      <c r="AL417" s="20">
        <v>688</v>
      </c>
      <c r="AM417" s="20">
        <f t="shared" si="91"/>
        <v>71745.979999999981</v>
      </c>
      <c r="AN417" s="7" t="s">
        <v>176</v>
      </c>
      <c r="AO417" s="20"/>
      <c r="AP417" s="21"/>
      <c r="AQ417" s="21"/>
      <c r="AR417" s="5" t="s">
        <v>751</v>
      </c>
      <c r="AS417" s="5" t="s">
        <v>164</v>
      </c>
      <c r="AT417" s="5" t="s">
        <v>59</v>
      </c>
      <c r="AU417" s="20"/>
      <c r="AV417" s="21"/>
      <c r="AW417" s="21"/>
      <c r="AX417" s="21"/>
    </row>
    <row r="418" spans="1:50" s="55" customFormat="1">
      <c r="A418" s="86" t="s">
        <v>318</v>
      </c>
      <c r="B418" s="5">
        <v>15012418</v>
      </c>
      <c r="C418" s="5" t="s">
        <v>791</v>
      </c>
      <c r="D418" s="5" t="s">
        <v>321</v>
      </c>
      <c r="E418" s="5" t="s">
        <v>52</v>
      </c>
      <c r="F418" s="5" t="s">
        <v>62</v>
      </c>
      <c r="G418" s="5" t="s">
        <v>207</v>
      </c>
      <c r="H418" s="5" t="s">
        <v>753</v>
      </c>
      <c r="I418" s="6">
        <v>41730</v>
      </c>
      <c r="J418" s="5" t="s">
        <v>336</v>
      </c>
      <c r="K418" s="5" t="s">
        <v>792</v>
      </c>
      <c r="L418" s="5" t="s">
        <v>324</v>
      </c>
      <c r="M418" s="7">
        <v>6</v>
      </c>
      <c r="N418" s="7" t="s">
        <v>176</v>
      </c>
      <c r="O418" s="8">
        <v>5191</v>
      </c>
      <c r="P418" s="9">
        <v>0.02</v>
      </c>
      <c r="Q418" s="10">
        <f t="shared" si="79"/>
        <v>104</v>
      </c>
      <c r="R418" s="9">
        <v>5.0000000000000001E-3</v>
      </c>
      <c r="S418" s="10">
        <f t="shared" si="80"/>
        <v>26</v>
      </c>
      <c r="T418" s="9">
        <f t="shared" si="81"/>
        <v>2.5043344249662879E-2</v>
      </c>
      <c r="U418" s="10">
        <f t="shared" si="82"/>
        <v>130</v>
      </c>
      <c r="V418" s="10">
        <f t="shared" si="83"/>
        <v>5321</v>
      </c>
      <c r="W418" s="11">
        <f>VLOOKUP(B418,[1]调薪计算!A:M,12,0)</f>
        <v>5424.5949999999993</v>
      </c>
      <c r="X418" s="12">
        <f t="shared" si="84"/>
        <v>233.59499999999935</v>
      </c>
      <c r="Y418" s="13">
        <f t="shared" si="85"/>
        <v>4.4999999999999998E-2</v>
      </c>
      <c r="Z418" s="14" t="str">
        <f t="shared" si="86"/>
        <v>0.00%-8.40%</v>
      </c>
      <c r="AA418" s="15"/>
      <c r="AB418" s="15"/>
      <c r="AC418" s="15"/>
      <c r="AD418" s="16"/>
      <c r="AE418" s="8">
        <f t="shared" si="87"/>
        <v>0</v>
      </c>
      <c r="AF418" s="17">
        <f t="shared" si="88"/>
        <v>5424.5949999999993</v>
      </c>
      <c r="AG418" s="18">
        <f t="shared" si="89"/>
        <v>233.59499999999935</v>
      </c>
      <c r="AH418" s="19">
        <f t="shared" si="90"/>
        <v>4.4999999999999929E-2</v>
      </c>
      <c r="AI418" s="20">
        <v>13.6</v>
      </c>
      <c r="AJ418" s="20">
        <v>800</v>
      </c>
      <c r="AK418" s="20"/>
      <c r="AL418" s="20">
        <v>688</v>
      </c>
      <c r="AM418" s="20">
        <f t="shared" si="91"/>
        <v>84062.491999999984</v>
      </c>
      <c r="AN418" s="7" t="s">
        <v>176</v>
      </c>
      <c r="AO418" s="20"/>
      <c r="AP418" s="21"/>
      <c r="AQ418" s="21"/>
      <c r="AR418" s="5" t="s">
        <v>751</v>
      </c>
      <c r="AS418" s="5" t="s">
        <v>164</v>
      </c>
      <c r="AT418" s="5" t="s">
        <v>59</v>
      </c>
      <c r="AU418" s="20"/>
      <c r="AV418" s="21"/>
      <c r="AW418" s="21"/>
      <c r="AX418" s="21"/>
    </row>
    <row r="419" spans="1:50" s="55" customFormat="1">
      <c r="A419" s="86" t="s">
        <v>318</v>
      </c>
      <c r="B419" s="5">
        <v>15004713</v>
      </c>
      <c r="C419" s="5" t="s">
        <v>793</v>
      </c>
      <c r="D419" s="5" t="s">
        <v>321</v>
      </c>
      <c r="E419" s="5" t="s">
        <v>52</v>
      </c>
      <c r="F419" s="5" t="s">
        <v>62</v>
      </c>
      <c r="G419" s="5" t="s">
        <v>207</v>
      </c>
      <c r="H419" s="5" t="s">
        <v>753</v>
      </c>
      <c r="I419" s="6">
        <v>40695</v>
      </c>
      <c r="J419" s="5" t="s">
        <v>336</v>
      </c>
      <c r="K419" s="5" t="s">
        <v>511</v>
      </c>
      <c r="L419" s="5" t="s">
        <v>324</v>
      </c>
      <c r="M419" s="7">
        <v>6</v>
      </c>
      <c r="N419" s="7" t="s">
        <v>176</v>
      </c>
      <c r="O419" s="8">
        <v>4991</v>
      </c>
      <c r="P419" s="9">
        <v>0.02</v>
      </c>
      <c r="Q419" s="10">
        <f t="shared" si="79"/>
        <v>100</v>
      </c>
      <c r="R419" s="9">
        <v>5.0000000000000001E-3</v>
      </c>
      <c r="S419" s="10">
        <f t="shared" si="80"/>
        <v>25</v>
      </c>
      <c r="T419" s="9">
        <f t="shared" si="81"/>
        <v>2.5045081146062912E-2</v>
      </c>
      <c r="U419" s="10">
        <f t="shared" si="82"/>
        <v>125</v>
      </c>
      <c r="V419" s="10">
        <f t="shared" si="83"/>
        <v>5116</v>
      </c>
      <c r="W419" s="11">
        <f>VLOOKUP(B419,[1]调薪计算!A:M,12,0)</f>
        <v>5115.7749999999996</v>
      </c>
      <c r="X419" s="12">
        <f t="shared" si="84"/>
        <v>124.77499999999964</v>
      </c>
      <c r="Y419" s="13">
        <f t="shared" si="85"/>
        <v>2.5000000000000001E-2</v>
      </c>
      <c r="Z419" s="14" t="str">
        <f t="shared" si="86"/>
        <v>0.00%-8.40%</v>
      </c>
      <c r="AA419" s="15"/>
      <c r="AB419" s="15"/>
      <c r="AC419" s="15"/>
      <c r="AD419" s="16"/>
      <c r="AE419" s="8">
        <f t="shared" si="87"/>
        <v>0</v>
      </c>
      <c r="AF419" s="17">
        <f t="shared" si="88"/>
        <v>5115.7749999999996</v>
      </c>
      <c r="AG419" s="18">
        <f t="shared" si="89"/>
        <v>124.77499999999964</v>
      </c>
      <c r="AH419" s="19">
        <f t="shared" si="90"/>
        <v>2.4999999999999911E-2</v>
      </c>
      <c r="AI419" s="20">
        <v>13.6</v>
      </c>
      <c r="AJ419" s="20">
        <v>500</v>
      </c>
      <c r="AK419" s="20"/>
      <c r="AL419" s="20">
        <v>688</v>
      </c>
      <c r="AM419" s="20">
        <f t="shared" si="91"/>
        <v>76262.539999999994</v>
      </c>
      <c r="AN419" s="7" t="s">
        <v>176</v>
      </c>
      <c r="AO419" s="20"/>
      <c r="AP419" s="21"/>
      <c r="AQ419" s="21"/>
      <c r="AR419" s="5" t="s">
        <v>751</v>
      </c>
      <c r="AS419" s="5" t="s">
        <v>164</v>
      </c>
      <c r="AT419" s="5" t="s">
        <v>59</v>
      </c>
      <c r="AU419" s="20"/>
      <c r="AV419" s="21"/>
      <c r="AW419" s="21"/>
      <c r="AX419" s="21"/>
    </row>
    <row r="420" spans="1:50" s="55" customFormat="1">
      <c r="A420" s="86" t="s">
        <v>318</v>
      </c>
      <c r="B420" s="5">
        <v>15009328</v>
      </c>
      <c r="C420" s="5" t="s">
        <v>794</v>
      </c>
      <c r="D420" s="5" t="s">
        <v>321</v>
      </c>
      <c r="E420" s="5" t="s">
        <v>52</v>
      </c>
      <c r="F420" s="5" t="s">
        <v>62</v>
      </c>
      <c r="G420" s="5" t="s">
        <v>207</v>
      </c>
      <c r="H420" s="5" t="s">
        <v>753</v>
      </c>
      <c r="I420" s="6">
        <v>41487</v>
      </c>
      <c r="J420" s="5" t="s">
        <v>336</v>
      </c>
      <c r="K420" s="5" t="s">
        <v>511</v>
      </c>
      <c r="L420" s="5" t="s">
        <v>324</v>
      </c>
      <c r="M420" s="7">
        <v>6</v>
      </c>
      <c r="N420" s="7" t="s">
        <v>176</v>
      </c>
      <c r="O420" s="8">
        <v>4582</v>
      </c>
      <c r="P420" s="9">
        <v>0.02</v>
      </c>
      <c r="Q420" s="10">
        <f t="shared" si="79"/>
        <v>92</v>
      </c>
      <c r="R420" s="9">
        <v>5.0000000000000001E-3</v>
      </c>
      <c r="S420" s="10">
        <f t="shared" si="80"/>
        <v>23</v>
      </c>
      <c r="T420" s="9">
        <f t="shared" si="81"/>
        <v>2.5098210388476649E-2</v>
      </c>
      <c r="U420" s="10">
        <f t="shared" si="82"/>
        <v>115</v>
      </c>
      <c r="V420" s="10">
        <f t="shared" si="83"/>
        <v>4697</v>
      </c>
      <c r="W420" s="11">
        <f>VLOOKUP(B420,[1]调薪计算!A:M,12,0)</f>
        <v>4627.82</v>
      </c>
      <c r="X420" s="12">
        <f t="shared" si="84"/>
        <v>45.819999999999709</v>
      </c>
      <c r="Y420" s="13">
        <f t="shared" si="85"/>
        <v>0.01</v>
      </c>
      <c r="Z420" s="14" t="str">
        <f t="shared" si="86"/>
        <v>0.00%-8.40%</v>
      </c>
      <c r="AA420" s="15"/>
      <c r="AB420" s="15"/>
      <c r="AC420" s="15"/>
      <c r="AD420" s="16"/>
      <c r="AE420" s="8">
        <f t="shared" si="87"/>
        <v>0</v>
      </c>
      <c r="AF420" s="17">
        <f t="shared" si="88"/>
        <v>4627.82</v>
      </c>
      <c r="AG420" s="18">
        <f t="shared" si="89"/>
        <v>45.819999999999709</v>
      </c>
      <c r="AH420" s="19">
        <f t="shared" si="90"/>
        <v>1.0000000000000009E-2</v>
      </c>
      <c r="AI420" s="20">
        <v>13.6</v>
      </c>
      <c r="AJ420" s="20">
        <v>500</v>
      </c>
      <c r="AK420" s="20"/>
      <c r="AL420" s="20">
        <v>688</v>
      </c>
      <c r="AM420" s="20">
        <f t="shared" si="91"/>
        <v>69626.351999999984</v>
      </c>
      <c r="AN420" s="7" t="s">
        <v>176</v>
      </c>
      <c r="AO420" s="20"/>
      <c r="AP420" s="21"/>
      <c r="AQ420" s="21"/>
      <c r="AR420" s="5" t="s">
        <v>751</v>
      </c>
      <c r="AS420" s="5" t="s">
        <v>164</v>
      </c>
      <c r="AT420" s="5" t="s">
        <v>59</v>
      </c>
      <c r="AU420" s="20"/>
      <c r="AV420" s="21"/>
      <c r="AW420" s="21"/>
      <c r="AX420" s="21"/>
    </row>
    <row r="421" spans="1:50" s="55" customFormat="1">
      <c r="A421" s="86" t="s">
        <v>318</v>
      </c>
      <c r="B421" s="5">
        <v>15012497</v>
      </c>
      <c r="C421" s="5" t="s">
        <v>795</v>
      </c>
      <c r="D421" s="5" t="s">
        <v>321</v>
      </c>
      <c r="E421" s="5" t="s">
        <v>52</v>
      </c>
      <c r="F421" s="5" t="s">
        <v>62</v>
      </c>
      <c r="G421" s="5" t="s">
        <v>207</v>
      </c>
      <c r="H421" s="5" t="s">
        <v>753</v>
      </c>
      <c r="I421" s="6">
        <v>41821</v>
      </c>
      <c r="J421" s="5" t="s">
        <v>336</v>
      </c>
      <c r="K421" s="5" t="s">
        <v>511</v>
      </c>
      <c r="L421" s="5" t="s">
        <v>324</v>
      </c>
      <c r="M421" s="7">
        <v>6</v>
      </c>
      <c r="N421" s="7" t="s">
        <v>176</v>
      </c>
      <c r="O421" s="8">
        <v>5137</v>
      </c>
      <c r="P421" s="9">
        <v>0.02</v>
      </c>
      <c r="Q421" s="10">
        <f t="shared" si="79"/>
        <v>103</v>
      </c>
      <c r="R421" s="9">
        <v>5.0000000000000001E-3</v>
      </c>
      <c r="S421" s="10">
        <f t="shared" si="80"/>
        <v>26</v>
      </c>
      <c r="T421" s="9">
        <f t="shared" si="81"/>
        <v>2.5111933034845241E-2</v>
      </c>
      <c r="U421" s="10">
        <f t="shared" si="82"/>
        <v>129</v>
      </c>
      <c r="V421" s="10">
        <f t="shared" si="83"/>
        <v>5266</v>
      </c>
      <c r="W421" s="11">
        <f>VLOOKUP(B421,[1]调薪计算!A:M,12,0)</f>
        <v>5265.4249999999993</v>
      </c>
      <c r="X421" s="12">
        <f t="shared" si="84"/>
        <v>128.42499999999927</v>
      </c>
      <c r="Y421" s="13">
        <f t="shared" si="85"/>
        <v>2.5000000000000001E-2</v>
      </c>
      <c r="Z421" s="14" t="str">
        <f t="shared" si="86"/>
        <v>0.00%-8.40%</v>
      </c>
      <c r="AA421" s="15"/>
      <c r="AB421" s="15"/>
      <c r="AC421" s="15"/>
      <c r="AD421" s="16"/>
      <c r="AE421" s="8">
        <f t="shared" si="87"/>
        <v>0</v>
      </c>
      <c r="AF421" s="17">
        <f t="shared" si="88"/>
        <v>5265.4249999999993</v>
      </c>
      <c r="AG421" s="18">
        <f t="shared" si="89"/>
        <v>128.42499999999927</v>
      </c>
      <c r="AH421" s="19">
        <f t="shared" si="90"/>
        <v>2.4999999999999911E-2</v>
      </c>
      <c r="AI421" s="20">
        <v>13.6</v>
      </c>
      <c r="AJ421" s="20">
        <v>500</v>
      </c>
      <c r="AK421" s="20"/>
      <c r="AL421" s="20">
        <v>688</v>
      </c>
      <c r="AM421" s="20">
        <f t="shared" si="91"/>
        <v>78297.779999999984</v>
      </c>
      <c r="AN421" s="7" t="s">
        <v>176</v>
      </c>
      <c r="AO421" s="20"/>
      <c r="AP421" s="21"/>
      <c r="AQ421" s="21"/>
      <c r="AR421" s="5" t="s">
        <v>751</v>
      </c>
      <c r="AS421" s="5" t="s">
        <v>164</v>
      </c>
      <c r="AT421" s="5" t="s">
        <v>59</v>
      </c>
      <c r="AU421" s="20"/>
      <c r="AV421" s="21"/>
      <c r="AW421" s="21"/>
      <c r="AX421" s="21"/>
    </row>
    <row r="422" spans="1:50" s="55" customFormat="1">
      <c r="A422" s="86" t="s">
        <v>318</v>
      </c>
      <c r="B422" s="5">
        <v>15013973</v>
      </c>
      <c r="C422" s="5" t="s">
        <v>796</v>
      </c>
      <c r="D422" s="5" t="s">
        <v>321</v>
      </c>
      <c r="E422" s="5" t="s">
        <v>52</v>
      </c>
      <c r="F422" s="5" t="s">
        <v>62</v>
      </c>
      <c r="G422" s="5" t="s">
        <v>207</v>
      </c>
      <c r="H422" s="5" t="s">
        <v>753</v>
      </c>
      <c r="I422" s="6">
        <v>42125</v>
      </c>
      <c r="J422" s="5" t="s">
        <v>336</v>
      </c>
      <c r="K422" s="5" t="s">
        <v>511</v>
      </c>
      <c r="L422" s="5" t="s">
        <v>324</v>
      </c>
      <c r="M422" s="7">
        <v>6</v>
      </c>
      <c r="N422" s="7" t="s">
        <v>176</v>
      </c>
      <c r="O422" s="8">
        <v>4409</v>
      </c>
      <c r="P422" s="9">
        <v>0.02</v>
      </c>
      <c r="Q422" s="10">
        <f t="shared" si="79"/>
        <v>88</v>
      </c>
      <c r="R422" s="9">
        <v>5.0000000000000001E-3</v>
      </c>
      <c r="S422" s="10">
        <f t="shared" si="80"/>
        <v>22</v>
      </c>
      <c r="T422" s="9">
        <f t="shared" si="81"/>
        <v>2.4948968019959175E-2</v>
      </c>
      <c r="U422" s="10">
        <f t="shared" si="82"/>
        <v>110</v>
      </c>
      <c r="V422" s="10">
        <f t="shared" si="83"/>
        <v>4519</v>
      </c>
      <c r="W422" s="11">
        <f>VLOOKUP(B422,[1]调薪计算!A:M,12,0)</f>
        <v>4519.2249999999995</v>
      </c>
      <c r="X422" s="12">
        <f t="shared" si="84"/>
        <v>110.22499999999945</v>
      </c>
      <c r="Y422" s="13">
        <f t="shared" si="85"/>
        <v>2.5000000000000001E-2</v>
      </c>
      <c r="Z422" s="14" t="str">
        <f t="shared" si="86"/>
        <v>0.00%-8.40%</v>
      </c>
      <c r="AA422" s="15"/>
      <c r="AB422" s="15"/>
      <c r="AC422" s="15"/>
      <c r="AD422" s="16"/>
      <c r="AE422" s="8">
        <f t="shared" si="87"/>
        <v>0</v>
      </c>
      <c r="AF422" s="17">
        <f t="shared" si="88"/>
        <v>4519.2249999999995</v>
      </c>
      <c r="AG422" s="18">
        <f t="shared" si="89"/>
        <v>110.22499999999945</v>
      </c>
      <c r="AH422" s="19">
        <f t="shared" si="90"/>
        <v>2.4999999999999911E-2</v>
      </c>
      <c r="AI422" s="20">
        <v>13.6</v>
      </c>
      <c r="AJ422" s="20">
        <v>500</v>
      </c>
      <c r="AK422" s="20"/>
      <c r="AL422" s="20">
        <v>688</v>
      </c>
      <c r="AM422" s="20">
        <f t="shared" si="91"/>
        <v>68149.459999999992</v>
      </c>
      <c r="AN422" s="7" t="s">
        <v>176</v>
      </c>
      <c r="AO422" s="20"/>
      <c r="AP422" s="21"/>
      <c r="AQ422" s="21"/>
      <c r="AR422" s="5" t="s">
        <v>751</v>
      </c>
      <c r="AS422" s="5" t="s">
        <v>164</v>
      </c>
      <c r="AT422" s="5" t="s">
        <v>59</v>
      </c>
      <c r="AU422" s="20"/>
      <c r="AV422" s="21"/>
      <c r="AW422" s="21"/>
      <c r="AX422" s="21"/>
    </row>
    <row r="423" spans="1:50" s="55" customFormat="1">
      <c r="A423" s="86" t="s">
        <v>318</v>
      </c>
      <c r="B423" s="5">
        <v>15017798</v>
      </c>
      <c r="C423" s="5" t="s">
        <v>797</v>
      </c>
      <c r="D423" s="5" t="s">
        <v>321</v>
      </c>
      <c r="E423" s="5" t="s">
        <v>52</v>
      </c>
      <c r="F423" s="5" t="s">
        <v>62</v>
      </c>
      <c r="G423" s="5" t="s">
        <v>207</v>
      </c>
      <c r="H423" s="5" t="s">
        <v>753</v>
      </c>
      <c r="I423" s="6">
        <v>43101</v>
      </c>
      <c r="J423" s="5" t="s">
        <v>336</v>
      </c>
      <c r="K423" s="5" t="s">
        <v>511</v>
      </c>
      <c r="L423" s="5" t="s">
        <v>324</v>
      </c>
      <c r="M423" s="7">
        <v>6</v>
      </c>
      <c r="N423" s="7" t="s">
        <v>176</v>
      </c>
      <c r="O423" s="8">
        <v>5967</v>
      </c>
      <c r="P423" s="9">
        <v>0.02</v>
      </c>
      <c r="Q423" s="10">
        <f t="shared" si="79"/>
        <v>119</v>
      </c>
      <c r="R423" s="9">
        <v>5.0000000000000001E-3</v>
      </c>
      <c r="S423" s="10">
        <f t="shared" si="80"/>
        <v>30</v>
      </c>
      <c r="T423" s="9">
        <f t="shared" si="81"/>
        <v>2.4970672029495558E-2</v>
      </c>
      <c r="U423" s="10">
        <f t="shared" si="82"/>
        <v>149</v>
      </c>
      <c r="V423" s="10">
        <f t="shared" si="83"/>
        <v>6116</v>
      </c>
      <c r="W423" s="11">
        <f>VLOOKUP(B423,[1]调薪计算!A:M,12,0)</f>
        <v>6041.5874999999996</v>
      </c>
      <c r="X423" s="12">
        <f t="shared" si="84"/>
        <v>74.587499999999636</v>
      </c>
      <c r="Y423" s="13">
        <f t="shared" si="85"/>
        <v>1.2500000000000001E-2</v>
      </c>
      <c r="Z423" s="14" t="str">
        <f t="shared" si="86"/>
        <v>0.00%-8.40%</v>
      </c>
      <c r="AA423" s="15"/>
      <c r="AB423" s="15"/>
      <c r="AC423" s="15"/>
      <c r="AD423" s="16"/>
      <c r="AE423" s="8">
        <f t="shared" si="87"/>
        <v>0</v>
      </c>
      <c r="AF423" s="17">
        <f t="shared" si="88"/>
        <v>6041.5874999999996</v>
      </c>
      <c r="AG423" s="18">
        <f t="shared" si="89"/>
        <v>74.587499999999636</v>
      </c>
      <c r="AH423" s="19">
        <f t="shared" si="90"/>
        <v>1.2499999999999956E-2</v>
      </c>
      <c r="AI423" s="20">
        <v>13.6</v>
      </c>
      <c r="AJ423" s="20">
        <v>500</v>
      </c>
      <c r="AK423" s="20"/>
      <c r="AL423" s="20">
        <v>688</v>
      </c>
      <c r="AM423" s="20">
        <f t="shared" si="91"/>
        <v>88853.59</v>
      </c>
      <c r="AN423" s="7" t="s">
        <v>176</v>
      </c>
      <c r="AO423" s="20"/>
      <c r="AP423" s="21"/>
      <c r="AQ423" s="21"/>
      <c r="AR423" s="5" t="s">
        <v>751</v>
      </c>
      <c r="AS423" s="5" t="s">
        <v>164</v>
      </c>
      <c r="AT423" s="5" t="s">
        <v>59</v>
      </c>
      <c r="AU423" s="20"/>
      <c r="AV423" s="21"/>
      <c r="AW423" s="21"/>
      <c r="AX423" s="21"/>
    </row>
    <row r="424" spans="1:50" s="55" customFormat="1">
      <c r="A424" s="86" t="s">
        <v>318</v>
      </c>
      <c r="B424" s="5">
        <v>15013136</v>
      </c>
      <c r="C424" s="5" t="s">
        <v>798</v>
      </c>
      <c r="D424" s="5" t="s">
        <v>321</v>
      </c>
      <c r="E424" s="5" t="s">
        <v>52</v>
      </c>
      <c r="F424" s="5" t="s">
        <v>62</v>
      </c>
      <c r="G424" s="5" t="s">
        <v>207</v>
      </c>
      <c r="H424" s="5" t="s">
        <v>753</v>
      </c>
      <c r="I424" s="6">
        <v>41852</v>
      </c>
      <c r="J424" s="5" t="s">
        <v>336</v>
      </c>
      <c r="K424" s="5" t="s">
        <v>511</v>
      </c>
      <c r="L424" s="5" t="s">
        <v>324</v>
      </c>
      <c r="M424" s="7">
        <v>6</v>
      </c>
      <c r="N424" s="7" t="s">
        <v>176</v>
      </c>
      <c r="O424" s="8">
        <v>4768</v>
      </c>
      <c r="P424" s="9">
        <v>0.02</v>
      </c>
      <c r="Q424" s="10">
        <f t="shared" si="79"/>
        <v>95</v>
      </c>
      <c r="R424" s="9">
        <v>5.0000000000000001E-3</v>
      </c>
      <c r="S424" s="10">
        <f t="shared" si="80"/>
        <v>24</v>
      </c>
      <c r="T424" s="9">
        <f t="shared" si="81"/>
        <v>2.4958053691275166E-2</v>
      </c>
      <c r="U424" s="10">
        <f t="shared" si="82"/>
        <v>119</v>
      </c>
      <c r="V424" s="10">
        <f t="shared" si="83"/>
        <v>4887</v>
      </c>
      <c r="W424" s="11">
        <f>VLOOKUP(B424,[1]调薪计算!A:M,12,0)</f>
        <v>4815.68</v>
      </c>
      <c r="X424" s="12">
        <f t="shared" si="84"/>
        <v>47.680000000000291</v>
      </c>
      <c r="Y424" s="13">
        <f t="shared" si="85"/>
        <v>0.01</v>
      </c>
      <c r="Z424" s="14" t="str">
        <f t="shared" si="86"/>
        <v>0.00%-8.40%</v>
      </c>
      <c r="AA424" s="15"/>
      <c r="AB424" s="15"/>
      <c r="AC424" s="15"/>
      <c r="AD424" s="16"/>
      <c r="AE424" s="8">
        <f t="shared" si="87"/>
        <v>0</v>
      </c>
      <c r="AF424" s="17">
        <f t="shared" si="88"/>
        <v>4815.68</v>
      </c>
      <c r="AG424" s="18">
        <f t="shared" si="89"/>
        <v>47.680000000000291</v>
      </c>
      <c r="AH424" s="19">
        <f t="shared" si="90"/>
        <v>1.0000000000000009E-2</v>
      </c>
      <c r="AI424" s="20">
        <v>13.6</v>
      </c>
      <c r="AJ424" s="20">
        <v>500</v>
      </c>
      <c r="AK424" s="20"/>
      <c r="AL424" s="20">
        <v>688</v>
      </c>
      <c r="AM424" s="20">
        <f t="shared" si="91"/>
        <v>72181.247999999992</v>
      </c>
      <c r="AN424" s="7" t="s">
        <v>176</v>
      </c>
      <c r="AO424" s="20"/>
      <c r="AP424" s="21"/>
      <c r="AQ424" s="21"/>
      <c r="AR424" s="5" t="s">
        <v>751</v>
      </c>
      <c r="AS424" s="5" t="s">
        <v>164</v>
      </c>
      <c r="AT424" s="5" t="s">
        <v>59</v>
      </c>
      <c r="AU424" s="20"/>
      <c r="AV424" s="21"/>
      <c r="AW424" s="21"/>
      <c r="AX424" s="21"/>
    </row>
    <row r="425" spans="1:50" s="55" customFormat="1">
      <c r="A425" s="86" t="s">
        <v>318</v>
      </c>
      <c r="B425" s="5">
        <v>15001982</v>
      </c>
      <c r="C425" s="5" t="s">
        <v>799</v>
      </c>
      <c r="D425" s="5" t="s">
        <v>321</v>
      </c>
      <c r="E425" s="5" t="s">
        <v>52</v>
      </c>
      <c r="F425" s="5" t="s">
        <v>62</v>
      </c>
      <c r="G425" s="5" t="s">
        <v>207</v>
      </c>
      <c r="H425" s="5" t="s">
        <v>753</v>
      </c>
      <c r="I425" s="6">
        <v>39701</v>
      </c>
      <c r="J425" s="5" t="s">
        <v>336</v>
      </c>
      <c r="K425" s="5" t="s">
        <v>511</v>
      </c>
      <c r="L425" s="5" t="s">
        <v>324</v>
      </c>
      <c r="M425" s="7">
        <v>6</v>
      </c>
      <c r="N425" s="7" t="s">
        <v>176</v>
      </c>
      <c r="O425" s="8">
        <v>5118</v>
      </c>
      <c r="P425" s="9">
        <v>0.02</v>
      </c>
      <c r="Q425" s="10">
        <f t="shared" si="79"/>
        <v>102</v>
      </c>
      <c r="R425" s="9">
        <v>5.0000000000000001E-3</v>
      </c>
      <c r="S425" s="10">
        <f t="shared" si="80"/>
        <v>26</v>
      </c>
      <c r="T425" s="9">
        <f t="shared" si="81"/>
        <v>2.5009769441187966E-2</v>
      </c>
      <c r="U425" s="10">
        <f t="shared" si="82"/>
        <v>128</v>
      </c>
      <c r="V425" s="10">
        <f t="shared" si="83"/>
        <v>5246</v>
      </c>
      <c r="W425" s="11">
        <f>VLOOKUP(B425,[1]调薪计算!A:M,12,0)</f>
        <v>5348.3099999999995</v>
      </c>
      <c r="X425" s="12">
        <f t="shared" si="84"/>
        <v>230.30999999999949</v>
      </c>
      <c r="Y425" s="13">
        <f t="shared" si="85"/>
        <v>4.4999999999999998E-2</v>
      </c>
      <c r="Z425" s="14" t="str">
        <f t="shared" si="86"/>
        <v>0.00%-8.40%</v>
      </c>
      <c r="AA425" s="15"/>
      <c r="AB425" s="15"/>
      <c r="AC425" s="15"/>
      <c r="AD425" s="16"/>
      <c r="AE425" s="8">
        <f t="shared" si="87"/>
        <v>0</v>
      </c>
      <c r="AF425" s="17">
        <f t="shared" si="88"/>
        <v>5348.3099999999995</v>
      </c>
      <c r="AG425" s="18">
        <f t="shared" si="89"/>
        <v>230.30999999999949</v>
      </c>
      <c r="AH425" s="19">
        <f t="shared" si="90"/>
        <v>4.4999999999999929E-2</v>
      </c>
      <c r="AI425" s="20">
        <v>13.6</v>
      </c>
      <c r="AJ425" s="20">
        <v>450</v>
      </c>
      <c r="AK425" s="20"/>
      <c r="AL425" s="20">
        <v>688</v>
      </c>
      <c r="AM425" s="20">
        <f t="shared" si="91"/>
        <v>78825.015999999989</v>
      </c>
      <c r="AN425" s="7" t="s">
        <v>176</v>
      </c>
      <c r="AO425" s="20"/>
      <c r="AP425" s="21"/>
      <c r="AQ425" s="21"/>
      <c r="AR425" s="5" t="s">
        <v>751</v>
      </c>
      <c r="AS425" s="5" t="s">
        <v>164</v>
      </c>
      <c r="AT425" s="5" t="s">
        <v>59</v>
      </c>
      <c r="AU425" s="20"/>
      <c r="AV425" s="21"/>
      <c r="AW425" s="21"/>
      <c r="AX425" s="21"/>
    </row>
    <row r="426" spans="1:50" s="55" customFormat="1">
      <c r="A426" s="86" t="s">
        <v>318</v>
      </c>
      <c r="B426" s="5">
        <v>15016851</v>
      </c>
      <c r="C426" s="5" t="s">
        <v>800</v>
      </c>
      <c r="D426" s="5" t="s">
        <v>321</v>
      </c>
      <c r="E426" s="5" t="s">
        <v>52</v>
      </c>
      <c r="F426" s="5" t="s">
        <v>62</v>
      </c>
      <c r="G426" s="5" t="s">
        <v>207</v>
      </c>
      <c r="H426" s="5" t="s">
        <v>753</v>
      </c>
      <c r="I426" s="6">
        <v>42948</v>
      </c>
      <c r="J426" s="5" t="s">
        <v>336</v>
      </c>
      <c r="K426" s="5" t="s">
        <v>511</v>
      </c>
      <c r="L426" s="5" t="s">
        <v>324</v>
      </c>
      <c r="M426" s="7">
        <v>6</v>
      </c>
      <c r="N426" s="7" t="s">
        <v>176</v>
      </c>
      <c r="O426" s="8">
        <v>5757</v>
      </c>
      <c r="P426" s="9">
        <v>0.02</v>
      </c>
      <c r="Q426" s="10">
        <f t="shared" si="79"/>
        <v>115</v>
      </c>
      <c r="R426" s="9">
        <v>5.0000000000000001E-3</v>
      </c>
      <c r="S426" s="10">
        <f t="shared" si="80"/>
        <v>29</v>
      </c>
      <c r="T426" s="9">
        <f t="shared" si="81"/>
        <v>2.5013027618551328E-2</v>
      </c>
      <c r="U426" s="10">
        <f t="shared" si="82"/>
        <v>144</v>
      </c>
      <c r="V426" s="10">
        <f t="shared" si="83"/>
        <v>5901</v>
      </c>
      <c r="W426" s="11">
        <f>VLOOKUP(B426,[1]调薪计算!A:M,12,0)</f>
        <v>6102.42</v>
      </c>
      <c r="X426" s="12">
        <f t="shared" si="84"/>
        <v>345.42000000000007</v>
      </c>
      <c r="Y426" s="13">
        <f t="shared" si="85"/>
        <v>0.06</v>
      </c>
      <c r="Z426" s="14" t="str">
        <f t="shared" si="86"/>
        <v>0.00%-8.40%</v>
      </c>
      <c r="AA426" s="15"/>
      <c r="AB426" s="15"/>
      <c r="AC426" s="15"/>
      <c r="AD426" s="16"/>
      <c r="AE426" s="8">
        <f t="shared" si="87"/>
        <v>0</v>
      </c>
      <c r="AF426" s="17">
        <f t="shared" si="88"/>
        <v>6102.42</v>
      </c>
      <c r="AG426" s="18">
        <f t="shared" si="89"/>
        <v>345.42000000000007</v>
      </c>
      <c r="AH426" s="19">
        <f t="shared" si="90"/>
        <v>6.0000000000000053E-2</v>
      </c>
      <c r="AI426" s="20">
        <v>13.6</v>
      </c>
      <c r="AJ426" s="20">
        <v>500</v>
      </c>
      <c r="AK426" s="20"/>
      <c r="AL426" s="20">
        <v>688</v>
      </c>
      <c r="AM426" s="20">
        <f t="shared" si="91"/>
        <v>89680.911999999997</v>
      </c>
      <c r="AN426" s="7" t="s">
        <v>176</v>
      </c>
      <c r="AO426" s="20"/>
      <c r="AP426" s="21"/>
      <c r="AQ426" s="21"/>
      <c r="AR426" s="5" t="s">
        <v>751</v>
      </c>
      <c r="AS426" s="5" t="s">
        <v>164</v>
      </c>
      <c r="AT426" s="5" t="s">
        <v>59</v>
      </c>
      <c r="AU426" s="20"/>
      <c r="AV426" s="21"/>
      <c r="AW426" s="21"/>
      <c r="AX426" s="21"/>
    </row>
    <row r="427" spans="1:50" s="55" customFormat="1">
      <c r="A427" s="86" t="s">
        <v>318</v>
      </c>
      <c r="B427" s="5">
        <v>15018032</v>
      </c>
      <c r="C427" s="5" t="s">
        <v>801</v>
      </c>
      <c r="D427" s="5" t="s">
        <v>321</v>
      </c>
      <c r="E427" s="5" t="s">
        <v>52</v>
      </c>
      <c r="F427" s="5" t="s">
        <v>62</v>
      </c>
      <c r="G427" s="5" t="s">
        <v>207</v>
      </c>
      <c r="H427" s="5" t="s">
        <v>753</v>
      </c>
      <c r="I427" s="6">
        <v>43132</v>
      </c>
      <c r="J427" s="5" t="s">
        <v>336</v>
      </c>
      <c r="K427" s="5" t="s">
        <v>511</v>
      </c>
      <c r="L427" s="5" t="s">
        <v>324</v>
      </c>
      <c r="M427" s="7">
        <v>6</v>
      </c>
      <c r="N427" s="7" t="s">
        <v>176</v>
      </c>
      <c r="O427" s="8">
        <v>4937</v>
      </c>
      <c r="P427" s="9">
        <v>0.02</v>
      </c>
      <c r="Q427" s="10">
        <f t="shared" si="79"/>
        <v>99</v>
      </c>
      <c r="R427" s="9">
        <v>5.0000000000000001E-3</v>
      </c>
      <c r="S427" s="10">
        <f t="shared" si="80"/>
        <v>25</v>
      </c>
      <c r="T427" s="9">
        <f t="shared" si="81"/>
        <v>2.5116467490378772E-2</v>
      </c>
      <c r="U427" s="10">
        <f t="shared" si="82"/>
        <v>124</v>
      </c>
      <c r="V427" s="10">
        <f t="shared" si="83"/>
        <v>5061</v>
      </c>
      <c r="W427" s="11">
        <f>VLOOKUP(B427,[1]调薪计算!A:M,12,0)</f>
        <v>4937</v>
      </c>
      <c r="X427" s="12">
        <f t="shared" si="84"/>
        <v>0</v>
      </c>
      <c r="Y427" s="13">
        <f t="shared" si="85"/>
        <v>0</v>
      </c>
      <c r="Z427" s="14" t="str">
        <f t="shared" si="86"/>
        <v>0.00%-8.40%</v>
      </c>
      <c r="AA427" s="15"/>
      <c r="AB427" s="15"/>
      <c r="AC427" s="15"/>
      <c r="AD427" s="16"/>
      <c r="AE427" s="8">
        <f t="shared" si="87"/>
        <v>0</v>
      </c>
      <c r="AF427" s="17">
        <f t="shared" si="88"/>
        <v>4937</v>
      </c>
      <c r="AG427" s="18">
        <f t="shared" si="89"/>
        <v>0</v>
      </c>
      <c r="AH427" s="19">
        <f t="shared" si="90"/>
        <v>0</v>
      </c>
      <c r="AI427" s="20">
        <v>13.6</v>
      </c>
      <c r="AJ427" s="20">
        <v>500</v>
      </c>
      <c r="AK427" s="20"/>
      <c r="AL427" s="20">
        <v>688</v>
      </c>
      <c r="AM427" s="20">
        <f t="shared" si="91"/>
        <v>73831.199999999997</v>
      </c>
      <c r="AN427" s="7" t="s">
        <v>176</v>
      </c>
      <c r="AO427" s="20"/>
      <c r="AP427" s="21" t="s">
        <v>97</v>
      </c>
      <c r="AQ427" s="21" t="s">
        <v>97</v>
      </c>
      <c r="AR427" s="5" t="s">
        <v>751</v>
      </c>
      <c r="AS427" s="5" t="s">
        <v>164</v>
      </c>
      <c r="AT427" s="5" t="s">
        <v>59</v>
      </c>
      <c r="AU427" s="20"/>
      <c r="AV427" s="21"/>
      <c r="AW427" s="21"/>
      <c r="AX427" s="21"/>
    </row>
    <row r="428" spans="1:50" s="55" customFormat="1">
      <c r="A428" s="86" t="s">
        <v>318</v>
      </c>
      <c r="B428" s="5">
        <v>15000223</v>
      </c>
      <c r="C428" s="5" t="s">
        <v>802</v>
      </c>
      <c r="D428" s="5" t="s">
        <v>321</v>
      </c>
      <c r="E428" s="5" t="s">
        <v>52</v>
      </c>
      <c r="F428" s="5" t="s">
        <v>62</v>
      </c>
      <c r="G428" s="5" t="s">
        <v>207</v>
      </c>
      <c r="H428" s="5" t="s">
        <v>753</v>
      </c>
      <c r="I428" s="6">
        <v>38614</v>
      </c>
      <c r="J428" s="5" t="s">
        <v>336</v>
      </c>
      <c r="K428" s="5" t="s">
        <v>803</v>
      </c>
      <c r="L428" s="5" t="s">
        <v>324</v>
      </c>
      <c r="M428" s="7">
        <v>6</v>
      </c>
      <c r="N428" s="7" t="s">
        <v>176</v>
      </c>
      <c r="O428" s="8">
        <v>5946</v>
      </c>
      <c r="P428" s="9">
        <v>0.02</v>
      </c>
      <c r="Q428" s="10">
        <f t="shared" si="79"/>
        <v>119</v>
      </c>
      <c r="R428" s="9">
        <v>5.0000000000000001E-3</v>
      </c>
      <c r="S428" s="10">
        <f t="shared" si="80"/>
        <v>30</v>
      </c>
      <c r="T428" s="9">
        <f t="shared" si="81"/>
        <v>2.5058863101244534E-2</v>
      </c>
      <c r="U428" s="10">
        <f t="shared" si="82"/>
        <v>149</v>
      </c>
      <c r="V428" s="10">
        <f t="shared" si="83"/>
        <v>6095</v>
      </c>
      <c r="W428" s="11">
        <f>VLOOKUP(B428,[1]调薪计算!A:M,12,0)</f>
        <v>6094.65</v>
      </c>
      <c r="X428" s="12">
        <f t="shared" si="84"/>
        <v>148.64999999999964</v>
      </c>
      <c r="Y428" s="13">
        <f t="shared" si="85"/>
        <v>2.5000000000000001E-2</v>
      </c>
      <c r="Z428" s="14" t="str">
        <f t="shared" si="86"/>
        <v>0.00%-8.40%</v>
      </c>
      <c r="AA428" s="15"/>
      <c r="AB428" s="15"/>
      <c r="AC428" s="15"/>
      <c r="AD428" s="16"/>
      <c r="AE428" s="8">
        <f t="shared" si="87"/>
        <v>0</v>
      </c>
      <c r="AF428" s="17">
        <f t="shared" si="88"/>
        <v>6094.65</v>
      </c>
      <c r="AG428" s="18">
        <f t="shared" si="89"/>
        <v>148.64999999999964</v>
      </c>
      <c r="AH428" s="19">
        <f t="shared" si="90"/>
        <v>2.4999999999999911E-2</v>
      </c>
      <c r="AI428" s="20">
        <v>13.6</v>
      </c>
      <c r="AJ428" s="20">
        <v>700</v>
      </c>
      <c r="AK428" s="20"/>
      <c r="AL428" s="20">
        <v>688</v>
      </c>
      <c r="AM428" s="20">
        <f t="shared" si="91"/>
        <v>91975.239999999991</v>
      </c>
      <c r="AN428" s="7" t="s">
        <v>176</v>
      </c>
      <c r="AO428" s="20"/>
      <c r="AP428" s="21"/>
      <c r="AQ428" s="21"/>
      <c r="AR428" s="5" t="s">
        <v>751</v>
      </c>
      <c r="AS428" s="5" t="s">
        <v>164</v>
      </c>
      <c r="AT428" s="5" t="s">
        <v>59</v>
      </c>
      <c r="AU428" s="20"/>
      <c r="AV428" s="21"/>
      <c r="AW428" s="21"/>
      <c r="AX428" s="21"/>
    </row>
    <row r="429" spans="1:50" s="55" customFormat="1">
      <c r="A429" s="86" t="s">
        <v>318</v>
      </c>
      <c r="B429" s="5">
        <v>1721010</v>
      </c>
      <c r="C429" s="5" t="s">
        <v>804</v>
      </c>
      <c r="D429" s="5" t="s">
        <v>321</v>
      </c>
      <c r="E429" s="5" t="s">
        <v>52</v>
      </c>
      <c r="F429" s="5" t="s">
        <v>62</v>
      </c>
      <c r="G429" s="5" t="s">
        <v>207</v>
      </c>
      <c r="H429" s="5" t="s">
        <v>750</v>
      </c>
      <c r="I429" s="6">
        <v>45474</v>
      </c>
      <c r="J429" s="5" t="s">
        <v>336</v>
      </c>
      <c r="K429" s="5" t="s">
        <v>766</v>
      </c>
      <c r="L429" s="5" t="s">
        <v>324</v>
      </c>
      <c r="M429" s="7">
        <v>6</v>
      </c>
      <c r="N429" s="7" t="s">
        <v>176</v>
      </c>
      <c r="O429" s="8">
        <v>4593</v>
      </c>
      <c r="P429" s="9">
        <v>0.02</v>
      </c>
      <c r="Q429" s="10">
        <f t="shared" si="79"/>
        <v>92</v>
      </c>
      <c r="R429" s="9">
        <v>5.0000000000000001E-3</v>
      </c>
      <c r="S429" s="10">
        <f t="shared" si="80"/>
        <v>23</v>
      </c>
      <c r="T429" s="9">
        <f t="shared" si="81"/>
        <v>2.5038101458741562E-2</v>
      </c>
      <c r="U429" s="10">
        <f t="shared" si="82"/>
        <v>115</v>
      </c>
      <c r="V429" s="10">
        <f t="shared" si="83"/>
        <v>4708</v>
      </c>
      <c r="W429" s="11">
        <f>VLOOKUP(B429,[1]调薪计算!A:M,12,0)</f>
        <v>4730.79</v>
      </c>
      <c r="X429" s="12">
        <f t="shared" si="84"/>
        <v>137.78999999999996</v>
      </c>
      <c r="Y429" s="13">
        <f t="shared" si="85"/>
        <v>0.03</v>
      </c>
      <c r="Z429" s="14" t="str">
        <f t="shared" si="86"/>
        <v>0.00%-8.40%</v>
      </c>
      <c r="AA429" s="15"/>
      <c r="AB429" s="15"/>
      <c r="AC429" s="15"/>
      <c r="AD429" s="16"/>
      <c r="AE429" s="8">
        <f t="shared" si="87"/>
        <v>0</v>
      </c>
      <c r="AF429" s="17">
        <f t="shared" si="88"/>
        <v>4730.79</v>
      </c>
      <c r="AG429" s="18">
        <f t="shared" si="89"/>
        <v>137.78999999999996</v>
      </c>
      <c r="AH429" s="19">
        <f t="shared" si="90"/>
        <v>3.0000000000000027E-2</v>
      </c>
      <c r="AI429" s="20">
        <v>13.6</v>
      </c>
      <c r="AJ429" s="20">
        <v>450</v>
      </c>
      <c r="AK429" s="20"/>
      <c r="AL429" s="20">
        <v>688</v>
      </c>
      <c r="AM429" s="20">
        <f t="shared" si="91"/>
        <v>70426.744000000006</v>
      </c>
      <c r="AN429" s="7" t="s">
        <v>176</v>
      </c>
      <c r="AO429" s="20"/>
      <c r="AP429" s="21"/>
      <c r="AQ429" s="21"/>
      <c r="AR429" s="5" t="s">
        <v>751</v>
      </c>
      <c r="AS429" s="5" t="s">
        <v>164</v>
      </c>
      <c r="AT429" s="5" t="s">
        <v>59</v>
      </c>
      <c r="AU429" s="20"/>
      <c r="AV429" s="21"/>
      <c r="AW429" s="21"/>
      <c r="AX429" s="21"/>
    </row>
    <row r="430" spans="1:50" s="55" customFormat="1">
      <c r="A430" s="86" t="s">
        <v>318</v>
      </c>
      <c r="B430" s="5">
        <v>15017222</v>
      </c>
      <c r="C430" s="5" t="s">
        <v>805</v>
      </c>
      <c r="D430" s="5" t="s">
        <v>321</v>
      </c>
      <c r="E430" s="5" t="s">
        <v>52</v>
      </c>
      <c r="F430" s="5" t="s">
        <v>62</v>
      </c>
      <c r="G430" s="5" t="s">
        <v>207</v>
      </c>
      <c r="H430" s="5" t="s">
        <v>753</v>
      </c>
      <c r="I430" s="6">
        <v>42979</v>
      </c>
      <c r="J430" s="5" t="s">
        <v>336</v>
      </c>
      <c r="K430" s="5" t="s">
        <v>792</v>
      </c>
      <c r="L430" s="5" t="s">
        <v>324</v>
      </c>
      <c r="M430" s="7">
        <v>6</v>
      </c>
      <c r="N430" s="7" t="s">
        <v>176</v>
      </c>
      <c r="O430" s="8">
        <v>5217</v>
      </c>
      <c r="P430" s="9">
        <v>0.02</v>
      </c>
      <c r="Q430" s="10">
        <f t="shared" si="79"/>
        <v>104</v>
      </c>
      <c r="R430" s="9">
        <v>5.0000000000000001E-3</v>
      </c>
      <c r="S430" s="10">
        <f t="shared" si="80"/>
        <v>26</v>
      </c>
      <c r="T430" s="9">
        <f t="shared" si="81"/>
        <v>2.4918535556833429E-2</v>
      </c>
      <c r="U430" s="10">
        <f t="shared" si="82"/>
        <v>130</v>
      </c>
      <c r="V430" s="10">
        <f t="shared" si="83"/>
        <v>5347</v>
      </c>
      <c r="W430" s="11">
        <f>VLOOKUP(B430,[1]调薪计算!A:M,12,0)</f>
        <v>5347.4249999999993</v>
      </c>
      <c r="X430" s="12">
        <f t="shared" si="84"/>
        <v>130.42499999999927</v>
      </c>
      <c r="Y430" s="13">
        <f t="shared" si="85"/>
        <v>2.5000000000000001E-2</v>
      </c>
      <c r="Z430" s="14" t="str">
        <f t="shared" si="86"/>
        <v>0.00%-8.40%</v>
      </c>
      <c r="AA430" s="15"/>
      <c r="AB430" s="15"/>
      <c r="AC430" s="15"/>
      <c r="AD430" s="16"/>
      <c r="AE430" s="8">
        <f t="shared" si="87"/>
        <v>0</v>
      </c>
      <c r="AF430" s="17">
        <f t="shared" si="88"/>
        <v>5347.4249999999993</v>
      </c>
      <c r="AG430" s="18">
        <f t="shared" si="89"/>
        <v>130.42499999999927</v>
      </c>
      <c r="AH430" s="19">
        <f t="shared" si="90"/>
        <v>2.4999999999999911E-2</v>
      </c>
      <c r="AI430" s="20">
        <v>13.6</v>
      </c>
      <c r="AJ430" s="20">
        <v>800</v>
      </c>
      <c r="AK430" s="20"/>
      <c r="AL430" s="20">
        <v>688</v>
      </c>
      <c r="AM430" s="20">
        <f t="shared" si="91"/>
        <v>83012.979999999981</v>
      </c>
      <c r="AN430" s="7" t="s">
        <v>176</v>
      </c>
      <c r="AO430" s="20"/>
      <c r="AP430" s="21"/>
      <c r="AQ430" s="21"/>
      <c r="AR430" s="5" t="s">
        <v>751</v>
      </c>
      <c r="AS430" s="5" t="s">
        <v>164</v>
      </c>
      <c r="AT430" s="5" t="s">
        <v>59</v>
      </c>
      <c r="AU430" s="20"/>
      <c r="AV430" s="21"/>
      <c r="AW430" s="21"/>
      <c r="AX430" s="21"/>
    </row>
    <row r="431" spans="1:50" s="55" customFormat="1">
      <c r="A431" s="86" t="s">
        <v>318</v>
      </c>
      <c r="B431" s="5">
        <v>15002869</v>
      </c>
      <c r="C431" s="5" t="s">
        <v>806</v>
      </c>
      <c r="D431" s="5" t="s">
        <v>321</v>
      </c>
      <c r="E431" s="5" t="s">
        <v>52</v>
      </c>
      <c r="F431" s="5" t="s">
        <v>62</v>
      </c>
      <c r="G431" s="5" t="s">
        <v>207</v>
      </c>
      <c r="H431" s="5" t="s">
        <v>750</v>
      </c>
      <c r="I431" s="6">
        <v>40269</v>
      </c>
      <c r="J431" s="5" t="s">
        <v>336</v>
      </c>
      <c r="K431" s="5" t="s">
        <v>336</v>
      </c>
      <c r="L431" s="5" t="s">
        <v>324</v>
      </c>
      <c r="M431" s="7">
        <v>6</v>
      </c>
      <c r="N431" s="7" t="s">
        <v>176</v>
      </c>
      <c r="O431" s="8">
        <v>5297</v>
      </c>
      <c r="P431" s="9">
        <v>0.02</v>
      </c>
      <c r="Q431" s="10">
        <f t="shared" si="79"/>
        <v>106</v>
      </c>
      <c r="R431" s="9">
        <v>5.0000000000000001E-3</v>
      </c>
      <c r="S431" s="10">
        <f t="shared" si="80"/>
        <v>26</v>
      </c>
      <c r="T431" s="9">
        <f t="shared" si="81"/>
        <v>2.4919765905229374E-2</v>
      </c>
      <c r="U431" s="10">
        <f t="shared" si="82"/>
        <v>132</v>
      </c>
      <c r="V431" s="10">
        <f t="shared" si="83"/>
        <v>5429</v>
      </c>
      <c r="W431" s="11">
        <f>VLOOKUP(B431,[1]调薪计算!A:M,12,0)</f>
        <v>5429.4249999999993</v>
      </c>
      <c r="X431" s="12">
        <f t="shared" si="84"/>
        <v>132.42499999999927</v>
      </c>
      <c r="Y431" s="13">
        <f t="shared" si="85"/>
        <v>2.5000000000000001E-2</v>
      </c>
      <c r="Z431" s="14" t="str">
        <f t="shared" si="86"/>
        <v>0.00%-8.40%</v>
      </c>
      <c r="AA431" s="15"/>
      <c r="AB431" s="15"/>
      <c r="AC431" s="15"/>
      <c r="AD431" s="16"/>
      <c r="AE431" s="8">
        <f t="shared" si="87"/>
        <v>0</v>
      </c>
      <c r="AF431" s="17">
        <f t="shared" si="88"/>
        <v>5429.4249999999993</v>
      </c>
      <c r="AG431" s="18">
        <f t="shared" si="89"/>
        <v>132.42499999999927</v>
      </c>
      <c r="AH431" s="19">
        <f t="shared" si="90"/>
        <v>2.4999999999999911E-2</v>
      </c>
      <c r="AI431" s="20">
        <v>13.6</v>
      </c>
      <c r="AJ431" s="20">
        <v>450</v>
      </c>
      <c r="AK431" s="20"/>
      <c r="AL431" s="20">
        <v>688</v>
      </c>
      <c r="AM431" s="20">
        <f t="shared" si="91"/>
        <v>79928.179999999993</v>
      </c>
      <c r="AN431" s="7" t="s">
        <v>176</v>
      </c>
      <c r="AO431" s="20"/>
      <c r="AP431" s="21"/>
      <c r="AQ431" s="21"/>
      <c r="AR431" s="5" t="s">
        <v>751</v>
      </c>
      <c r="AS431" s="5" t="s">
        <v>164</v>
      </c>
      <c r="AT431" s="5" t="s">
        <v>59</v>
      </c>
      <c r="AU431" s="20"/>
      <c r="AV431" s="21"/>
      <c r="AW431" s="21"/>
      <c r="AX431" s="21"/>
    </row>
    <row r="432" spans="1:50" s="55" customFormat="1">
      <c r="A432" s="86" t="s">
        <v>318</v>
      </c>
      <c r="B432" s="5">
        <v>15001555</v>
      </c>
      <c r="C432" s="5" t="s">
        <v>807</v>
      </c>
      <c r="D432" s="5" t="s">
        <v>321</v>
      </c>
      <c r="E432" s="5" t="s">
        <v>52</v>
      </c>
      <c r="F432" s="5" t="s">
        <v>62</v>
      </c>
      <c r="G432" s="5" t="s">
        <v>207</v>
      </c>
      <c r="H432" s="5" t="s">
        <v>750</v>
      </c>
      <c r="I432" s="6">
        <v>39560</v>
      </c>
      <c r="J432" s="5" t="s">
        <v>336</v>
      </c>
      <c r="K432" s="5" t="s">
        <v>336</v>
      </c>
      <c r="L432" s="5" t="s">
        <v>324</v>
      </c>
      <c r="M432" s="7">
        <v>6</v>
      </c>
      <c r="N432" s="7" t="s">
        <v>176</v>
      </c>
      <c r="O432" s="8">
        <v>4984</v>
      </c>
      <c r="P432" s="9">
        <v>0.02</v>
      </c>
      <c r="Q432" s="10">
        <f t="shared" si="79"/>
        <v>100</v>
      </c>
      <c r="R432" s="9">
        <v>5.0000000000000001E-3</v>
      </c>
      <c r="S432" s="10">
        <f t="shared" si="80"/>
        <v>25</v>
      </c>
      <c r="T432" s="9">
        <f t="shared" si="81"/>
        <v>2.5080256821829856E-2</v>
      </c>
      <c r="U432" s="10">
        <f t="shared" si="82"/>
        <v>125</v>
      </c>
      <c r="V432" s="10">
        <f t="shared" si="83"/>
        <v>5109</v>
      </c>
      <c r="W432" s="11">
        <f>VLOOKUP(B432,[1]调薪计算!A:M,12,0)</f>
        <v>5283.04</v>
      </c>
      <c r="X432" s="12">
        <f t="shared" si="84"/>
        <v>299.03999999999996</v>
      </c>
      <c r="Y432" s="13">
        <f t="shared" si="85"/>
        <v>0.06</v>
      </c>
      <c r="Z432" s="14" t="str">
        <f t="shared" si="86"/>
        <v>0.00%-8.40%</v>
      </c>
      <c r="AA432" s="15"/>
      <c r="AB432" s="15"/>
      <c r="AC432" s="15"/>
      <c r="AD432" s="16"/>
      <c r="AE432" s="8">
        <f t="shared" si="87"/>
        <v>0</v>
      </c>
      <c r="AF432" s="17">
        <f t="shared" si="88"/>
        <v>5283.04</v>
      </c>
      <c r="AG432" s="18">
        <f t="shared" si="89"/>
        <v>299.03999999999996</v>
      </c>
      <c r="AH432" s="19">
        <f t="shared" si="90"/>
        <v>6.0000000000000053E-2</v>
      </c>
      <c r="AI432" s="20">
        <v>13.6</v>
      </c>
      <c r="AJ432" s="20">
        <v>800</v>
      </c>
      <c r="AK432" s="20"/>
      <c r="AL432" s="20">
        <v>688</v>
      </c>
      <c r="AM432" s="20">
        <f t="shared" si="91"/>
        <v>82137.343999999997</v>
      </c>
      <c r="AN432" s="7" t="s">
        <v>176</v>
      </c>
      <c r="AO432" s="20"/>
      <c r="AP432" s="21"/>
      <c r="AQ432" s="21"/>
      <c r="AR432" s="5" t="s">
        <v>751</v>
      </c>
      <c r="AS432" s="5" t="s">
        <v>164</v>
      </c>
      <c r="AT432" s="5" t="s">
        <v>59</v>
      </c>
      <c r="AU432" s="20"/>
      <c r="AV432" s="21"/>
      <c r="AW432" s="21"/>
      <c r="AX432" s="21"/>
    </row>
    <row r="433" spans="1:50" s="55" customFormat="1">
      <c r="A433" s="86" t="s">
        <v>318</v>
      </c>
      <c r="B433" s="5">
        <v>15009717</v>
      </c>
      <c r="C433" s="5" t="s">
        <v>570</v>
      </c>
      <c r="D433" s="5" t="s">
        <v>321</v>
      </c>
      <c r="E433" s="5" t="s">
        <v>52</v>
      </c>
      <c r="F433" s="5" t="s">
        <v>62</v>
      </c>
      <c r="G433" s="5" t="s">
        <v>207</v>
      </c>
      <c r="H433" s="5" t="s">
        <v>753</v>
      </c>
      <c r="I433" s="6">
        <v>41487</v>
      </c>
      <c r="J433" s="5" t="s">
        <v>336</v>
      </c>
      <c r="K433" s="5" t="s">
        <v>511</v>
      </c>
      <c r="L433" s="5" t="s">
        <v>324</v>
      </c>
      <c r="M433" s="7">
        <v>6</v>
      </c>
      <c r="N433" s="7" t="s">
        <v>176</v>
      </c>
      <c r="O433" s="8">
        <v>5159</v>
      </c>
      <c r="P433" s="9">
        <v>0.02</v>
      </c>
      <c r="Q433" s="10">
        <f t="shared" si="79"/>
        <v>103</v>
      </c>
      <c r="R433" s="9">
        <v>5.0000000000000001E-3</v>
      </c>
      <c r="S433" s="10">
        <f t="shared" si="80"/>
        <v>26</v>
      </c>
      <c r="T433" s="9">
        <f t="shared" si="81"/>
        <v>2.5004845900368288E-2</v>
      </c>
      <c r="U433" s="10">
        <f t="shared" si="82"/>
        <v>129</v>
      </c>
      <c r="V433" s="10">
        <f t="shared" si="83"/>
        <v>5288</v>
      </c>
      <c r="W433" s="11">
        <f>VLOOKUP(B433,[1]调薪计算!A:M,12,0)</f>
        <v>5210.59</v>
      </c>
      <c r="X433" s="12">
        <f t="shared" si="84"/>
        <v>51.590000000000146</v>
      </c>
      <c r="Y433" s="13">
        <f t="shared" si="85"/>
        <v>0.01</v>
      </c>
      <c r="Z433" s="14" t="str">
        <f t="shared" si="86"/>
        <v>0.00%-8.40%</v>
      </c>
      <c r="AA433" s="15"/>
      <c r="AB433" s="15"/>
      <c r="AC433" s="15"/>
      <c r="AD433" s="16"/>
      <c r="AE433" s="8">
        <f t="shared" si="87"/>
        <v>0</v>
      </c>
      <c r="AF433" s="17">
        <f t="shared" si="88"/>
        <v>5210.59</v>
      </c>
      <c r="AG433" s="18">
        <f t="shared" si="89"/>
        <v>51.590000000000146</v>
      </c>
      <c r="AH433" s="19">
        <f t="shared" si="90"/>
        <v>1.0000000000000009E-2</v>
      </c>
      <c r="AI433" s="20">
        <v>13.6</v>
      </c>
      <c r="AJ433" s="20">
        <v>500</v>
      </c>
      <c r="AK433" s="20"/>
      <c r="AL433" s="20">
        <v>688</v>
      </c>
      <c r="AM433" s="20">
        <f t="shared" si="91"/>
        <v>77552.024000000005</v>
      </c>
      <c r="AN433" s="7" t="s">
        <v>176</v>
      </c>
      <c r="AO433" s="20" t="s">
        <v>490</v>
      </c>
      <c r="AP433" s="21"/>
      <c r="AQ433" s="21"/>
      <c r="AR433" s="5" t="s">
        <v>751</v>
      </c>
      <c r="AS433" s="5" t="s">
        <v>164</v>
      </c>
      <c r="AT433" s="5" t="s">
        <v>59</v>
      </c>
      <c r="AU433" s="20"/>
      <c r="AV433" s="21"/>
      <c r="AW433" s="21"/>
      <c r="AX433" s="21"/>
    </row>
    <row r="434" spans="1:50" s="55" customFormat="1">
      <c r="A434" s="86" t="s">
        <v>318</v>
      </c>
      <c r="B434" s="5">
        <v>15007550</v>
      </c>
      <c r="C434" s="5" t="s">
        <v>808</v>
      </c>
      <c r="D434" s="5" t="s">
        <v>321</v>
      </c>
      <c r="E434" s="5" t="s">
        <v>52</v>
      </c>
      <c r="F434" s="5" t="s">
        <v>62</v>
      </c>
      <c r="G434" s="5" t="s">
        <v>207</v>
      </c>
      <c r="H434" s="5" t="s">
        <v>750</v>
      </c>
      <c r="I434" s="6">
        <v>41153</v>
      </c>
      <c r="J434" s="5" t="s">
        <v>336</v>
      </c>
      <c r="K434" s="5" t="s">
        <v>336</v>
      </c>
      <c r="L434" s="5" t="s">
        <v>324</v>
      </c>
      <c r="M434" s="7">
        <v>6</v>
      </c>
      <c r="N434" s="7" t="s">
        <v>176</v>
      </c>
      <c r="O434" s="8">
        <v>4714</v>
      </c>
      <c r="P434" s="9">
        <v>0.02</v>
      </c>
      <c r="Q434" s="10">
        <f t="shared" si="79"/>
        <v>94</v>
      </c>
      <c r="R434" s="9">
        <v>5.0000000000000001E-3</v>
      </c>
      <c r="S434" s="10">
        <f t="shared" si="80"/>
        <v>24</v>
      </c>
      <c r="T434" s="9">
        <f t="shared" si="81"/>
        <v>2.5031820110309716E-2</v>
      </c>
      <c r="U434" s="10">
        <f t="shared" si="82"/>
        <v>118</v>
      </c>
      <c r="V434" s="10">
        <f t="shared" si="83"/>
        <v>4832</v>
      </c>
      <c r="W434" s="11">
        <f>VLOOKUP(B434,[1]调薪计算!A:M,12,0)</f>
        <v>4831.8499999999995</v>
      </c>
      <c r="X434" s="12">
        <f t="shared" si="84"/>
        <v>117.84999999999945</v>
      </c>
      <c r="Y434" s="13">
        <f t="shared" si="85"/>
        <v>2.5000000000000001E-2</v>
      </c>
      <c r="Z434" s="14" t="str">
        <f t="shared" si="86"/>
        <v>0.00%-8.40%</v>
      </c>
      <c r="AA434" s="15"/>
      <c r="AB434" s="15"/>
      <c r="AC434" s="15"/>
      <c r="AD434" s="16"/>
      <c r="AE434" s="8">
        <f t="shared" si="87"/>
        <v>0</v>
      </c>
      <c r="AF434" s="17">
        <f t="shared" si="88"/>
        <v>4831.8499999999995</v>
      </c>
      <c r="AG434" s="18">
        <f t="shared" si="89"/>
        <v>117.84999999999945</v>
      </c>
      <c r="AH434" s="19">
        <f t="shared" si="90"/>
        <v>2.4999999999999911E-2</v>
      </c>
      <c r="AI434" s="20">
        <v>13.6</v>
      </c>
      <c r="AJ434" s="20">
        <v>450</v>
      </c>
      <c r="AK434" s="20"/>
      <c r="AL434" s="20">
        <v>688</v>
      </c>
      <c r="AM434" s="20">
        <f t="shared" si="91"/>
        <v>71801.159999999989</v>
      </c>
      <c r="AN434" s="7" t="s">
        <v>176</v>
      </c>
      <c r="AO434" s="20"/>
      <c r="AP434" s="21"/>
      <c r="AQ434" s="21"/>
      <c r="AR434" s="5" t="s">
        <v>751</v>
      </c>
      <c r="AS434" s="5" t="s">
        <v>164</v>
      </c>
      <c r="AT434" s="5" t="s">
        <v>59</v>
      </c>
      <c r="AU434" s="20"/>
      <c r="AV434" s="21"/>
      <c r="AW434" s="21"/>
      <c r="AX434" s="21"/>
    </row>
    <row r="435" spans="1:50" s="55" customFormat="1">
      <c r="A435" s="86" t="s">
        <v>318</v>
      </c>
      <c r="B435" s="5">
        <v>15010149</v>
      </c>
      <c r="C435" s="5" t="s">
        <v>809</v>
      </c>
      <c r="D435" s="5" t="s">
        <v>321</v>
      </c>
      <c r="E435" s="5" t="s">
        <v>52</v>
      </c>
      <c r="F435" s="5" t="s">
        <v>62</v>
      </c>
      <c r="G435" s="5" t="s">
        <v>207</v>
      </c>
      <c r="H435" s="5" t="s">
        <v>750</v>
      </c>
      <c r="I435" s="6">
        <v>41487</v>
      </c>
      <c r="J435" s="5" t="s">
        <v>336</v>
      </c>
      <c r="K435" s="5" t="s">
        <v>766</v>
      </c>
      <c r="L435" s="5" t="s">
        <v>324</v>
      </c>
      <c r="M435" s="7">
        <v>6</v>
      </c>
      <c r="N435" s="7" t="s">
        <v>176</v>
      </c>
      <c r="O435" s="8">
        <v>5730</v>
      </c>
      <c r="P435" s="9">
        <v>0.02</v>
      </c>
      <c r="Q435" s="10">
        <f t="shared" si="79"/>
        <v>115</v>
      </c>
      <c r="R435" s="9">
        <v>5.0000000000000001E-3</v>
      </c>
      <c r="S435" s="10">
        <f t="shared" si="80"/>
        <v>29</v>
      </c>
      <c r="T435" s="9">
        <f t="shared" si="81"/>
        <v>2.5130890052356022E-2</v>
      </c>
      <c r="U435" s="10">
        <f t="shared" si="82"/>
        <v>144</v>
      </c>
      <c r="V435" s="10">
        <f t="shared" si="83"/>
        <v>5874</v>
      </c>
      <c r="W435" s="11">
        <f>VLOOKUP(B435,[1]调薪计算!A:M,12,0)</f>
        <v>5901.9000000000005</v>
      </c>
      <c r="X435" s="12">
        <f t="shared" si="84"/>
        <v>171.90000000000055</v>
      </c>
      <c r="Y435" s="13">
        <f t="shared" si="85"/>
        <v>0.03</v>
      </c>
      <c r="Z435" s="14" t="str">
        <f t="shared" si="86"/>
        <v>0.00%-8.40%</v>
      </c>
      <c r="AA435" s="15"/>
      <c r="AB435" s="15"/>
      <c r="AC435" s="15"/>
      <c r="AD435" s="16"/>
      <c r="AE435" s="8">
        <f t="shared" si="87"/>
        <v>0</v>
      </c>
      <c r="AF435" s="17">
        <f t="shared" si="88"/>
        <v>5901.9000000000005</v>
      </c>
      <c r="AG435" s="18">
        <f t="shared" si="89"/>
        <v>171.90000000000055</v>
      </c>
      <c r="AH435" s="19">
        <f t="shared" si="90"/>
        <v>3.0000000000000027E-2</v>
      </c>
      <c r="AI435" s="20">
        <v>13.6</v>
      </c>
      <c r="AJ435" s="20">
        <v>750</v>
      </c>
      <c r="AK435" s="20"/>
      <c r="AL435" s="20">
        <v>688</v>
      </c>
      <c r="AM435" s="20">
        <f t="shared" si="91"/>
        <v>89953.840000000011</v>
      </c>
      <c r="AN435" s="7" t="s">
        <v>176</v>
      </c>
      <c r="AO435" s="20"/>
      <c r="AP435" s="21"/>
      <c r="AQ435" s="21"/>
      <c r="AR435" s="5" t="s">
        <v>751</v>
      </c>
      <c r="AS435" s="5" t="s">
        <v>164</v>
      </c>
      <c r="AT435" s="5" t="s">
        <v>59</v>
      </c>
      <c r="AU435" s="20"/>
      <c r="AV435" s="21"/>
      <c r="AW435" s="21"/>
      <c r="AX435" s="21"/>
    </row>
    <row r="436" spans="1:50" s="55" customFormat="1">
      <c r="A436" s="86" t="s">
        <v>318</v>
      </c>
      <c r="B436" s="5">
        <v>15017756</v>
      </c>
      <c r="C436" s="5" t="s">
        <v>810</v>
      </c>
      <c r="D436" s="5" t="s">
        <v>321</v>
      </c>
      <c r="E436" s="5" t="s">
        <v>52</v>
      </c>
      <c r="F436" s="5" t="s">
        <v>62</v>
      </c>
      <c r="G436" s="5" t="s">
        <v>207</v>
      </c>
      <c r="H436" s="5" t="s">
        <v>753</v>
      </c>
      <c r="I436" s="6">
        <v>43101</v>
      </c>
      <c r="J436" s="5" t="s">
        <v>336</v>
      </c>
      <c r="K436" s="5" t="s">
        <v>511</v>
      </c>
      <c r="L436" s="5" t="s">
        <v>324</v>
      </c>
      <c r="M436" s="7">
        <v>6</v>
      </c>
      <c r="N436" s="7" t="s">
        <v>176</v>
      </c>
      <c r="O436" s="8">
        <v>4904</v>
      </c>
      <c r="P436" s="9">
        <v>0.02</v>
      </c>
      <c r="Q436" s="10">
        <f t="shared" si="79"/>
        <v>98</v>
      </c>
      <c r="R436" s="9">
        <v>5.0000000000000001E-3</v>
      </c>
      <c r="S436" s="10">
        <f t="shared" si="80"/>
        <v>25</v>
      </c>
      <c r="T436" s="9">
        <f t="shared" si="81"/>
        <v>2.5081566068515498E-2</v>
      </c>
      <c r="U436" s="10">
        <f t="shared" si="82"/>
        <v>123</v>
      </c>
      <c r="V436" s="10">
        <f t="shared" si="83"/>
        <v>5027</v>
      </c>
      <c r="W436" s="11">
        <f>VLOOKUP(B436,[1]调薪计算!A:M,12,0)</f>
        <v>5026.5999999999995</v>
      </c>
      <c r="X436" s="12">
        <f t="shared" si="84"/>
        <v>122.59999999999945</v>
      </c>
      <c r="Y436" s="13">
        <f t="shared" si="85"/>
        <v>2.5000000000000001E-2</v>
      </c>
      <c r="Z436" s="14" t="str">
        <f t="shared" si="86"/>
        <v>0.00%-8.40%</v>
      </c>
      <c r="AA436" s="15"/>
      <c r="AB436" s="15"/>
      <c r="AC436" s="15"/>
      <c r="AD436" s="16"/>
      <c r="AE436" s="8">
        <f t="shared" si="87"/>
        <v>0</v>
      </c>
      <c r="AF436" s="17">
        <f t="shared" si="88"/>
        <v>5026.5999999999995</v>
      </c>
      <c r="AG436" s="18">
        <f t="shared" si="89"/>
        <v>122.59999999999945</v>
      </c>
      <c r="AH436" s="19">
        <f t="shared" si="90"/>
        <v>2.4999999999999911E-2</v>
      </c>
      <c r="AI436" s="20">
        <v>13.6</v>
      </c>
      <c r="AJ436" s="20">
        <v>500</v>
      </c>
      <c r="AK436" s="20"/>
      <c r="AL436" s="20">
        <v>688</v>
      </c>
      <c r="AM436" s="20">
        <f t="shared" si="91"/>
        <v>75049.759999999995</v>
      </c>
      <c r="AN436" s="7" t="s">
        <v>176</v>
      </c>
      <c r="AO436" s="20"/>
      <c r="AP436" s="21"/>
      <c r="AQ436" s="21"/>
      <c r="AR436" s="5" t="s">
        <v>751</v>
      </c>
      <c r="AS436" s="5" t="s">
        <v>164</v>
      </c>
      <c r="AT436" s="5" t="s">
        <v>59</v>
      </c>
      <c r="AU436" s="20"/>
      <c r="AV436" s="21"/>
      <c r="AW436" s="21"/>
      <c r="AX436" s="21"/>
    </row>
    <row r="437" spans="1:50" s="55" customFormat="1">
      <c r="A437" s="86" t="s">
        <v>318</v>
      </c>
      <c r="B437" s="5">
        <v>15021611</v>
      </c>
      <c r="C437" s="5" t="s">
        <v>811</v>
      </c>
      <c r="D437" s="5" t="s">
        <v>321</v>
      </c>
      <c r="E437" s="5" t="s">
        <v>52</v>
      </c>
      <c r="F437" s="5" t="s">
        <v>62</v>
      </c>
      <c r="G437" s="5" t="s">
        <v>207</v>
      </c>
      <c r="H437" s="5" t="s">
        <v>753</v>
      </c>
      <c r="I437" s="6">
        <v>44593</v>
      </c>
      <c r="J437" s="5" t="s">
        <v>336</v>
      </c>
      <c r="K437" s="5" t="s">
        <v>792</v>
      </c>
      <c r="L437" s="5" t="s">
        <v>324</v>
      </c>
      <c r="M437" s="7">
        <v>6</v>
      </c>
      <c r="N437" s="7" t="s">
        <v>176</v>
      </c>
      <c r="O437" s="8">
        <v>5687</v>
      </c>
      <c r="P437" s="9">
        <v>0.02</v>
      </c>
      <c r="Q437" s="10">
        <f t="shared" si="79"/>
        <v>114</v>
      </c>
      <c r="R437" s="9">
        <v>5.0000000000000001E-3</v>
      </c>
      <c r="S437" s="10">
        <f t="shared" si="80"/>
        <v>28</v>
      </c>
      <c r="T437" s="9">
        <f t="shared" si="81"/>
        <v>2.4969228064005627E-2</v>
      </c>
      <c r="U437" s="10">
        <f t="shared" si="82"/>
        <v>142</v>
      </c>
      <c r="V437" s="10">
        <f t="shared" si="83"/>
        <v>5829</v>
      </c>
      <c r="W437" s="11">
        <f>VLOOKUP(B437,[1]调薪计算!A:M,12,0)</f>
        <v>5829.1749999999993</v>
      </c>
      <c r="X437" s="12">
        <f t="shared" si="84"/>
        <v>142.17499999999927</v>
      </c>
      <c r="Y437" s="13">
        <f t="shared" si="85"/>
        <v>2.5000000000000001E-2</v>
      </c>
      <c r="Z437" s="14" t="str">
        <f t="shared" si="86"/>
        <v>0.00%-8.40%</v>
      </c>
      <c r="AA437" s="15"/>
      <c r="AB437" s="15"/>
      <c r="AC437" s="15"/>
      <c r="AD437" s="16"/>
      <c r="AE437" s="8">
        <f t="shared" si="87"/>
        <v>0</v>
      </c>
      <c r="AF437" s="17">
        <f t="shared" si="88"/>
        <v>5829.1749999999993</v>
      </c>
      <c r="AG437" s="18">
        <f t="shared" si="89"/>
        <v>142.17499999999927</v>
      </c>
      <c r="AH437" s="19">
        <f t="shared" si="90"/>
        <v>2.4999999999999911E-2</v>
      </c>
      <c r="AI437" s="20">
        <v>13.6</v>
      </c>
      <c r="AJ437" s="20">
        <v>800</v>
      </c>
      <c r="AK437" s="20"/>
      <c r="AL437" s="20">
        <v>688</v>
      </c>
      <c r="AM437" s="20">
        <f t="shared" si="91"/>
        <v>89564.779999999984</v>
      </c>
      <c r="AN437" s="7" t="s">
        <v>176</v>
      </c>
      <c r="AO437" s="20" t="s">
        <v>490</v>
      </c>
      <c r="AP437" s="21"/>
      <c r="AQ437" s="21"/>
      <c r="AR437" s="5" t="s">
        <v>751</v>
      </c>
      <c r="AS437" s="5" t="s">
        <v>164</v>
      </c>
      <c r="AT437" s="5" t="s">
        <v>59</v>
      </c>
      <c r="AU437" s="20"/>
      <c r="AV437" s="21"/>
      <c r="AW437" s="21"/>
      <c r="AX437" s="21"/>
    </row>
    <row r="438" spans="1:50" s="55" customFormat="1">
      <c r="A438" s="86" t="s">
        <v>318</v>
      </c>
      <c r="B438" s="5">
        <v>15020100</v>
      </c>
      <c r="C438" s="5" t="s">
        <v>812</v>
      </c>
      <c r="D438" s="5" t="s">
        <v>321</v>
      </c>
      <c r="E438" s="5" t="s">
        <v>52</v>
      </c>
      <c r="F438" s="5" t="s">
        <v>62</v>
      </c>
      <c r="G438" s="5" t="s">
        <v>207</v>
      </c>
      <c r="H438" s="5" t="s">
        <v>753</v>
      </c>
      <c r="I438" s="6">
        <v>44013</v>
      </c>
      <c r="J438" s="5" t="s">
        <v>336</v>
      </c>
      <c r="K438" s="5" t="s">
        <v>511</v>
      </c>
      <c r="L438" s="5" t="s">
        <v>324</v>
      </c>
      <c r="M438" s="7">
        <v>6</v>
      </c>
      <c r="N438" s="7" t="s">
        <v>176</v>
      </c>
      <c r="O438" s="8">
        <v>4580</v>
      </c>
      <c r="P438" s="9">
        <v>0.02</v>
      </c>
      <c r="Q438" s="10">
        <f t="shared" si="79"/>
        <v>92</v>
      </c>
      <c r="R438" s="9">
        <v>5.0000000000000001E-3</v>
      </c>
      <c r="S438" s="10">
        <f t="shared" si="80"/>
        <v>23</v>
      </c>
      <c r="T438" s="9">
        <f t="shared" si="81"/>
        <v>2.5109170305676855E-2</v>
      </c>
      <c r="U438" s="10">
        <f t="shared" si="82"/>
        <v>115</v>
      </c>
      <c r="V438" s="10">
        <f t="shared" si="83"/>
        <v>4695</v>
      </c>
      <c r="W438" s="11">
        <f>VLOOKUP(B438,[1]调薪计算!A:M,12,0)</f>
        <v>4694.5</v>
      </c>
      <c r="X438" s="12">
        <f t="shared" si="84"/>
        <v>114.5</v>
      </c>
      <c r="Y438" s="13">
        <f t="shared" si="85"/>
        <v>2.5000000000000001E-2</v>
      </c>
      <c r="Z438" s="14" t="str">
        <f t="shared" si="86"/>
        <v>0.00%-8.40%</v>
      </c>
      <c r="AA438" s="15"/>
      <c r="AB438" s="15"/>
      <c r="AC438" s="15"/>
      <c r="AD438" s="16"/>
      <c r="AE438" s="8">
        <f t="shared" si="87"/>
        <v>0</v>
      </c>
      <c r="AF438" s="17">
        <f t="shared" si="88"/>
        <v>4694.5</v>
      </c>
      <c r="AG438" s="18">
        <f t="shared" si="89"/>
        <v>114.5</v>
      </c>
      <c r="AH438" s="19">
        <f t="shared" si="90"/>
        <v>2.4999999999999911E-2</v>
      </c>
      <c r="AI438" s="20">
        <v>13.6</v>
      </c>
      <c r="AJ438" s="20">
        <v>500</v>
      </c>
      <c r="AK438" s="20"/>
      <c r="AL438" s="20">
        <v>688</v>
      </c>
      <c r="AM438" s="20">
        <f t="shared" si="91"/>
        <v>70533.2</v>
      </c>
      <c r="AN438" s="7" t="s">
        <v>176</v>
      </c>
      <c r="AO438" s="20"/>
      <c r="AP438" s="21"/>
      <c r="AQ438" s="21"/>
      <c r="AR438" s="5" t="s">
        <v>751</v>
      </c>
      <c r="AS438" s="5" t="s">
        <v>164</v>
      </c>
      <c r="AT438" s="5" t="s">
        <v>59</v>
      </c>
      <c r="AU438" s="20"/>
      <c r="AV438" s="21"/>
      <c r="AW438" s="21"/>
      <c r="AX438" s="21"/>
    </row>
    <row r="439" spans="1:50" s="55" customFormat="1">
      <c r="A439" s="86" t="s">
        <v>318</v>
      </c>
      <c r="B439" s="5">
        <v>15016242</v>
      </c>
      <c r="C439" s="5" t="s">
        <v>575</v>
      </c>
      <c r="D439" s="5" t="s">
        <v>321</v>
      </c>
      <c r="E439" s="5" t="s">
        <v>52</v>
      </c>
      <c r="F439" s="5" t="s">
        <v>62</v>
      </c>
      <c r="G439" s="5" t="s">
        <v>207</v>
      </c>
      <c r="H439" s="5" t="s">
        <v>753</v>
      </c>
      <c r="I439" s="6">
        <v>42887</v>
      </c>
      <c r="J439" s="5" t="s">
        <v>336</v>
      </c>
      <c r="K439" s="5" t="s">
        <v>511</v>
      </c>
      <c r="L439" s="5" t="s">
        <v>324</v>
      </c>
      <c r="M439" s="7">
        <v>6</v>
      </c>
      <c r="N439" s="7" t="s">
        <v>176</v>
      </c>
      <c r="O439" s="8">
        <v>5366</v>
      </c>
      <c r="P439" s="9">
        <v>0.02</v>
      </c>
      <c r="Q439" s="10">
        <f t="shared" si="79"/>
        <v>107</v>
      </c>
      <c r="R439" s="9">
        <v>5.0000000000000001E-3</v>
      </c>
      <c r="S439" s="10">
        <f t="shared" si="80"/>
        <v>27</v>
      </c>
      <c r="T439" s="9">
        <f t="shared" si="81"/>
        <v>2.4972046216921357E-2</v>
      </c>
      <c r="U439" s="10">
        <f t="shared" si="82"/>
        <v>134</v>
      </c>
      <c r="V439" s="10">
        <f t="shared" si="83"/>
        <v>5500</v>
      </c>
      <c r="W439" s="11">
        <f>VLOOKUP(B439,[1]调薪计算!A:M,12,0)</f>
        <v>5500.15</v>
      </c>
      <c r="X439" s="12">
        <f t="shared" si="84"/>
        <v>134.14999999999964</v>
      </c>
      <c r="Y439" s="13">
        <f t="shared" si="85"/>
        <v>2.5000000000000001E-2</v>
      </c>
      <c r="Z439" s="14" t="str">
        <f t="shared" si="86"/>
        <v>0.00%-8.40%</v>
      </c>
      <c r="AA439" s="15"/>
      <c r="AB439" s="15"/>
      <c r="AC439" s="15"/>
      <c r="AD439" s="16"/>
      <c r="AE439" s="8">
        <f t="shared" si="87"/>
        <v>0</v>
      </c>
      <c r="AF439" s="17">
        <f t="shared" si="88"/>
        <v>5500.15</v>
      </c>
      <c r="AG439" s="18">
        <f t="shared" si="89"/>
        <v>134.14999999999964</v>
      </c>
      <c r="AH439" s="19">
        <f t="shared" si="90"/>
        <v>2.4999999999999911E-2</v>
      </c>
      <c r="AI439" s="20">
        <v>13.6</v>
      </c>
      <c r="AJ439" s="20">
        <v>500</v>
      </c>
      <c r="AK439" s="20"/>
      <c r="AL439" s="20">
        <v>688</v>
      </c>
      <c r="AM439" s="20">
        <f t="shared" si="91"/>
        <v>81490.039999999994</v>
      </c>
      <c r="AN439" s="7" t="s">
        <v>176</v>
      </c>
      <c r="AO439" s="20"/>
      <c r="AP439" s="21"/>
      <c r="AQ439" s="21"/>
      <c r="AR439" s="5" t="s">
        <v>751</v>
      </c>
      <c r="AS439" s="5" t="s">
        <v>164</v>
      </c>
      <c r="AT439" s="5" t="s">
        <v>59</v>
      </c>
      <c r="AU439" s="20"/>
      <c r="AV439" s="21"/>
      <c r="AW439" s="21"/>
      <c r="AX439" s="21"/>
    </row>
    <row r="440" spans="1:50" s="55" customFormat="1">
      <c r="A440" s="86" t="s">
        <v>318</v>
      </c>
      <c r="B440" s="5">
        <v>15006372</v>
      </c>
      <c r="C440" s="5" t="s">
        <v>813</v>
      </c>
      <c r="D440" s="5" t="s">
        <v>321</v>
      </c>
      <c r="E440" s="5" t="s">
        <v>52</v>
      </c>
      <c r="F440" s="5" t="s">
        <v>62</v>
      </c>
      <c r="G440" s="5" t="s">
        <v>207</v>
      </c>
      <c r="H440" s="5" t="s">
        <v>750</v>
      </c>
      <c r="I440" s="6">
        <v>40909</v>
      </c>
      <c r="J440" s="5" t="s">
        <v>336</v>
      </c>
      <c r="K440" s="5" t="s">
        <v>336</v>
      </c>
      <c r="L440" s="5" t="s">
        <v>324</v>
      </c>
      <c r="M440" s="7">
        <v>6</v>
      </c>
      <c r="N440" s="7" t="s">
        <v>176</v>
      </c>
      <c r="O440" s="8">
        <v>4755</v>
      </c>
      <c r="P440" s="9">
        <v>0.02</v>
      </c>
      <c r="Q440" s="10">
        <f t="shared" si="79"/>
        <v>95</v>
      </c>
      <c r="R440" s="9">
        <v>5.0000000000000001E-3</v>
      </c>
      <c r="S440" s="10">
        <f t="shared" si="80"/>
        <v>24</v>
      </c>
      <c r="T440" s="9">
        <f t="shared" si="81"/>
        <v>2.5026288117770766E-2</v>
      </c>
      <c r="U440" s="10">
        <f t="shared" si="82"/>
        <v>119</v>
      </c>
      <c r="V440" s="10">
        <f t="shared" si="83"/>
        <v>4874</v>
      </c>
      <c r="W440" s="11">
        <f>VLOOKUP(B440,[1]调薪计算!A:M,12,0)</f>
        <v>4873.875</v>
      </c>
      <c r="X440" s="12">
        <f t="shared" si="84"/>
        <v>118.875</v>
      </c>
      <c r="Y440" s="13">
        <f t="shared" si="85"/>
        <v>2.5000000000000001E-2</v>
      </c>
      <c r="Z440" s="14" t="str">
        <f t="shared" si="86"/>
        <v>0.00%-8.40%</v>
      </c>
      <c r="AA440" s="15"/>
      <c r="AB440" s="15"/>
      <c r="AC440" s="15"/>
      <c r="AD440" s="16"/>
      <c r="AE440" s="8">
        <f t="shared" si="87"/>
        <v>0</v>
      </c>
      <c r="AF440" s="17">
        <f t="shared" si="88"/>
        <v>4873.875</v>
      </c>
      <c r="AG440" s="18">
        <f t="shared" si="89"/>
        <v>118.875</v>
      </c>
      <c r="AH440" s="19">
        <f t="shared" si="90"/>
        <v>2.4999999999999911E-2</v>
      </c>
      <c r="AI440" s="20">
        <v>13.6</v>
      </c>
      <c r="AJ440" s="20">
        <v>450</v>
      </c>
      <c r="AK440" s="20"/>
      <c r="AL440" s="20">
        <v>688</v>
      </c>
      <c r="AM440" s="20">
        <f t="shared" si="91"/>
        <v>72372.7</v>
      </c>
      <c r="AN440" s="7" t="s">
        <v>176</v>
      </c>
      <c r="AO440" s="20"/>
      <c r="AP440" s="21"/>
      <c r="AQ440" s="21"/>
      <c r="AR440" s="5" t="s">
        <v>751</v>
      </c>
      <c r="AS440" s="5" t="s">
        <v>164</v>
      </c>
      <c r="AT440" s="5" t="s">
        <v>59</v>
      </c>
      <c r="AU440" s="20"/>
      <c r="AV440" s="21"/>
      <c r="AW440" s="21"/>
      <c r="AX440" s="21"/>
    </row>
    <row r="441" spans="1:50" s="55" customFormat="1">
      <c r="A441" s="86" t="s">
        <v>318</v>
      </c>
      <c r="B441" s="5">
        <v>15009875</v>
      </c>
      <c r="C441" s="5" t="s">
        <v>814</v>
      </c>
      <c r="D441" s="5" t="s">
        <v>321</v>
      </c>
      <c r="E441" s="5" t="s">
        <v>52</v>
      </c>
      <c r="F441" s="5" t="s">
        <v>62</v>
      </c>
      <c r="G441" s="5" t="s">
        <v>207</v>
      </c>
      <c r="H441" s="5" t="s">
        <v>750</v>
      </c>
      <c r="I441" s="6">
        <v>41609</v>
      </c>
      <c r="J441" s="5" t="s">
        <v>336</v>
      </c>
      <c r="K441" s="5" t="s">
        <v>336</v>
      </c>
      <c r="L441" s="5" t="s">
        <v>324</v>
      </c>
      <c r="M441" s="7">
        <v>6</v>
      </c>
      <c r="N441" s="7" t="s">
        <v>176</v>
      </c>
      <c r="O441" s="8">
        <v>4712</v>
      </c>
      <c r="P441" s="9">
        <v>0.02</v>
      </c>
      <c r="Q441" s="10">
        <f t="shared" si="79"/>
        <v>94</v>
      </c>
      <c r="R441" s="9">
        <v>5.0000000000000001E-3</v>
      </c>
      <c r="S441" s="10">
        <f t="shared" si="80"/>
        <v>24</v>
      </c>
      <c r="T441" s="9">
        <f t="shared" si="81"/>
        <v>2.5042444821731749E-2</v>
      </c>
      <c r="U441" s="10">
        <f t="shared" si="82"/>
        <v>118</v>
      </c>
      <c r="V441" s="10">
        <f t="shared" si="83"/>
        <v>4830</v>
      </c>
      <c r="W441" s="11">
        <f>VLOOKUP(B441,[1]调薪计算!A:M,12,0)</f>
        <v>4829.7999999999993</v>
      </c>
      <c r="X441" s="12">
        <f t="shared" si="84"/>
        <v>117.79999999999927</v>
      </c>
      <c r="Y441" s="13">
        <f t="shared" si="85"/>
        <v>2.5000000000000001E-2</v>
      </c>
      <c r="Z441" s="14" t="str">
        <f t="shared" si="86"/>
        <v>0.00%-8.40%</v>
      </c>
      <c r="AA441" s="15"/>
      <c r="AB441" s="15"/>
      <c r="AC441" s="15"/>
      <c r="AD441" s="16"/>
      <c r="AE441" s="8">
        <f t="shared" si="87"/>
        <v>0</v>
      </c>
      <c r="AF441" s="17">
        <f t="shared" si="88"/>
        <v>4829.7999999999993</v>
      </c>
      <c r="AG441" s="18">
        <f t="shared" si="89"/>
        <v>117.79999999999927</v>
      </c>
      <c r="AH441" s="19">
        <f t="shared" si="90"/>
        <v>2.4999999999999911E-2</v>
      </c>
      <c r="AI441" s="20">
        <v>13.6</v>
      </c>
      <c r="AJ441" s="20">
        <v>450</v>
      </c>
      <c r="AK441" s="20"/>
      <c r="AL441" s="20">
        <v>688</v>
      </c>
      <c r="AM441" s="20">
        <f t="shared" si="91"/>
        <v>71773.279999999984</v>
      </c>
      <c r="AN441" s="7" t="s">
        <v>176</v>
      </c>
      <c r="AO441" s="20"/>
      <c r="AP441" s="21"/>
      <c r="AQ441" s="21"/>
      <c r="AR441" s="5" t="s">
        <v>751</v>
      </c>
      <c r="AS441" s="5" t="s">
        <v>164</v>
      </c>
      <c r="AT441" s="5" t="s">
        <v>59</v>
      </c>
      <c r="AU441" s="20"/>
      <c r="AV441" s="21"/>
      <c r="AW441" s="21"/>
      <c r="AX441" s="21"/>
    </row>
    <row r="442" spans="1:50" s="55" customFormat="1">
      <c r="A442" s="86" t="s">
        <v>318</v>
      </c>
      <c r="B442" s="5">
        <v>15009170</v>
      </c>
      <c r="C442" s="5" t="s">
        <v>815</v>
      </c>
      <c r="D442" s="5" t="s">
        <v>321</v>
      </c>
      <c r="E442" s="5" t="s">
        <v>52</v>
      </c>
      <c r="F442" s="5" t="s">
        <v>62</v>
      </c>
      <c r="G442" s="5" t="s">
        <v>207</v>
      </c>
      <c r="H442" s="5" t="s">
        <v>750</v>
      </c>
      <c r="I442" s="6">
        <v>41487</v>
      </c>
      <c r="J442" s="5" t="s">
        <v>336</v>
      </c>
      <c r="K442" s="5" t="s">
        <v>336</v>
      </c>
      <c r="L442" s="5" t="s">
        <v>324</v>
      </c>
      <c r="M442" s="7">
        <v>6</v>
      </c>
      <c r="N442" s="7" t="s">
        <v>176</v>
      </c>
      <c r="O442" s="8">
        <v>5460</v>
      </c>
      <c r="P442" s="9">
        <v>0.02</v>
      </c>
      <c r="Q442" s="10">
        <f t="shared" si="79"/>
        <v>109</v>
      </c>
      <c r="R442" s="9">
        <v>5.0000000000000001E-3</v>
      </c>
      <c r="S442" s="10">
        <f t="shared" si="80"/>
        <v>27</v>
      </c>
      <c r="T442" s="9">
        <f t="shared" si="81"/>
        <v>2.490842490842491E-2</v>
      </c>
      <c r="U442" s="10">
        <f t="shared" si="82"/>
        <v>136</v>
      </c>
      <c r="V442" s="10">
        <f t="shared" si="83"/>
        <v>5596</v>
      </c>
      <c r="W442" s="11">
        <f>VLOOKUP(B442,[1]调薪计算!A:M,12,0)</f>
        <v>5596.4999999999991</v>
      </c>
      <c r="X442" s="12">
        <f t="shared" si="84"/>
        <v>136.49999999999909</v>
      </c>
      <c r="Y442" s="13">
        <f t="shared" si="85"/>
        <v>2.5000000000000001E-2</v>
      </c>
      <c r="Z442" s="14" t="str">
        <f t="shared" si="86"/>
        <v>0.00%-8.40%</v>
      </c>
      <c r="AA442" s="15"/>
      <c r="AB442" s="15"/>
      <c r="AC442" s="15"/>
      <c r="AD442" s="16"/>
      <c r="AE442" s="8">
        <f t="shared" si="87"/>
        <v>0</v>
      </c>
      <c r="AF442" s="17">
        <f t="shared" si="88"/>
        <v>5596.4999999999991</v>
      </c>
      <c r="AG442" s="18">
        <f t="shared" si="89"/>
        <v>136.49999999999909</v>
      </c>
      <c r="AH442" s="19">
        <f t="shared" si="90"/>
        <v>2.4999999999999911E-2</v>
      </c>
      <c r="AI442" s="20">
        <v>13.6</v>
      </c>
      <c r="AJ442" s="20">
        <v>450</v>
      </c>
      <c r="AK442" s="20"/>
      <c r="AL442" s="20">
        <v>688</v>
      </c>
      <c r="AM442" s="20">
        <f t="shared" si="91"/>
        <v>82200.39999999998</v>
      </c>
      <c r="AN442" s="7" t="s">
        <v>176</v>
      </c>
      <c r="AO442" s="20"/>
      <c r="AP442" s="21"/>
      <c r="AQ442" s="21"/>
      <c r="AR442" s="5" t="s">
        <v>751</v>
      </c>
      <c r="AS442" s="5" t="s">
        <v>164</v>
      </c>
      <c r="AT442" s="5" t="s">
        <v>59</v>
      </c>
      <c r="AU442" s="20"/>
      <c r="AV442" s="21"/>
      <c r="AW442" s="21"/>
      <c r="AX442" s="21"/>
    </row>
    <row r="443" spans="1:50" s="55" customFormat="1">
      <c r="A443" s="86" t="s">
        <v>318</v>
      </c>
      <c r="B443" s="5">
        <v>15004419</v>
      </c>
      <c r="C443" s="5" t="s">
        <v>816</v>
      </c>
      <c r="D443" s="5" t="s">
        <v>321</v>
      </c>
      <c r="E443" s="5" t="s">
        <v>52</v>
      </c>
      <c r="F443" s="5" t="s">
        <v>62</v>
      </c>
      <c r="G443" s="5" t="s">
        <v>207</v>
      </c>
      <c r="H443" s="5" t="s">
        <v>753</v>
      </c>
      <c r="I443" s="6">
        <v>40603</v>
      </c>
      <c r="J443" s="5" t="s">
        <v>336</v>
      </c>
      <c r="K443" s="5" t="s">
        <v>511</v>
      </c>
      <c r="L443" s="5" t="s">
        <v>324</v>
      </c>
      <c r="M443" s="7">
        <v>6</v>
      </c>
      <c r="N443" s="7" t="s">
        <v>176</v>
      </c>
      <c r="O443" s="8">
        <v>5710</v>
      </c>
      <c r="P443" s="9">
        <v>0.02</v>
      </c>
      <c r="Q443" s="10">
        <f t="shared" si="79"/>
        <v>114</v>
      </c>
      <c r="R443" s="9">
        <v>5.0000000000000001E-3</v>
      </c>
      <c r="S443" s="10">
        <f t="shared" si="80"/>
        <v>29</v>
      </c>
      <c r="T443" s="9">
        <f t="shared" si="81"/>
        <v>2.5043782837127847E-2</v>
      </c>
      <c r="U443" s="10">
        <f t="shared" si="82"/>
        <v>143</v>
      </c>
      <c r="V443" s="10">
        <f t="shared" si="83"/>
        <v>5853</v>
      </c>
      <c r="W443" s="11">
        <f>VLOOKUP(B443,[1]调薪计算!A:M,12,0)</f>
        <v>5966.95</v>
      </c>
      <c r="X443" s="12">
        <f t="shared" si="84"/>
        <v>256.94999999999982</v>
      </c>
      <c r="Y443" s="13">
        <f t="shared" si="85"/>
        <v>4.4999999999999998E-2</v>
      </c>
      <c r="Z443" s="14" t="str">
        <f t="shared" si="86"/>
        <v>0.00%-8.40%</v>
      </c>
      <c r="AA443" s="15"/>
      <c r="AB443" s="15"/>
      <c r="AC443" s="15"/>
      <c r="AD443" s="16"/>
      <c r="AE443" s="8">
        <f t="shared" si="87"/>
        <v>0</v>
      </c>
      <c r="AF443" s="17">
        <f t="shared" si="88"/>
        <v>5966.95</v>
      </c>
      <c r="AG443" s="18">
        <f t="shared" si="89"/>
        <v>256.94999999999982</v>
      </c>
      <c r="AH443" s="19">
        <f t="shared" si="90"/>
        <v>4.4999999999999929E-2</v>
      </c>
      <c r="AI443" s="20">
        <v>13.6</v>
      </c>
      <c r="AJ443" s="20">
        <v>500</v>
      </c>
      <c r="AK443" s="20"/>
      <c r="AL443" s="20">
        <v>688</v>
      </c>
      <c r="AM443" s="20">
        <f t="shared" si="91"/>
        <v>87838.51999999999</v>
      </c>
      <c r="AN443" s="7" t="s">
        <v>176</v>
      </c>
      <c r="AO443" s="20"/>
      <c r="AP443" s="21"/>
      <c r="AQ443" s="21"/>
      <c r="AR443" s="5" t="s">
        <v>751</v>
      </c>
      <c r="AS443" s="5" t="s">
        <v>164</v>
      </c>
      <c r="AT443" s="5" t="s">
        <v>59</v>
      </c>
      <c r="AU443" s="20"/>
      <c r="AV443" s="21"/>
      <c r="AW443" s="21"/>
      <c r="AX443" s="21"/>
    </row>
    <row r="444" spans="1:50" s="55" customFormat="1">
      <c r="A444" s="86" t="s">
        <v>318</v>
      </c>
      <c r="B444" s="5">
        <v>15013134</v>
      </c>
      <c r="C444" s="5" t="s">
        <v>817</v>
      </c>
      <c r="D444" s="5" t="s">
        <v>321</v>
      </c>
      <c r="E444" s="5" t="s">
        <v>52</v>
      </c>
      <c r="F444" s="5" t="s">
        <v>62</v>
      </c>
      <c r="G444" s="5" t="s">
        <v>207</v>
      </c>
      <c r="H444" s="5" t="s">
        <v>750</v>
      </c>
      <c r="I444" s="6">
        <v>41852</v>
      </c>
      <c r="J444" s="5" t="s">
        <v>336</v>
      </c>
      <c r="K444" s="5" t="s">
        <v>336</v>
      </c>
      <c r="L444" s="5" t="s">
        <v>324</v>
      </c>
      <c r="M444" s="7">
        <v>6</v>
      </c>
      <c r="N444" s="7" t="s">
        <v>176</v>
      </c>
      <c r="O444" s="8">
        <v>4643</v>
      </c>
      <c r="P444" s="9">
        <v>0.02</v>
      </c>
      <c r="Q444" s="10">
        <f t="shared" si="79"/>
        <v>93</v>
      </c>
      <c r="R444" s="9">
        <v>5.0000000000000001E-3</v>
      </c>
      <c r="S444" s="10">
        <f t="shared" si="80"/>
        <v>23</v>
      </c>
      <c r="T444" s="9">
        <f t="shared" si="81"/>
        <v>2.498384665087228E-2</v>
      </c>
      <c r="U444" s="10">
        <f t="shared" si="82"/>
        <v>116</v>
      </c>
      <c r="V444" s="10">
        <f t="shared" si="83"/>
        <v>4759</v>
      </c>
      <c r="W444" s="11">
        <f>VLOOKUP(B444,[1]调薪计算!A:M,12,0)</f>
        <v>4759.0749999999998</v>
      </c>
      <c r="X444" s="12">
        <f t="shared" si="84"/>
        <v>116.07499999999982</v>
      </c>
      <c r="Y444" s="13">
        <f t="shared" si="85"/>
        <v>2.5000000000000001E-2</v>
      </c>
      <c r="Z444" s="14" t="str">
        <f t="shared" si="86"/>
        <v>0.00%-8.40%</v>
      </c>
      <c r="AA444" s="15"/>
      <c r="AB444" s="15"/>
      <c r="AC444" s="15"/>
      <c r="AD444" s="16"/>
      <c r="AE444" s="8">
        <f t="shared" si="87"/>
        <v>0</v>
      </c>
      <c r="AF444" s="17">
        <f t="shared" si="88"/>
        <v>4759.0749999999998</v>
      </c>
      <c r="AG444" s="18">
        <f t="shared" si="89"/>
        <v>116.07499999999982</v>
      </c>
      <c r="AH444" s="19">
        <f t="shared" si="90"/>
        <v>2.4999999999999911E-2</v>
      </c>
      <c r="AI444" s="20">
        <v>13.6</v>
      </c>
      <c r="AJ444" s="20">
        <v>450</v>
      </c>
      <c r="AK444" s="20"/>
      <c r="AL444" s="20">
        <v>688</v>
      </c>
      <c r="AM444" s="20">
        <f t="shared" si="91"/>
        <v>70811.42</v>
      </c>
      <c r="AN444" s="7" t="s">
        <v>176</v>
      </c>
      <c r="AO444" s="20"/>
      <c r="AP444" s="21"/>
      <c r="AQ444" s="21"/>
      <c r="AR444" s="5" t="s">
        <v>751</v>
      </c>
      <c r="AS444" s="5" t="s">
        <v>164</v>
      </c>
      <c r="AT444" s="5" t="s">
        <v>59</v>
      </c>
      <c r="AU444" s="20"/>
      <c r="AV444" s="21"/>
      <c r="AW444" s="21"/>
      <c r="AX444" s="21"/>
    </row>
    <row r="445" spans="1:50" s="55" customFormat="1">
      <c r="A445" s="86" t="s">
        <v>318</v>
      </c>
      <c r="B445" s="5">
        <v>15000442</v>
      </c>
      <c r="C445" s="5" t="s">
        <v>818</v>
      </c>
      <c r="D445" s="5" t="s">
        <v>321</v>
      </c>
      <c r="E445" s="5" t="s">
        <v>52</v>
      </c>
      <c r="F445" s="5" t="s">
        <v>62</v>
      </c>
      <c r="G445" s="5" t="s">
        <v>207</v>
      </c>
      <c r="H445" s="5" t="s">
        <v>750</v>
      </c>
      <c r="I445" s="6">
        <v>38808</v>
      </c>
      <c r="J445" s="5" t="s">
        <v>336</v>
      </c>
      <c r="K445" s="5" t="s">
        <v>766</v>
      </c>
      <c r="L445" s="5" t="s">
        <v>324</v>
      </c>
      <c r="M445" s="7">
        <v>6</v>
      </c>
      <c r="N445" s="7" t="s">
        <v>176</v>
      </c>
      <c r="O445" s="8">
        <v>6697</v>
      </c>
      <c r="P445" s="9">
        <v>0.02</v>
      </c>
      <c r="Q445" s="10">
        <f t="shared" si="79"/>
        <v>134</v>
      </c>
      <c r="R445" s="9">
        <v>5.0000000000000001E-3</v>
      </c>
      <c r="S445" s="10">
        <f t="shared" si="80"/>
        <v>33</v>
      </c>
      <c r="T445" s="9">
        <f t="shared" si="81"/>
        <v>2.4936538748693445E-2</v>
      </c>
      <c r="U445" s="10">
        <f t="shared" si="82"/>
        <v>167</v>
      </c>
      <c r="V445" s="10">
        <f t="shared" si="83"/>
        <v>6864</v>
      </c>
      <c r="W445" s="11">
        <f>VLOOKUP(B445,[1]调薪计算!A:M,12,0)</f>
        <v>6780.7124999999996</v>
      </c>
      <c r="X445" s="12">
        <f t="shared" si="84"/>
        <v>83.712499999999636</v>
      </c>
      <c r="Y445" s="13">
        <f t="shared" si="85"/>
        <v>1.2500000000000001E-2</v>
      </c>
      <c r="Z445" s="14" t="str">
        <f t="shared" si="86"/>
        <v>0.00%-8.40%</v>
      </c>
      <c r="AA445" s="15"/>
      <c r="AB445" s="15"/>
      <c r="AC445" s="15"/>
      <c r="AD445" s="16"/>
      <c r="AE445" s="8">
        <f t="shared" si="87"/>
        <v>0</v>
      </c>
      <c r="AF445" s="17">
        <f t="shared" si="88"/>
        <v>6780.7124999999996</v>
      </c>
      <c r="AG445" s="18">
        <f t="shared" si="89"/>
        <v>83.712499999999636</v>
      </c>
      <c r="AH445" s="19">
        <f t="shared" si="90"/>
        <v>1.2499999999999956E-2</v>
      </c>
      <c r="AI445" s="20">
        <v>13.6</v>
      </c>
      <c r="AJ445" s="20">
        <v>450</v>
      </c>
      <c r="AK445" s="20"/>
      <c r="AL445" s="20">
        <v>688</v>
      </c>
      <c r="AM445" s="20">
        <f t="shared" si="91"/>
        <v>98305.689999999988</v>
      </c>
      <c r="AN445" s="7" t="s">
        <v>176</v>
      </c>
      <c r="AO445" s="20"/>
      <c r="AP445" s="21"/>
      <c r="AQ445" s="21"/>
      <c r="AR445" s="5" t="s">
        <v>751</v>
      </c>
      <c r="AS445" s="5" t="s">
        <v>164</v>
      </c>
      <c r="AT445" s="5" t="s">
        <v>59</v>
      </c>
      <c r="AU445" s="20"/>
      <c r="AV445" s="21"/>
      <c r="AW445" s="21"/>
      <c r="AX445" s="21"/>
    </row>
    <row r="446" spans="1:50" s="55" customFormat="1">
      <c r="A446" s="86" t="s">
        <v>318</v>
      </c>
      <c r="B446" s="5">
        <v>15014393</v>
      </c>
      <c r="C446" s="5" t="s">
        <v>819</v>
      </c>
      <c r="D446" s="5" t="s">
        <v>321</v>
      </c>
      <c r="E446" s="5" t="s">
        <v>52</v>
      </c>
      <c r="F446" s="5" t="s">
        <v>62</v>
      </c>
      <c r="G446" s="5" t="s">
        <v>207</v>
      </c>
      <c r="H446" s="5" t="s">
        <v>750</v>
      </c>
      <c r="I446" s="6">
        <v>42248</v>
      </c>
      <c r="J446" s="5" t="s">
        <v>336</v>
      </c>
      <c r="K446" s="5" t="s">
        <v>336</v>
      </c>
      <c r="L446" s="5" t="s">
        <v>324</v>
      </c>
      <c r="M446" s="7">
        <v>6</v>
      </c>
      <c r="N446" s="7" t="s">
        <v>176</v>
      </c>
      <c r="O446" s="8">
        <v>4804</v>
      </c>
      <c r="P446" s="9">
        <v>0.02</v>
      </c>
      <c r="Q446" s="10">
        <f t="shared" si="79"/>
        <v>96</v>
      </c>
      <c r="R446" s="9">
        <v>5.0000000000000001E-3</v>
      </c>
      <c r="S446" s="10">
        <f t="shared" si="80"/>
        <v>24</v>
      </c>
      <c r="T446" s="9">
        <f t="shared" si="81"/>
        <v>2.497918401332223E-2</v>
      </c>
      <c r="U446" s="10">
        <f t="shared" si="82"/>
        <v>120</v>
      </c>
      <c r="V446" s="10">
        <f t="shared" si="83"/>
        <v>4924</v>
      </c>
      <c r="W446" s="11">
        <f>VLOOKUP(B446,[1]调薪计算!A:M,12,0)</f>
        <v>4924.0999999999995</v>
      </c>
      <c r="X446" s="12">
        <f t="shared" si="84"/>
        <v>120.09999999999945</v>
      </c>
      <c r="Y446" s="13">
        <f t="shared" si="85"/>
        <v>2.5000000000000001E-2</v>
      </c>
      <c r="Z446" s="14" t="str">
        <f t="shared" si="86"/>
        <v>0.00%-8.40%</v>
      </c>
      <c r="AA446" s="15"/>
      <c r="AB446" s="15"/>
      <c r="AC446" s="15"/>
      <c r="AD446" s="16"/>
      <c r="AE446" s="8">
        <f t="shared" si="87"/>
        <v>0</v>
      </c>
      <c r="AF446" s="17">
        <f t="shared" si="88"/>
        <v>4924.0999999999995</v>
      </c>
      <c r="AG446" s="18">
        <f t="shared" si="89"/>
        <v>120.09999999999945</v>
      </c>
      <c r="AH446" s="19">
        <f t="shared" si="90"/>
        <v>2.4999999999999911E-2</v>
      </c>
      <c r="AI446" s="20">
        <v>13.6</v>
      </c>
      <c r="AJ446" s="20">
        <v>450</v>
      </c>
      <c r="AK446" s="20"/>
      <c r="AL446" s="20">
        <v>688</v>
      </c>
      <c r="AM446" s="20">
        <f t="shared" si="91"/>
        <v>73055.759999999995</v>
      </c>
      <c r="AN446" s="7" t="s">
        <v>176</v>
      </c>
      <c r="AO446" s="20"/>
      <c r="AP446" s="21"/>
      <c r="AQ446" s="21"/>
      <c r="AR446" s="5" t="s">
        <v>751</v>
      </c>
      <c r="AS446" s="5" t="s">
        <v>164</v>
      </c>
      <c r="AT446" s="5" t="s">
        <v>59</v>
      </c>
      <c r="AU446" s="20"/>
      <c r="AV446" s="21"/>
      <c r="AW446" s="21"/>
      <c r="AX446" s="21"/>
    </row>
    <row r="447" spans="1:50" s="55" customFormat="1">
      <c r="A447" s="86" t="s">
        <v>318</v>
      </c>
      <c r="B447" s="5">
        <v>15003497</v>
      </c>
      <c r="C447" s="5" t="s">
        <v>820</v>
      </c>
      <c r="D447" s="5" t="s">
        <v>321</v>
      </c>
      <c r="E447" s="5" t="s">
        <v>52</v>
      </c>
      <c r="F447" s="5" t="s">
        <v>62</v>
      </c>
      <c r="G447" s="5" t="s">
        <v>207</v>
      </c>
      <c r="H447" s="5" t="s">
        <v>753</v>
      </c>
      <c r="I447" s="6">
        <v>40330</v>
      </c>
      <c r="J447" s="5" t="s">
        <v>336</v>
      </c>
      <c r="K447" s="5" t="s">
        <v>511</v>
      </c>
      <c r="L447" s="5" t="s">
        <v>324</v>
      </c>
      <c r="M447" s="7">
        <v>6</v>
      </c>
      <c r="N447" s="7" t="s">
        <v>176</v>
      </c>
      <c r="O447" s="8">
        <v>5107</v>
      </c>
      <c r="P447" s="9">
        <v>0.02</v>
      </c>
      <c r="Q447" s="10">
        <f t="shared" si="79"/>
        <v>102</v>
      </c>
      <c r="R447" s="9">
        <v>5.0000000000000001E-3</v>
      </c>
      <c r="S447" s="10">
        <f t="shared" si="80"/>
        <v>26</v>
      </c>
      <c r="T447" s="9">
        <f t="shared" si="81"/>
        <v>2.5063638143724299E-2</v>
      </c>
      <c r="U447" s="10">
        <f t="shared" si="82"/>
        <v>128</v>
      </c>
      <c r="V447" s="10">
        <f t="shared" si="83"/>
        <v>5235</v>
      </c>
      <c r="W447" s="11">
        <f>VLOOKUP(B447,[1]调薪计算!A:M,12,0)</f>
        <v>5158.07</v>
      </c>
      <c r="X447" s="12">
        <f t="shared" si="84"/>
        <v>51.069999999999709</v>
      </c>
      <c r="Y447" s="13">
        <f t="shared" si="85"/>
        <v>0.01</v>
      </c>
      <c r="Z447" s="14" t="str">
        <f t="shared" si="86"/>
        <v>0.00%-8.40%</v>
      </c>
      <c r="AA447" s="15"/>
      <c r="AB447" s="15"/>
      <c r="AC447" s="15"/>
      <c r="AD447" s="16"/>
      <c r="AE447" s="8">
        <f t="shared" si="87"/>
        <v>0</v>
      </c>
      <c r="AF447" s="17">
        <f t="shared" si="88"/>
        <v>5158.07</v>
      </c>
      <c r="AG447" s="18">
        <f t="shared" si="89"/>
        <v>51.069999999999709</v>
      </c>
      <c r="AH447" s="19">
        <f t="shared" si="90"/>
        <v>1.0000000000000009E-2</v>
      </c>
      <c r="AI447" s="20">
        <v>13.6</v>
      </c>
      <c r="AJ447" s="20">
        <v>500</v>
      </c>
      <c r="AK447" s="20"/>
      <c r="AL447" s="20">
        <v>688</v>
      </c>
      <c r="AM447" s="20">
        <f t="shared" si="91"/>
        <v>76837.751999999993</v>
      </c>
      <c r="AN447" s="7" t="s">
        <v>176</v>
      </c>
      <c r="AO447" s="20"/>
      <c r="AP447" s="21"/>
      <c r="AQ447" s="21"/>
      <c r="AR447" s="5" t="s">
        <v>751</v>
      </c>
      <c r="AS447" s="5" t="s">
        <v>164</v>
      </c>
      <c r="AT447" s="5" t="s">
        <v>59</v>
      </c>
      <c r="AU447" s="20"/>
      <c r="AV447" s="21"/>
      <c r="AW447" s="21"/>
      <c r="AX447" s="21"/>
    </row>
    <row r="448" spans="1:50" s="55" customFormat="1">
      <c r="A448" s="86" t="s">
        <v>318</v>
      </c>
      <c r="B448" s="5">
        <v>15018540</v>
      </c>
      <c r="C448" s="5" t="s">
        <v>821</v>
      </c>
      <c r="D448" s="5" t="s">
        <v>321</v>
      </c>
      <c r="E448" s="5" t="s">
        <v>52</v>
      </c>
      <c r="F448" s="5" t="s">
        <v>62</v>
      </c>
      <c r="G448" s="5" t="s">
        <v>207</v>
      </c>
      <c r="H448" s="5" t="s">
        <v>750</v>
      </c>
      <c r="I448" s="6">
        <v>43252</v>
      </c>
      <c r="J448" s="5" t="s">
        <v>336</v>
      </c>
      <c r="K448" s="5" t="s">
        <v>336</v>
      </c>
      <c r="L448" s="5" t="s">
        <v>324</v>
      </c>
      <c r="M448" s="7">
        <v>6</v>
      </c>
      <c r="N448" s="7" t="s">
        <v>176</v>
      </c>
      <c r="O448" s="8">
        <v>4784</v>
      </c>
      <c r="P448" s="9">
        <v>0.02</v>
      </c>
      <c r="Q448" s="10">
        <f t="shared" si="79"/>
        <v>96</v>
      </c>
      <c r="R448" s="9">
        <v>5.0000000000000001E-3</v>
      </c>
      <c r="S448" s="10">
        <f t="shared" si="80"/>
        <v>24</v>
      </c>
      <c r="T448" s="9">
        <f t="shared" si="81"/>
        <v>2.508361204013378E-2</v>
      </c>
      <c r="U448" s="10">
        <f t="shared" si="82"/>
        <v>120</v>
      </c>
      <c r="V448" s="10">
        <f t="shared" si="83"/>
        <v>4904</v>
      </c>
      <c r="W448" s="11">
        <f>VLOOKUP(B448,[1]调薪计算!A:M,12,0)</f>
        <v>4903.5999999999995</v>
      </c>
      <c r="X448" s="12">
        <f t="shared" si="84"/>
        <v>119.59999999999945</v>
      </c>
      <c r="Y448" s="13">
        <f t="shared" si="85"/>
        <v>2.5000000000000001E-2</v>
      </c>
      <c r="Z448" s="14" t="str">
        <f t="shared" si="86"/>
        <v>0.00%-8.40%</v>
      </c>
      <c r="AA448" s="15"/>
      <c r="AB448" s="15"/>
      <c r="AC448" s="15"/>
      <c r="AD448" s="16"/>
      <c r="AE448" s="8">
        <f t="shared" si="87"/>
        <v>0</v>
      </c>
      <c r="AF448" s="17">
        <f t="shared" si="88"/>
        <v>4903.5999999999995</v>
      </c>
      <c r="AG448" s="18">
        <f t="shared" si="89"/>
        <v>119.59999999999945</v>
      </c>
      <c r="AH448" s="19">
        <f t="shared" si="90"/>
        <v>2.4999999999999911E-2</v>
      </c>
      <c r="AI448" s="20">
        <v>13.6</v>
      </c>
      <c r="AJ448" s="20">
        <v>450</v>
      </c>
      <c r="AK448" s="20"/>
      <c r="AL448" s="20">
        <v>688</v>
      </c>
      <c r="AM448" s="20">
        <f t="shared" si="91"/>
        <v>72776.959999999992</v>
      </c>
      <c r="AN448" s="7" t="s">
        <v>176</v>
      </c>
      <c r="AO448" s="20" t="s">
        <v>490</v>
      </c>
      <c r="AP448" s="21"/>
      <c r="AQ448" s="21"/>
      <c r="AR448" s="5" t="s">
        <v>751</v>
      </c>
      <c r="AS448" s="5" t="s">
        <v>164</v>
      </c>
      <c r="AT448" s="5" t="s">
        <v>59</v>
      </c>
      <c r="AU448" s="20"/>
      <c r="AV448" s="21"/>
      <c r="AW448" s="21"/>
      <c r="AX448" s="21"/>
    </row>
    <row r="449" spans="1:50" s="55" customFormat="1">
      <c r="A449" s="86" t="s">
        <v>318</v>
      </c>
      <c r="B449" s="5">
        <v>15010833</v>
      </c>
      <c r="C449" s="5" t="s">
        <v>822</v>
      </c>
      <c r="D449" s="5" t="s">
        <v>321</v>
      </c>
      <c r="E449" s="5" t="s">
        <v>52</v>
      </c>
      <c r="F449" s="5" t="s">
        <v>62</v>
      </c>
      <c r="G449" s="5" t="s">
        <v>207</v>
      </c>
      <c r="H449" s="5" t="s">
        <v>750</v>
      </c>
      <c r="I449" s="6">
        <v>41548</v>
      </c>
      <c r="J449" s="5" t="s">
        <v>336</v>
      </c>
      <c r="K449" s="5" t="s">
        <v>336</v>
      </c>
      <c r="L449" s="5" t="s">
        <v>324</v>
      </c>
      <c r="M449" s="7">
        <v>6</v>
      </c>
      <c r="N449" s="7" t="s">
        <v>176</v>
      </c>
      <c r="O449" s="8">
        <v>4672</v>
      </c>
      <c r="P449" s="9">
        <v>0.02</v>
      </c>
      <c r="Q449" s="10">
        <f t="shared" si="79"/>
        <v>93</v>
      </c>
      <c r="R449" s="9">
        <v>5.0000000000000001E-3</v>
      </c>
      <c r="S449" s="10">
        <f t="shared" si="80"/>
        <v>23</v>
      </c>
      <c r="T449" s="9">
        <f t="shared" si="81"/>
        <v>2.482876712328767E-2</v>
      </c>
      <c r="U449" s="10">
        <f t="shared" si="82"/>
        <v>116</v>
      </c>
      <c r="V449" s="10">
        <f t="shared" si="83"/>
        <v>4788</v>
      </c>
      <c r="W449" s="11">
        <f>VLOOKUP(B449,[1]调薪计算!A:M,12,0)</f>
        <v>4788.7999999999993</v>
      </c>
      <c r="X449" s="12">
        <f t="shared" si="84"/>
        <v>116.79999999999927</v>
      </c>
      <c r="Y449" s="13">
        <f t="shared" si="85"/>
        <v>2.5000000000000001E-2</v>
      </c>
      <c r="Z449" s="14" t="str">
        <f t="shared" si="86"/>
        <v>0.00%-8.40%</v>
      </c>
      <c r="AA449" s="15"/>
      <c r="AB449" s="15"/>
      <c r="AC449" s="15"/>
      <c r="AD449" s="16"/>
      <c r="AE449" s="8">
        <f t="shared" si="87"/>
        <v>0</v>
      </c>
      <c r="AF449" s="17">
        <f t="shared" si="88"/>
        <v>4788.7999999999993</v>
      </c>
      <c r="AG449" s="18">
        <f t="shared" si="89"/>
        <v>116.79999999999927</v>
      </c>
      <c r="AH449" s="19">
        <f t="shared" si="90"/>
        <v>2.4999999999999911E-2</v>
      </c>
      <c r="AI449" s="20">
        <v>13.6</v>
      </c>
      <c r="AJ449" s="20">
        <v>450</v>
      </c>
      <c r="AK449" s="20"/>
      <c r="AL449" s="20">
        <v>688</v>
      </c>
      <c r="AM449" s="20">
        <f t="shared" si="91"/>
        <v>71215.679999999993</v>
      </c>
      <c r="AN449" s="7" t="s">
        <v>176</v>
      </c>
      <c r="AO449" s="20"/>
      <c r="AP449" s="21"/>
      <c r="AQ449" s="21"/>
      <c r="AR449" s="5" t="s">
        <v>751</v>
      </c>
      <c r="AS449" s="5" t="s">
        <v>164</v>
      </c>
      <c r="AT449" s="5" t="s">
        <v>59</v>
      </c>
      <c r="AU449" s="20"/>
      <c r="AV449" s="21"/>
      <c r="AW449" s="21"/>
      <c r="AX449" s="21"/>
    </row>
    <row r="450" spans="1:50" s="55" customFormat="1">
      <c r="A450" s="86" t="s">
        <v>318</v>
      </c>
      <c r="B450" s="5">
        <v>15009438</v>
      </c>
      <c r="C450" s="5" t="s">
        <v>823</v>
      </c>
      <c r="D450" s="5" t="s">
        <v>321</v>
      </c>
      <c r="E450" s="5" t="s">
        <v>52</v>
      </c>
      <c r="F450" s="5" t="s">
        <v>62</v>
      </c>
      <c r="G450" s="5" t="s">
        <v>207</v>
      </c>
      <c r="H450" s="5" t="s">
        <v>750</v>
      </c>
      <c r="I450" s="6">
        <v>44409</v>
      </c>
      <c r="J450" s="5" t="s">
        <v>336</v>
      </c>
      <c r="K450" s="5" t="s">
        <v>336</v>
      </c>
      <c r="L450" s="5" t="s">
        <v>324</v>
      </c>
      <c r="M450" s="7">
        <v>6</v>
      </c>
      <c r="N450" s="7" t="s">
        <v>176</v>
      </c>
      <c r="O450" s="8">
        <v>4652</v>
      </c>
      <c r="P450" s="9">
        <v>0.02</v>
      </c>
      <c r="Q450" s="10">
        <f t="shared" si="79"/>
        <v>93</v>
      </c>
      <c r="R450" s="9">
        <v>5.0000000000000001E-3</v>
      </c>
      <c r="S450" s="10">
        <f t="shared" si="80"/>
        <v>23</v>
      </c>
      <c r="T450" s="9">
        <f t="shared" si="81"/>
        <v>2.4935511607910577E-2</v>
      </c>
      <c r="U450" s="10">
        <f t="shared" si="82"/>
        <v>116</v>
      </c>
      <c r="V450" s="10">
        <f t="shared" si="83"/>
        <v>4768</v>
      </c>
      <c r="W450" s="11">
        <f>VLOOKUP(B450,[1]调薪计算!A:M,12,0)</f>
        <v>4768.2999999999993</v>
      </c>
      <c r="X450" s="12">
        <f t="shared" si="84"/>
        <v>116.29999999999927</v>
      </c>
      <c r="Y450" s="13">
        <f t="shared" si="85"/>
        <v>2.5000000000000001E-2</v>
      </c>
      <c r="Z450" s="14" t="str">
        <f t="shared" si="86"/>
        <v>0.00%-8.40%</v>
      </c>
      <c r="AA450" s="15"/>
      <c r="AB450" s="15"/>
      <c r="AC450" s="15"/>
      <c r="AD450" s="16"/>
      <c r="AE450" s="8">
        <f t="shared" si="87"/>
        <v>0</v>
      </c>
      <c r="AF450" s="17">
        <f t="shared" si="88"/>
        <v>4768.2999999999993</v>
      </c>
      <c r="AG450" s="18">
        <f t="shared" si="89"/>
        <v>116.29999999999927</v>
      </c>
      <c r="AH450" s="19">
        <f t="shared" si="90"/>
        <v>2.4999999999999911E-2</v>
      </c>
      <c r="AI450" s="20">
        <v>13.6</v>
      </c>
      <c r="AJ450" s="20">
        <v>450</v>
      </c>
      <c r="AK450" s="20"/>
      <c r="AL450" s="20">
        <v>688</v>
      </c>
      <c r="AM450" s="20">
        <f t="shared" si="91"/>
        <v>70936.87999999999</v>
      </c>
      <c r="AN450" s="7" t="s">
        <v>176</v>
      </c>
      <c r="AO450" s="20"/>
      <c r="AP450" s="21"/>
      <c r="AQ450" s="21"/>
      <c r="AR450" s="5" t="s">
        <v>751</v>
      </c>
      <c r="AS450" s="5" t="s">
        <v>164</v>
      </c>
      <c r="AT450" s="5" t="s">
        <v>59</v>
      </c>
      <c r="AU450" s="20"/>
      <c r="AV450" s="21"/>
      <c r="AW450" s="21"/>
      <c r="AX450" s="21"/>
    </row>
    <row r="451" spans="1:50" s="55" customFormat="1">
      <c r="A451" s="86" t="s">
        <v>318</v>
      </c>
      <c r="B451" s="5">
        <v>15016388</v>
      </c>
      <c r="C451" s="5" t="s">
        <v>824</v>
      </c>
      <c r="D451" s="5" t="s">
        <v>321</v>
      </c>
      <c r="E451" s="5" t="s">
        <v>52</v>
      </c>
      <c r="F451" s="5" t="s">
        <v>62</v>
      </c>
      <c r="G451" s="5" t="s">
        <v>207</v>
      </c>
      <c r="H451" s="5" t="s">
        <v>750</v>
      </c>
      <c r="I451" s="6">
        <v>42948</v>
      </c>
      <c r="J451" s="5" t="s">
        <v>336</v>
      </c>
      <c r="K451" s="5" t="s">
        <v>336</v>
      </c>
      <c r="L451" s="5" t="s">
        <v>324</v>
      </c>
      <c r="M451" s="7">
        <v>6</v>
      </c>
      <c r="N451" s="7" t="s">
        <v>176</v>
      </c>
      <c r="O451" s="8">
        <v>4760</v>
      </c>
      <c r="P451" s="9">
        <v>0.02</v>
      </c>
      <c r="Q451" s="10">
        <f t="shared" si="79"/>
        <v>95</v>
      </c>
      <c r="R451" s="9">
        <v>5.0000000000000001E-3</v>
      </c>
      <c r="S451" s="10">
        <f t="shared" si="80"/>
        <v>24</v>
      </c>
      <c r="T451" s="9">
        <f t="shared" si="81"/>
        <v>2.5000000000000001E-2</v>
      </c>
      <c r="U451" s="10">
        <f t="shared" si="82"/>
        <v>119</v>
      </c>
      <c r="V451" s="10">
        <f t="shared" si="83"/>
        <v>4879</v>
      </c>
      <c r="W451" s="11">
        <f>VLOOKUP(B451,[1]调薪计算!A:M,12,0)</f>
        <v>4807.6000000000004</v>
      </c>
      <c r="X451" s="12">
        <f t="shared" si="84"/>
        <v>47.600000000000364</v>
      </c>
      <c r="Y451" s="13">
        <f t="shared" si="85"/>
        <v>0.01</v>
      </c>
      <c r="Z451" s="14" t="str">
        <f t="shared" si="86"/>
        <v>0.00%-8.40%</v>
      </c>
      <c r="AA451" s="15"/>
      <c r="AB451" s="15"/>
      <c r="AC451" s="15"/>
      <c r="AD451" s="16"/>
      <c r="AE451" s="8">
        <f t="shared" si="87"/>
        <v>0</v>
      </c>
      <c r="AF451" s="17">
        <f t="shared" si="88"/>
        <v>4807.6000000000004</v>
      </c>
      <c r="AG451" s="18">
        <f t="shared" si="89"/>
        <v>47.600000000000364</v>
      </c>
      <c r="AH451" s="19">
        <f t="shared" si="90"/>
        <v>1.0000000000000009E-2</v>
      </c>
      <c r="AI451" s="20">
        <v>13.6</v>
      </c>
      <c r="AJ451" s="20">
        <v>450</v>
      </c>
      <c r="AK451" s="20"/>
      <c r="AL451" s="20">
        <v>688</v>
      </c>
      <c r="AM451" s="20">
        <f t="shared" si="91"/>
        <v>71471.360000000001</v>
      </c>
      <c r="AN451" s="7" t="s">
        <v>176</v>
      </c>
      <c r="AO451" s="20"/>
      <c r="AP451" s="21"/>
      <c r="AQ451" s="21"/>
      <c r="AR451" s="5" t="s">
        <v>751</v>
      </c>
      <c r="AS451" s="5" t="s">
        <v>164</v>
      </c>
      <c r="AT451" s="5" t="s">
        <v>59</v>
      </c>
      <c r="AU451" s="20"/>
      <c r="AV451" s="21"/>
      <c r="AW451" s="21"/>
      <c r="AX451" s="21"/>
    </row>
    <row r="452" spans="1:50" s="55" customFormat="1">
      <c r="A452" s="86" t="s">
        <v>318</v>
      </c>
      <c r="B452" s="5">
        <v>15013197</v>
      </c>
      <c r="C452" s="5" t="s">
        <v>825</v>
      </c>
      <c r="D452" s="5" t="s">
        <v>321</v>
      </c>
      <c r="E452" s="5" t="s">
        <v>52</v>
      </c>
      <c r="F452" s="5" t="s">
        <v>62</v>
      </c>
      <c r="G452" s="5" t="s">
        <v>207</v>
      </c>
      <c r="H452" s="5" t="s">
        <v>753</v>
      </c>
      <c r="I452" s="6">
        <v>41852</v>
      </c>
      <c r="J452" s="5" t="s">
        <v>336</v>
      </c>
      <c r="K452" s="5" t="s">
        <v>511</v>
      </c>
      <c r="L452" s="5" t="s">
        <v>324</v>
      </c>
      <c r="M452" s="7">
        <v>6</v>
      </c>
      <c r="N452" s="7" t="s">
        <v>176</v>
      </c>
      <c r="O452" s="8">
        <v>4823</v>
      </c>
      <c r="P452" s="9">
        <v>0.02</v>
      </c>
      <c r="Q452" s="10">
        <f t="shared" si="79"/>
        <v>96</v>
      </c>
      <c r="R452" s="9">
        <v>5.0000000000000001E-3</v>
      </c>
      <c r="S452" s="10">
        <f t="shared" si="80"/>
        <v>24</v>
      </c>
      <c r="T452" s="9">
        <f t="shared" si="81"/>
        <v>2.4880779597760729E-2</v>
      </c>
      <c r="U452" s="10">
        <f t="shared" si="82"/>
        <v>120</v>
      </c>
      <c r="V452" s="10">
        <f t="shared" si="83"/>
        <v>4943</v>
      </c>
      <c r="W452" s="11">
        <f>VLOOKUP(B452,[1]调薪计算!A:M,12,0)</f>
        <v>4823</v>
      </c>
      <c r="X452" s="12">
        <f t="shared" si="84"/>
        <v>0</v>
      </c>
      <c r="Y452" s="13">
        <f t="shared" si="85"/>
        <v>0</v>
      </c>
      <c r="Z452" s="14" t="str">
        <f t="shared" si="86"/>
        <v>0.00%-8.40%</v>
      </c>
      <c r="AA452" s="15"/>
      <c r="AB452" s="15"/>
      <c r="AC452" s="15"/>
      <c r="AD452" s="16"/>
      <c r="AE452" s="8">
        <f t="shared" si="87"/>
        <v>0</v>
      </c>
      <c r="AF452" s="17">
        <f t="shared" si="88"/>
        <v>4823</v>
      </c>
      <c r="AG452" s="18">
        <f t="shared" si="89"/>
        <v>0</v>
      </c>
      <c r="AH452" s="19">
        <f t="shared" si="90"/>
        <v>0</v>
      </c>
      <c r="AI452" s="20">
        <v>13.6</v>
      </c>
      <c r="AJ452" s="20">
        <v>500</v>
      </c>
      <c r="AK452" s="20"/>
      <c r="AL452" s="20">
        <v>688</v>
      </c>
      <c r="AM452" s="20">
        <f t="shared" si="91"/>
        <v>72280.800000000003</v>
      </c>
      <c r="AN452" s="7" t="s">
        <v>176</v>
      </c>
      <c r="AO452" s="20"/>
      <c r="AP452" s="21" t="s">
        <v>97</v>
      </c>
      <c r="AQ452" s="21" t="s">
        <v>97</v>
      </c>
      <c r="AR452" s="5" t="s">
        <v>751</v>
      </c>
      <c r="AS452" s="5" t="s">
        <v>164</v>
      </c>
      <c r="AT452" s="5" t="s">
        <v>59</v>
      </c>
      <c r="AU452" s="20"/>
      <c r="AV452" s="21"/>
      <c r="AW452" s="21"/>
      <c r="AX452" s="21"/>
    </row>
    <row r="453" spans="1:50" s="55" customFormat="1">
      <c r="A453" s="86" t="s">
        <v>318</v>
      </c>
      <c r="B453" s="5">
        <v>15013943</v>
      </c>
      <c r="C453" s="5" t="s">
        <v>826</v>
      </c>
      <c r="D453" s="5" t="s">
        <v>321</v>
      </c>
      <c r="E453" s="5" t="s">
        <v>52</v>
      </c>
      <c r="F453" s="5" t="s">
        <v>62</v>
      </c>
      <c r="G453" s="5" t="s">
        <v>207</v>
      </c>
      <c r="H453" s="5" t="s">
        <v>753</v>
      </c>
      <c r="I453" s="6">
        <v>42018</v>
      </c>
      <c r="J453" s="5" t="s">
        <v>336</v>
      </c>
      <c r="K453" s="5" t="s">
        <v>803</v>
      </c>
      <c r="L453" s="5" t="s">
        <v>324</v>
      </c>
      <c r="M453" s="7">
        <v>6</v>
      </c>
      <c r="N453" s="7" t="s">
        <v>176</v>
      </c>
      <c r="O453" s="8">
        <v>4898</v>
      </c>
      <c r="P453" s="9">
        <v>0.02</v>
      </c>
      <c r="Q453" s="10">
        <f t="shared" si="79"/>
        <v>98</v>
      </c>
      <c r="R453" s="9">
        <v>5.0000000000000001E-3</v>
      </c>
      <c r="S453" s="10">
        <f t="shared" si="80"/>
        <v>24</v>
      </c>
      <c r="T453" s="9">
        <f t="shared" si="81"/>
        <v>2.490812576561862E-2</v>
      </c>
      <c r="U453" s="10">
        <f t="shared" si="82"/>
        <v>122</v>
      </c>
      <c r="V453" s="10">
        <f t="shared" si="83"/>
        <v>5020</v>
      </c>
      <c r="W453" s="11">
        <f>VLOOKUP(B453,[1]调薪计算!A:M,12,0)</f>
        <v>4946.9800000000005</v>
      </c>
      <c r="X453" s="12">
        <f t="shared" si="84"/>
        <v>48.980000000000473</v>
      </c>
      <c r="Y453" s="13">
        <f t="shared" si="85"/>
        <v>0.01</v>
      </c>
      <c r="Z453" s="14" t="str">
        <f t="shared" si="86"/>
        <v>0.00%-8.40%</v>
      </c>
      <c r="AA453" s="15"/>
      <c r="AB453" s="15"/>
      <c r="AC453" s="15"/>
      <c r="AD453" s="16"/>
      <c r="AE453" s="8">
        <f t="shared" si="87"/>
        <v>0</v>
      </c>
      <c r="AF453" s="17">
        <f t="shared" si="88"/>
        <v>4946.9800000000005</v>
      </c>
      <c r="AG453" s="18">
        <f t="shared" si="89"/>
        <v>48.980000000000473</v>
      </c>
      <c r="AH453" s="19">
        <f t="shared" si="90"/>
        <v>1.0000000000000009E-2</v>
      </c>
      <c r="AI453" s="20">
        <v>13.6</v>
      </c>
      <c r="AJ453" s="20">
        <v>700</v>
      </c>
      <c r="AK453" s="20"/>
      <c r="AL453" s="20">
        <v>688</v>
      </c>
      <c r="AM453" s="20">
        <f t="shared" si="91"/>
        <v>76366.928</v>
      </c>
      <c r="AN453" s="7" t="s">
        <v>176</v>
      </c>
      <c r="AO453" s="20"/>
      <c r="AP453" s="21"/>
      <c r="AQ453" s="21"/>
      <c r="AR453" s="5" t="s">
        <v>751</v>
      </c>
      <c r="AS453" s="5" t="s">
        <v>164</v>
      </c>
      <c r="AT453" s="5" t="s">
        <v>59</v>
      </c>
      <c r="AU453" s="20"/>
      <c r="AV453" s="21"/>
      <c r="AW453" s="21"/>
      <c r="AX453" s="21"/>
    </row>
    <row r="454" spans="1:50" s="55" customFormat="1">
      <c r="A454" s="86" t="s">
        <v>318</v>
      </c>
      <c r="B454" s="5">
        <v>15002466</v>
      </c>
      <c r="C454" s="5" t="s">
        <v>827</v>
      </c>
      <c r="D454" s="5" t="s">
        <v>321</v>
      </c>
      <c r="E454" s="5" t="s">
        <v>52</v>
      </c>
      <c r="F454" s="5" t="s">
        <v>62</v>
      </c>
      <c r="G454" s="5" t="s">
        <v>207</v>
      </c>
      <c r="H454" s="5" t="s">
        <v>753</v>
      </c>
      <c r="I454" s="6">
        <v>39973</v>
      </c>
      <c r="J454" s="5" t="s">
        <v>336</v>
      </c>
      <c r="K454" s="5" t="s">
        <v>511</v>
      </c>
      <c r="L454" s="5" t="s">
        <v>324</v>
      </c>
      <c r="M454" s="7">
        <v>6</v>
      </c>
      <c r="N454" s="7" t="s">
        <v>176</v>
      </c>
      <c r="O454" s="8">
        <v>5099</v>
      </c>
      <c r="P454" s="9">
        <v>0.02</v>
      </c>
      <c r="Q454" s="10">
        <f t="shared" si="79"/>
        <v>102</v>
      </c>
      <c r="R454" s="9">
        <v>5.0000000000000001E-3</v>
      </c>
      <c r="S454" s="10">
        <f t="shared" si="80"/>
        <v>25</v>
      </c>
      <c r="T454" s="9">
        <f t="shared" si="81"/>
        <v>2.4906844479309669E-2</v>
      </c>
      <c r="U454" s="10">
        <f t="shared" si="82"/>
        <v>127</v>
      </c>
      <c r="V454" s="10">
        <f t="shared" si="83"/>
        <v>5226</v>
      </c>
      <c r="W454" s="11">
        <f>VLOOKUP(B454,[1]调薪计算!A:M,12,0)</f>
        <v>5226.4749999999995</v>
      </c>
      <c r="X454" s="12">
        <f t="shared" si="84"/>
        <v>127.47499999999945</v>
      </c>
      <c r="Y454" s="13">
        <f t="shared" si="85"/>
        <v>2.5000000000000001E-2</v>
      </c>
      <c r="Z454" s="14" t="str">
        <f t="shared" si="86"/>
        <v>0.00%-8.40%</v>
      </c>
      <c r="AA454" s="15"/>
      <c r="AB454" s="15"/>
      <c r="AC454" s="15"/>
      <c r="AD454" s="16"/>
      <c r="AE454" s="8">
        <f t="shared" si="87"/>
        <v>0</v>
      </c>
      <c r="AF454" s="17">
        <f t="shared" si="88"/>
        <v>5226.4749999999995</v>
      </c>
      <c r="AG454" s="18">
        <f t="shared" si="89"/>
        <v>127.47499999999945</v>
      </c>
      <c r="AH454" s="19">
        <f t="shared" si="90"/>
        <v>2.4999999999999911E-2</v>
      </c>
      <c r="AI454" s="20">
        <v>13.6</v>
      </c>
      <c r="AJ454" s="20">
        <v>500</v>
      </c>
      <c r="AK454" s="20"/>
      <c r="AL454" s="20">
        <v>688</v>
      </c>
      <c r="AM454" s="20">
        <f t="shared" si="91"/>
        <v>77768.06</v>
      </c>
      <c r="AN454" s="7" t="s">
        <v>176</v>
      </c>
      <c r="AO454" s="20"/>
      <c r="AP454" s="21"/>
      <c r="AQ454" s="21"/>
      <c r="AR454" s="5" t="s">
        <v>751</v>
      </c>
      <c r="AS454" s="5" t="s">
        <v>164</v>
      </c>
      <c r="AT454" s="5" t="s">
        <v>59</v>
      </c>
      <c r="AU454" s="20"/>
      <c r="AV454" s="21"/>
      <c r="AW454" s="21"/>
      <c r="AX454" s="21"/>
    </row>
    <row r="455" spans="1:50" s="55" customFormat="1">
      <c r="A455" s="86" t="s">
        <v>318</v>
      </c>
      <c r="B455" s="5">
        <v>15008819</v>
      </c>
      <c r="C455" s="5" t="s">
        <v>828</v>
      </c>
      <c r="D455" s="5" t="s">
        <v>321</v>
      </c>
      <c r="E455" s="5" t="s">
        <v>52</v>
      </c>
      <c r="F455" s="5" t="s">
        <v>62</v>
      </c>
      <c r="G455" s="5" t="s">
        <v>207</v>
      </c>
      <c r="H455" s="5" t="s">
        <v>750</v>
      </c>
      <c r="I455" s="6">
        <v>42217</v>
      </c>
      <c r="J455" s="5" t="s">
        <v>336</v>
      </c>
      <c r="K455" s="5" t="s">
        <v>336</v>
      </c>
      <c r="L455" s="5" t="s">
        <v>324</v>
      </c>
      <c r="M455" s="7">
        <v>6</v>
      </c>
      <c r="N455" s="7" t="s">
        <v>176</v>
      </c>
      <c r="O455" s="8">
        <v>5513</v>
      </c>
      <c r="P455" s="9">
        <v>0.02</v>
      </c>
      <c r="Q455" s="10">
        <f t="shared" si="79"/>
        <v>110</v>
      </c>
      <c r="R455" s="9">
        <v>5.0000000000000001E-3</v>
      </c>
      <c r="S455" s="10">
        <f t="shared" si="80"/>
        <v>28</v>
      </c>
      <c r="T455" s="9">
        <f t="shared" si="81"/>
        <v>2.5031743152548521E-2</v>
      </c>
      <c r="U455" s="10">
        <f t="shared" si="82"/>
        <v>138</v>
      </c>
      <c r="V455" s="10">
        <f t="shared" si="83"/>
        <v>5651</v>
      </c>
      <c r="W455" s="11">
        <f>VLOOKUP(B455,[1]调薪计算!A:M,12,0)</f>
        <v>5568.13</v>
      </c>
      <c r="X455" s="12">
        <f t="shared" si="84"/>
        <v>55.130000000000109</v>
      </c>
      <c r="Y455" s="13">
        <f t="shared" si="85"/>
        <v>0.01</v>
      </c>
      <c r="Z455" s="14" t="str">
        <f t="shared" si="86"/>
        <v>0.00%-8.40%</v>
      </c>
      <c r="AA455" s="15"/>
      <c r="AB455" s="15"/>
      <c r="AC455" s="15"/>
      <c r="AD455" s="16"/>
      <c r="AE455" s="8">
        <f t="shared" si="87"/>
        <v>0</v>
      </c>
      <c r="AF455" s="17">
        <f t="shared" si="88"/>
        <v>5568.13</v>
      </c>
      <c r="AG455" s="18">
        <f t="shared" si="89"/>
        <v>55.130000000000109</v>
      </c>
      <c r="AH455" s="19">
        <f t="shared" si="90"/>
        <v>1.0000000000000009E-2</v>
      </c>
      <c r="AI455" s="20">
        <v>13.6</v>
      </c>
      <c r="AJ455" s="20">
        <v>450</v>
      </c>
      <c r="AK455" s="20"/>
      <c r="AL455" s="20">
        <v>688</v>
      </c>
      <c r="AM455" s="20">
        <f t="shared" si="91"/>
        <v>81814.567999999999</v>
      </c>
      <c r="AN455" s="7" t="s">
        <v>176</v>
      </c>
      <c r="AO455" s="20"/>
      <c r="AP455" s="21"/>
      <c r="AQ455" s="21"/>
      <c r="AR455" s="5" t="s">
        <v>751</v>
      </c>
      <c r="AS455" s="5" t="s">
        <v>164</v>
      </c>
      <c r="AT455" s="5" t="s">
        <v>59</v>
      </c>
      <c r="AU455" s="20"/>
      <c r="AV455" s="21"/>
      <c r="AW455" s="21"/>
      <c r="AX455" s="21"/>
    </row>
    <row r="456" spans="1:50" s="55" customFormat="1">
      <c r="A456" s="86" t="s">
        <v>318</v>
      </c>
      <c r="B456" s="5">
        <v>15021159</v>
      </c>
      <c r="C456" s="5" t="s">
        <v>829</v>
      </c>
      <c r="D456" s="5" t="s">
        <v>321</v>
      </c>
      <c r="E456" s="5" t="s">
        <v>52</v>
      </c>
      <c r="F456" s="5" t="s">
        <v>62</v>
      </c>
      <c r="G456" s="5" t="s">
        <v>207</v>
      </c>
      <c r="H456" s="5" t="s">
        <v>753</v>
      </c>
      <c r="I456" s="6">
        <v>44713</v>
      </c>
      <c r="J456" s="5" t="s">
        <v>336</v>
      </c>
      <c r="K456" s="5" t="s">
        <v>792</v>
      </c>
      <c r="L456" s="5" t="s">
        <v>324</v>
      </c>
      <c r="M456" s="7">
        <v>6</v>
      </c>
      <c r="N456" s="7" t="s">
        <v>176</v>
      </c>
      <c r="O456" s="8">
        <v>5782</v>
      </c>
      <c r="P456" s="9">
        <v>0.02</v>
      </c>
      <c r="Q456" s="10">
        <f t="shared" si="79"/>
        <v>116</v>
      </c>
      <c r="R456" s="9">
        <v>5.0000000000000001E-3</v>
      </c>
      <c r="S456" s="10">
        <f t="shared" si="80"/>
        <v>29</v>
      </c>
      <c r="T456" s="9">
        <f t="shared" si="81"/>
        <v>2.5077827741265997E-2</v>
      </c>
      <c r="U456" s="10">
        <f t="shared" si="82"/>
        <v>145</v>
      </c>
      <c r="V456" s="10">
        <f t="shared" si="83"/>
        <v>5927</v>
      </c>
      <c r="W456" s="11">
        <f>VLOOKUP(B456,[1]调薪计算!A:M,12,0)</f>
        <v>5839.82</v>
      </c>
      <c r="X456" s="12">
        <f t="shared" si="84"/>
        <v>57.819999999999709</v>
      </c>
      <c r="Y456" s="13">
        <f t="shared" si="85"/>
        <v>0.01</v>
      </c>
      <c r="Z456" s="14" t="str">
        <f t="shared" si="86"/>
        <v>0.00%-8.40%</v>
      </c>
      <c r="AA456" s="15"/>
      <c r="AB456" s="15"/>
      <c r="AC456" s="15"/>
      <c r="AD456" s="16"/>
      <c r="AE456" s="8">
        <f t="shared" si="87"/>
        <v>0</v>
      </c>
      <c r="AF456" s="17">
        <f t="shared" si="88"/>
        <v>5839.82</v>
      </c>
      <c r="AG456" s="18">
        <f t="shared" si="89"/>
        <v>57.819999999999709</v>
      </c>
      <c r="AH456" s="19">
        <f t="shared" si="90"/>
        <v>1.0000000000000009E-2</v>
      </c>
      <c r="AI456" s="20">
        <v>13.6</v>
      </c>
      <c r="AJ456" s="20">
        <v>800</v>
      </c>
      <c r="AK456" s="20"/>
      <c r="AL456" s="20">
        <v>688</v>
      </c>
      <c r="AM456" s="20">
        <f t="shared" si="91"/>
        <v>89709.551999999996</v>
      </c>
      <c r="AN456" s="7" t="s">
        <v>176</v>
      </c>
      <c r="AO456" s="20" t="s">
        <v>364</v>
      </c>
      <c r="AP456" s="21"/>
      <c r="AQ456" s="21"/>
      <c r="AR456" s="5" t="s">
        <v>751</v>
      </c>
      <c r="AS456" s="5" t="s">
        <v>164</v>
      </c>
      <c r="AT456" s="5" t="s">
        <v>59</v>
      </c>
      <c r="AU456" s="20"/>
      <c r="AV456" s="21"/>
      <c r="AW456" s="21"/>
      <c r="AX456" s="21"/>
    </row>
    <row r="457" spans="1:50" s="55" customFormat="1">
      <c r="A457" s="86" t="s">
        <v>318</v>
      </c>
      <c r="B457" s="5">
        <v>15008899</v>
      </c>
      <c r="C457" s="5" t="s">
        <v>830</v>
      </c>
      <c r="D457" s="5" t="s">
        <v>321</v>
      </c>
      <c r="E457" s="5" t="s">
        <v>52</v>
      </c>
      <c r="F457" s="5" t="s">
        <v>62</v>
      </c>
      <c r="G457" s="5" t="s">
        <v>207</v>
      </c>
      <c r="H457" s="5" t="s">
        <v>750</v>
      </c>
      <c r="I457" s="6">
        <v>41426</v>
      </c>
      <c r="J457" s="5" t="s">
        <v>336</v>
      </c>
      <c r="K457" s="5" t="s">
        <v>336</v>
      </c>
      <c r="L457" s="5" t="s">
        <v>324</v>
      </c>
      <c r="M457" s="7">
        <v>6</v>
      </c>
      <c r="N457" s="7" t="s">
        <v>176</v>
      </c>
      <c r="O457" s="8">
        <v>4668</v>
      </c>
      <c r="P457" s="9">
        <v>0.02</v>
      </c>
      <c r="Q457" s="10">
        <f t="shared" ref="Q457:Q520" si="92">ROUND(O457*P457,0)</f>
        <v>93</v>
      </c>
      <c r="R457" s="9">
        <v>5.0000000000000001E-3</v>
      </c>
      <c r="S457" s="10">
        <f t="shared" ref="S457:S520" si="93">ROUND(O457*R457,0)</f>
        <v>23</v>
      </c>
      <c r="T457" s="9">
        <f t="shared" ref="T457:T520" si="94">U457/O457</f>
        <v>2.4850042844901457E-2</v>
      </c>
      <c r="U457" s="10">
        <f t="shared" ref="U457:U520" si="95">Q457+S457</f>
        <v>116</v>
      </c>
      <c r="V457" s="10">
        <f t="shared" ref="V457:V520" si="96">O457+U457</f>
        <v>4784</v>
      </c>
      <c r="W457" s="11">
        <f>VLOOKUP(B457,[1]调薪计算!A:M,12,0)</f>
        <v>4714.68</v>
      </c>
      <c r="X457" s="12">
        <f t="shared" ref="X457:X520" si="97">W457-O457</f>
        <v>46.680000000000291</v>
      </c>
      <c r="Y457" s="13">
        <f t="shared" ref="Y457:Y520" si="98">ROUND(W457/O457-1,4)</f>
        <v>0.01</v>
      </c>
      <c r="Z457" s="14" t="str">
        <f t="shared" ref="Z457:Z520" si="99">IF(OR(M457=1,M457=2,M457=4),TEXT(T457*0.8,"0.00%")&amp;"-"&amp;TEXT(T457*1.2,"0.00%"),IF(OR(M457=3,M457=6),TEXT(0,"0.00%")&amp;"-"&amp;TEXT(7%*1.2,"0.00%"),IF(OR(M457=5,M457=7),TEXT((S457/O457),"0.00%")&amp;"-"&amp;TEXT((S457/O457)+7%,"0.00%"),"")))</f>
        <v>0.00%-8.40%</v>
      </c>
      <c r="AA457" s="15"/>
      <c r="AB457" s="15"/>
      <c r="AC457" s="15"/>
      <c r="AD457" s="16"/>
      <c r="AE457" s="8">
        <f t="shared" ref="AE457:AE520" si="100">ROUND(O457*AD457,0)</f>
        <v>0</v>
      </c>
      <c r="AF457" s="17">
        <f t="shared" ref="AF457:AF520" si="101">W457+AE457</f>
        <v>4714.68</v>
      </c>
      <c r="AG457" s="18">
        <f t="shared" ref="AG457:AG520" si="102">AF457-O457</f>
        <v>46.680000000000291</v>
      </c>
      <c r="AH457" s="19">
        <f t="shared" ref="AH457:AH520" si="103">AF457/O457-1</f>
        <v>1.0000000000000009E-2</v>
      </c>
      <c r="AI457" s="20">
        <v>13.6</v>
      </c>
      <c r="AJ457" s="20">
        <v>450</v>
      </c>
      <c r="AK457" s="20"/>
      <c r="AL457" s="20">
        <v>688</v>
      </c>
      <c r="AM457" s="20">
        <f t="shared" ref="AM457:AM520" si="104">AF457*AI457+AJ457*12+AL457+IF(AC457="",AK457,IF(AC457="D",5000,IF(AC457="C",1000,0)))*12</f>
        <v>70207.648000000001</v>
      </c>
      <c r="AN457" s="7" t="s">
        <v>176</v>
      </c>
      <c r="AO457" s="20"/>
      <c r="AP457" s="21"/>
      <c r="AQ457" s="21"/>
      <c r="AR457" s="5" t="s">
        <v>751</v>
      </c>
      <c r="AS457" s="5" t="s">
        <v>164</v>
      </c>
      <c r="AT457" s="5" t="s">
        <v>59</v>
      </c>
      <c r="AU457" s="20"/>
      <c r="AV457" s="21"/>
      <c r="AW457" s="21"/>
      <c r="AX457" s="21"/>
    </row>
    <row r="458" spans="1:50" s="55" customFormat="1">
      <c r="A458" s="86" t="s">
        <v>318</v>
      </c>
      <c r="B458" s="5">
        <v>15005785</v>
      </c>
      <c r="C458" s="5" t="s">
        <v>831</v>
      </c>
      <c r="D458" s="5" t="s">
        <v>321</v>
      </c>
      <c r="E458" s="5" t="s">
        <v>52</v>
      </c>
      <c r="F458" s="5" t="s">
        <v>62</v>
      </c>
      <c r="G458" s="5" t="s">
        <v>207</v>
      </c>
      <c r="H458" s="5" t="s">
        <v>750</v>
      </c>
      <c r="I458" s="6">
        <v>40817</v>
      </c>
      <c r="J458" s="5" t="s">
        <v>336</v>
      </c>
      <c r="K458" s="5" t="s">
        <v>336</v>
      </c>
      <c r="L458" s="5" t="s">
        <v>324</v>
      </c>
      <c r="M458" s="7">
        <v>6</v>
      </c>
      <c r="N458" s="7" t="s">
        <v>176</v>
      </c>
      <c r="O458" s="8">
        <v>4500</v>
      </c>
      <c r="P458" s="9">
        <v>0.02</v>
      </c>
      <c r="Q458" s="10">
        <f t="shared" si="92"/>
        <v>90</v>
      </c>
      <c r="R458" s="9">
        <v>5.0000000000000001E-3</v>
      </c>
      <c r="S458" s="10">
        <f t="shared" si="93"/>
        <v>23</v>
      </c>
      <c r="T458" s="9">
        <f t="shared" si="94"/>
        <v>2.5111111111111112E-2</v>
      </c>
      <c r="U458" s="10">
        <f t="shared" si="95"/>
        <v>113</v>
      </c>
      <c r="V458" s="10">
        <f t="shared" si="96"/>
        <v>4613</v>
      </c>
      <c r="W458" s="11">
        <f>VLOOKUP(B458,[1]调薪计算!A:M,12,0)</f>
        <v>4612.5</v>
      </c>
      <c r="X458" s="12">
        <f t="shared" si="97"/>
        <v>112.5</v>
      </c>
      <c r="Y458" s="13">
        <f t="shared" si="98"/>
        <v>2.5000000000000001E-2</v>
      </c>
      <c r="Z458" s="14" t="str">
        <f t="shared" si="99"/>
        <v>0.00%-8.40%</v>
      </c>
      <c r="AA458" s="15"/>
      <c r="AB458" s="15"/>
      <c r="AC458" s="15"/>
      <c r="AD458" s="16"/>
      <c r="AE458" s="8">
        <f t="shared" si="100"/>
        <v>0</v>
      </c>
      <c r="AF458" s="17">
        <f t="shared" si="101"/>
        <v>4612.5</v>
      </c>
      <c r="AG458" s="18">
        <f t="shared" si="102"/>
        <v>112.5</v>
      </c>
      <c r="AH458" s="19">
        <f t="shared" si="103"/>
        <v>2.4999999999999911E-2</v>
      </c>
      <c r="AI458" s="20">
        <v>13.6</v>
      </c>
      <c r="AJ458" s="20">
        <v>450</v>
      </c>
      <c r="AK458" s="20"/>
      <c r="AL458" s="20">
        <v>688</v>
      </c>
      <c r="AM458" s="20">
        <f t="shared" si="104"/>
        <v>68818</v>
      </c>
      <c r="AN458" s="7" t="s">
        <v>176</v>
      </c>
      <c r="AO458" s="20"/>
      <c r="AP458" s="21"/>
      <c r="AQ458" s="21"/>
      <c r="AR458" s="5" t="s">
        <v>751</v>
      </c>
      <c r="AS458" s="5" t="s">
        <v>164</v>
      </c>
      <c r="AT458" s="5" t="s">
        <v>59</v>
      </c>
      <c r="AU458" s="20"/>
      <c r="AV458" s="21"/>
      <c r="AW458" s="21"/>
      <c r="AX458" s="21"/>
    </row>
    <row r="459" spans="1:50" s="55" customFormat="1">
      <c r="A459" s="86" t="s">
        <v>318</v>
      </c>
      <c r="B459" s="5">
        <v>15003857</v>
      </c>
      <c r="C459" s="5" t="s">
        <v>832</v>
      </c>
      <c r="D459" s="5" t="s">
        <v>321</v>
      </c>
      <c r="E459" s="5" t="s">
        <v>52</v>
      </c>
      <c r="F459" s="5" t="s">
        <v>62</v>
      </c>
      <c r="G459" s="5" t="s">
        <v>207</v>
      </c>
      <c r="H459" s="5" t="s">
        <v>750</v>
      </c>
      <c r="I459" s="6">
        <v>40422</v>
      </c>
      <c r="J459" s="5" t="s">
        <v>336</v>
      </c>
      <c r="K459" s="5" t="s">
        <v>336</v>
      </c>
      <c r="L459" s="5" t="s">
        <v>324</v>
      </c>
      <c r="M459" s="7">
        <v>6</v>
      </c>
      <c r="N459" s="7" t="s">
        <v>176</v>
      </c>
      <c r="O459" s="8">
        <v>4935</v>
      </c>
      <c r="P459" s="9">
        <v>0.02</v>
      </c>
      <c r="Q459" s="10">
        <f t="shared" si="92"/>
        <v>99</v>
      </c>
      <c r="R459" s="9">
        <v>5.0000000000000001E-3</v>
      </c>
      <c r="S459" s="10">
        <f t="shared" si="93"/>
        <v>25</v>
      </c>
      <c r="T459" s="9">
        <f t="shared" si="94"/>
        <v>2.5126646403242147E-2</v>
      </c>
      <c r="U459" s="10">
        <f t="shared" si="95"/>
        <v>124</v>
      </c>
      <c r="V459" s="10">
        <f t="shared" si="96"/>
        <v>5059</v>
      </c>
      <c r="W459" s="11">
        <f>VLOOKUP(B459,[1]调薪计算!A:M,12,0)</f>
        <v>5058.375</v>
      </c>
      <c r="X459" s="12">
        <f t="shared" si="97"/>
        <v>123.375</v>
      </c>
      <c r="Y459" s="13">
        <f t="shared" si="98"/>
        <v>2.5000000000000001E-2</v>
      </c>
      <c r="Z459" s="14" t="str">
        <f t="shared" si="99"/>
        <v>0.00%-8.40%</v>
      </c>
      <c r="AA459" s="15"/>
      <c r="AB459" s="15"/>
      <c r="AC459" s="15"/>
      <c r="AD459" s="16"/>
      <c r="AE459" s="8">
        <f t="shared" si="100"/>
        <v>0</v>
      </c>
      <c r="AF459" s="17">
        <f t="shared" si="101"/>
        <v>5058.375</v>
      </c>
      <c r="AG459" s="18">
        <f t="shared" si="102"/>
        <v>123.375</v>
      </c>
      <c r="AH459" s="19">
        <f t="shared" si="103"/>
        <v>2.4999999999999911E-2</v>
      </c>
      <c r="AI459" s="20">
        <v>13.6</v>
      </c>
      <c r="AJ459" s="20">
        <v>450</v>
      </c>
      <c r="AK459" s="20"/>
      <c r="AL459" s="20">
        <v>688</v>
      </c>
      <c r="AM459" s="20">
        <f t="shared" si="104"/>
        <v>74881.899999999994</v>
      </c>
      <c r="AN459" s="7" t="s">
        <v>176</v>
      </c>
      <c r="AO459" s="20"/>
      <c r="AP459" s="21"/>
      <c r="AQ459" s="21"/>
      <c r="AR459" s="5" t="s">
        <v>751</v>
      </c>
      <c r="AS459" s="5" t="s">
        <v>164</v>
      </c>
      <c r="AT459" s="5" t="s">
        <v>59</v>
      </c>
      <c r="AU459" s="20"/>
      <c r="AV459" s="21"/>
      <c r="AW459" s="21"/>
      <c r="AX459" s="21"/>
    </row>
    <row r="460" spans="1:50" s="55" customFormat="1">
      <c r="A460" s="86" t="s">
        <v>318</v>
      </c>
      <c r="B460" s="5">
        <v>15012458</v>
      </c>
      <c r="C460" s="5" t="s">
        <v>833</v>
      </c>
      <c r="D460" s="5" t="s">
        <v>321</v>
      </c>
      <c r="E460" s="5" t="s">
        <v>52</v>
      </c>
      <c r="F460" s="5" t="s">
        <v>62</v>
      </c>
      <c r="G460" s="5" t="s">
        <v>207</v>
      </c>
      <c r="H460" s="5" t="s">
        <v>753</v>
      </c>
      <c r="I460" s="6">
        <v>41791</v>
      </c>
      <c r="J460" s="5" t="s">
        <v>336</v>
      </c>
      <c r="K460" s="5" t="s">
        <v>511</v>
      </c>
      <c r="L460" s="5" t="s">
        <v>324</v>
      </c>
      <c r="M460" s="7">
        <v>6</v>
      </c>
      <c r="N460" s="7" t="s">
        <v>176</v>
      </c>
      <c r="O460" s="8">
        <v>4903</v>
      </c>
      <c r="P460" s="9">
        <v>0.02</v>
      </c>
      <c r="Q460" s="10">
        <f t="shared" si="92"/>
        <v>98</v>
      </c>
      <c r="R460" s="9">
        <v>5.0000000000000001E-3</v>
      </c>
      <c r="S460" s="10">
        <f t="shared" si="93"/>
        <v>25</v>
      </c>
      <c r="T460" s="9">
        <f t="shared" si="94"/>
        <v>2.5086681623495821E-2</v>
      </c>
      <c r="U460" s="10">
        <f t="shared" si="95"/>
        <v>123</v>
      </c>
      <c r="V460" s="10">
        <f t="shared" si="96"/>
        <v>5026</v>
      </c>
      <c r="W460" s="11">
        <f>VLOOKUP(B460,[1]调薪计算!A:M,12,0)</f>
        <v>4952.03</v>
      </c>
      <c r="X460" s="12">
        <f t="shared" si="97"/>
        <v>49.029999999999745</v>
      </c>
      <c r="Y460" s="13">
        <f t="shared" si="98"/>
        <v>0.01</v>
      </c>
      <c r="Z460" s="14" t="str">
        <f t="shared" si="99"/>
        <v>0.00%-8.40%</v>
      </c>
      <c r="AA460" s="15"/>
      <c r="AB460" s="15"/>
      <c r="AC460" s="15"/>
      <c r="AD460" s="16"/>
      <c r="AE460" s="8">
        <f t="shared" si="100"/>
        <v>0</v>
      </c>
      <c r="AF460" s="17">
        <f t="shared" si="101"/>
        <v>4952.03</v>
      </c>
      <c r="AG460" s="18">
        <f t="shared" si="102"/>
        <v>49.029999999999745</v>
      </c>
      <c r="AH460" s="19">
        <f t="shared" si="103"/>
        <v>1.0000000000000009E-2</v>
      </c>
      <c r="AI460" s="20">
        <v>13.6</v>
      </c>
      <c r="AJ460" s="20">
        <v>500</v>
      </c>
      <c r="AK460" s="20"/>
      <c r="AL460" s="20">
        <v>688</v>
      </c>
      <c r="AM460" s="20">
        <f t="shared" si="104"/>
        <v>74035.607999999993</v>
      </c>
      <c r="AN460" s="7" t="s">
        <v>176</v>
      </c>
      <c r="AO460" s="20" t="s">
        <v>490</v>
      </c>
      <c r="AP460" s="21"/>
      <c r="AQ460" s="21"/>
      <c r="AR460" s="5" t="s">
        <v>751</v>
      </c>
      <c r="AS460" s="5" t="s">
        <v>164</v>
      </c>
      <c r="AT460" s="5" t="s">
        <v>59</v>
      </c>
      <c r="AU460" s="20"/>
      <c r="AV460" s="21"/>
      <c r="AW460" s="21"/>
      <c r="AX460" s="21"/>
    </row>
    <row r="461" spans="1:50" s="55" customFormat="1">
      <c r="A461" s="86" t="s">
        <v>318</v>
      </c>
      <c r="B461" s="5">
        <v>15018376</v>
      </c>
      <c r="C461" s="5" t="s">
        <v>834</v>
      </c>
      <c r="D461" s="5" t="s">
        <v>321</v>
      </c>
      <c r="E461" s="5" t="s">
        <v>52</v>
      </c>
      <c r="F461" s="5" t="s">
        <v>62</v>
      </c>
      <c r="G461" s="5" t="s">
        <v>207</v>
      </c>
      <c r="H461" s="5" t="s">
        <v>753</v>
      </c>
      <c r="I461" s="6">
        <v>43221</v>
      </c>
      <c r="J461" s="5" t="s">
        <v>336</v>
      </c>
      <c r="K461" s="5" t="s">
        <v>511</v>
      </c>
      <c r="L461" s="5" t="s">
        <v>324</v>
      </c>
      <c r="M461" s="7">
        <v>6</v>
      </c>
      <c r="N461" s="7" t="s">
        <v>176</v>
      </c>
      <c r="O461" s="8">
        <v>5001</v>
      </c>
      <c r="P461" s="9">
        <v>0.02</v>
      </c>
      <c r="Q461" s="10">
        <f t="shared" si="92"/>
        <v>100</v>
      </c>
      <c r="R461" s="9">
        <v>5.0000000000000001E-3</v>
      </c>
      <c r="S461" s="10">
        <f t="shared" si="93"/>
        <v>25</v>
      </c>
      <c r="T461" s="9">
        <f t="shared" si="94"/>
        <v>2.4995000999800041E-2</v>
      </c>
      <c r="U461" s="10">
        <f t="shared" si="95"/>
        <v>125</v>
      </c>
      <c r="V461" s="10">
        <f t="shared" si="96"/>
        <v>5126</v>
      </c>
      <c r="W461" s="11">
        <f>VLOOKUP(B461,[1]调薪计算!A:M,12,0)</f>
        <v>5126.0249999999996</v>
      </c>
      <c r="X461" s="12">
        <f t="shared" si="97"/>
        <v>125.02499999999964</v>
      </c>
      <c r="Y461" s="13">
        <f t="shared" si="98"/>
        <v>2.5000000000000001E-2</v>
      </c>
      <c r="Z461" s="14" t="str">
        <f t="shared" si="99"/>
        <v>0.00%-8.40%</v>
      </c>
      <c r="AA461" s="15"/>
      <c r="AB461" s="15"/>
      <c r="AC461" s="15"/>
      <c r="AD461" s="16"/>
      <c r="AE461" s="8">
        <f t="shared" si="100"/>
        <v>0</v>
      </c>
      <c r="AF461" s="17">
        <f t="shared" si="101"/>
        <v>5126.0249999999996</v>
      </c>
      <c r="AG461" s="18">
        <f t="shared" si="102"/>
        <v>125.02499999999964</v>
      </c>
      <c r="AH461" s="19">
        <f t="shared" si="103"/>
        <v>2.4999999999999911E-2</v>
      </c>
      <c r="AI461" s="20">
        <v>13.6</v>
      </c>
      <c r="AJ461" s="20">
        <v>500</v>
      </c>
      <c r="AK461" s="20"/>
      <c r="AL461" s="20">
        <v>688</v>
      </c>
      <c r="AM461" s="20">
        <f t="shared" si="104"/>
        <v>76401.939999999988</v>
      </c>
      <c r="AN461" s="7" t="s">
        <v>176</v>
      </c>
      <c r="AO461" s="20"/>
      <c r="AP461" s="21"/>
      <c r="AQ461" s="21"/>
      <c r="AR461" s="5" t="s">
        <v>751</v>
      </c>
      <c r="AS461" s="5" t="s">
        <v>164</v>
      </c>
      <c r="AT461" s="5" t="s">
        <v>59</v>
      </c>
      <c r="AU461" s="20"/>
      <c r="AV461" s="21"/>
      <c r="AW461" s="21"/>
      <c r="AX461" s="21"/>
    </row>
    <row r="462" spans="1:50" s="55" customFormat="1">
      <c r="A462" s="86" t="s">
        <v>318</v>
      </c>
      <c r="B462" s="5">
        <v>15020312</v>
      </c>
      <c r="C462" s="5" t="s">
        <v>835</v>
      </c>
      <c r="D462" s="5" t="s">
        <v>321</v>
      </c>
      <c r="E462" s="5" t="s">
        <v>52</v>
      </c>
      <c r="F462" s="5" t="s">
        <v>62</v>
      </c>
      <c r="G462" s="5" t="s">
        <v>207</v>
      </c>
      <c r="H462" s="5" t="s">
        <v>750</v>
      </c>
      <c r="I462" s="6">
        <v>44317</v>
      </c>
      <c r="J462" s="5" t="s">
        <v>336</v>
      </c>
      <c r="K462" s="5" t="s">
        <v>336</v>
      </c>
      <c r="L462" s="5" t="s">
        <v>324</v>
      </c>
      <c r="M462" s="7">
        <v>6</v>
      </c>
      <c r="N462" s="7" t="s">
        <v>176</v>
      </c>
      <c r="O462" s="8">
        <v>4677</v>
      </c>
      <c r="P462" s="9">
        <v>0.02</v>
      </c>
      <c r="Q462" s="10">
        <f t="shared" si="92"/>
        <v>94</v>
      </c>
      <c r="R462" s="9">
        <v>5.0000000000000001E-3</v>
      </c>
      <c r="S462" s="10">
        <f t="shared" si="93"/>
        <v>23</v>
      </c>
      <c r="T462" s="9">
        <f t="shared" si="94"/>
        <v>2.5016035920461834E-2</v>
      </c>
      <c r="U462" s="10">
        <f t="shared" si="95"/>
        <v>117</v>
      </c>
      <c r="V462" s="10">
        <f t="shared" si="96"/>
        <v>4794</v>
      </c>
      <c r="W462" s="11">
        <f>VLOOKUP(B462,[1]调薪计算!A:M,12,0)</f>
        <v>4677</v>
      </c>
      <c r="X462" s="12">
        <f t="shared" si="97"/>
        <v>0</v>
      </c>
      <c r="Y462" s="13">
        <f t="shared" si="98"/>
        <v>0</v>
      </c>
      <c r="Z462" s="14" t="str">
        <f t="shared" si="99"/>
        <v>0.00%-8.40%</v>
      </c>
      <c r="AA462" s="15"/>
      <c r="AB462" s="15"/>
      <c r="AC462" s="15"/>
      <c r="AD462" s="16"/>
      <c r="AE462" s="8">
        <f t="shared" si="100"/>
        <v>0</v>
      </c>
      <c r="AF462" s="17">
        <f t="shared" si="101"/>
        <v>4677</v>
      </c>
      <c r="AG462" s="18">
        <f t="shared" si="102"/>
        <v>0</v>
      </c>
      <c r="AH462" s="19">
        <f t="shared" si="103"/>
        <v>0</v>
      </c>
      <c r="AI462" s="20">
        <v>13.6</v>
      </c>
      <c r="AJ462" s="20">
        <v>500</v>
      </c>
      <c r="AK462" s="20"/>
      <c r="AL462" s="20">
        <v>688</v>
      </c>
      <c r="AM462" s="20">
        <f t="shared" si="104"/>
        <v>70295.199999999997</v>
      </c>
      <c r="AN462" s="7" t="s">
        <v>176</v>
      </c>
      <c r="AO462" s="20"/>
      <c r="AP462" s="21" t="s">
        <v>97</v>
      </c>
      <c r="AQ462" s="21" t="s">
        <v>97</v>
      </c>
      <c r="AR462" s="5" t="s">
        <v>751</v>
      </c>
      <c r="AS462" s="5" t="s">
        <v>164</v>
      </c>
      <c r="AT462" s="5" t="s">
        <v>59</v>
      </c>
      <c r="AU462" s="20"/>
      <c r="AV462" s="21"/>
      <c r="AW462" s="21"/>
      <c r="AX462" s="21"/>
    </row>
    <row r="463" spans="1:50" s="55" customFormat="1">
      <c r="A463" s="86" t="s">
        <v>318</v>
      </c>
      <c r="B463" s="5">
        <v>15001422</v>
      </c>
      <c r="C463" s="5" t="s">
        <v>836</v>
      </c>
      <c r="D463" s="5" t="s">
        <v>360</v>
      </c>
      <c r="E463" s="5" t="s">
        <v>52</v>
      </c>
      <c r="F463" s="5" t="s">
        <v>62</v>
      </c>
      <c r="G463" s="5" t="s">
        <v>207</v>
      </c>
      <c r="H463" s="5" t="s">
        <v>197</v>
      </c>
      <c r="I463" s="6">
        <v>39511</v>
      </c>
      <c r="J463" s="5" t="s">
        <v>361</v>
      </c>
      <c r="K463" s="5" t="s">
        <v>837</v>
      </c>
      <c r="L463" s="5" t="s">
        <v>324</v>
      </c>
      <c r="M463" s="7">
        <v>6</v>
      </c>
      <c r="N463" s="7" t="s">
        <v>176</v>
      </c>
      <c r="O463" s="8">
        <v>10380</v>
      </c>
      <c r="P463" s="9">
        <v>0.02</v>
      </c>
      <c r="Q463" s="10">
        <f t="shared" si="92"/>
        <v>208</v>
      </c>
      <c r="R463" s="9">
        <v>5.0000000000000001E-3</v>
      </c>
      <c r="S463" s="10">
        <f t="shared" si="93"/>
        <v>52</v>
      </c>
      <c r="T463" s="9">
        <f t="shared" si="94"/>
        <v>2.5048169556840076E-2</v>
      </c>
      <c r="U463" s="10">
        <f t="shared" si="95"/>
        <v>260</v>
      </c>
      <c r="V463" s="10">
        <f t="shared" si="96"/>
        <v>10640</v>
      </c>
      <c r="W463" s="11">
        <f>VLOOKUP(B463,[1]调薪计算!A:M,12,0)</f>
        <v>10440</v>
      </c>
      <c r="X463" s="12">
        <f t="shared" si="97"/>
        <v>60</v>
      </c>
      <c r="Y463" s="13">
        <f t="shared" si="98"/>
        <v>5.7999999999999996E-3</v>
      </c>
      <c r="Z463" s="14" t="str">
        <f t="shared" si="99"/>
        <v>0.00%-8.40%</v>
      </c>
      <c r="AA463" s="15"/>
      <c r="AB463" s="15"/>
      <c r="AC463" s="15"/>
      <c r="AD463" s="16"/>
      <c r="AE463" s="8">
        <f t="shared" si="100"/>
        <v>0</v>
      </c>
      <c r="AF463" s="17">
        <f t="shared" si="101"/>
        <v>10440</v>
      </c>
      <c r="AG463" s="18">
        <f t="shared" si="102"/>
        <v>60</v>
      </c>
      <c r="AH463" s="19">
        <f t="shared" si="103"/>
        <v>5.7803468208093012E-3</v>
      </c>
      <c r="AI463" s="20">
        <v>13.6</v>
      </c>
      <c r="AJ463" s="20">
        <v>550</v>
      </c>
      <c r="AK463" s="20"/>
      <c r="AL463" s="20">
        <v>688</v>
      </c>
      <c r="AM463" s="20">
        <f t="shared" si="104"/>
        <v>149272</v>
      </c>
      <c r="AN463" s="7">
        <v>3</v>
      </c>
      <c r="AO463" s="20"/>
      <c r="AP463" s="21"/>
      <c r="AQ463" s="21"/>
      <c r="AR463" s="5" t="s">
        <v>751</v>
      </c>
      <c r="AS463" s="5" t="s">
        <v>164</v>
      </c>
      <c r="AT463" s="5" t="s">
        <v>59</v>
      </c>
      <c r="AU463" s="20"/>
      <c r="AV463" s="21"/>
      <c r="AW463" s="21"/>
      <c r="AX463" s="21"/>
    </row>
    <row r="464" spans="1:50" s="55" customFormat="1">
      <c r="A464" s="86" t="s">
        <v>318</v>
      </c>
      <c r="B464" s="5">
        <v>15002146</v>
      </c>
      <c r="C464" s="5" t="s">
        <v>838</v>
      </c>
      <c r="D464" s="5" t="s">
        <v>321</v>
      </c>
      <c r="E464" s="5" t="s">
        <v>52</v>
      </c>
      <c r="F464" s="5" t="s">
        <v>62</v>
      </c>
      <c r="G464" s="5" t="s">
        <v>207</v>
      </c>
      <c r="H464" s="5" t="s">
        <v>750</v>
      </c>
      <c r="I464" s="6">
        <v>39757</v>
      </c>
      <c r="J464" s="5" t="s">
        <v>336</v>
      </c>
      <c r="K464" s="5" t="s">
        <v>839</v>
      </c>
      <c r="L464" s="5" t="s">
        <v>324</v>
      </c>
      <c r="M464" s="7">
        <v>6</v>
      </c>
      <c r="N464" s="7" t="s">
        <v>176</v>
      </c>
      <c r="O464" s="8">
        <v>6800</v>
      </c>
      <c r="P464" s="9">
        <v>0.02</v>
      </c>
      <c r="Q464" s="10">
        <f t="shared" si="92"/>
        <v>136</v>
      </c>
      <c r="R464" s="9">
        <v>5.0000000000000001E-3</v>
      </c>
      <c r="S464" s="10">
        <f t="shared" si="93"/>
        <v>34</v>
      </c>
      <c r="T464" s="9">
        <f t="shared" si="94"/>
        <v>2.5000000000000001E-2</v>
      </c>
      <c r="U464" s="10">
        <f t="shared" si="95"/>
        <v>170</v>
      </c>
      <c r="V464" s="10">
        <f t="shared" si="96"/>
        <v>6970</v>
      </c>
      <c r="W464" s="11">
        <f>VLOOKUP(B464,[1]调薪计算!A:M,12,0)</f>
        <v>6969.9999999999991</v>
      </c>
      <c r="X464" s="12">
        <f t="shared" si="97"/>
        <v>169.99999999999909</v>
      </c>
      <c r="Y464" s="13">
        <f t="shared" si="98"/>
        <v>2.5000000000000001E-2</v>
      </c>
      <c r="Z464" s="14" t="str">
        <f t="shared" si="99"/>
        <v>0.00%-8.40%</v>
      </c>
      <c r="AA464" s="15"/>
      <c r="AB464" s="15"/>
      <c r="AC464" s="15"/>
      <c r="AD464" s="16"/>
      <c r="AE464" s="8">
        <f t="shared" si="100"/>
        <v>0</v>
      </c>
      <c r="AF464" s="17">
        <f t="shared" si="101"/>
        <v>6969.9999999999991</v>
      </c>
      <c r="AG464" s="18">
        <f t="shared" si="102"/>
        <v>169.99999999999909</v>
      </c>
      <c r="AH464" s="19">
        <f t="shared" si="103"/>
        <v>2.4999999999999911E-2</v>
      </c>
      <c r="AI464" s="20">
        <v>13.6</v>
      </c>
      <c r="AJ464" s="20">
        <v>800</v>
      </c>
      <c r="AK464" s="20"/>
      <c r="AL464" s="20">
        <v>688</v>
      </c>
      <c r="AM464" s="20">
        <f t="shared" si="104"/>
        <v>105079.99999999999</v>
      </c>
      <c r="AN464" s="7" t="s">
        <v>176</v>
      </c>
      <c r="AO464" s="20"/>
      <c r="AP464" s="21"/>
      <c r="AQ464" s="21"/>
      <c r="AR464" s="5" t="s">
        <v>751</v>
      </c>
      <c r="AS464" s="5" t="s">
        <v>164</v>
      </c>
      <c r="AT464" s="5" t="s">
        <v>59</v>
      </c>
      <c r="AU464" s="20"/>
      <c r="AV464" s="21"/>
      <c r="AW464" s="21"/>
      <c r="AX464" s="21"/>
    </row>
    <row r="465" spans="1:50" s="55" customFormat="1">
      <c r="A465" s="86" t="s">
        <v>318</v>
      </c>
      <c r="B465" s="5">
        <v>15006732</v>
      </c>
      <c r="C465" s="5" t="s">
        <v>840</v>
      </c>
      <c r="D465" s="5" t="s">
        <v>321</v>
      </c>
      <c r="E465" s="5" t="s">
        <v>52</v>
      </c>
      <c r="F465" s="5" t="s">
        <v>62</v>
      </c>
      <c r="G465" s="5" t="s">
        <v>207</v>
      </c>
      <c r="H465" s="5" t="s">
        <v>750</v>
      </c>
      <c r="I465" s="6">
        <v>40940</v>
      </c>
      <c r="J465" s="5" t="s">
        <v>336</v>
      </c>
      <c r="K465" s="5" t="s">
        <v>336</v>
      </c>
      <c r="L465" s="5" t="s">
        <v>324</v>
      </c>
      <c r="M465" s="7">
        <v>6</v>
      </c>
      <c r="N465" s="7" t="s">
        <v>176</v>
      </c>
      <c r="O465" s="8">
        <v>5750</v>
      </c>
      <c r="P465" s="9">
        <v>0.02</v>
      </c>
      <c r="Q465" s="10">
        <f t="shared" si="92"/>
        <v>115</v>
      </c>
      <c r="R465" s="9">
        <v>5.0000000000000001E-3</v>
      </c>
      <c r="S465" s="10">
        <f t="shared" si="93"/>
        <v>29</v>
      </c>
      <c r="T465" s="9">
        <f t="shared" si="94"/>
        <v>2.5043478260869566E-2</v>
      </c>
      <c r="U465" s="10">
        <f t="shared" si="95"/>
        <v>144</v>
      </c>
      <c r="V465" s="10">
        <f t="shared" si="96"/>
        <v>5894</v>
      </c>
      <c r="W465" s="11">
        <f>VLOOKUP(B465,[1]调薪计算!A:M,12,0)</f>
        <v>5807.5</v>
      </c>
      <c r="X465" s="12">
        <f t="shared" si="97"/>
        <v>57.5</v>
      </c>
      <c r="Y465" s="13">
        <f t="shared" si="98"/>
        <v>0.01</v>
      </c>
      <c r="Z465" s="14" t="str">
        <f t="shared" si="99"/>
        <v>0.00%-8.40%</v>
      </c>
      <c r="AA465" s="15"/>
      <c r="AB465" s="15"/>
      <c r="AC465" s="15"/>
      <c r="AD465" s="16"/>
      <c r="AE465" s="8">
        <f t="shared" si="100"/>
        <v>0</v>
      </c>
      <c r="AF465" s="17">
        <f t="shared" si="101"/>
        <v>5807.5</v>
      </c>
      <c r="AG465" s="18">
        <f t="shared" si="102"/>
        <v>57.5</v>
      </c>
      <c r="AH465" s="19">
        <f t="shared" si="103"/>
        <v>1.0000000000000009E-2</v>
      </c>
      <c r="AI465" s="20">
        <v>13.6</v>
      </c>
      <c r="AJ465" s="20">
        <v>450</v>
      </c>
      <c r="AK465" s="20"/>
      <c r="AL465" s="20">
        <v>688</v>
      </c>
      <c r="AM465" s="20">
        <f t="shared" si="104"/>
        <v>85070</v>
      </c>
      <c r="AN465" s="7" t="s">
        <v>176</v>
      </c>
      <c r="AO465" s="20" t="s">
        <v>490</v>
      </c>
      <c r="AP465" s="21"/>
      <c r="AQ465" s="21"/>
      <c r="AR465" s="5" t="s">
        <v>751</v>
      </c>
      <c r="AS465" s="5" t="s">
        <v>164</v>
      </c>
      <c r="AT465" s="5" t="s">
        <v>59</v>
      </c>
      <c r="AU465" s="20"/>
      <c r="AV465" s="21"/>
      <c r="AW465" s="21"/>
      <c r="AX465" s="21"/>
    </row>
    <row r="466" spans="1:50" s="55" customFormat="1">
      <c r="A466" s="86" t="s">
        <v>318</v>
      </c>
      <c r="B466" s="5">
        <v>15015194</v>
      </c>
      <c r="C466" s="5" t="s">
        <v>841</v>
      </c>
      <c r="D466" s="5" t="s">
        <v>321</v>
      </c>
      <c r="E466" s="5" t="s">
        <v>52</v>
      </c>
      <c r="F466" s="5" t="s">
        <v>62</v>
      </c>
      <c r="G466" s="5" t="s">
        <v>207</v>
      </c>
      <c r="H466" s="5" t="s">
        <v>753</v>
      </c>
      <c r="I466" s="6">
        <v>42583</v>
      </c>
      <c r="J466" s="5" t="s">
        <v>336</v>
      </c>
      <c r="K466" s="5" t="s">
        <v>511</v>
      </c>
      <c r="L466" s="5" t="s">
        <v>324</v>
      </c>
      <c r="M466" s="7">
        <v>6</v>
      </c>
      <c r="N466" s="7" t="s">
        <v>176</v>
      </c>
      <c r="O466" s="8">
        <v>5632</v>
      </c>
      <c r="P466" s="9">
        <v>0.02</v>
      </c>
      <c r="Q466" s="10">
        <f t="shared" si="92"/>
        <v>113</v>
      </c>
      <c r="R466" s="9">
        <v>5.0000000000000001E-3</v>
      </c>
      <c r="S466" s="10">
        <f t="shared" si="93"/>
        <v>28</v>
      </c>
      <c r="T466" s="9">
        <f t="shared" si="94"/>
        <v>2.5035511363636364E-2</v>
      </c>
      <c r="U466" s="10">
        <f t="shared" si="95"/>
        <v>141</v>
      </c>
      <c r="V466" s="10">
        <f t="shared" si="96"/>
        <v>5773</v>
      </c>
      <c r="W466" s="11">
        <f>VLOOKUP(B466,[1]调薪计算!A:M,12,0)</f>
        <v>5688.32</v>
      </c>
      <c r="X466" s="12">
        <f t="shared" si="97"/>
        <v>56.319999999999709</v>
      </c>
      <c r="Y466" s="13">
        <f t="shared" si="98"/>
        <v>0.01</v>
      </c>
      <c r="Z466" s="14" t="str">
        <f t="shared" si="99"/>
        <v>0.00%-8.40%</v>
      </c>
      <c r="AA466" s="15"/>
      <c r="AB466" s="15"/>
      <c r="AC466" s="15"/>
      <c r="AD466" s="16"/>
      <c r="AE466" s="8">
        <f t="shared" si="100"/>
        <v>0</v>
      </c>
      <c r="AF466" s="17">
        <f t="shared" si="101"/>
        <v>5688.32</v>
      </c>
      <c r="AG466" s="18">
        <f t="shared" si="102"/>
        <v>56.319999999999709</v>
      </c>
      <c r="AH466" s="19">
        <f t="shared" si="103"/>
        <v>1.0000000000000009E-2</v>
      </c>
      <c r="AI466" s="20">
        <v>13.6</v>
      </c>
      <c r="AJ466" s="20">
        <v>500</v>
      </c>
      <c r="AK466" s="20"/>
      <c r="AL466" s="20">
        <v>688</v>
      </c>
      <c r="AM466" s="20">
        <f t="shared" si="104"/>
        <v>84049.151999999987</v>
      </c>
      <c r="AN466" s="7" t="s">
        <v>176</v>
      </c>
      <c r="AO466" s="20"/>
      <c r="AP466" s="21"/>
      <c r="AQ466" s="21"/>
      <c r="AR466" s="5" t="s">
        <v>751</v>
      </c>
      <c r="AS466" s="5" t="s">
        <v>164</v>
      </c>
      <c r="AT466" s="5" t="s">
        <v>59</v>
      </c>
      <c r="AU466" s="20"/>
      <c r="AV466" s="21"/>
      <c r="AW466" s="21"/>
      <c r="AX466" s="21"/>
    </row>
    <row r="467" spans="1:50" s="55" customFormat="1">
      <c r="A467" s="86" t="s">
        <v>318</v>
      </c>
      <c r="B467" s="5">
        <v>15003349</v>
      </c>
      <c r="C467" s="5" t="s">
        <v>842</v>
      </c>
      <c r="D467" s="5" t="s">
        <v>321</v>
      </c>
      <c r="E467" s="5" t="s">
        <v>52</v>
      </c>
      <c r="F467" s="5" t="s">
        <v>62</v>
      </c>
      <c r="G467" s="5" t="s">
        <v>207</v>
      </c>
      <c r="H467" s="5" t="s">
        <v>753</v>
      </c>
      <c r="I467" s="6">
        <v>43344</v>
      </c>
      <c r="J467" s="5" t="s">
        <v>336</v>
      </c>
      <c r="K467" s="5" t="s">
        <v>511</v>
      </c>
      <c r="L467" s="5" t="s">
        <v>324</v>
      </c>
      <c r="M467" s="7">
        <v>6</v>
      </c>
      <c r="N467" s="7" t="s">
        <v>176</v>
      </c>
      <c r="O467" s="8">
        <v>5401</v>
      </c>
      <c r="P467" s="9">
        <v>0.02</v>
      </c>
      <c r="Q467" s="10">
        <f t="shared" si="92"/>
        <v>108</v>
      </c>
      <c r="R467" s="9">
        <v>5.0000000000000001E-3</v>
      </c>
      <c r="S467" s="10">
        <f t="shared" si="93"/>
        <v>27</v>
      </c>
      <c r="T467" s="9">
        <f t="shared" si="94"/>
        <v>2.4995371227550453E-2</v>
      </c>
      <c r="U467" s="10">
        <f t="shared" si="95"/>
        <v>135</v>
      </c>
      <c r="V467" s="10">
        <f t="shared" si="96"/>
        <v>5536</v>
      </c>
      <c r="W467" s="11">
        <f>VLOOKUP(B467,[1]调薪计算!A:M,12,0)</f>
        <v>5536.0249999999996</v>
      </c>
      <c r="X467" s="12">
        <f t="shared" si="97"/>
        <v>135.02499999999964</v>
      </c>
      <c r="Y467" s="13">
        <f t="shared" si="98"/>
        <v>2.5000000000000001E-2</v>
      </c>
      <c r="Z467" s="14" t="str">
        <f t="shared" si="99"/>
        <v>0.00%-8.40%</v>
      </c>
      <c r="AA467" s="15"/>
      <c r="AB467" s="15"/>
      <c r="AC467" s="15"/>
      <c r="AD467" s="16"/>
      <c r="AE467" s="8">
        <f t="shared" si="100"/>
        <v>0</v>
      </c>
      <c r="AF467" s="17">
        <f t="shared" si="101"/>
        <v>5536.0249999999996</v>
      </c>
      <c r="AG467" s="18">
        <f t="shared" si="102"/>
        <v>135.02499999999964</v>
      </c>
      <c r="AH467" s="19">
        <f t="shared" si="103"/>
        <v>2.4999999999999911E-2</v>
      </c>
      <c r="AI467" s="20">
        <v>13.6</v>
      </c>
      <c r="AJ467" s="20">
        <v>500</v>
      </c>
      <c r="AK467" s="20"/>
      <c r="AL467" s="20">
        <v>688</v>
      </c>
      <c r="AM467" s="20">
        <f t="shared" si="104"/>
        <v>81977.939999999988</v>
      </c>
      <c r="AN467" s="7" t="s">
        <v>176</v>
      </c>
      <c r="AO467" s="20"/>
      <c r="AP467" s="21"/>
      <c r="AQ467" s="21"/>
      <c r="AR467" s="5" t="s">
        <v>751</v>
      </c>
      <c r="AS467" s="5" t="s">
        <v>164</v>
      </c>
      <c r="AT467" s="5" t="s">
        <v>59</v>
      </c>
      <c r="AU467" s="20"/>
      <c r="AV467" s="21"/>
      <c r="AW467" s="21"/>
      <c r="AX467" s="21"/>
    </row>
    <row r="468" spans="1:50" s="55" customFormat="1">
      <c r="A468" s="86" t="s">
        <v>318</v>
      </c>
      <c r="B468" s="5">
        <v>15006540</v>
      </c>
      <c r="C468" s="5" t="s">
        <v>843</v>
      </c>
      <c r="D468" s="5" t="s">
        <v>321</v>
      </c>
      <c r="E468" s="5" t="s">
        <v>52</v>
      </c>
      <c r="F468" s="5" t="s">
        <v>62</v>
      </c>
      <c r="G468" s="5" t="s">
        <v>207</v>
      </c>
      <c r="H468" s="5" t="s">
        <v>753</v>
      </c>
      <c r="I468" s="6">
        <v>41122</v>
      </c>
      <c r="J468" s="5" t="s">
        <v>336</v>
      </c>
      <c r="K468" s="5" t="s">
        <v>766</v>
      </c>
      <c r="L468" s="5" t="s">
        <v>324</v>
      </c>
      <c r="M468" s="7">
        <v>6</v>
      </c>
      <c r="N468" s="7" t="s">
        <v>176</v>
      </c>
      <c r="O468" s="8">
        <v>5449</v>
      </c>
      <c r="P468" s="9">
        <v>0.02</v>
      </c>
      <c r="Q468" s="10">
        <f t="shared" si="92"/>
        <v>109</v>
      </c>
      <c r="R468" s="9">
        <v>5.0000000000000001E-3</v>
      </c>
      <c r="S468" s="10">
        <f t="shared" si="93"/>
        <v>27</v>
      </c>
      <c r="T468" s="9">
        <f t="shared" si="94"/>
        <v>2.4958708019820152E-2</v>
      </c>
      <c r="U468" s="10">
        <f t="shared" si="95"/>
        <v>136</v>
      </c>
      <c r="V468" s="10">
        <f t="shared" si="96"/>
        <v>5585</v>
      </c>
      <c r="W468" s="11">
        <f>VLOOKUP(B468,[1]调薪计算!A:M,12,0)</f>
        <v>5585.2249999999995</v>
      </c>
      <c r="X468" s="12">
        <f t="shared" si="97"/>
        <v>136.22499999999945</v>
      </c>
      <c r="Y468" s="13">
        <f t="shared" si="98"/>
        <v>2.5000000000000001E-2</v>
      </c>
      <c r="Z468" s="14" t="str">
        <f t="shared" si="99"/>
        <v>0.00%-8.40%</v>
      </c>
      <c r="AA468" s="15"/>
      <c r="AB468" s="15"/>
      <c r="AC468" s="15"/>
      <c r="AD468" s="16"/>
      <c r="AE468" s="8">
        <f t="shared" si="100"/>
        <v>0</v>
      </c>
      <c r="AF468" s="17">
        <f t="shared" si="101"/>
        <v>5585.2249999999995</v>
      </c>
      <c r="AG468" s="18">
        <f t="shared" si="102"/>
        <v>136.22499999999945</v>
      </c>
      <c r="AH468" s="19">
        <f t="shared" si="103"/>
        <v>2.4999999999999911E-2</v>
      </c>
      <c r="AI468" s="20">
        <v>13.6</v>
      </c>
      <c r="AJ468" s="20">
        <v>500</v>
      </c>
      <c r="AK468" s="20"/>
      <c r="AL468" s="20">
        <v>688</v>
      </c>
      <c r="AM468" s="20">
        <f t="shared" si="104"/>
        <v>82647.06</v>
      </c>
      <c r="AN468" s="7" t="s">
        <v>176</v>
      </c>
      <c r="AO468" s="20"/>
      <c r="AP468" s="21"/>
      <c r="AQ468" s="21"/>
      <c r="AR468" s="5" t="s">
        <v>751</v>
      </c>
      <c r="AS468" s="5" t="s">
        <v>164</v>
      </c>
      <c r="AT468" s="5" t="s">
        <v>59</v>
      </c>
      <c r="AU468" s="20"/>
      <c r="AV468" s="21"/>
      <c r="AW468" s="21"/>
      <c r="AX468" s="21"/>
    </row>
    <row r="469" spans="1:50" s="55" customFormat="1">
      <c r="A469" s="86" t="s">
        <v>318</v>
      </c>
      <c r="B469" s="5">
        <v>15017994</v>
      </c>
      <c r="C469" s="5" t="s">
        <v>844</v>
      </c>
      <c r="D469" s="5" t="s">
        <v>321</v>
      </c>
      <c r="E469" s="5" t="s">
        <v>52</v>
      </c>
      <c r="F469" s="5" t="s">
        <v>62</v>
      </c>
      <c r="G469" s="5" t="s">
        <v>207</v>
      </c>
      <c r="H469" s="5" t="s">
        <v>753</v>
      </c>
      <c r="I469" s="6">
        <v>43132</v>
      </c>
      <c r="J469" s="5" t="s">
        <v>336</v>
      </c>
      <c r="K469" s="5" t="s">
        <v>511</v>
      </c>
      <c r="L469" s="5" t="s">
        <v>324</v>
      </c>
      <c r="M469" s="7">
        <v>6</v>
      </c>
      <c r="N469" s="7" t="s">
        <v>176</v>
      </c>
      <c r="O469" s="8">
        <v>4833</v>
      </c>
      <c r="P469" s="9">
        <v>0.02</v>
      </c>
      <c r="Q469" s="10">
        <f t="shared" si="92"/>
        <v>97</v>
      </c>
      <c r="R469" s="9">
        <v>5.0000000000000001E-3</v>
      </c>
      <c r="S469" s="10">
        <f t="shared" si="93"/>
        <v>24</v>
      </c>
      <c r="T469" s="9">
        <f t="shared" si="94"/>
        <v>2.5036209393751292E-2</v>
      </c>
      <c r="U469" s="10">
        <f t="shared" si="95"/>
        <v>121</v>
      </c>
      <c r="V469" s="10">
        <f t="shared" si="96"/>
        <v>4954</v>
      </c>
      <c r="W469" s="11">
        <f>VLOOKUP(B469,[1]调薪计算!A:M,12,0)</f>
        <v>4893.4124999999995</v>
      </c>
      <c r="X469" s="12">
        <f t="shared" si="97"/>
        <v>60.412499999999454</v>
      </c>
      <c r="Y469" s="13">
        <f t="shared" si="98"/>
        <v>1.2500000000000001E-2</v>
      </c>
      <c r="Z469" s="14" t="str">
        <f t="shared" si="99"/>
        <v>0.00%-8.40%</v>
      </c>
      <c r="AA469" s="15"/>
      <c r="AB469" s="15"/>
      <c r="AC469" s="15"/>
      <c r="AD469" s="16"/>
      <c r="AE469" s="8">
        <f t="shared" si="100"/>
        <v>0</v>
      </c>
      <c r="AF469" s="17">
        <f t="shared" si="101"/>
        <v>4893.4124999999995</v>
      </c>
      <c r="AG469" s="18">
        <f t="shared" si="102"/>
        <v>60.412499999999454</v>
      </c>
      <c r="AH469" s="19">
        <f t="shared" si="103"/>
        <v>1.2499999999999956E-2</v>
      </c>
      <c r="AI469" s="20">
        <v>13.6</v>
      </c>
      <c r="AJ469" s="20">
        <v>450</v>
      </c>
      <c r="AK469" s="20"/>
      <c r="AL469" s="20">
        <v>688</v>
      </c>
      <c r="AM469" s="20">
        <f t="shared" si="104"/>
        <v>72638.409999999989</v>
      </c>
      <c r="AN469" s="7" t="s">
        <v>176</v>
      </c>
      <c r="AO469" s="20"/>
      <c r="AP469" s="21"/>
      <c r="AQ469" s="21"/>
      <c r="AR469" s="5" t="s">
        <v>751</v>
      </c>
      <c r="AS469" s="5" t="s">
        <v>164</v>
      </c>
      <c r="AT469" s="5" t="s">
        <v>59</v>
      </c>
      <c r="AU469" s="20"/>
      <c r="AV469" s="21"/>
      <c r="AW469" s="21"/>
      <c r="AX469" s="21"/>
    </row>
    <row r="470" spans="1:50" s="55" customFormat="1">
      <c r="A470" s="86" t="s">
        <v>318</v>
      </c>
      <c r="B470" s="5">
        <v>15012270</v>
      </c>
      <c r="C470" s="5" t="s">
        <v>845</v>
      </c>
      <c r="D470" s="5" t="s">
        <v>321</v>
      </c>
      <c r="E470" s="5" t="s">
        <v>52</v>
      </c>
      <c r="F470" s="5" t="s">
        <v>62</v>
      </c>
      <c r="G470" s="5" t="s">
        <v>207</v>
      </c>
      <c r="H470" s="5" t="s">
        <v>750</v>
      </c>
      <c r="I470" s="6">
        <v>41760</v>
      </c>
      <c r="J470" s="5" t="s">
        <v>336</v>
      </c>
      <c r="K470" s="5" t="s">
        <v>336</v>
      </c>
      <c r="L470" s="5" t="s">
        <v>324</v>
      </c>
      <c r="M470" s="7">
        <v>6</v>
      </c>
      <c r="N470" s="7" t="s">
        <v>176</v>
      </c>
      <c r="O470" s="8">
        <v>4504</v>
      </c>
      <c r="P470" s="9">
        <v>0.02</v>
      </c>
      <c r="Q470" s="10">
        <f t="shared" si="92"/>
        <v>90</v>
      </c>
      <c r="R470" s="9">
        <v>5.0000000000000001E-3</v>
      </c>
      <c r="S470" s="10">
        <f t="shared" si="93"/>
        <v>23</v>
      </c>
      <c r="T470" s="9">
        <f t="shared" si="94"/>
        <v>2.5088809946714034E-2</v>
      </c>
      <c r="U470" s="10">
        <f t="shared" si="95"/>
        <v>113</v>
      </c>
      <c r="V470" s="10">
        <f t="shared" si="96"/>
        <v>4617</v>
      </c>
      <c r="W470" s="11">
        <f>VLOOKUP(B470,[1]调薪计算!A:M,12,0)</f>
        <v>4616.5999999999995</v>
      </c>
      <c r="X470" s="12">
        <f t="shared" si="97"/>
        <v>112.59999999999945</v>
      </c>
      <c r="Y470" s="13">
        <f t="shared" si="98"/>
        <v>2.5000000000000001E-2</v>
      </c>
      <c r="Z470" s="14" t="str">
        <f t="shared" si="99"/>
        <v>0.00%-8.40%</v>
      </c>
      <c r="AA470" s="15"/>
      <c r="AB470" s="15"/>
      <c r="AC470" s="15"/>
      <c r="AD470" s="16"/>
      <c r="AE470" s="8">
        <f t="shared" si="100"/>
        <v>0</v>
      </c>
      <c r="AF470" s="17">
        <f t="shared" si="101"/>
        <v>4616.5999999999995</v>
      </c>
      <c r="AG470" s="18">
        <f t="shared" si="102"/>
        <v>112.59999999999945</v>
      </c>
      <c r="AH470" s="19">
        <f t="shared" si="103"/>
        <v>2.4999999999999911E-2</v>
      </c>
      <c r="AI470" s="20">
        <v>13.6</v>
      </c>
      <c r="AJ470" s="20">
        <v>450</v>
      </c>
      <c r="AK470" s="20"/>
      <c r="AL470" s="20">
        <v>688</v>
      </c>
      <c r="AM470" s="20">
        <f t="shared" si="104"/>
        <v>68873.75999999998</v>
      </c>
      <c r="AN470" s="7" t="s">
        <v>176</v>
      </c>
      <c r="AO470" s="20"/>
      <c r="AP470" s="21"/>
      <c r="AQ470" s="21"/>
      <c r="AR470" s="5" t="s">
        <v>751</v>
      </c>
      <c r="AS470" s="5" t="s">
        <v>164</v>
      </c>
      <c r="AT470" s="5" t="s">
        <v>59</v>
      </c>
      <c r="AU470" s="20"/>
      <c r="AV470" s="21"/>
      <c r="AW470" s="21"/>
      <c r="AX470" s="21"/>
    </row>
    <row r="471" spans="1:50" s="55" customFormat="1">
      <c r="A471" s="86" t="s">
        <v>318</v>
      </c>
      <c r="B471" s="5">
        <v>15000141</v>
      </c>
      <c r="C471" s="5" t="s">
        <v>846</v>
      </c>
      <c r="D471" s="5" t="s">
        <v>321</v>
      </c>
      <c r="E471" s="5" t="s">
        <v>52</v>
      </c>
      <c r="F471" s="5" t="s">
        <v>62</v>
      </c>
      <c r="G471" s="5" t="s">
        <v>207</v>
      </c>
      <c r="H471" s="5" t="s">
        <v>750</v>
      </c>
      <c r="I471" s="6">
        <v>38231</v>
      </c>
      <c r="J471" s="5" t="s">
        <v>336</v>
      </c>
      <c r="K471" s="5" t="s">
        <v>336</v>
      </c>
      <c r="L471" s="5" t="s">
        <v>324</v>
      </c>
      <c r="M471" s="7">
        <v>6</v>
      </c>
      <c r="N471" s="7" t="s">
        <v>176</v>
      </c>
      <c r="O471" s="8">
        <v>6460</v>
      </c>
      <c r="P471" s="9">
        <v>0.02</v>
      </c>
      <c r="Q471" s="10">
        <f t="shared" si="92"/>
        <v>129</v>
      </c>
      <c r="R471" s="9">
        <v>5.0000000000000001E-3</v>
      </c>
      <c r="S471" s="10">
        <f t="shared" si="93"/>
        <v>32</v>
      </c>
      <c r="T471" s="9">
        <f t="shared" si="94"/>
        <v>2.4922600619195046E-2</v>
      </c>
      <c r="U471" s="10">
        <f t="shared" si="95"/>
        <v>161</v>
      </c>
      <c r="V471" s="10">
        <f t="shared" si="96"/>
        <v>6621</v>
      </c>
      <c r="W471" s="11">
        <f>VLOOKUP(B471,[1]调薪计算!A:M,12,0)</f>
        <v>6750.7</v>
      </c>
      <c r="X471" s="12">
        <f t="shared" si="97"/>
        <v>290.69999999999982</v>
      </c>
      <c r="Y471" s="13">
        <f t="shared" si="98"/>
        <v>4.4999999999999998E-2</v>
      </c>
      <c r="Z471" s="14" t="str">
        <f t="shared" si="99"/>
        <v>0.00%-8.40%</v>
      </c>
      <c r="AA471" s="15"/>
      <c r="AB471" s="15"/>
      <c r="AC471" s="15"/>
      <c r="AD471" s="16"/>
      <c r="AE471" s="8">
        <f t="shared" si="100"/>
        <v>0</v>
      </c>
      <c r="AF471" s="17">
        <f t="shared" si="101"/>
        <v>6750.7</v>
      </c>
      <c r="AG471" s="18">
        <f t="shared" si="102"/>
        <v>290.69999999999982</v>
      </c>
      <c r="AH471" s="19">
        <f t="shared" si="103"/>
        <v>4.4999999999999929E-2</v>
      </c>
      <c r="AI471" s="20">
        <v>13.6</v>
      </c>
      <c r="AJ471" s="20">
        <v>450</v>
      </c>
      <c r="AK471" s="20"/>
      <c r="AL471" s="20">
        <v>688</v>
      </c>
      <c r="AM471" s="20">
        <f t="shared" si="104"/>
        <v>97897.51999999999</v>
      </c>
      <c r="AN471" s="7" t="s">
        <v>176</v>
      </c>
      <c r="AO471" s="20"/>
      <c r="AP471" s="21"/>
      <c r="AQ471" s="21"/>
      <c r="AR471" s="5" t="s">
        <v>751</v>
      </c>
      <c r="AS471" s="5" t="s">
        <v>164</v>
      </c>
      <c r="AT471" s="5" t="s">
        <v>59</v>
      </c>
      <c r="AU471" s="20"/>
      <c r="AV471" s="21"/>
      <c r="AW471" s="21"/>
      <c r="AX471" s="21"/>
    </row>
    <row r="472" spans="1:50" s="55" customFormat="1">
      <c r="A472" s="86" t="s">
        <v>318</v>
      </c>
      <c r="B472" s="5">
        <v>15018390</v>
      </c>
      <c r="C472" s="5" t="s">
        <v>847</v>
      </c>
      <c r="D472" s="5" t="s">
        <v>321</v>
      </c>
      <c r="E472" s="5" t="s">
        <v>52</v>
      </c>
      <c r="F472" s="5" t="s">
        <v>62</v>
      </c>
      <c r="G472" s="5" t="s">
        <v>207</v>
      </c>
      <c r="H472" s="5" t="s">
        <v>753</v>
      </c>
      <c r="I472" s="6">
        <v>43221</v>
      </c>
      <c r="J472" s="5" t="s">
        <v>336</v>
      </c>
      <c r="K472" s="5" t="s">
        <v>511</v>
      </c>
      <c r="L472" s="5" t="s">
        <v>324</v>
      </c>
      <c r="M472" s="7">
        <v>6</v>
      </c>
      <c r="N472" s="7" t="s">
        <v>176</v>
      </c>
      <c r="O472" s="8">
        <v>4675</v>
      </c>
      <c r="P472" s="9">
        <v>0.02</v>
      </c>
      <c r="Q472" s="10">
        <f t="shared" si="92"/>
        <v>94</v>
      </c>
      <c r="R472" s="9">
        <v>5.0000000000000001E-3</v>
      </c>
      <c r="S472" s="10">
        <f t="shared" si="93"/>
        <v>23</v>
      </c>
      <c r="T472" s="9">
        <f t="shared" si="94"/>
        <v>2.502673796791444E-2</v>
      </c>
      <c r="U472" s="10">
        <f t="shared" si="95"/>
        <v>117</v>
      </c>
      <c r="V472" s="10">
        <f t="shared" si="96"/>
        <v>4792</v>
      </c>
      <c r="W472" s="11">
        <f>VLOOKUP(B472,[1]调薪计算!A:M,12,0)</f>
        <v>4721.75</v>
      </c>
      <c r="X472" s="12">
        <f t="shared" si="97"/>
        <v>46.75</v>
      </c>
      <c r="Y472" s="13">
        <f t="shared" si="98"/>
        <v>0.01</v>
      </c>
      <c r="Z472" s="14" t="str">
        <f t="shared" si="99"/>
        <v>0.00%-8.40%</v>
      </c>
      <c r="AA472" s="15"/>
      <c r="AB472" s="15"/>
      <c r="AC472" s="15"/>
      <c r="AD472" s="16"/>
      <c r="AE472" s="8">
        <f t="shared" si="100"/>
        <v>0</v>
      </c>
      <c r="AF472" s="17">
        <f t="shared" si="101"/>
        <v>4721.75</v>
      </c>
      <c r="AG472" s="18">
        <f t="shared" si="102"/>
        <v>46.75</v>
      </c>
      <c r="AH472" s="19">
        <f t="shared" si="103"/>
        <v>1.0000000000000009E-2</v>
      </c>
      <c r="AI472" s="20">
        <v>13.6</v>
      </c>
      <c r="AJ472" s="20">
        <v>500</v>
      </c>
      <c r="AK472" s="20"/>
      <c r="AL472" s="20">
        <v>688</v>
      </c>
      <c r="AM472" s="20">
        <f t="shared" si="104"/>
        <v>70903.799999999988</v>
      </c>
      <c r="AN472" s="7" t="s">
        <v>176</v>
      </c>
      <c r="AO472" s="20"/>
      <c r="AP472" s="21"/>
      <c r="AQ472" s="21"/>
      <c r="AR472" s="5" t="s">
        <v>751</v>
      </c>
      <c r="AS472" s="5" t="s">
        <v>164</v>
      </c>
      <c r="AT472" s="5" t="s">
        <v>59</v>
      </c>
      <c r="AU472" s="20"/>
      <c r="AV472" s="21"/>
      <c r="AW472" s="21"/>
      <c r="AX472" s="21"/>
    </row>
    <row r="473" spans="1:50" s="55" customFormat="1">
      <c r="A473" s="86" t="s">
        <v>318</v>
      </c>
      <c r="B473" s="5">
        <v>15007204</v>
      </c>
      <c r="C473" s="5" t="s">
        <v>848</v>
      </c>
      <c r="D473" s="5" t="s">
        <v>321</v>
      </c>
      <c r="E473" s="5" t="s">
        <v>52</v>
      </c>
      <c r="F473" s="5" t="s">
        <v>62</v>
      </c>
      <c r="G473" s="5" t="s">
        <v>207</v>
      </c>
      <c r="H473" s="5" t="s">
        <v>750</v>
      </c>
      <c r="I473" s="6">
        <v>41030</v>
      </c>
      <c r="J473" s="5" t="s">
        <v>336</v>
      </c>
      <c r="K473" s="5" t="s">
        <v>336</v>
      </c>
      <c r="L473" s="5" t="s">
        <v>324</v>
      </c>
      <c r="M473" s="7">
        <v>6</v>
      </c>
      <c r="N473" s="7" t="s">
        <v>176</v>
      </c>
      <c r="O473" s="8">
        <v>5362</v>
      </c>
      <c r="P473" s="9">
        <v>0.02</v>
      </c>
      <c r="Q473" s="10">
        <f t="shared" si="92"/>
        <v>107</v>
      </c>
      <c r="R473" s="9">
        <v>5.0000000000000001E-3</v>
      </c>
      <c r="S473" s="10">
        <f t="shared" si="93"/>
        <v>27</v>
      </c>
      <c r="T473" s="9">
        <f t="shared" si="94"/>
        <v>2.4990675121223424E-2</v>
      </c>
      <c r="U473" s="10">
        <f t="shared" si="95"/>
        <v>134</v>
      </c>
      <c r="V473" s="10">
        <f t="shared" si="96"/>
        <v>5496</v>
      </c>
      <c r="W473" s="11">
        <f>VLOOKUP(B473,[1]调薪计算!A:M,12,0)</f>
        <v>5603.29</v>
      </c>
      <c r="X473" s="12">
        <f t="shared" si="97"/>
        <v>241.28999999999996</v>
      </c>
      <c r="Y473" s="13">
        <f t="shared" si="98"/>
        <v>4.4999999999999998E-2</v>
      </c>
      <c r="Z473" s="14" t="str">
        <f t="shared" si="99"/>
        <v>0.00%-8.40%</v>
      </c>
      <c r="AA473" s="15"/>
      <c r="AB473" s="15"/>
      <c r="AC473" s="15"/>
      <c r="AD473" s="16"/>
      <c r="AE473" s="8">
        <f t="shared" si="100"/>
        <v>0</v>
      </c>
      <c r="AF473" s="17">
        <f t="shared" si="101"/>
        <v>5603.29</v>
      </c>
      <c r="AG473" s="18">
        <f t="shared" si="102"/>
        <v>241.28999999999996</v>
      </c>
      <c r="AH473" s="19">
        <f t="shared" si="103"/>
        <v>4.4999999999999929E-2</v>
      </c>
      <c r="AI473" s="20">
        <v>13.6</v>
      </c>
      <c r="AJ473" s="20">
        <v>800</v>
      </c>
      <c r="AK473" s="20"/>
      <c r="AL473" s="20">
        <v>688</v>
      </c>
      <c r="AM473" s="20">
        <f t="shared" si="104"/>
        <v>86492.743999999992</v>
      </c>
      <c r="AN473" s="7" t="s">
        <v>176</v>
      </c>
      <c r="AO473" s="20"/>
      <c r="AP473" s="21"/>
      <c r="AQ473" s="21"/>
      <c r="AR473" s="5" t="s">
        <v>751</v>
      </c>
      <c r="AS473" s="5" t="s">
        <v>164</v>
      </c>
      <c r="AT473" s="5" t="s">
        <v>59</v>
      </c>
      <c r="AU473" s="20"/>
      <c r="AV473" s="21"/>
      <c r="AW473" s="21"/>
      <c r="AX473" s="21"/>
    </row>
    <row r="474" spans="1:50" s="55" customFormat="1">
      <c r="A474" s="86" t="s">
        <v>318</v>
      </c>
      <c r="B474" s="5">
        <v>15017229</v>
      </c>
      <c r="C474" s="5" t="s">
        <v>849</v>
      </c>
      <c r="D474" s="5" t="s">
        <v>321</v>
      </c>
      <c r="E474" s="5" t="s">
        <v>52</v>
      </c>
      <c r="F474" s="5" t="s">
        <v>62</v>
      </c>
      <c r="G474" s="5" t="s">
        <v>207</v>
      </c>
      <c r="H474" s="5" t="s">
        <v>753</v>
      </c>
      <c r="I474" s="6">
        <v>42948</v>
      </c>
      <c r="J474" s="5" t="s">
        <v>336</v>
      </c>
      <c r="K474" s="5" t="s">
        <v>511</v>
      </c>
      <c r="L474" s="5" t="s">
        <v>324</v>
      </c>
      <c r="M474" s="7">
        <v>6</v>
      </c>
      <c r="N474" s="7" t="s">
        <v>176</v>
      </c>
      <c r="O474" s="8">
        <v>4598</v>
      </c>
      <c r="P474" s="9">
        <v>0.02</v>
      </c>
      <c r="Q474" s="10">
        <f t="shared" si="92"/>
        <v>92</v>
      </c>
      <c r="R474" s="9">
        <v>5.0000000000000001E-3</v>
      </c>
      <c r="S474" s="10">
        <f t="shared" si="93"/>
        <v>23</v>
      </c>
      <c r="T474" s="9">
        <f t="shared" si="94"/>
        <v>2.5010874293170945E-2</v>
      </c>
      <c r="U474" s="10">
        <f t="shared" si="95"/>
        <v>115</v>
      </c>
      <c r="V474" s="10">
        <f t="shared" si="96"/>
        <v>4713</v>
      </c>
      <c r="W474" s="11">
        <f>VLOOKUP(B474,[1]调薪计算!A:M,12,0)</f>
        <v>4643.9800000000005</v>
      </c>
      <c r="X474" s="12">
        <f t="shared" si="97"/>
        <v>45.980000000000473</v>
      </c>
      <c r="Y474" s="13">
        <f t="shared" si="98"/>
        <v>0.01</v>
      </c>
      <c r="Z474" s="14" t="str">
        <f t="shared" si="99"/>
        <v>0.00%-8.40%</v>
      </c>
      <c r="AA474" s="15"/>
      <c r="AB474" s="15"/>
      <c r="AC474" s="15"/>
      <c r="AD474" s="16"/>
      <c r="AE474" s="8">
        <f t="shared" si="100"/>
        <v>0</v>
      </c>
      <c r="AF474" s="17">
        <f t="shared" si="101"/>
        <v>4643.9800000000005</v>
      </c>
      <c r="AG474" s="18">
        <f t="shared" si="102"/>
        <v>45.980000000000473</v>
      </c>
      <c r="AH474" s="19">
        <f t="shared" si="103"/>
        <v>1.0000000000000009E-2</v>
      </c>
      <c r="AI474" s="20">
        <v>13.6</v>
      </c>
      <c r="AJ474" s="20">
        <v>500</v>
      </c>
      <c r="AK474" s="20"/>
      <c r="AL474" s="20">
        <v>688</v>
      </c>
      <c r="AM474" s="20">
        <f t="shared" si="104"/>
        <v>69846.127999999997</v>
      </c>
      <c r="AN474" s="7" t="s">
        <v>176</v>
      </c>
      <c r="AO474" s="20"/>
      <c r="AP474" s="21"/>
      <c r="AQ474" s="21"/>
      <c r="AR474" s="5" t="s">
        <v>751</v>
      </c>
      <c r="AS474" s="5" t="s">
        <v>164</v>
      </c>
      <c r="AT474" s="5" t="s">
        <v>59</v>
      </c>
      <c r="AU474" s="20"/>
      <c r="AV474" s="21"/>
      <c r="AW474" s="21"/>
      <c r="AX474" s="21"/>
    </row>
    <row r="475" spans="1:50" s="55" customFormat="1">
      <c r="A475" s="86" t="s">
        <v>318</v>
      </c>
      <c r="B475" s="5">
        <v>15021601</v>
      </c>
      <c r="C475" s="5" t="s">
        <v>850</v>
      </c>
      <c r="D475" s="5" t="s">
        <v>321</v>
      </c>
      <c r="E475" s="5" t="s">
        <v>52</v>
      </c>
      <c r="F475" s="5" t="s">
        <v>62</v>
      </c>
      <c r="G475" s="5" t="s">
        <v>207</v>
      </c>
      <c r="H475" s="5" t="s">
        <v>750</v>
      </c>
      <c r="I475" s="6">
        <v>44593</v>
      </c>
      <c r="J475" s="5" t="s">
        <v>336</v>
      </c>
      <c r="K475" s="5" t="s">
        <v>336</v>
      </c>
      <c r="L475" s="5" t="s">
        <v>324</v>
      </c>
      <c r="M475" s="7">
        <v>6</v>
      </c>
      <c r="N475" s="7" t="s">
        <v>176</v>
      </c>
      <c r="O475" s="8">
        <v>4529</v>
      </c>
      <c r="P475" s="9">
        <v>0.02</v>
      </c>
      <c r="Q475" s="10">
        <f t="shared" si="92"/>
        <v>91</v>
      </c>
      <c r="R475" s="9">
        <v>5.0000000000000001E-3</v>
      </c>
      <c r="S475" s="10">
        <f t="shared" si="93"/>
        <v>23</v>
      </c>
      <c r="T475" s="9">
        <f t="shared" si="94"/>
        <v>2.5171119452417751E-2</v>
      </c>
      <c r="U475" s="10">
        <f t="shared" si="95"/>
        <v>114</v>
      </c>
      <c r="V475" s="10">
        <f t="shared" si="96"/>
        <v>4643</v>
      </c>
      <c r="W475" s="11">
        <f>VLOOKUP(B475,[1]调薪计算!A:M,12,0)</f>
        <v>4642.2249999999995</v>
      </c>
      <c r="X475" s="12">
        <f t="shared" si="97"/>
        <v>113.22499999999945</v>
      </c>
      <c r="Y475" s="13">
        <f t="shared" si="98"/>
        <v>2.5000000000000001E-2</v>
      </c>
      <c r="Z475" s="14" t="str">
        <f t="shared" si="99"/>
        <v>0.00%-8.40%</v>
      </c>
      <c r="AA475" s="15"/>
      <c r="AB475" s="15"/>
      <c r="AC475" s="15"/>
      <c r="AD475" s="16"/>
      <c r="AE475" s="8">
        <f t="shared" si="100"/>
        <v>0</v>
      </c>
      <c r="AF475" s="17">
        <f t="shared" si="101"/>
        <v>4642.2249999999995</v>
      </c>
      <c r="AG475" s="18">
        <f t="shared" si="102"/>
        <v>113.22499999999945</v>
      </c>
      <c r="AH475" s="19">
        <f t="shared" si="103"/>
        <v>2.4999999999999911E-2</v>
      </c>
      <c r="AI475" s="20">
        <v>13.6</v>
      </c>
      <c r="AJ475" s="20">
        <v>450</v>
      </c>
      <c r="AK475" s="20"/>
      <c r="AL475" s="20">
        <v>688</v>
      </c>
      <c r="AM475" s="20">
        <f t="shared" si="104"/>
        <v>69222.25999999998</v>
      </c>
      <c r="AN475" s="7" t="s">
        <v>176</v>
      </c>
      <c r="AO475" s="20"/>
      <c r="AP475" s="21"/>
      <c r="AQ475" s="21"/>
      <c r="AR475" s="5" t="s">
        <v>751</v>
      </c>
      <c r="AS475" s="5" t="s">
        <v>164</v>
      </c>
      <c r="AT475" s="5" t="s">
        <v>59</v>
      </c>
      <c r="AU475" s="20"/>
      <c r="AV475" s="21"/>
      <c r="AW475" s="21"/>
      <c r="AX475" s="21"/>
    </row>
    <row r="476" spans="1:50" s="55" customFormat="1">
      <c r="A476" s="86" t="s">
        <v>318</v>
      </c>
      <c r="B476" s="5">
        <v>15002026</v>
      </c>
      <c r="C476" s="5" t="s">
        <v>851</v>
      </c>
      <c r="D476" s="5" t="s">
        <v>321</v>
      </c>
      <c r="E476" s="5" t="s">
        <v>52</v>
      </c>
      <c r="F476" s="5" t="s">
        <v>62</v>
      </c>
      <c r="G476" s="5" t="s">
        <v>207</v>
      </c>
      <c r="H476" s="5" t="s">
        <v>750</v>
      </c>
      <c r="I476" s="6">
        <v>39727</v>
      </c>
      <c r="J476" s="5" t="s">
        <v>336</v>
      </c>
      <c r="K476" s="5" t="s">
        <v>336</v>
      </c>
      <c r="L476" s="5" t="s">
        <v>324</v>
      </c>
      <c r="M476" s="7">
        <v>6</v>
      </c>
      <c r="N476" s="7" t="s">
        <v>176</v>
      </c>
      <c r="O476" s="8">
        <v>4942</v>
      </c>
      <c r="P476" s="9">
        <v>0.02</v>
      </c>
      <c r="Q476" s="10">
        <f t="shared" si="92"/>
        <v>99</v>
      </c>
      <c r="R476" s="9">
        <v>5.0000000000000001E-3</v>
      </c>
      <c r="S476" s="10">
        <f t="shared" si="93"/>
        <v>25</v>
      </c>
      <c r="T476" s="9">
        <f t="shared" si="94"/>
        <v>2.5091056252529342E-2</v>
      </c>
      <c r="U476" s="10">
        <f t="shared" si="95"/>
        <v>124</v>
      </c>
      <c r="V476" s="10">
        <f t="shared" si="96"/>
        <v>5066</v>
      </c>
      <c r="W476" s="11">
        <f>VLOOKUP(B476,[1]调薪计算!A:M,12,0)</f>
        <v>5065.5499999999993</v>
      </c>
      <c r="X476" s="12">
        <f t="shared" si="97"/>
        <v>123.54999999999927</v>
      </c>
      <c r="Y476" s="13">
        <f t="shared" si="98"/>
        <v>2.5000000000000001E-2</v>
      </c>
      <c r="Z476" s="14" t="str">
        <f t="shared" si="99"/>
        <v>0.00%-8.40%</v>
      </c>
      <c r="AA476" s="15"/>
      <c r="AB476" s="15"/>
      <c r="AC476" s="15"/>
      <c r="AD476" s="16"/>
      <c r="AE476" s="8">
        <f t="shared" si="100"/>
        <v>0</v>
      </c>
      <c r="AF476" s="17">
        <f t="shared" si="101"/>
        <v>5065.5499999999993</v>
      </c>
      <c r="AG476" s="18">
        <f t="shared" si="102"/>
        <v>123.54999999999927</v>
      </c>
      <c r="AH476" s="19">
        <f t="shared" si="103"/>
        <v>2.4999999999999911E-2</v>
      </c>
      <c r="AI476" s="20">
        <v>13.6</v>
      </c>
      <c r="AJ476" s="20">
        <v>750</v>
      </c>
      <c r="AK476" s="20"/>
      <c r="AL476" s="20">
        <v>688</v>
      </c>
      <c r="AM476" s="20">
        <f t="shared" si="104"/>
        <v>78579.479999999981</v>
      </c>
      <c r="AN476" s="7" t="s">
        <v>176</v>
      </c>
      <c r="AO476" s="20"/>
      <c r="AP476" s="21"/>
      <c r="AQ476" s="21"/>
      <c r="AR476" s="5" t="s">
        <v>751</v>
      </c>
      <c r="AS476" s="5" t="s">
        <v>164</v>
      </c>
      <c r="AT476" s="5" t="s">
        <v>59</v>
      </c>
      <c r="AU476" s="20"/>
      <c r="AV476" s="21"/>
      <c r="AW476" s="21"/>
      <c r="AX476" s="21"/>
    </row>
    <row r="477" spans="1:50" s="55" customFormat="1">
      <c r="A477" s="86" t="s">
        <v>318</v>
      </c>
      <c r="B477" s="5">
        <v>15000448</v>
      </c>
      <c r="C477" s="5" t="s">
        <v>852</v>
      </c>
      <c r="D477" s="5" t="s">
        <v>321</v>
      </c>
      <c r="E477" s="5" t="s">
        <v>52</v>
      </c>
      <c r="F477" s="5" t="s">
        <v>62</v>
      </c>
      <c r="G477" s="5" t="s">
        <v>207</v>
      </c>
      <c r="H477" s="5" t="s">
        <v>750</v>
      </c>
      <c r="I477" s="6">
        <v>38808</v>
      </c>
      <c r="J477" s="5" t="s">
        <v>336</v>
      </c>
      <c r="K477" s="5" t="s">
        <v>766</v>
      </c>
      <c r="L477" s="5" t="s">
        <v>324</v>
      </c>
      <c r="M477" s="7">
        <v>6</v>
      </c>
      <c r="N477" s="7" t="s">
        <v>176</v>
      </c>
      <c r="O477" s="8">
        <v>5608</v>
      </c>
      <c r="P477" s="9">
        <v>0.02</v>
      </c>
      <c r="Q477" s="10">
        <f t="shared" si="92"/>
        <v>112</v>
      </c>
      <c r="R477" s="9">
        <v>5.0000000000000001E-3</v>
      </c>
      <c r="S477" s="10">
        <f t="shared" si="93"/>
        <v>28</v>
      </c>
      <c r="T477" s="9">
        <f t="shared" si="94"/>
        <v>2.4964336661911554E-2</v>
      </c>
      <c r="U477" s="10">
        <f t="shared" si="95"/>
        <v>140</v>
      </c>
      <c r="V477" s="10">
        <f t="shared" si="96"/>
        <v>5748</v>
      </c>
      <c r="W477" s="11">
        <f>VLOOKUP(B477,[1]调薪计算!A:M,12,0)</f>
        <v>5944.4800000000005</v>
      </c>
      <c r="X477" s="12">
        <f t="shared" si="97"/>
        <v>336.48000000000047</v>
      </c>
      <c r="Y477" s="13">
        <f t="shared" si="98"/>
        <v>0.06</v>
      </c>
      <c r="Z477" s="14" t="str">
        <f t="shared" si="99"/>
        <v>0.00%-8.40%</v>
      </c>
      <c r="AA477" s="15"/>
      <c r="AB477" s="15"/>
      <c r="AC477" s="15"/>
      <c r="AD477" s="16"/>
      <c r="AE477" s="8">
        <f t="shared" si="100"/>
        <v>0</v>
      </c>
      <c r="AF477" s="17">
        <f t="shared" si="101"/>
        <v>5944.4800000000005</v>
      </c>
      <c r="AG477" s="18">
        <f t="shared" si="102"/>
        <v>336.48000000000047</v>
      </c>
      <c r="AH477" s="19">
        <f t="shared" si="103"/>
        <v>6.0000000000000053E-2</v>
      </c>
      <c r="AI477" s="20">
        <v>13.6</v>
      </c>
      <c r="AJ477" s="20">
        <v>750</v>
      </c>
      <c r="AK477" s="20"/>
      <c r="AL477" s="20">
        <v>688</v>
      </c>
      <c r="AM477" s="20">
        <f t="shared" si="104"/>
        <v>90532.928</v>
      </c>
      <c r="AN477" s="7" t="s">
        <v>176</v>
      </c>
      <c r="AO477" s="20"/>
      <c r="AP477" s="21"/>
      <c r="AQ477" s="21"/>
      <c r="AR477" s="5" t="s">
        <v>751</v>
      </c>
      <c r="AS477" s="5" t="s">
        <v>164</v>
      </c>
      <c r="AT477" s="5" t="s">
        <v>59</v>
      </c>
      <c r="AU477" s="20"/>
      <c r="AV477" s="21"/>
      <c r="AW477" s="21"/>
      <c r="AX477" s="21"/>
    </row>
    <row r="478" spans="1:50" s="55" customFormat="1">
      <c r="A478" s="86" t="s">
        <v>318</v>
      </c>
      <c r="B478" s="5">
        <v>15014364</v>
      </c>
      <c r="C478" s="5" t="s">
        <v>853</v>
      </c>
      <c r="D478" s="5" t="s">
        <v>321</v>
      </c>
      <c r="E478" s="5" t="s">
        <v>52</v>
      </c>
      <c r="F478" s="5" t="s">
        <v>62</v>
      </c>
      <c r="G478" s="5" t="s">
        <v>207</v>
      </c>
      <c r="H478" s="5" t="s">
        <v>750</v>
      </c>
      <c r="I478" s="6">
        <v>42278</v>
      </c>
      <c r="J478" s="5" t="s">
        <v>336</v>
      </c>
      <c r="K478" s="5" t="s">
        <v>336</v>
      </c>
      <c r="L478" s="5" t="s">
        <v>324</v>
      </c>
      <c r="M478" s="7">
        <v>6</v>
      </c>
      <c r="N478" s="7" t="s">
        <v>176</v>
      </c>
      <c r="O478" s="8">
        <v>5162</v>
      </c>
      <c r="P478" s="9">
        <v>0.02</v>
      </c>
      <c r="Q478" s="10">
        <f t="shared" si="92"/>
        <v>103</v>
      </c>
      <c r="R478" s="9">
        <v>5.0000000000000001E-3</v>
      </c>
      <c r="S478" s="10">
        <f t="shared" si="93"/>
        <v>26</v>
      </c>
      <c r="T478" s="9">
        <f t="shared" si="94"/>
        <v>2.4990313831848122E-2</v>
      </c>
      <c r="U478" s="10">
        <f t="shared" si="95"/>
        <v>129</v>
      </c>
      <c r="V478" s="10">
        <f t="shared" si="96"/>
        <v>5291</v>
      </c>
      <c r="W478" s="11">
        <f>VLOOKUP(B478,[1]调薪计算!A:M,12,0)</f>
        <v>5291.0499999999993</v>
      </c>
      <c r="X478" s="12">
        <f t="shared" si="97"/>
        <v>129.04999999999927</v>
      </c>
      <c r="Y478" s="13">
        <f t="shared" si="98"/>
        <v>2.5000000000000001E-2</v>
      </c>
      <c r="Z478" s="14" t="str">
        <f t="shared" si="99"/>
        <v>0.00%-8.40%</v>
      </c>
      <c r="AA478" s="15"/>
      <c r="AB478" s="15"/>
      <c r="AC478" s="15"/>
      <c r="AD478" s="16"/>
      <c r="AE478" s="8">
        <f t="shared" si="100"/>
        <v>0</v>
      </c>
      <c r="AF478" s="17">
        <f t="shared" si="101"/>
        <v>5291.0499999999993</v>
      </c>
      <c r="AG478" s="18">
        <f t="shared" si="102"/>
        <v>129.04999999999927</v>
      </c>
      <c r="AH478" s="19">
        <f t="shared" si="103"/>
        <v>2.4999999999999911E-2</v>
      </c>
      <c r="AI478" s="20">
        <v>13.6</v>
      </c>
      <c r="AJ478" s="20">
        <v>450</v>
      </c>
      <c r="AK478" s="20"/>
      <c r="AL478" s="20">
        <v>688</v>
      </c>
      <c r="AM478" s="20">
        <f t="shared" si="104"/>
        <v>78046.279999999984</v>
      </c>
      <c r="AN478" s="7" t="s">
        <v>176</v>
      </c>
      <c r="AO478" s="20"/>
      <c r="AP478" s="21"/>
      <c r="AQ478" s="21"/>
      <c r="AR478" s="5" t="s">
        <v>751</v>
      </c>
      <c r="AS478" s="5" t="s">
        <v>164</v>
      </c>
      <c r="AT478" s="5" t="s">
        <v>59</v>
      </c>
      <c r="AU478" s="20"/>
      <c r="AV478" s="21"/>
      <c r="AW478" s="21"/>
      <c r="AX478" s="21"/>
    </row>
    <row r="479" spans="1:50" s="55" customFormat="1">
      <c r="A479" s="86" t="s">
        <v>318</v>
      </c>
      <c r="B479" s="5">
        <v>15020063</v>
      </c>
      <c r="C479" s="5" t="s">
        <v>854</v>
      </c>
      <c r="D479" s="5" t="s">
        <v>321</v>
      </c>
      <c r="E479" s="5" t="s">
        <v>52</v>
      </c>
      <c r="F479" s="5" t="s">
        <v>62</v>
      </c>
      <c r="G479" s="5" t="s">
        <v>207</v>
      </c>
      <c r="H479" s="5" t="s">
        <v>750</v>
      </c>
      <c r="I479" s="6">
        <v>44136</v>
      </c>
      <c r="J479" s="5" t="s">
        <v>336</v>
      </c>
      <c r="K479" s="5" t="s">
        <v>336</v>
      </c>
      <c r="L479" s="5" t="s">
        <v>324</v>
      </c>
      <c r="M479" s="7">
        <v>6</v>
      </c>
      <c r="N479" s="7" t="s">
        <v>176</v>
      </c>
      <c r="O479" s="8">
        <v>5010</v>
      </c>
      <c r="P479" s="9">
        <v>0.02</v>
      </c>
      <c r="Q479" s="10">
        <f t="shared" si="92"/>
        <v>100</v>
      </c>
      <c r="R479" s="9">
        <v>5.0000000000000001E-3</v>
      </c>
      <c r="S479" s="10">
        <f t="shared" si="93"/>
        <v>25</v>
      </c>
      <c r="T479" s="9">
        <f t="shared" si="94"/>
        <v>2.4950099800399202E-2</v>
      </c>
      <c r="U479" s="10">
        <f t="shared" si="95"/>
        <v>125</v>
      </c>
      <c r="V479" s="10">
        <f t="shared" si="96"/>
        <v>5135</v>
      </c>
      <c r="W479" s="11">
        <f>VLOOKUP(B479,[1]调薪计算!A:M,12,0)</f>
        <v>5135.25</v>
      </c>
      <c r="X479" s="12">
        <f t="shared" si="97"/>
        <v>125.25</v>
      </c>
      <c r="Y479" s="13">
        <f t="shared" si="98"/>
        <v>2.5000000000000001E-2</v>
      </c>
      <c r="Z479" s="14" t="str">
        <f t="shared" si="99"/>
        <v>0.00%-8.40%</v>
      </c>
      <c r="AA479" s="15"/>
      <c r="AB479" s="15"/>
      <c r="AC479" s="15"/>
      <c r="AD479" s="16"/>
      <c r="AE479" s="8">
        <f t="shared" si="100"/>
        <v>0</v>
      </c>
      <c r="AF479" s="17">
        <f t="shared" si="101"/>
        <v>5135.25</v>
      </c>
      <c r="AG479" s="18">
        <f t="shared" si="102"/>
        <v>125.25</v>
      </c>
      <c r="AH479" s="19">
        <f t="shared" si="103"/>
        <v>2.4999999999999911E-2</v>
      </c>
      <c r="AI479" s="20">
        <v>13.6</v>
      </c>
      <c r="AJ479" s="20">
        <v>450</v>
      </c>
      <c r="AK479" s="20"/>
      <c r="AL479" s="20">
        <v>688</v>
      </c>
      <c r="AM479" s="20">
        <f t="shared" si="104"/>
        <v>75927.399999999994</v>
      </c>
      <c r="AN479" s="7" t="s">
        <v>176</v>
      </c>
      <c r="AO479" s="20"/>
      <c r="AP479" s="21"/>
      <c r="AQ479" s="21"/>
      <c r="AR479" s="5" t="s">
        <v>751</v>
      </c>
      <c r="AS479" s="5" t="s">
        <v>164</v>
      </c>
      <c r="AT479" s="5" t="s">
        <v>59</v>
      </c>
      <c r="AU479" s="20"/>
      <c r="AV479" s="21"/>
      <c r="AW479" s="21"/>
      <c r="AX479" s="21"/>
    </row>
    <row r="480" spans="1:50" s="55" customFormat="1">
      <c r="A480" s="86" t="s">
        <v>318</v>
      </c>
      <c r="B480" s="5">
        <v>15016813</v>
      </c>
      <c r="C480" s="5" t="s">
        <v>855</v>
      </c>
      <c r="D480" s="5" t="s">
        <v>321</v>
      </c>
      <c r="E480" s="5" t="s">
        <v>52</v>
      </c>
      <c r="F480" s="5" t="s">
        <v>62</v>
      </c>
      <c r="G480" s="5" t="s">
        <v>207</v>
      </c>
      <c r="H480" s="5" t="s">
        <v>753</v>
      </c>
      <c r="I480" s="6">
        <v>42917</v>
      </c>
      <c r="J480" s="5" t="s">
        <v>336</v>
      </c>
      <c r="K480" s="5" t="s">
        <v>511</v>
      </c>
      <c r="L480" s="5" t="s">
        <v>324</v>
      </c>
      <c r="M480" s="7">
        <v>6</v>
      </c>
      <c r="N480" s="7" t="s">
        <v>176</v>
      </c>
      <c r="O480" s="8">
        <v>5402</v>
      </c>
      <c r="P480" s="9">
        <v>0.02</v>
      </c>
      <c r="Q480" s="10">
        <f t="shared" si="92"/>
        <v>108</v>
      </c>
      <c r="R480" s="9">
        <v>5.0000000000000001E-3</v>
      </c>
      <c r="S480" s="10">
        <f t="shared" si="93"/>
        <v>27</v>
      </c>
      <c r="T480" s="9">
        <f t="shared" si="94"/>
        <v>2.4990744168826361E-2</v>
      </c>
      <c r="U480" s="10">
        <f t="shared" si="95"/>
        <v>135</v>
      </c>
      <c r="V480" s="10">
        <f t="shared" si="96"/>
        <v>5537</v>
      </c>
      <c r="W480" s="11">
        <f>VLOOKUP(B480,[1]调薪计算!A:M,12,0)</f>
        <v>5537.0499999999993</v>
      </c>
      <c r="X480" s="12">
        <f t="shared" si="97"/>
        <v>135.04999999999927</v>
      </c>
      <c r="Y480" s="13">
        <f t="shared" si="98"/>
        <v>2.5000000000000001E-2</v>
      </c>
      <c r="Z480" s="14" t="str">
        <f t="shared" si="99"/>
        <v>0.00%-8.40%</v>
      </c>
      <c r="AA480" s="15"/>
      <c r="AB480" s="15"/>
      <c r="AC480" s="15"/>
      <c r="AD480" s="16"/>
      <c r="AE480" s="8">
        <f t="shared" si="100"/>
        <v>0</v>
      </c>
      <c r="AF480" s="17">
        <f t="shared" si="101"/>
        <v>5537.0499999999993</v>
      </c>
      <c r="AG480" s="18">
        <f t="shared" si="102"/>
        <v>135.04999999999927</v>
      </c>
      <c r="AH480" s="19">
        <f t="shared" si="103"/>
        <v>2.4999999999999911E-2</v>
      </c>
      <c r="AI480" s="20">
        <v>13.6</v>
      </c>
      <c r="AJ480" s="20">
        <v>500</v>
      </c>
      <c r="AK480" s="20"/>
      <c r="AL480" s="20">
        <v>688</v>
      </c>
      <c r="AM480" s="20">
        <f t="shared" si="104"/>
        <v>81991.87999999999</v>
      </c>
      <c r="AN480" s="7" t="s">
        <v>176</v>
      </c>
      <c r="AO480" s="20"/>
      <c r="AP480" s="21"/>
      <c r="AQ480" s="21"/>
      <c r="AR480" s="5" t="s">
        <v>751</v>
      </c>
      <c r="AS480" s="5" t="s">
        <v>164</v>
      </c>
      <c r="AT480" s="5" t="s">
        <v>59</v>
      </c>
      <c r="AU480" s="20"/>
      <c r="AV480" s="21"/>
      <c r="AW480" s="21"/>
      <c r="AX480" s="21"/>
    </row>
    <row r="481" spans="1:50" s="55" customFormat="1">
      <c r="A481" s="86" t="s">
        <v>318</v>
      </c>
      <c r="B481" s="5">
        <v>15016357</v>
      </c>
      <c r="C481" s="5" t="s">
        <v>856</v>
      </c>
      <c r="D481" s="5" t="s">
        <v>321</v>
      </c>
      <c r="E481" s="5" t="s">
        <v>52</v>
      </c>
      <c r="F481" s="5" t="s">
        <v>62</v>
      </c>
      <c r="G481" s="5" t="s">
        <v>207</v>
      </c>
      <c r="H481" s="5" t="s">
        <v>753</v>
      </c>
      <c r="I481" s="6">
        <v>42948</v>
      </c>
      <c r="J481" s="5" t="s">
        <v>336</v>
      </c>
      <c r="K481" s="5" t="s">
        <v>511</v>
      </c>
      <c r="L481" s="5" t="s">
        <v>324</v>
      </c>
      <c r="M481" s="7">
        <v>6</v>
      </c>
      <c r="N481" s="7" t="s">
        <v>176</v>
      </c>
      <c r="O481" s="8">
        <v>4806</v>
      </c>
      <c r="P481" s="9">
        <v>0.02</v>
      </c>
      <c r="Q481" s="10">
        <f t="shared" si="92"/>
        <v>96</v>
      </c>
      <c r="R481" s="9">
        <v>5.0000000000000001E-3</v>
      </c>
      <c r="S481" s="10">
        <f t="shared" si="93"/>
        <v>24</v>
      </c>
      <c r="T481" s="9">
        <f t="shared" si="94"/>
        <v>2.4968789013732832E-2</v>
      </c>
      <c r="U481" s="10">
        <f t="shared" si="95"/>
        <v>120</v>
      </c>
      <c r="V481" s="10">
        <f t="shared" si="96"/>
        <v>4926</v>
      </c>
      <c r="W481" s="11">
        <f>VLOOKUP(B481,[1]调薪计算!A:M,12,0)</f>
        <v>4854.0600000000004</v>
      </c>
      <c r="X481" s="12">
        <f t="shared" si="97"/>
        <v>48.0600000000004</v>
      </c>
      <c r="Y481" s="13">
        <f t="shared" si="98"/>
        <v>0.01</v>
      </c>
      <c r="Z481" s="14" t="str">
        <f t="shared" si="99"/>
        <v>0.00%-8.40%</v>
      </c>
      <c r="AA481" s="15"/>
      <c r="AB481" s="15"/>
      <c r="AC481" s="15"/>
      <c r="AD481" s="16"/>
      <c r="AE481" s="8">
        <f t="shared" si="100"/>
        <v>0</v>
      </c>
      <c r="AF481" s="17">
        <f t="shared" si="101"/>
        <v>4854.0600000000004</v>
      </c>
      <c r="AG481" s="18">
        <f t="shared" si="102"/>
        <v>48.0600000000004</v>
      </c>
      <c r="AH481" s="19">
        <f t="shared" si="103"/>
        <v>1.0000000000000009E-2</v>
      </c>
      <c r="AI481" s="20">
        <v>13.6</v>
      </c>
      <c r="AJ481" s="20">
        <v>500</v>
      </c>
      <c r="AK481" s="20"/>
      <c r="AL481" s="20">
        <v>688</v>
      </c>
      <c r="AM481" s="20">
        <f t="shared" si="104"/>
        <v>72703.216</v>
      </c>
      <c r="AN481" s="7" t="s">
        <v>176</v>
      </c>
      <c r="AO481" s="20"/>
      <c r="AP481" s="21"/>
      <c r="AQ481" s="21"/>
      <c r="AR481" s="5" t="s">
        <v>751</v>
      </c>
      <c r="AS481" s="5" t="s">
        <v>164</v>
      </c>
      <c r="AT481" s="5" t="s">
        <v>59</v>
      </c>
      <c r="AU481" s="20"/>
      <c r="AV481" s="21"/>
      <c r="AW481" s="21"/>
      <c r="AX481" s="21"/>
    </row>
    <row r="482" spans="1:50" s="55" customFormat="1">
      <c r="A482" s="86" t="s">
        <v>318</v>
      </c>
      <c r="B482" s="5">
        <v>15016009</v>
      </c>
      <c r="C482" s="5" t="s">
        <v>857</v>
      </c>
      <c r="D482" s="5" t="s">
        <v>321</v>
      </c>
      <c r="E482" s="5" t="s">
        <v>52</v>
      </c>
      <c r="F482" s="5" t="s">
        <v>62</v>
      </c>
      <c r="G482" s="5" t="s">
        <v>207</v>
      </c>
      <c r="H482" s="5" t="s">
        <v>753</v>
      </c>
      <c r="I482" s="6">
        <v>42887</v>
      </c>
      <c r="J482" s="5" t="s">
        <v>336</v>
      </c>
      <c r="K482" s="5" t="s">
        <v>511</v>
      </c>
      <c r="L482" s="5" t="s">
        <v>324</v>
      </c>
      <c r="M482" s="7">
        <v>6</v>
      </c>
      <c r="N482" s="7" t="s">
        <v>176</v>
      </c>
      <c r="O482" s="8">
        <v>4981</v>
      </c>
      <c r="P482" s="9">
        <v>0.02</v>
      </c>
      <c r="Q482" s="10">
        <f t="shared" si="92"/>
        <v>100</v>
      </c>
      <c r="R482" s="9">
        <v>5.0000000000000001E-3</v>
      </c>
      <c r="S482" s="10">
        <f t="shared" si="93"/>
        <v>25</v>
      </c>
      <c r="T482" s="9">
        <f t="shared" si="94"/>
        <v>2.5095362377032724E-2</v>
      </c>
      <c r="U482" s="10">
        <f t="shared" si="95"/>
        <v>125</v>
      </c>
      <c r="V482" s="10">
        <f t="shared" si="96"/>
        <v>5106</v>
      </c>
      <c r="W482" s="11">
        <f>VLOOKUP(B482,[1]调薪计算!A:M,12,0)</f>
        <v>5205.1449999999995</v>
      </c>
      <c r="X482" s="12">
        <f t="shared" si="97"/>
        <v>224.14499999999953</v>
      </c>
      <c r="Y482" s="13">
        <f t="shared" si="98"/>
        <v>4.4999999999999998E-2</v>
      </c>
      <c r="Z482" s="14" t="str">
        <f t="shared" si="99"/>
        <v>0.00%-8.40%</v>
      </c>
      <c r="AA482" s="15"/>
      <c r="AB482" s="15"/>
      <c r="AC482" s="15"/>
      <c r="AD482" s="16"/>
      <c r="AE482" s="8">
        <f t="shared" si="100"/>
        <v>0</v>
      </c>
      <c r="AF482" s="17">
        <f t="shared" si="101"/>
        <v>5205.1449999999995</v>
      </c>
      <c r="AG482" s="18">
        <f t="shared" si="102"/>
        <v>224.14499999999953</v>
      </c>
      <c r="AH482" s="19">
        <f t="shared" si="103"/>
        <v>4.4999999999999929E-2</v>
      </c>
      <c r="AI482" s="20">
        <v>13.6</v>
      </c>
      <c r="AJ482" s="20">
        <v>500</v>
      </c>
      <c r="AK482" s="20"/>
      <c r="AL482" s="20">
        <v>688</v>
      </c>
      <c r="AM482" s="20">
        <f t="shared" si="104"/>
        <v>77477.971999999994</v>
      </c>
      <c r="AN482" s="7" t="s">
        <v>176</v>
      </c>
      <c r="AO482" s="20"/>
      <c r="AP482" s="21"/>
      <c r="AQ482" s="21"/>
      <c r="AR482" s="5" t="s">
        <v>751</v>
      </c>
      <c r="AS482" s="5" t="s">
        <v>164</v>
      </c>
      <c r="AT482" s="5" t="s">
        <v>59</v>
      </c>
      <c r="AU482" s="20"/>
      <c r="AV482" s="21"/>
      <c r="AW482" s="21"/>
      <c r="AX482" s="21"/>
    </row>
    <row r="483" spans="1:50" s="55" customFormat="1">
      <c r="A483" s="86" t="s">
        <v>318</v>
      </c>
      <c r="B483" s="5">
        <v>15018350</v>
      </c>
      <c r="C483" s="5" t="s">
        <v>858</v>
      </c>
      <c r="D483" s="5" t="s">
        <v>321</v>
      </c>
      <c r="E483" s="5" t="s">
        <v>52</v>
      </c>
      <c r="F483" s="5" t="s">
        <v>62</v>
      </c>
      <c r="G483" s="5" t="s">
        <v>207</v>
      </c>
      <c r="H483" s="5" t="s">
        <v>753</v>
      </c>
      <c r="I483" s="6">
        <v>43191</v>
      </c>
      <c r="J483" s="5" t="s">
        <v>336</v>
      </c>
      <c r="K483" s="5" t="s">
        <v>511</v>
      </c>
      <c r="L483" s="5" t="s">
        <v>324</v>
      </c>
      <c r="M483" s="7">
        <v>6</v>
      </c>
      <c r="N483" s="7" t="s">
        <v>176</v>
      </c>
      <c r="O483" s="8">
        <v>5259</v>
      </c>
      <c r="P483" s="9">
        <v>0.02</v>
      </c>
      <c r="Q483" s="10">
        <f t="shared" si="92"/>
        <v>105</v>
      </c>
      <c r="R483" s="9">
        <v>5.0000000000000001E-3</v>
      </c>
      <c r="S483" s="10">
        <f t="shared" si="93"/>
        <v>26</v>
      </c>
      <c r="T483" s="9">
        <f t="shared" si="94"/>
        <v>2.4909678646130442E-2</v>
      </c>
      <c r="U483" s="10">
        <f t="shared" si="95"/>
        <v>131</v>
      </c>
      <c r="V483" s="10">
        <f t="shared" si="96"/>
        <v>5390</v>
      </c>
      <c r="W483" s="11">
        <f>VLOOKUP(B483,[1]调薪计算!A:M,12,0)</f>
        <v>5259</v>
      </c>
      <c r="X483" s="12">
        <f t="shared" si="97"/>
        <v>0</v>
      </c>
      <c r="Y483" s="13">
        <f t="shared" si="98"/>
        <v>0</v>
      </c>
      <c r="Z483" s="14" t="str">
        <f t="shared" si="99"/>
        <v>0.00%-8.40%</v>
      </c>
      <c r="AA483" s="15"/>
      <c r="AB483" s="15"/>
      <c r="AC483" s="15"/>
      <c r="AD483" s="16"/>
      <c r="AE483" s="8">
        <f t="shared" si="100"/>
        <v>0</v>
      </c>
      <c r="AF483" s="17">
        <f t="shared" si="101"/>
        <v>5259</v>
      </c>
      <c r="AG483" s="18">
        <f t="shared" si="102"/>
        <v>0</v>
      </c>
      <c r="AH483" s="19">
        <f t="shared" si="103"/>
        <v>0</v>
      </c>
      <c r="AI483" s="20">
        <v>13.6</v>
      </c>
      <c r="AJ483" s="20">
        <v>500</v>
      </c>
      <c r="AK483" s="20"/>
      <c r="AL483" s="20">
        <v>688</v>
      </c>
      <c r="AM483" s="20">
        <f t="shared" si="104"/>
        <v>78210.399999999994</v>
      </c>
      <c r="AN483" s="7" t="s">
        <v>176</v>
      </c>
      <c r="AO483" s="20"/>
      <c r="AP483" s="21" t="s">
        <v>97</v>
      </c>
      <c r="AQ483" s="21" t="s">
        <v>97</v>
      </c>
      <c r="AR483" s="5" t="s">
        <v>751</v>
      </c>
      <c r="AS483" s="5" t="s">
        <v>164</v>
      </c>
      <c r="AT483" s="5" t="s">
        <v>59</v>
      </c>
      <c r="AU483" s="20"/>
      <c r="AV483" s="21"/>
      <c r="AW483" s="21"/>
      <c r="AX483" s="21"/>
    </row>
    <row r="484" spans="1:50" s="55" customFormat="1">
      <c r="A484" s="86" t="s">
        <v>318</v>
      </c>
      <c r="B484" s="5">
        <v>15002933</v>
      </c>
      <c r="C484" s="5" t="s">
        <v>859</v>
      </c>
      <c r="D484" s="5" t="s">
        <v>321</v>
      </c>
      <c r="E484" s="5" t="s">
        <v>52</v>
      </c>
      <c r="F484" s="5" t="s">
        <v>62</v>
      </c>
      <c r="G484" s="5" t="s">
        <v>207</v>
      </c>
      <c r="H484" s="5" t="s">
        <v>753</v>
      </c>
      <c r="I484" s="6">
        <v>40269</v>
      </c>
      <c r="J484" s="5" t="s">
        <v>336</v>
      </c>
      <c r="K484" s="5" t="s">
        <v>511</v>
      </c>
      <c r="L484" s="5" t="s">
        <v>324</v>
      </c>
      <c r="M484" s="7">
        <v>6</v>
      </c>
      <c r="N484" s="7" t="s">
        <v>176</v>
      </c>
      <c r="O484" s="8">
        <v>5032</v>
      </c>
      <c r="P484" s="9">
        <v>0.02</v>
      </c>
      <c r="Q484" s="10">
        <f t="shared" si="92"/>
        <v>101</v>
      </c>
      <c r="R484" s="9">
        <v>5.0000000000000001E-3</v>
      </c>
      <c r="S484" s="10">
        <f t="shared" si="93"/>
        <v>25</v>
      </c>
      <c r="T484" s="9">
        <f t="shared" si="94"/>
        <v>2.5039745627980923E-2</v>
      </c>
      <c r="U484" s="10">
        <f t="shared" si="95"/>
        <v>126</v>
      </c>
      <c r="V484" s="10">
        <f t="shared" si="96"/>
        <v>5158</v>
      </c>
      <c r="W484" s="11">
        <f>VLOOKUP(B484,[1]调薪计算!A:M,12,0)</f>
        <v>5157.7999999999993</v>
      </c>
      <c r="X484" s="12">
        <f t="shared" si="97"/>
        <v>125.79999999999927</v>
      </c>
      <c r="Y484" s="13">
        <f t="shared" si="98"/>
        <v>2.5000000000000001E-2</v>
      </c>
      <c r="Z484" s="14" t="str">
        <f t="shared" si="99"/>
        <v>0.00%-8.40%</v>
      </c>
      <c r="AA484" s="15"/>
      <c r="AB484" s="15"/>
      <c r="AC484" s="15"/>
      <c r="AD484" s="16"/>
      <c r="AE484" s="8">
        <f t="shared" si="100"/>
        <v>0</v>
      </c>
      <c r="AF484" s="17">
        <f t="shared" si="101"/>
        <v>5157.7999999999993</v>
      </c>
      <c r="AG484" s="18">
        <f t="shared" si="102"/>
        <v>125.79999999999927</v>
      </c>
      <c r="AH484" s="19">
        <f t="shared" si="103"/>
        <v>2.4999999999999911E-2</v>
      </c>
      <c r="AI484" s="20">
        <v>13.6</v>
      </c>
      <c r="AJ484" s="20">
        <v>500</v>
      </c>
      <c r="AK484" s="20"/>
      <c r="AL484" s="20">
        <v>688</v>
      </c>
      <c r="AM484" s="20">
        <f t="shared" si="104"/>
        <v>76834.079999999987</v>
      </c>
      <c r="AN484" s="7" t="s">
        <v>176</v>
      </c>
      <c r="AO484" s="20"/>
      <c r="AP484" s="21"/>
      <c r="AQ484" s="21"/>
      <c r="AR484" s="5" t="s">
        <v>751</v>
      </c>
      <c r="AS484" s="5" t="s">
        <v>164</v>
      </c>
      <c r="AT484" s="5" t="s">
        <v>59</v>
      </c>
      <c r="AU484" s="20"/>
      <c r="AV484" s="21"/>
      <c r="AW484" s="21"/>
      <c r="AX484" s="21"/>
    </row>
    <row r="485" spans="1:50" s="55" customFormat="1">
      <c r="A485" s="86" t="s">
        <v>318</v>
      </c>
      <c r="B485" s="5">
        <v>15003574</v>
      </c>
      <c r="C485" s="5" t="s">
        <v>860</v>
      </c>
      <c r="D485" s="5" t="s">
        <v>321</v>
      </c>
      <c r="E485" s="5" t="s">
        <v>52</v>
      </c>
      <c r="F485" s="5" t="s">
        <v>62</v>
      </c>
      <c r="G485" s="5" t="s">
        <v>207</v>
      </c>
      <c r="H485" s="5" t="s">
        <v>753</v>
      </c>
      <c r="I485" s="6">
        <v>40360</v>
      </c>
      <c r="J485" s="5" t="s">
        <v>336</v>
      </c>
      <c r="K485" s="5" t="s">
        <v>511</v>
      </c>
      <c r="L485" s="5" t="s">
        <v>324</v>
      </c>
      <c r="M485" s="7">
        <v>6</v>
      </c>
      <c r="N485" s="7" t="s">
        <v>176</v>
      </c>
      <c r="O485" s="8">
        <v>4662</v>
      </c>
      <c r="P485" s="9">
        <v>0.02</v>
      </c>
      <c r="Q485" s="10">
        <f t="shared" si="92"/>
        <v>93</v>
      </c>
      <c r="R485" s="9">
        <v>5.0000000000000001E-3</v>
      </c>
      <c r="S485" s="10">
        <f t="shared" si="93"/>
        <v>23</v>
      </c>
      <c r="T485" s="9">
        <f t="shared" si="94"/>
        <v>2.4882024882024883E-2</v>
      </c>
      <c r="U485" s="10">
        <f t="shared" si="95"/>
        <v>116</v>
      </c>
      <c r="V485" s="10">
        <f t="shared" si="96"/>
        <v>4778</v>
      </c>
      <c r="W485" s="11">
        <f>VLOOKUP(B485,[1]调薪计算!A:M,12,0)</f>
        <v>4708.62</v>
      </c>
      <c r="X485" s="12">
        <f t="shared" si="97"/>
        <v>46.619999999999891</v>
      </c>
      <c r="Y485" s="13">
        <f t="shared" si="98"/>
        <v>0.01</v>
      </c>
      <c r="Z485" s="14" t="str">
        <f t="shared" si="99"/>
        <v>0.00%-8.40%</v>
      </c>
      <c r="AA485" s="15"/>
      <c r="AB485" s="15"/>
      <c r="AC485" s="15"/>
      <c r="AD485" s="16"/>
      <c r="AE485" s="8">
        <f t="shared" si="100"/>
        <v>0</v>
      </c>
      <c r="AF485" s="17">
        <f t="shared" si="101"/>
        <v>4708.62</v>
      </c>
      <c r="AG485" s="18">
        <f t="shared" si="102"/>
        <v>46.619999999999891</v>
      </c>
      <c r="AH485" s="19">
        <f t="shared" si="103"/>
        <v>1.0000000000000009E-2</v>
      </c>
      <c r="AI485" s="20">
        <v>13.6</v>
      </c>
      <c r="AJ485" s="20">
        <v>500</v>
      </c>
      <c r="AK485" s="20"/>
      <c r="AL485" s="20">
        <v>688</v>
      </c>
      <c r="AM485" s="20">
        <f t="shared" si="104"/>
        <v>70725.231999999989</v>
      </c>
      <c r="AN485" s="7" t="s">
        <v>176</v>
      </c>
      <c r="AO485" s="20"/>
      <c r="AP485" s="21"/>
      <c r="AQ485" s="21"/>
      <c r="AR485" s="5" t="s">
        <v>751</v>
      </c>
      <c r="AS485" s="5" t="s">
        <v>164</v>
      </c>
      <c r="AT485" s="5" t="s">
        <v>59</v>
      </c>
      <c r="AU485" s="20"/>
      <c r="AV485" s="21"/>
      <c r="AW485" s="21"/>
      <c r="AX485" s="21"/>
    </row>
    <row r="486" spans="1:50" s="55" customFormat="1">
      <c r="A486" s="86" t="s">
        <v>318</v>
      </c>
      <c r="B486" s="5">
        <v>15010051</v>
      </c>
      <c r="C486" s="5" t="s">
        <v>861</v>
      </c>
      <c r="D486" s="5" t="s">
        <v>321</v>
      </c>
      <c r="E486" s="5" t="s">
        <v>52</v>
      </c>
      <c r="F486" s="5" t="s">
        <v>62</v>
      </c>
      <c r="G486" s="5" t="s">
        <v>207</v>
      </c>
      <c r="H486" s="5" t="s">
        <v>753</v>
      </c>
      <c r="I486" s="6">
        <v>41487</v>
      </c>
      <c r="J486" s="5" t="s">
        <v>336</v>
      </c>
      <c r="K486" s="5" t="s">
        <v>511</v>
      </c>
      <c r="L486" s="5" t="s">
        <v>324</v>
      </c>
      <c r="M486" s="7">
        <v>6</v>
      </c>
      <c r="N486" s="7" t="s">
        <v>176</v>
      </c>
      <c r="O486" s="8">
        <v>5027</v>
      </c>
      <c r="P486" s="9">
        <v>0.02</v>
      </c>
      <c r="Q486" s="10">
        <f t="shared" si="92"/>
        <v>101</v>
      </c>
      <c r="R486" s="9">
        <v>5.0000000000000001E-3</v>
      </c>
      <c r="S486" s="10">
        <f t="shared" si="93"/>
        <v>25</v>
      </c>
      <c r="T486" s="9">
        <f t="shared" si="94"/>
        <v>2.5064650885219811E-2</v>
      </c>
      <c r="U486" s="10">
        <f t="shared" si="95"/>
        <v>126</v>
      </c>
      <c r="V486" s="10">
        <f t="shared" si="96"/>
        <v>5153</v>
      </c>
      <c r="W486" s="11">
        <f>VLOOKUP(B486,[1]调薪计算!A:M,12,0)</f>
        <v>5077.2700000000004</v>
      </c>
      <c r="X486" s="12">
        <f t="shared" si="97"/>
        <v>50.270000000000437</v>
      </c>
      <c r="Y486" s="13">
        <f t="shared" si="98"/>
        <v>0.01</v>
      </c>
      <c r="Z486" s="14" t="str">
        <f t="shared" si="99"/>
        <v>0.00%-8.40%</v>
      </c>
      <c r="AA486" s="15"/>
      <c r="AB486" s="15"/>
      <c r="AC486" s="15"/>
      <c r="AD486" s="16"/>
      <c r="AE486" s="8">
        <f t="shared" si="100"/>
        <v>0</v>
      </c>
      <c r="AF486" s="17">
        <f t="shared" si="101"/>
        <v>5077.2700000000004</v>
      </c>
      <c r="AG486" s="18">
        <f t="shared" si="102"/>
        <v>50.270000000000437</v>
      </c>
      <c r="AH486" s="19">
        <f t="shared" si="103"/>
        <v>1.0000000000000009E-2</v>
      </c>
      <c r="AI486" s="20">
        <v>13.6</v>
      </c>
      <c r="AJ486" s="20">
        <v>500</v>
      </c>
      <c r="AK486" s="20"/>
      <c r="AL486" s="20">
        <v>688</v>
      </c>
      <c r="AM486" s="20">
        <f t="shared" si="104"/>
        <v>75738.872000000003</v>
      </c>
      <c r="AN486" s="7" t="s">
        <v>176</v>
      </c>
      <c r="AO486" s="20"/>
      <c r="AP486" s="21"/>
      <c r="AQ486" s="21"/>
      <c r="AR486" s="5" t="s">
        <v>751</v>
      </c>
      <c r="AS486" s="5" t="s">
        <v>164</v>
      </c>
      <c r="AT486" s="5" t="s">
        <v>59</v>
      </c>
      <c r="AU486" s="20"/>
      <c r="AV486" s="21"/>
      <c r="AW486" s="21"/>
      <c r="AX486" s="21"/>
    </row>
    <row r="487" spans="1:50" s="55" customFormat="1">
      <c r="A487" s="86" t="s">
        <v>318</v>
      </c>
      <c r="B487" s="5">
        <v>15016216</v>
      </c>
      <c r="C487" s="5" t="s">
        <v>862</v>
      </c>
      <c r="D487" s="5" t="s">
        <v>321</v>
      </c>
      <c r="E487" s="5" t="s">
        <v>52</v>
      </c>
      <c r="F487" s="5" t="s">
        <v>62</v>
      </c>
      <c r="G487" s="5" t="s">
        <v>207</v>
      </c>
      <c r="H487" s="5" t="s">
        <v>753</v>
      </c>
      <c r="I487" s="6">
        <v>42948</v>
      </c>
      <c r="J487" s="5" t="s">
        <v>336</v>
      </c>
      <c r="K487" s="5" t="s">
        <v>511</v>
      </c>
      <c r="L487" s="5" t="s">
        <v>324</v>
      </c>
      <c r="M487" s="7">
        <v>6</v>
      </c>
      <c r="N487" s="7" t="s">
        <v>176</v>
      </c>
      <c r="O487" s="8">
        <v>5003</v>
      </c>
      <c r="P487" s="9">
        <v>0.02</v>
      </c>
      <c r="Q487" s="10">
        <f t="shared" si="92"/>
        <v>100</v>
      </c>
      <c r="R487" s="9">
        <v>5.0000000000000001E-3</v>
      </c>
      <c r="S487" s="10">
        <f t="shared" si="93"/>
        <v>25</v>
      </c>
      <c r="T487" s="9">
        <f t="shared" si="94"/>
        <v>2.498500899460324E-2</v>
      </c>
      <c r="U487" s="10">
        <f t="shared" si="95"/>
        <v>125</v>
      </c>
      <c r="V487" s="10">
        <f t="shared" si="96"/>
        <v>5128</v>
      </c>
      <c r="W487" s="11">
        <f>VLOOKUP(B487,[1]调薪计算!A:M,12,0)</f>
        <v>5128.0749999999998</v>
      </c>
      <c r="X487" s="12">
        <f t="shared" si="97"/>
        <v>125.07499999999982</v>
      </c>
      <c r="Y487" s="13">
        <f t="shared" si="98"/>
        <v>2.5000000000000001E-2</v>
      </c>
      <c r="Z487" s="14" t="str">
        <f t="shared" si="99"/>
        <v>0.00%-8.40%</v>
      </c>
      <c r="AA487" s="15"/>
      <c r="AB487" s="15"/>
      <c r="AC487" s="15"/>
      <c r="AD487" s="16"/>
      <c r="AE487" s="8">
        <f t="shared" si="100"/>
        <v>0</v>
      </c>
      <c r="AF487" s="17">
        <f t="shared" si="101"/>
        <v>5128.0749999999998</v>
      </c>
      <c r="AG487" s="18">
        <f t="shared" si="102"/>
        <v>125.07499999999982</v>
      </c>
      <c r="AH487" s="19">
        <f t="shared" si="103"/>
        <v>2.4999999999999911E-2</v>
      </c>
      <c r="AI487" s="20">
        <v>13.6</v>
      </c>
      <c r="AJ487" s="20">
        <v>500</v>
      </c>
      <c r="AK487" s="20"/>
      <c r="AL487" s="20">
        <v>688</v>
      </c>
      <c r="AM487" s="20">
        <f t="shared" si="104"/>
        <v>76429.819999999992</v>
      </c>
      <c r="AN487" s="7" t="s">
        <v>176</v>
      </c>
      <c r="AO487" s="20"/>
      <c r="AP487" s="21"/>
      <c r="AQ487" s="21"/>
      <c r="AR487" s="5" t="s">
        <v>751</v>
      </c>
      <c r="AS487" s="5" t="s">
        <v>164</v>
      </c>
      <c r="AT487" s="5" t="s">
        <v>59</v>
      </c>
      <c r="AU487" s="20"/>
      <c r="AV487" s="21"/>
      <c r="AW487" s="21"/>
      <c r="AX487" s="21"/>
    </row>
    <row r="488" spans="1:50" s="55" customFormat="1">
      <c r="A488" s="86" t="s">
        <v>318</v>
      </c>
      <c r="B488" s="5">
        <v>15000181</v>
      </c>
      <c r="C488" s="5" t="s">
        <v>863</v>
      </c>
      <c r="D488" s="5" t="s">
        <v>321</v>
      </c>
      <c r="E488" s="5" t="s">
        <v>52</v>
      </c>
      <c r="F488" s="5" t="s">
        <v>62</v>
      </c>
      <c r="G488" s="5" t="s">
        <v>207</v>
      </c>
      <c r="H488" s="5" t="s">
        <v>753</v>
      </c>
      <c r="I488" s="6">
        <v>38596</v>
      </c>
      <c r="J488" s="5" t="s">
        <v>336</v>
      </c>
      <c r="K488" s="5" t="s">
        <v>511</v>
      </c>
      <c r="L488" s="5" t="s">
        <v>324</v>
      </c>
      <c r="M488" s="7">
        <v>6</v>
      </c>
      <c r="N488" s="7" t="s">
        <v>176</v>
      </c>
      <c r="O488" s="8">
        <v>5160</v>
      </c>
      <c r="P488" s="9">
        <v>0.02</v>
      </c>
      <c r="Q488" s="10">
        <f t="shared" si="92"/>
        <v>103</v>
      </c>
      <c r="R488" s="9">
        <v>5.0000000000000001E-3</v>
      </c>
      <c r="S488" s="10">
        <f t="shared" si="93"/>
        <v>26</v>
      </c>
      <c r="T488" s="9">
        <f t="shared" si="94"/>
        <v>2.5000000000000001E-2</v>
      </c>
      <c r="U488" s="10">
        <f t="shared" si="95"/>
        <v>129</v>
      </c>
      <c r="V488" s="10">
        <f t="shared" si="96"/>
        <v>5289</v>
      </c>
      <c r="W488" s="11">
        <f>VLOOKUP(B488,[1]调薪计算!A:M,12,0)</f>
        <v>5211.6000000000004</v>
      </c>
      <c r="X488" s="12">
        <f t="shared" si="97"/>
        <v>51.600000000000364</v>
      </c>
      <c r="Y488" s="13">
        <f t="shared" si="98"/>
        <v>0.01</v>
      </c>
      <c r="Z488" s="14" t="str">
        <f t="shared" si="99"/>
        <v>0.00%-8.40%</v>
      </c>
      <c r="AA488" s="15"/>
      <c r="AB488" s="15"/>
      <c r="AC488" s="15"/>
      <c r="AD488" s="16"/>
      <c r="AE488" s="8">
        <f t="shared" si="100"/>
        <v>0</v>
      </c>
      <c r="AF488" s="17">
        <f t="shared" si="101"/>
        <v>5211.6000000000004</v>
      </c>
      <c r="AG488" s="18">
        <f t="shared" si="102"/>
        <v>51.600000000000364</v>
      </c>
      <c r="AH488" s="19">
        <f t="shared" si="103"/>
        <v>1.0000000000000009E-2</v>
      </c>
      <c r="AI488" s="20">
        <v>13.6</v>
      </c>
      <c r="AJ488" s="20">
        <v>500</v>
      </c>
      <c r="AK488" s="20"/>
      <c r="AL488" s="20">
        <v>688</v>
      </c>
      <c r="AM488" s="20">
        <f t="shared" si="104"/>
        <v>77565.760000000009</v>
      </c>
      <c r="AN488" s="7" t="s">
        <v>176</v>
      </c>
      <c r="AO488" s="20" t="s">
        <v>364</v>
      </c>
      <c r="AP488" s="21"/>
      <c r="AQ488" s="21"/>
      <c r="AR488" s="5" t="s">
        <v>751</v>
      </c>
      <c r="AS488" s="5" t="s">
        <v>164</v>
      </c>
      <c r="AT488" s="5" t="s">
        <v>59</v>
      </c>
      <c r="AU488" s="20"/>
      <c r="AV488" s="21"/>
      <c r="AW488" s="21"/>
      <c r="AX488" s="21"/>
    </row>
    <row r="489" spans="1:50" s="55" customFormat="1">
      <c r="A489" s="86" t="s">
        <v>318</v>
      </c>
      <c r="B489" s="5">
        <v>15012930</v>
      </c>
      <c r="C489" s="5" t="s">
        <v>864</v>
      </c>
      <c r="D489" s="5" t="s">
        <v>321</v>
      </c>
      <c r="E489" s="5" t="s">
        <v>52</v>
      </c>
      <c r="F489" s="5" t="s">
        <v>62</v>
      </c>
      <c r="G489" s="5" t="s">
        <v>207</v>
      </c>
      <c r="H489" s="5" t="s">
        <v>753</v>
      </c>
      <c r="I489" s="6">
        <v>41852</v>
      </c>
      <c r="J489" s="5" t="s">
        <v>336</v>
      </c>
      <c r="K489" s="5" t="s">
        <v>511</v>
      </c>
      <c r="L489" s="5" t="s">
        <v>324</v>
      </c>
      <c r="M489" s="7">
        <v>6</v>
      </c>
      <c r="N489" s="7" t="s">
        <v>176</v>
      </c>
      <c r="O489" s="8">
        <v>5211</v>
      </c>
      <c r="P489" s="9">
        <v>0.02</v>
      </c>
      <c r="Q489" s="10">
        <f t="shared" si="92"/>
        <v>104</v>
      </c>
      <c r="R489" s="9">
        <v>5.0000000000000001E-3</v>
      </c>
      <c r="S489" s="10">
        <f t="shared" si="93"/>
        <v>26</v>
      </c>
      <c r="T489" s="9">
        <f t="shared" si="94"/>
        <v>2.4947227019765879E-2</v>
      </c>
      <c r="U489" s="10">
        <f t="shared" si="95"/>
        <v>130</v>
      </c>
      <c r="V489" s="10">
        <f t="shared" si="96"/>
        <v>5341</v>
      </c>
      <c r="W489" s="11">
        <f>VLOOKUP(B489,[1]调薪计算!A:M,12,0)</f>
        <v>5341.2749999999996</v>
      </c>
      <c r="X489" s="12">
        <f t="shared" si="97"/>
        <v>130.27499999999964</v>
      </c>
      <c r="Y489" s="13">
        <f t="shared" si="98"/>
        <v>2.5000000000000001E-2</v>
      </c>
      <c r="Z489" s="14" t="str">
        <f t="shared" si="99"/>
        <v>0.00%-8.40%</v>
      </c>
      <c r="AA489" s="15"/>
      <c r="AB489" s="15"/>
      <c r="AC489" s="15"/>
      <c r="AD489" s="16"/>
      <c r="AE489" s="8">
        <f t="shared" si="100"/>
        <v>0</v>
      </c>
      <c r="AF489" s="17">
        <f t="shared" si="101"/>
        <v>5341.2749999999996</v>
      </c>
      <c r="AG489" s="18">
        <f t="shared" si="102"/>
        <v>130.27499999999964</v>
      </c>
      <c r="AH489" s="19">
        <f t="shared" si="103"/>
        <v>2.4999999999999911E-2</v>
      </c>
      <c r="AI489" s="20">
        <v>13.6</v>
      </c>
      <c r="AJ489" s="20">
        <v>500</v>
      </c>
      <c r="AK489" s="20"/>
      <c r="AL489" s="20">
        <v>688</v>
      </c>
      <c r="AM489" s="20">
        <f t="shared" si="104"/>
        <v>79329.34</v>
      </c>
      <c r="AN489" s="7" t="s">
        <v>176</v>
      </c>
      <c r="AO489" s="20"/>
      <c r="AP489" s="21"/>
      <c r="AQ489" s="21"/>
      <c r="AR489" s="5" t="s">
        <v>751</v>
      </c>
      <c r="AS489" s="5" t="s">
        <v>164</v>
      </c>
      <c r="AT489" s="5" t="s">
        <v>59</v>
      </c>
      <c r="AU489" s="20"/>
      <c r="AV489" s="21"/>
      <c r="AW489" s="21"/>
      <c r="AX489" s="21"/>
    </row>
    <row r="490" spans="1:50" s="55" customFormat="1">
      <c r="A490" s="86" t="s">
        <v>318</v>
      </c>
      <c r="B490" s="5">
        <v>15018029</v>
      </c>
      <c r="C490" s="5" t="s">
        <v>865</v>
      </c>
      <c r="D490" s="5" t="s">
        <v>321</v>
      </c>
      <c r="E490" s="5" t="s">
        <v>52</v>
      </c>
      <c r="F490" s="5" t="s">
        <v>62</v>
      </c>
      <c r="G490" s="5" t="s">
        <v>207</v>
      </c>
      <c r="H490" s="5" t="s">
        <v>753</v>
      </c>
      <c r="I490" s="6">
        <v>43132</v>
      </c>
      <c r="J490" s="5" t="s">
        <v>336</v>
      </c>
      <c r="K490" s="5" t="s">
        <v>511</v>
      </c>
      <c r="L490" s="5" t="s">
        <v>324</v>
      </c>
      <c r="M490" s="7">
        <v>6</v>
      </c>
      <c r="N490" s="7" t="s">
        <v>176</v>
      </c>
      <c r="O490" s="8">
        <v>4541</v>
      </c>
      <c r="P490" s="9">
        <v>0.02</v>
      </c>
      <c r="Q490" s="10">
        <f t="shared" si="92"/>
        <v>91</v>
      </c>
      <c r="R490" s="9">
        <v>5.0000000000000001E-3</v>
      </c>
      <c r="S490" s="10">
        <f t="shared" si="93"/>
        <v>23</v>
      </c>
      <c r="T490" s="9">
        <f t="shared" si="94"/>
        <v>2.5104602510460251E-2</v>
      </c>
      <c r="U490" s="10">
        <f t="shared" si="95"/>
        <v>114</v>
      </c>
      <c r="V490" s="10">
        <f t="shared" si="96"/>
        <v>4655</v>
      </c>
      <c r="W490" s="11">
        <f>VLOOKUP(B490,[1]调薪计算!A:M,12,0)</f>
        <v>4586.41</v>
      </c>
      <c r="X490" s="12">
        <f t="shared" si="97"/>
        <v>45.409999999999854</v>
      </c>
      <c r="Y490" s="13">
        <f t="shared" si="98"/>
        <v>0.01</v>
      </c>
      <c r="Z490" s="14" t="str">
        <f t="shared" si="99"/>
        <v>0.00%-8.40%</v>
      </c>
      <c r="AA490" s="15"/>
      <c r="AB490" s="15"/>
      <c r="AC490" s="15"/>
      <c r="AD490" s="16"/>
      <c r="AE490" s="8">
        <f t="shared" si="100"/>
        <v>0</v>
      </c>
      <c r="AF490" s="17">
        <f t="shared" si="101"/>
        <v>4586.41</v>
      </c>
      <c r="AG490" s="18">
        <f t="shared" si="102"/>
        <v>45.409999999999854</v>
      </c>
      <c r="AH490" s="19">
        <f t="shared" si="103"/>
        <v>1.0000000000000009E-2</v>
      </c>
      <c r="AI490" s="20">
        <v>13.6</v>
      </c>
      <c r="AJ490" s="20">
        <v>500</v>
      </c>
      <c r="AK490" s="20"/>
      <c r="AL490" s="20">
        <v>688</v>
      </c>
      <c r="AM490" s="20">
        <f t="shared" si="104"/>
        <v>69063.176000000007</v>
      </c>
      <c r="AN490" s="7" t="s">
        <v>176</v>
      </c>
      <c r="AO490" s="20"/>
      <c r="AP490" s="21"/>
      <c r="AQ490" s="21"/>
      <c r="AR490" s="5" t="s">
        <v>751</v>
      </c>
      <c r="AS490" s="5" t="s">
        <v>164</v>
      </c>
      <c r="AT490" s="5" t="s">
        <v>59</v>
      </c>
      <c r="AU490" s="20"/>
      <c r="AV490" s="21"/>
      <c r="AW490" s="21"/>
      <c r="AX490" s="21"/>
    </row>
    <row r="491" spans="1:50" s="55" customFormat="1">
      <c r="A491" s="86" t="s">
        <v>318</v>
      </c>
      <c r="B491" s="5">
        <v>15001954</v>
      </c>
      <c r="C491" s="5" t="s">
        <v>866</v>
      </c>
      <c r="D491" s="5" t="s">
        <v>321</v>
      </c>
      <c r="E491" s="5" t="s">
        <v>52</v>
      </c>
      <c r="F491" s="5" t="s">
        <v>62</v>
      </c>
      <c r="G491" s="5" t="s">
        <v>207</v>
      </c>
      <c r="H491" s="5" t="s">
        <v>753</v>
      </c>
      <c r="I491" s="6">
        <v>39688</v>
      </c>
      <c r="J491" s="5" t="s">
        <v>336</v>
      </c>
      <c r="K491" s="5" t="s">
        <v>766</v>
      </c>
      <c r="L491" s="5" t="s">
        <v>324</v>
      </c>
      <c r="M491" s="7">
        <v>6</v>
      </c>
      <c r="N491" s="7" t="s">
        <v>176</v>
      </c>
      <c r="O491" s="8">
        <v>5590</v>
      </c>
      <c r="P491" s="9">
        <v>0.02</v>
      </c>
      <c r="Q491" s="10">
        <f t="shared" si="92"/>
        <v>112</v>
      </c>
      <c r="R491" s="9">
        <v>5.0000000000000001E-3</v>
      </c>
      <c r="S491" s="10">
        <f t="shared" si="93"/>
        <v>28</v>
      </c>
      <c r="T491" s="9">
        <f t="shared" si="94"/>
        <v>2.5044722719141325E-2</v>
      </c>
      <c r="U491" s="10">
        <f t="shared" si="95"/>
        <v>140</v>
      </c>
      <c r="V491" s="10">
        <f t="shared" si="96"/>
        <v>5730</v>
      </c>
      <c r="W491" s="11">
        <f>VLOOKUP(B491,[1]调薪计算!A:M,12,0)</f>
        <v>5729.7499999999991</v>
      </c>
      <c r="X491" s="12">
        <f t="shared" si="97"/>
        <v>139.74999999999909</v>
      </c>
      <c r="Y491" s="13">
        <f t="shared" si="98"/>
        <v>2.5000000000000001E-2</v>
      </c>
      <c r="Z491" s="14" t="str">
        <f t="shared" si="99"/>
        <v>0.00%-8.40%</v>
      </c>
      <c r="AA491" s="15"/>
      <c r="AB491" s="15"/>
      <c r="AC491" s="15"/>
      <c r="AD491" s="16"/>
      <c r="AE491" s="8">
        <f t="shared" si="100"/>
        <v>0</v>
      </c>
      <c r="AF491" s="17">
        <f t="shared" si="101"/>
        <v>5729.7499999999991</v>
      </c>
      <c r="AG491" s="18">
        <f t="shared" si="102"/>
        <v>139.74999999999909</v>
      </c>
      <c r="AH491" s="19">
        <f t="shared" si="103"/>
        <v>2.4999999999999911E-2</v>
      </c>
      <c r="AI491" s="20">
        <v>13.6</v>
      </c>
      <c r="AJ491" s="20">
        <v>500</v>
      </c>
      <c r="AK491" s="20"/>
      <c r="AL491" s="20">
        <v>688</v>
      </c>
      <c r="AM491" s="20">
        <f t="shared" si="104"/>
        <v>84612.599999999991</v>
      </c>
      <c r="AN491" s="7" t="s">
        <v>176</v>
      </c>
      <c r="AO491" s="20"/>
      <c r="AP491" s="21"/>
      <c r="AQ491" s="21"/>
      <c r="AR491" s="5" t="s">
        <v>751</v>
      </c>
      <c r="AS491" s="5" t="s">
        <v>164</v>
      </c>
      <c r="AT491" s="5" t="s">
        <v>59</v>
      </c>
      <c r="AU491" s="20"/>
      <c r="AV491" s="21"/>
      <c r="AW491" s="21"/>
      <c r="AX491" s="21"/>
    </row>
    <row r="492" spans="1:50" s="55" customFormat="1">
      <c r="A492" s="86" t="s">
        <v>318</v>
      </c>
      <c r="B492" s="5">
        <v>15008335</v>
      </c>
      <c r="C492" s="5" t="s">
        <v>867</v>
      </c>
      <c r="D492" s="5" t="s">
        <v>321</v>
      </c>
      <c r="E492" s="5" t="s">
        <v>52</v>
      </c>
      <c r="F492" s="5" t="s">
        <v>62</v>
      </c>
      <c r="G492" s="5" t="s">
        <v>207</v>
      </c>
      <c r="H492" s="5" t="s">
        <v>753</v>
      </c>
      <c r="I492" s="6">
        <v>41365</v>
      </c>
      <c r="J492" s="5" t="s">
        <v>336</v>
      </c>
      <c r="K492" s="5" t="s">
        <v>792</v>
      </c>
      <c r="L492" s="5" t="s">
        <v>324</v>
      </c>
      <c r="M492" s="7">
        <v>6</v>
      </c>
      <c r="N492" s="7" t="s">
        <v>176</v>
      </c>
      <c r="O492" s="8">
        <v>5170</v>
      </c>
      <c r="P492" s="9">
        <v>0.02</v>
      </c>
      <c r="Q492" s="10">
        <f t="shared" si="92"/>
        <v>103</v>
      </c>
      <c r="R492" s="9">
        <v>5.0000000000000001E-3</v>
      </c>
      <c r="S492" s="10">
        <f t="shared" si="93"/>
        <v>26</v>
      </c>
      <c r="T492" s="9">
        <f t="shared" si="94"/>
        <v>2.4951644100580272E-2</v>
      </c>
      <c r="U492" s="10">
        <f t="shared" si="95"/>
        <v>129</v>
      </c>
      <c r="V492" s="10">
        <f t="shared" si="96"/>
        <v>5299</v>
      </c>
      <c r="W492" s="11">
        <f>VLOOKUP(B492,[1]调薪计算!A:M,12,0)</f>
        <v>5299.2499999999991</v>
      </c>
      <c r="X492" s="12">
        <f t="shared" si="97"/>
        <v>129.24999999999909</v>
      </c>
      <c r="Y492" s="13">
        <f t="shared" si="98"/>
        <v>2.5000000000000001E-2</v>
      </c>
      <c r="Z492" s="14" t="str">
        <f t="shared" si="99"/>
        <v>0.00%-8.40%</v>
      </c>
      <c r="AA492" s="15"/>
      <c r="AB492" s="15"/>
      <c r="AC492" s="15"/>
      <c r="AD492" s="16"/>
      <c r="AE492" s="8">
        <f t="shared" si="100"/>
        <v>0</v>
      </c>
      <c r="AF492" s="17">
        <f t="shared" si="101"/>
        <v>5299.2499999999991</v>
      </c>
      <c r="AG492" s="18">
        <f t="shared" si="102"/>
        <v>129.24999999999909</v>
      </c>
      <c r="AH492" s="19">
        <f t="shared" si="103"/>
        <v>2.4999999999999911E-2</v>
      </c>
      <c r="AI492" s="20">
        <v>13.6</v>
      </c>
      <c r="AJ492" s="20">
        <v>800</v>
      </c>
      <c r="AK492" s="20"/>
      <c r="AL492" s="20">
        <v>688</v>
      </c>
      <c r="AM492" s="20">
        <f t="shared" si="104"/>
        <v>82357.799999999988</v>
      </c>
      <c r="AN492" s="7" t="s">
        <v>176</v>
      </c>
      <c r="AO492" s="20"/>
      <c r="AP492" s="21"/>
      <c r="AQ492" s="21"/>
      <c r="AR492" s="5" t="s">
        <v>751</v>
      </c>
      <c r="AS492" s="5" t="s">
        <v>164</v>
      </c>
      <c r="AT492" s="5" t="s">
        <v>59</v>
      </c>
      <c r="AU492" s="20"/>
      <c r="AV492" s="21"/>
      <c r="AW492" s="21"/>
      <c r="AX492" s="21"/>
    </row>
    <row r="493" spans="1:50" s="55" customFormat="1">
      <c r="A493" s="86" t="s">
        <v>318</v>
      </c>
      <c r="B493" s="5">
        <v>15002465</v>
      </c>
      <c r="C493" s="5" t="s">
        <v>868</v>
      </c>
      <c r="D493" s="5" t="s">
        <v>321</v>
      </c>
      <c r="E493" s="5" t="s">
        <v>52</v>
      </c>
      <c r="F493" s="5" t="s">
        <v>62</v>
      </c>
      <c r="G493" s="5" t="s">
        <v>207</v>
      </c>
      <c r="H493" s="5" t="s">
        <v>753</v>
      </c>
      <c r="I493" s="6">
        <v>39973</v>
      </c>
      <c r="J493" s="5" t="s">
        <v>336</v>
      </c>
      <c r="K493" s="5" t="s">
        <v>511</v>
      </c>
      <c r="L493" s="5" t="s">
        <v>324</v>
      </c>
      <c r="M493" s="7">
        <v>6</v>
      </c>
      <c r="N493" s="7" t="s">
        <v>176</v>
      </c>
      <c r="O493" s="8">
        <v>6098</v>
      </c>
      <c r="P493" s="9">
        <v>0.02</v>
      </c>
      <c r="Q493" s="10">
        <f t="shared" si="92"/>
        <v>122</v>
      </c>
      <c r="R493" s="9">
        <v>5.0000000000000001E-3</v>
      </c>
      <c r="S493" s="10">
        <f t="shared" si="93"/>
        <v>30</v>
      </c>
      <c r="T493" s="9">
        <f t="shared" si="94"/>
        <v>2.4926205313217448E-2</v>
      </c>
      <c r="U493" s="10">
        <f t="shared" si="95"/>
        <v>152</v>
      </c>
      <c r="V493" s="10">
        <f t="shared" si="96"/>
        <v>6250</v>
      </c>
      <c r="W493" s="11">
        <f>VLOOKUP(B493,[1]调薪计算!A:M,12,0)</f>
        <v>6250.45</v>
      </c>
      <c r="X493" s="12">
        <f t="shared" si="97"/>
        <v>152.44999999999982</v>
      </c>
      <c r="Y493" s="13">
        <f t="shared" si="98"/>
        <v>2.5000000000000001E-2</v>
      </c>
      <c r="Z493" s="14" t="str">
        <f t="shared" si="99"/>
        <v>0.00%-8.40%</v>
      </c>
      <c r="AA493" s="15"/>
      <c r="AB493" s="15"/>
      <c r="AC493" s="15"/>
      <c r="AD493" s="16"/>
      <c r="AE493" s="8">
        <f t="shared" si="100"/>
        <v>0</v>
      </c>
      <c r="AF493" s="17">
        <f t="shared" si="101"/>
        <v>6250.45</v>
      </c>
      <c r="AG493" s="18">
        <f t="shared" si="102"/>
        <v>152.44999999999982</v>
      </c>
      <c r="AH493" s="19">
        <f t="shared" si="103"/>
        <v>2.4999999999999911E-2</v>
      </c>
      <c r="AI493" s="20">
        <v>13.6</v>
      </c>
      <c r="AJ493" s="20">
        <v>500</v>
      </c>
      <c r="AK493" s="20"/>
      <c r="AL493" s="20">
        <v>688</v>
      </c>
      <c r="AM493" s="20">
        <f t="shared" si="104"/>
        <v>91694.12</v>
      </c>
      <c r="AN493" s="7" t="s">
        <v>176</v>
      </c>
      <c r="AO493" s="20"/>
      <c r="AP493" s="21"/>
      <c r="AQ493" s="21"/>
      <c r="AR493" s="5" t="s">
        <v>751</v>
      </c>
      <c r="AS493" s="5" t="s">
        <v>164</v>
      </c>
      <c r="AT493" s="5" t="s">
        <v>59</v>
      </c>
      <c r="AU493" s="20"/>
      <c r="AV493" s="21"/>
      <c r="AW493" s="21"/>
      <c r="AX493" s="21"/>
    </row>
    <row r="494" spans="1:50" s="55" customFormat="1">
      <c r="A494" s="86" t="s">
        <v>318</v>
      </c>
      <c r="B494" s="5">
        <v>15018395</v>
      </c>
      <c r="C494" s="5" t="s">
        <v>869</v>
      </c>
      <c r="D494" s="5" t="s">
        <v>321</v>
      </c>
      <c r="E494" s="5" t="s">
        <v>52</v>
      </c>
      <c r="F494" s="5" t="s">
        <v>62</v>
      </c>
      <c r="G494" s="5" t="s">
        <v>207</v>
      </c>
      <c r="H494" s="5" t="s">
        <v>753</v>
      </c>
      <c r="I494" s="6">
        <v>43221</v>
      </c>
      <c r="J494" s="5" t="s">
        <v>336</v>
      </c>
      <c r="K494" s="5" t="s">
        <v>511</v>
      </c>
      <c r="L494" s="5" t="s">
        <v>324</v>
      </c>
      <c r="M494" s="7">
        <v>6</v>
      </c>
      <c r="N494" s="7" t="s">
        <v>176</v>
      </c>
      <c r="O494" s="8">
        <v>5147</v>
      </c>
      <c r="P494" s="9">
        <v>0.02</v>
      </c>
      <c r="Q494" s="10">
        <f t="shared" si="92"/>
        <v>103</v>
      </c>
      <c r="R494" s="9">
        <v>5.0000000000000001E-3</v>
      </c>
      <c r="S494" s="10">
        <f t="shared" si="93"/>
        <v>26</v>
      </c>
      <c r="T494" s="9">
        <f t="shared" si="94"/>
        <v>2.5063143578783757E-2</v>
      </c>
      <c r="U494" s="10">
        <f t="shared" si="95"/>
        <v>129</v>
      </c>
      <c r="V494" s="10">
        <f t="shared" si="96"/>
        <v>5276</v>
      </c>
      <c r="W494" s="11">
        <f>VLOOKUP(B494,[1]调薪计算!A:M,12,0)</f>
        <v>5147</v>
      </c>
      <c r="X494" s="12">
        <f t="shared" si="97"/>
        <v>0</v>
      </c>
      <c r="Y494" s="13">
        <f t="shared" si="98"/>
        <v>0</v>
      </c>
      <c r="Z494" s="14" t="str">
        <f t="shared" si="99"/>
        <v>0.00%-8.40%</v>
      </c>
      <c r="AA494" s="15"/>
      <c r="AB494" s="15"/>
      <c r="AC494" s="15"/>
      <c r="AD494" s="16"/>
      <c r="AE494" s="8">
        <f t="shared" si="100"/>
        <v>0</v>
      </c>
      <c r="AF494" s="17">
        <f t="shared" si="101"/>
        <v>5147</v>
      </c>
      <c r="AG494" s="18">
        <f t="shared" si="102"/>
        <v>0</v>
      </c>
      <c r="AH494" s="19">
        <f t="shared" si="103"/>
        <v>0</v>
      </c>
      <c r="AI494" s="20">
        <v>13.6</v>
      </c>
      <c r="AJ494" s="20">
        <v>500</v>
      </c>
      <c r="AK494" s="20"/>
      <c r="AL494" s="20">
        <v>688</v>
      </c>
      <c r="AM494" s="20">
        <f t="shared" si="104"/>
        <v>76687.199999999997</v>
      </c>
      <c r="AN494" s="7" t="s">
        <v>176</v>
      </c>
      <c r="AO494" s="20"/>
      <c r="AP494" s="21" t="s">
        <v>97</v>
      </c>
      <c r="AQ494" s="21" t="s">
        <v>97</v>
      </c>
      <c r="AR494" s="5" t="s">
        <v>751</v>
      </c>
      <c r="AS494" s="5" t="s">
        <v>164</v>
      </c>
      <c r="AT494" s="5" t="s">
        <v>59</v>
      </c>
      <c r="AU494" s="20"/>
      <c r="AV494" s="21"/>
      <c r="AW494" s="21"/>
      <c r="AX494" s="21"/>
    </row>
    <row r="495" spans="1:50" s="55" customFormat="1">
      <c r="A495" s="86" t="s">
        <v>318</v>
      </c>
      <c r="B495" s="5">
        <v>15014839</v>
      </c>
      <c r="C495" s="5" t="s">
        <v>870</v>
      </c>
      <c r="D495" s="5" t="s">
        <v>321</v>
      </c>
      <c r="E495" s="5" t="s">
        <v>52</v>
      </c>
      <c r="F495" s="5" t="s">
        <v>62</v>
      </c>
      <c r="G495" s="5" t="s">
        <v>207</v>
      </c>
      <c r="H495" s="5" t="s">
        <v>753</v>
      </c>
      <c r="I495" s="6">
        <v>42339</v>
      </c>
      <c r="J495" s="5" t="s">
        <v>336</v>
      </c>
      <c r="K495" s="5" t="s">
        <v>511</v>
      </c>
      <c r="L495" s="5" t="s">
        <v>324</v>
      </c>
      <c r="M495" s="7">
        <v>6</v>
      </c>
      <c r="N495" s="7" t="s">
        <v>176</v>
      </c>
      <c r="O495" s="8">
        <v>4795</v>
      </c>
      <c r="P495" s="9">
        <v>0.02</v>
      </c>
      <c r="Q495" s="10">
        <f t="shared" si="92"/>
        <v>96</v>
      </c>
      <c r="R495" s="9">
        <v>5.0000000000000001E-3</v>
      </c>
      <c r="S495" s="10">
        <f t="shared" si="93"/>
        <v>24</v>
      </c>
      <c r="T495" s="9">
        <f t="shared" si="94"/>
        <v>2.502606882168926E-2</v>
      </c>
      <c r="U495" s="10">
        <f t="shared" si="95"/>
        <v>120</v>
      </c>
      <c r="V495" s="10">
        <f t="shared" si="96"/>
        <v>4915</v>
      </c>
      <c r="W495" s="11">
        <f>VLOOKUP(B495,[1]调薪计算!A:M,12,0)</f>
        <v>4842.95</v>
      </c>
      <c r="X495" s="12">
        <f t="shared" si="97"/>
        <v>47.949999999999818</v>
      </c>
      <c r="Y495" s="13">
        <f t="shared" si="98"/>
        <v>0.01</v>
      </c>
      <c r="Z495" s="14" t="str">
        <f t="shared" si="99"/>
        <v>0.00%-8.40%</v>
      </c>
      <c r="AA495" s="15"/>
      <c r="AB495" s="15"/>
      <c r="AC495" s="15"/>
      <c r="AD495" s="16"/>
      <c r="AE495" s="8">
        <f t="shared" si="100"/>
        <v>0</v>
      </c>
      <c r="AF495" s="17">
        <f t="shared" si="101"/>
        <v>4842.95</v>
      </c>
      <c r="AG495" s="18">
        <f t="shared" si="102"/>
        <v>47.949999999999818</v>
      </c>
      <c r="AH495" s="19">
        <f t="shared" si="103"/>
        <v>1.0000000000000009E-2</v>
      </c>
      <c r="AI495" s="20">
        <v>13.6</v>
      </c>
      <c r="AJ495" s="20">
        <v>500</v>
      </c>
      <c r="AK495" s="20"/>
      <c r="AL495" s="20">
        <v>688</v>
      </c>
      <c r="AM495" s="20">
        <f t="shared" si="104"/>
        <v>72552.12</v>
      </c>
      <c r="AN495" s="7" t="s">
        <v>176</v>
      </c>
      <c r="AO495" s="20"/>
      <c r="AP495" s="21"/>
      <c r="AQ495" s="21"/>
      <c r="AR495" s="5" t="s">
        <v>751</v>
      </c>
      <c r="AS495" s="5" t="s">
        <v>164</v>
      </c>
      <c r="AT495" s="5" t="s">
        <v>59</v>
      </c>
      <c r="AU495" s="20"/>
      <c r="AV495" s="21"/>
      <c r="AW495" s="21"/>
      <c r="AX495" s="21"/>
    </row>
    <row r="496" spans="1:50" s="55" customFormat="1">
      <c r="A496" s="86" t="s">
        <v>318</v>
      </c>
      <c r="B496" s="5">
        <v>15016902</v>
      </c>
      <c r="C496" s="5" t="s">
        <v>871</v>
      </c>
      <c r="D496" s="5" t="s">
        <v>321</v>
      </c>
      <c r="E496" s="5" t="s">
        <v>52</v>
      </c>
      <c r="F496" s="5" t="s">
        <v>62</v>
      </c>
      <c r="G496" s="5" t="s">
        <v>207</v>
      </c>
      <c r="H496" s="5" t="s">
        <v>753</v>
      </c>
      <c r="I496" s="6">
        <v>42979</v>
      </c>
      <c r="J496" s="5" t="s">
        <v>336</v>
      </c>
      <c r="K496" s="5" t="s">
        <v>766</v>
      </c>
      <c r="L496" s="5" t="s">
        <v>324</v>
      </c>
      <c r="M496" s="7">
        <v>6</v>
      </c>
      <c r="N496" s="7" t="s">
        <v>176</v>
      </c>
      <c r="O496" s="8">
        <v>5744</v>
      </c>
      <c r="P496" s="9">
        <v>0.02</v>
      </c>
      <c r="Q496" s="10">
        <f t="shared" si="92"/>
        <v>115</v>
      </c>
      <c r="R496" s="9">
        <v>5.0000000000000001E-3</v>
      </c>
      <c r="S496" s="10">
        <f t="shared" si="93"/>
        <v>29</v>
      </c>
      <c r="T496" s="9">
        <f t="shared" si="94"/>
        <v>2.5069637883008356E-2</v>
      </c>
      <c r="U496" s="10">
        <f t="shared" si="95"/>
        <v>144</v>
      </c>
      <c r="V496" s="10">
        <f t="shared" si="96"/>
        <v>5888</v>
      </c>
      <c r="W496" s="11">
        <f>VLOOKUP(B496,[1]调薪计算!A:M,12,0)</f>
        <v>5801.44</v>
      </c>
      <c r="X496" s="12">
        <f t="shared" si="97"/>
        <v>57.4399999999996</v>
      </c>
      <c r="Y496" s="13">
        <f t="shared" si="98"/>
        <v>0.01</v>
      </c>
      <c r="Z496" s="14" t="str">
        <f t="shared" si="99"/>
        <v>0.00%-8.40%</v>
      </c>
      <c r="AA496" s="15"/>
      <c r="AB496" s="15"/>
      <c r="AC496" s="15"/>
      <c r="AD496" s="16"/>
      <c r="AE496" s="8">
        <f t="shared" si="100"/>
        <v>0</v>
      </c>
      <c r="AF496" s="17">
        <f t="shared" si="101"/>
        <v>5801.44</v>
      </c>
      <c r="AG496" s="18">
        <f t="shared" si="102"/>
        <v>57.4399999999996</v>
      </c>
      <c r="AH496" s="19">
        <f t="shared" si="103"/>
        <v>1.0000000000000009E-2</v>
      </c>
      <c r="AI496" s="20">
        <v>13.6</v>
      </c>
      <c r="AJ496" s="20">
        <v>500</v>
      </c>
      <c r="AK496" s="20"/>
      <c r="AL496" s="20">
        <v>688</v>
      </c>
      <c r="AM496" s="20">
        <f t="shared" si="104"/>
        <v>85587.583999999988</v>
      </c>
      <c r="AN496" s="7" t="s">
        <v>176</v>
      </c>
      <c r="AO496" s="20" t="s">
        <v>364</v>
      </c>
      <c r="AP496" s="21"/>
      <c r="AQ496" s="21"/>
      <c r="AR496" s="5" t="s">
        <v>751</v>
      </c>
      <c r="AS496" s="5" t="s">
        <v>164</v>
      </c>
      <c r="AT496" s="5" t="s">
        <v>59</v>
      </c>
      <c r="AU496" s="20"/>
      <c r="AV496" s="21"/>
      <c r="AW496" s="21"/>
      <c r="AX496" s="21"/>
    </row>
    <row r="497" spans="1:50" s="55" customFormat="1">
      <c r="A497" s="86" t="s">
        <v>318</v>
      </c>
      <c r="B497" s="5">
        <v>15016313</v>
      </c>
      <c r="C497" s="5" t="s">
        <v>872</v>
      </c>
      <c r="D497" s="5" t="s">
        <v>321</v>
      </c>
      <c r="E497" s="5" t="s">
        <v>52</v>
      </c>
      <c r="F497" s="5" t="s">
        <v>62</v>
      </c>
      <c r="G497" s="5" t="s">
        <v>207</v>
      </c>
      <c r="H497" s="5" t="s">
        <v>753</v>
      </c>
      <c r="I497" s="6">
        <v>42948</v>
      </c>
      <c r="J497" s="5" t="s">
        <v>336</v>
      </c>
      <c r="K497" s="5" t="s">
        <v>511</v>
      </c>
      <c r="L497" s="5" t="s">
        <v>324</v>
      </c>
      <c r="M497" s="7">
        <v>6</v>
      </c>
      <c r="N497" s="7" t="s">
        <v>176</v>
      </c>
      <c r="O497" s="8">
        <v>4755</v>
      </c>
      <c r="P497" s="9">
        <v>0.02</v>
      </c>
      <c r="Q497" s="10">
        <f t="shared" si="92"/>
        <v>95</v>
      </c>
      <c r="R497" s="9">
        <v>5.0000000000000001E-3</v>
      </c>
      <c r="S497" s="10">
        <f t="shared" si="93"/>
        <v>24</v>
      </c>
      <c r="T497" s="9">
        <f t="shared" si="94"/>
        <v>2.5026288117770766E-2</v>
      </c>
      <c r="U497" s="10">
        <f t="shared" si="95"/>
        <v>119</v>
      </c>
      <c r="V497" s="10">
        <f t="shared" si="96"/>
        <v>4874</v>
      </c>
      <c r="W497" s="11">
        <f>VLOOKUP(B497,[1]调薪计算!A:M,12,0)</f>
        <v>4873.875</v>
      </c>
      <c r="X497" s="12">
        <f t="shared" si="97"/>
        <v>118.875</v>
      </c>
      <c r="Y497" s="13">
        <f t="shared" si="98"/>
        <v>2.5000000000000001E-2</v>
      </c>
      <c r="Z497" s="14" t="str">
        <f t="shared" si="99"/>
        <v>0.00%-8.40%</v>
      </c>
      <c r="AA497" s="15"/>
      <c r="AB497" s="15"/>
      <c r="AC497" s="15"/>
      <c r="AD497" s="16"/>
      <c r="AE497" s="8">
        <f t="shared" si="100"/>
        <v>0</v>
      </c>
      <c r="AF497" s="17">
        <f t="shared" si="101"/>
        <v>4873.875</v>
      </c>
      <c r="AG497" s="18">
        <f t="shared" si="102"/>
        <v>118.875</v>
      </c>
      <c r="AH497" s="19">
        <f t="shared" si="103"/>
        <v>2.4999999999999911E-2</v>
      </c>
      <c r="AI497" s="20">
        <v>13.6</v>
      </c>
      <c r="AJ497" s="20">
        <v>500</v>
      </c>
      <c r="AK497" s="20"/>
      <c r="AL497" s="20">
        <v>688</v>
      </c>
      <c r="AM497" s="20">
        <f t="shared" si="104"/>
        <v>72972.7</v>
      </c>
      <c r="AN497" s="7" t="s">
        <v>176</v>
      </c>
      <c r="AO497" s="20"/>
      <c r="AP497" s="21"/>
      <c r="AQ497" s="21"/>
      <c r="AR497" s="5" t="s">
        <v>751</v>
      </c>
      <c r="AS497" s="5" t="s">
        <v>164</v>
      </c>
      <c r="AT497" s="5" t="s">
        <v>59</v>
      </c>
      <c r="AU497" s="20"/>
      <c r="AV497" s="21"/>
      <c r="AW497" s="21"/>
      <c r="AX497" s="21"/>
    </row>
    <row r="498" spans="1:50" s="55" customFormat="1">
      <c r="A498" s="86" t="s">
        <v>318</v>
      </c>
      <c r="B498" s="5">
        <v>15005428</v>
      </c>
      <c r="C498" s="5" t="s">
        <v>873</v>
      </c>
      <c r="D498" s="5" t="s">
        <v>321</v>
      </c>
      <c r="E498" s="5" t="s">
        <v>52</v>
      </c>
      <c r="F498" s="5" t="s">
        <v>62</v>
      </c>
      <c r="G498" s="5" t="s">
        <v>207</v>
      </c>
      <c r="H498" s="5" t="s">
        <v>753</v>
      </c>
      <c r="I498" s="6">
        <v>40817</v>
      </c>
      <c r="J498" s="5" t="s">
        <v>336</v>
      </c>
      <c r="K498" s="5" t="s">
        <v>511</v>
      </c>
      <c r="L498" s="5" t="s">
        <v>324</v>
      </c>
      <c r="M498" s="7">
        <v>6</v>
      </c>
      <c r="N498" s="7" t="s">
        <v>176</v>
      </c>
      <c r="O498" s="8">
        <v>5440</v>
      </c>
      <c r="P498" s="9">
        <v>0.02</v>
      </c>
      <c r="Q498" s="10">
        <f t="shared" si="92"/>
        <v>109</v>
      </c>
      <c r="R498" s="9">
        <v>5.0000000000000001E-3</v>
      </c>
      <c r="S498" s="10">
        <f t="shared" si="93"/>
        <v>27</v>
      </c>
      <c r="T498" s="9">
        <f t="shared" si="94"/>
        <v>2.5000000000000001E-2</v>
      </c>
      <c r="U498" s="10">
        <f t="shared" si="95"/>
        <v>136</v>
      </c>
      <c r="V498" s="10">
        <f t="shared" si="96"/>
        <v>5576</v>
      </c>
      <c r="W498" s="11">
        <f>VLOOKUP(B498,[1]调薪计算!A:M,12,0)</f>
        <v>5575.9999999999991</v>
      </c>
      <c r="X498" s="12">
        <f t="shared" si="97"/>
        <v>135.99999999999909</v>
      </c>
      <c r="Y498" s="13">
        <f t="shared" si="98"/>
        <v>2.5000000000000001E-2</v>
      </c>
      <c r="Z498" s="14" t="str">
        <f t="shared" si="99"/>
        <v>0.00%-8.40%</v>
      </c>
      <c r="AA498" s="15"/>
      <c r="AB498" s="15"/>
      <c r="AC498" s="15"/>
      <c r="AD498" s="16"/>
      <c r="AE498" s="8">
        <f t="shared" si="100"/>
        <v>0</v>
      </c>
      <c r="AF498" s="17">
        <f t="shared" si="101"/>
        <v>5575.9999999999991</v>
      </c>
      <c r="AG498" s="18">
        <f t="shared" si="102"/>
        <v>135.99999999999909</v>
      </c>
      <c r="AH498" s="19">
        <f t="shared" si="103"/>
        <v>2.4999999999999911E-2</v>
      </c>
      <c r="AI498" s="20">
        <v>13.6</v>
      </c>
      <c r="AJ498" s="20">
        <v>500</v>
      </c>
      <c r="AK498" s="20"/>
      <c r="AL498" s="20">
        <v>688</v>
      </c>
      <c r="AM498" s="20">
        <f t="shared" si="104"/>
        <v>82521.599999999991</v>
      </c>
      <c r="AN498" s="7" t="s">
        <v>176</v>
      </c>
      <c r="AO498" s="20"/>
      <c r="AP498" s="21"/>
      <c r="AQ498" s="21"/>
      <c r="AR498" s="5" t="s">
        <v>751</v>
      </c>
      <c r="AS498" s="5" t="s">
        <v>164</v>
      </c>
      <c r="AT498" s="5" t="s">
        <v>59</v>
      </c>
      <c r="AU498" s="20"/>
      <c r="AV498" s="21"/>
      <c r="AW498" s="21"/>
      <c r="AX498" s="21"/>
    </row>
    <row r="499" spans="1:50" s="55" customFormat="1">
      <c r="A499" s="86" t="s">
        <v>318</v>
      </c>
      <c r="B499" s="5">
        <v>15013795</v>
      </c>
      <c r="C499" s="5" t="s">
        <v>874</v>
      </c>
      <c r="D499" s="5" t="s">
        <v>321</v>
      </c>
      <c r="E499" s="5" t="s">
        <v>52</v>
      </c>
      <c r="F499" s="5" t="s">
        <v>62</v>
      </c>
      <c r="G499" s="5" t="s">
        <v>207</v>
      </c>
      <c r="H499" s="5" t="s">
        <v>753</v>
      </c>
      <c r="I499" s="6">
        <v>42125</v>
      </c>
      <c r="J499" s="5" t="s">
        <v>336</v>
      </c>
      <c r="K499" s="5" t="s">
        <v>792</v>
      </c>
      <c r="L499" s="5" t="s">
        <v>324</v>
      </c>
      <c r="M499" s="7">
        <v>6</v>
      </c>
      <c r="N499" s="7" t="s">
        <v>176</v>
      </c>
      <c r="O499" s="8">
        <v>5804</v>
      </c>
      <c r="P499" s="9">
        <v>0.02</v>
      </c>
      <c r="Q499" s="10">
        <f t="shared" si="92"/>
        <v>116</v>
      </c>
      <c r="R499" s="9">
        <v>5.0000000000000001E-3</v>
      </c>
      <c r="S499" s="10">
        <f t="shared" si="93"/>
        <v>29</v>
      </c>
      <c r="T499" s="9">
        <f t="shared" si="94"/>
        <v>2.4982770503101309E-2</v>
      </c>
      <c r="U499" s="10">
        <f t="shared" si="95"/>
        <v>145</v>
      </c>
      <c r="V499" s="10">
        <f t="shared" si="96"/>
        <v>5949</v>
      </c>
      <c r="W499" s="11">
        <f>VLOOKUP(B499,[1]调薪计算!A:M,12,0)</f>
        <v>5949.0999999999995</v>
      </c>
      <c r="X499" s="12">
        <f t="shared" si="97"/>
        <v>145.09999999999945</v>
      </c>
      <c r="Y499" s="13">
        <f t="shared" si="98"/>
        <v>2.5000000000000001E-2</v>
      </c>
      <c r="Z499" s="14" t="str">
        <f t="shared" si="99"/>
        <v>0.00%-8.40%</v>
      </c>
      <c r="AA499" s="15"/>
      <c r="AB499" s="15"/>
      <c r="AC499" s="15"/>
      <c r="AD499" s="16"/>
      <c r="AE499" s="8">
        <f t="shared" si="100"/>
        <v>0</v>
      </c>
      <c r="AF499" s="17">
        <f t="shared" si="101"/>
        <v>5949.0999999999995</v>
      </c>
      <c r="AG499" s="18">
        <f t="shared" si="102"/>
        <v>145.09999999999945</v>
      </c>
      <c r="AH499" s="19">
        <f t="shared" si="103"/>
        <v>2.4999999999999911E-2</v>
      </c>
      <c r="AI499" s="20">
        <v>13.6</v>
      </c>
      <c r="AJ499" s="20">
        <v>800</v>
      </c>
      <c r="AK499" s="20"/>
      <c r="AL499" s="20">
        <v>688</v>
      </c>
      <c r="AM499" s="20">
        <f t="shared" si="104"/>
        <v>91195.76</v>
      </c>
      <c r="AN499" s="7" t="s">
        <v>176</v>
      </c>
      <c r="AO499" s="20"/>
      <c r="AP499" s="21"/>
      <c r="AQ499" s="21"/>
      <c r="AR499" s="5" t="s">
        <v>751</v>
      </c>
      <c r="AS499" s="5" t="s">
        <v>164</v>
      </c>
      <c r="AT499" s="5" t="s">
        <v>59</v>
      </c>
      <c r="AU499" s="20"/>
      <c r="AV499" s="21"/>
      <c r="AW499" s="21"/>
      <c r="AX499" s="21"/>
    </row>
    <row r="500" spans="1:50" s="55" customFormat="1">
      <c r="A500" s="86" t="s">
        <v>318</v>
      </c>
      <c r="B500" s="5">
        <v>15014128</v>
      </c>
      <c r="C500" s="5" t="s">
        <v>875</v>
      </c>
      <c r="D500" s="5" t="s">
        <v>321</v>
      </c>
      <c r="E500" s="5" t="s">
        <v>52</v>
      </c>
      <c r="F500" s="5" t="s">
        <v>62</v>
      </c>
      <c r="G500" s="5" t="s">
        <v>207</v>
      </c>
      <c r="H500" s="5" t="s">
        <v>750</v>
      </c>
      <c r="I500" s="6">
        <v>42186</v>
      </c>
      <c r="J500" s="5" t="s">
        <v>336</v>
      </c>
      <c r="K500" s="5" t="s">
        <v>336</v>
      </c>
      <c r="L500" s="5" t="s">
        <v>324</v>
      </c>
      <c r="M500" s="7">
        <v>6</v>
      </c>
      <c r="N500" s="7" t="s">
        <v>176</v>
      </c>
      <c r="O500" s="8">
        <v>4840</v>
      </c>
      <c r="P500" s="9">
        <v>0.02</v>
      </c>
      <c r="Q500" s="10">
        <f t="shared" si="92"/>
        <v>97</v>
      </c>
      <c r="R500" s="9">
        <v>5.0000000000000001E-3</v>
      </c>
      <c r="S500" s="10">
        <f t="shared" si="93"/>
        <v>24</v>
      </c>
      <c r="T500" s="9">
        <f t="shared" si="94"/>
        <v>2.5000000000000001E-2</v>
      </c>
      <c r="U500" s="10">
        <f t="shared" si="95"/>
        <v>121</v>
      </c>
      <c r="V500" s="10">
        <f t="shared" si="96"/>
        <v>4961</v>
      </c>
      <c r="W500" s="11">
        <f>VLOOKUP(B500,[1]调薪计算!A:M,12,0)</f>
        <v>4888.3999999999996</v>
      </c>
      <c r="X500" s="12">
        <f t="shared" si="97"/>
        <v>48.399999999999636</v>
      </c>
      <c r="Y500" s="13">
        <f t="shared" si="98"/>
        <v>0.01</v>
      </c>
      <c r="Z500" s="14" t="str">
        <f t="shared" si="99"/>
        <v>0.00%-8.40%</v>
      </c>
      <c r="AA500" s="15"/>
      <c r="AB500" s="15"/>
      <c r="AC500" s="15"/>
      <c r="AD500" s="16"/>
      <c r="AE500" s="8">
        <f t="shared" si="100"/>
        <v>0</v>
      </c>
      <c r="AF500" s="17">
        <f t="shared" si="101"/>
        <v>4888.3999999999996</v>
      </c>
      <c r="AG500" s="18">
        <f t="shared" si="102"/>
        <v>48.399999999999636</v>
      </c>
      <c r="AH500" s="19">
        <f t="shared" si="103"/>
        <v>1.0000000000000009E-2</v>
      </c>
      <c r="AI500" s="20">
        <v>13.6</v>
      </c>
      <c r="AJ500" s="20">
        <v>450</v>
      </c>
      <c r="AK500" s="20"/>
      <c r="AL500" s="20">
        <v>688</v>
      </c>
      <c r="AM500" s="20">
        <f t="shared" si="104"/>
        <v>72570.239999999991</v>
      </c>
      <c r="AN500" s="7" t="s">
        <v>176</v>
      </c>
      <c r="AO500" s="20"/>
      <c r="AP500" s="21"/>
      <c r="AQ500" s="21"/>
      <c r="AR500" s="5" t="s">
        <v>751</v>
      </c>
      <c r="AS500" s="5" t="s">
        <v>164</v>
      </c>
      <c r="AT500" s="5" t="s">
        <v>59</v>
      </c>
      <c r="AU500" s="20"/>
      <c r="AV500" s="21"/>
      <c r="AW500" s="21"/>
      <c r="AX500" s="21"/>
    </row>
    <row r="501" spans="1:50" s="55" customFormat="1">
      <c r="A501" s="86" t="s">
        <v>318</v>
      </c>
      <c r="B501" s="5">
        <v>15017390</v>
      </c>
      <c r="C501" s="5" t="s">
        <v>876</v>
      </c>
      <c r="D501" s="5" t="s">
        <v>321</v>
      </c>
      <c r="E501" s="5" t="s">
        <v>52</v>
      </c>
      <c r="F501" s="5" t="s">
        <v>62</v>
      </c>
      <c r="G501" s="5" t="s">
        <v>207</v>
      </c>
      <c r="H501" s="5" t="s">
        <v>753</v>
      </c>
      <c r="I501" s="6">
        <v>42979</v>
      </c>
      <c r="J501" s="5" t="s">
        <v>336</v>
      </c>
      <c r="K501" s="5" t="s">
        <v>511</v>
      </c>
      <c r="L501" s="5" t="s">
        <v>324</v>
      </c>
      <c r="M501" s="7">
        <v>6</v>
      </c>
      <c r="N501" s="7" t="s">
        <v>176</v>
      </c>
      <c r="O501" s="8">
        <v>4996</v>
      </c>
      <c r="P501" s="9">
        <v>0.02</v>
      </c>
      <c r="Q501" s="10">
        <f t="shared" si="92"/>
        <v>100</v>
      </c>
      <c r="R501" s="9">
        <v>5.0000000000000001E-3</v>
      </c>
      <c r="S501" s="10">
        <f t="shared" si="93"/>
        <v>25</v>
      </c>
      <c r="T501" s="9">
        <f t="shared" si="94"/>
        <v>2.5020016012810248E-2</v>
      </c>
      <c r="U501" s="10">
        <f t="shared" si="95"/>
        <v>125</v>
      </c>
      <c r="V501" s="10">
        <f t="shared" si="96"/>
        <v>5121</v>
      </c>
      <c r="W501" s="11">
        <f>VLOOKUP(B501,[1]调薪计算!A:M,12,0)</f>
        <v>5120.8999999999996</v>
      </c>
      <c r="X501" s="12">
        <f t="shared" si="97"/>
        <v>124.89999999999964</v>
      </c>
      <c r="Y501" s="13">
        <f t="shared" si="98"/>
        <v>2.5000000000000001E-2</v>
      </c>
      <c r="Z501" s="14" t="str">
        <f t="shared" si="99"/>
        <v>0.00%-8.40%</v>
      </c>
      <c r="AA501" s="15"/>
      <c r="AB501" s="15"/>
      <c r="AC501" s="15"/>
      <c r="AD501" s="16"/>
      <c r="AE501" s="8">
        <f t="shared" si="100"/>
        <v>0</v>
      </c>
      <c r="AF501" s="17">
        <f t="shared" si="101"/>
        <v>5120.8999999999996</v>
      </c>
      <c r="AG501" s="18">
        <f t="shared" si="102"/>
        <v>124.89999999999964</v>
      </c>
      <c r="AH501" s="19">
        <f t="shared" si="103"/>
        <v>2.4999999999999911E-2</v>
      </c>
      <c r="AI501" s="20">
        <v>13.6</v>
      </c>
      <c r="AJ501" s="20">
        <v>500</v>
      </c>
      <c r="AK501" s="20"/>
      <c r="AL501" s="20">
        <v>688</v>
      </c>
      <c r="AM501" s="20">
        <f t="shared" si="104"/>
        <v>76332.239999999991</v>
      </c>
      <c r="AN501" s="7" t="s">
        <v>176</v>
      </c>
      <c r="AO501" s="20"/>
      <c r="AP501" s="21"/>
      <c r="AQ501" s="21"/>
      <c r="AR501" s="5" t="s">
        <v>751</v>
      </c>
      <c r="AS501" s="5" t="s">
        <v>164</v>
      </c>
      <c r="AT501" s="5" t="s">
        <v>59</v>
      </c>
      <c r="AU501" s="20"/>
      <c r="AV501" s="21"/>
      <c r="AW501" s="21"/>
      <c r="AX501" s="21"/>
    </row>
    <row r="502" spans="1:50" s="55" customFormat="1">
      <c r="A502" s="86" t="s">
        <v>318</v>
      </c>
      <c r="B502" s="5">
        <v>15016411</v>
      </c>
      <c r="C502" s="5" t="s">
        <v>877</v>
      </c>
      <c r="D502" s="5" t="s">
        <v>321</v>
      </c>
      <c r="E502" s="5" t="s">
        <v>52</v>
      </c>
      <c r="F502" s="5" t="s">
        <v>62</v>
      </c>
      <c r="G502" s="5" t="s">
        <v>207</v>
      </c>
      <c r="H502" s="5" t="s">
        <v>753</v>
      </c>
      <c r="I502" s="6">
        <v>42948</v>
      </c>
      <c r="J502" s="5" t="s">
        <v>336</v>
      </c>
      <c r="K502" s="5" t="s">
        <v>511</v>
      </c>
      <c r="L502" s="5" t="s">
        <v>324</v>
      </c>
      <c r="M502" s="7">
        <v>6</v>
      </c>
      <c r="N502" s="7" t="s">
        <v>176</v>
      </c>
      <c r="O502" s="8">
        <v>4611</v>
      </c>
      <c r="P502" s="9">
        <v>0.02</v>
      </c>
      <c r="Q502" s="10">
        <f t="shared" si="92"/>
        <v>92</v>
      </c>
      <c r="R502" s="9">
        <v>5.0000000000000001E-3</v>
      </c>
      <c r="S502" s="10">
        <f t="shared" si="93"/>
        <v>23</v>
      </c>
      <c r="T502" s="9">
        <f t="shared" si="94"/>
        <v>2.4940360008674906E-2</v>
      </c>
      <c r="U502" s="10">
        <f t="shared" si="95"/>
        <v>115</v>
      </c>
      <c r="V502" s="10">
        <f t="shared" si="96"/>
        <v>4726</v>
      </c>
      <c r="W502" s="11">
        <f>VLOOKUP(B502,[1]调薪计算!A:M,12,0)</f>
        <v>4657.1099999999997</v>
      </c>
      <c r="X502" s="12">
        <f t="shared" si="97"/>
        <v>46.109999999999673</v>
      </c>
      <c r="Y502" s="13">
        <f t="shared" si="98"/>
        <v>0.01</v>
      </c>
      <c r="Z502" s="14" t="str">
        <f t="shared" si="99"/>
        <v>0.00%-8.40%</v>
      </c>
      <c r="AA502" s="15"/>
      <c r="AB502" s="15"/>
      <c r="AC502" s="15"/>
      <c r="AD502" s="16"/>
      <c r="AE502" s="8">
        <f t="shared" si="100"/>
        <v>0</v>
      </c>
      <c r="AF502" s="17">
        <f t="shared" si="101"/>
        <v>4657.1099999999997</v>
      </c>
      <c r="AG502" s="18">
        <f t="shared" si="102"/>
        <v>46.109999999999673</v>
      </c>
      <c r="AH502" s="19">
        <f t="shared" si="103"/>
        <v>1.0000000000000009E-2</v>
      </c>
      <c r="AI502" s="20">
        <v>13.6</v>
      </c>
      <c r="AJ502" s="20">
        <v>500</v>
      </c>
      <c r="AK502" s="20"/>
      <c r="AL502" s="20">
        <v>688</v>
      </c>
      <c r="AM502" s="20">
        <f t="shared" si="104"/>
        <v>70024.695999999996</v>
      </c>
      <c r="AN502" s="7" t="s">
        <v>176</v>
      </c>
      <c r="AO502" s="20"/>
      <c r="AP502" s="21"/>
      <c r="AQ502" s="21"/>
      <c r="AR502" s="5" t="s">
        <v>751</v>
      </c>
      <c r="AS502" s="5" t="s">
        <v>164</v>
      </c>
      <c r="AT502" s="5" t="s">
        <v>59</v>
      </c>
      <c r="AU502" s="20"/>
      <c r="AV502" s="21"/>
      <c r="AW502" s="21"/>
      <c r="AX502" s="21"/>
    </row>
    <row r="503" spans="1:50" s="55" customFormat="1">
      <c r="A503" s="86" t="s">
        <v>318</v>
      </c>
      <c r="B503" s="5">
        <v>15003305</v>
      </c>
      <c r="C503" s="5" t="s">
        <v>878</v>
      </c>
      <c r="D503" s="5" t="s">
        <v>321</v>
      </c>
      <c r="E503" s="5" t="s">
        <v>52</v>
      </c>
      <c r="F503" s="5" t="s">
        <v>62</v>
      </c>
      <c r="G503" s="5" t="s">
        <v>207</v>
      </c>
      <c r="H503" s="5" t="s">
        <v>753</v>
      </c>
      <c r="I503" s="6">
        <v>40330</v>
      </c>
      <c r="J503" s="5" t="s">
        <v>336</v>
      </c>
      <c r="K503" s="5" t="s">
        <v>511</v>
      </c>
      <c r="L503" s="5" t="s">
        <v>324</v>
      </c>
      <c r="M503" s="7">
        <v>6</v>
      </c>
      <c r="N503" s="7" t="s">
        <v>176</v>
      </c>
      <c r="O503" s="8">
        <v>5821</v>
      </c>
      <c r="P503" s="9">
        <v>0.02</v>
      </c>
      <c r="Q503" s="10">
        <f t="shared" si="92"/>
        <v>116</v>
      </c>
      <c r="R503" s="9">
        <v>5.0000000000000001E-3</v>
      </c>
      <c r="S503" s="10">
        <f t="shared" si="93"/>
        <v>29</v>
      </c>
      <c r="T503" s="9">
        <f t="shared" si="94"/>
        <v>2.4909809311114927E-2</v>
      </c>
      <c r="U503" s="10">
        <f t="shared" si="95"/>
        <v>145</v>
      </c>
      <c r="V503" s="10">
        <f t="shared" si="96"/>
        <v>5966</v>
      </c>
      <c r="W503" s="11">
        <f>VLOOKUP(B503,[1]调薪计算!A:M,12,0)</f>
        <v>5966.5249999999996</v>
      </c>
      <c r="X503" s="12">
        <f t="shared" si="97"/>
        <v>145.52499999999964</v>
      </c>
      <c r="Y503" s="13">
        <f t="shared" si="98"/>
        <v>2.5000000000000001E-2</v>
      </c>
      <c r="Z503" s="14" t="str">
        <f t="shared" si="99"/>
        <v>0.00%-8.40%</v>
      </c>
      <c r="AA503" s="15"/>
      <c r="AB503" s="15"/>
      <c r="AC503" s="15"/>
      <c r="AD503" s="16"/>
      <c r="AE503" s="8">
        <f t="shared" si="100"/>
        <v>0</v>
      </c>
      <c r="AF503" s="17">
        <f t="shared" si="101"/>
        <v>5966.5249999999996</v>
      </c>
      <c r="AG503" s="18">
        <f t="shared" si="102"/>
        <v>145.52499999999964</v>
      </c>
      <c r="AH503" s="19">
        <f t="shared" si="103"/>
        <v>2.4999999999999911E-2</v>
      </c>
      <c r="AI503" s="20">
        <v>13.6</v>
      </c>
      <c r="AJ503" s="20">
        <v>500</v>
      </c>
      <c r="AK503" s="20"/>
      <c r="AL503" s="20">
        <v>688</v>
      </c>
      <c r="AM503" s="20">
        <f t="shared" si="104"/>
        <v>87832.739999999991</v>
      </c>
      <c r="AN503" s="7" t="s">
        <v>176</v>
      </c>
      <c r="AO503" s="20"/>
      <c r="AP503" s="21"/>
      <c r="AQ503" s="21"/>
      <c r="AR503" s="5" t="s">
        <v>751</v>
      </c>
      <c r="AS503" s="5" t="s">
        <v>164</v>
      </c>
      <c r="AT503" s="5" t="s">
        <v>59</v>
      </c>
      <c r="AU503" s="20"/>
      <c r="AV503" s="21"/>
      <c r="AW503" s="21"/>
      <c r="AX503" s="21"/>
    </row>
    <row r="504" spans="1:50" s="55" customFormat="1">
      <c r="A504" s="86" t="s">
        <v>318</v>
      </c>
      <c r="B504" s="5">
        <v>15009535</v>
      </c>
      <c r="C504" s="5" t="s">
        <v>879</v>
      </c>
      <c r="D504" s="5" t="s">
        <v>321</v>
      </c>
      <c r="E504" s="5" t="s">
        <v>52</v>
      </c>
      <c r="F504" s="5" t="s">
        <v>62</v>
      </c>
      <c r="G504" s="5" t="s">
        <v>207</v>
      </c>
      <c r="H504" s="5" t="s">
        <v>753</v>
      </c>
      <c r="I504" s="6">
        <v>41518</v>
      </c>
      <c r="J504" s="5" t="s">
        <v>336</v>
      </c>
      <c r="K504" s="5" t="s">
        <v>511</v>
      </c>
      <c r="L504" s="5" t="s">
        <v>324</v>
      </c>
      <c r="M504" s="7">
        <v>6</v>
      </c>
      <c r="N504" s="7" t="s">
        <v>176</v>
      </c>
      <c r="O504" s="8">
        <v>5740</v>
      </c>
      <c r="P504" s="9">
        <v>0.02</v>
      </c>
      <c r="Q504" s="10">
        <f t="shared" si="92"/>
        <v>115</v>
      </c>
      <c r="R504" s="9">
        <v>5.0000000000000001E-3</v>
      </c>
      <c r="S504" s="10">
        <f t="shared" si="93"/>
        <v>29</v>
      </c>
      <c r="T504" s="9">
        <f t="shared" si="94"/>
        <v>2.5087108013937282E-2</v>
      </c>
      <c r="U504" s="10">
        <f t="shared" si="95"/>
        <v>144</v>
      </c>
      <c r="V504" s="10">
        <f t="shared" si="96"/>
        <v>5884</v>
      </c>
      <c r="W504" s="11">
        <f>VLOOKUP(B504,[1]调薪计算!A:M,12,0)</f>
        <v>5883.4999999999991</v>
      </c>
      <c r="X504" s="12">
        <f t="shared" si="97"/>
        <v>143.49999999999909</v>
      </c>
      <c r="Y504" s="13">
        <f t="shared" si="98"/>
        <v>2.5000000000000001E-2</v>
      </c>
      <c r="Z504" s="14" t="str">
        <f t="shared" si="99"/>
        <v>0.00%-8.40%</v>
      </c>
      <c r="AA504" s="15"/>
      <c r="AB504" s="15"/>
      <c r="AC504" s="15"/>
      <c r="AD504" s="16"/>
      <c r="AE504" s="8">
        <f t="shared" si="100"/>
        <v>0</v>
      </c>
      <c r="AF504" s="17">
        <f t="shared" si="101"/>
        <v>5883.4999999999991</v>
      </c>
      <c r="AG504" s="18">
        <f t="shared" si="102"/>
        <v>143.49999999999909</v>
      </c>
      <c r="AH504" s="19">
        <f t="shared" si="103"/>
        <v>2.4999999999999911E-2</v>
      </c>
      <c r="AI504" s="20">
        <v>13.6</v>
      </c>
      <c r="AJ504" s="20">
        <v>500</v>
      </c>
      <c r="AK504" s="20"/>
      <c r="AL504" s="20">
        <v>688</v>
      </c>
      <c r="AM504" s="20">
        <f t="shared" si="104"/>
        <v>86703.599999999991</v>
      </c>
      <c r="AN504" s="7" t="s">
        <v>176</v>
      </c>
      <c r="AO504" s="20"/>
      <c r="AP504" s="21"/>
      <c r="AQ504" s="21"/>
      <c r="AR504" s="5" t="s">
        <v>751</v>
      </c>
      <c r="AS504" s="5" t="s">
        <v>164</v>
      </c>
      <c r="AT504" s="5" t="s">
        <v>59</v>
      </c>
      <c r="AU504" s="20"/>
      <c r="AV504" s="21"/>
      <c r="AW504" s="21"/>
      <c r="AX504" s="21"/>
    </row>
    <row r="505" spans="1:50" s="55" customFormat="1">
      <c r="A505" s="86" t="s">
        <v>318</v>
      </c>
      <c r="B505" s="5">
        <v>15012756</v>
      </c>
      <c r="C505" s="5" t="s">
        <v>880</v>
      </c>
      <c r="D505" s="5" t="s">
        <v>321</v>
      </c>
      <c r="E505" s="5" t="s">
        <v>52</v>
      </c>
      <c r="F505" s="5" t="s">
        <v>62</v>
      </c>
      <c r="G505" s="5" t="s">
        <v>207</v>
      </c>
      <c r="H505" s="5" t="s">
        <v>753</v>
      </c>
      <c r="I505" s="6">
        <v>41852</v>
      </c>
      <c r="J505" s="5" t="s">
        <v>336</v>
      </c>
      <c r="K505" s="5" t="s">
        <v>511</v>
      </c>
      <c r="L505" s="5" t="s">
        <v>324</v>
      </c>
      <c r="M505" s="7">
        <v>6</v>
      </c>
      <c r="N505" s="7" t="s">
        <v>176</v>
      </c>
      <c r="O505" s="8">
        <v>5547</v>
      </c>
      <c r="P505" s="9">
        <v>0.02</v>
      </c>
      <c r="Q505" s="10">
        <f t="shared" si="92"/>
        <v>111</v>
      </c>
      <c r="R505" s="9">
        <v>5.0000000000000001E-3</v>
      </c>
      <c r="S505" s="10">
        <f t="shared" si="93"/>
        <v>28</v>
      </c>
      <c r="T505" s="9">
        <f t="shared" si="94"/>
        <v>2.5058590228952588E-2</v>
      </c>
      <c r="U505" s="10">
        <f t="shared" si="95"/>
        <v>139</v>
      </c>
      <c r="V505" s="10">
        <f t="shared" si="96"/>
        <v>5686</v>
      </c>
      <c r="W505" s="11">
        <f>VLOOKUP(B505,[1]调薪计算!A:M,12,0)</f>
        <v>5602.47</v>
      </c>
      <c r="X505" s="12">
        <f t="shared" si="97"/>
        <v>55.470000000000255</v>
      </c>
      <c r="Y505" s="13">
        <f t="shared" si="98"/>
        <v>0.01</v>
      </c>
      <c r="Z505" s="14" t="str">
        <f t="shared" si="99"/>
        <v>0.00%-8.40%</v>
      </c>
      <c r="AA505" s="15"/>
      <c r="AB505" s="15"/>
      <c r="AC505" s="15"/>
      <c r="AD505" s="16"/>
      <c r="AE505" s="8">
        <f t="shared" si="100"/>
        <v>0</v>
      </c>
      <c r="AF505" s="17">
        <f t="shared" si="101"/>
        <v>5602.47</v>
      </c>
      <c r="AG505" s="18">
        <f t="shared" si="102"/>
        <v>55.470000000000255</v>
      </c>
      <c r="AH505" s="19">
        <f t="shared" si="103"/>
        <v>1.0000000000000009E-2</v>
      </c>
      <c r="AI505" s="20">
        <v>13.6</v>
      </c>
      <c r="AJ505" s="20">
        <v>500</v>
      </c>
      <c r="AK505" s="20"/>
      <c r="AL505" s="20">
        <v>688</v>
      </c>
      <c r="AM505" s="20">
        <f t="shared" si="104"/>
        <v>82881.592000000004</v>
      </c>
      <c r="AN505" s="7" t="s">
        <v>176</v>
      </c>
      <c r="AO505" s="20"/>
      <c r="AP505" s="21"/>
      <c r="AQ505" s="21"/>
      <c r="AR505" s="5" t="s">
        <v>751</v>
      </c>
      <c r="AS505" s="5" t="s">
        <v>164</v>
      </c>
      <c r="AT505" s="5" t="s">
        <v>59</v>
      </c>
      <c r="AU505" s="20"/>
      <c r="AV505" s="21"/>
      <c r="AW505" s="21"/>
      <c r="AX505" s="21"/>
    </row>
    <row r="506" spans="1:50" s="55" customFormat="1">
      <c r="A506" s="86" t="s">
        <v>318</v>
      </c>
      <c r="B506" s="5">
        <v>15013023</v>
      </c>
      <c r="C506" s="5" t="s">
        <v>881</v>
      </c>
      <c r="D506" s="5" t="s">
        <v>321</v>
      </c>
      <c r="E506" s="5" t="s">
        <v>52</v>
      </c>
      <c r="F506" s="5" t="s">
        <v>62</v>
      </c>
      <c r="G506" s="5" t="s">
        <v>207</v>
      </c>
      <c r="H506" s="5" t="s">
        <v>753</v>
      </c>
      <c r="I506" s="6">
        <v>41852</v>
      </c>
      <c r="J506" s="5" t="s">
        <v>336</v>
      </c>
      <c r="K506" s="5" t="s">
        <v>511</v>
      </c>
      <c r="L506" s="5" t="s">
        <v>324</v>
      </c>
      <c r="M506" s="7">
        <v>6</v>
      </c>
      <c r="N506" s="7" t="s">
        <v>176</v>
      </c>
      <c r="O506" s="8">
        <v>5270</v>
      </c>
      <c r="P506" s="9">
        <v>0.02</v>
      </c>
      <c r="Q506" s="10">
        <f t="shared" si="92"/>
        <v>105</v>
      </c>
      <c r="R506" s="9">
        <v>5.0000000000000001E-3</v>
      </c>
      <c r="S506" s="10">
        <f t="shared" si="93"/>
        <v>26</v>
      </c>
      <c r="T506" s="9">
        <f t="shared" si="94"/>
        <v>2.4857685009487665E-2</v>
      </c>
      <c r="U506" s="10">
        <f t="shared" si="95"/>
        <v>131</v>
      </c>
      <c r="V506" s="10">
        <f t="shared" si="96"/>
        <v>5401</v>
      </c>
      <c r="W506" s="11">
        <f>VLOOKUP(B506,[1]调薪计算!A:M,12,0)</f>
        <v>5507.15</v>
      </c>
      <c r="X506" s="12">
        <f t="shared" si="97"/>
        <v>237.14999999999964</v>
      </c>
      <c r="Y506" s="13">
        <f t="shared" si="98"/>
        <v>4.4999999999999998E-2</v>
      </c>
      <c r="Z506" s="14" t="str">
        <f t="shared" si="99"/>
        <v>0.00%-8.40%</v>
      </c>
      <c r="AA506" s="15"/>
      <c r="AB506" s="15"/>
      <c r="AC506" s="15"/>
      <c r="AD506" s="16"/>
      <c r="AE506" s="8">
        <f t="shared" si="100"/>
        <v>0</v>
      </c>
      <c r="AF506" s="17">
        <f t="shared" si="101"/>
        <v>5507.15</v>
      </c>
      <c r="AG506" s="18">
        <f t="shared" si="102"/>
        <v>237.14999999999964</v>
      </c>
      <c r="AH506" s="19">
        <f t="shared" si="103"/>
        <v>4.4999999999999929E-2</v>
      </c>
      <c r="AI506" s="20">
        <v>13.6</v>
      </c>
      <c r="AJ506" s="20">
        <v>500</v>
      </c>
      <c r="AK506" s="20"/>
      <c r="AL506" s="20">
        <v>688</v>
      </c>
      <c r="AM506" s="20">
        <f t="shared" si="104"/>
        <v>81585.239999999991</v>
      </c>
      <c r="AN506" s="7" t="s">
        <v>176</v>
      </c>
      <c r="AO506" s="20"/>
      <c r="AP506" s="21"/>
      <c r="AQ506" s="21"/>
      <c r="AR506" s="5" t="s">
        <v>751</v>
      </c>
      <c r="AS506" s="5" t="s">
        <v>164</v>
      </c>
      <c r="AT506" s="5" t="s">
        <v>59</v>
      </c>
      <c r="AU506" s="20"/>
      <c r="AV506" s="21"/>
      <c r="AW506" s="21"/>
      <c r="AX506" s="21"/>
    </row>
    <row r="507" spans="1:50" s="55" customFormat="1">
      <c r="A507" s="86" t="s">
        <v>318</v>
      </c>
      <c r="B507" s="5">
        <v>15010377</v>
      </c>
      <c r="C507" s="5" t="s">
        <v>882</v>
      </c>
      <c r="D507" s="5" t="s">
        <v>321</v>
      </c>
      <c r="E507" s="5" t="s">
        <v>52</v>
      </c>
      <c r="F507" s="5" t="s">
        <v>62</v>
      </c>
      <c r="G507" s="5" t="s">
        <v>207</v>
      </c>
      <c r="H507" s="5" t="s">
        <v>753</v>
      </c>
      <c r="I507" s="6">
        <v>41548</v>
      </c>
      <c r="J507" s="5" t="s">
        <v>336</v>
      </c>
      <c r="K507" s="5" t="s">
        <v>511</v>
      </c>
      <c r="L507" s="5" t="s">
        <v>324</v>
      </c>
      <c r="M507" s="7">
        <v>6</v>
      </c>
      <c r="N507" s="7" t="s">
        <v>176</v>
      </c>
      <c r="O507" s="8">
        <v>5167</v>
      </c>
      <c r="P507" s="9">
        <v>0.02</v>
      </c>
      <c r="Q507" s="10">
        <f t="shared" si="92"/>
        <v>103</v>
      </c>
      <c r="R507" s="9">
        <v>5.0000000000000001E-3</v>
      </c>
      <c r="S507" s="10">
        <f t="shared" si="93"/>
        <v>26</v>
      </c>
      <c r="T507" s="9">
        <f t="shared" si="94"/>
        <v>2.4966131217340818E-2</v>
      </c>
      <c r="U507" s="10">
        <f t="shared" si="95"/>
        <v>129</v>
      </c>
      <c r="V507" s="10">
        <f t="shared" si="96"/>
        <v>5296</v>
      </c>
      <c r="W507" s="11">
        <f>VLOOKUP(B507,[1]调薪计算!A:M,12,0)</f>
        <v>5167</v>
      </c>
      <c r="X507" s="12">
        <f t="shared" si="97"/>
        <v>0</v>
      </c>
      <c r="Y507" s="13">
        <f t="shared" si="98"/>
        <v>0</v>
      </c>
      <c r="Z507" s="14" t="str">
        <f t="shared" si="99"/>
        <v>0.00%-8.40%</v>
      </c>
      <c r="AA507" s="15"/>
      <c r="AB507" s="15"/>
      <c r="AC507" s="15"/>
      <c r="AD507" s="16"/>
      <c r="AE507" s="8">
        <f t="shared" si="100"/>
        <v>0</v>
      </c>
      <c r="AF507" s="17">
        <f t="shared" si="101"/>
        <v>5167</v>
      </c>
      <c r="AG507" s="18">
        <f t="shared" si="102"/>
        <v>0</v>
      </c>
      <c r="AH507" s="19">
        <f t="shared" si="103"/>
        <v>0</v>
      </c>
      <c r="AI507" s="20">
        <v>13.6</v>
      </c>
      <c r="AJ507" s="20">
        <v>500</v>
      </c>
      <c r="AK507" s="20"/>
      <c r="AL507" s="20">
        <v>688</v>
      </c>
      <c r="AM507" s="20">
        <f t="shared" si="104"/>
        <v>76959.199999999997</v>
      </c>
      <c r="AN507" s="7" t="s">
        <v>176</v>
      </c>
      <c r="AO507" s="20"/>
      <c r="AP507" s="21" t="s">
        <v>97</v>
      </c>
      <c r="AQ507" s="21" t="s">
        <v>97</v>
      </c>
      <c r="AR507" s="5" t="s">
        <v>751</v>
      </c>
      <c r="AS507" s="5" t="s">
        <v>164</v>
      </c>
      <c r="AT507" s="5" t="s">
        <v>59</v>
      </c>
      <c r="AU507" s="20"/>
      <c r="AV507" s="21"/>
      <c r="AW507" s="21"/>
      <c r="AX507" s="21"/>
    </row>
    <row r="508" spans="1:50" s="55" customFormat="1">
      <c r="A508" s="86" t="s">
        <v>318</v>
      </c>
      <c r="B508" s="5">
        <v>15014950</v>
      </c>
      <c r="C508" s="5" t="s">
        <v>883</v>
      </c>
      <c r="D508" s="5" t="s">
        <v>321</v>
      </c>
      <c r="E508" s="5" t="s">
        <v>52</v>
      </c>
      <c r="F508" s="5" t="s">
        <v>62</v>
      </c>
      <c r="G508" s="5" t="s">
        <v>207</v>
      </c>
      <c r="H508" s="5" t="s">
        <v>753</v>
      </c>
      <c r="I508" s="6">
        <v>42430</v>
      </c>
      <c r="J508" s="5" t="s">
        <v>336</v>
      </c>
      <c r="K508" s="5" t="s">
        <v>511</v>
      </c>
      <c r="L508" s="5" t="s">
        <v>324</v>
      </c>
      <c r="M508" s="7">
        <v>6</v>
      </c>
      <c r="N508" s="7" t="s">
        <v>176</v>
      </c>
      <c r="O508" s="8">
        <v>4650</v>
      </c>
      <c r="P508" s="9">
        <v>0.02</v>
      </c>
      <c r="Q508" s="10">
        <f t="shared" si="92"/>
        <v>93</v>
      </c>
      <c r="R508" s="9">
        <v>5.0000000000000001E-3</v>
      </c>
      <c r="S508" s="10">
        <f t="shared" si="93"/>
        <v>23</v>
      </c>
      <c r="T508" s="9">
        <f t="shared" si="94"/>
        <v>2.4946236559139787E-2</v>
      </c>
      <c r="U508" s="10">
        <f t="shared" si="95"/>
        <v>116</v>
      </c>
      <c r="V508" s="10">
        <f t="shared" si="96"/>
        <v>4766</v>
      </c>
      <c r="W508" s="11">
        <f>VLOOKUP(B508,[1]调薪计算!A:M,12,0)</f>
        <v>4766.25</v>
      </c>
      <c r="X508" s="12">
        <f t="shared" si="97"/>
        <v>116.25</v>
      </c>
      <c r="Y508" s="13">
        <f t="shared" si="98"/>
        <v>2.5000000000000001E-2</v>
      </c>
      <c r="Z508" s="14" t="str">
        <f t="shared" si="99"/>
        <v>0.00%-8.40%</v>
      </c>
      <c r="AA508" s="15"/>
      <c r="AB508" s="15"/>
      <c r="AC508" s="15"/>
      <c r="AD508" s="16"/>
      <c r="AE508" s="8">
        <f t="shared" si="100"/>
        <v>0</v>
      </c>
      <c r="AF508" s="17">
        <f t="shared" si="101"/>
        <v>4766.25</v>
      </c>
      <c r="AG508" s="18">
        <f t="shared" si="102"/>
        <v>116.25</v>
      </c>
      <c r="AH508" s="19">
        <f t="shared" si="103"/>
        <v>2.4999999999999911E-2</v>
      </c>
      <c r="AI508" s="20">
        <v>13.6</v>
      </c>
      <c r="AJ508" s="20">
        <v>450</v>
      </c>
      <c r="AK508" s="20"/>
      <c r="AL508" s="20">
        <v>688</v>
      </c>
      <c r="AM508" s="20">
        <f t="shared" si="104"/>
        <v>70909</v>
      </c>
      <c r="AN508" s="7" t="s">
        <v>176</v>
      </c>
      <c r="AO508" s="20"/>
      <c r="AP508" s="21"/>
      <c r="AQ508" s="21"/>
      <c r="AR508" s="5" t="s">
        <v>751</v>
      </c>
      <c r="AS508" s="5" t="s">
        <v>164</v>
      </c>
      <c r="AT508" s="5" t="s">
        <v>59</v>
      </c>
      <c r="AU508" s="20"/>
      <c r="AV508" s="21"/>
      <c r="AW508" s="21"/>
      <c r="AX508" s="21"/>
    </row>
    <row r="509" spans="1:50" s="55" customFormat="1">
      <c r="A509" s="86" t="s">
        <v>318</v>
      </c>
      <c r="B509" s="5">
        <v>15010998</v>
      </c>
      <c r="C509" s="5" t="s">
        <v>884</v>
      </c>
      <c r="D509" s="5" t="s">
        <v>321</v>
      </c>
      <c r="E509" s="5" t="s">
        <v>52</v>
      </c>
      <c r="F509" s="5" t="s">
        <v>62</v>
      </c>
      <c r="G509" s="5" t="s">
        <v>207</v>
      </c>
      <c r="H509" s="5" t="s">
        <v>753</v>
      </c>
      <c r="I509" s="6">
        <v>44197</v>
      </c>
      <c r="J509" s="5" t="s">
        <v>336</v>
      </c>
      <c r="K509" s="5" t="s">
        <v>511</v>
      </c>
      <c r="L509" s="5" t="s">
        <v>324</v>
      </c>
      <c r="M509" s="7">
        <v>6</v>
      </c>
      <c r="N509" s="7" t="s">
        <v>176</v>
      </c>
      <c r="O509" s="8">
        <v>4623</v>
      </c>
      <c r="P509" s="9">
        <v>0.02</v>
      </c>
      <c r="Q509" s="10">
        <f t="shared" si="92"/>
        <v>92</v>
      </c>
      <c r="R509" s="9">
        <v>5.0000000000000001E-3</v>
      </c>
      <c r="S509" s="10">
        <f t="shared" si="93"/>
        <v>23</v>
      </c>
      <c r="T509" s="9">
        <f t="shared" si="94"/>
        <v>2.4875621890547265E-2</v>
      </c>
      <c r="U509" s="10">
        <f t="shared" si="95"/>
        <v>115</v>
      </c>
      <c r="V509" s="10">
        <f t="shared" si="96"/>
        <v>4738</v>
      </c>
      <c r="W509" s="11">
        <f>VLOOKUP(B509,[1]调薪计算!A:M,12,0)</f>
        <v>4900.38</v>
      </c>
      <c r="X509" s="12">
        <f t="shared" si="97"/>
        <v>277.38000000000011</v>
      </c>
      <c r="Y509" s="13">
        <f t="shared" si="98"/>
        <v>0.06</v>
      </c>
      <c r="Z509" s="14" t="str">
        <f t="shared" si="99"/>
        <v>0.00%-8.40%</v>
      </c>
      <c r="AA509" s="15"/>
      <c r="AB509" s="15"/>
      <c r="AC509" s="15"/>
      <c r="AD509" s="16"/>
      <c r="AE509" s="8">
        <f t="shared" si="100"/>
        <v>0</v>
      </c>
      <c r="AF509" s="17">
        <f t="shared" si="101"/>
        <v>4900.38</v>
      </c>
      <c r="AG509" s="18">
        <f t="shared" si="102"/>
        <v>277.38000000000011</v>
      </c>
      <c r="AH509" s="19">
        <f t="shared" si="103"/>
        <v>6.0000000000000053E-2</v>
      </c>
      <c r="AI509" s="20">
        <v>13.6</v>
      </c>
      <c r="AJ509" s="20">
        <v>450</v>
      </c>
      <c r="AK509" s="20"/>
      <c r="AL509" s="20">
        <v>688</v>
      </c>
      <c r="AM509" s="20">
        <f t="shared" si="104"/>
        <v>72733.168000000005</v>
      </c>
      <c r="AN509" s="7" t="s">
        <v>176</v>
      </c>
      <c r="AO509" s="20"/>
      <c r="AP509" s="21"/>
      <c r="AQ509" s="21"/>
      <c r="AR509" s="5" t="s">
        <v>751</v>
      </c>
      <c r="AS509" s="5" t="s">
        <v>164</v>
      </c>
      <c r="AT509" s="5" t="s">
        <v>59</v>
      </c>
      <c r="AU509" s="20"/>
      <c r="AV509" s="21"/>
      <c r="AW509" s="21"/>
      <c r="AX509" s="21"/>
    </row>
    <row r="510" spans="1:50" s="55" customFormat="1">
      <c r="A510" s="86" t="s">
        <v>318</v>
      </c>
      <c r="B510" s="5">
        <v>15014356</v>
      </c>
      <c r="C510" s="5" t="s">
        <v>885</v>
      </c>
      <c r="D510" s="5" t="s">
        <v>321</v>
      </c>
      <c r="E510" s="5" t="s">
        <v>52</v>
      </c>
      <c r="F510" s="5" t="s">
        <v>62</v>
      </c>
      <c r="G510" s="5" t="s">
        <v>207</v>
      </c>
      <c r="H510" s="5" t="s">
        <v>753</v>
      </c>
      <c r="I510" s="6">
        <v>42248</v>
      </c>
      <c r="J510" s="5" t="s">
        <v>336</v>
      </c>
      <c r="K510" s="5" t="s">
        <v>511</v>
      </c>
      <c r="L510" s="5" t="s">
        <v>324</v>
      </c>
      <c r="M510" s="7">
        <v>6</v>
      </c>
      <c r="N510" s="7" t="s">
        <v>176</v>
      </c>
      <c r="O510" s="8">
        <v>4649</v>
      </c>
      <c r="P510" s="9">
        <v>0.02</v>
      </c>
      <c r="Q510" s="10">
        <f t="shared" si="92"/>
        <v>93</v>
      </c>
      <c r="R510" s="9">
        <v>5.0000000000000001E-3</v>
      </c>
      <c r="S510" s="10">
        <f t="shared" si="93"/>
        <v>23</v>
      </c>
      <c r="T510" s="9">
        <f t="shared" si="94"/>
        <v>2.4951602495160249E-2</v>
      </c>
      <c r="U510" s="10">
        <f t="shared" si="95"/>
        <v>116</v>
      </c>
      <c r="V510" s="10">
        <f t="shared" si="96"/>
        <v>4765</v>
      </c>
      <c r="W510" s="11">
        <f>VLOOKUP(B510,[1]调薪计算!A:M,12,0)</f>
        <v>4765.2249999999995</v>
      </c>
      <c r="X510" s="12">
        <f t="shared" si="97"/>
        <v>116.22499999999945</v>
      </c>
      <c r="Y510" s="13">
        <f t="shared" si="98"/>
        <v>2.5000000000000001E-2</v>
      </c>
      <c r="Z510" s="14" t="str">
        <f t="shared" si="99"/>
        <v>0.00%-8.40%</v>
      </c>
      <c r="AA510" s="15"/>
      <c r="AB510" s="15"/>
      <c r="AC510" s="15"/>
      <c r="AD510" s="16"/>
      <c r="AE510" s="8">
        <f t="shared" si="100"/>
        <v>0</v>
      </c>
      <c r="AF510" s="17">
        <f t="shared" si="101"/>
        <v>4765.2249999999995</v>
      </c>
      <c r="AG510" s="18">
        <f t="shared" si="102"/>
        <v>116.22499999999945</v>
      </c>
      <c r="AH510" s="19">
        <f t="shared" si="103"/>
        <v>2.4999999999999911E-2</v>
      </c>
      <c r="AI510" s="20">
        <v>13.6</v>
      </c>
      <c r="AJ510" s="20">
        <v>450</v>
      </c>
      <c r="AK510" s="20"/>
      <c r="AL510" s="20">
        <v>688</v>
      </c>
      <c r="AM510" s="20">
        <f t="shared" si="104"/>
        <v>70895.06</v>
      </c>
      <c r="AN510" s="7" t="s">
        <v>176</v>
      </c>
      <c r="AO510" s="20"/>
      <c r="AP510" s="21"/>
      <c r="AQ510" s="21"/>
      <c r="AR510" s="5" t="s">
        <v>751</v>
      </c>
      <c r="AS510" s="5" t="s">
        <v>164</v>
      </c>
      <c r="AT510" s="5" t="s">
        <v>59</v>
      </c>
      <c r="AU510" s="20"/>
      <c r="AV510" s="21"/>
      <c r="AW510" s="21"/>
      <c r="AX510" s="21"/>
    </row>
    <row r="511" spans="1:50" s="55" customFormat="1">
      <c r="A511" s="86" t="s">
        <v>318</v>
      </c>
      <c r="B511" s="5">
        <v>15018040</v>
      </c>
      <c r="C511" s="5" t="s">
        <v>886</v>
      </c>
      <c r="D511" s="5" t="s">
        <v>321</v>
      </c>
      <c r="E511" s="5" t="s">
        <v>52</v>
      </c>
      <c r="F511" s="5" t="s">
        <v>62</v>
      </c>
      <c r="G511" s="5" t="s">
        <v>207</v>
      </c>
      <c r="H511" s="5" t="s">
        <v>753</v>
      </c>
      <c r="I511" s="6">
        <v>43132</v>
      </c>
      <c r="J511" s="5" t="s">
        <v>336</v>
      </c>
      <c r="K511" s="5" t="s">
        <v>511</v>
      </c>
      <c r="L511" s="5" t="s">
        <v>324</v>
      </c>
      <c r="M511" s="7">
        <v>6</v>
      </c>
      <c r="N511" s="7" t="s">
        <v>176</v>
      </c>
      <c r="O511" s="8">
        <v>4839</v>
      </c>
      <c r="P511" s="9">
        <v>0.02</v>
      </c>
      <c r="Q511" s="10">
        <f t="shared" si="92"/>
        <v>97</v>
      </c>
      <c r="R511" s="9">
        <v>5.0000000000000001E-3</v>
      </c>
      <c r="S511" s="10">
        <f t="shared" si="93"/>
        <v>24</v>
      </c>
      <c r="T511" s="9">
        <f t="shared" si="94"/>
        <v>2.5005166356685267E-2</v>
      </c>
      <c r="U511" s="10">
        <f t="shared" si="95"/>
        <v>121</v>
      </c>
      <c r="V511" s="10">
        <f t="shared" si="96"/>
        <v>4960</v>
      </c>
      <c r="W511" s="11">
        <f>VLOOKUP(B511,[1]调薪计算!A:M,12,0)</f>
        <v>4959.9749999999995</v>
      </c>
      <c r="X511" s="12">
        <f t="shared" si="97"/>
        <v>120.97499999999945</v>
      </c>
      <c r="Y511" s="13">
        <f t="shared" si="98"/>
        <v>2.5000000000000001E-2</v>
      </c>
      <c r="Z511" s="14" t="str">
        <f t="shared" si="99"/>
        <v>0.00%-8.40%</v>
      </c>
      <c r="AA511" s="15"/>
      <c r="AB511" s="15"/>
      <c r="AC511" s="15"/>
      <c r="AD511" s="16"/>
      <c r="AE511" s="8">
        <f t="shared" si="100"/>
        <v>0</v>
      </c>
      <c r="AF511" s="17">
        <f t="shared" si="101"/>
        <v>4959.9749999999995</v>
      </c>
      <c r="AG511" s="18">
        <f t="shared" si="102"/>
        <v>120.97499999999945</v>
      </c>
      <c r="AH511" s="19">
        <f t="shared" si="103"/>
        <v>2.4999999999999911E-2</v>
      </c>
      <c r="AI511" s="20">
        <v>13.6</v>
      </c>
      <c r="AJ511" s="20">
        <v>500</v>
      </c>
      <c r="AK511" s="20"/>
      <c r="AL511" s="20">
        <v>688</v>
      </c>
      <c r="AM511" s="20">
        <f t="shared" si="104"/>
        <v>74143.659999999989</v>
      </c>
      <c r="AN511" s="7" t="s">
        <v>176</v>
      </c>
      <c r="AO511" s="20"/>
      <c r="AP511" s="21"/>
      <c r="AQ511" s="21"/>
      <c r="AR511" s="5" t="s">
        <v>751</v>
      </c>
      <c r="AS511" s="5" t="s">
        <v>164</v>
      </c>
      <c r="AT511" s="5" t="s">
        <v>59</v>
      </c>
      <c r="AU511" s="20"/>
      <c r="AV511" s="21"/>
      <c r="AW511" s="21"/>
      <c r="AX511" s="21"/>
    </row>
    <row r="512" spans="1:50" s="55" customFormat="1">
      <c r="A512" s="86" t="s">
        <v>318</v>
      </c>
      <c r="B512" s="5">
        <v>15013818</v>
      </c>
      <c r="C512" s="5" t="s">
        <v>887</v>
      </c>
      <c r="D512" s="5" t="s">
        <v>321</v>
      </c>
      <c r="E512" s="5" t="s">
        <v>52</v>
      </c>
      <c r="F512" s="5" t="s">
        <v>62</v>
      </c>
      <c r="G512" s="5" t="s">
        <v>207</v>
      </c>
      <c r="H512" s="5" t="s">
        <v>753</v>
      </c>
      <c r="I512" s="6">
        <v>42095</v>
      </c>
      <c r="J512" s="5" t="s">
        <v>336</v>
      </c>
      <c r="K512" s="5" t="s">
        <v>511</v>
      </c>
      <c r="L512" s="5" t="s">
        <v>324</v>
      </c>
      <c r="M512" s="7">
        <v>6</v>
      </c>
      <c r="N512" s="7" t="s">
        <v>176</v>
      </c>
      <c r="O512" s="8">
        <v>4718</v>
      </c>
      <c r="P512" s="9">
        <v>0.02</v>
      </c>
      <c r="Q512" s="10">
        <f t="shared" si="92"/>
        <v>94</v>
      </c>
      <c r="R512" s="9">
        <v>5.0000000000000001E-3</v>
      </c>
      <c r="S512" s="10">
        <f t="shared" si="93"/>
        <v>24</v>
      </c>
      <c r="T512" s="9">
        <f t="shared" si="94"/>
        <v>2.5010597710894446E-2</v>
      </c>
      <c r="U512" s="10">
        <f t="shared" si="95"/>
        <v>118</v>
      </c>
      <c r="V512" s="10">
        <f t="shared" si="96"/>
        <v>4836</v>
      </c>
      <c r="W512" s="11">
        <f>VLOOKUP(B512,[1]调薪计算!A:M,12,0)</f>
        <v>4765.18</v>
      </c>
      <c r="X512" s="12">
        <f t="shared" si="97"/>
        <v>47.180000000000291</v>
      </c>
      <c r="Y512" s="13">
        <f t="shared" si="98"/>
        <v>0.01</v>
      </c>
      <c r="Z512" s="14" t="str">
        <f t="shared" si="99"/>
        <v>0.00%-8.40%</v>
      </c>
      <c r="AA512" s="15"/>
      <c r="AB512" s="15"/>
      <c r="AC512" s="15"/>
      <c r="AD512" s="16"/>
      <c r="AE512" s="8">
        <f t="shared" si="100"/>
        <v>0</v>
      </c>
      <c r="AF512" s="17">
        <f t="shared" si="101"/>
        <v>4765.18</v>
      </c>
      <c r="AG512" s="18">
        <f t="shared" si="102"/>
        <v>47.180000000000291</v>
      </c>
      <c r="AH512" s="19">
        <f t="shared" si="103"/>
        <v>1.0000000000000009E-2</v>
      </c>
      <c r="AI512" s="20">
        <v>13.6</v>
      </c>
      <c r="AJ512" s="20">
        <v>500</v>
      </c>
      <c r="AK512" s="20"/>
      <c r="AL512" s="20">
        <v>688</v>
      </c>
      <c r="AM512" s="20">
        <f t="shared" si="104"/>
        <v>71494.448000000004</v>
      </c>
      <c r="AN512" s="7" t="s">
        <v>176</v>
      </c>
      <c r="AO512" s="20"/>
      <c r="AP512" s="21"/>
      <c r="AQ512" s="21"/>
      <c r="AR512" s="5" t="s">
        <v>751</v>
      </c>
      <c r="AS512" s="5" t="s">
        <v>164</v>
      </c>
      <c r="AT512" s="5" t="s">
        <v>59</v>
      </c>
      <c r="AU512" s="20"/>
      <c r="AV512" s="21"/>
      <c r="AW512" s="21"/>
      <c r="AX512" s="21"/>
    </row>
    <row r="513" spans="1:50" s="55" customFormat="1">
      <c r="A513" s="86" t="s">
        <v>318</v>
      </c>
      <c r="B513" s="5">
        <v>15015182</v>
      </c>
      <c r="C513" s="5" t="s">
        <v>888</v>
      </c>
      <c r="D513" s="5" t="s">
        <v>321</v>
      </c>
      <c r="E513" s="5" t="s">
        <v>52</v>
      </c>
      <c r="F513" s="5" t="s">
        <v>62</v>
      </c>
      <c r="G513" s="5" t="s">
        <v>207</v>
      </c>
      <c r="H513" s="5" t="s">
        <v>753</v>
      </c>
      <c r="I513" s="6">
        <v>42452</v>
      </c>
      <c r="J513" s="5" t="s">
        <v>336</v>
      </c>
      <c r="K513" s="5" t="s">
        <v>803</v>
      </c>
      <c r="L513" s="5" t="s">
        <v>324</v>
      </c>
      <c r="M513" s="7">
        <v>6</v>
      </c>
      <c r="N513" s="7" t="s">
        <v>176</v>
      </c>
      <c r="O513" s="8">
        <v>5121</v>
      </c>
      <c r="P513" s="9">
        <v>0.02</v>
      </c>
      <c r="Q513" s="10">
        <f t="shared" si="92"/>
        <v>102</v>
      </c>
      <c r="R513" s="9">
        <v>5.0000000000000001E-3</v>
      </c>
      <c r="S513" s="10">
        <f t="shared" si="93"/>
        <v>26</v>
      </c>
      <c r="T513" s="9">
        <f t="shared" si="94"/>
        <v>2.4995118140988089E-2</v>
      </c>
      <c r="U513" s="10">
        <f t="shared" si="95"/>
        <v>128</v>
      </c>
      <c r="V513" s="10">
        <f t="shared" si="96"/>
        <v>5249</v>
      </c>
      <c r="W513" s="11">
        <f>VLOOKUP(B513,[1]调薪计算!A:M,12,0)</f>
        <v>5249.0249999999996</v>
      </c>
      <c r="X513" s="12">
        <f t="shared" si="97"/>
        <v>128.02499999999964</v>
      </c>
      <c r="Y513" s="13">
        <f t="shared" si="98"/>
        <v>2.5000000000000001E-2</v>
      </c>
      <c r="Z513" s="14" t="str">
        <f t="shared" si="99"/>
        <v>0.00%-8.40%</v>
      </c>
      <c r="AA513" s="15"/>
      <c r="AB513" s="15"/>
      <c r="AC513" s="15"/>
      <c r="AD513" s="16"/>
      <c r="AE513" s="8">
        <f t="shared" si="100"/>
        <v>0</v>
      </c>
      <c r="AF513" s="17">
        <f t="shared" si="101"/>
        <v>5249.0249999999996</v>
      </c>
      <c r="AG513" s="18">
        <f t="shared" si="102"/>
        <v>128.02499999999964</v>
      </c>
      <c r="AH513" s="19">
        <f t="shared" si="103"/>
        <v>2.4999999999999911E-2</v>
      </c>
      <c r="AI513" s="20">
        <v>13.6</v>
      </c>
      <c r="AJ513" s="20">
        <v>650</v>
      </c>
      <c r="AK513" s="20"/>
      <c r="AL513" s="20">
        <v>688</v>
      </c>
      <c r="AM513" s="20">
        <f t="shared" si="104"/>
        <v>79874.739999999991</v>
      </c>
      <c r="AN513" s="7" t="s">
        <v>176</v>
      </c>
      <c r="AO513" s="20"/>
      <c r="AP513" s="21"/>
      <c r="AQ513" s="21"/>
      <c r="AR513" s="5" t="s">
        <v>751</v>
      </c>
      <c r="AS513" s="5" t="s">
        <v>164</v>
      </c>
      <c r="AT513" s="5" t="s">
        <v>59</v>
      </c>
      <c r="AU513" s="20"/>
      <c r="AV513" s="21"/>
      <c r="AW513" s="21"/>
      <c r="AX513" s="21"/>
    </row>
    <row r="514" spans="1:50" s="55" customFormat="1">
      <c r="A514" s="86" t="s">
        <v>318</v>
      </c>
      <c r="B514" s="5">
        <v>15005336</v>
      </c>
      <c r="C514" s="5" t="s">
        <v>889</v>
      </c>
      <c r="D514" s="5" t="s">
        <v>321</v>
      </c>
      <c r="E514" s="5" t="s">
        <v>52</v>
      </c>
      <c r="F514" s="5" t="s">
        <v>62</v>
      </c>
      <c r="G514" s="5" t="s">
        <v>207</v>
      </c>
      <c r="H514" s="5" t="s">
        <v>753</v>
      </c>
      <c r="I514" s="6">
        <v>40787</v>
      </c>
      <c r="J514" s="5" t="s">
        <v>336</v>
      </c>
      <c r="K514" s="5" t="s">
        <v>766</v>
      </c>
      <c r="L514" s="5" t="s">
        <v>324</v>
      </c>
      <c r="M514" s="7">
        <v>6</v>
      </c>
      <c r="N514" s="7" t="s">
        <v>176</v>
      </c>
      <c r="O514" s="8">
        <v>5842</v>
      </c>
      <c r="P514" s="9">
        <v>0.02</v>
      </c>
      <c r="Q514" s="10">
        <f t="shared" si="92"/>
        <v>117</v>
      </c>
      <c r="R514" s="9">
        <v>5.0000000000000001E-3</v>
      </c>
      <c r="S514" s="10">
        <f t="shared" si="93"/>
        <v>29</v>
      </c>
      <c r="T514" s="9">
        <f t="shared" si="94"/>
        <v>2.4991441287230399E-2</v>
      </c>
      <c r="U514" s="10">
        <f t="shared" si="95"/>
        <v>146</v>
      </c>
      <c r="V514" s="10">
        <f t="shared" si="96"/>
        <v>5988</v>
      </c>
      <c r="W514" s="11">
        <f>VLOOKUP(B514,[1]调薪计算!A:M,12,0)</f>
        <v>5988.0499999999993</v>
      </c>
      <c r="X514" s="12">
        <f t="shared" si="97"/>
        <v>146.04999999999927</v>
      </c>
      <c r="Y514" s="13">
        <f t="shared" si="98"/>
        <v>2.5000000000000001E-2</v>
      </c>
      <c r="Z514" s="14" t="str">
        <f t="shared" si="99"/>
        <v>0.00%-8.40%</v>
      </c>
      <c r="AA514" s="15"/>
      <c r="AB514" s="15"/>
      <c r="AC514" s="15"/>
      <c r="AD514" s="16"/>
      <c r="AE514" s="8">
        <f t="shared" si="100"/>
        <v>0</v>
      </c>
      <c r="AF514" s="17">
        <f t="shared" si="101"/>
        <v>5988.0499999999993</v>
      </c>
      <c r="AG514" s="18">
        <f t="shared" si="102"/>
        <v>146.04999999999927</v>
      </c>
      <c r="AH514" s="19">
        <f t="shared" si="103"/>
        <v>2.4999999999999911E-2</v>
      </c>
      <c r="AI514" s="20">
        <v>13.6</v>
      </c>
      <c r="AJ514" s="20">
        <v>500</v>
      </c>
      <c r="AK514" s="20"/>
      <c r="AL514" s="20">
        <v>688</v>
      </c>
      <c r="AM514" s="20">
        <f t="shared" si="104"/>
        <v>88125.479999999981</v>
      </c>
      <c r="AN514" s="7" t="s">
        <v>176</v>
      </c>
      <c r="AO514" s="20"/>
      <c r="AP514" s="21"/>
      <c r="AQ514" s="21"/>
      <c r="AR514" s="5" t="s">
        <v>751</v>
      </c>
      <c r="AS514" s="5" t="s">
        <v>164</v>
      </c>
      <c r="AT514" s="5" t="s">
        <v>59</v>
      </c>
      <c r="AU514" s="20"/>
      <c r="AV514" s="21"/>
      <c r="AW514" s="21"/>
      <c r="AX514" s="21"/>
    </row>
    <row r="515" spans="1:50" s="55" customFormat="1">
      <c r="A515" s="86" t="s">
        <v>318</v>
      </c>
      <c r="B515" s="5">
        <v>15016240</v>
      </c>
      <c r="C515" s="5" t="s">
        <v>890</v>
      </c>
      <c r="D515" s="5" t="s">
        <v>321</v>
      </c>
      <c r="E515" s="5" t="s">
        <v>52</v>
      </c>
      <c r="F515" s="5" t="s">
        <v>62</v>
      </c>
      <c r="G515" s="5" t="s">
        <v>207</v>
      </c>
      <c r="H515" s="5" t="s">
        <v>753</v>
      </c>
      <c r="I515" s="6">
        <v>42795</v>
      </c>
      <c r="J515" s="5" t="s">
        <v>336</v>
      </c>
      <c r="K515" s="5" t="s">
        <v>766</v>
      </c>
      <c r="L515" s="5" t="s">
        <v>324</v>
      </c>
      <c r="M515" s="7">
        <v>6</v>
      </c>
      <c r="N515" s="7" t="s">
        <v>176</v>
      </c>
      <c r="O515" s="8">
        <v>5400</v>
      </c>
      <c r="P515" s="9">
        <v>0.02</v>
      </c>
      <c r="Q515" s="10">
        <f t="shared" si="92"/>
        <v>108</v>
      </c>
      <c r="R515" s="9">
        <v>5.0000000000000001E-3</v>
      </c>
      <c r="S515" s="10">
        <f t="shared" si="93"/>
        <v>27</v>
      </c>
      <c r="T515" s="9">
        <f t="shared" si="94"/>
        <v>2.5000000000000001E-2</v>
      </c>
      <c r="U515" s="10">
        <f t="shared" si="95"/>
        <v>135</v>
      </c>
      <c r="V515" s="10">
        <f t="shared" si="96"/>
        <v>5535</v>
      </c>
      <c r="W515" s="11">
        <f>VLOOKUP(B515,[1]调薪计算!A:M,12,0)</f>
        <v>5454</v>
      </c>
      <c r="X515" s="12">
        <f t="shared" si="97"/>
        <v>54</v>
      </c>
      <c r="Y515" s="13">
        <f t="shared" si="98"/>
        <v>0.01</v>
      </c>
      <c r="Z515" s="14" t="str">
        <f t="shared" si="99"/>
        <v>0.00%-8.40%</v>
      </c>
      <c r="AA515" s="15"/>
      <c r="AB515" s="15"/>
      <c r="AC515" s="15"/>
      <c r="AD515" s="16"/>
      <c r="AE515" s="8">
        <f t="shared" si="100"/>
        <v>0</v>
      </c>
      <c r="AF515" s="17">
        <f t="shared" si="101"/>
        <v>5454</v>
      </c>
      <c r="AG515" s="18">
        <f t="shared" si="102"/>
        <v>54</v>
      </c>
      <c r="AH515" s="19">
        <f t="shared" si="103"/>
        <v>1.0000000000000009E-2</v>
      </c>
      <c r="AI515" s="20">
        <v>13.6</v>
      </c>
      <c r="AJ515" s="20">
        <v>500</v>
      </c>
      <c r="AK515" s="20"/>
      <c r="AL515" s="20">
        <v>688</v>
      </c>
      <c r="AM515" s="20">
        <f t="shared" si="104"/>
        <v>80862.399999999994</v>
      </c>
      <c r="AN515" s="7" t="s">
        <v>176</v>
      </c>
      <c r="AO515" s="20"/>
      <c r="AP515" s="21"/>
      <c r="AQ515" s="21"/>
      <c r="AR515" s="5" t="s">
        <v>751</v>
      </c>
      <c r="AS515" s="5" t="s">
        <v>164</v>
      </c>
      <c r="AT515" s="5" t="s">
        <v>59</v>
      </c>
      <c r="AU515" s="20"/>
      <c r="AV515" s="21"/>
      <c r="AW515" s="21"/>
      <c r="AX515" s="21"/>
    </row>
    <row r="516" spans="1:50" s="55" customFormat="1">
      <c r="A516" s="86" t="s">
        <v>318</v>
      </c>
      <c r="B516" s="5">
        <v>15018273</v>
      </c>
      <c r="C516" s="5" t="s">
        <v>891</v>
      </c>
      <c r="D516" s="5" t="s">
        <v>321</v>
      </c>
      <c r="E516" s="5" t="s">
        <v>52</v>
      </c>
      <c r="F516" s="5" t="s">
        <v>62</v>
      </c>
      <c r="G516" s="5" t="s">
        <v>207</v>
      </c>
      <c r="H516" s="5" t="s">
        <v>753</v>
      </c>
      <c r="I516" s="6">
        <v>43160</v>
      </c>
      <c r="J516" s="5" t="s">
        <v>336</v>
      </c>
      <c r="K516" s="5" t="s">
        <v>511</v>
      </c>
      <c r="L516" s="5" t="s">
        <v>324</v>
      </c>
      <c r="M516" s="7">
        <v>6</v>
      </c>
      <c r="N516" s="7" t="s">
        <v>176</v>
      </c>
      <c r="O516" s="8">
        <v>5906</v>
      </c>
      <c r="P516" s="9">
        <v>0.02</v>
      </c>
      <c r="Q516" s="10">
        <f t="shared" si="92"/>
        <v>118</v>
      </c>
      <c r="R516" s="9">
        <v>5.0000000000000001E-3</v>
      </c>
      <c r="S516" s="10">
        <f t="shared" si="93"/>
        <v>30</v>
      </c>
      <c r="T516" s="9">
        <f t="shared" si="94"/>
        <v>2.505926176769387E-2</v>
      </c>
      <c r="U516" s="10">
        <f t="shared" si="95"/>
        <v>148</v>
      </c>
      <c r="V516" s="10">
        <f t="shared" si="96"/>
        <v>6054</v>
      </c>
      <c r="W516" s="11">
        <f>VLOOKUP(B516,[1]调薪计算!A:M,12,0)</f>
        <v>6053.65</v>
      </c>
      <c r="X516" s="12">
        <f t="shared" si="97"/>
        <v>147.64999999999964</v>
      </c>
      <c r="Y516" s="13">
        <f t="shared" si="98"/>
        <v>2.5000000000000001E-2</v>
      </c>
      <c r="Z516" s="14" t="str">
        <f t="shared" si="99"/>
        <v>0.00%-8.40%</v>
      </c>
      <c r="AA516" s="15"/>
      <c r="AB516" s="15"/>
      <c r="AC516" s="15"/>
      <c r="AD516" s="16"/>
      <c r="AE516" s="8">
        <f t="shared" si="100"/>
        <v>0</v>
      </c>
      <c r="AF516" s="17">
        <f t="shared" si="101"/>
        <v>6053.65</v>
      </c>
      <c r="AG516" s="18">
        <f t="shared" si="102"/>
        <v>147.64999999999964</v>
      </c>
      <c r="AH516" s="19">
        <f t="shared" si="103"/>
        <v>2.4999999999999911E-2</v>
      </c>
      <c r="AI516" s="20">
        <v>13.6</v>
      </c>
      <c r="AJ516" s="20">
        <v>500</v>
      </c>
      <c r="AK516" s="20"/>
      <c r="AL516" s="20">
        <v>688</v>
      </c>
      <c r="AM516" s="20">
        <f t="shared" si="104"/>
        <v>89017.64</v>
      </c>
      <c r="AN516" s="7" t="s">
        <v>176</v>
      </c>
      <c r="AO516" s="20"/>
      <c r="AP516" s="21"/>
      <c r="AQ516" s="21"/>
      <c r="AR516" s="5" t="s">
        <v>751</v>
      </c>
      <c r="AS516" s="5" t="s">
        <v>164</v>
      </c>
      <c r="AT516" s="5" t="s">
        <v>59</v>
      </c>
      <c r="AU516" s="20"/>
      <c r="AV516" s="21"/>
      <c r="AW516" s="21"/>
      <c r="AX516" s="21"/>
    </row>
    <row r="517" spans="1:50" s="55" customFormat="1">
      <c r="A517" s="86" t="s">
        <v>318</v>
      </c>
      <c r="B517" s="5">
        <v>15016380</v>
      </c>
      <c r="C517" s="5" t="s">
        <v>892</v>
      </c>
      <c r="D517" s="5" t="s">
        <v>321</v>
      </c>
      <c r="E517" s="5" t="s">
        <v>52</v>
      </c>
      <c r="F517" s="5" t="s">
        <v>62</v>
      </c>
      <c r="G517" s="5" t="s">
        <v>207</v>
      </c>
      <c r="H517" s="5" t="s">
        <v>753</v>
      </c>
      <c r="I517" s="6">
        <v>42948</v>
      </c>
      <c r="J517" s="5" t="s">
        <v>336</v>
      </c>
      <c r="K517" s="5" t="s">
        <v>511</v>
      </c>
      <c r="L517" s="5" t="s">
        <v>324</v>
      </c>
      <c r="M517" s="7">
        <v>6</v>
      </c>
      <c r="N517" s="7" t="s">
        <v>176</v>
      </c>
      <c r="O517" s="8">
        <v>4609</v>
      </c>
      <c r="P517" s="9">
        <v>0.02</v>
      </c>
      <c r="Q517" s="10">
        <f t="shared" si="92"/>
        <v>92</v>
      </c>
      <c r="R517" s="9">
        <v>5.0000000000000001E-3</v>
      </c>
      <c r="S517" s="10">
        <f t="shared" si="93"/>
        <v>23</v>
      </c>
      <c r="T517" s="9">
        <f t="shared" si="94"/>
        <v>2.495118246908223E-2</v>
      </c>
      <c r="U517" s="10">
        <f t="shared" si="95"/>
        <v>115</v>
      </c>
      <c r="V517" s="10">
        <f t="shared" si="96"/>
        <v>4724</v>
      </c>
      <c r="W517" s="11">
        <f>VLOOKUP(B517,[1]调薪计算!A:M,12,0)</f>
        <v>4655.09</v>
      </c>
      <c r="X517" s="12">
        <f t="shared" si="97"/>
        <v>46.090000000000146</v>
      </c>
      <c r="Y517" s="13">
        <f t="shared" si="98"/>
        <v>0.01</v>
      </c>
      <c r="Z517" s="14" t="str">
        <f t="shared" si="99"/>
        <v>0.00%-8.40%</v>
      </c>
      <c r="AA517" s="15"/>
      <c r="AB517" s="15"/>
      <c r="AC517" s="15"/>
      <c r="AD517" s="16"/>
      <c r="AE517" s="8">
        <f t="shared" si="100"/>
        <v>0</v>
      </c>
      <c r="AF517" s="17">
        <f t="shared" si="101"/>
        <v>4655.09</v>
      </c>
      <c r="AG517" s="18">
        <f t="shared" si="102"/>
        <v>46.090000000000146</v>
      </c>
      <c r="AH517" s="19">
        <f t="shared" si="103"/>
        <v>1.0000000000000009E-2</v>
      </c>
      <c r="AI517" s="20">
        <v>13.6</v>
      </c>
      <c r="AJ517" s="20">
        <v>500</v>
      </c>
      <c r="AK517" s="20"/>
      <c r="AL517" s="20">
        <v>688</v>
      </c>
      <c r="AM517" s="20">
        <f t="shared" si="104"/>
        <v>69997.224000000002</v>
      </c>
      <c r="AN517" s="7" t="s">
        <v>176</v>
      </c>
      <c r="AO517" s="20"/>
      <c r="AP517" s="21"/>
      <c r="AQ517" s="21"/>
      <c r="AR517" s="5" t="s">
        <v>751</v>
      </c>
      <c r="AS517" s="5" t="s">
        <v>164</v>
      </c>
      <c r="AT517" s="5" t="s">
        <v>59</v>
      </c>
      <c r="AU517" s="20"/>
      <c r="AV517" s="21"/>
      <c r="AW517" s="21"/>
      <c r="AX517" s="21"/>
    </row>
    <row r="518" spans="1:50" s="55" customFormat="1">
      <c r="A518" s="86" t="s">
        <v>318</v>
      </c>
      <c r="B518" s="5">
        <v>15016293</v>
      </c>
      <c r="C518" s="5" t="s">
        <v>893</v>
      </c>
      <c r="D518" s="5" t="s">
        <v>321</v>
      </c>
      <c r="E518" s="5" t="s">
        <v>52</v>
      </c>
      <c r="F518" s="5" t="s">
        <v>62</v>
      </c>
      <c r="G518" s="5" t="s">
        <v>207</v>
      </c>
      <c r="H518" s="5" t="s">
        <v>753</v>
      </c>
      <c r="I518" s="6">
        <v>42948</v>
      </c>
      <c r="J518" s="5" t="s">
        <v>336</v>
      </c>
      <c r="K518" s="5" t="s">
        <v>511</v>
      </c>
      <c r="L518" s="5" t="s">
        <v>324</v>
      </c>
      <c r="M518" s="7">
        <v>6</v>
      </c>
      <c r="N518" s="7" t="s">
        <v>176</v>
      </c>
      <c r="O518" s="8">
        <v>4535</v>
      </c>
      <c r="P518" s="9">
        <v>0.02</v>
      </c>
      <c r="Q518" s="10">
        <f t="shared" si="92"/>
        <v>91</v>
      </c>
      <c r="R518" s="9">
        <v>5.0000000000000001E-3</v>
      </c>
      <c r="S518" s="10">
        <f t="shared" si="93"/>
        <v>23</v>
      </c>
      <c r="T518" s="9">
        <f t="shared" si="94"/>
        <v>2.5137816979051819E-2</v>
      </c>
      <c r="U518" s="10">
        <f t="shared" si="95"/>
        <v>114</v>
      </c>
      <c r="V518" s="10">
        <f t="shared" si="96"/>
        <v>4649</v>
      </c>
      <c r="W518" s="11">
        <f>VLOOKUP(B518,[1]调薪计算!A:M,12,0)</f>
        <v>4580.3500000000004</v>
      </c>
      <c r="X518" s="12">
        <f t="shared" si="97"/>
        <v>45.350000000000364</v>
      </c>
      <c r="Y518" s="13">
        <f t="shared" si="98"/>
        <v>0.01</v>
      </c>
      <c r="Z518" s="14" t="str">
        <f t="shared" si="99"/>
        <v>0.00%-8.40%</v>
      </c>
      <c r="AA518" s="15"/>
      <c r="AB518" s="15"/>
      <c r="AC518" s="15"/>
      <c r="AD518" s="16"/>
      <c r="AE518" s="8">
        <f t="shared" si="100"/>
        <v>0</v>
      </c>
      <c r="AF518" s="17">
        <f t="shared" si="101"/>
        <v>4580.3500000000004</v>
      </c>
      <c r="AG518" s="18">
        <f t="shared" si="102"/>
        <v>45.350000000000364</v>
      </c>
      <c r="AH518" s="19">
        <f t="shared" si="103"/>
        <v>1.0000000000000009E-2</v>
      </c>
      <c r="AI518" s="20">
        <v>13.6</v>
      </c>
      <c r="AJ518" s="20">
        <v>500</v>
      </c>
      <c r="AK518" s="20"/>
      <c r="AL518" s="20">
        <v>688</v>
      </c>
      <c r="AM518" s="20">
        <f t="shared" si="104"/>
        <v>68980.760000000009</v>
      </c>
      <c r="AN518" s="7" t="s">
        <v>176</v>
      </c>
      <c r="AO518" s="20"/>
      <c r="AP518" s="21"/>
      <c r="AQ518" s="21"/>
      <c r="AR518" s="5" t="s">
        <v>751</v>
      </c>
      <c r="AS518" s="5" t="s">
        <v>164</v>
      </c>
      <c r="AT518" s="5" t="s">
        <v>59</v>
      </c>
      <c r="AU518" s="20"/>
      <c r="AV518" s="21"/>
      <c r="AW518" s="21"/>
      <c r="AX518" s="21"/>
    </row>
    <row r="519" spans="1:50" s="55" customFormat="1">
      <c r="A519" s="86" t="s">
        <v>318</v>
      </c>
      <c r="B519" s="5">
        <v>15014891</v>
      </c>
      <c r="C519" s="5" t="s">
        <v>894</v>
      </c>
      <c r="D519" s="5" t="s">
        <v>321</v>
      </c>
      <c r="E519" s="5" t="s">
        <v>52</v>
      </c>
      <c r="F519" s="5" t="s">
        <v>62</v>
      </c>
      <c r="G519" s="5" t="s">
        <v>207</v>
      </c>
      <c r="H519" s="5" t="s">
        <v>753</v>
      </c>
      <c r="I519" s="6">
        <v>42370</v>
      </c>
      <c r="J519" s="5" t="s">
        <v>336</v>
      </c>
      <c r="K519" s="5" t="s">
        <v>511</v>
      </c>
      <c r="L519" s="5" t="s">
        <v>324</v>
      </c>
      <c r="M519" s="7">
        <v>6</v>
      </c>
      <c r="N519" s="7" t="s">
        <v>176</v>
      </c>
      <c r="O519" s="8">
        <v>4528</v>
      </c>
      <c r="P519" s="9">
        <v>0.02</v>
      </c>
      <c r="Q519" s="10">
        <f t="shared" si="92"/>
        <v>91</v>
      </c>
      <c r="R519" s="9">
        <v>5.0000000000000001E-3</v>
      </c>
      <c r="S519" s="10">
        <f t="shared" si="93"/>
        <v>23</v>
      </c>
      <c r="T519" s="9">
        <f t="shared" si="94"/>
        <v>2.517667844522968E-2</v>
      </c>
      <c r="U519" s="10">
        <f t="shared" si="95"/>
        <v>114</v>
      </c>
      <c r="V519" s="10">
        <f t="shared" si="96"/>
        <v>4642</v>
      </c>
      <c r="W519" s="11">
        <f>VLOOKUP(B519,[1]调薪计算!A:M,12,0)</f>
        <v>4641.2</v>
      </c>
      <c r="X519" s="12">
        <f t="shared" si="97"/>
        <v>113.19999999999982</v>
      </c>
      <c r="Y519" s="13">
        <f t="shared" si="98"/>
        <v>2.5000000000000001E-2</v>
      </c>
      <c r="Z519" s="14" t="str">
        <f t="shared" si="99"/>
        <v>0.00%-8.40%</v>
      </c>
      <c r="AA519" s="15"/>
      <c r="AB519" s="15"/>
      <c r="AC519" s="15"/>
      <c r="AD519" s="16"/>
      <c r="AE519" s="8">
        <f t="shared" si="100"/>
        <v>0</v>
      </c>
      <c r="AF519" s="17">
        <f t="shared" si="101"/>
        <v>4641.2</v>
      </c>
      <c r="AG519" s="18">
        <f t="shared" si="102"/>
        <v>113.19999999999982</v>
      </c>
      <c r="AH519" s="19">
        <f t="shared" si="103"/>
        <v>2.4999999999999911E-2</v>
      </c>
      <c r="AI519" s="20">
        <v>13.6</v>
      </c>
      <c r="AJ519" s="20">
        <v>450</v>
      </c>
      <c r="AK519" s="20"/>
      <c r="AL519" s="20">
        <v>688</v>
      </c>
      <c r="AM519" s="20">
        <f t="shared" si="104"/>
        <v>69208.319999999992</v>
      </c>
      <c r="AN519" s="7" t="s">
        <v>176</v>
      </c>
      <c r="AO519" s="20"/>
      <c r="AP519" s="21"/>
      <c r="AQ519" s="21"/>
      <c r="AR519" s="5" t="s">
        <v>751</v>
      </c>
      <c r="AS519" s="5" t="s">
        <v>164</v>
      </c>
      <c r="AT519" s="5" t="s">
        <v>59</v>
      </c>
      <c r="AU519" s="20"/>
      <c r="AV519" s="21"/>
      <c r="AW519" s="21"/>
      <c r="AX519" s="21"/>
    </row>
    <row r="520" spans="1:50" s="55" customFormat="1">
      <c r="A520" s="86" t="s">
        <v>318</v>
      </c>
      <c r="B520" s="5">
        <v>15014783</v>
      </c>
      <c r="C520" s="5" t="s">
        <v>895</v>
      </c>
      <c r="D520" s="5" t="s">
        <v>321</v>
      </c>
      <c r="E520" s="5" t="s">
        <v>52</v>
      </c>
      <c r="F520" s="5" t="s">
        <v>62</v>
      </c>
      <c r="G520" s="5" t="s">
        <v>207</v>
      </c>
      <c r="H520" s="5" t="s">
        <v>750</v>
      </c>
      <c r="I520" s="6">
        <v>42401</v>
      </c>
      <c r="J520" s="5" t="s">
        <v>336</v>
      </c>
      <c r="K520" s="5" t="s">
        <v>336</v>
      </c>
      <c r="L520" s="5" t="s">
        <v>324</v>
      </c>
      <c r="M520" s="7">
        <v>6</v>
      </c>
      <c r="N520" s="7" t="s">
        <v>176</v>
      </c>
      <c r="O520" s="8">
        <v>4631</v>
      </c>
      <c r="P520" s="9">
        <v>0.02</v>
      </c>
      <c r="Q520" s="10">
        <f t="shared" si="92"/>
        <v>93</v>
      </c>
      <c r="R520" s="9">
        <v>5.0000000000000001E-3</v>
      </c>
      <c r="S520" s="10">
        <f t="shared" si="93"/>
        <v>23</v>
      </c>
      <c r="T520" s="9">
        <f t="shared" si="94"/>
        <v>2.5048585618656877E-2</v>
      </c>
      <c r="U520" s="10">
        <f t="shared" si="95"/>
        <v>116</v>
      </c>
      <c r="V520" s="10">
        <f t="shared" si="96"/>
        <v>4747</v>
      </c>
      <c r="W520" s="11">
        <f>VLOOKUP(B520,[1]调薪计算!A:M,12,0)</f>
        <v>4631</v>
      </c>
      <c r="X520" s="12">
        <f t="shared" si="97"/>
        <v>0</v>
      </c>
      <c r="Y520" s="13">
        <f t="shared" si="98"/>
        <v>0</v>
      </c>
      <c r="Z520" s="14" t="str">
        <f t="shared" si="99"/>
        <v>0.00%-8.40%</v>
      </c>
      <c r="AA520" s="15"/>
      <c r="AB520" s="15"/>
      <c r="AC520" s="15"/>
      <c r="AD520" s="16"/>
      <c r="AE520" s="8">
        <f t="shared" si="100"/>
        <v>0</v>
      </c>
      <c r="AF520" s="17">
        <f t="shared" si="101"/>
        <v>4631</v>
      </c>
      <c r="AG520" s="18">
        <f t="shared" si="102"/>
        <v>0</v>
      </c>
      <c r="AH520" s="19">
        <f t="shared" si="103"/>
        <v>0</v>
      </c>
      <c r="AI520" s="20">
        <v>13.6</v>
      </c>
      <c r="AJ520" s="20">
        <v>450</v>
      </c>
      <c r="AK520" s="20"/>
      <c r="AL520" s="20">
        <v>688</v>
      </c>
      <c r="AM520" s="20">
        <f t="shared" si="104"/>
        <v>69069.600000000006</v>
      </c>
      <c r="AN520" s="7" t="s">
        <v>176</v>
      </c>
      <c r="AO520" s="20"/>
      <c r="AP520" s="21" t="s">
        <v>97</v>
      </c>
      <c r="AQ520" s="21" t="s">
        <v>97</v>
      </c>
      <c r="AR520" s="5" t="s">
        <v>751</v>
      </c>
      <c r="AS520" s="5" t="s">
        <v>164</v>
      </c>
      <c r="AT520" s="5" t="s">
        <v>59</v>
      </c>
      <c r="AU520" s="20"/>
      <c r="AV520" s="21"/>
      <c r="AW520" s="21"/>
      <c r="AX520" s="21"/>
    </row>
    <row r="521" spans="1:50" s="55" customFormat="1">
      <c r="A521" s="86" t="s">
        <v>318</v>
      </c>
      <c r="B521" s="5">
        <v>15008777</v>
      </c>
      <c r="C521" s="5" t="s">
        <v>896</v>
      </c>
      <c r="D521" s="5" t="s">
        <v>321</v>
      </c>
      <c r="E521" s="5" t="s">
        <v>52</v>
      </c>
      <c r="F521" s="5" t="s">
        <v>62</v>
      </c>
      <c r="G521" s="5" t="s">
        <v>207</v>
      </c>
      <c r="H521" s="5" t="s">
        <v>753</v>
      </c>
      <c r="I521" s="6">
        <v>41365</v>
      </c>
      <c r="J521" s="5" t="s">
        <v>336</v>
      </c>
      <c r="K521" s="5" t="s">
        <v>803</v>
      </c>
      <c r="L521" s="5" t="s">
        <v>324</v>
      </c>
      <c r="M521" s="7">
        <v>6</v>
      </c>
      <c r="N521" s="7" t="s">
        <v>176</v>
      </c>
      <c r="O521" s="8">
        <v>5662</v>
      </c>
      <c r="P521" s="9">
        <v>0.02</v>
      </c>
      <c r="Q521" s="10">
        <f t="shared" ref="Q521:Q584" si="105">ROUND(O521*P521,0)</f>
        <v>113</v>
      </c>
      <c r="R521" s="9">
        <v>5.0000000000000001E-3</v>
      </c>
      <c r="S521" s="10">
        <f t="shared" ref="S521:S584" si="106">ROUND(O521*R521,0)</f>
        <v>28</v>
      </c>
      <c r="T521" s="9">
        <f t="shared" ref="T521:T584" si="107">U521/O521</f>
        <v>2.4902861179795125E-2</v>
      </c>
      <c r="U521" s="10">
        <f t="shared" ref="U521:U584" si="108">Q521+S521</f>
        <v>141</v>
      </c>
      <c r="V521" s="10">
        <f t="shared" ref="V521:V584" si="109">O521+U521</f>
        <v>5803</v>
      </c>
      <c r="W521" s="11">
        <f>VLOOKUP(B521,[1]调薪计算!A:M,12,0)</f>
        <v>5718.62</v>
      </c>
      <c r="X521" s="12">
        <f t="shared" ref="X521:X584" si="110">W521-O521</f>
        <v>56.619999999999891</v>
      </c>
      <c r="Y521" s="13">
        <f t="shared" ref="Y521:Y584" si="111">ROUND(W521/O521-1,4)</f>
        <v>0.01</v>
      </c>
      <c r="Z521" s="14" t="str">
        <f t="shared" ref="Z521:Z584" si="112">IF(OR(M521=1,M521=2,M521=4),TEXT(T521*0.8,"0.00%")&amp;"-"&amp;TEXT(T521*1.2,"0.00%"),IF(OR(M521=3,M521=6),TEXT(0,"0.00%")&amp;"-"&amp;TEXT(7%*1.2,"0.00%"),IF(OR(M521=5,M521=7),TEXT((S521/O521),"0.00%")&amp;"-"&amp;TEXT((S521/O521)+7%,"0.00%"),"")))</f>
        <v>0.00%-8.40%</v>
      </c>
      <c r="AA521" s="15"/>
      <c r="AB521" s="15"/>
      <c r="AC521" s="15"/>
      <c r="AD521" s="16"/>
      <c r="AE521" s="8">
        <f t="shared" ref="AE521:AE584" si="113">ROUND(O521*AD521,0)</f>
        <v>0</v>
      </c>
      <c r="AF521" s="17">
        <f t="shared" ref="AF521:AF584" si="114">W521+AE521</f>
        <v>5718.62</v>
      </c>
      <c r="AG521" s="18">
        <f t="shared" ref="AG521:AG584" si="115">AF521-O521</f>
        <v>56.619999999999891</v>
      </c>
      <c r="AH521" s="19">
        <f t="shared" ref="AH521:AH584" si="116">AF521/O521-1</f>
        <v>1.0000000000000009E-2</v>
      </c>
      <c r="AI521" s="20">
        <v>13.6</v>
      </c>
      <c r="AJ521" s="20">
        <v>700</v>
      </c>
      <c r="AK521" s="20"/>
      <c r="AL521" s="20">
        <v>688</v>
      </c>
      <c r="AM521" s="20">
        <f t="shared" ref="AM521:AM584" si="117">AF521*AI521+AJ521*12+AL521+IF(AC521="",AK521,IF(AC521="D",5000,IF(AC521="C",1000,0)))*12</f>
        <v>86861.232000000004</v>
      </c>
      <c r="AN521" s="7" t="s">
        <v>176</v>
      </c>
      <c r="AO521" s="20"/>
      <c r="AP521" s="21"/>
      <c r="AQ521" s="21"/>
      <c r="AR521" s="5" t="s">
        <v>751</v>
      </c>
      <c r="AS521" s="5" t="s">
        <v>164</v>
      </c>
      <c r="AT521" s="5" t="s">
        <v>59</v>
      </c>
      <c r="AU521" s="20"/>
      <c r="AV521" s="21"/>
      <c r="AW521" s="21"/>
      <c r="AX521" s="21"/>
    </row>
    <row r="522" spans="1:50" s="55" customFormat="1">
      <c r="A522" s="86" t="s">
        <v>318</v>
      </c>
      <c r="B522" s="5">
        <v>15017362</v>
      </c>
      <c r="C522" s="5" t="s">
        <v>897</v>
      </c>
      <c r="D522" s="5" t="s">
        <v>321</v>
      </c>
      <c r="E522" s="5" t="s">
        <v>52</v>
      </c>
      <c r="F522" s="5" t="s">
        <v>62</v>
      </c>
      <c r="G522" s="5" t="s">
        <v>207</v>
      </c>
      <c r="H522" s="5" t="s">
        <v>753</v>
      </c>
      <c r="I522" s="6">
        <v>43070</v>
      </c>
      <c r="J522" s="5" t="s">
        <v>336</v>
      </c>
      <c r="K522" s="5" t="s">
        <v>511</v>
      </c>
      <c r="L522" s="5" t="s">
        <v>324</v>
      </c>
      <c r="M522" s="7">
        <v>6</v>
      </c>
      <c r="N522" s="7" t="s">
        <v>176</v>
      </c>
      <c r="O522" s="8">
        <v>5013</v>
      </c>
      <c r="P522" s="9">
        <v>0.02</v>
      </c>
      <c r="Q522" s="10">
        <f t="shared" si="105"/>
        <v>100</v>
      </c>
      <c r="R522" s="9">
        <v>5.0000000000000001E-3</v>
      </c>
      <c r="S522" s="10">
        <f t="shared" si="106"/>
        <v>25</v>
      </c>
      <c r="T522" s="9">
        <f t="shared" si="107"/>
        <v>2.4935168561739478E-2</v>
      </c>
      <c r="U522" s="10">
        <f t="shared" si="108"/>
        <v>125</v>
      </c>
      <c r="V522" s="10">
        <f t="shared" si="109"/>
        <v>5138</v>
      </c>
      <c r="W522" s="11">
        <f>VLOOKUP(B522,[1]调薪计算!A:M,12,0)</f>
        <v>5063.13</v>
      </c>
      <c r="X522" s="12">
        <f t="shared" si="110"/>
        <v>50.130000000000109</v>
      </c>
      <c r="Y522" s="13">
        <f t="shared" si="111"/>
        <v>0.01</v>
      </c>
      <c r="Z522" s="14" t="str">
        <f t="shared" si="112"/>
        <v>0.00%-8.40%</v>
      </c>
      <c r="AA522" s="15"/>
      <c r="AB522" s="15"/>
      <c r="AC522" s="15"/>
      <c r="AD522" s="16"/>
      <c r="AE522" s="8">
        <f t="shared" si="113"/>
        <v>0</v>
      </c>
      <c r="AF522" s="17">
        <f t="shared" si="114"/>
        <v>5063.13</v>
      </c>
      <c r="AG522" s="18">
        <f t="shared" si="115"/>
        <v>50.130000000000109</v>
      </c>
      <c r="AH522" s="19">
        <f t="shared" si="116"/>
        <v>1.0000000000000009E-2</v>
      </c>
      <c r="AI522" s="20">
        <v>13.6</v>
      </c>
      <c r="AJ522" s="20">
        <v>500</v>
      </c>
      <c r="AK522" s="20"/>
      <c r="AL522" s="20">
        <v>688</v>
      </c>
      <c r="AM522" s="20">
        <f t="shared" si="117"/>
        <v>75546.567999999999</v>
      </c>
      <c r="AN522" s="7" t="s">
        <v>176</v>
      </c>
      <c r="AO522" s="20"/>
      <c r="AP522" s="21"/>
      <c r="AQ522" s="21"/>
      <c r="AR522" s="5" t="s">
        <v>751</v>
      </c>
      <c r="AS522" s="5" t="s">
        <v>164</v>
      </c>
      <c r="AT522" s="5" t="s">
        <v>59</v>
      </c>
      <c r="AU522" s="20"/>
      <c r="AV522" s="21"/>
      <c r="AW522" s="21"/>
      <c r="AX522" s="21"/>
    </row>
    <row r="523" spans="1:50" s="55" customFormat="1">
      <c r="A523" s="86" t="s">
        <v>318</v>
      </c>
      <c r="B523" s="5">
        <v>15008764</v>
      </c>
      <c r="C523" s="5" t="s">
        <v>898</v>
      </c>
      <c r="D523" s="5" t="s">
        <v>321</v>
      </c>
      <c r="E523" s="5" t="s">
        <v>52</v>
      </c>
      <c r="F523" s="5" t="s">
        <v>62</v>
      </c>
      <c r="G523" s="5" t="s">
        <v>207</v>
      </c>
      <c r="H523" s="5" t="s">
        <v>753</v>
      </c>
      <c r="I523" s="6">
        <v>41365</v>
      </c>
      <c r="J523" s="5" t="s">
        <v>336</v>
      </c>
      <c r="K523" s="5" t="s">
        <v>511</v>
      </c>
      <c r="L523" s="5" t="s">
        <v>324</v>
      </c>
      <c r="M523" s="7">
        <v>6</v>
      </c>
      <c r="N523" s="7" t="s">
        <v>176</v>
      </c>
      <c r="O523" s="8">
        <v>5913</v>
      </c>
      <c r="P523" s="9">
        <v>0.02</v>
      </c>
      <c r="Q523" s="10">
        <f t="shared" si="105"/>
        <v>118</v>
      </c>
      <c r="R523" s="9">
        <v>5.0000000000000001E-3</v>
      </c>
      <c r="S523" s="10">
        <f t="shared" si="106"/>
        <v>30</v>
      </c>
      <c r="T523" s="9">
        <f t="shared" si="107"/>
        <v>2.5029595805851512E-2</v>
      </c>
      <c r="U523" s="10">
        <f t="shared" si="108"/>
        <v>148</v>
      </c>
      <c r="V523" s="10">
        <f t="shared" si="109"/>
        <v>6061</v>
      </c>
      <c r="W523" s="11">
        <f>VLOOKUP(B523,[1]调薪计算!A:M,12,0)</f>
        <v>6179.0849999999991</v>
      </c>
      <c r="X523" s="12">
        <f t="shared" si="110"/>
        <v>266.08499999999913</v>
      </c>
      <c r="Y523" s="13">
        <f t="shared" si="111"/>
        <v>4.4999999999999998E-2</v>
      </c>
      <c r="Z523" s="14" t="str">
        <f t="shared" si="112"/>
        <v>0.00%-8.40%</v>
      </c>
      <c r="AA523" s="15"/>
      <c r="AB523" s="15"/>
      <c r="AC523" s="15"/>
      <c r="AD523" s="16"/>
      <c r="AE523" s="8">
        <f t="shared" si="113"/>
        <v>0</v>
      </c>
      <c r="AF523" s="17">
        <f t="shared" si="114"/>
        <v>6179.0849999999991</v>
      </c>
      <c r="AG523" s="18">
        <f t="shared" si="115"/>
        <v>266.08499999999913</v>
      </c>
      <c r="AH523" s="19">
        <f t="shared" si="116"/>
        <v>4.4999999999999929E-2</v>
      </c>
      <c r="AI523" s="20">
        <v>13.6</v>
      </c>
      <c r="AJ523" s="20">
        <v>500</v>
      </c>
      <c r="AK523" s="20"/>
      <c r="AL523" s="20">
        <v>688</v>
      </c>
      <c r="AM523" s="20">
        <f t="shared" si="117"/>
        <v>90723.555999999982</v>
      </c>
      <c r="AN523" s="7" t="s">
        <v>176</v>
      </c>
      <c r="AO523" s="20"/>
      <c r="AP523" s="21"/>
      <c r="AQ523" s="21"/>
      <c r="AR523" s="5" t="s">
        <v>751</v>
      </c>
      <c r="AS523" s="5" t="s">
        <v>164</v>
      </c>
      <c r="AT523" s="5" t="s">
        <v>59</v>
      </c>
      <c r="AU523" s="20"/>
      <c r="AV523" s="21"/>
      <c r="AW523" s="21"/>
      <c r="AX523" s="21"/>
    </row>
    <row r="524" spans="1:50" s="55" customFormat="1">
      <c r="A524" s="86" t="s">
        <v>318</v>
      </c>
      <c r="B524" s="5">
        <v>15016100</v>
      </c>
      <c r="C524" s="5" t="s">
        <v>899</v>
      </c>
      <c r="D524" s="5" t="s">
        <v>321</v>
      </c>
      <c r="E524" s="5" t="s">
        <v>52</v>
      </c>
      <c r="F524" s="5" t="s">
        <v>62</v>
      </c>
      <c r="G524" s="5" t="s">
        <v>207</v>
      </c>
      <c r="H524" s="5" t="s">
        <v>753</v>
      </c>
      <c r="I524" s="6">
        <v>42795</v>
      </c>
      <c r="J524" s="5" t="s">
        <v>336</v>
      </c>
      <c r="K524" s="5" t="s">
        <v>511</v>
      </c>
      <c r="L524" s="5" t="s">
        <v>324</v>
      </c>
      <c r="M524" s="7">
        <v>6</v>
      </c>
      <c r="N524" s="7" t="s">
        <v>176</v>
      </c>
      <c r="O524" s="8">
        <v>4560</v>
      </c>
      <c r="P524" s="9">
        <v>0.02</v>
      </c>
      <c r="Q524" s="10">
        <f t="shared" si="105"/>
        <v>91</v>
      </c>
      <c r="R524" s="9">
        <v>5.0000000000000001E-3</v>
      </c>
      <c r="S524" s="10">
        <f t="shared" si="106"/>
        <v>23</v>
      </c>
      <c r="T524" s="9">
        <f t="shared" si="107"/>
        <v>2.5000000000000001E-2</v>
      </c>
      <c r="U524" s="10">
        <f t="shared" si="108"/>
        <v>114</v>
      </c>
      <c r="V524" s="10">
        <f t="shared" si="109"/>
        <v>4674</v>
      </c>
      <c r="W524" s="11">
        <f>VLOOKUP(B524,[1]调薪计算!A:M,12,0)</f>
        <v>4674</v>
      </c>
      <c r="X524" s="12">
        <f t="shared" si="110"/>
        <v>114</v>
      </c>
      <c r="Y524" s="13">
        <f t="shared" si="111"/>
        <v>2.5000000000000001E-2</v>
      </c>
      <c r="Z524" s="14" t="str">
        <f t="shared" si="112"/>
        <v>0.00%-8.40%</v>
      </c>
      <c r="AA524" s="15"/>
      <c r="AB524" s="15"/>
      <c r="AC524" s="15"/>
      <c r="AD524" s="16"/>
      <c r="AE524" s="8">
        <f t="shared" si="113"/>
        <v>0</v>
      </c>
      <c r="AF524" s="17">
        <f t="shared" si="114"/>
        <v>4674</v>
      </c>
      <c r="AG524" s="18">
        <f t="shared" si="115"/>
        <v>114</v>
      </c>
      <c r="AH524" s="19">
        <f t="shared" si="116"/>
        <v>2.4999999999999911E-2</v>
      </c>
      <c r="AI524" s="20">
        <v>13.6</v>
      </c>
      <c r="AJ524" s="20">
        <v>500</v>
      </c>
      <c r="AK524" s="20"/>
      <c r="AL524" s="20">
        <v>688</v>
      </c>
      <c r="AM524" s="20">
        <f t="shared" si="117"/>
        <v>70254.399999999994</v>
      </c>
      <c r="AN524" s="7" t="s">
        <v>176</v>
      </c>
      <c r="AO524" s="20"/>
      <c r="AP524" s="21"/>
      <c r="AQ524" s="21"/>
      <c r="AR524" s="5" t="s">
        <v>751</v>
      </c>
      <c r="AS524" s="5" t="s">
        <v>164</v>
      </c>
      <c r="AT524" s="5" t="s">
        <v>59</v>
      </c>
      <c r="AU524" s="20"/>
      <c r="AV524" s="21"/>
      <c r="AW524" s="21"/>
      <c r="AX524" s="21"/>
    </row>
    <row r="525" spans="1:50" s="55" customFormat="1">
      <c r="A525" s="86" t="s">
        <v>318</v>
      </c>
      <c r="B525" s="5">
        <v>15018308</v>
      </c>
      <c r="C525" s="5" t="s">
        <v>900</v>
      </c>
      <c r="D525" s="5" t="s">
        <v>321</v>
      </c>
      <c r="E525" s="5" t="s">
        <v>52</v>
      </c>
      <c r="F525" s="5" t="s">
        <v>62</v>
      </c>
      <c r="G525" s="5" t="s">
        <v>207</v>
      </c>
      <c r="H525" s="5" t="s">
        <v>753</v>
      </c>
      <c r="I525" s="6">
        <v>42991</v>
      </c>
      <c r="J525" s="5" t="s">
        <v>336</v>
      </c>
      <c r="K525" s="5" t="s">
        <v>803</v>
      </c>
      <c r="L525" s="5" t="s">
        <v>324</v>
      </c>
      <c r="M525" s="7">
        <v>6</v>
      </c>
      <c r="N525" s="7" t="s">
        <v>176</v>
      </c>
      <c r="O525" s="8">
        <v>5024</v>
      </c>
      <c r="P525" s="9">
        <v>0.02</v>
      </c>
      <c r="Q525" s="10">
        <f t="shared" si="105"/>
        <v>100</v>
      </c>
      <c r="R525" s="9">
        <v>5.0000000000000001E-3</v>
      </c>
      <c r="S525" s="10">
        <f t="shared" si="106"/>
        <v>25</v>
      </c>
      <c r="T525" s="9">
        <f t="shared" si="107"/>
        <v>2.4880573248407645E-2</v>
      </c>
      <c r="U525" s="10">
        <f t="shared" si="108"/>
        <v>125</v>
      </c>
      <c r="V525" s="10">
        <f t="shared" si="109"/>
        <v>5149</v>
      </c>
      <c r="W525" s="11">
        <f>VLOOKUP(B525,[1]调薪计算!A:M,12,0)</f>
        <v>5149.5999999999995</v>
      </c>
      <c r="X525" s="12">
        <f t="shared" si="110"/>
        <v>125.59999999999945</v>
      </c>
      <c r="Y525" s="13">
        <f t="shared" si="111"/>
        <v>2.5000000000000001E-2</v>
      </c>
      <c r="Z525" s="14" t="str">
        <f t="shared" si="112"/>
        <v>0.00%-8.40%</v>
      </c>
      <c r="AA525" s="15"/>
      <c r="AB525" s="15"/>
      <c r="AC525" s="15"/>
      <c r="AD525" s="16"/>
      <c r="AE525" s="8">
        <f t="shared" si="113"/>
        <v>0</v>
      </c>
      <c r="AF525" s="17">
        <f t="shared" si="114"/>
        <v>5149.5999999999995</v>
      </c>
      <c r="AG525" s="18">
        <f t="shared" si="115"/>
        <v>125.59999999999945</v>
      </c>
      <c r="AH525" s="19">
        <f t="shared" si="116"/>
        <v>2.4999999999999911E-2</v>
      </c>
      <c r="AI525" s="20">
        <v>13.6</v>
      </c>
      <c r="AJ525" s="20">
        <v>650</v>
      </c>
      <c r="AK525" s="20"/>
      <c r="AL525" s="20">
        <v>688</v>
      </c>
      <c r="AM525" s="20">
        <f t="shared" si="117"/>
        <v>78522.559999999998</v>
      </c>
      <c r="AN525" s="7" t="s">
        <v>176</v>
      </c>
      <c r="AO525" s="20"/>
      <c r="AP525" s="21"/>
      <c r="AQ525" s="21"/>
      <c r="AR525" s="5" t="s">
        <v>751</v>
      </c>
      <c r="AS525" s="5" t="s">
        <v>164</v>
      </c>
      <c r="AT525" s="5" t="s">
        <v>59</v>
      </c>
      <c r="AU525" s="20"/>
      <c r="AV525" s="21"/>
      <c r="AW525" s="21"/>
      <c r="AX525" s="21"/>
    </row>
    <row r="526" spans="1:50" s="55" customFormat="1">
      <c r="A526" s="86" t="s">
        <v>318</v>
      </c>
      <c r="B526" s="5">
        <v>15007182</v>
      </c>
      <c r="C526" s="5" t="s">
        <v>901</v>
      </c>
      <c r="D526" s="5" t="s">
        <v>321</v>
      </c>
      <c r="E526" s="5" t="s">
        <v>52</v>
      </c>
      <c r="F526" s="5" t="s">
        <v>62</v>
      </c>
      <c r="G526" s="5" t="s">
        <v>207</v>
      </c>
      <c r="H526" s="5" t="s">
        <v>753</v>
      </c>
      <c r="I526" s="6">
        <v>41030</v>
      </c>
      <c r="J526" s="5" t="s">
        <v>336</v>
      </c>
      <c r="K526" s="5" t="s">
        <v>803</v>
      </c>
      <c r="L526" s="5" t="s">
        <v>324</v>
      </c>
      <c r="M526" s="7">
        <v>6</v>
      </c>
      <c r="N526" s="7" t="s">
        <v>176</v>
      </c>
      <c r="O526" s="8">
        <v>4598</v>
      </c>
      <c r="P526" s="9">
        <v>0.02</v>
      </c>
      <c r="Q526" s="10">
        <f t="shared" si="105"/>
        <v>92</v>
      </c>
      <c r="R526" s="9">
        <v>5.0000000000000001E-3</v>
      </c>
      <c r="S526" s="10">
        <f t="shared" si="106"/>
        <v>23</v>
      </c>
      <c r="T526" s="9">
        <f t="shared" si="107"/>
        <v>2.5010874293170945E-2</v>
      </c>
      <c r="U526" s="10">
        <f t="shared" si="108"/>
        <v>115</v>
      </c>
      <c r="V526" s="10">
        <f t="shared" si="109"/>
        <v>4713</v>
      </c>
      <c r="W526" s="11">
        <f>VLOOKUP(B526,[1]调薪计算!A:M,12,0)</f>
        <v>4598</v>
      </c>
      <c r="X526" s="12">
        <f t="shared" si="110"/>
        <v>0</v>
      </c>
      <c r="Y526" s="13">
        <f t="shared" si="111"/>
        <v>0</v>
      </c>
      <c r="Z526" s="14" t="str">
        <f t="shared" si="112"/>
        <v>0.00%-8.40%</v>
      </c>
      <c r="AA526" s="15"/>
      <c r="AB526" s="15"/>
      <c r="AC526" s="15"/>
      <c r="AD526" s="16"/>
      <c r="AE526" s="8">
        <f t="shared" si="113"/>
        <v>0</v>
      </c>
      <c r="AF526" s="17">
        <f t="shared" si="114"/>
        <v>4598</v>
      </c>
      <c r="AG526" s="18">
        <f t="shared" si="115"/>
        <v>0</v>
      </c>
      <c r="AH526" s="19">
        <f t="shared" si="116"/>
        <v>0</v>
      </c>
      <c r="AI526" s="20">
        <v>13.6</v>
      </c>
      <c r="AJ526" s="20">
        <v>700</v>
      </c>
      <c r="AK526" s="20"/>
      <c r="AL526" s="20">
        <v>688</v>
      </c>
      <c r="AM526" s="20">
        <f t="shared" si="117"/>
        <v>71620.799999999988</v>
      </c>
      <c r="AN526" s="7" t="s">
        <v>176</v>
      </c>
      <c r="AO526" s="20"/>
      <c r="AP526" s="21" t="s">
        <v>97</v>
      </c>
      <c r="AQ526" s="21" t="s">
        <v>97</v>
      </c>
      <c r="AR526" s="5" t="s">
        <v>751</v>
      </c>
      <c r="AS526" s="5" t="s">
        <v>164</v>
      </c>
      <c r="AT526" s="5" t="s">
        <v>59</v>
      </c>
      <c r="AU526" s="20"/>
      <c r="AV526" s="21"/>
      <c r="AW526" s="21"/>
      <c r="AX526" s="21"/>
    </row>
    <row r="527" spans="1:50" s="55" customFormat="1">
      <c r="A527" s="86" t="s">
        <v>318</v>
      </c>
      <c r="B527" s="5">
        <v>15013200</v>
      </c>
      <c r="C527" s="5" t="s">
        <v>902</v>
      </c>
      <c r="D527" s="5" t="s">
        <v>321</v>
      </c>
      <c r="E527" s="5" t="s">
        <v>52</v>
      </c>
      <c r="F527" s="5" t="s">
        <v>62</v>
      </c>
      <c r="G527" s="5" t="s">
        <v>207</v>
      </c>
      <c r="H527" s="5" t="s">
        <v>753</v>
      </c>
      <c r="I527" s="6">
        <v>41852</v>
      </c>
      <c r="J527" s="5" t="s">
        <v>336</v>
      </c>
      <c r="K527" s="5" t="s">
        <v>511</v>
      </c>
      <c r="L527" s="5" t="s">
        <v>324</v>
      </c>
      <c r="M527" s="7">
        <v>6</v>
      </c>
      <c r="N527" s="7" t="s">
        <v>176</v>
      </c>
      <c r="O527" s="8">
        <v>4667</v>
      </c>
      <c r="P527" s="9">
        <v>0.02</v>
      </c>
      <c r="Q527" s="10">
        <f t="shared" si="105"/>
        <v>93</v>
      </c>
      <c r="R527" s="9">
        <v>5.0000000000000001E-3</v>
      </c>
      <c r="S527" s="10">
        <f t="shared" si="106"/>
        <v>23</v>
      </c>
      <c r="T527" s="9">
        <f t="shared" si="107"/>
        <v>2.4855367473751874E-2</v>
      </c>
      <c r="U527" s="10">
        <f t="shared" si="108"/>
        <v>116</v>
      </c>
      <c r="V527" s="10">
        <f t="shared" si="109"/>
        <v>4783</v>
      </c>
      <c r="W527" s="11">
        <f>VLOOKUP(B527,[1]调薪计算!A:M,12,0)</f>
        <v>4783.6749999999993</v>
      </c>
      <c r="X527" s="12">
        <f t="shared" si="110"/>
        <v>116.67499999999927</v>
      </c>
      <c r="Y527" s="13">
        <f t="shared" si="111"/>
        <v>2.5000000000000001E-2</v>
      </c>
      <c r="Z527" s="14" t="str">
        <f t="shared" si="112"/>
        <v>0.00%-8.40%</v>
      </c>
      <c r="AA527" s="15"/>
      <c r="AB527" s="15"/>
      <c r="AC527" s="15"/>
      <c r="AD527" s="16"/>
      <c r="AE527" s="8">
        <f t="shared" si="113"/>
        <v>0</v>
      </c>
      <c r="AF527" s="17">
        <f t="shared" si="114"/>
        <v>4783.6749999999993</v>
      </c>
      <c r="AG527" s="18">
        <f t="shared" si="115"/>
        <v>116.67499999999927</v>
      </c>
      <c r="AH527" s="19">
        <f t="shared" si="116"/>
        <v>2.4999999999999911E-2</v>
      </c>
      <c r="AI527" s="20">
        <v>13.6</v>
      </c>
      <c r="AJ527" s="20">
        <v>500</v>
      </c>
      <c r="AK527" s="20"/>
      <c r="AL527" s="20">
        <v>688</v>
      </c>
      <c r="AM527" s="20">
        <f t="shared" si="117"/>
        <v>71745.979999999981</v>
      </c>
      <c r="AN527" s="7" t="s">
        <v>176</v>
      </c>
      <c r="AO527" s="20"/>
      <c r="AP527" s="21"/>
      <c r="AQ527" s="21"/>
      <c r="AR527" s="5" t="s">
        <v>751</v>
      </c>
      <c r="AS527" s="5" t="s">
        <v>164</v>
      </c>
      <c r="AT527" s="5" t="s">
        <v>59</v>
      </c>
      <c r="AU527" s="20"/>
      <c r="AV527" s="21"/>
      <c r="AW527" s="21"/>
      <c r="AX527" s="21"/>
    </row>
    <row r="528" spans="1:50" s="55" customFormat="1">
      <c r="A528" s="86" t="s">
        <v>318</v>
      </c>
      <c r="B528" s="5">
        <v>15020017</v>
      </c>
      <c r="C528" s="5" t="s">
        <v>903</v>
      </c>
      <c r="D528" s="5" t="s">
        <v>321</v>
      </c>
      <c r="E528" s="5" t="s">
        <v>52</v>
      </c>
      <c r="F528" s="5" t="s">
        <v>62</v>
      </c>
      <c r="G528" s="5" t="s">
        <v>207</v>
      </c>
      <c r="H528" s="5" t="s">
        <v>753</v>
      </c>
      <c r="I528" s="6">
        <v>44105</v>
      </c>
      <c r="J528" s="5" t="s">
        <v>336</v>
      </c>
      <c r="K528" s="5" t="s">
        <v>511</v>
      </c>
      <c r="L528" s="5" t="s">
        <v>324</v>
      </c>
      <c r="M528" s="7">
        <v>6</v>
      </c>
      <c r="N528" s="7" t="s">
        <v>176</v>
      </c>
      <c r="O528" s="8">
        <v>5066</v>
      </c>
      <c r="P528" s="9">
        <v>0.02</v>
      </c>
      <c r="Q528" s="10">
        <f t="shared" si="105"/>
        <v>101</v>
      </c>
      <c r="R528" s="9">
        <v>5.0000000000000001E-3</v>
      </c>
      <c r="S528" s="10">
        <f t="shared" si="106"/>
        <v>25</v>
      </c>
      <c r="T528" s="9">
        <f t="shared" si="107"/>
        <v>2.4871693643900513E-2</v>
      </c>
      <c r="U528" s="10">
        <f t="shared" si="108"/>
        <v>126</v>
      </c>
      <c r="V528" s="10">
        <f t="shared" si="109"/>
        <v>5192</v>
      </c>
      <c r="W528" s="11">
        <f>VLOOKUP(B528,[1]调薪计算!A:M,12,0)</f>
        <v>5192.6499999999996</v>
      </c>
      <c r="X528" s="12">
        <f t="shared" si="110"/>
        <v>126.64999999999964</v>
      </c>
      <c r="Y528" s="13">
        <f t="shared" si="111"/>
        <v>2.5000000000000001E-2</v>
      </c>
      <c r="Z528" s="14" t="str">
        <f t="shared" si="112"/>
        <v>0.00%-8.40%</v>
      </c>
      <c r="AA528" s="15"/>
      <c r="AB528" s="15"/>
      <c r="AC528" s="15"/>
      <c r="AD528" s="16"/>
      <c r="AE528" s="8">
        <f t="shared" si="113"/>
        <v>0</v>
      </c>
      <c r="AF528" s="17">
        <f t="shared" si="114"/>
        <v>5192.6499999999996</v>
      </c>
      <c r="AG528" s="18">
        <f t="shared" si="115"/>
        <v>126.64999999999964</v>
      </c>
      <c r="AH528" s="19">
        <f t="shared" si="116"/>
        <v>2.4999999999999911E-2</v>
      </c>
      <c r="AI528" s="20">
        <v>13.6</v>
      </c>
      <c r="AJ528" s="20">
        <v>450</v>
      </c>
      <c r="AK528" s="20"/>
      <c r="AL528" s="20">
        <v>688</v>
      </c>
      <c r="AM528" s="20">
        <f t="shared" si="117"/>
        <v>76708.039999999994</v>
      </c>
      <c r="AN528" s="7" t="s">
        <v>176</v>
      </c>
      <c r="AO528" s="20"/>
      <c r="AP528" s="21"/>
      <c r="AQ528" s="21"/>
      <c r="AR528" s="5" t="s">
        <v>751</v>
      </c>
      <c r="AS528" s="5" t="s">
        <v>164</v>
      </c>
      <c r="AT528" s="5" t="s">
        <v>59</v>
      </c>
      <c r="AU528" s="20"/>
      <c r="AV528" s="21"/>
      <c r="AW528" s="21"/>
      <c r="AX528" s="21"/>
    </row>
    <row r="529" spans="1:50" s="55" customFormat="1">
      <c r="A529" s="86" t="s">
        <v>318</v>
      </c>
      <c r="B529" s="5">
        <v>15005133</v>
      </c>
      <c r="C529" s="5" t="s">
        <v>904</v>
      </c>
      <c r="D529" s="5" t="s">
        <v>321</v>
      </c>
      <c r="E529" s="5" t="s">
        <v>52</v>
      </c>
      <c r="F529" s="5" t="s">
        <v>62</v>
      </c>
      <c r="G529" s="5" t="s">
        <v>207</v>
      </c>
      <c r="H529" s="5" t="s">
        <v>753</v>
      </c>
      <c r="I529" s="6">
        <v>41091</v>
      </c>
      <c r="J529" s="5" t="s">
        <v>336</v>
      </c>
      <c r="K529" s="5" t="s">
        <v>803</v>
      </c>
      <c r="L529" s="5" t="s">
        <v>324</v>
      </c>
      <c r="M529" s="7">
        <v>6</v>
      </c>
      <c r="N529" s="7" t="s">
        <v>176</v>
      </c>
      <c r="O529" s="8">
        <v>5222</v>
      </c>
      <c r="P529" s="9">
        <v>0.02</v>
      </c>
      <c r="Q529" s="10">
        <f t="shared" si="105"/>
        <v>104</v>
      </c>
      <c r="R529" s="9">
        <v>5.0000000000000001E-3</v>
      </c>
      <c r="S529" s="10">
        <f t="shared" si="106"/>
        <v>26</v>
      </c>
      <c r="T529" s="9">
        <f t="shared" si="107"/>
        <v>2.4894676369207201E-2</v>
      </c>
      <c r="U529" s="10">
        <f t="shared" si="108"/>
        <v>130</v>
      </c>
      <c r="V529" s="10">
        <f t="shared" si="109"/>
        <v>5352</v>
      </c>
      <c r="W529" s="11">
        <f>VLOOKUP(B529,[1]调薪计算!A:M,12,0)</f>
        <v>5352.5499999999993</v>
      </c>
      <c r="X529" s="12">
        <f t="shared" si="110"/>
        <v>130.54999999999927</v>
      </c>
      <c r="Y529" s="13">
        <f t="shared" si="111"/>
        <v>2.5000000000000001E-2</v>
      </c>
      <c r="Z529" s="14" t="str">
        <f t="shared" si="112"/>
        <v>0.00%-8.40%</v>
      </c>
      <c r="AA529" s="15"/>
      <c r="AB529" s="15"/>
      <c r="AC529" s="15"/>
      <c r="AD529" s="16"/>
      <c r="AE529" s="8">
        <f t="shared" si="113"/>
        <v>0</v>
      </c>
      <c r="AF529" s="17">
        <f t="shared" si="114"/>
        <v>5352.5499999999993</v>
      </c>
      <c r="AG529" s="18">
        <f t="shared" si="115"/>
        <v>130.54999999999927</v>
      </c>
      <c r="AH529" s="19">
        <f t="shared" si="116"/>
        <v>2.4999999999999911E-2</v>
      </c>
      <c r="AI529" s="20">
        <v>13.6</v>
      </c>
      <c r="AJ529" s="20">
        <v>700</v>
      </c>
      <c r="AK529" s="20"/>
      <c r="AL529" s="20">
        <v>688</v>
      </c>
      <c r="AM529" s="20">
        <f t="shared" si="117"/>
        <v>81882.679999999993</v>
      </c>
      <c r="AN529" s="7" t="s">
        <v>176</v>
      </c>
      <c r="AO529" s="20"/>
      <c r="AP529" s="21"/>
      <c r="AQ529" s="21"/>
      <c r="AR529" s="5" t="s">
        <v>751</v>
      </c>
      <c r="AS529" s="5" t="s">
        <v>164</v>
      </c>
      <c r="AT529" s="5" t="s">
        <v>59</v>
      </c>
      <c r="AU529" s="20"/>
      <c r="AV529" s="21"/>
      <c r="AW529" s="21"/>
      <c r="AX529" s="21"/>
    </row>
    <row r="530" spans="1:50" s="55" customFormat="1">
      <c r="A530" s="86" t="s">
        <v>318</v>
      </c>
      <c r="B530" s="5">
        <v>15016588</v>
      </c>
      <c r="C530" s="5" t="s">
        <v>905</v>
      </c>
      <c r="D530" s="5" t="s">
        <v>321</v>
      </c>
      <c r="E530" s="5" t="s">
        <v>52</v>
      </c>
      <c r="F530" s="5" t="s">
        <v>62</v>
      </c>
      <c r="G530" s="5" t="s">
        <v>207</v>
      </c>
      <c r="H530" s="5" t="s">
        <v>753</v>
      </c>
      <c r="I530" s="6">
        <v>42979</v>
      </c>
      <c r="J530" s="5" t="s">
        <v>336</v>
      </c>
      <c r="K530" s="5" t="s">
        <v>511</v>
      </c>
      <c r="L530" s="5" t="s">
        <v>324</v>
      </c>
      <c r="M530" s="7">
        <v>6</v>
      </c>
      <c r="N530" s="7" t="s">
        <v>176</v>
      </c>
      <c r="O530" s="8">
        <v>5849</v>
      </c>
      <c r="P530" s="9">
        <v>0.02</v>
      </c>
      <c r="Q530" s="10">
        <f t="shared" si="105"/>
        <v>117</v>
      </c>
      <c r="R530" s="9">
        <v>5.0000000000000001E-3</v>
      </c>
      <c r="S530" s="10">
        <f t="shared" si="106"/>
        <v>29</v>
      </c>
      <c r="T530" s="9">
        <f t="shared" si="107"/>
        <v>2.4961531885792441E-2</v>
      </c>
      <c r="U530" s="10">
        <f t="shared" si="108"/>
        <v>146</v>
      </c>
      <c r="V530" s="10">
        <f t="shared" si="109"/>
        <v>5995</v>
      </c>
      <c r="W530" s="11">
        <f>VLOOKUP(B530,[1]调薪计算!A:M,12,0)</f>
        <v>5995.2249999999995</v>
      </c>
      <c r="X530" s="12">
        <f t="shared" si="110"/>
        <v>146.22499999999945</v>
      </c>
      <c r="Y530" s="13">
        <f t="shared" si="111"/>
        <v>2.5000000000000001E-2</v>
      </c>
      <c r="Z530" s="14" t="str">
        <f t="shared" si="112"/>
        <v>0.00%-8.40%</v>
      </c>
      <c r="AA530" s="15"/>
      <c r="AB530" s="15"/>
      <c r="AC530" s="15"/>
      <c r="AD530" s="16"/>
      <c r="AE530" s="8">
        <f t="shared" si="113"/>
        <v>0</v>
      </c>
      <c r="AF530" s="17">
        <f t="shared" si="114"/>
        <v>5995.2249999999995</v>
      </c>
      <c r="AG530" s="18">
        <f t="shared" si="115"/>
        <v>146.22499999999945</v>
      </c>
      <c r="AH530" s="19">
        <f t="shared" si="116"/>
        <v>2.4999999999999911E-2</v>
      </c>
      <c r="AI530" s="20">
        <v>13.6</v>
      </c>
      <c r="AJ530" s="20">
        <v>500</v>
      </c>
      <c r="AK530" s="20"/>
      <c r="AL530" s="20">
        <v>688</v>
      </c>
      <c r="AM530" s="20">
        <f t="shared" si="117"/>
        <v>88223.06</v>
      </c>
      <c r="AN530" s="7" t="s">
        <v>176</v>
      </c>
      <c r="AO530" s="20"/>
      <c r="AP530" s="21"/>
      <c r="AQ530" s="21"/>
      <c r="AR530" s="5" t="s">
        <v>751</v>
      </c>
      <c r="AS530" s="5" t="s">
        <v>164</v>
      </c>
      <c r="AT530" s="5" t="s">
        <v>59</v>
      </c>
      <c r="AU530" s="20"/>
      <c r="AV530" s="21"/>
      <c r="AW530" s="21"/>
      <c r="AX530" s="21"/>
    </row>
    <row r="531" spans="1:50" s="55" customFormat="1">
      <c r="A531" s="86" t="s">
        <v>318</v>
      </c>
      <c r="B531" s="5">
        <v>15015062</v>
      </c>
      <c r="C531" s="5" t="s">
        <v>906</v>
      </c>
      <c r="D531" s="5" t="s">
        <v>321</v>
      </c>
      <c r="E531" s="5" t="s">
        <v>52</v>
      </c>
      <c r="F531" s="5" t="s">
        <v>62</v>
      </c>
      <c r="G531" s="5" t="s">
        <v>207</v>
      </c>
      <c r="H531" s="5" t="s">
        <v>753</v>
      </c>
      <c r="I531" s="6">
        <v>42552</v>
      </c>
      <c r="J531" s="5" t="s">
        <v>336</v>
      </c>
      <c r="K531" s="5" t="s">
        <v>511</v>
      </c>
      <c r="L531" s="5" t="s">
        <v>324</v>
      </c>
      <c r="M531" s="7">
        <v>6</v>
      </c>
      <c r="N531" s="7" t="s">
        <v>176</v>
      </c>
      <c r="O531" s="8">
        <v>4798</v>
      </c>
      <c r="P531" s="9">
        <v>0.02</v>
      </c>
      <c r="Q531" s="10">
        <f t="shared" si="105"/>
        <v>96</v>
      </c>
      <c r="R531" s="9">
        <v>5.0000000000000001E-3</v>
      </c>
      <c r="S531" s="10">
        <f t="shared" si="106"/>
        <v>24</v>
      </c>
      <c r="T531" s="9">
        <f t="shared" si="107"/>
        <v>2.5010421008753649E-2</v>
      </c>
      <c r="U531" s="10">
        <f t="shared" si="108"/>
        <v>120</v>
      </c>
      <c r="V531" s="10">
        <f t="shared" si="109"/>
        <v>4918</v>
      </c>
      <c r="W531" s="11">
        <f>VLOOKUP(B531,[1]调薪计算!A:M,12,0)</f>
        <v>4845.9800000000005</v>
      </c>
      <c r="X531" s="12">
        <f t="shared" si="110"/>
        <v>47.980000000000473</v>
      </c>
      <c r="Y531" s="13">
        <f t="shared" si="111"/>
        <v>0.01</v>
      </c>
      <c r="Z531" s="14" t="str">
        <f t="shared" si="112"/>
        <v>0.00%-8.40%</v>
      </c>
      <c r="AA531" s="15"/>
      <c r="AB531" s="15"/>
      <c r="AC531" s="15"/>
      <c r="AD531" s="16"/>
      <c r="AE531" s="8">
        <f t="shared" si="113"/>
        <v>0</v>
      </c>
      <c r="AF531" s="17">
        <f t="shared" si="114"/>
        <v>4845.9800000000005</v>
      </c>
      <c r="AG531" s="18">
        <f t="shared" si="115"/>
        <v>47.980000000000473</v>
      </c>
      <c r="AH531" s="19">
        <f t="shared" si="116"/>
        <v>1.0000000000000009E-2</v>
      </c>
      <c r="AI531" s="20">
        <v>13.6</v>
      </c>
      <c r="AJ531" s="20">
        <v>500</v>
      </c>
      <c r="AK531" s="20"/>
      <c r="AL531" s="20">
        <v>688</v>
      </c>
      <c r="AM531" s="20">
        <f t="shared" si="117"/>
        <v>72593.328000000009</v>
      </c>
      <c r="AN531" s="7" t="s">
        <v>176</v>
      </c>
      <c r="AO531" s="20"/>
      <c r="AP531" s="21"/>
      <c r="AQ531" s="21"/>
      <c r="AR531" s="5" t="s">
        <v>751</v>
      </c>
      <c r="AS531" s="5" t="s">
        <v>164</v>
      </c>
      <c r="AT531" s="5" t="s">
        <v>59</v>
      </c>
      <c r="AU531" s="20"/>
      <c r="AV531" s="21"/>
      <c r="AW531" s="21"/>
      <c r="AX531" s="21"/>
    </row>
    <row r="532" spans="1:50" s="55" customFormat="1">
      <c r="A532" s="86" t="s">
        <v>318</v>
      </c>
      <c r="B532" s="5">
        <v>15009138</v>
      </c>
      <c r="C532" s="5" t="s">
        <v>907</v>
      </c>
      <c r="D532" s="5" t="s">
        <v>321</v>
      </c>
      <c r="E532" s="5" t="s">
        <v>52</v>
      </c>
      <c r="F532" s="5" t="s">
        <v>62</v>
      </c>
      <c r="G532" s="5" t="s">
        <v>207</v>
      </c>
      <c r="H532" s="5" t="s">
        <v>750</v>
      </c>
      <c r="I532" s="6">
        <v>41487</v>
      </c>
      <c r="J532" s="5" t="s">
        <v>336</v>
      </c>
      <c r="K532" s="5" t="s">
        <v>336</v>
      </c>
      <c r="L532" s="5" t="s">
        <v>324</v>
      </c>
      <c r="M532" s="7">
        <v>6</v>
      </c>
      <c r="N532" s="7" t="s">
        <v>176</v>
      </c>
      <c r="O532" s="8">
        <v>5021</v>
      </c>
      <c r="P532" s="9">
        <v>0.02</v>
      </c>
      <c r="Q532" s="10">
        <f t="shared" si="105"/>
        <v>100</v>
      </c>
      <c r="R532" s="9">
        <v>5.0000000000000001E-3</v>
      </c>
      <c r="S532" s="10">
        <f t="shared" si="106"/>
        <v>25</v>
      </c>
      <c r="T532" s="9">
        <f t="shared" si="107"/>
        <v>2.4895439155546702E-2</v>
      </c>
      <c r="U532" s="10">
        <f t="shared" si="108"/>
        <v>125</v>
      </c>
      <c r="V532" s="10">
        <f t="shared" si="109"/>
        <v>5146</v>
      </c>
      <c r="W532" s="11">
        <f>VLOOKUP(B532,[1]调薪计算!A:M,12,0)</f>
        <v>5071.21</v>
      </c>
      <c r="X532" s="12">
        <f t="shared" si="110"/>
        <v>50.210000000000036</v>
      </c>
      <c r="Y532" s="13">
        <f t="shared" si="111"/>
        <v>0.01</v>
      </c>
      <c r="Z532" s="14" t="str">
        <f t="shared" si="112"/>
        <v>0.00%-8.40%</v>
      </c>
      <c r="AA532" s="15"/>
      <c r="AB532" s="15"/>
      <c r="AC532" s="15"/>
      <c r="AD532" s="16"/>
      <c r="AE532" s="8">
        <f t="shared" si="113"/>
        <v>0</v>
      </c>
      <c r="AF532" s="17">
        <f t="shared" si="114"/>
        <v>5071.21</v>
      </c>
      <c r="AG532" s="18">
        <f t="shared" si="115"/>
        <v>50.210000000000036</v>
      </c>
      <c r="AH532" s="19">
        <f t="shared" si="116"/>
        <v>1.0000000000000009E-2</v>
      </c>
      <c r="AI532" s="20">
        <v>13.6</v>
      </c>
      <c r="AJ532" s="20">
        <v>450</v>
      </c>
      <c r="AK532" s="20"/>
      <c r="AL532" s="20">
        <v>688</v>
      </c>
      <c r="AM532" s="20">
        <f t="shared" si="117"/>
        <v>75056.456000000006</v>
      </c>
      <c r="AN532" s="7" t="s">
        <v>176</v>
      </c>
      <c r="AO532" s="20"/>
      <c r="AP532" s="21"/>
      <c r="AQ532" s="21"/>
      <c r="AR532" s="5" t="s">
        <v>751</v>
      </c>
      <c r="AS532" s="5" t="s">
        <v>164</v>
      </c>
      <c r="AT532" s="5" t="s">
        <v>59</v>
      </c>
      <c r="AU532" s="20"/>
      <c r="AV532" s="21"/>
      <c r="AW532" s="21"/>
      <c r="AX532" s="21"/>
    </row>
    <row r="533" spans="1:50" s="55" customFormat="1">
      <c r="A533" s="86" t="s">
        <v>318</v>
      </c>
      <c r="B533" s="5">
        <v>15007848</v>
      </c>
      <c r="C533" s="5" t="s">
        <v>908</v>
      </c>
      <c r="D533" s="5" t="s">
        <v>321</v>
      </c>
      <c r="E533" s="5" t="s">
        <v>52</v>
      </c>
      <c r="F533" s="5" t="s">
        <v>62</v>
      </c>
      <c r="G533" s="5" t="s">
        <v>207</v>
      </c>
      <c r="H533" s="5" t="s">
        <v>753</v>
      </c>
      <c r="I533" s="6">
        <v>41275</v>
      </c>
      <c r="J533" s="5" t="s">
        <v>336</v>
      </c>
      <c r="K533" s="5" t="s">
        <v>511</v>
      </c>
      <c r="L533" s="5" t="s">
        <v>324</v>
      </c>
      <c r="M533" s="7">
        <v>6</v>
      </c>
      <c r="N533" s="7" t="s">
        <v>176</v>
      </c>
      <c r="O533" s="8">
        <v>4976</v>
      </c>
      <c r="P533" s="9">
        <v>0.02</v>
      </c>
      <c r="Q533" s="10">
        <f t="shared" si="105"/>
        <v>100</v>
      </c>
      <c r="R533" s="9">
        <v>5.0000000000000001E-3</v>
      </c>
      <c r="S533" s="10">
        <f t="shared" si="106"/>
        <v>25</v>
      </c>
      <c r="T533" s="9">
        <f t="shared" si="107"/>
        <v>2.5120578778135047E-2</v>
      </c>
      <c r="U533" s="10">
        <f t="shared" si="108"/>
        <v>125</v>
      </c>
      <c r="V533" s="10">
        <f t="shared" si="109"/>
        <v>5101</v>
      </c>
      <c r="W533" s="11">
        <f>VLOOKUP(B533,[1]调薪计算!A:M,12,0)</f>
        <v>5025.76</v>
      </c>
      <c r="X533" s="12">
        <f t="shared" si="110"/>
        <v>49.760000000000218</v>
      </c>
      <c r="Y533" s="13">
        <f t="shared" si="111"/>
        <v>0.01</v>
      </c>
      <c r="Z533" s="14" t="str">
        <f t="shared" si="112"/>
        <v>0.00%-8.40%</v>
      </c>
      <c r="AA533" s="15"/>
      <c r="AB533" s="15"/>
      <c r="AC533" s="15"/>
      <c r="AD533" s="16"/>
      <c r="AE533" s="8">
        <f t="shared" si="113"/>
        <v>0</v>
      </c>
      <c r="AF533" s="17">
        <f t="shared" si="114"/>
        <v>5025.76</v>
      </c>
      <c r="AG533" s="18">
        <f t="shared" si="115"/>
        <v>49.760000000000218</v>
      </c>
      <c r="AH533" s="19">
        <f t="shared" si="116"/>
        <v>1.0000000000000009E-2</v>
      </c>
      <c r="AI533" s="20">
        <v>13.6</v>
      </c>
      <c r="AJ533" s="20">
        <v>500</v>
      </c>
      <c r="AK533" s="20"/>
      <c r="AL533" s="20">
        <v>688</v>
      </c>
      <c r="AM533" s="20">
        <f t="shared" si="117"/>
        <v>75038.335999999996</v>
      </c>
      <c r="AN533" s="7" t="s">
        <v>176</v>
      </c>
      <c r="AO533" s="20"/>
      <c r="AP533" s="21"/>
      <c r="AQ533" s="21"/>
      <c r="AR533" s="5" t="s">
        <v>751</v>
      </c>
      <c r="AS533" s="5" t="s">
        <v>164</v>
      </c>
      <c r="AT533" s="5" t="s">
        <v>59</v>
      </c>
      <c r="AU533" s="20"/>
      <c r="AV533" s="21"/>
      <c r="AW533" s="21"/>
      <c r="AX533" s="21"/>
    </row>
    <row r="534" spans="1:50" s="55" customFormat="1">
      <c r="A534" s="86" t="s">
        <v>318</v>
      </c>
      <c r="B534" s="5">
        <v>15018939</v>
      </c>
      <c r="C534" s="5" t="s">
        <v>909</v>
      </c>
      <c r="D534" s="5" t="s">
        <v>321</v>
      </c>
      <c r="E534" s="5" t="s">
        <v>52</v>
      </c>
      <c r="F534" s="5" t="s">
        <v>62</v>
      </c>
      <c r="G534" s="5" t="s">
        <v>211</v>
      </c>
      <c r="H534" s="5" t="s">
        <v>910</v>
      </c>
      <c r="I534" s="6">
        <v>43168</v>
      </c>
      <c r="J534" s="5" t="s">
        <v>323</v>
      </c>
      <c r="K534" s="5" t="s">
        <v>323</v>
      </c>
      <c r="L534" s="5" t="s">
        <v>324</v>
      </c>
      <c r="M534" s="7">
        <v>6</v>
      </c>
      <c r="N534" s="7" t="s">
        <v>176</v>
      </c>
      <c r="O534" s="8">
        <v>5653</v>
      </c>
      <c r="P534" s="9">
        <v>0.02</v>
      </c>
      <c r="Q534" s="10">
        <f t="shared" si="105"/>
        <v>113</v>
      </c>
      <c r="R534" s="9">
        <v>5.0000000000000001E-3</v>
      </c>
      <c r="S534" s="10">
        <f t="shared" si="106"/>
        <v>28</v>
      </c>
      <c r="T534" s="9">
        <f t="shared" si="107"/>
        <v>2.494250840261808E-2</v>
      </c>
      <c r="U534" s="10">
        <f t="shared" si="108"/>
        <v>141</v>
      </c>
      <c r="V534" s="10">
        <f t="shared" si="109"/>
        <v>5794</v>
      </c>
      <c r="W534" s="11">
        <v>5653</v>
      </c>
      <c r="X534" s="12">
        <f t="shared" si="110"/>
        <v>0</v>
      </c>
      <c r="Y534" s="13">
        <f t="shared" si="111"/>
        <v>0</v>
      </c>
      <c r="Z534" s="14" t="str">
        <f t="shared" si="112"/>
        <v>0.00%-8.40%</v>
      </c>
      <c r="AA534" s="15"/>
      <c r="AB534" s="15"/>
      <c r="AC534" s="15"/>
      <c r="AD534" s="16"/>
      <c r="AE534" s="8">
        <f t="shared" si="113"/>
        <v>0</v>
      </c>
      <c r="AF534" s="17">
        <f t="shared" si="114"/>
        <v>5653</v>
      </c>
      <c r="AG534" s="18">
        <f t="shared" si="115"/>
        <v>0</v>
      </c>
      <c r="AH534" s="19">
        <f t="shared" si="116"/>
        <v>0</v>
      </c>
      <c r="AI534" s="20">
        <v>13.6</v>
      </c>
      <c r="AJ534" s="20">
        <v>450</v>
      </c>
      <c r="AK534" s="20"/>
      <c r="AL534" s="20">
        <v>688</v>
      </c>
      <c r="AM534" s="20">
        <f t="shared" si="117"/>
        <v>82968.800000000003</v>
      </c>
      <c r="AN534" s="7" t="s">
        <v>176</v>
      </c>
      <c r="AO534" s="20"/>
      <c r="AP534" s="21" t="s">
        <v>911</v>
      </c>
      <c r="AQ534" s="21" t="s">
        <v>97</v>
      </c>
      <c r="AR534" s="5" t="s">
        <v>912</v>
      </c>
      <c r="AS534" s="5" t="s">
        <v>164</v>
      </c>
      <c r="AT534" s="5" t="s">
        <v>59</v>
      </c>
      <c r="AU534" s="20"/>
      <c r="AV534" s="21"/>
      <c r="AW534" s="21"/>
      <c r="AX534" s="21"/>
    </row>
    <row r="535" spans="1:50" s="55" customFormat="1">
      <c r="A535" s="86" t="s">
        <v>318</v>
      </c>
      <c r="B535" s="5">
        <v>15007416</v>
      </c>
      <c r="C535" s="5" t="s">
        <v>913</v>
      </c>
      <c r="D535" s="5" t="s">
        <v>321</v>
      </c>
      <c r="E535" s="5" t="s">
        <v>52</v>
      </c>
      <c r="F535" s="5" t="s">
        <v>62</v>
      </c>
      <c r="G535" s="5" t="s">
        <v>211</v>
      </c>
      <c r="H535" s="5" t="s">
        <v>910</v>
      </c>
      <c r="I535" s="6">
        <v>40870</v>
      </c>
      <c r="J535" s="5" t="s">
        <v>480</v>
      </c>
      <c r="K535" s="5" t="s">
        <v>480</v>
      </c>
      <c r="L535" s="5" t="s">
        <v>324</v>
      </c>
      <c r="M535" s="7">
        <v>6</v>
      </c>
      <c r="N535" s="7" t="s">
        <v>176</v>
      </c>
      <c r="O535" s="8">
        <v>9513</v>
      </c>
      <c r="P535" s="9">
        <v>0.02</v>
      </c>
      <c r="Q535" s="10">
        <f t="shared" si="105"/>
        <v>190</v>
      </c>
      <c r="R535" s="9">
        <v>5.0000000000000001E-3</v>
      </c>
      <c r="S535" s="10">
        <f t="shared" si="106"/>
        <v>48</v>
      </c>
      <c r="T535" s="9">
        <f t="shared" si="107"/>
        <v>2.5018395879323033E-2</v>
      </c>
      <c r="U535" s="10">
        <f t="shared" si="108"/>
        <v>238</v>
      </c>
      <c r="V535" s="10">
        <f t="shared" si="109"/>
        <v>9751</v>
      </c>
      <c r="W535" s="11">
        <v>9894</v>
      </c>
      <c r="X535" s="12">
        <f t="shared" si="110"/>
        <v>381</v>
      </c>
      <c r="Y535" s="13">
        <f t="shared" si="111"/>
        <v>4.0099999999999997E-2</v>
      </c>
      <c r="Z535" s="14" t="str">
        <f t="shared" si="112"/>
        <v>0.00%-8.40%</v>
      </c>
      <c r="AA535" s="15"/>
      <c r="AB535" s="15"/>
      <c r="AC535" s="15"/>
      <c r="AD535" s="16"/>
      <c r="AE535" s="8">
        <f t="shared" si="113"/>
        <v>0</v>
      </c>
      <c r="AF535" s="17">
        <f t="shared" si="114"/>
        <v>9894</v>
      </c>
      <c r="AG535" s="18">
        <f t="shared" si="115"/>
        <v>381</v>
      </c>
      <c r="AH535" s="19">
        <f t="shared" si="116"/>
        <v>4.0050457269000361E-2</v>
      </c>
      <c r="AI535" s="20">
        <v>13.6</v>
      </c>
      <c r="AJ535" s="20">
        <v>450</v>
      </c>
      <c r="AK535" s="20"/>
      <c r="AL535" s="20">
        <v>688</v>
      </c>
      <c r="AM535" s="20">
        <f t="shared" si="117"/>
        <v>140646.39999999999</v>
      </c>
      <c r="AN535" s="7" t="s">
        <v>176</v>
      </c>
      <c r="AO535" s="20"/>
      <c r="AP535" s="21"/>
      <c r="AQ535" s="21"/>
      <c r="AR535" s="5" t="s">
        <v>912</v>
      </c>
      <c r="AS535" s="5" t="s">
        <v>164</v>
      </c>
      <c r="AT535" s="5" t="s">
        <v>59</v>
      </c>
      <c r="AU535" s="20"/>
      <c r="AV535" s="21"/>
      <c r="AW535" s="21"/>
      <c r="AX535" s="21"/>
    </row>
    <row r="536" spans="1:50" s="55" customFormat="1">
      <c r="A536" s="86" t="s">
        <v>318</v>
      </c>
      <c r="B536" s="5">
        <v>15012338</v>
      </c>
      <c r="C536" s="5" t="s">
        <v>914</v>
      </c>
      <c r="D536" s="5" t="s">
        <v>321</v>
      </c>
      <c r="E536" s="5" t="s">
        <v>52</v>
      </c>
      <c r="F536" s="5" t="s">
        <v>62</v>
      </c>
      <c r="G536" s="5" t="s">
        <v>211</v>
      </c>
      <c r="H536" s="5" t="s">
        <v>910</v>
      </c>
      <c r="I536" s="6">
        <v>41760</v>
      </c>
      <c r="J536" s="5" t="s">
        <v>279</v>
      </c>
      <c r="K536" s="5" t="s">
        <v>279</v>
      </c>
      <c r="L536" s="5" t="s">
        <v>324</v>
      </c>
      <c r="M536" s="7">
        <v>6</v>
      </c>
      <c r="N536" s="7" t="s">
        <v>176</v>
      </c>
      <c r="O536" s="8">
        <v>6560</v>
      </c>
      <c r="P536" s="9">
        <v>0.02</v>
      </c>
      <c r="Q536" s="10">
        <f t="shared" si="105"/>
        <v>131</v>
      </c>
      <c r="R536" s="9">
        <v>5.0000000000000001E-3</v>
      </c>
      <c r="S536" s="10">
        <f t="shared" si="106"/>
        <v>33</v>
      </c>
      <c r="T536" s="9">
        <f t="shared" si="107"/>
        <v>2.5000000000000001E-2</v>
      </c>
      <c r="U536" s="10">
        <f t="shared" si="108"/>
        <v>164</v>
      </c>
      <c r="V536" s="10">
        <f t="shared" si="109"/>
        <v>6724</v>
      </c>
      <c r="W536" s="11">
        <v>6822</v>
      </c>
      <c r="X536" s="12">
        <f t="shared" si="110"/>
        <v>262</v>
      </c>
      <c r="Y536" s="13">
        <f t="shared" si="111"/>
        <v>3.9899999999999998E-2</v>
      </c>
      <c r="Z536" s="14" t="str">
        <f t="shared" si="112"/>
        <v>0.00%-8.40%</v>
      </c>
      <c r="AA536" s="15"/>
      <c r="AB536" s="15"/>
      <c r="AC536" s="15"/>
      <c r="AD536" s="16"/>
      <c r="AE536" s="8">
        <f t="shared" si="113"/>
        <v>0</v>
      </c>
      <c r="AF536" s="17">
        <f t="shared" si="114"/>
        <v>6822</v>
      </c>
      <c r="AG536" s="18">
        <f t="shared" si="115"/>
        <v>262</v>
      </c>
      <c r="AH536" s="19">
        <f t="shared" si="116"/>
        <v>3.9939024390243993E-2</v>
      </c>
      <c r="AI536" s="20">
        <v>13.6</v>
      </c>
      <c r="AJ536" s="20">
        <v>450</v>
      </c>
      <c r="AK536" s="20"/>
      <c r="AL536" s="20">
        <v>688</v>
      </c>
      <c r="AM536" s="20">
        <f t="shared" si="117"/>
        <v>98867.199999999997</v>
      </c>
      <c r="AN536" s="7" t="s">
        <v>176</v>
      </c>
      <c r="AO536" s="20"/>
      <c r="AP536" s="21"/>
      <c r="AQ536" s="21"/>
      <c r="AR536" s="5" t="s">
        <v>912</v>
      </c>
      <c r="AS536" s="5" t="s">
        <v>164</v>
      </c>
      <c r="AT536" s="5" t="s">
        <v>59</v>
      </c>
      <c r="AU536" s="20"/>
      <c r="AV536" s="21"/>
      <c r="AW536" s="21"/>
      <c r="AX536" s="21"/>
    </row>
    <row r="537" spans="1:50" s="55" customFormat="1">
      <c r="A537" s="86" t="s">
        <v>318</v>
      </c>
      <c r="B537" s="5">
        <v>15003107</v>
      </c>
      <c r="C537" s="5" t="s">
        <v>915</v>
      </c>
      <c r="D537" s="5" t="s">
        <v>321</v>
      </c>
      <c r="E537" s="5" t="s">
        <v>52</v>
      </c>
      <c r="F537" s="5" t="s">
        <v>62</v>
      </c>
      <c r="G537" s="5" t="s">
        <v>211</v>
      </c>
      <c r="H537" s="5" t="s">
        <v>910</v>
      </c>
      <c r="I537" s="6">
        <v>40238</v>
      </c>
      <c r="J537" s="5" t="s">
        <v>279</v>
      </c>
      <c r="K537" s="5" t="s">
        <v>279</v>
      </c>
      <c r="L537" s="5" t="s">
        <v>324</v>
      </c>
      <c r="M537" s="7">
        <v>6</v>
      </c>
      <c r="N537" s="7" t="s">
        <v>176</v>
      </c>
      <c r="O537" s="8">
        <v>7019</v>
      </c>
      <c r="P537" s="9">
        <v>0.02</v>
      </c>
      <c r="Q537" s="10">
        <f t="shared" si="105"/>
        <v>140</v>
      </c>
      <c r="R537" s="9">
        <v>5.0000000000000001E-3</v>
      </c>
      <c r="S537" s="10">
        <f t="shared" si="106"/>
        <v>35</v>
      </c>
      <c r="T537" s="9">
        <f t="shared" si="107"/>
        <v>2.4932326542242485E-2</v>
      </c>
      <c r="U537" s="10">
        <f t="shared" si="108"/>
        <v>175</v>
      </c>
      <c r="V537" s="10">
        <f t="shared" si="109"/>
        <v>7194</v>
      </c>
      <c r="W537" s="11">
        <v>7320</v>
      </c>
      <c r="X537" s="12">
        <f t="shared" si="110"/>
        <v>301</v>
      </c>
      <c r="Y537" s="13">
        <f t="shared" si="111"/>
        <v>4.2900000000000001E-2</v>
      </c>
      <c r="Z537" s="14" t="str">
        <f t="shared" si="112"/>
        <v>0.00%-8.40%</v>
      </c>
      <c r="AA537" s="15"/>
      <c r="AB537" s="15"/>
      <c r="AC537" s="15"/>
      <c r="AD537" s="16"/>
      <c r="AE537" s="8">
        <f t="shared" si="113"/>
        <v>0</v>
      </c>
      <c r="AF537" s="17">
        <f t="shared" si="114"/>
        <v>7320</v>
      </c>
      <c r="AG537" s="18">
        <f t="shared" si="115"/>
        <v>301</v>
      </c>
      <c r="AH537" s="19">
        <f t="shared" si="116"/>
        <v>4.2883601652657033E-2</v>
      </c>
      <c r="AI537" s="20">
        <v>13.6</v>
      </c>
      <c r="AJ537" s="20">
        <v>450</v>
      </c>
      <c r="AK537" s="20"/>
      <c r="AL537" s="20">
        <v>688</v>
      </c>
      <c r="AM537" s="20">
        <f t="shared" si="117"/>
        <v>105640</v>
      </c>
      <c r="AN537" s="7" t="s">
        <v>176</v>
      </c>
      <c r="AO537" s="20"/>
      <c r="AP537" s="21"/>
      <c r="AQ537" s="21"/>
      <c r="AR537" s="5" t="s">
        <v>912</v>
      </c>
      <c r="AS537" s="5" t="s">
        <v>164</v>
      </c>
      <c r="AT537" s="5" t="s">
        <v>59</v>
      </c>
      <c r="AU537" s="20"/>
      <c r="AV537" s="21"/>
      <c r="AW537" s="21"/>
      <c r="AX537" s="21"/>
    </row>
    <row r="538" spans="1:50" s="55" customFormat="1">
      <c r="A538" s="86" t="s">
        <v>318</v>
      </c>
      <c r="B538" s="5">
        <v>15014858</v>
      </c>
      <c r="C538" s="5" t="s">
        <v>916</v>
      </c>
      <c r="D538" s="5" t="s">
        <v>321</v>
      </c>
      <c r="E538" s="5" t="s">
        <v>52</v>
      </c>
      <c r="F538" s="5" t="s">
        <v>62</v>
      </c>
      <c r="G538" s="5" t="s">
        <v>211</v>
      </c>
      <c r="H538" s="5" t="s">
        <v>910</v>
      </c>
      <c r="I538" s="6">
        <v>42461</v>
      </c>
      <c r="J538" s="5" t="s">
        <v>279</v>
      </c>
      <c r="K538" s="5" t="s">
        <v>279</v>
      </c>
      <c r="L538" s="5" t="s">
        <v>324</v>
      </c>
      <c r="M538" s="7">
        <v>6</v>
      </c>
      <c r="N538" s="7" t="s">
        <v>176</v>
      </c>
      <c r="O538" s="8">
        <v>5626</v>
      </c>
      <c r="P538" s="9">
        <v>0.02</v>
      </c>
      <c r="Q538" s="10">
        <f t="shared" si="105"/>
        <v>113</v>
      </c>
      <c r="R538" s="9">
        <v>5.0000000000000001E-3</v>
      </c>
      <c r="S538" s="10">
        <f t="shared" si="106"/>
        <v>28</v>
      </c>
      <c r="T538" s="9">
        <f t="shared" si="107"/>
        <v>2.5062211162460008E-2</v>
      </c>
      <c r="U538" s="10">
        <f t="shared" si="108"/>
        <v>141</v>
      </c>
      <c r="V538" s="10">
        <f t="shared" si="109"/>
        <v>5767</v>
      </c>
      <c r="W538" s="11">
        <v>5817</v>
      </c>
      <c r="X538" s="12">
        <f t="shared" si="110"/>
        <v>191</v>
      </c>
      <c r="Y538" s="13">
        <f t="shared" si="111"/>
        <v>3.39E-2</v>
      </c>
      <c r="Z538" s="14" t="str">
        <f t="shared" si="112"/>
        <v>0.00%-8.40%</v>
      </c>
      <c r="AA538" s="15"/>
      <c r="AB538" s="15"/>
      <c r="AC538" s="15"/>
      <c r="AD538" s="16"/>
      <c r="AE538" s="8">
        <f t="shared" si="113"/>
        <v>0</v>
      </c>
      <c r="AF538" s="17">
        <f t="shared" si="114"/>
        <v>5817</v>
      </c>
      <c r="AG538" s="18">
        <f t="shared" si="115"/>
        <v>191</v>
      </c>
      <c r="AH538" s="19">
        <f t="shared" si="116"/>
        <v>3.3949520085318152E-2</v>
      </c>
      <c r="AI538" s="20">
        <v>13.6</v>
      </c>
      <c r="AJ538" s="20">
        <v>450</v>
      </c>
      <c r="AK538" s="20"/>
      <c r="AL538" s="20">
        <v>688</v>
      </c>
      <c r="AM538" s="20">
        <f t="shared" si="117"/>
        <v>85199.2</v>
      </c>
      <c r="AN538" s="7" t="s">
        <v>176</v>
      </c>
      <c r="AO538" s="20"/>
      <c r="AP538" s="21"/>
      <c r="AQ538" s="21"/>
      <c r="AR538" s="5" t="s">
        <v>912</v>
      </c>
      <c r="AS538" s="5" t="s">
        <v>164</v>
      </c>
      <c r="AT538" s="5" t="s">
        <v>59</v>
      </c>
      <c r="AU538" s="20"/>
      <c r="AV538" s="21"/>
      <c r="AW538" s="21"/>
      <c r="AX538" s="21"/>
    </row>
    <row r="539" spans="1:50" s="55" customFormat="1">
      <c r="A539" s="86" t="s">
        <v>318</v>
      </c>
      <c r="B539" s="5">
        <v>15004057</v>
      </c>
      <c r="C539" s="5" t="s">
        <v>917</v>
      </c>
      <c r="D539" s="5" t="s">
        <v>321</v>
      </c>
      <c r="E539" s="5" t="s">
        <v>52</v>
      </c>
      <c r="F539" s="5" t="s">
        <v>62</v>
      </c>
      <c r="G539" s="5" t="s">
        <v>211</v>
      </c>
      <c r="H539" s="5" t="s">
        <v>910</v>
      </c>
      <c r="I539" s="6">
        <v>40544</v>
      </c>
      <c r="J539" s="5" t="s">
        <v>279</v>
      </c>
      <c r="K539" s="5" t="s">
        <v>279</v>
      </c>
      <c r="L539" s="5" t="s">
        <v>324</v>
      </c>
      <c r="M539" s="7">
        <v>6</v>
      </c>
      <c r="N539" s="7" t="s">
        <v>176</v>
      </c>
      <c r="O539" s="8">
        <v>5967</v>
      </c>
      <c r="P539" s="9">
        <v>0.02</v>
      </c>
      <c r="Q539" s="10">
        <f t="shared" si="105"/>
        <v>119</v>
      </c>
      <c r="R539" s="9">
        <v>5.0000000000000001E-3</v>
      </c>
      <c r="S539" s="10">
        <f t="shared" si="106"/>
        <v>30</v>
      </c>
      <c r="T539" s="9">
        <f t="shared" si="107"/>
        <v>2.4970672029495558E-2</v>
      </c>
      <c r="U539" s="10">
        <f t="shared" si="108"/>
        <v>149</v>
      </c>
      <c r="V539" s="10">
        <f t="shared" si="109"/>
        <v>6116</v>
      </c>
      <c r="W539" s="11">
        <v>6325</v>
      </c>
      <c r="X539" s="12">
        <f t="shared" si="110"/>
        <v>358</v>
      </c>
      <c r="Y539" s="13">
        <f t="shared" si="111"/>
        <v>0.06</v>
      </c>
      <c r="Z539" s="14" t="str">
        <f t="shared" si="112"/>
        <v>0.00%-8.40%</v>
      </c>
      <c r="AA539" s="15"/>
      <c r="AB539" s="15"/>
      <c r="AC539" s="15"/>
      <c r="AD539" s="16"/>
      <c r="AE539" s="8">
        <f t="shared" si="113"/>
        <v>0</v>
      </c>
      <c r="AF539" s="17">
        <f t="shared" si="114"/>
        <v>6325</v>
      </c>
      <c r="AG539" s="18">
        <f t="shared" si="115"/>
        <v>358</v>
      </c>
      <c r="AH539" s="19">
        <f t="shared" si="116"/>
        <v>5.9996648231942284E-2</v>
      </c>
      <c r="AI539" s="20">
        <v>13.6</v>
      </c>
      <c r="AJ539" s="20">
        <v>450</v>
      </c>
      <c r="AK539" s="20"/>
      <c r="AL539" s="20">
        <v>688</v>
      </c>
      <c r="AM539" s="20">
        <f t="shared" si="117"/>
        <v>92108</v>
      </c>
      <c r="AN539" s="7" t="s">
        <v>176</v>
      </c>
      <c r="AO539" s="20"/>
      <c r="AP539" s="21"/>
      <c r="AQ539" s="21"/>
      <c r="AR539" s="5" t="s">
        <v>912</v>
      </c>
      <c r="AS539" s="5" t="s">
        <v>164</v>
      </c>
      <c r="AT539" s="5" t="s">
        <v>59</v>
      </c>
      <c r="AU539" s="20"/>
      <c r="AV539" s="21"/>
      <c r="AW539" s="21"/>
      <c r="AX539" s="21"/>
    </row>
    <row r="540" spans="1:50" s="55" customFormat="1">
      <c r="A540" s="86" t="s">
        <v>318</v>
      </c>
      <c r="B540" s="5">
        <v>15003236</v>
      </c>
      <c r="C540" s="5" t="s">
        <v>918</v>
      </c>
      <c r="D540" s="5" t="s">
        <v>321</v>
      </c>
      <c r="E540" s="5" t="s">
        <v>52</v>
      </c>
      <c r="F540" s="5" t="s">
        <v>62</v>
      </c>
      <c r="G540" s="5" t="s">
        <v>211</v>
      </c>
      <c r="H540" s="5" t="s">
        <v>910</v>
      </c>
      <c r="I540" s="6">
        <v>40269</v>
      </c>
      <c r="J540" s="5" t="s">
        <v>279</v>
      </c>
      <c r="K540" s="5" t="s">
        <v>279</v>
      </c>
      <c r="L540" s="5" t="s">
        <v>324</v>
      </c>
      <c r="M540" s="7">
        <v>6</v>
      </c>
      <c r="N540" s="7" t="s">
        <v>176</v>
      </c>
      <c r="O540" s="8">
        <v>7115</v>
      </c>
      <c r="P540" s="9">
        <v>0.02</v>
      </c>
      <c r="Q540" s="10">
        <f t="shared" si="105"/>
        <v>142</v>
      </c>
      <c r="R540" s="9">
        <v>5.0000000000000001E-3</v>
      </c>
      <c r="S540" s="10">
        <f t="shared" si="106"/>
        <v>36</v>
      </c>
      <c r="T540" s="9">
        <f t="shared" si="107"/>
        <v>2.5017568517217148E-2</v>
      </c>
      <c r="U540" s="10">
        <f t="shared" si="108"/>
        <v>178</v>
      </c>
      <c r="V540" s="10">
        <f t="shared" si="109"/>
        <v>7293</v>
      </c>
      <c r="W540" s="11">
        <v>7542</v>
      </c>
      <c r="X540" s="12">
        <f t="shared" si="110"/>
        <v>427</v>
      </c>
      <c r="Y540" s="13">
        <f t="shared" si="111"/>
        <v>0.06</v>
      </c>
      <c r="Z540" s="14" t="str">
        <f t="shared" si="112"/>
        <v>0.00%-8.40%</v>
      </c>
      <c r="AA540" s="15"/>
      <c r="AB540" s="15"/>
      <c r="AC540" s="15"/>
      <c r="AD540" s="16"/>
      <c r="AE540" s="8">
        <f t="shared" si="113"/>
        <v>0</v>
      </c>
      <c r="AF540" s="17">
        <f t="shared" si="114"/>
        <v>7542</v>
      </c>
      <c r="AG540" s="18">
        <f t="shared" si="115"/>
        <v>427</v>
      </c>
      <c r="AH540" s="19">
        <f t="shared" si="116"/>
        <v>6.0014054813773754E-2</v>
      </c>
      <c r="AI540" s="20">
        <v>13.6</v>
      </c>
      <c r="AJ540" s="20">
        <v>500</v>
      </c>
      <c r="AK540" s="20"/>
      <c r="AL540" s="20">
        <v>688</v>
      </c>
      <c r="AM540" s="20">
        <f t="shared" si="117"/>
        <v>109259.2</v>
      </c>
      <c r="AN540" s="7" t="s">
        <v>176</v>
      </c>
      <c r="AO540" s="20"/>
      <c r="AP540" s="21"/>
      <c r="AQ540" s="21"/>
      <c r="AR540" s="5" t="s">
        <v>912</v>
      </c>
      <c r="AS540" s="5" t="s">
        <v>164</v>
      </c>
      <c r="AT540" s="5" t="s">
        <v>59</v>
      </c>
      <c r="AU540" s="20"/>
      <c r="AV540" s="21"/>
      <c r="AW540" s="21"/>
      <c r="AX540" s="21"/>
    </row>
    <row r="541" spans="1:50" s="55" customFormat="1">
      <c r="A541" s="86" t="s">
        <v>318</v>
      </c>
      <c r="B541" s="5">
        <v>15004323</v>
      </c>
      <c r="C541" s="5" t="s">
        <v>919</v>
      </c>
      <c r="D541" s="5" t="s">
        <v>321</v>
      </c>
      <c r="E541" s="5" t="s">
        <v>52</v>
      </c>
      <c r="F541" s="5" t="s">
        <v>62</v>
      </c>
      <c r="G541" s="5" t="s">
        <v>211</v>
      </c>
      <c r="H541" s="5" t="s">
        <v>910</v>
      </c>
      <c r="I541" s="6">
        <v>40452</v>
      </c>
      <c r="J541" s="5" t="s">
        <v>279</v>
      </c>
      <c r="K541" s="5" t="s">
        <v>279</v>
      </c>
      <c r="L541" s="5" t="s">
        <v>324</v>
      </c>
      <c r="M541" s="7">
        <v>6</v>
      </c>
      <c r="N541" s="7" t="s">
        <v>176</v>
      </c>
      <c r="O541" s="8">
        <v>6751</v>
      </c>
      <c r="P541" s="9">
        <v>0.02</v>
      </c>
      <c r="Q541" s="10">
        <f t="shared" si="105"/>
        <v>135</v>
      </c>
      <c r="R541" s="9">
        <v>5.0000000000000001E-3</v>
      </c>
      <c r="S541" s="10">
        <f t="shared" si="106"/>
        <v>34</v>
      </c>
      <c r="T541" s="9">
        <f t="shared" si="107"/>
        <v>2.5033328395793215E-2</v>
      </c>
      <c r="U541" s="10">
        <f t="shared" si="108"/>
        <v>169</v>
      </c>
      <c r="V541" s="10">
        <f t="shared" si="109"/>
        <v>6920</v>
      </c>
      <c r="W541" s="11">
        <v>7021</v>
      </c>
      <c r="X541" s="12">
        <f t="shared" si="110"/>
        <v>270</v>
      </c>
      <c r="Y541" s="13">
        <f t="shared" si="111"/>
        <v>0.04</v>
      </c>
      <c r="Z541" s="14" t="str">
        <f t="shared" si="112"/>
        <v>0.00%-8.40%</v>
      </c>
      <c r="AA541" s="15"/>
      <c r="AB541" s="15"/>
      <c r="AC541" s="15"/>
      <c r="AD541" s="16"/>
      <c r="AE541" s="8">
        <f t="shared" si="113"/>
        <v>0</v>
      </c>
      <c r="AF541" s="17">
        <f t="shared" si="114"/>
        <v>7021</v>
      </c>
      <c r="AG541" s="18">
        <f t="shared" si="115"/>
        <v>270</v>
      </c>
      <c r="AH541" s="19">
        <f t="shared" si="116"/>
        <v>3.9994074951859027E-2</v>
      </c>
      <c r="AI541" s="20">
        <v>13.6</v>
      </c>
      <c r="AJ541" s="20">
        <v>450</v>
      </c>
      <c r="AK541" s="20"/>
      <c r="AL541" s="20">
        <v>688</v>
      </c>
      <c r="AM541" s="20">
        <f t="shared" si="117"/>
        <v>101573.59999999999</v>
      </c>
      <c r="AN541" s="7" t="s">
        <v>176</v>
      </c>
      <c r="AO541" s="20"/>
      <c r="AP541" s="21"/>
      <c r="AQ541" s="21"/>
      <c r="AR541" s="5" t="s">
        <v>912</v>
      </c>
      <c r="AS541" s="5" t="s">
        <v>164</v>
      </c>
      <c r="AT541" s="5" t="s">
        <v>59</v>
      </c>
      <c r="AU541" s="20"/>
      <c r="AV541" s="21"/>
      <c r="AW541" s="21"/>
      <c r="AX541" s="21"/>
    </row>
    <row r="542" spans="1:50" s="55" customFormat="1">
      <c r="A542" s="86" t="s">
        <v>318</v>
      </c>
      <c r="B542" s="5">
        <v>15004951</v>
      </c>
      <c r="C542" s="5" t="s">
        <v>920</v>
      </c>
      <c r="D542" s="5" t="s">
        <v>321</v>
      </c>
      <c r="E542" s="5" t="s">
        <v>52</v>
      </c>
      <c r="F542" s="5" t="s">
        <v>62</v>
      </c>
      <c r="G542" s="5" t="s">
        <v>211</v>
      </c>
      <c r="H542" s="5" t="s">
        <v>910</v>
      </c>
      <c r="I542" s="6">
        <v>40664</v>
      </c>
      <c r="J542" s="5" t="s">
        <v>279</v>
      </c>
      <c r="K542" s="5" t="s">
        <v>279</v>
      </c>
      <c r="L542" s="5" t="s">
        <v>324</v>
      </c>
      <c r="M542" s="7">
        <v>6</v>
      </c>
      <c r="N542" s="7" t="s">
        <v>176</v>
      </c>
      <c r="O542" s="8">
        <v>6569</v>
      </c>
      <c r="P542" s="9">
        <v>0.02</v>
      </c>
      <c r="Q542" s="10">
        <f t="shared" si="105"/>
        <v>131</v>
      </c>
      <c r="R542" s="9">
        <v>5.0000000000000001E-3</v>
      </c>
      <c r="S542" s="10">
        <f t="shared" si="106"/>
        <v>33</v>
      </c>
      <c r="T542" s="9">
        <f t="shared" si="107"/>
        <v>2.4965748211295477E-2</v>
      </c>
      <c r="U542" s="10">
        <f t="shared" si="108"/>
        <v>164</v>
      </c>
      <c r="V542" s="10">
        <f t="shared" si="109"/>
        <v>6733</v>
      </c>
      <c r="W542" s="11">
        <v>6832</v>
      </c>
      <c r="X542" s="12">
        <f t="shared" si="110"/>
        <v>263</v>
      </c>
      <c r="Y542" s="13">
        <f t="shared" si="111"/>
        <v>0.04</v>
      </c>
      <c r="Z542" s="14" t="str">
        <f t="shared" si="112"/>
        <v>0.00%-8.40%</v>
      </c>
      <c r="AA542" s="15"/>
      <c r="AB542" s="15"/>
      <c r="AC542" s="15"/>
      <c r="AD542" s="16"/>
      <c r="AE542" s="8">
        <f t="shared" si="113"/>
        <v>0</v>
      </c>
      <c r="AF542" s="17">
        <f t="shared" si="114"/>
        <v>6832</v>
      </c>
      <c r="AG542" s="18">
        <f t="shared" si="115"/>
        <v>263</v>
      </c>
      <c r="AH542" s="19">
        <f t="shared" si="116"/>
        <v>4.003653524128481E-2</v>
      </c>
      <c r="AI542" s="20">
        <v>13.6</v>
      </c>
      <c r="AJ542" s="20">
        <v>450</v>
      </c>
      <c r="AK542" s="20"/>
      <c r="AL542" s="20">
        <v>688</v>
      </c>
      <c r="AM542" s="20">
        <f t="shared" si="117"/>
        <v>99003.199999999997</v>
      </c>
      <c r="AN542" s="7" t="s">
        <v>176</v>
      </c>
      <c r="AO542" s="20"/>
      <c r="AP542" s="21"/>
      <c r="AQ542" s="21"/>
      <c r="AR542" s="5" t="s">
        <v>912</v>
      </c>
      <c r="AS542" s="5" t="s">
        <v>164</v>
      </c>
      <c r="AT542" s="5" t="s">
        <v>59</v>
      </c>
      <c r="AU542" s="20"/>
      <c r="AV542" s="21"/>
      <c r="AW542" s="21"/>
      <c r="AX542" s="21"/>
    </row>
    <row r="543" spans="1:50" s="55" customFormat="1">
      <c r="A543" s="86" t="s">
        <v>318</v>
      </c>
      <c r="B543" s="5">
        <v>15009894</v>
      </c>
      <c r="C543" s="5" t="s">
        <v>921</v>
      </c>
      <c r="D543" s="5" t="s">
        <v>321</v>
      </c>
      <c r="E543" s="5" t="s">
        <v>52</v>
      </c>
      <c r="F543" s="5" t="s">
        <v>62</v>
      </c>
      <c r="G543" s="5" t="s">
        <v>211</v>
      </c>
      <c r="H543" s="5" t="s">
        <v>910</v>
      </c>
      <c r="I543" s="6">
        <v>41487</v>
      </c>
      <c r="J543" s="5" t="s">
        <v>279</v>
      </c>
      <c r="K543" s="5" t="s">
        <v>279</v>
      </c>
      <c r="L543" s="5" t="s">
        <v>324</v>
      </c>
      <c r="M543" s="7">
        <v>6</v>
      </c>
      <c r="N543" s="7" t="s">
        <v>176</v>
      </c>
      <c r="O543" s="8">
        <v>6474</v>
      </c>
      <c r="P543" s="9">
        <v>0.02</v>
      </c>
      <c r="Q543" s="10">
        <f t="shared" si="105"/>
        <v>129</v>
      </c>
      <c r="R543" s="9">
        <v>5.0000000000000001E-3</v>
      </c>
      <c r="S543" s="10">
        <f t="shared" si="106"/>
        <v>32</v>
      </c>
      <c r="T543" s="9">
        <f t="shared" si="107"/>
        <v>2.4868705591597158E-2</v>
      </c>
      <c r="U543" s="10">
        <f t="shared" si="108"/>
        <v>161</v>
      </c>
      <c r="V543" s="10">
        <f t="shared" si="109"/>
        <v>6635</v>
      </c>
      <c r="W543" s="11">
        <v>6733</v>
      </c>
      <c r="X543" s="12">
        <f t="shared" si="110"/>
        <v>259</v>
      </c>
      <c r="Y543" s="13">
        <f t="shared" si="111"/>
        <v>0.04</v>
      </c>
      <c r="Z543" s="14" t="str">
        <f t="shared" si="112"/>
        <v>0.00%-8.40%</v>
      </c>
      <c r="AA543" s="15"/>
      <c r="AB543" s="15"/>
      <c r="AC543" s="15"/>
      <c r="AD543" s="16"/>
      <c r="AE543" s="8">
        <f t="shared" si="113"/>
        <v>0</v>
      </c>
      <c r="AF543" s="17">
        <f t="shared" si="114"/>
        <v>6733</v>
      </c>
      <c r="AG543" s="18">
        <f t="shared" si="115"/>
        <v>259</v>
      </c>
      <c r="AH543" s="19">
        <f t="shared" si="116"/>
        <v>4.0006178560395345E-2</v>
      </c>
      <c r="AI543" s="20">
        <v>13.6</v>
      </c>
      <c r="AJ543" s="20">
        <v>450</v>
      </c>
      <c r="AK543" s="20"/>
      <c r="AL543" s="20">
        <v>688</v>
      </c>
      <c r="AM543" s="20">
        <f t="shared" si="117"/>
        <v>97656.8</v>
      </c>
      <c r="AN543" s="7" t="s">
        <v>176</v>
      </c>
      <c r="AO543" s="20"/>
      <c r="AP543" s="21"/>
      <c r="AQ543" s="21"/>
      <c r="AR543" s="5" t="s">
        <v>912</v>
      </c>
      <c r="AS543" s="5" t="s">
        <v>164</v>
      </c>
      <c r="AT543" s="5" t="s">
        <v>59</v>
      </c>
      <c r="AU543" s="20"/>
      <c r="AV543" s="21"/>
      <c r="AW543" s="21"/>
      <c r="AX543" s="21"/>
    </row>
    <row r="544" spans="1:50" s="55" customFormat="1">
      <c r="A544" s="86" t="s">
        <v>318</v>
      </c>
      <c r="B544" s="5">
        <v>15002982</v>
      </c>
      <c r="C544" s="5" t="s">
        <v>922</v>
      </c>
      <c r="D544" s="5" t="s">
        <v>321</v>
      </c>
      <c r="E544" s="5" t="s">
        <v>52</v>
      </c>
      <c r="F544" s="5" t="s">
        <v>62</v>
      </c>
      <c r="G544" s="5" t="s">
        <v>211</v>
      </c>
      <c r="H544" s="5" t="s">
        <v>910</v>
      </c>
      <c r="I544" s="6">
        <v>40210</v>
      </c>
      <c r="J544" s="5" t="s">
        <v>279</v>
      </c>
      <c r="K544" s="5" t="s">
        <v>279</v>
      </c>
      <c r="L544" s="5" t="s">
        <v>324</v>
      </c>
      <c r="M544" s="7">
        <v>6</v>
      </c>
      <c r="N544" s="7" t="s">
        <v>176</v>
      </c>
      <c r="O544" s="8">
        <v>6423</v>
      </c>
      <c r="P544" s="9">
        <v>0.02</v>
      </c>
      <c r="Q544" s="10">
        <f t="shared" si="105"/>
        <v>128</v>
      </c>
      <c r="R544" s="9">
        <v>5.0000000000000001E-3</v>
      </c>
      <c r="S544" s="10">
        <f t="shared" si="106"/>
        <v>32</v>
      </c>
      <c r="T544" s="9">
        <f t="shared" si="107"/>
        <v>2.4910477969796046E-2</v>
      </c>
      <c r="U544" s="10">
        <f t="shared" si="108"/>
        <v>160</v>
      </c>
      <c r="V544" s="10">
        <f t="shared" si="109"/>
        <v>6583</v>
      </c>
      <c r="W544" s="11">
        <v>6808</v>
      </c>
      <c r="X544" s="12">
        <f t="shared" si="110"/>
        <v>385</v>
      </c>
      <c r="Y544" s="13">
        <f t="shared" si="111"/>
        <v>5.9900000000000002E-2</v>
      </c>
      <c r="Z544" s="14" t="str">
        <f t="shared" si="112"/>
        <v>0.00%-8.40%</v>
      </c>
      <c r="AA544" s="15"/>
      <c r="AB544" s="15"/>
      <c r="AC544" s="15"/>
      <c r="AD544" s="16"/>
      <c r="AE544" s="8">
        <f t="shared" si="113"/>
        <v>0</v>
      </c>
      <c r="AF544" s="17">
        <f t="shared" si="114"/>
        <v>6808</v>
      </c>
      <c r="AG544" s="18">
        <f t="shared" si="115"/>
        <v>385</v>
      </c>
      <c r="AH544" s="19">
        <f t="shared" si="116"/>
        <v>5.9940837614821829E-2</v>
      </c>
      <c r="AI544" s="20">
        <v>13.6</v>
      </c>
      <c r="AJ544" s="20">
        <v>450</v>
      </c>
      <c r="AK544" s="20"/>
      <c r="AL544" s="20">
        <v>688</v>
      </c>
      <c r="AM544" s="20">
        <f t="shared" si="117"/>
        <v>98676.800000000003</v>
      </c>
      <c r="AN544" s="7" t="s">
        <v>176</v>
      </c>
      <c r="AO544" s="20"/>
      <c r="AP544" s="21"/>
      <c r="AQ544" s="21"/>
      <c r="AR544" s="5" t="s">
        <v>912</v>
      </c>
      <c r="AS544" s="5" t="s">
        <v>164</v>
      </c>
      <c r="AT544" s="5" t="s">
        <v>59</v>
      </c>
      <c r="AU544" s="20"/>
      <c r="AV544" s="21"/>
      <c r="AW544" s="21"/>
      <c r="AX544" s="21"/>
    </row>
    <row r="545" spans="1:50" s="55" customFormat="1">
      <c r="A545" s="86" t="s">
        <v>318</v>
      </c>
      <c r="B545" s="5">
        <v>15002402</v>
      </c>
      <c r="C545" s="5" t="s">
        <v>923</v>
      </c>
      <c r="D545" s="5" t="s">
        <v>321</v>
      </c>
      <c r="E545" s="5" t="s">
        <v>52</v>
      </c>
      <c r="F545" s="5" t="s">
        <v>62</v>
      </c>
      <c r="G545" s="5" t="s">
        <v>211</v>
      </c>
      <c r="H545" s="5" t="s">
        <v>910</v>
      </c>
      <c r="I545" s="6">
        <v>39967</v>
      </c>
      <c r="J545" s="5" t="s">
        <v>279</v>
      </c>
      <c r="K545" s="5" t="s">
        <v>279</v>
      </c>
      <c r="L545" s="5" t="s">
        <v>324</v>
      </c>
      <c r="M545" s="7">
        <v>6</v>
      </c>
      <c r="N545" s="7" t="s">
        <v>176</v>
      </c>
      <c r="O545" s="8">
        <v>6393</v>
      </c>
      <c r="P545" s="9">
        <v>0.02</v>
      </c>
      <c r="Q545" s="10">
        <f t="shared" si="105"/>
        <v>128</v>
      </c>
      <c r="R545" s="9">
        <v>5.0000000000000001E-3</v>
      </c>
      <c r="S545" s="10">
        <f t="shared" si="106"/>
        <v>32</v>
      </c>
      <c r="T545" s="9">
        <f t="shared" si="107"/>
        <v>2.5027373689973407E-2</v>
      </c>
      <c r="U545" s="10">
        <f t="shared" si="108"/>
        <v>160</v>
      </c>
      <c r="V545" s="10">
        <f t="shared" si="109"/>
        <v>6553</v>
      </c>
      <c r="W545" s="11">
        <v>6777</v>
      </c>
      <c r="X545" s="12">
        <f t="shared" si="110"/>
        <v>384</v>
      </c>
      <c r="Y545" s="13">
        <f t="shared" si="111"/>
        <v>6.0100000000000001E-2</v>
      </c>
      <c r="Z545" s="14" t="str">
        <f t="shared" si="112"/>
        <v>0.00%-8.40%</v>
      </c>
      <c r="AA545" s="15"/>
      <c r="AB545" s="15"/>
      <c r="AC545" s="15"/>
      <c r="AD545" s="16"/>
      <c r="AE545" s="8">
        <f t="shared" si="113"/>
        <v>0</v>
      </c>
      <c r="AF545" s="17">
        <f t="shared" si="114"/>
        <v>6777</v>
      </c>
      <c r="AG545" s="18">
        <f t="shared" si="115"/>
        <v>384</v>
      </c>
      <c r="AH545" s="19">
        <f t="shared" si="116"/>
        <v>6.0065696855936102E-2</v>
      </c>
      <c r="AI545" s="20">
        <v>13.6</v>
      </c>
      <c r="AJ545" s="20">
        <v>450</v>
      </c>
      <c r="AK545" s="20"/>
      <c r="AL545" s="20">
        <v>688</v>
      </c>
      <c r="AM545" s="20">
        <f t="shared" si="117"/>
        <v>98255.2</v>
      </c>
      <c r="AN545" s="7" t="s">
        <v>176</v>
      </c>
      <c r="AO545" s="20"/>
      <c r="AP545" s="21"/>
      <c r="AQ545" s="21"/>
      <c r="AR545" s="5" t="s">
        <v>912</v>
      </c>
      <c r="AS545" s="5" t="s">
        <v>164</v>
      </c>
      <c r="AT545" s="5" t="s">
        <v>59</v>
      </c>
      <c r="AU545" s="20"/>
      <c r="AV545" s="21"/>
      <c r="AW545" s="21"/>
      <c r="AX545" s="21"/>
    </row>
    <row r="546" spans="1:50" s="55" customFormat="1">
      <c r="A546" s="86" t="s">
        <v>318</v>
      </c>
      <c r="B546" s="5">
        <v>15014742</v>
      </c>
      <c r="C546" s="5" t="s">
        <v>924</v>
      </c>
      <c r="D546" s="5" t="s">
        <v>321</v>
      </c>
      <c r="E546" s="5" t="s">
        <v>52</v>
      </c>
      <c r="F546" s="5" t="s">
        <v>62</v>
      </c>
      <c r="G546" s="5" t="s">
        <v>211</v>
      </c>
      <c r="H546" s="5" t="s">
        <v>910</v>
      </c>
      <c r="I546" s="6">
        <v>42339</v>
      </c>
      <c r="J546" s="5" t="s">
        <v>279</v>
      </c>
      <c r="K546" s="5" t="s">
        <v>279</v>
      </c>
      <c r="L546" s="5" t="s">
        <v>324</v>
      </c>
      <c r="M546" s="7">
        <v>6</v>
      </c>
      <c r="N546" s="7" t="s">
        <v>176</v>
      </c>
      <c r="O546" s="8">
        <v>5454</v>
      </c>
      <c r="P546" s="9">
        <v>0.02</v>
      </c>
      <c r="Q546" s="10">
        <f t="shared" si="105"/>
        <v>109</v>
      </c>
      <c r="R546" s="9">
        <v>5.0000000000000001E-3</v>
      </c>
      <c r="S546" s="10">
        <f t="shared" si="106"/>
        <v>27</v>
      </c>
      <c r="T546" s="9">
        <f t="shared" si="107"/>
        <v>2.4935826916024934E-2</v>
      </c>
      <c r="U546" s="10">
        <f t="shared" si="108"/>
        <v>136</v>
      </c>
      <c r="V546" s="10">
        <f t="shared" si="109"/>
        <v>5590</v>
      </c>
      <c r="W546" s="11">
        <v>5590</v>
      </c>
      <c r="X546" s="12">
        <f t="shared" si="110"/>
        <v>136</v>
      </c>
      <c r="Y546" s="13">
        <f t="shared" si="111"/>
        <v>2.4899999999999999E-2</v>
      </c>
      <c r="Z546" s="14" t="str">
        <f t="shared" si="112"/>
        <v>0.00%-8.40%</v>
      </c>
      <c r="AA546" s="15"/>
      <c r="AB546" s="15"/>
      <c r="AC546" s="15"/>
      <c r="AD546" s="16"/>
      <c r="AE546" s="8">
        <f t="shared" si="113"/>
        <v>0</v>
      </c>
      <c r="AF546" s="17">
        <f t="shared" si="114"/>
        <v>5590</v>
      </c>
      <c r="AG546" s="18">
        <f t="shared" si="115"/>
        <v>136</v>
      </c>
      <c r="AH546" s="19">
        <f t="shared" si="116"/>
        <v>2.4935826916024917E-2</v>
      </c>
      <c r="AI546" s="20">
        <v>13.6</v>
      </c>
      <c r="AJ546" s="20">
        <v>450</v>
      </c>
      <c r="AK546" s="20"/>
      <c r="AL546" s="20">
        <v>688</v>
      </c>
      <c r="AM546" s="20">
        <f t="shared" si="117"/>
        <v>82112</v>
      </c>
      <c r="AN546" s="7" t="s">
        <v>176</v>
      </c>
      <c r="AO546" s="20"/>
      <c r="AP546" s="21"/>
      <c r="AQ546" s="21"/>
      <c r="AR546" s="5" t="s">
        <v>912</v>
      </c>
      <c r="AS546" s="5" t="s">
        <v>164</v>
      </c>
      <c r="AT546" s="5" t="s">
        <v>59</v>
      </c>
      <c r="AU546" s="20"/>
      <c r="AV546" s="21"/>
      <c r="AW546" s="21"/>
      <c r="AX546" s="21"/>
    </row>
    <row r="547" spans="1:50" s="55" customFormat="1">
      <c r="A547" s="86" t="s">
        <v>318</v>
      </c>
      <c r="B547" s="5">
        <v>15018228</v>
      </c>
      <c r="C547" s="5" t="s">
        <v>925</v>
      </c>
      <c r="D547" s="5" t="s">
        <v>321</v>
      </c>
      <c r="E547" s="5" t="s">
        <v>52</v>
      </c>
      <c r="F547" s="5" t="s">
        <v>62</v>
      </c>
      <c r="G547" s="5" t="s">
        <v>211</v>
      </c>
      <c r="H547" s="5" t="s">
        <v>910</v>
      </c>
      <c r="I547" s="6">
        <v>43160</v>
      </c>
      <c r="J547" s="5" t="s">
        <v>336</v>
      </c>
      <c r="K547" s="5" t="s">
        <v>511</v>
      </c>
      <c r="L547" s="5" t="s">
        <v>324</v>
      </c>
      <c r="M547" s="7">
        <v>6</v>
      </c>
      <c r="N547" s="7" t="s">
        <v>176</v>
      </c>
      <c r="O547" s="8">
        <v>4661</v>
      </c>
      <c r="P547" s="9">
        <v>0.02</v>
      </c>
      <c r="Q547" s="10">
        <f t="shared" si="105"/>
        <v>93</v>
      </c>
      <c r="R547" s="9">
        <v>5.0000000000000001E-3</v>
      </c>
      <c r="S547" s="10">
        <f t="shared" si="106"/>
        <v>23</v>
      </c>
      <c r="T547" s="9">
        <f t="shared" si="107"/>
        <v>2.4887363226775368E-2</v>
      </c>
      <c r="U547" s="10">
        <f t="shared" si="108"/>
        <v>116</v>
      </c>
      <c r="V547" s="10">
        <f t="shared" si="109"/>
        <v>4777</v>
      </c>
      <c r="W547" s="11">
        <v>4778</v>
      </c>
      <c r="X547" s="12">
        <f t="shared" si="110"/>
        <v>117</v>
      </c>
      <c r="Y547" s="13">
        <f t="shared" si="111"/>
        <v>2.5100000000000001E-2</v>
      </c>
      <c r="Z547" s="14" t="str">
        <f t="shared" si="112"/>
        <v>0.00%-8.40%</v>
      </c>
      <c r="AA547" s="15"/>
      <c r="AB547" s="15"/>
      <c r="AC547" s="15"/>
      <c r="AD547" s="16"/>
      <c r="AE547" s="8">
        <f t="shared" si="113"/>
        <v>0</v>
      </c>
      <c r="AF547" s="17">
        <f t="shared" si="114"/>
        <v>4778</v>
      </c>
      <c r="AG547" s="18">
        <f t="shared" si="115"/>
        <v>117</v>
      </c>
      <c r="AH547" s="19">
        <f t="shared" si="116"/>
        <v>2.5101909461489047E-2</v>
      </c>
      <c r="AI547" s="20">
        <v>13.6</v>
      </c>
      <c r="AJ547" s="20">
        <v>450</v>
      </c>
      <c r="AK547" s="20"/>
      <c r="AL547" s="20">
        <v>688</v>
      </c>
      <c r="AM547" s="20">
        <f t="shared" si="117"/>
        <v>71068.799999999988</v>
      </c>
      <c r="AN547" s="7" t="s">
        <v>176</v>
      </c>
      <c r="AO547" s="20"/>
      <c r="AP547" s="21"/>
      <c r="AQ547" s="21"/>
      <c r="AR547" s="5" t="s">
        <v>912</v>
      </c>
      <c r="AS547" s="5" t="s">
        <v>164</v>
      </c>
      <c r="AT547" s="5" t="s">
        <v>59</v>
      </c>
      <c r="AU547" s="20"/>
      <c r="AV547" s="21"/>
      <c r="AW547" s="21"/>
      <c r="AX547" s="21"/>
    </row>
    <row r="548" spans="1:50" s="55" customFormat="1">
      <c r="A548" s="86" t="s">
        <v>318</v>
      </c>
      <c r="B548" s="5">
        <v>15013950</v>
      </c>
      <c r="C548" s="5" t="s">
        <v>926</v>
      </c>
      <c r="D548" s="5" t="s">
        <v>321</v>
      </c>
      <c r="E548" s="5" t="s">
        <v>52</v>
      </c>
      <c r="F548" s="5" t="s">
        <v>62</v>
      </c>
      <c r="G548" s="5" t="s">
        <v>211</v>
      </c>
      <c r="H548" s="5" t="s">
        <v>910</v>
      </c>
      <c r="I548" s="6">
        <v>42156</v>
      </c>
      <c r="J548" s="5" t="s">
        <v>336</v>
      </c>
      <c r="K548" s="5" t="s">
        <v>511</v>
      </c>
      <c r="L548" s="5" t="s">
        <v>324</v>
      </c>
      <c r="M548" s="7">
        <v>6</v>
      </c>
      <c r="N548" s="7" t="s">
        <v>176</v>
      </c>
      <c r="O548" s="8">
        <v>5335</v>
      </c>
      <c r="P548" s="9">
        <v>0.02</v>
      </c>
      <c r="Q548" s="10">
        <f t="shared" si="105"/>
        <v>107</v>
      </c>
      <c r="R548" s="9">
        <v>5.0000000000000001E-3</v>
      </c>
      <c r="S548" s="10">
        <f t="shared" si="106"/>
        <v>27</v>
      </c>
      <c r="T548" s="9">
        <f t="shared" si="107"/>
        <v>2.5117150890346766E-2</v>
      </c>
      <c r="U548" s="10">
        <f t="shared" si="108"/>
        <v>134</v>
      </c>
      <c r="V548" s="10">
        <f t="shared" si="109"/>
        <v>5469</v>
      </c>
      <c r="W548" s="11">
        <v>5468</v>
      </c>
      <c r="X548" s="12">
        <f t="shared" si="110"/>
        <v>133</v>
      </c>
      <c r="Y548" s="13">
        <f t="shared" si="111"/>
        <v>2.4899999999999999E-2</v>
      </c>
      <c r="Z548" s="14" t="str">
        <f t="shared" si="112"/>
        <v>0.00%-8.40%</v>
      </c>
      <c r="AA548" s="15"/>
      <c r="AB548" s="15"/>
      <c r="AC548" s="15"/>
      <c r="AD548" s="16"/>
      <c r="AE548" s="8">
        <f t="shared" si="113"/>
        <v>0</v>
      </c>
      <c r="AF548" s="17">
        <f t="shared" si="114"/>
        <v>5468</v>
      </c>
      <c r="AG548" s="18">
        <f t="shared" si="115"/>
        <v>133</v>
      </c>
      <c r="AH548" s="19">
        <f t="shared" si="116"/>
        <v>2.4929709465791872E-2</v>
      </c>
      <c r="AI548" s="20">
        <v>13.6</v>
      </c>
      <c r="AJ548" s="20">
        <v>450</v>
      </c>
      <c r="AK548" s="20"/>
      <c r="AL548" s="20">
        <v>688</v>
      </c>
      <c r="AM548" s="20">
        <f t="shared" si="117"/>
        <v>80452.800000000003</v>
      </c>
      <c r="AN548" s="7" t="s">
        <v>176</v>
      </c>
      <c r="AO548" s="20"/>
      <c r="AP548" s="21"/>
      <c r="AQ548" s="21"/>
      <c r="AR548" s="5" t="s">
        <v>912</v>
      </c>
      <c r="AS548" s="5" t="s">
        <v>164</v>
      </c>
      <c r="AT548" s="5" t="s">
        <v>59</v>
      </c>
      <c r="AU548" s="20"/>
      <c r="AV548" s="21"/>
      <c r="AW548" s="21"/>
      <c r="AX548" s="21"/>
    </row>
    <row r="549" spans="1:50" s="55" customFormat="1">
      <c r="A549" s="86" t="s">
        <v>318</v>
      </c>
      <c r="B549" s="5">
        <v>15016454</v>
      </c>
      <c r="C549" s="5" t="s">
        <v>927</v>
      </c>
      <c r="D549" s="5" t="s">
        <v>321</v>
      </c>
      <c r="E549" s="5" t="s">
        <v>52</v>
      </c>
      <c r="F549" s="5" t="s">
        <v>62</v>
      </c>
      <c r="G549" s="5" t="s">
        <v>211</v>
      </c>
      <c r="H549" s="5" t="s">
        <v>910</v>
      </c>
      <c r="I549" s="6">
        <v>42887</v>
      </c>
      <c r="J549" s="5" t="s">
        <v>336</v>
      </c>
      <c r="K549" s="5" t="s">
        <v>511</v>
      </c>
      <c r="L549" s="5" t="s">
        <v>324</v>
      </c>
      <c r="M549" s="7">
        <v>6</v>
      </c>
      <c r="N549" s="7" t="s">
        <v>176</v>
      </c>
      <c r="O549" s="8">
        <v>4955</v>
      </c>
      <c r="P549" s="9">
        <v>0.02</v>
      </c>
      <c r="Q549" s="10">
        <f t="shared" si="105"/>
        <v>99</v>
      </c>
      <c r="R549" s="9">
        <v>5.0000000000000001E-3</v>
      </c>
      <c r="S549" s="10">
        <f t="shared" si="106"/>
        <v>25</v>
      </c>
      <c r="T549" s="9">
        <f t="shared" si="107"/>
        <v>2.5025227043390514E-2</v>
      </c>
      <c r="U549" s="10">
        <f t="shared" si="108"/>
        <v>124</v>
      </c>
      <c r="V549" s="10">
        <f t="shared" si="109"/>
        <v>5079</v>
      </c>
      <c r="W549" s="11">
        <v>4955</v>
      </c>
      <c r="X549" s="12">
        <f t="shared" si="110"/>
        <v>0</v>
      </c>
      <c r="Y549" s="13">
        <f t="shared" si="111"/>
        <v>0</v>
      </c>
      <c r="Z549" s="14" t="str">
        <f t="shared" si="112"/>
        <v>0.00%-8.40%</v>
      </c>
      <c r="AA549" s="15"/>
      <c r="AB549" s="15"/>
      <c r="AC549" s="15"/>
      <c r="AD549" s="16"/>
      <c r="AE549" s="8">
        <f t="shared" si="113"/>
        <v>0</v>
      </c>
      <c r="AF549" s="17">
        <f t="shared" si="114"/>
        <v>4955</v>
      </c>
      <c r="AG549" s="18">
        <f t="shared" si="115"/>
        <v>0</v>
      </c>
      <c r="AH549" s="19">
        <f t="shared" si="116"/>
        <v>0</v>
      </c>
      <c r="AI549" s="20">
        <v>13.6</v>
      </c>
      <c r="AJ549" s="20">
        <v>450</v>
      </c>
      <c r="AK549" s="20"/>
      <c r="AL549" s="20">
        <v>688</v>
      </c>
      <c r="AM549" s="20">
        <f t="shared" si="117"/>
        <v>73476</v>
      </c>
      <c r="AN549" s="7" t="s">
        <v>176</v>
      </c>
      <c r="AO549" s="20"/>
      <c r="AP549" s="21" t="s">
        <v>487</v>
      </c>
      <c r="AQ549" s="21" t="s">
        <v>496</v>
      </c>
      <c r="AR549" s="5" t="s">
        <v>912</v>
      </c>
      <c r="AS549" s="5" t="s">
        <v>164</v>
      </c>
      <c r="AT549" s="5" t="s">
        <v>59</v>
      </c>
      <c r="AU549" s="20"/>
      <c r="AV549" s="21"/>
      <c r="AW549" s="21"/>
      <c r="AX549" s="21"/>
    </row>
    <row r="550" spans="1:50" s="55" customFormat="1">
      <c r="A550" s="86" t="s">
        <v>318</v>
      </c>
      <c r="B550" s="5">
        <v>15003672</v>
      </c>
      <c r="C550" s="5" t="s">
        <v>928</v>
      </c>
      <c r="D550" s="5" t="s">
        <v>321</v>
      </c>
      <c r="E550" s="5" t="s">
        <v>52</v>
      </c>
      <c r="F550" s="5" t="s">
        <v>62</v>
      </c>
      <c r="G550" s="5" t="s">
        <v>211</v>
      </c>
      <c r="H550" s="5" t="s">
        <v>910</v>
      </c>
      <c r="I550" s="6">
        <v>40360</v>
      </c>
      <c r="J550" s="5" t="s">
        <v>336</v>
      </c>
      <c r="K550" s="5" t="s">
        <v>548</v>
      </c>
      <c r="L550" s="5" t="s">
        <v>324</v>
      </c>
      <c r="M550" s="7">
        <v>6</v>
      </c>
      <c r="N550" s="7" t="s">
        <v>176</v>
      </c>
      <c r="O550" s="8">
        <v>5161</v>
      </c>
      <c r="P550" s="9">
        <v>0.02</v>
      </c>
      <c r="Q550" s="10">
        <f t="shared" si="105"/>
        <v>103</v>
      </c>
      <c r="R550" s="9">
        <v>5.0000000000000001E-3</v>
      </c>
      <c r="S550" s="10">
        <f t="shared" si="106"/>
        <v>26</v>
      </c>
      <c r="T550" s="9">
        <f t="shared" si="107"/>
        <v>2.4995155977523737E-2</v>
      </c>
      <c r="U550" s="10">
        <f t="shared" si="108"/>
        <v>129</v>
      </c>
      <c r="V550" s="10">
        <f t="shared" si="109"/>
        <v>5290</v>
      </c>
      <c r="W550" s="11">
        <v>5342</v>
      </c>
      <c r="X550" s="12">
        <f t="shared" si="110"/>
        <v>181</v>
      </c>
      <c r="Y550" s="13">
        <f t="shared" si="111"/>
        <v>3.5099999999999999E-2</v>
      </c>
      <c r="Z550" s="14" t="str">
        <f t="shared" si="112"/>
        <v>0.00%-8.40%</v>
      </c>
      <c r="AA550" s="15"/>
      <c r="AB550" s="15"/>
      <c r="AC550" s="15"/>
      <c r="AD550" s="16"/>
      <c r="AE550" s="8">
        <f t="shared" si="113"/>
        <v>0</v>
      </c>
      <c r="AF550" s="17">
        <f t="shared" si="114"/>
        <v>5342</v>
      </c>
      <c r="AG550" s="18">
        <f t="shared" si="115"/>
        <v>181</v>
      </c>
      <c r="AH550" s="19">
        <f t="shared" si="116"/>
        <v>3.5070722728153481E-2</v>
      </c>
      <c r="AI550" s="20">
        <v>13.6</v>
      </c>
      <c r="AJ550" s="20">
        <v>450</v>
      </c>
      <c r="AK550" s="20"/>
      <c r="AL550" s="20">
        <v>688</v>
      </c>
      <c r="AM550" s="20">
        <f t="shared" si="117"/>
        <v>78739.199999999997</v>
      </c>
      <c r="AN550" s="7" t="s">
        <v>176</v>
      </c>
      <c r="AO550" s="20"/>
      <c r="AP550" s="21"/>
      <c r="AQ550" s="21"/>
      <c r="AR550" s="5" t="s">
        <v>912</v>
      </c>
      <c r="AS550" s="5" t="s">
        <v>164</v>
      </c>
      <c r="AT550" s="5" t="s">
        <v>59</v>
      </c>
      <c r="AU550" s="20"/>
      <c r="AV550" s="21"/>
      <c r="AW550" s="21"/>
      <c r="AX550" s="21"/>
    </row>
    <row r="551" spans="1:50" s="55" customFormat="1">
      <c r="A551" s="86" t="s">
        <v>318</v>
      </c>
      <c r="B551" s="5">
        <v>15018795</v>
      </c>
      <c r="C551" s="5" t="s">
        <v>929</v>
      </c>
      <c r="D551" s="5" t="s">
        <v>321</v>
      </c>
      <c r="E551" s="5" t="s">
        <v>52</v>
      </c>
      <c r="F551" s="5" t="s">
        <v>62</v>
      </c>
      <c r="G551" s="5" t="s">
        <v>211</v>
      </c>
      <c r="H551" s="5" t="s">
        <v>910</v>
      </c>
      <c r="I551" s="6">
        <v>43313</v>
      </c>
      <c r="J551" s="5" t="s">
        <v>336</v>
      </c>
      <c r="K551" s="5" t="s">
        <v>511</v>
      </c>
      <c r="L551" s="5" t="s">
        <v>324</v>
      </c>
      <c r="M551" s="7">
        <v>6</v>
      </c>
      <c r="N551" s="7" t="s">
        <v>176</v>
      </c>
      <c r="O551" s="8">
        <v>5229</v>
      </c>
      <c r="P551" s="9">
        <v>0.02</v>
      </c>
      <c r="Q551" s="10">
        <f t="shared" si="105"/>
        <v>105</v>
      </c>
      <c r="R551" s="9">
        <v>5.0000000000000001E-3</v>
      </c>
      <c r="S551" s="10">
        <f t="shared" si="106"/>
        <v>26</v>
      </c>
      <c r="T551" s="9">
        <f t="shared" si="107"/>
        <v>2.5052591317651557E-2</v>
      </c>
      <c r="U551" s="10">
        <f t="shared" si="108"/>
        <v>131</v>
      </c>
      <c r="V551" s="10">
        <f t="shared" si="109"/>
        <v>5360</v>
      </c>
      <c r="W551" s="11">
        <v>5360</v>
      </c>
      <c r="X551" s="12">
        <f t="shared" si="110"/>
        <v>131</v>
      </c>
      <c r="Y551" s="13">
        <f t="shared" si="111"/>
        <v>2.5100000000000001E-2</v>
      </c>
      <c r="Z551" s="14" t="str">
        <f t="shared" si="112"/>
        <v>0.00%-8.40%</v>
      </c>
      <c r="AA551" s="15"/>
      <c r="AB551" s="15"/>
      <c r="AC551" s="15"/>
      <c r="AD551" s="16"/>
      <c r="AE551" s="8">
        <f t="shared" si="113"/>
        <v>0</v>
      </c>
      <c r="AF551" s="17">
        <f t="shared" si="114"/>
        <v>5360</v>
      </c>
      <c r="AG551" s="18">
        <f t="shared" si="115"/>
        <v>131</v>
      </c>
      <c r="AH551" s="19">
        <f t="shared" si="116"/>
        <v>2.5052591317651585E-2</v>
      </c>
      <c r="AI551" s="20">
        <v>13.6</v>
      </c>
      <c r="AJ551" s="20">
        <v>450</v>
      </c>
      <c r="AK551" s="20"/>
      <c r="AL551" s="20">
        <v>688</v>
      </c>
      <c r="AM551" s="20">
        <f t="shared" si="117"/>
        <v>78984</v>
      </c>
      <c r="AN551" s="7" t="s">
        <v>176</v>
      </c>
      <c r="AO551" s="20"/>
      <c r="AP551" s="21"/>
      <c r="AQ551" s="21"/>
      <c r="AR551" s="5" t="s">
        <v>912</v>
      </c>
      <c r="AS551" s="5" t="s">
        <v>164</v>
      </c>
      <c r="AT551" s="5" t="s">
        <v>59</v>
      </c>
      <c r="AU551" s="20"/>
      <c r="AV551" s="21"/>
      <c r="AW551" s="21"/>
      <c r="AX551" s="21"/>
    </row>
    <row r="552" spans="1:50" s="55" customFormat="1">
      <c r="A552" s="86" t="s">
        <v>318</v>
      </c>
      <c r="B552" s="5">
        <v>15015561</v>
      </c>
      <c r="C552" s="5" t="s">
        <v>930</v>
      </c>
      <c r="D552" s="5" t="s">
        <v>321</v>
      </c>
      <c r="E552" s="5" t="s">
        <v>52</v>
      </c>
      <c r="F552" s="5" t="s">
        <v>62</v>
      </c>
      <c r="G552" s="5" t="s">
        <v>211</v>
      </c>
      <c r="H552" s="5" t="s">
        <v>910</v>
      </c>
      <c r="I552" s="6">
        <v>42705</v>
      </c>
      <c r="J552" s="5" t="s">
        <v>336</v>
      </c>
      <c r="K552" s="5" t="s">
        <v>511</v>
      </c>
      <c r="L552" s="5" t="s">
        <v>324</v>
      </c>
      <c r="M552" s="7">
        <v>6</v>
      </c>
      <c r="N552" s="7" t="s">
        <v>176</v>
      </c>
      <c r="O552" s="8">
        <v>4814</v>
      </c>
      <c r="P552" s="9">
        <v>0.02</v>
      </c>
      <c r="Q552" s="10">
        <f t="shared" si="105"/>
        <v>96</v>
      </c>
      <c r="R552" s="9">
        <v>5.0000000000000001E-3</v>
      </c>
      <c r="S552" s="10">
        <f t="shared" si="106"/>
        <v>24</v>
      </c>
      <c r="T552" s="9">
        <f t="shared" si="107"/>
        <v>2.4927295388450354E-2</v>
      </c>
      <c r="U552" s="10">
        <f t="shared" si="108"/>
        <v>120</v>
      </c>
      <c r="V552" s="10">
        <f t="shared" si="109"/>
        <v>4934</v>
      </c>
      <c r="W552" s="11">
        <v>4934</v>
      </c>
      <c r="X552" s="12">
        <f t="shared" si="110"/>
        <v>120</v>
      </c>
      <c r="Y552" s="13">
        <f t="shared" si="111"/>
        <v>2.4899999999999999E-2</v>
      </c>
      <c r="Z552" s="14" t="str">
        <f t="shared" si="112"/>
        <v>0.00%-8.40%</v>
      </c>
      <c r="AA552" s="15"/>
      <c r="AB552" s="15"/>
      <c r="AC552" s="15"/>
      <c r="AD552" s="16"/>
      <c r="AE552" s="8">
        <f t="shared" si="113"/>
        <v>0</v>
      </c>
      <c r="AF552" s="17">
        <f t="shared" si="114"/>
        <v>4934</v>
      </c>
      <c r="AG552" s="18">
        <f t="shared" si="115"/>
        <v>120</v>
      </c>
      <c r="AH552" s="19">
        <f t="shared" si="116"/>
        <v>2.4927295388450288E-2</v>
      </c>
      <c r="AI552" s="20">
        <v>13.6</v>
      </c>
      <c r="AJ552" s="20">
        <v>450</v>
      </c>
      <c r="AK552" s="20"/>
      <c r="AL552" s="20">
        <v>688</v>
      </c>
      <c r="AM552" s="20">
        <f t="shared" si="117"/>
        <v>73190.399999999994</v>
      </c>
      <c r="AN552" s="7" t="s">
        <v>176</v>
      </c>
      <c r="AO552" s="20"/>
      <c r="AP552" s="21"/>
      <c r="AQ552" s="21"/>
      <c r="AR552" s="5" t="s">
        <v>912</v>
      </c>
      <c r="AS552" s="5" t="s">
        <v>164</v>
      </c>
      <c r="AT552" s="5" t="s">
        <v>59</v>
      </c>
      <c r="AU552" s="20"/>
      <c r="AV552" s="21"/>
      <c r="AW552" s="21"/>
      <c r="AX552" s="21"/>
    </row>
    <row r="553" spans="1:50" s="55" customFormat="1">
      <c r="A553" s="86" t="s">
        <v>318</v>
      </c>
      <c r="B553" s="5">
        <v>15012556</v>
      </c>
      <c r="C553" s="5" t="s">
        <v>931</v>
      </c>
      <c r="D553" s="5" t="s">
        <v>321</v>
      </c>
      <c r="E553" s="5" t="s">
        <v>52</v>
      </c>
      <c r="F553" s="5" t="s">
        <v>62</v>
      </c>
      <c r="G553" s="5" t="s">
        <v>211</v>
      </c>
      <c r="H553" s="5" t="s">
        <v>910</v>
      </c>
      <c r="I553" s="6">
        <v>41760</v>
      </c>
      <c r="J553" s="5" t="s">
        <v>336</v>
      </c>
      <c r="K553" s="5" t="s">
        <v>511</v>
      </c>
      <c r="L553" s="5" t="s">
        <v>324</v>
      </c>
      <c r="M553" s="7">
        <v>6</v>
      </c>
      <c r="N553" s="7" t="s">
        <v>176</v>
      </c>
      <c r="O553" s="8">
        <v>5714</v>
      </c>
      <c r="P553" s="9">
        <v>0.02</v>
      </c>
      <c r="Q553" s="10">
        <f t="shared" si="105"/>
        <v>114</v>
      </c>
      <c r="R553" s="9">
        <v>5.0000000000000001E-3</v>
      </c>
      <c r="S553" s="10">
        <f t="shared" si="106"/>
        <v>29</v>
      </c>
      <c r="T553" s="9">
        <f t="shared" si="107"/>
        <v>2.5026251312565629E-2</v>
      </c>
      <c r="U553" s="10">
        <f t="shared" si="108"/>
        <v>143</v>
      </c>
      <c r="V553" s="10">
        <f t="shared" si="109"/>
        <v>5857</v>
      </c>
      <c r="W553" s="11">
        <v>5914</v>
      </c>
      <c r="X553" s="12">
        <f t="shared" si="110"/>
        <v>200</v>
      </c>
      <c r="Y553" s="13">
        <f t="shared" si="111"/>
        <v>3.5000000000000003E-2</v>
      </c>
      <c r="Z553" s="14" t="str">
        <f t="shared" si="112"/>
        <v>0.00%-8.40%</v>
      </c>
      <c r="AA553" s="15"/>
      <c r="AB553" s="15"/>
      <c r="AC553" s="15"/>
      <c r="AD553" s="16"/>
      <c r="AE553" s="8">
        <f t="shared" si="113"/>
        <v>0</v>
      </c>
      <c r="AF553" s="17">
        <f t="shared" si="114"/>
        <v>5914</v>
      </c>
      <c r="AG553" s="18">
        <f t="shared" si="115"/>
        <v>200</v>
      </c>
      <c r="AH553" s="19">
        <f t="shared" si="116"/>
        <v>3.5001750087504391E-2</v>
      </c>
      <c r="AI553" s="20">
        <v>13.6</v>
      </c>
      <c r="AJ553" s="20">
        <v>450</v>
      </c>
      <c r="AK553" s="20"/>
      <c r="AL553" s="20">
        <v>688</v>
      </c>
      <c r="AM553" s="20">
        <f t="shared" si="117"/>
        <v>86518.399999999994</v>
      </c>
      <c r="AN553" s="7" t="s">
        <v>176</v>
      </c>
      <c r="AO553" s="20"/>
      <c r="AP553" s="21"/>
      <c r="AQ553" s="21"/>
      <c r="AR553" s="5" t="s">
        <v>912</v>
      </c>
      <c r="AS553" s="5" t="s">
        <v>164</v>
      </c>
      <c r="AT553" s="5" t="s">
        <v>59</v>
      </c>
      <c r="AU553" s="20"/>
      <c r="AV553" s="21"/>
      <c r="AW553" s="21"/>
      <c r="AX553" s="21"/>
    </row>
    <row r="554" spans="1:50" s="55" customFormat="1">
      <c r="A554" s="86" t="s">
        <v>318</v>
      </c>
      <c r="B554" s="5">
        <v>15015362</v>
      </c>
      <c r="C554" s="5" t="s">
        <v>391</v>
      </c>
      <c r="D554" s="5" t="s">
        <v>321</v>
      </c>
      <c r="E554" s="5" t="s">
        <v>52</v>
      </c>
      <c r="F554" s="5" t="s">
        <v>62</v>
      </c>
      <c r="G554" s="5" t="s">
        <v>211</v>
      </c>
      <c r="H554" s="5" t="s">
        <v>910</v>
      </c>
      <c r="I554" s="6">
        <v>42644</v>
      </c>
      <c r="J554" s="5" t="s">
        <v>336</v>
      </c>
      <c r="K554" s="5" t="s">
        <v>511</v>
      </c>
      <c r="L554" s="5" t="s">
        <v>324</v>
      </c>
      <c r="M554" s="7">
        <v>6</v>
      </c>
      <c r="N554" s="7" t="s">
        <v>176</v>
      </c>
      <c r="O554" s="8">
        <v>4525</v>
      </c>
      <c r="P554" s="9">
        <v>0.02</v>
      </c>
      <c r="Q554" s="10">
        <f t="shared" si="105"/>
        <v>91</v>
      </c>
      <c r="R554" s="9">
        <v>5.0000000000000001E-3</v>
      </c>
      <c r="S554" s="10">
        <f t="shared" si="106"/>
        <v>23</v>
      </c>
      <c r="T554" s="9">
        <f t="shared" si="107"/>
        <v>2.5193370165745858E-2</v>
      </c>
      <c r="U554" s="10">
        <f t="shared" si="108"/>
        <v>114</v>
      </c>
      <c r="V554" s="10">
        <f t="shared" si="109"/>
        <v>4639</v>
      </c>
      <c r="W554" s="11">
        <v>4525</v>
      </c>
      <c r="X554" s="12">
        <f t="shared" si="110"/>
        <v>0</v>
      </c>
      <c r="Y554" s="13">
        <f t="shared" si="111"/>
        <v>0</v>
      </c>
      <c r="Z554" s="14" t="str">
        <f t="shared" si="112"/>
        <v>0.00%-8.40%</v>
      </c>
      <c r="AA554" s="15"/>
      <c r="AB554" s="15"/>
      <c r="AC554" s="15"/>
      <c r="AD554" s="16"/>
      <c r="AE554" s="8">
        <f t="shared" si="113"/>
        <v>0</v>
      </c>
      <c r="AF554" s="17">
        <f t="shared" si="114"/>
        <v>4525</v>
      </c>
      <c r="AG554" s="18">
        <f t="shared" si="115"/>
        <v>0</v>
      </c>
      <c r="AH554" s="19">
        <f t="shared" si="116"/>
        <v>0</v>
      </c>
      <c r="AI554" s="20">
        <v>13.6</v>
      </c>
      <c r="AJ554" s="20">
        <v>450</v>
      </c>
      <c r="AK554" s="20"/>
      <c r="AL554" s="20">
        <v>688</v>
      </c>
      <c r="AM554" s="20">
        <f t="shared" si="117"/>
        <v>67628</v>
      </c>
      <c r="AN554" s="7" t="s">
        <v>176</v>
      </c>
      <c r="AO554" s="20"/>
      <c r="AP554" s="119" t="s">
        <v>107</v>
      </c>
      <c r="AQ554" s="21" t="s">
        <v>107</v>
      </c>
      <c r="AR554" s="5" t="s">
        <v>912</v>
      </c>
      <c r="AS554" s="5" t="s">
        <v>164</v>
      </c>
      <c r="AT554" s="5" t="s">
        <v>59</v>
      </c>
      <c r="AU554" s="20"/>
      <c r="AV554" s="21"/>
      <c r="AW554" s="21"/>
      <c r="AX554" s="21"/>
    </row>
    <row r="555" spans="1:50" s="55" customFormat="1">
      <c r="A555" s="86" t="s">
        <v>318</v>
      </c>
      <c r="B555" s="5">
        <v>15000466</v>
      </c>
      <c r="C555" s="5" t="s">
        <v>932</v>
      </c>
      <c r="D555" s="5" t="s">
        <v>321</v>
      </c>
      <c r="E555" s="5" t="s">
        <v>52</v>
      </c>
      <c r="F555" s="5" t="s">
        <v>62</v>
      </c>
      <c r="G555" s="5" t="s">
        <v>211</v>
      </c>
      <c r="H555" s="5" t="s">
        <v>910</v>
      </c>
      <c r="I555" s="6">
        <v>38808</v>
      </c>
      <c r="J555" s="5" t="s">
        <v>480</v>
      </c>
      <c r="K555" s="5" t="s">
        <v>480</v>
      </c>
      <c r="L555" s="5" t="s">
        <v>324</v>
      </c>
      <c r="M555" s="7">
        <v>6</v>
      </c>
      <c r="N555" s="7" t="s">
        <v>176</v>
      </c>
      <c r="O555" s="8">
        <v>4822</v>
      </c>
      <c r="P555" s="9">
        <v>0.02</v>
      </c>
      <c r="Q555" s="10">
        <f t="shared" si="105"/>
        <v>96</v>
      </c>
      <c r="R555" s="9">
        <v>5.0000000000000001E-3</v>
      </c>
      <c r="S555" s="10">
        <f t="shared" si="106"/>
        <v>24</v>
      </c>
      <c r="T555" s="9">
        <f t="shared" si="107"/>
        <v>2.4885939444214019E-2</v>
      </c>
      <c r="U555" s="10">
        <f t="shared" si="108"/>
        <v>120</v>
      </c>
      <c r="V555" s="10">
        <f t="shared" si="109"/>
        <v>4942</v>
      </c>
      <c r="W555" s="11">
        <v>4822</v>
      </c>
      <c r="X555" s="12">
        <f t="shared" si="110"/>
        <v>0</v>
      </c>
      <c r="Y555" s="13">
        <f t="shared" si="111"/>
        <v>0</v>
      </c>
      <c r="Z555" s="14" t="str">
        <f t="shared" si="112"/>
        <v>0.00%-8.40%</v>
      </c>
      <c r="AA555" s="15"/>
      <c r="AB555" s="15"/>
      <c r="AC555" s="15"/>
      <c r="AD555" s="16"/>
      <c r="AE555" s="8">
        <f t="shared" si="113"/>
        <v>0</v>
      </c>
      <c r="AF555" s="17">
        <f t="shared" si="114"/>
        <v>4822</v>
      </c>
      <c r="AG555" s="18">
        <f t="shared" si="115"/>
        <v>0</v>
      </c>
      <c r="AH555" s="19">
        <f t="shared" si="116"/>
        <v>0</v>
      </c>
      <c r="AI555" s="20">
        <v>13.6</v>
      </c>
      <c r="AJ555" s="20">
        <v>450</v>
      </c>
      <c r="AK555" s="20"/>
      <c r="AL555" s="20">
        <v>688</v>
      </c>
      <c r="AM555" s="20">
        <f t="shared" si="117"/>
        <v>71667.199999999997</v>
      </c>
      <c r="AN555" s="7" t="s">
        <v>176</v>
      </c>
      <c r="AO555" s="20"/>
      <c r="AP555" s="21" t="s">
        <v>487</v>
      </c>
      <c r="AQ555" s="21" t="s">
        <v>496</v>
      </c>
      <c r="AR555" s="5" t="s">
        <v>912</v>
      </c>
      <c r="AS555" s="5" t="s">
        <v>164</v>
      </c>
      <c r="AT555" s="5" t="s">
        <v>59</v>
      </c>
      <c r="AU555" s="20"/>
      <c r="AV555" s="21"/>
      <c r="AW555" s="21"/>
      <c r="AX555" s="21"/>
    </row>
    <row r="556" spans="1:50" s="55" customFormat="1">
      <c r="A556" s="86" t="s">
        <v>318</v>
      </c>
      <c r="B556" s="5">
        <v>15009353</v>
      </c>
      <c r="C556" s="5" t="s">
        <v>933</v>
      </c>
      <c r="D556" s="5" t="s">
        <v>321</v>
      </c>
      <c r="E556" s="5" t="s">
        <v>52</v>
      </c>
      <c r="F556" s="5" t="s">
        <v>62</v>
      </c>
      <c r="G556" s="5" t="s">
        <v>211</v>
      </c>
      <c r="H556" s="5" t="s">
        <v>910</v>
      </c>
      <c r="I556" s="6">
        <v>41487</v>
      </c>
      <c r="J556" s="5" t="s">
        <v>336</v>
      </c>
      <c r="K556" s="5" t="s">
        <v>511</v>
      </c>
      <c r="L556" s="5" t="s">
        <v>324</v>
      </c>
      <c r="M556" s="7">
        <v>6</v>
      </c>
      <c r="N556" s="7" t="s">
        <v>176</v>
      </c>
      <c r="O556" s="8">
        <v>5047</v>
      </c>
      <c r="P556" s="9">
        <v>0.02</v>
      </c>
      <c r="Q556" s="10">
        <f t="shared" si="105"/>
        <v>101</v>
      </c>
      <c r="R556" s="9">
        <v>5.0000000000000001E-3</v>
      </c>
      <c r="S556" s="10">
        <f t="shared" si="106"/>
        <v>25</v>
      </c>
      <c r="T556" s="9">
        <f t="shared" si="107"/>
        <v>2.4965325936199722E-2</v>
      </c>
      <c r="U556" s="10">
        <f t="shared" si="108"/>
        <v>126</v>
      </c>
      <c r="V556" s="10">
        <f t="shared" si="109"/>
        <v>5173</v>
      </c>
      <c r="W556" s="11">
        <v>5198</v>
      </c>
      <c r="X556" s="12">
        <f t="shared" si="110"/>
        <v>151</v>
      </c>
      <c r="Y556" s="13">
        <f t="shared" si="111"/>
        <v>2.9899999999999999E-2</v>
      </c>
      <c r="Z556" s="14" t="str">
        <f t="shared" si="112"/>
        <v>0.00%-8.40%</v>
      </c>
      <c r="AA556" s="15"/>
      <c r="AB556" s="15"/>
      <c r="AC556" s="15"/>
      <c r="AD556" s="16"/>
      <c r="AE556" s="8">
        <f t="shared" si="113"/>
        <v>0</v>
      </c>
      <c r="AF556" s="17">
        <f t="shared" si="114"/>
        <v>5198</v>
      </c>
      <c r="AG556" s="18">
        <f t="shared" si="115"/>
        <v>151</v>
      </c>
      <c r="AH556" s="19">
        <f t="shared" si="116"/>
        <v>2.9918763621953559E-2</v>
      </c>
      <c r="AI556" s="20">
        <v>13.6</v>
      </c>
      <c r="AJ556" s="20">
        <v>450</v>
      </c>
      <c r="AK556" s="20"/>
      <c r="AL556" s="20">
        <v>688</v>
      </c>
      <c r="AM556" s="20">
        <f t="shared" si="117"/>
        <v>76780.800000000003</v>
      </c>
      <c r="AN556" s="7" t="s">
        <v>176</v>
      </c>
      <c r="AO556" s="20"/>
      <c r="AP556" s="21"/>
      <c r="AQ556" s="21"/>
      <c r="AR556" s="5" t="s">
        <v>912</v>
      </c>
      <c r="AS556" s="5" t="s">
        <v>164</v>
      </c>
      <c r="AT556" s="5" t="s">
        <v>59</v>
      </c>
      <c r="AU556" s="20"/>
      <c r="AV556" s="21"/>
      <c r="AW556" s="21"/>
      <c r="AX556" s="21"/>
    </row>
    <row r="557" spans="1:50" s="55" customFormat="1">
      <c r="A557" s="86" t="s">
        <v>318</v>
      </c>
      <c r="B557" s="5">
        <v>15012684</v>
      </c>
      <c r="C557" s="5" t="s">
        <v>934</v>
      </c>
      <c r="D557" s="5" t="s">
        <v>321</v>
      </c>
      <c r="E557" s="5" t="s">
        <v>52</v>
      </c>
      <c r="F557" s="5" t="s">
        <v>62</v>
      </c>
      <c r="G557" s="5" t="s">
        <v>211</v>
      </c>
      <c r="H557" s="5" t="s">
        <v>910</v>
      </c>
      <c r="I557" s="6">
        <v>41821</v>
      </c>
      <c r="J557" s="5" t="s">
        <v>336</v>
      </c>
      <c r="K557" s="5" t="s">
        <v>511</v>
      </c>
      <c r="L557" s="5" t="s">
        <v>324</v>
      </c>
      <c r="M557" s="7">
        <v>6</v>
      </c>
      <c r="N557" s="7" t="s">
        <v>176</v>
      </c>
      <c r="O557" s="8">
        <v>4742</v>
      </c>
      <c r="P557" s="9">
        <v>0.02</v>
      </c>
      <c r="Q557" s="10">
        <f t="shared" si="105"/>
        <v>95</v>
      </c>
      <c r="R557" s="9">
        <v>5.0000000000000001E-3</v>
      </c>
      <c r="S557" s="10">
        <f t="shared" si="106"/>
        <v>24</v>
      </c>
      <c r="T557" s="9">
        <f t="shared" si="107"/>
        <v>2.5094896668072544E-2</v>
      </c>
      <c r="U557" s="10">
        <f t="shared" si="108"/>
        <v>119</v>
      </c>
      <c r="V557" s="10">
        <f t="shared" si="109"/>
        <v>4861</v>
      </c>
      <c r="W557" s="11">
        <v>4861</v>
      </c>
      <c r="X557" s="12">
        <f t="shared" si="110"/>
        <v>119</v>
      </c>
      <c r="Y557" s="13">
        <f t="shared" si="111"/>
        <v>2.5100000000000001E-2</v>
      </c>
      <c r="Z557" s="14" t="str">
        <f t="shared" si="112"/>
        <v>0.00%-8.40%</v>
      </c>
      <c r="AA557" s="15"/>
      <c r="AB557" s="15"/>
      <c r="AC557" s="15"/>
      <c r="AD557" s="16"/>
      <c r="AE557" s="8">
        <f t="shared" si="113"/>
        <v>0</v>
      </c>
      <c r="AF557" s="17">
        <f t="shared" si="114"/>
        <v>4861</v>
      </c>
      <c r="AG557" s="18">
        <f t="shared" si="115"/>
        <v>119</v>
      </c>
      <c r="AH557" s="19">
        <f t="shared" si="116"/>
        <v>2.509489666807263E-2</v>
      </c>
      <c r="AI557" s="20">
        <v>13.6</v>
      </c>
      <c r="AJ557" s="20">
        <v>450</v>
      </c>
      <c r="AK557" s="20"/>
      <c r="AL557" s="20">
        <v>688</v>
      </c>
      <c r="AM557" s="20">
        <f t="shared" si="117"/>
        <v>72197.599999999991</v>
      </c>
      <c r="AN557" s="7" t="s">
        <v>176</v>
      </c>
      <c r="AO557" s="20"/>
      <c r="AP557" s="21"/>
      <c r="AQ557" s="21"/>
      <c r="AR557" s="5" t="s">
        <v>912</v>
      </c>
      <c r="AS557" s="5" t="s">
        <v>164</v>
      </c>
      <c r="AT557" s="5" t="s">
        <v>59</v>
      </c>
      <c r="AU557" s="20"/>
      <c r="AV557" s="21"/>
      <c r="AW557" s="21"/>
      <c r="AX557" s="21"/>
    </row>
    <row r="558" spans="1:50" s="55" customFormat="1">
      <c r="A558" s="86" t="s">
        <v>318</v>
      </c>
      <c r="B558" s="5">
        <v>15002390</v>
      </c>
      <c r="C558" s="5" t="s">
        <v>935</v>
      </c>
      <c r="D558" s="5" t="s">
        <v>321</v>
      </c>
      <c r="E558" s="5" t="s">
        <v>52</v>
      </c>
      <c r="F558" s="5" t="s">
        <v>62</v>
      </c>
      <c r="G558" s="5" t="s">
        <v>211</v>
      </c>
      <c r="H558" s="5" t="s">
        <v>910</v>
      </c>
      <c r="I558" s="6">
        <v>39967</v>
      </c>
      <c r="J558" s="5" t="s">
        <v>336</v>
      </c>
      <c r="K558" s="5" t="s">
        <v>511</v>
      </c>
      <c r="L558" s="5" t="s">
        <v>324</v>
      </c>
      <c r="M558" s="7">
        <v>6</v>
      </c>
      <c r="N558" s="7" t="s">
        <v>176</v>
      </c>
      <c r="O558" s="8">
        <v>4811</v>
      </c>
      <c r="P558" s="9">
        <v>0.02</v>
      </c>
      <c r="Q558" s="10">
        <f t="shared" si="105"/>
        <v>96</v>
      </c>
      <c r="R558" s="9">
        <v>5.0000000000000001E-3</v>
      </c>
      <c r="S558" s="10">
        <f t="shared" si="106"/>
        <v>24</v>
      </c>
      <c r="T558" s="9">
        <f t="shared" si="107"/>
        <v>2.4942839326543339E-2</v>
      </c>
      <c r="U558" s="10">
        <f t="shared" si="108"/>
        <v>120</v>
      </c>
      <c r="V558" s="10">
        <f t="shared" si="109"/>
        <v>4931</v>
      </c>
      <c r="W558" s="11">
        <v>4931</v>
      </c>
      <c r="X558" s="12">
        <f t="shared" si="110"/>
        <v>120</v>
      </c>
      <c r="Y558" s="13">
        <f t="shared" si="111"/>
        <v>2.4899999999999999E-2</v>
      </c>
      <c r="Z558" s="14" t="str">
        <f t="shared" si="112"/>
        <v>0.00%-8.40%</v>
      </c>
      <c r="AA558" s="15"/>
      <c r="AB558" s="15"/>
      <c r="AC558" s="15"/>
      <c r="AD558" s="16"/>
      <c r="AE558" s="8">
        <f t="shared" si="113"/>
        <v>0</v>
      </c>
      <c r="AF558" s="17">
        <f t="shared" si="114"/>
        <v>4931</v>
      </c>
      <c r="AG558" s="18">
        <f t="shared" si="115"/>
        <v>120</v>
      </c>
      <c r="AH558" s="19">
        <f t="shared" si="116"/>
        <v>2.4942839326543398E-2</v>
      </c>
      <c r="AI558" s="20">
        <v>13.6</v>
      </c>
      <c r="AJ558" s="20">
        <v>450</v>
      </c>
      <c r="AK558" s="20"/>
      <c r="AL558" s="20">
        <v>688</v>
      </c>
      <c r="AM558" s="20">
        <f t="shared" si="117"/>
        <v>73149.599999999991</v>
      </c>
      <c r="AN558" s="7" t="s">
        <v>176</v>
      </c>
      <c r="AO558" s="20"/>
      <c r="AP558" s="21"/>
      <c r="AQ558" s="21"/>
      <c r="AR558" s="5" t="s">
        <v>912</v>
      </c>
      <c r="AS558" s="5" t="s">
        <v>164</v>
      </c>
      <c r="AT558" s="5" t="s">
        <v>59</v>
      </c>
      <c r="AU558" s="20"/>
      <c r="AV558" s="21"/>
      <c r="AW558" s="21"/>
      <c r="AX558" s="21"/>
    </row>
    <row r="559" spans="1:50" s="55" customFormat="1">
      <c r="A559" s="86" t="s">
        <v>318</v>
      </c>
      <c r="B559" s="5">
        <v>15011217</v>
      </c>
      <c r="C559" s="5" t="s">
        <v>936</v>
      </c>
      <c r="D559" s="5" t="s">
        <v>321</v>
      </c>
      <c r="E559" s="5" t="s">
        <v>52</v>
      </c>
      <c r="F559" s="5" t="s">
        <v>62</v>
      </c>
      <c r="G559" s="5" t="s">
        <v>211</v>
      </c>
      <c r="H559" s="5" t="s">
        <v>910</v>
      </c>
      <c r="I559" s="6">
        <v>41609</v>
      </c>
      <c r="J559" s="5" t="s">
        <v>336</v>
      </c>
      <c r="K559" s="5" t="s">
        <v>511</v>
      </c>
      <c r="L559" s="5" t="s">
        <v>324</v>
      </c>
      <c r="M559" s="7">
        <v>6</v>
      </c>
      <c r="N559" s="7" t="s">
        <v>176</v>
      </c>
      <c r="O559" s="8">
        <v>5449</v>
      </c>
      <c r="P559" s="9">
        <v>0.02</v>
      </c>
      <c r="Q559" s="10">
        <f t="shared" si="105"/>
        <v>109</v>
      </c>
      <c r="R559" s="9">
        <v>5.0000000000000001E-3</v>
      </c>
      <c r="S559" s="10">
        <f t="shared" si="106"/>
        <v>27</v>
      </c>
      <c r="T559" s="9">
        <f t="shared" si="107"/>
        <v>2.4958708019820152E-2</v>
      </c>
      <c r="U559" s="10">
        <f t="shared" si="108"/>
        <v>136</v>
      </c>
      <c r="V559" s="10">
        <f t="shared" si="109"/>
        <v>5585</v>
      </c>
      <c r="W559" s="11">
        <v>5531</v>
      </c>
      <c r="X559" s="12">
        <f t="shared" si="110"/>
        <v>82</v>
      </c>
      <c r="Y559" s="13">
        <f t="shared" si="111"/>
        <v>1.4999999999999999E-2</v>
      </c>
      <c r="Z559" s="14" t="str">
        <f t="shared" si="112"/>
        <v>0.00%-8.40%</v>
      </c>
      <c r="AA559" s="15"/>
      <c r="AB559" s="15"/>
      <c r="AC559" s="15"/>
      <c r="AD559" s="16"/>
      <c r="AE559" s="8">
        <f t="shared" si="113"/>
        <v>0</v>
      </c>
      <c r="AF559" s="17">
        <f t="shared" si="114"/>
        <v>5531</v>
      </c>
      <c r="AG559" s="18">
        <f t="shared" si="115"/>
        <v>82</v>
      </c>
      <c r="AH559" s="19">
        <f t="shared" si="116"/>
        <v>1.5048632776656357E-2</v>
      </c>
      <c r="AI559" s="20">
        <v>13.6</v>
      </c>
      <c r="AJ559" s="20">
        <v>500</v>
      </c>
      <c r="AK559" s="20"/>
      <c r="AL559" s="20">
        <v>688</v>
      </c>
      <c r="AM559" s="20">
        <f t="shared" si="117"/>
        <v>81909.599999999991</v>
      </c>
      <c r="AN559" s="7" t="s">
        <v>176</v>
      </c>
      <c r="AO559" s="20"/>
      <c r="AP559" s="21"/>
      <c r="AQ559" s="21"/>
      <c r="AR559" s="5" t="s">
        <v>912</v>
      </c>
      <c r="AS559" s="5" t="s">
        <v>164</v>
      </c>
      <c r="AT559" s="5" t="s">
        <v>59</v>
      </c>
      <c r="AU559" s="20"/>
      <c r="AV559" s="21"/>
      <c r="AW559" s="21"/>
      <c r="AX559" s="21"/>
    </row>
    <row r="560" spans="1:50" s="55" customFormat="1">
      <c r="A560" s="86" t="s">
        <v>318</v>
      </c>
      <c r="B560" s="5">
        <v>15016414</v>
      </c>
      <c r="C560" s="5" t="s">
        <v>937</v>
      </c>
      <c r="D560" s="5" t="s">
        <v>321</v>
      </c>
      <c r="E560" s="5" t="s">
        <v>52</v>
      </c>
      <c r="F560" s="5" t="s">
        <v>62</v>
      </c>
      <c r="G560" s="5" t="s">
        <v>211</v>
      </c>
      <c r="H560" s="5" t="s">
        <v>910</v>
      </c>
      <c r="I560" s="6">
        <v>42948</v>
      </c>
      <c r="J560" s="5" t="s">
        <v>336</v>
      </c>
      <c r="K560" s="5" t="s">
        <v>511</v>
      </c>
      <c r="L560" s="5" t="s">
        <v>324</v>
      </c>
      <c r="M560" s="7">
        <v>6</v>
      </c>
      <c r="N560" s="7" t="s">
        <v>176</v>
      </c>
      <c r="O560" s="8">
        <v>4826</v>
      </c>
      <c r="P560" s="9">
        <v>0.02</v>
      </c>
      <c r="Q560" s="10">
        <f t="shared" si="105"/>
        <v>97</v>
      </c>
      <c r="R560" s="9">
        <v>5.0000000000000001E-3</v>
      </c>
      <c r="S560" s="10">
        <f t="shared" si="106"/>
        <v>24</v>
      </c>
      <c r="T560" s="9">
        <f t="shared" si="107"/>
        <v>2.5072523829258186E-2</v>
      </c>
      <c r="U560" s="10">
        <f t="shared" si="108"/>
        <v>121</v>
      </c>
      <c r="V560" s="10">
        <f t="shared" si="109"/>
        <v>4947</v>
      </c>
      <c r="W560" s="11">
        <v>4826</v>
      </c>
      <c r="X560" s="12">
        <f t="shared" si="110"/>
        <v>0</v>
      </c>
      <c r="Y560" s="13">
        <f t="shared" si="111"/>
        <v>0</v>
      </c>
      <c r="Z560" s="14" t="str">
        <f t="shared" si="112"/>
        <v>0.00%-8.40%</v>
      </c>
      <c r="AA560" s="15"/>
      <c r="AB560" s="15"/>
      <c r="AC560" s="15"/>
      <c r="AD560" s="16"/>
      <c r="AE560" s="8">
        <f t="shared" si="113"/>
        <v>0</v>
      </c>
      <c r="AF560" s="17">
        <f t="shared" si="114"/>
        <v>4826</v>
      </c>
      <c r="AG560" s="18">
        <f t="shared" si="115"/>
        <v>0</v>
      </c>
      <c r="AH560" s="19">
        <f t="shared" si="116"/>
        <v>0</v>
      </c>
      <c r="AI560" s="20">
        <v>13.6</v>
      </c>
      <c r="AJ560" s="20">
        <v>450</v>
      </c>
      <c r="AK560" s="20"/>
      <c r="AL560" s="20">
        <v>688</v>
      </c>
      <c r="AM560" s="20">
        <f t="shared" si="117"/>
        <v>71721.599999999991</v>
      </c>
      <c r="AN560" s="7" t="s">
        <v>176</v>
      </c>
      <c r="AO560" s="20"/>
      <c r="AP560" s="21" t="s">
        <v>97</v>
      </c>
      <c r="AQ560" s="21" t="s">
        <v>97</v>
      </c>
      <c r="AR560" s="5" t="s">
        <v>912</v>
      </c>
      <c r="AS560" s="5" t="s">
        <v>164</v>
      </c>
      <c r="AT560" s="5" t="s">
        <v>59</v>
      </c>
      <c r="AU560" s="20"/>
      <c r="AV560" s="21"/>
      <c r="AW560" s="21"/>
      <c r="AX560" s="21"/>
    </row>
    <row r="561" spans="1:50" s="55" customFormat="1">
      <c r="A561" s="86" t="s">
        <v>318</v>
      </c>
      <c r="B561" s="5">
        <v>15002003</v>
      </c>
      <c r="C561" s="5" t="s">
        <v>938</v>
      </c>
      <c r="D561" s="5" t="s">
        <v>321</v>
      </c>
      <c r="E561" s="5" t="s">
        <v>52</v>
      </c>
      <c r="F561" s="5" t="s">
        <v>62</v>
      </c>
      <c r="G561" s="5" t="s">
        <v>211</v>
      </c>
      <c r="H561" s="5" t="s">
        <v>910</v>
      </c>
      <c r="I561" s="6">
        <v>39708</v>
      </c>
      <c r="J561" s="5" t="s">
        <v>336</v>
      </c>
      <c r="K561" s="5" t="s">
        <v>511</v>
      </c>
      <c r="L561" s="5" t="s">
        <v>324</v>
      </c>
      <c r="M561" s="7">
        <v>6</v>
      </c>
      <c r="N561" s="7" t="s">
        <v>176</v>
      </c>
      <c r="O561" s="8">
        <v>4918</v>
      </c>
      <c r="P561" s="9">
        <v>0.02</v>
      </c>
      <c r="Q561" s="10">
        <f t="shared" si="105"/>
        <v>98</v>
      </c>
      <c r="R561" s="9">
        <v>5.0000000000000001E-3</v>
      </c>
      <c r="S561" s="10">
        <f t="shared" si="106"/>
        <v>25</v>
      </c>
      <c r="T561" s="9">
        <f t="shared" si="107"/>
        <v>2.5010166734444898E-2</v>
      </c>
      <c r="U561" s="10">
        <f t="shared" si="108"/>
        <v>123</v>
      </c>
      <c r="V561" s="10">
        <f t="shared" si="109"/>
        <v>5041</v>
      </c>
      <c r="W561" s="11">
        <v>5041</v>
      </c>
      <c r="X561" s="12">
        <f t="shared" si="110"/>
        <v>123</v>
      </c>
      <c r="Y561" s="13">
        <f t="shared" si="111"/>
        <v>2.5000000000000001E-2</v>
      </c>
      <c r="Z561" s="14" t="str">
        <f t="shared" si="112"/>
        <v>0.00%-8.40%</v>
      </c>
      <c r="AA561" s="15"/>
      <c r="AB561" s="15"/>
      <c r="AC561" s="15"/>
      <c r="AD561" s="16"/>
      <c r="AE561" s="8">
        <f t="shared" si="113"/>
        <v>0</v>
      </c>
      <c r="AF561" s="17">
        <f t="shared" si="114"/>
        <v>5041</v>
      </c>
      <c r="AG561" s="18">
        <f t="shared" si="115"/>
        <v>123</v>
      </c>
      <c r="AH561" s="19">
        <f t="shared" si="116"/>
        <v>2.5010166734444894E-2</v>
      </c>
      <c r="AI561" s="20">
        <v>13.6</v>
      </c>
      <c r="AJ561" s="20">
        <v>450</v>
      </c>
      <c r="AK561" s="20"/>
      <c r="AL561" s="20">
        <v>688</v>
      </c>
      <c r="AM561" s="20">
        <f t="shared" si="117"/>
        <v>74645.599999999991</v>
      </c>
      <c r="AN561" s="7" t="s">
        <v>176</v>
      </c>
      <c r="AO561" s="20"/>
      <c r="AP561" s="21"/>
      <c r="AQ561" s="21"/>
      <c r="AR561" s="5" t="s">
        <v>912</v>
      </c>
      <c r="AS561" s="5" t="s">
        <v>164</v>
      </c>
      <c r="AT561" s="5" t="s">
        <v>59</v>
      </c>
      <c r="AU561" s="20"/>
      <c r="AV561" s="21"/>
      <c r="AW561" s="21"/>
      <c r="AX561" s="21"/>
    </row>
    <row r="562" spans="1:50" s="55" customFormat="1">
      <c r="A562" s="86" t="s">
        <v>318</v>
      </c>
      <c r="B562" s="5">
        <v>15014207</v>
      </c>
      <c r="C562" s="5" t="s">
        <v>939</v>
      </c>
      <c r="D562" s="5" t="s">
        <v>321</v>
      </c>
      <c r="E562" s="5" t="s">
        <v>52</v>
      </c>
      <c r="F562" s="5" t="s">
        <v>62</v>
      </c>
      <c r="G562" s="5" t="s">
        <v>211</v>
      </c>
      <c r="H562" s="5" t="s">
        <v>910</v>
      </c>
      <c r="I562" s="6">
        <v>42217</v>
      </c>
      <c r="J562" s="5" t="s">
        <v>336</v>
      </c>
      <c r="K562" s="5" t="s">
        <v>511</v>
      </c>
      <c r="L562" s="5" t="s">
        <v>324</v>
      </c>
      <c r="M562" s="7">
        <v>6</v>
      </c>
      <c r="N562" s="7" t="s">
        <v>176</v>
      </c>
      <c r="O562" s="8">
        <v>5770</v>
      </c>
      <c r="P562" s="9">
        <v>0.02</v>
      </c>
      <c r="Q562" s="10">
        <f t="shared" si="105"/>
        <v>115</v>
      </c>
      <c r="R562" s="9">
        <v>5.0000000000000001E-3</v>
      </c>
      <c r="S562" s="10">
        <f t="shared" si="106"/>
        <v>29</v>
      </c>
      <c r="T562" s="9">
        <f t="shared" si="107"/>
        <v>2.4956672443674176E-2</v>
      </c>
      <c r="U562" s="10">
        <f t="shared" si="108"/>
        <v>144</v>
      </c>
      <c r="V562" s="10">
        <f t="shared" si="109"/>
        <v>5914</v>
      </c>
      <c r="W562" s="11">
        <v>6116</v>
      </c>
      <c r="X562" s="12">
        <f t="shared" si="110"/>
        <v>346</v>
      </c>
      <c r="Y562" s="13">
        <f t="shared" si="111"/>
        <v>0.06</v>
      </c>
      <c r="Z562" s="14" t="str">
        <f t="shared" si="112"/>
        <v>0.00%-8.40%</v>
      </c>
      <c r="AA562" s="15"/>
      <c r="AB562" s="15"/>
      <c r="AC562" s="15"/>
      <c r="AD562" s="16"/>
      <c r="AE562" s="8">
        <f t="shared" si="113"/>
        <v>0</v>
      </c>
      <c r="AF562" s="17">
        <f t="shared" si="114"/>
        <v>6116</v>
      </c>
      <c r="AG562" s="18">
        <f t="shared" si="115"/>
        <v>346</v>
      </c>
      <c r="AH562" s="19">
        <f t="shared" si="116"/>
        <v>5.9965337954939413E-2</v>
      </c>
      <c r="AI562" s="20">
        <v>13.6</v>
      </c>
      <c r="AJ562" s="20">
        <v>450</v>
      </c>
      <c r="AK562" s="20"/>
      <c r="AL562" s="20">
        <v>688</v>
      </c>
      <c r="AM562" s="20">
        <f t="shared" si="117"/>
        <v>89265.599999999991</v>
      </c>
      <c r="AN562" s="7" t="s">
        <v>176</v>
      </c>
      <c r="AO562" s="20"/>
      <c r="AP562" s="21"/>
      <c r="AQ562" s="21"/>
      <c r="AR562" s="5" t="s">
        <v>912</v>
      </c>
      <c r="AS562" s="5" t="s">
        <v>164</v>
      </c>
      <c r="AT562" s="5" t="s">
        <v>59</v>
      </c>
      <c r="AU562" s="20"/>
      <c r="AV562" s="21"/>
      <c r="AW562" s="21"/>
      <c r="AX562" s="21"/>
    </row>
    <row r="563" spans="1:50" s="55" customFormat="1">
      <c r="A563" s="86" t="s">
        <v>318</v>
      </c>
      <c r="B563" s="5">
        <v>15003467</v>
      </c>
      <c r="C563" s="5" t="s">
        <v>940</v>
      </c>
      <c r="D563" s="5" t="s">
        <v>321</v>
      </c>
      <c r="E563" s="5" t="s">
        <v>52</v>
      </c>
      <c r="F563" s="5" t="s">
        <v>62</v>
      </c>
      <c r="G563" s="5" t="s">
        <v>211</v>
      </c>
      <c r="H563" s="5" t="s">
        <v>910</v>
      </c>
      <c r="I563" s="6">
        <v>40259</v>
      </c>
      <c r="J563" s="5" t="s">
        <v>336</v>
      </c>
      <c r="K563" s="5" t="s">
        <v>511</v>
      </c>
      <c r="L563" s="5" t="s">
        <v>324</v>
      </c>
      <c r="M563" s="7">
        <v>6</v>
      </c>
      <c r="N563" s="7" t="s">
        <v>176</v>
      </c>
      <c r="O563" s="8">
        <v>4684</v>
      </c>
      <c r="P563" s="9">
        <v>0.02</v>
      </c>
      <c r="Q563" s="10">
        <f t="shared" si="105"/>
        <v>94</v>
      </c>
      <c r="R563" s="9">
        <v>5.0000000000000001E-3</v>
      </c>
      <c r="S563" s="10">
        <f t="shared" si="106"/>
        <v>23</v>
      </c>
      <c r="T563" s="9">
        <f t="shared" si="107"/>
        <v>2.497865072587532E-2</v>
      </c>
      <c r="U563" s="10">
        <f t="shared" si="108"/>
        <v>117</v>
      </c>
      <c r="V563" s="10">
        <f t="shared" si="109"/>
        <v>4801</v>
      </c>
      <c r="W563" s="11">
        <v>4801</v>
      </c>
      <c r="X563" s="12">
        <f t="shared" si="110"/>
        <v>117</v>
      </c>
      <c r="Y563" s="13">
        <f t="shared" si="111"/>
        <v>2.5000000000000001E-2</v>
      </c>
      <c r="Z563" s="14" t="str">
        <f t="shared" si="112"/>
        <v>0.00%-8.40%</v>
      </c>
      <c r="AA563" s="15"/>
      <c r="AB563" s="15"/>
      <c r="AC563" s="15"/>
      <c r="AD563" s="16"/>
      <c r="AE563" s="8">
        <f t="shared" si="113"/>
        <v>0</v>
      </c>
      <c r="AF563" s="17">
        <f t="shared" si="114"/>
        <v>4801</v>
      </c>
      <c r="AG563" s="18">
        <f t="shared" si="115"/>
        <v>117</v>
      </c>
      <c r="AH563" s="19">
        <f t="shared" si="116"/>
        <v>2.4978650725875351E-2</v>
      </c>
      <c r="AI563" s="20">
        <v>13.6</v>
      </c>
      <c r="AJ563" s="20">
        <v>450</v>
      </c>
      <c r="AK563" s="20"/>
      <c r="AL563" s="20">
        <v>688</v>
      </c>
      <c r="AM563" s="20">
        <f t="shared" si="117"/>
        <v>71381.600000000006</v>
      </c>
      <c r="AN563" s="7" t="s">
        <v>176</v>
      </c>
      <c r="AO563" s="20"/>
      <c r="AP563" s="21"/>
      <c r="AQ563" s="21"/>
      <c r="AR563" s="5" t="s">
        <v>912</v>
      </c>
      <c r="AS563" s="5" t="s">
        <v>164</v>
      </c>
      <c r="AT563" s="5" t="s">
        <v>59</v>
      </c>
      <c r="AU563" s="20"/>
      <c r="AV563" s="21"/>
      <c r="AW563" s="21"/>
      <c r="AX563" s="21"/>
    </row>
    <row r="564" spans="1:50" s="55" customFormat="1">
      <c r="A564" s="86" t="s">
        <v>318</v>
      </c>
      <c r="B564" s="5">
        <v>15008787</v>
      </c>
      <c r="C564" s="5" t="s">
        <v>941</v>
      </c>
      <c r="D564" s="5" t="s">
        <v>321</v>
      </c>
      <c r="E564" s="5" t="s">
        <v>52</v>
      </c>
      <c r="F564" s="5" t="s">
        <v>62</v>
      </c>
      <c r="G564" s="5" t="s">
        <v>211</v>
      </c>
      <c r="H564" s="5" t="s">
        <v>910</v>
      </c>
      <c r="I564" s="6">
        <v>41365</v>
      </c>
      <c r="J564" s="5" t="s">
        <v>336</v>
      </c>
      <c r="K564" s="5" t="s">
        <v>511</v>
      </c>
      <c r="L564" s="5" t="s">
        <v>324</v>
      </c>
      <c r="M564" s="7">
        <v>6</v>
      </c>
      <c r="N564" s="7" t="s">
        <v>176</v>
      </c>
      <c r="O564" s="8">
        <v>4833</v>
      </c>
      <c r="P564" s="9">
        <v>0.02</v>
      </c>
      <c r="Q564" s="10">
        <f t="shared" si="105"/>
        <v>97</v>
      </c>
      <c r="R564" s="9">
        <v>5.0000000000000001E-3</v>
      </c>
      <c r="S564" s="10">
        <f t="shared" si="106"/>
        <v>24</v>
      </c>
      <c r="T564" s="9">
        <f t="shared" si="107"/>
        <v>2.5036209393751292E-2</v>
      </c>
      <c r="U564" s="10">
        <f t="shared" si="108"/>
        <v>121</v>
      </c>
      <c r="V564" s="10">
        <f t="shared" si="109"/>
        <v>4954</v>
      </c>
      <c r="W564" s="11">
        <v>5002</v>
      </c>
      <c r="X564" s="12">
        <f t="shared" si="110"/>
        <v>169</v>
      </c>
      <c r="Y564" s="13">
        <f t="shared" si="111"/>
        <v>3.5000000000000003E-2</v>
      </c>
      <c r="Z564" s="14" t="str">
        <f t="shared" si="112"/>
        <v>0.00%-8.40%</v>
      </c>
      <c r="AA564" s="15"/>
      <c r="AB564" s="15"/>
      <c r="AC564" s="15"/>
      <c r="AD564" s="16"/>
      <c r="AE564" s="8">
        <f t="shared" si="113"/>
        <v>0</v>
      </c>
      <c r="AF564" s="17">
        <f t="shared" si="114"/>
        <v>5002</v>
      </c>
      <c r="AG564" s="18">
        <f t="shared" si="115"/>
        <v>169</v>
      </c>
      <c r="AH564" s="19">
        <f t="shared" si="116"/>
        <v>3.4967928822677408E-2</v>
      </c>
      <c r="AI564" s="20">
        <v>13.6</v>
      </c>
      <c r="AJ564" s="20">
        <v>450</v>
      </c>
      <c r="AK564" s="20"/>
      <c r="AL564" s="20">
        <v>688</v>
      </c>
      <c r="AM564" s="20">
        <f t="shared" si="117"/>
        <v>74115.199999999997</v>
      </c>
      <c r="AN564" s="7" t="s">
        <v>176</v>
      </c>
      <c r="AO564" s="20"/>
      <c r="AP564" s="21"/>
      <c r="AQ564" s="21"/>
      <c r="AR564" s="5" t="s">
        <v>912</v>
      </c>
      <c r="AS564" s="5" t="s">
        <v>164</v>
      </c>
      <c r="AT564" s="5" t="s">
        <v>59</v>
      </c>
      <c r="AU564" s="20"/>
      <c r="AV564" s="21"/>
      <c r="AW564" s="21"/>
      <c r="AX564" s="21"/>
    </row>
    <row r="565" spans="1:50" s="55" customFormat="1">
      <c r="A565" s="86" t="s">
        <v>318</v>
      </c>
      <c r="B565" s="5">
        <v>15008885</v>
      </c>
      <c r="C565" s="5" t="s">
        <v>942</v>
      </c>
      <c r="D565" s="5" t="s">
        <v>321</v>
      </c>
      <c r="E565" s="5" t="s">
        <v>52</v>
      </c>
      <c r="F565" s="5" t="s">
        <v>62</v>
      </c>
      <c r="G565" s="5" t="s">
        <v>211</v>
      </c>
      <c r="H565" s="5" t="s">
        <v>910</v>
      </c>
      <c r="I565" s="6">
        <v>41395</v>
      </c>
      <c r="J565" s="5" t="s">
        <v>336</v>
      </c>
      <c r="K565" s="5" t="s">
        <v>511</v>
      </c>
      <c r="L565" s="5" t="s">
        <v>324</v>
      </c>
      <c r="M565" s="7">
        <v>6</v>
      </c>
      <c r="N565" s="7" t="s">
        <v>176</v>
      </c>
      <c r="O565" s="8">
        <v>5399</v>
      </c>
      <c r="P565" s="9">
        <v>0.02</v>
      </c>
      <c r="Q565" s="10">
        <f t="shared" si="105"/>
        <v>108</v>
      </c>
      <c r="R565" s="9">
        <v>5.0000000000000001E-3</v>
      </c>
      <c r="S565" s="10">
        <f t="shared" si="106"/>
        <v>27</v>
      </c>
      <c r="T565" s="9">
        <f t="shared" si="107"/>
        <v>2.5004630487127245E-2</v>
      </c>
      <c r="U565" s="10">
        <f t="shared" si="108"/>
        <v>135</v>
      </c>
      <c r="V565" s="10">
        <f t="shared" si="109"/>
        <v>5534</v>
      </c>
      <c r="W565" s="11">
        <v>5561</v>
      </c>
      <c r="X565" s="12">
        <f t="shared" si="110"/>
        <v>162</v>
      </c>
      <c r="Y565" s="13">
        <f t="shared" si="111"/>
        <v>0.03</v>
      </c>
      <c r="Z565" s="14" t="str">
        <f t="shared" si="112"/>
        <v>0.00%-8.40%</v>
      </c>
      <c r="AA565" s="15"/>
      <c r="AB565" s="15"/>
      <c r="AC565" s="15"/>
      <c r="AD565" s="16"/>
      <c r="AE565" s="8">
        <f t="shared" si="113"/>
        <v>0</v>
      </c>
      <c r="AF565" s="17">
        <f t="shared" si="114"/>
        <v>5561</v>
      </c>
      <c r="AG565" s="18">
        <f t="shared" si="115"/>
        <v>162</v>
      </c>
      <c r="AH565" s="19">
        <f t="shared" si="116"/>
        <v>3.0005556584552728E-2</v>
      </c>
      <c r="AI565" s="20">
        <v>13.6</v>
      </c>
      <c r="AJ565" s="20">
        <v>450</v>
      </c>
      <c r="AK565" s="20"/>
      <c r="AL565" s="20">
        <v>688</v>
      </c>
      <c r="AM565" s="20">
        <f t="shared" si="117"/>
        <v>81717.599999999991</v>
      </c>
      <c r="AN565" s="7" t="s">
        <v>176</v>
      </c>
      <c r="AO565" s="20"/>
      <c r="AP565" s="21"/>
      <c r="AQ565" s="21"/>
      <c r="AR565" s="5" t="s">
        <v>912</v>
      </c>
      <c r="AS565" s="5" t="s">
        <v>164</v>
      </c>
      <c r="AT565" s="5" t="s">
        <v>59</v>
      </c>
      <c r="AU565" s="20"/>
      <c r="AV565" s="21"/>
      <c r="AW565" s="21"/>
      <c r="AX565" s="21"/>
    </row>
    <row r="566" spans="1:50" s="55" customFormat="1">
      <c r="A566" s="86" t="s">
        <v>318</v>
      </c>
      <c r="B566" s="5">
        <v>15011614</v>
      </c>
      <c r="C566" s="5" t="s">
        <v>943</v>
      </c>
      <c r="D566" s="5" t="s">
        <v>321</v>
      </c>
      <c r="E566" s="5" t="s">
        <v>52</v>
      </c>
      <c r="F566" s="5" t="s">
        <v>62</v>
      </c>
      <c r="G566" s="5" t="s">
        <v>211</v>
      </c>
      <c r="H566" s="5" t="s">
        <v>910</v>
      </c>
      <c r="I566" s="6">
        <v>41640</v>
      </c>
      <c r="J566" s="5" t="s">
        <v>336</v>
      </c>
      <c r="K566" s="5" t="s">
        <v>511</v>
      </c>
      <c r="L566" s="5" t="s">
        <v>324</v>
      </c>
      <c r="M566" s="7">
        <v>6</v>
      </c>
      <c r="N566" s="7" t="s">
        <v>176</v>
      </c>
      <c r="O566" s="8">
        <v>5374</v>
      </c>
      <c r="P566" s="9">
        <v>0.02</v>
      </c>
      <c r="Q566" s="10">
        <f t="shared" si="105"/>
        <v>107</v>
      </c>
      <c r="R566" s="9">
        <v>5.0000000000000001E-3</v>
      </c>
      <c r="S566" s="10">
        <f t="shared" si="106"/>
        <v>27</v>
      </c>
      <c r="T566" s="9">
        <f t="shared" si="107"/>
        <v>2.4934871604019353E-2</v>
      </c>
      <c r="U566" s="10">
        <f t="shared" si="108"/>
        <v>134</v>
      </c>
      <c r="V566" s="10">
        <f t="shared" si="109"/>
        <v>5508</v>
      </c>
      <c r="W566" s="11">
        <v>5696</v>
      </c>
      <c r="X566" s="12">
        <f t="shared" si="110"/>
        <v>322</v>
      </c>
      <c r="Y566" s="13">
        <f t="shared" si="111"/>
        <v>5.9900000000000002E-2</v>
      </c>
      <c r="Z566" s="14" t="str">
        <f t="shared" si="112"/>
        <v>0.00%-8.40%</v>
      </c>
      <c r="AA566" s="15"/>
      <c r="AB566" s="15"/>
      <c r="AC566" s="15"/>
      <c r="AD566" s="16"/>
      <c r="AE566" s="8">
        <f t="shared" si="113"/>
        <v>0</v>
      </c>
      <c r="AF566" s="17">
        <f t="shared" si="114"/>
        <v>5696</v>
      </c>
      <c r="AG566" s="18">
        <f t="shared" si="115"/>
        <v>322</v>
      </c>
      <c r="AH566" s="19">
        <f t="shared" si="116"/>
        <v>5.9918124302195785E-2</v>
      </c>
      <c r="AI566" s="20">
        <v>13.6</v>
      </c>
      <c r="AJ566" s="20">
        <v>450</v>
      </c>
      <c r="AK566" s="20"/>
      <c r="AL566" s="20">
        <v>688</v>
      </c>
      <c r="AM566" s="20">
        <f t="shared" si="117"/>
        <v>83553.599999999991</v>
      </c>
      <c r="AN566" s="7" t="s">
        <v>176</v>
      </c>
      <c r="AO566" s="20"/>
      <c r="AP566" s="21"/>
      <c r="AQ566" s="21"/>
      <c r="AR566" s="5" t="s">
        <v>912</v>
      </c>
      <c r="AS566" s="5" t="s">
        <v>164</v>
      </c>
      <c r="AT566" s="5" t="s">
        <v>59</v>
      </c>
      <c r="AU566" s="20"/>
      <c r="AV566" s="21"/>
      <c r="AW566" s="21"/>
      <c r="AX566" s="21"/>
    </row>
    <row r="567" spans="1:50" s="55" customFormat="1">
      <c r="A567" s="86" t="s">
        <v>318</v>
      </c>
      <c r="B567" s="5">
        <v>15017754</v>
      </c>
      <c r="C567" s="5" t="s">
        <v>944</v>
      </c>
      <c r="D567" s="5" t="s">
        <v>321</v>
      </c>
      <c r="E567" s="5" t="s">
        <v>52</v>
      </c>
      <c r="F567" s="5" t="s">
        <v>62</v>
      </c>
      <c r="G567" s="5" t="s">
        <v>211</v>
      </c>
      <c r="H567" s="5" t="s">
        <v>910</v>
      </c>
      <c r="I567" s="6">
        <v>43101</v>
      </c>
      <c r="J567" s="5" t="s">
        <v>336</v>
      </c>
      <c r="K567" s="5" t="s">
        <v>511</v>
      </c>
      <c r="L567" s="5" t="s">
        <v>324</v>
      </c>
      <c r="M567" s="7">
        <v>6</v>
      </c>
      <c r="N567" s="7" t="s">
        <v>176</v>
      </c>
      <c r="O567" s="8">
        <v>4882</v>
      </c>
      <c r="P567" s="9">
        <v>0.02</v>
      </c>
      <c r="Q567" s="10">
        <f t="shared" si="105"/>
        <v>98</v>
      </c>
      <c r="R567" s="9">
        <v>5.0000000000000001E-3</v>
      </c>
      <c r="S567" s="10">
        <f t="shared" si="106"/>
        <v>24</v>
      </c>
      <c r="T567" s="9">
        <f t="shared" si="107"/>
        <v>2.4989758295780418E-2</v>
      </c>
      <c r="U567" s="10">
        <f t="shared" si="108"/>
        <v>122</v>
      </c>
      <c r="V567" s="10">
        <f t="shared" si="109"/>
        <v>5004</v>
      </c>
      <c r="W567" s="11">
        <v>5004</v>
      </c>
      <c r="X567" s="12">
        <f t="shared" si="110"/>
        <v>122</v>
      </c>
      <c r="Y567" s="13">
        <f t="shared" si="111"/>
        <v>2.5000000000000001E-2</v>
      </c>
      <c r="Z567" s="14" t="str">
        <f t="shared" si="112"/>
        <v>0.00%-8.40%</v>
      </c>
      <c r="AA567" s="15"/>
      <c r="AB567" s="15"/>
      <c r="AC567" s="15"/>
      <c r="AD567" s="16"/>
      <c r="AE567" s="8">
        <f t="shared" si="113"/>
        <v>0</v>
      </c>
      <c r="AF567" s="17">
        <f t="shared" si="114"/>
        <v>5004</v>
      </c>
      <c r="AG567" s="18">
        <f t="shared" si="115"/>
        <v>122</v>
      </c>
      <c r="AH567" s="19">
        <f t="shared" si="116"/>
        <v>2.4989758295780318E-2</v>
      </c>
      <c r="AI567" s="20">
        <v>13.6</v>
      </c>
      <c r="AJ567" s="20">
        <v>450</v>
      </c>
      <c r="AK567" s="20"/>
      <c r="AL567" s="20">
        <v>688</v>
      </c>
      <c r="AM567" s="20">
        <f t="shared" si="117"/>
        <v>74142.399999999994</v>
      </c>
      <c r="AN567" s="7" t="s">
        <v>176</v>
      </c>
      <c r="AO567" s="20"/>
      <c r="AP567" s="21"/>
      <c r="AQ567" s="21"/>
      <c r="AR567" s="5" t="s">
        <v>912</v>
      </c>
      <c r="AS567" s="5" t="s">
        <v>164</v>
      </c>
      <c r="AT567" s="5" t="s">
        <v>59</v>
      </c>
      <c r="AU567" s="20"/>
      <c r="AV567" s="21"/>
      <c r="AW567" s="21"/>
      <c r="AX567" s="21"/>
    </row>
    <row r="568" spans="1:50" s="55" customFormat="1">
      <c r="A568" s="86" t="s">
        <v>318</v>
      </c>
      <c r="B568" s="5">
        <v>15011605</v>
      </c>
      <c r="C568" s="5" t="s">
        <v>945</v>
      </c>
      <c r="D568" s="5" t="s">
        <v>321</v>
      </c>
      <c r="E568" s="5" t="s">
        <v>52</v>
      </c>
      <c r="F568" s="5" t="s">
        <v>62</v>
      </c>
      <c r="G568" s="5" t="s">
        <v>211</v>
      </c>
      <c r="H568" s="5" t="s">
        <v>910</v>
      </c>
      <c r="I568" s="6">
        <v>41609</v>
      </c>
      <c r="J568" s="5" t="s">
        <v>336</v>
      </c>
      <c r="K568" s="5" t="s">
        <v>511</v>
      </c>
      <c r="L568" s="5" t="s">
        <v>324</v>
      </c>
      <c r="M568" s="7">
        <v>6</v>
      </c>
      <c r="N568" s="7" t="s">
        <v>176</v>
      </c>
      <c r="O568" s="8">
        <v>4729</v>
      </c>
      <c r="P568" s="9">
        <v>0.02</v>
      </c>
      <c r="Q568" s="10">
        <f t="shared" si="105"/>
        <v>95</v>
      </c>
      <c r="R568" s="9">
        <v>5.0000000000000001E-3</v>
      </c>
      <c r="S568" s="10">
        <f t="shared" si="106"/>
        <v>24</v>
      </c>
      <c r="T568" s="9">
        <f t="shared" si="107"/>
        <v>2.516388242757454E-2</v>
      </c>
      <c r="U568" s="10">
        <f t="shared" si="108"/>
        <v>119</v>
      </c>
      <c r="V568" s="10">
        <f t="shared" si="109"/>
        <v>4848</v>
      </c>
      <c r="W568" s="11">
        <v>4847</v>
      </c>
      <c r="X568" s="12">
        <f t="shared" si="110"/>
        <v>118</v>
      </c>
      <c r="Y568" s="13">
        <f t="shared" si="111"/>
        <v>2.5000000000000001E-2</v>
      </c>
      <c r="Z568" s="14" t="str">
        <f t="shared" si="112"/>
        <v>0.00%-8.40%</v>
      </c>
      <c r="AA568" s="15"/>
      <c r="AB568" s="15"/>
      <c r="AC568" s="15"/>
      <c r="AD568" s="16"/>
      <c r="AE568" s="8">
        <f t="shared" si="113"/>
        <v>0</v>
      </c>
      <c r="AF568" s="17">
        <f t="shared" si="114"/>
        <v>4847</v>
      </c>
      <c r="AG568" s="18">
        <f t="shared" si="115"/>
        <v>118</v>
      </c>
      <c r="AH568" s="19">
        <f t="shared" si="116"/>
        <v>2.495242123070418E-2</v>
      </c>
      <c r="AI568" s="20">
        <v>13.6</v>
      </c>
      <c r="AJ568" s="20">
        <v>450</v>
      </c>
      <c r="AK568" s="20"/>
      <c r="AL568" s="20">
        <v>688</v>
      </c>
      <c r="AM568" s="20">
        <f t="shared" si="117"/>
        <v>72007.199999999997</v>
      </c>
      <c r="AN568" s="7" t="s">
        <v>176</v>
      </c>
      <c r="AO568" s="20"/>
      <c r="AP568" s="21"/>
      <c r="AQ568" s="21"/>
      <c r="AR568" s="5" t="s">
        <v>912</v>
      </c>
      <c r="AS568" s="5" t="s">
        <v>164</v>
      </c>
      <c r="AT568" s="5" t="s">
        <v>59</v>
      </c>
      <c r="AU568" s="20"/>
      <c r="AV568" s="21"/>
      <c r="AW568" s="21"/>
      <c r="AX568" s="21"/>
    </row>
    <row r="569" spans="1:50" s="55" customFormat="1">
      <c r="A569" s="86" t="s">
        <v>318</v>
      </c>
      <c r="B569" s="5">
        <v>15015070</v>
      </c>
      <c r="C569" s="5" t="s">
        <v>946</v>
      </c>
      <c r="D569" s="5" t="s">
        <v>321</v>
      </c>
      <c r="E569" s="5" t="s">
        <v>52</v>
      </c>
      <c r="F569" s="5" t="s">
        <v>62</v>
      </c>
      <c r="G569" s="5" t="s">
        <v>211</v>
      </c>
      <c r="H569" s="5" t="s">
        <v>910</v>
      </c>
      <c r="I569" s="6">
        <v>42552</v>
      </c>
      <c r="J569" s="5" t="s">
        <v>336</v>
      </c>
      <c r="K569" s="5" t="s">
        <v>511</v>
      </c>
      <c r="L569" s="5" t="s">
        <v>324</v>
      </c>
      <c r="M569" s="7">
        <v>6</v>
      </c>
      <c r="N569" s="7" t="s">
        <v>176</v>
      </c>
      <c r="O569" s="8">
        <v>4940</v>
      </c>
      <c r="P569" s="9">
        <v>0.02</v>
      </c>
      <c r="Q569" s="10">
        <f t="shared" si="105"/>
        <v>99</v>
      </c>
      <c r="R569" s="9">
        <v>5.0000000000000001E-3</v>
      </c>
      <c r="S569" s="10">
        <f t="shared" si="106"/>
        <v>25</v>
      </c>
      <c r="T569" s="9">
        <f t="shared" si="107"/>
        <v>2.5101214574898785E-2</v>
      </c>
      <c r="U569" s="10">
        <f t="shared" si="108"/>
        <v>124</v>
      </c>
      <c r="V569" s="10">
        <f t="shared" si="109"/>
        <v>5064</v>
      </c>
      <c r="W569" s="11">
        <v>5064</v>
      </c>
      <c r="X569" s="12">
        <f t="shared" si="110"/>
        <v>124</v>
      </c>
      <c r="Y569" s="13">
        <f t="shared" si="111"/>
        <v>2.5100000000000001E-2</v>
      </c>
      <c r="Z569" s="14" t="str">
        <f t="shared" si="112"/>
        <v>0.00%-8.40%</v>
      </c>
      <c r="AA569" s="15"/>
      <c r="AB569" s="15"/>
      <c r="AC569" s="15"/>
      <c r="AD569" s="16"/>
      <c r="AE569" s="8">
        <f t="shared" si="113"/>
        <v>0</v>
      </c>
      <c r="AF569" s="17">
        <f t="shared" si="114"/>
        <v>5064</v>
      </c>
      <c r="AG569" s="18">
        <f t="shared" si="115"/>
        <v>124</v>
      </c>
      <c r="AH569" s="19">
        <f t="shared" si="116"/>
        <v>2.5101214574898778E-2</v>
      </c>
      <c r="AI569" s="20">
        <v>13.6</v>
      </c>
      <c r="AJ569" s="20">
        <v>450</v>
      </c>
      <c r="AK569" s="20"/>
      <c r="AL569" s="20">
        <v>688</v>
      </c>
      <c r="AM569" s="20">
        <f t="shared" si="117"/>
        <v>74958.399999999994</v>
      </c>
      <c r="AN569" s="7" t="s">
        <v>176</v>
      </c>
      <c r="AO569" s="20"/>
      <c r="AP569" s="21"/>
      <c r="AQ569" s="21"/>
      <c r="AR569" s="5" t="s">
        <v>912</v>
      </c>
      <c r="AS569" s="5" t="s">
        <v>164</v>
      </c>
      <c r="AT569" s="5" t="s">
        <v>59</v>
      </c>
      <c r="AU569" s="20"/>
      <c r="AV569" s="21"/>
      <c r="AW569" s="21"/>
      <c r="AX569" s="21"/>
    </row>
    <row r="570" spans="1:50" s="55" customFormat="1">
      <c r="A570" s="86" t="s">
        <v>318</v>
      </c>
      <c r="B570" s="5">
        <v>15018660</v>
      </c>
      <c r="C570" s="5" t="s">
        <v>947</v>
      </c>
      <c r="D570" s="5" t="s">
        <v>321</v>
      </c>
      <c r="E570" s="5" t="s">
        <v>52</v>
      </c>
      <c r="F570" s="5" t="s">
        <v>62</v>
      </c>
      <c r="G570" s="5" t="s">
        <v>211</v>
      </c>
      <c r="H570" s="5" t="s">
        <v>910</v>
      </c>
      <c r="I570" s="6">
        <v>43282</v>
      </c>
      <c r="J570" s="5" t="s">
        <v>336</v>
      </c>
      <c r="K570" s="5" t="s">
        <v>511</v>
      </c>
      <c r="L570" s="5" t="s">
        <v>324</v>
      </c>
      <c r="M570" s="7">
        <v>6</v>
      </c>
      <c r="N570" s="7" t="s">
        <v>176</v>
      </c>
      <c r="O570" s="8">
        <v>4400</v>
      </c>
      <c r="P570" s="9">
        <v>0.02</v>
      </c>
      <c r="Q570" s="10">
        <f t="shared" si="105"/>
        <v>88</v>
      </c>
      <c r="R570" s="9">
        <v>5.0000000000000001E-3</v>
      </c>
      <c r="S570" s="10">
        <f t="shared" si="106"/>
        <v>22</v>
      </c>
      <c r="T570" s="9">
        <f t="shared" si="107"/>
        <v>2.5000000000000001E-2</v>
      </c>
      <c r="U570" s="10">
        <f t="shared" si="108"/>
        <v>110</v>
      </c>
      <c r="V570" s="10">
        <f t="shared" si="109"/>
        <v>4510</v>
      </c>
      <c r="W570" s="11">
        <v>4466</v>
      </c>
      <c r="X570" s="12">
        <f t="shared" si="110"/>
        <v>66</v>
      </c>
      <c r="Y570" s="13">
        <f t="shared" si="111"/>
        <v>1.4999999999999999E-2</v>
      </c>
      <c r="Z570" s="14" t="str">
        <f t="shared" si="112"/>
        <v>0.00%-8.40%</v>
      </c>
      <c r="AA570" s="15"/>
      <c r="AB570" s="15"/>
      <c r="AC570" s="15"/>
      <c r="AD570" s="16"/>
      <c r="AE570" s="8">
        <f t="shared" si="113"/>
        <v>0</v>
      </c>
      <c r="AF570" s="17">
        <f t="shared" si="114"/>
        <v>4466</v>
      </c>
      <c r="AG570" s="18">
        <f t="shared" si="115"/>
        <v>66</v>
      </c>
      <c r="AH570" s="19">
        <f t="shared" si="116"/>
        <v>1.4999999999999902E-2</v>
      </c>
      <c r="AI570" s="20">
        <v>13.6</v>
      </c>
      <c r="AJ570" s="20">
        <v>450</v>
      </c>
      <c r="AK570" s="20"/>
      <c r="AL570" s="20">
        <v>688</v>
      </c>
      <c r="AM570" s="20">
        <f t="shared" si="117"/>
        <v>66825.600000000006</v>
      </c>
      <c r="AN570" s="7" t="s">
        <v>176</v>
      </c>
      <c r="AO570" s="20"/>
      <c r="AP570" s="21"/>
      <c r="AQ570" s="21"/>
      <c r="AR570" s="5" t="s">
        <v>912</v>
      </c>
      <c r="AS570" s="5" t="s">
        <v>164</v>
      </c>
      <c r="AT570" s="5" t="s">
        <v>59</v>
      </c>
      <c r="AU570" s="20"/>
      <c r="AV570" s="21"/>
      <c r="AW570" s="21"/>
      <c r="AX570" s="21"/>
    </row>
    <row r="571" spans="1:50" s="55" customFormat="1">
      <c r="A571" s="86" t="s">
        <v>318</v>
      </c>
      <c r="B571" s="5">
        <v>15009654</v>
      </c>
      <c r="C571" s="5" t="s">
        <v>948</v>
      </c>
      <c r="D571" s="5" t="s">
        <v>321</v>
      </c>
      <c r="E571" s="5" t="s">
        <v>52</v>
      </c>
      <c r="F571" s="5" t="s">
        <v>62</v>
      </c>
      <c r="G571" s="5" t="s">
        <v>211</v>
      </c>
      <c r="H571" s="5" t="s">
        <v>910</v>
      </c>
      <c r="I571" s="6">
        <v>41487</v>
      </c>
      <c r="J571" s="5" t="s">
        <v>336</v>
      </c>
      <c r="K571" s="5" t="s">
        <v>511</v>
      </c>
      <c r="L571" s="5" t="s">
        <v>324</v>
      </c>
      <c r="M571" s="7">
        <v>6</v>
      </c>
      <c r="N571" s="7" t="s">
        <v>176</v>
      </c>
      <c r="O571" s="8">
        <v>5013</v>
      </c>
      <c r="P571" s="9">
        <v>0.02</v>
      </c>
      <c r="Q571" s="10">
        <f t="shared" si="105"/>
        <v>100</v>
      </c>
      <c r="R571" s="9">
        <v>5.0000000000000001E-3</v>
      </c>
      <c r="S571" s="10">
        <f t="shared" si="106"/>
        <v>25</v>
      </c>
      <c r="T571" s="9">
        <f t="shared" si="107"/>
        <v>2.4935168561739478E-2</v>
      </c>
      <c r="U571" s="10">
        <f t="shared" si="108"/>
        <v>125</v>
      </c>
      <c r="V571" s="10">
        <f t="shared" si="109"/>
        <v>5138</v>
      </c>
      <c r="W571" s="11">
        <v>5163</v>
      </c>
      <c r="X571" s="12">
        <f t="shared" si="110"/>
        <v>150</v>
      </c>
      <c r="Y571" s="13">
        <f t="shared" si="111"/>
        <v>2.9899999999999999E-2</v>
      </c>
      <c r="Z571" s="14" t="str">
        <f t="shared" si="112"/>
        <v>0.00%-8.40%</v>
      </c>
      <c r="AA571" s="15"/>
      <c r="AB571" s="15"/>
      <c r="AC571" s="15"/>
      <c r="AD571" s="16"/>
      <c r="AE571" s="8">
        <f t="shared" si="113"/>
        <v>0</v>
      </c>
      <c r="AF571" s="17">
        <f t="shared" si="114"/>
        <v>5163</v>
      </c>
      <c r="AG571" s="18">
        <f t="shared" si="115"/>
        <v>150</v>
      </c>
      <c r="AH571" s="19">
        <f t="shared" si="116"/>
        <v>2.9922202274087484E-2</v>
      </c>
      <c r="AI571" s="20">
        <v>13.6</v>
      </c>
      <c r="AJ571" s="20">
        <v>450</v>
      </c>
      <c r="AK571" s="20"/>
      <c r="AL571" s="20">
        <v>688</v>
      </c>
      <c r="AM571" s="20">
        <f t="shared" si="117"/>
        <v>76304.800000000003</v>
      </c>
      <c r="AN571" s="7" t="s">
        <v>176</v>
      </c>
      <c r="AO571" s="20"/>
      <c r="AP571" s="21"/>
      <c r="AQ571" s="21"/>
      <c r="AR571" s="5" t="s">
        <v>912</v>
      </c>
      <c r="AS571" s="5" t="s">
        <v>164</v>
      </c>
      <c r="AT571" s="5" t="s">
        <v>59</v>
      </c>
      <c r="AU571" s="20"/>
      <c r="AV571" s="21"/>
      <c r="AW571" s="21"/>
      <c r="AX571" s="21"/>
    </row>
    <row r="572" spans="1:50" s="55" customFormat="1">
      <c r="A572" s="86" t="s">
        <v>318</v>
      </c>
      <c r="B572" s="5">
        <v>15006585</v>
      </c>
      <c r="C572" s="5" t="s">
        <v>949</v>
      </c>
      <c r="D572" s="5" t="s">
        <v>321</v>
      </c>
      <c r="E572" s="5" t="s">
        <v>52</v>
      </c>
      <c r="F572" s="5" t="s">
        <v>62</v>
      </c>
      <c r="G572" s="5" t="s">
        <v>211</v>
      </c>
      <c r="H572" s="5" t="s">
        <v>910</v>
      </c>
      <c r="I572" s="6">
        <v>44378</v>
      </c>
      <c r="J572" s="5" t="s">
        <v>336</v>
      </c>
      <c r="K572" s="5" t="s">
        <v>511</v>
      </c>
      <c r="L572" s="5" t="s">
        <v>324</v>
      </c>
      <c r="M572" s="7">
        <v>6</v>
      </c>
      <c r="N572" s="7" t="s">
        <v>176</v>
      </c>
      <c r="O572" s="8">
        <v>4467</v>
      </c>
      <c r="P572" s="9">
        <v>0.02</v>
      </c>
      <c r="Q572" s="10">
        <f t="shared" si="105"/>
        <v>89</v>
      </c>
      <c r="R572" s="9">
        <v>5.0000000000000001E-3</v>
      </c>
      <c r="S572" s="10">
        <f t="shared" si="106"/>
        <v>22</v>
      </c>
      <c r="T572" s="9">
        <f t="shared" si="107"/>
        <v>2.4848891873740765E-2</v>
      </c>
      <c r="U572" s="10">
        <f t="shared" si="108"/>
        <v>111</v>
      </c>
      <c r="V572" s="10">
        <f t="shared" si="109"/>
        <v>4578</v>
      </c>
      <c r="W572" s="11">
        <v>4534</v>
      </c>
      <c r="X572" s="12">
        <f t="shared" si="110"/>
        <v>67</v>
      </c>
      <c r="Y572" s="13">
        <f t="shared" si="111"/>
        <v>1.4999999999999999E-2</v>
      </c>
      <c r="Z572" s="14" t="str">
        <f t="shared" si="112"/>
        <v>0.00%-8.40%</v>
      </c>
      <c r="AA572" s="15"/>
      <c r="AB572" s="15"/>
      <c r="AC572" s="15"/>
      <c r="AD572" s="16"/>
      <c r="AE572" s="8">
        <f t="shared" si="113"/>
        <v>0</v>
      </c>
      <c r="AF572" s="17">
        <f t="shared" si="114"/>
        <v>4534</v>
      </c>
      <c r="AG572" s="18">
        <f t="shared" si="115"/>
        <v>67</v>
      </c>
      <c r="AH572" s="19">
        <f t="shared" si="116"/>
        <v>1.4998880680546334E-2</v>
      </c>
      <c r="AI572" s="20">
        <v>13.6</v>
      </c>
      <c r="AJ572" s="20">
        <v>450</v>
      </c>
      <c r="AK572" s="20"/>
      <c r="AL572" s="20">
        <v>688</v>
      </c>
      <c r="AM572" s="20">
        <f t="shared" si="117"/>
        <v>67750.399999999994</v>
      </c>
      <c r="AN572" s="7" t="s">
        <v>176</v>
      </c>
      <c r="AO572" s="20" t="s">
        <v>490</v>
      </c>
      <c r="AP572" s="21"/>
      <c r="AQ572" s="21"/>
      <c r="AR572" s="5" t="s">
        <v>912</v>
      </c>
      <c r="AS572" s="5" t="s">
        <v>164</v>
      </c>
      <c r="AT572" s="5" t="s">
        <v>59</v>
      </c>
      <c r="AU572" s="20"/>
      <c r="AV572" s="21"/>
      <c r="AW572" s="21"/>
      <c r="AX572" s="21"/>
    </row>
    <row r="573" spans="1:50" s="55" customFormat="1">
      <c r="A573" s="86" t="s">
        <v>318</v>
      </c>
      <c r="B573" s="5">
        <v>15009179</v>
      </c>
      <c r="C573" s="5" t="s">
        <v>950</v>
      </c>
      <c r="D573" s="5" t="s">
        <v>321</v>
      </c>
      <c r="E573" s="5" t="s">
        <v>52</v>
      </c>
      <c r="F573" s="5" t="s">
        <v>62</v>
      </c>
      <c r="G573" s="5" t="s">
        <v>211</v>
      </c>
      <c r="H573" s="5" t="s">
        <v>910</v>
      </c>
      <c r="I573" s="6">
        <v>41259</v>
      </c>
      <c r="J573" s="5" t="s">
        <v>336</v>
      </c>
      <c r="K573" s="5" t="s">
        <v>511</v>
      </c>
      <c r="L573" s="5" t="s">
        <v>324</v>
      </c>
      <c r="M573" s="7">
        <v>6</v>
      </c>
      <c r="N573" s="7" t="s">
        <v>176</v>
      </c>
      <c r="O573" s="8">
        <v>5016</v>
      </c>
      <c r="P573" s="9">
        <v>0.02</v>
      </c>
      <c r="Q573" s="10">
        <f t="shared" si="105"/>
        <v>100</v>
      </c>
      <c r="R573" s="9">
        <v>5.0000000000000001E-3</v>
      </c>
      <c r="S573" s="10">
        <f t="shared" si="106"/>
        <v>25</v>
      </c>
      <c r="T573" s="9">
        <f t="shared" si="107"/>
        <v>2.4920255183413079E-2</v>
      </c>
      <c r="U573" s="10">
        <f t="shared" si="108"/>
        <v>125</v>
      </c>
      <c r="V573" s="10">
        <f t="shared" si="109"/>
        <v>5141</v>
      </c>
      <c r="W573" s="11">
        <v>5141</v>
      </c>
      <c r="X573" s="12">
        <f t="shared" si="110"/>
        <v>125</v>
      </c>
      <c r="Y573" s="13">
        <f t="shared" si="111"/>
        <v>2.4899999999999999E-2</v>
      </c>
      <c r="Z573" s="14" t="str">
        <f t="shared" si="112"/>
        <v>0.00%-8.40%</v>
      </c>
      <c r="AA573" s="15"/>
      <c r="AB573" s="15"/>
      <c r="AC573" s="15"/>
      <c r="AD573" s="16"/>
      <c r="AE573" s="8">
        <f t="shared" si="113"/>
        <v>0</v>
      </c>
      <c r="AF573" s="17">
        <f t="shared" si="114"/>
        <v>5141</v>
      </c>
      <c r="AG573" s="18">
        <f t="shared" si="115"/>
        <v>125</v>
      </c>
      <c r="AH573" s="19">
        <f t="shared" si="116"/>
        <v>2.492025518341312E-2</v>
      </c>
      <c r="AI573" s="20">
        <v>13.6</v>
      </c>
      <c r="AJ573" s="20">
        <v>500</v>
      </c>
      <c r="AK573" s="20"/>
      <c r="AL573" s="20">
        <v>688</v>
      </c>
      <c r="AM573" s="20">
        <f t="shared" si="117"/>
        <v>76605.599999999991</v>
      </c>
      <c r="AN573" s="7" t="s">
        <v>176</v>
      </c>
      <c r="AO573" s="20"/>
      <c r="AP573" s="21"/>
      <c r="AQ573" s="21"/>
      <c r="AR573" s="5" t="s">
        <v>912</v>
      </c>
      <c r="AS573" s="5" t="s">
        <v>164</v>
      </c>
      <c r="AT573" s="5" t="s">
        <v>59</v>
      </c>
      <c r="AU573" s="20"/>
      <c r="AV573" s="21"/>
      <c r="AW573" s="21"/>
      <c r="AX573" s="21"/>
    </row>
    <row r="574" spans="1:50" s="55" customFormat="1">
      <c r="A574" s="86" t="s">
        <v>318</v>
      </c>
      <c r="B574" s="5">
        <v>15002919</v>
      </c>
      <c r="C574" s="5" t="s">
        <v>951</v>
      </c>
      <c r="D574" s="5" t="s">
        <v>321</v>
      </c>
      <c r="E574" s="5" t="s">
        <v>52</v>
      </c>
      <c r="F574" s="5" t="s">
        <v>62</v>
      </c>
      <c r="G574" s="5" t="s">
        <v>211</v>
      </c>
      <c r="H574" s="5" t="s">
        <v>910</v>
      </c>
      <c r="I574" s="6">
        <v>40269</v>
      </c>
      <c r="J574" s="5" t="s">
        <v>336</v>
      </c>
      <c r="K574" s="5" t="s">
        <v>511</v>
      </c>
      <c r="L574" s="5" t="s">
        <v>324</v>
      </c>
      <c r="M574" s="7">
        <v>6</v>
      </c>
      <c r="N574" s="7" t="s">
        <v>176</v>
      </c>
      <c r="O574" s="8">
        <v>4639</v>
      </c>
      <c r="P574" s="9">
        <v>0.02</v>
      </c>
      <c r="Q574" s="10">
        <f t="shared" si="105"/>
        <v>93</v>
      </c>
      <c r="R574" s="9">
        <v>5.0000000000000001E-3</v>
      </c>
      <c r="S574" s="10">
        <f t="shared" si="106"/>
        <v>23</v>
      </c>
      <c r="T574" s="9">
        <f t="shared" si="107"/>
        <v>2.5005389092476828E-2</v>
      </c>
      <c r="U574" s="10">
        <f t="shared" si="108"/>
        <v>116</v>
      </c>
      <c r="V574" s="10">
        <f t="shared" si="109"/>
        <v>4755</v>
      </c>
      <c r="W574" s="11">
        <v>4778</v>
      </c>
      <c r="X574" s="12">
        <f t="shared" si="110"/>
        <v>139</v>
      </c>
      <c r="Y574" s="13">
        <f t="shared" si="111"/>
        <v>0.03</v>
      </c>
      <c r="Z574" s="14" t="str">
        <f t="shared" si="112"/>
        <v>0.00%-8.40%</v>
      </c>
      <c r="AA574" s="15"/>
      <c r="AB574" s="15"/>
      <c r="AC574" s="15"/>
      <c r="AD574" s="16"/>
      <c r="AE574" s="8">
        <f t="shared" si="113"/>
        <v>0</v>
      </c>
      <c r="AF574" s="17">
        <f t="shared" si="114"/>
        <v>4778</v>
      </c>
      <c r="AG574" s="18">
        <f t="shared" si="115"/>
        <v>139</v>
      </c>
      <c r="AH574" s="19">
        <f t="shared" si="116"/>
        <v>2.9963354171157475E-2</v>
      </c>
      <c r="AI574" s="20">
        <v>13.6</v>
      </c>
      <c r="AJ574" s="20">
        <v>450</v>
      </c>
      <c r="AK574" s="20"/>
      <c r="AL574" s="20">
        <v>688</v>
      </c>
      <c r="AM574" s="20">
        <f t="shared" si="117"/>
        <v>71068.799999999988</v>
      </c>
      <c r="AN574" s="7" t="s">
        <v>176</v>
      </c>
      <c r="AO574" s="20"/>
      <c r="AP574" s="21"/>
      <c r="AQ574" s="21"/>
      <c r="AR574" s="5" t="s">
        <v>912</v>
      </c>
      <c r="AS574" s="5" t="s">
        <v>164</v>
      </c>
      <c r="AT574" s="5" t="s">
        <v>59</v>
      </c>
      <c r="AU574" s="20"/>
      <c r="AV574" s="21"/>
      <c r="AW574" s="21"/>
      <c r="AX574" s="21"/>
    </row>
    <row r="575" spans="1:50" s="55" customFormat="1">
      <c r="A575" s="86" t="s">
        <v>318</v>
      </c>
      <c r="B575" s="5">
        <v>15012815</v>
      </c>
      <c r="C575" s="5" t="s">
        <v>952</v>
      </c>
      <c r="D575" s="5" t="s">
        <v>321</v>
      </c>
      <c r="E575" s="5" t="s">
        <v>52</v>
      </c>
      <c r="F575" s="5" t="s">
        <v>62</v>
      </c>
      <c r="G575" s="5" t="s">
        <v>211</v>
      </c>
      <c r="H575" s="5" t="s">
        <v>910</v>
      </c>
      <c r="I575" s="6">
        <v>41821</v>
      </c>
      <c r="J575" s="5" t="s">
        <v>336</v>
      </c>
      <c r="K575" s="5" t="s">
        <v>511</v>
      </c>
      <c r="L575" s="5" t="s">
        <v>324</v>
      </c>
      <c r="M575" s="7">
        <v>6</v>
      </c>
      <c r="N575" s="7" t="s">
        <v>176</v>
      </c>
      <c r="O575" s="8">
        <v>5241</v>
      </c>
      <c r="P575" s="9">
        <v>0.02</v>
      </c>
      <c r="Q575" s="10">
        <f t="shared" si="105"/>
        <v>105</v>
      </c>
      <c r="R575" s="9">
        <v>5.0000000000000001E-3</v>
      </c>
      <c r="S575" s="10">
        <f t="shared" si="106"/>
        <v>26</v>
      </c>
      <c r="T575" s="9">
        <f t="shared" si="107"/>
        <v>2.4995229917954588E-2</v>
      </c>
      <c r="U575" s="10">
        <f t="shared" si="108"/>
        <v>131</v>
      </c>
      <c r="V575" s="10">
        <f t="shared" si="109"/>
        <v>5372</v>
      </c>
      <c r="W575" s="11">
        <v>5372</v>
      </c>
      <c r="X575" s="12">
        <f t="shared" si="110"/>
        <v>131</v>
      </c>
      <c r="Y575" s="13">
        <f t="shared" si="111"/>
        <v>2.5000000000000001E-2</v>
      </c>
      <c r="Z575" s="14" t="str">
        <f t="shared" si="112"/>
        <v>0.00%-8.40%</v>
      </c>
      <c r="AA575" s="15"/>
      <c r="AB575" s="15"/>
      <c r="AC575" s="15"/>
      <c r="AD575" s="16"/>
      <c r="AE575" s="8">
        <f t="shared" si="113"/>
        <v>0</v>
      </c>
      <c r="AF575" s="17">
        <f t="shared" si="114"/>
        <v>5372</v>
      </c>
      <c r="AG575" s="18">
        <f t="shared" si="115"/>
        <v>131</v>
      </c>
      <c r="AH575" s="19">
        <f t="shared" si="116"/>
        <v>2.4995229917954553E-2</v>
      </c>
      <c r="AI575" s="20">
        <v>13.6</v>
      </c>
      <c r="AJ575" s="20">
        <v>450</v>
      </c>
      <c r="AK575" s="20"/>
      <c r="AL575" s="20">
        <v>688</v>
      </c>
      <c r="AM575" s="20">
        <f t="shared" si="117"/>
        <v>79147.199999999997</v>
      </c>
      <c r="AN575" s="7" t="s">
        <v>176</v>
      </c>
      <c r="AO575" s="20"/>
      <c r="AP575" s="21"/>
      <c r="AQ575" s="21"/>
      <c r="AR575" s="5" t="s">
        <v>912</v>
      </c>
      <c r="AS575" s="5" t="s">
        <v>164</v>
      </c>
      <c r="AT575" s="5" t="s">
        <v>59</v>
      </c>
      <c r="AU575" s="20"/>
      <c r="AV575" s="21"/>
      <c r="AW575" s="21"/>
      <c r="AX575" s="21"/>
    </row>
    <row r="576" spans="1:50" s="55" customFormat="1">
      <c r="A576" s="86" t="s">
        <v>318</v>
      </c>
      <c r="B576" s="5">
        <v>15015751</v>
      </c>
      <c r="C576" s="5" t="s">
        <v>563</v>
      </c>
      <c r="D576" s="5" t="s">
        <v>321</v>
      </c>
      <c r="E576" s="5" t="s">
        <v>52</v>
      </c>
      <c r="F576" s="5" t="s">
        <v>62</v>
      </c>
      <c r="G576" s="5" t="s">
        <v>211</v>
      </c>
      <c r="H576" s="5" t="s">
        <v>910</v>
      </c>
      <c r="I576" s="6">
        <v>42736</v>
      </c>
      <c r="J576" s="5" t="s">
        <v>336</v>
      </c>
      <c r="K576" s="5" t="s">
        <v>511</v>
      </c>
      <c r="L576" s="5" t="s">
        <v>324</v>
      </c>
      <c r="M576" s="7">
        <v>6</v>
      </c>
      <c r="N576" s="7" t="s">
        <v>176</v>
      </c>
      <c r="O576" s="8">
        <v>5299</v>
      </c>
      <c r="P576" s="9">
        <v>0.02</v>
      </c>
      <c r="Q576" s="10">
        <f t="shared" si="105"/>
        <v>106</v>
      </c>
      <c r="R576" s="9">
        <v>5.0000000000000001E-3</v>
      </c>
      <c r="S576" s="10">
        <f t="shared" si="106"/>
        <v>26</v>
      </c>
      <c r="T576" s="9">
        <f t="shared" si="107"/>
        <v>2.4910360445367052E-2</v>
      </c>
      <c r="U576" s="10">
        <f t="shared" si="108"/>
        <v>132</v>
      </c>
      <c r="V576" s="10">
        <f t="shared" si="109"/>
        <v>5431</v>
      </c>
      <c r="W576" s="11">
        <v>5431</v>
      </c>
      <c r="X576" s="12">
        <f t="shared" si="110"/>
        <v>132</v>
      </c>
      <c r="Y576" s="13">
        <f t="shared" si="111"/>
        <v>2.4899999999999999E-2</v>
      </c>
      <c r="Z576" s="14" t="str">
        <f t="shared" si="112"/>
        <v>0.00%-8.40%</v>
      </c>
      <c r="AA576" s="15"/>
      <c r="AB576" s="15"/>
      <c r="AC576" s="15"/>
      <c r="AD576" s="16"/>
      <c r="AE576" s="8">
        <f t="shared" si="113"/>
        <v>0</v>
      </c>
      <c r="AF576" s="17">
        <f t="shared" si="114"/>
        <v>5431</v>
      </c>
      <c r="AG576" s="18">
        <f t="shared" si="115"/>
        <v>132</v>
      </c>
      <c r="AH576" s="19">
        <f t="shared" si="116"/>
        <v>2.4910360445367097E-2</v>
      </c>
      <c r="AI576" s="20">
        <v>13.6</v>
      </c>
      <c r="AJ576" s="20">
        <v>500</v>
      </c>
      <c r="AK576" s="20"/>
      <c r="AL576" s="20">
        <v>688</v>
      </c>
      <c r="AM576" s="20">
        <f t="shared" si="117"/>
        <v>80549.599999999991</v>
      </c>
      <c r="AN576" s="7" t="s">
        <v>176</v>
      </c>
      <c r="AO576" s="20"/>
      <c r="AP576" s="21"/>
      <c r="AQ576" s="21"/>
      <c r="AR576" s="5" t="s">
        <v>912</v>
      </c>
      <c r="AS576" s="5" t="s">
        <v>164</v>
      </c>
      <c r="AT576" s="5" t="s">
        <v>59</v>
      </c>
      <c r="AU576" s="20"/>
      <c r="AV576" s="21"/>
      <c r="AW576" s="21"/>
      <c r="AX576" s="21"/>
    </row>
    <row r="577" spans="1:50" s="55" customFormat="1">
      <c r="A577" s="86" t="s">
        <v>318</v>
      </c>
      <c r="B577" s="5">
        <v>15016364</v>
      </c>
      <c r="C577" s="5" t="s">
        <v>953</v>
      </c>
      <c r="D577" s="5" t="s">
        <v>321</v>
      </c>
      <c r="E577" s="5" t="s">
        <v>52</v>
      </c>
      <c r="F577" s="5" t="s">
        <v>62</v>
      </c>
      <c r="G577" s="5" t="s">
        <v>211</v>
      </c>
      <c r="H577" s="5" t="s">
        <v>910</v>
      </c>
      <c r="I577" s="6">
        <v>42917</v>
      </c>
      <c r="J577" s="5" t="s">
        <v>336</v>
      </c>
      <c r="K577" s="5" t="s">
        <v>511</v>
      </c>
      <c r="L577" s="5" t="s">
        <v>324</v>
      </c>
      <c r="M577" s="7">
        <v>6</v>
      </c>
      <c r="N577" s="7" t="s">
        <v>176</v>
      </c>
      <c r="O577" s="8">
        <v>4869</v>
      </c>
      <c r="P577" s="9">
        <v>0.02</v>
      </c>
      <c r="Q577" s="10">
        <f t="shared" si="105"/>
        <v>97</v>
      </c>
      <c r="R577" s="9">
        <v>5.0000000000000001E-3</v>
      </c>
      <c r="S577" s="10">
        <f t="shared" si="106"/>
        <v>24</v>
      </c>
      <c r="T577" s="9">
        <f t="shared" si="107"/>
        <v>2.4851098788252209E-2</v>
      </c>
      <c r="U577" s="10">
        <f t="shared" si="108"/>
        <v>121</v>
      </c>
      <c r="V577" s="10">
        <f t="shared" si="109"/>
        <v>4990</v>
      </c>
      <c r="W577" s="11">
        <v>4991</v>
      </c>
      <c r="X577" s="12">
        <f t="shared" si="110"/>
        <v>122</v>
      </c>
      <c r="Y577" s="13">
        <f t="shared" si="111"/>
        <v>2.5100000000000001E-2</v>
      </c>
      <c r="Z577" s="14" t="str">
        <f t="shared" si="112"/>
        <v>0.00%-8.40%</v>
      </c>
      <c r="AA577" s="15"/>
      <c r="AB577" s="15"/>
      <c r="AC577" s="15"/>
      <c r="AD577" s="16"/>
      <c r="AE577" s="8">
        <f t="shared" si="113"/>
        <v>0</v>
      </c>
      <c r="AF577" s="17">
        <f t="shared" si="114"/>
        <v>4991</v>
      </c>
      <c r="AG577" s="18">
        <f t="shared" si="115"/>
        <v>122</v>
      </c>
      <c r="AH577" s="19">
        <f t="shared" si="116"/>
        <v>2.5056479769973272E-2</v>
      </c>
      <c r="AI577" s="20">
        <v>13.6</v>
      </c>
      <c r="AJ577" s="20">
        <v>450</v>
      </c>
      <c r="AK577" s="20"/>
      <c r="AL577" s="20">
        <v>688</v>
      </c>
      <c r="AM577" s="20">
        <f t="shared" si="117"/>
        <v>73965.599999999991</v>
      </c>
      <c r="AN577" s="7" t="s">
        <v>176</v>
      </c>
      <c r="AO577" s="20"/>
      <c r="AP577" s="21"/>
      <c r="AQ577" s="21"/>
      <c r="AR577" s="5" t="s">
        <v>912</v>
      </c>
      <c r="AS577" s="5" t="s">
        <v>164</v>
      </c>
      <c r="AT577" s="5" t="s">
        <v>59</v>
      </c>
      <c r="AU577" s="20"/>
      <c r="AV577" s="21"/>
      <c r="AW577" s="21"/>
      <c r="AX577" s="21"/>
    </row>
    <row r="578" spans="1:50" s="55" customFormat="1">
      <c r="A578" s="86" t="s">
        <v>318</v>
      </c>
      <c r="B578" s="5">
        <v>15013930</v>
      </c>
      <c r="C578" s="5" t="s">
        <v>954</v>
      </c>
      <c r="D578" s="5" t="s">
        <v>321</v>
      </c>
      <c r="E578" s="5" t="s">
        <v>52</v>
      </c>
      <c r="F578" s="5" t="s">
        <v>62</v>
      </c>
      <c r="G578" s="5" t="s">
        <v>211</v>
      </c>
      <c r="H578" s="5" t="s">
        <v>910</v>
      </c>
      <c r="I578" s="6">
        <v>42125</v>
      </c>
      <c r="J578" s="5" t="s">
        <v>336</v>
      </c>
      <c r="K578" s="5" t="s">
        <v>511</v>
      </c>
      <c r="L578" s="5" t="s">
        <v>324</v>
      </c>
      <c r="M578" s="7">
        <v>6</v>
      </c>
      <c r="N578" s="7" t="s">
        <v>176</v>
      </c>
      <c r="O578" s="8">
        <v>4733</v>
      </c>
      <c r="P578" s="9">
        <v>0.02</v>
      </c>
      <c r="Q578" s="10">
        <f t="shared" si="105"/>
        <v>95</v>
      </c>
      <c r="R578" s="9">
        <v>5.0000000000000001E-3</v>
      </c>
      <c r="S578" s="10">
        <f t="shared" si="106"/>
        <v>24</v>
      </c>
      <c r="T578" s="9">
        <f t="shared" si="107"/>
        <v>2.5142615677160363E-2</v>
      </c>
      <c r="U578" s="10">
        <f t="shared" si="108"/>
        <v>119</v>
      </c>
      <c r="V578" s="10">
        <f t="shared" si="109"/>
        <v>4852</v>
      </c>
      <c r="W578" s="11">
        <v>4851</v>
      </c>
      <c r="X578" s="12">
        <f t="shared" si="110"/>
        <v>118</v>
      </c>
      <c r="Y578" s="13">
        <f t="shared" si="111"/>
        <v>2.4899999999999999E-2</v>
      </c>
      <c r="Z578" s="14" t="str">
        <f t="shared" si="112"/>
        <v>0.00%-8.40%</v>
      </c>
      <c r="AA578" s="15"/>
      <c r="AB578" s="15"/>
      <c r="AC578" s="15"/>
      <c r="AD578" s="16"/>
      <c r="AE578" s="8">
        <f t="shared" si="113"/>
        <v>0</v>
      </c>
      <c r="AF578" s="17">
        <f t="shared" si="114"/>
        <v>4851</v>
      </c>
      <c r="AG578" s="18">
        <f t="shared" si="115"/>
        <v>118</v>
      </c>
      <c r="AH578" s="19">
        <f t="shared" si="116"/>
        <v>2.4931333192478311E-2</v>
      </c>
      <c r="AI578" s="20">
        <v>13.6</v>
      </c>
      <c r="AJ578" s="20">
        <v>450</v>
      </c>
      <c r="AK578" s="20"/>
      <c r="AL578" s="20">
        <v>688</v>
      </c>
      <c r="AM578" s="20">
        <f t="shared" si="117"/>
        <v>72061.599999999991</v>
      </c>
      <c r="AN578" s="7" t="s">
        <v>176</v>
      </c>
      <c r="AO578" s="20"/>
      <c r="AP578" s="21"/>
      <c r="AQ578" s="21"/>
      <c r="AR578" s="5" t="s">
        <v>912</v>
      </c>
      <c r="AS578" s="5" t="s">
        <v>164</v>
      </c>
      <c r="AT578" s="5" t="s">
        <v>59</v>
      </c>
      <c r="AU578" s="20"/>
      <c r="AV578" s="21"/>
      <c r="AW578" s="21"/>
      <c r="AX578" s="21"/>
    </row>
    <row r="579" spans="1:50" s="55" customFormat="1">
      <c r="A579" s="86" t="s">
        <v>318</v>
      </c>
      <c r="B579" s="5">
        <v>15017990</v>
      </c>
      <c r="C579" s="5" t="s">
        <v>955</v>
      </c>
      <c r="D579" s="5" t="s">
        <v>321</v>
      </c>
      <c r="E579" s="5" t="s">
        <v>52</v>
      </c>
      <c r="F579" s="5" t="s">
        <v>62</v>
      </c>
      <c r="G579" s="5" t="s">
        <v>211</v>
      </c>
      <c r="H579" s="5" t="s">
        <v>910</v>
      </c>
      <c r="I579" s="6">
        <v>43132</v>
      </c>
      <c r="J579" s="5" t="s">
        <v>336</v>
      </c>
      <c r="K579" s="5" t="s">
        <v>511</v>
      </c>
      <c r="L579" s="5" t="s">
        <v>324</v>
      </c>
      <c r="M579" s="7">
        <v>6</v>
      </c>
      <c r="N579" s="7" t="s">
        <v>176</v>
      </c>
      <c r="O579" s="8">
        <v>4591</v>
      </c>
      <c r="P579" s="9">
        <v>0.02</v>
      </c>
      <c r="Q579" s="10">
        <f t="shared" si="105"/>
        <v>92</v>
      </c>
      <c r="R579" s="9">
        <v>5.0000000000000001E-3</v>
      </c>
      <c r="S579" s="10">
        <f t="shared" si="106"/>
        <v>23</v>
      </c>
      <c r="T579" s="9">
        <f t="shared" si="107"/>
        <v>2.5049008930516228E-2</v>
      </c>
      <c r="U579" s="10">
        <f t="shared" si="108"/>
        <v>115</v>
      </c>
      <c r="V579" s="10">
        <f t="shared" si="109"/>
        <v>4706</v>
      </c>
      <c r="W579" s="11">
        <v>4706</v>
      </c>
      <c r="X579" s="12">
        <f t="shared" si="110"/>
        <v>115</v>
      </c>
      <c r="Y579" s="13">
        <f t="shared" si="111"/>
        <v>2.5000000000000001E-2</v>
      </c>
      <c r="Z579" s="14" t="str">
        <f t="shared" si="112"/>
        <v>0.00%-8.40%</v>
      </c>
      <c r="AA579" s="15"/>
      <c r="AB579" s="15"/>
      <c r="AC579" s="15"/>
      <c r="AD579" s="16"/>
      <c r="AE579" s="8">
        <f t="shared" si="113"/>
        <v>0</v>
      </c>
      <c r="AF579" s="17">
        <f t="shared" si="114"/>
        <v>4706</v>
      </c>
      <c r="AG579" s="18">
        <f t="shared" si="115"/>
        <v>115</v>
      </c>
      <c r="AH579" s="19">
        <f t="shared" si="116"/>
        <v>2.5049008930516203E-2</v>
      </c>
      <c r="AI579" s="20">
        <v>13.6</v>
      </c>
      <c r="AJ579" s="20">
        <v>450</v>
      </c>
      <c r="AK579" s="20"/>
      <c r="AL579" s="20">
        <v>688</v>
      </c>
      <c r="AM579" s="20">
        <f t="shared" si="117"/>
        <v>70089.600000000006</v>
      </c>
      <c r="AN579" s="7" t="s">
        <v>176</v>
      </c>
      <c r="AO579" s="20"/>
      <c r="AP579" s="21"/>
      <c r="AQ579" s="21"/>
      <c r="AR579" s="5" t="s">
        <v>912</v>
      </c>
      <c r="AS579" s="5" t="s">
        <v>164</v>
      </c>
      <c r="AT579" s="5" t="s">
        <v>59</v>
      </c>
      <c r="AU579" s="20"/>
      <c r="AV579" s="21"/>
      <c r="AW579" s="21"/>
      <c r="AX579" s="21"/>
    </row>
    <row r="580" spans="1:50" s="55" customFormat="1">
      <c r="A580" s="86" t="s">
        <v>318</v>
      </c>
      <c r="B580" s="5">
        <v>15003296</v>
      </c>
      <c r="C580" s="5" t="s">
        <v>956</v>
      </c>
      <c r="D580" s="5" t="s">
        <v>321</v>
      </c>
      <c r="E580" s="5" t="s">
        <v>52</v>
      </c>
      <c r="F580" s="5" t="s">
        <v>62</v>
      </c>
      <c r="G580" s="5" t="s">
        <v>211</v>
      </c>
      <c r="H580" s="5" t="s">
        <v>910</v>
      </c>
      <c r="I580" s="6">
        <v>40269</v>
      </c>
      <c r="J580" s="5" t="s">
        <v>336</v>
      </c>
      <c r="K580" s="5" t="s">
        <v>548</v>
      </c>
      <c r="L580" s="5" t="s">
        <v>324</v>
      </c>
      <c r="M580" s="7">
        <v>6</v>
      </c>
      <c r="N580" s="7" t="s">
        <v>176</v>
      </c>
      <c r="O580" s="8">
        <v>5109</v>
      </c>
      <c r="P580" s="9">
        <v>0.02</v>
      </c>
      <c r="Q580" s="10">
        <f t="shared" si="105"/>
        <v>102</v>
      </c>
      <c r="R580" s="9">
        <v>5.0000000000000001E-3</v>
      </c>
      <c r="S580" s="10">
        <f t="shared" si="106"/>
        <v>26</v>
      </c>
      <c r="T580" s="9">
        <f t="shared" si="107"/>
        <v>2.5053826580544138E-2</v>
      </c>
      <c r="U580" s="10">
        <f t="shared" si="108"/>
        <v>128</v>
      </c>
      <c r="V580" s="10">
        <f t="shared" si="109"/>
        <v>5237</v>
      </c>
      <c r="W580" s="11">
        <v>5262</v>
      </c>
      <c r="X580" s="12">
        <f t="shared" si="110"/>
        <v>153</v>
      </c>
      <c r="Y580" s="13">
        <f t="shared" si="111"/>
        <v>2.9899999999999999E-2</v>
      </c>
      <c r="Z580" s="14" t="str">
        <f t="shared" si="112"/>
        <v>0.00%-8.40%</v>
      </c>
      <c r="AA580" s="15"/>
      <c r="AB580" s="15"/>
      <c r="AC580" s="15"/>
      <c r="AD580" s="16"/>
      <c r="AE580" s="8">
        <f t="shared" si="113"/>
        <v>0</v>
      </c>
      <c r="AF580" s="17">
        <f t="shared" si="114"/>
        <v>5262</v>
      </c>
      <c r="AG580" s="18">
        <f t="shared" si="115"/>
        <v>153</v>
      </c>
      <c r="AH580" s="19">
        <f t="shared" si="116"/>
        <v>2.9947152084556672E-2</v>
      </c>
      <c r="AI580" s="20">
        <v>13.6</v>
      </c>
      <c r="AJ580" s="20">
        <v>450</v>
      </c>
      <c r="AK580" s="20"/>
      <c r="AL580" s="20">
        <v>688</v>
      </c>
      <c r="AM580" s="20">
        <f t="shared" si="117"/>
        <v>77651.199999999997</v>
      </c>
      <c r="AN580" s="7" t="s">
        <v>176</v>
      </c>
      <c r="AO580" s="20"/>
      <c r="AP580" s="21"/>
      <c r="AQ580" s="21"/>
      <c r="AR580" s="5" t="s">
        <v>912</v>
      </c>
      <c r="AS580" s="5" t="s">
        <v>164</v>
      </c>
      <c r="AT580" s="5" t="s">
        <v>59</v>
      </c>
      <c r="AU580" s="20"/>
      <c r="AV580" s="21"/>
      <c r="AW580" s="21"/>
      <c r="AX580" s="21"/>
    </row>
    <row r="581" spans="1:50" s="55" customFormat="1">
      <c r="A581" s="86" t="s">
        <v>318</v>
      </c>
      <c r="B581" s="5">
        <v>15020148</v>
      </c>
      <c r="C581" s="5" t="s">
        <v>957</v>
      </c>
      <c r="D581" s="5" t="s">
        <v>321</v>
      </c>
      <c r="E581" s="5" t="s">
        <v>52</v>
      </c>
      <c r="F581" s="5" t="s">
        <v>62</v>
      </c>
      <c r="G581" s="5" t="s">
        <v>211</v>
      </c>
      <c r="H581" s="5" t="s">
        <v>910</v>
      </c>
      <c r="I581" s="6">
        <v>44378</v>
      </c>
      <c r="J581" s="5" t="s">
        <v>336</v>
      </c>
      <c r="K581" s="5" t="s">
        <v>511</v>
      </c>
      <c r="L581" s="5" t="s">
        <v>324</v>
      </c>
      <c r="M581" s="7">
        <v>6</v>
      </c>
      <c r="N581" s="7" t="s">
        <v>176</v>
      </c>
      <c r="O581" s="8">
        <v>4480</v>
      </c>
      <c r="P581" s="9">
        <v>0.02</v>
      </c>
      <c r="Q581" s="10">
        <f t="shared" si="105"/>
        <v>90</v>
      </c>
      <c r="R581" s="9">
        <v>5.0000000000000001E-3</v>
      </c>
      <c r="S581" s="10">
        <f t="shared" si="106"/>
        <v>22</v>
      </c>
      <c r="T581" s="9">
        <f t="shared" si="107"/>
        <v>2.5000000000000001E-2</v>
      </c>
      <c r="U581" s="10">
        <f t="shared" si="108"/>
        <v>112</v>
      </c>
      <c r="V581" s="10">
        <f t="shared" si="109"/>
        <v>4592</v>
      </c>
      <c r="W581" s="11">
        <v>4592</v>
      </c>
      <c r="X581" s="12">
        <f t="shared" si="110"/>
        <v>112</v>
      </c>
      <c r="Y581" s="13">
        <f t="shared" si="111"/>
        <v>2.5000000000000001E-2</v>
      </c>
      <c r="Z581" s="14" t="str">
        <f t="shared" si="112"/>
        <v>0.00%-8.40%</v>
      </c>
      <c r="AA581" s="15"/>
      <c r="AB581" s="15"/>
      <c r="AC581" s="15"/>
      <c r="AD581" s="16"/>
      <c r="AE581" s="8">
        <f t="shared" si="113"/>
        <v>0</v>
      </c>
      <c r="AF581" s="17">
        <f t="shared" si="114"/>
        <v>4592</v>
      </c>
      <c r="AG581" s="18">
        <f t="shared" si="115"/>
        <v>112</v>
      </c>
      <c r="AH581" s="19">
        <f t="shared" si="116"/>
        <v>2.4999999999999911E-2</v>
      </c>
      <c r="AI581" s="20">
        <v>13.6</v>
      </c>
      <c r="AJ581" s="20">
        <v>450</v>
      </c>
      <c r="AK581" s="20"/>
      <c r="AL581" s="20">
        <v>688</v>
      </c>
      <c r="AM581" s="20">
        <f t="shared" si="117"/>
        <v>68539.199999999997</v>
      </c>
      <c r="AN581" s="7" t="s">
        <v>176</v>
      </c>
      <c r="AO581" s="20"/>
      <c r="AP581" s="21"/>
      <c r="AQ581" s="21"/>
      <c r="AR581" s="5" t="s">
        <v>912</v>
      </c>
      <c r="AS581" s="5" t="s">
        <v>164</v>
      </c>
      <c r="AT581" s="5" t="s">
        <v>59</v>
      </c>
      <c r="AU581" s="20"/>
      <c r="AV581" s="21"/>
      <c r="AW581" s="21"/>
      <c r="AX581" s="21"/>
    </row>
    <row r="582" spans="1:50" s="55" customFormat="1">
      <c r="A582" s="86" t="s">
        <v>318</v>
      </c>
      <c r="B582" s="5">
        <v>15006731</v>
      </c>
      <c r="C582" s="5" t="s">
        <v>958</v>
      </c>
      <c r="D582" s="5" t="s">
        <v>321</v>
      </c>
      <c r="E582" s="5" t="s">
        <v>52</v>
      </c>
      <c r="F582" s="5" t="s">
        <v>62</v>
      </c>
      <c r="G582" s="5" t="s">
        <v>211</v>
      </c>
      <c r="H582" s="5" t="s">
        <v>910</v>
      </c>
      <c r="I582" s="6">
        <v>40940</v>
      </c>
      <c r="J582" s="5" t="s">
        <v>336</v>
      </c>
      <c r="K582" s="5" t="s">
        <v>511</v>
      </c>
      <c r="L582" s="5" t="s">
        <v>324</v>
      </c>
      <c r="M582" s="7">
        <v>6</v>
      </c>
      <c r="N582" s="7" t="s">
        <v>176</v>
      </c>
      <c r="O582" s="8">
        <v>5298</v>
      </c>
      <c r="P582" s="9">
        <v>0.02</v>
      </c>
      <c r="Q582" s="10">
        <f t="shared" si="105"/>
        <v>106</v>
      </c>
      <c r="R582" s="9">
        <v>5.0000000000000001E-3</v>
      </c>
      <c r="S582" s="10">
        <f t="shared" si="106"/>
        <v>26</v>
      </c>
      <c r="T582" s="9">
        <f t="shared" si="107"/>
        <v>2.491506228765572E-2</v>
      </c>
      <c r="U582" s="10">
        <f t="shared" si="108"/>
        <v>132</v>
      </c>
      <c r="V582" s="10">
        <f t="shared" si="109"/>
        <v>5430</v>
      </c>
      <c r="W582" s="11">
        <v>5298</v>
      </c>
      <c r="X582" s="12">
        <f t="shared" si="110"/>
        <v>0</v>
      </c>
      <c r="Y582" s="13">
        <f t="shared" si="111"/>
        <v>0</v>
      </c>
      <c r="Z582" s="14" t="str">
        <f t="shared" si="112"/>
        <v>0.00%-8.40%</v>
      </c>
      <c r="AA582" s="15"/>
      <c r="AB582" s="15"/>
      <c r="AC582" s="15"/>
      <c r="AD582" s="16"/>
      <c r="AE582" s="8">
        <f t="shared" si="113"/>
        <v>0</v>
      </c>
      <c r="AF582" s="17">
        <f t="shared" si="114"/>
        <v>5298</v>
      </c>
      <c r="AG582" s="18">
        <f t="shared" si="115"/>
        <v>0</v>
      </c>
      <c r="AH582" s="19">
        <f t="shared" si="116"/>
        <v>0</v>
      </c>
      <c r="AI582" s="20">
        <v>13.6</v>
      </c>
      <c r="AJ582" s="20">
        <v>450</v>
      </c>
      <c r="AK582" s="20"/>
      <c r="AL582" s="20">
        <v>688</v>
      </c>
      <c r="AM582" s="20">
        <f t="shared" si="117"/>
        <v>78140.800000000003</v>
      </c>
      <c r="AN582" s="7" t="s">
        <v>176</v>
      </c>
      <c r="AO582" s="20"/>
      <c r="AP582" s="21" t="s">
        <v>97</v>
      </c>
      <c r="AQ582" s="21" t="s">
        <v>97</v>
      </c>
      <c r="AR582" s="5" t="s">
        <v>912</v>
      </c>
      <c r="AS582" s="5" t="s">
        <v>164</v>
      </c>
      <c r="AT582" s="5" t="s">
        <v>59</v>
      </c>
      <c r="AU582" s="20"/>
      <c r="AV582" s="21"/>
      <c r="AW582" s="21"/>
      <c r="AX582" s="21"/>
    </row>
    <row r="583" spans="1:50" s="55" customFormat="1">
      <c r="A583" s="86" t="s">
        <v>318</v>
      </c>
      <c r="B583" s="5">
        <v>15014782</v>
      </c>
      <c r="C583" s="5" t="s">
        <v>959</v>
      </c>
      <c r="D583" s="5" t="s">
        <v>321</v>
      </c>
      <c r="E583" s="5" t="s">
        <v>52</v>
      </c>
      <c r="F583" s="5" t="s">
        <v>62</v>
      </c>
      <c r="G583" s="5" t="s">
        <v>211</v>
      </c>
      <c r="H583" s="5" t="s">
        <v>910</v>
      </c>
      <c r="I583" s="6">
        <v>42401</v>
      </c>
      <c r="J583" s="5" t="s">
        <v>336</v>
      </c>
      <c r="K583" s="5" t="s">
        <v>511</v>
      </c>
      <c r="L583" s="5" t="s">
        <v>324</v>
      </c>
      <c r="M583" s="7">
        <v>6</v>
      </c>
      <c r="N583" s="7" t="s">
        <v>176</v>
      </c>
      <c r="O583" s="8">
        <v>4866</v>
      </c>
      <c r="P583" s="9">
        <v>0.02</v>
      </c>
      <c r="Q583" s="10">
        <f t="shared" si="105"/>
        <v>97</v>
      </c>
      <c r="R583" s="9">
        <v>5.0000000000000001E-3</v>
      </c>
      <c r="S583" s="10">
        <f t="shared" si="106"/>
        <v>24</v>
      </c>
      <c r="T583" s="9">
        <f t="shared" si="107"/>
        <v>2.4866420057542128E-2</v>
      </c>
      <c r="U583" s="10">
        <f t="shared" si="108"/>
        <v>121</v>
      </c>
      <c r="V583" s="10">
        <f t="shared" si="109"/>
        <v>4987</v>
      </c>
      <c r="W583" s="11">
        <v>5012</v>
      </c>
      <c r="X583" s="12">
        <f t="shared" si="110"/>
        <v>146</v>
      </c>
      <c r="Y583" s="13">
        <f t="shared" si="111"/>
        <v>0.03</v>
      </c>
      <c r="Z583" s="14" t="str">
        <f t="shared" si="112"/>
        <v>0.00%-8.40%</v>
      </c>
      <c r="AA583" s="15"/>
      <c r="AB583" s="15"/>
      <c r="AC583" s="15"/>
      <c r="AD583" s="16"/>
      <c r="AE583" s="8">
        <f t="shared" si="113"/>
        <v>0</v>
      </c>
      <c r="AF583" s="17">
        <f t="shared" si="114"/>
        <v>5012</v>
      </c>
      <c r="AG583" s="18">
        <f t="shared" si="115"/>
        <v>146</v>
      </c>
      <c r="AH583" s="19">
        <f t="shared" si="116"/>
        <v>3.0004110152075603E-2</v>
      </c>
      <c r="AI583" s="20">
        <v>13.6</v>
      </c>
      <c r="AJ583" s="20">
        <v>450</v>
      </c>
      <c r="AK583" s="20"/>
      <c r="AL583" s="20">
        <v>688</v>
      </c>
      <c r="AM583" s="20">
        <f t="shared" si="117"/>
        <v>74251.199999999997</v>
      </c>
      <c r="AN583" s="7" t="s">
        <v>176</v>
      </c>
      <c r="AO583" s="20"/>
      <c r="AP583" s="21"/>
      <c r="AQ583" s="21"/>
      <c r="AR583" s="5" t="s">
        <v>912</v>
      </c>
      <c r="AS583" s="5" t="s">
        <v>164</v>
      </c>
      <c r="AT583" s="5" t="s">
        <v>59</v>
      </c>
      <c r="AU583" s="20"/>
      <c r="AV583" s="21"/>
      <c r="AW583" s="21"/>
      <c r="AX583" s="21"/>
    </row>
    <row r="584" spans="1:50" s="55" customFormat="1">
      <c r="A584" s="86" t="s">
        <v>318</v>
      </c>
      <c r="B584" s="5">
        <v>15016683</v>
      </c>
      <c r="C584" s="5" t="s">
        <v>960</v>
      </c>
      <c r="D584" s="5" t="s">
        <v>321</v>
      </c>
      <c r="E584" s="5" t="s">
        <v>52</v>
      </c>
      <c r="F584" s="5" t="s">
        <v>62</v>
      </c>
      <c r="G584" s="5" t="s">
        <v>211</v>
      </c>
      <c r="H584" s="5" t="s">
        <v>910</v>
      </c>
      <c r="I584" s="6">
        <v>43009</v>
      </c>
      <c r="J584" s="5" t="s">
        <v>336</v>
      </c>
      <c r="K584" s="5" t="s">
        <v>511</v>
      </c>
      <c r="L584" s="5" t="s">
        <v>324</v>
      </c>
      <c r="M584" s="7">
        <v>6</v>
      </c>
      <c r="N584" s="7" t="s">
        <v>176</v>
      </c>
      <c r="O584" s="8">
        <v>5319</v>
      </c>
      <c r="P584" s="9">
        <v>0.02</v>
      </c>
      <c r="Q584" s="10">
        <f t="shared" si="105"/>
        <v>106</v>
      </c>
      <c r="R584" s="9">
        <v>5.0000000000000001E-3</v>
      </c>
      <c r="S584" s="10">
        <f t="shared" si="106"/>
        <v>27</v>
      </c>
      <c r="T584" s="9">
        <f t="shared" si="107"/>
        <v>2.5004700131603684E-2</v>
      </c>
      <c r="U584" s="10">
        <f t="shared" si="108"/>
        <v>133</v>
      </c>
      <c r="V584" s="10">
        <f t="shared" si="109"/>
        <v>5452</v>
      </c>
      <c r="W584" s="11">
        <v>5452</v>
      </c>
      <c r="X584" s="12">
        <f t="shared" si="110"/>
        <v>133</v>
      </c>
      <c r="Y584" s="13">
        <f t="shared" si="111"/>
        <v>2.5000000000000001E-2</v>
      </c>
      <c r="Z584" s="14" t="str">
        <f t="shared" si="112"/>
        <v>0.00%-8.40%</v>
      </c>
      <c r="AA584" s="15"/>
      <c r="AB584" s="15"/>
      <c r="AC584" s="15"/>
      <c r="AD584" s="16"/>
      <c r="AE584" s="8">
        <f t="shared" si="113"/>
        <v>0</v>
      </c>
      <c r="AF584" s="17">
        <f t="shared" si="114"/>
        <v>5452</v>
      </c>
      <c r="AG584" s="18">
        <f t="shared" si="115"/>
        <v>133</v>
      </c>
      <c r="AH584" s="19">
        <f t="shared" si="116"/>
        <v>2.5004700131603608E-2</v>
      </c>
      <c r="AI584" s="20">
        <v>13.6</v>
      </c>
      <c r="AJ584" s="20">
        <v>450</v>
      </c>
      <c r="AK584" s="20"/>
      <c r="AL584" s="20">
        <v>688</v>
      </c>
      <c r="AM584" s="20">
        <f t="shared" si="117"/>
        <v>80235.199999999997</v>
      </c>
      <c r="AN584" s="7" t="s">
        <v>176</v>
      </c>
      <c r="AO584" s="20"/>
      <c r="AP584" s="21"/>
      <c r="AQ584" s="21"/>
      <c r="AR584" s="5" t="s">
        <v>912</v>
      </c>
      <c r="AS584" s="5" t="s">
        <v>164</v>
      </c>
      <c r="AT584" s="5" t="s">
        <v>59</v>
      </c>
      <c r="AU584" s="20"/>
      <c r="AV584" s="21"/>
      <c r="AW584" s="21"/>
      <c r="AX584" s="21"/>
    </row>
    <row r="585" spans="1:50" s="55" customFormat="1">
      <c r="A585" s="86" t="s">
        <v>318</v>
      </c>
      <c r="B585" s="5">
        <v>15004484</v>
      </c>
      <c r="C585" s="5" t="s">
        <v>961</v>
      </c>
      <c r="D585" s="5" t="s">
        <v>321</v>
      </c>
      <c r="E585" s="5" t="s">
        <v>52</v>
      </c>
      <c r="F585" s="5" t="s">
        <v>62</v>
      </c>
      <c r="G585" s="5" t="s">
        <v>211</v>
      </c>
      <c r="H585" s="5" t="s">
        <v>910</v>
      </c>
      <c r="I585" s="6">
        <v>40634</v>
      </c>
      <c r="J585" s="5" t="s">
        <v>336</v>
      </c>
      <c r="K585" s="5" t="s">
        <v>548</v>
      </c>
      <c r="L585" s="5" t="s">
        <v>324</v>
      </c>
      <c r="M585" s="7">
        <v>6</v>
      </c>
      <c r="N585" s="7" t="s">
        <v>176</v>
      </c>
      <c r="O585" s="8">
        <v>4836</v>
      </c>
      <c r="P585" s="9">
        <v>0.02</v>
      </c>
      <c r="Q585" s="10">
        <f t="shared" ref="Q585:Q648" si="118">ROUND(O585*P585,0)</f>
        <v>97</v>
      </c>
      <c r="R585" s="9">
        <v>5.0000000000000001E-3</v>
      </c>
      <c r="S585" s="10">
        <f t="shared" ref="S585:S648" si="119">ROUND(O585*R585,0)</f>
        <v>24</v>
      </c>
      <c r="T585" s="9">
        <f t="shared" ref="T585:T648" si="120">U585/O585</f>
        <v>2.5020678246484698E-2</v>
      </c>
      <c r="U585" s="10">
        <f t="shared" ref="U585:U648" si="121">Q585+S585</f>
        <v>121</v>
      </c>
      <c r="V585" s="10">
        <f t="shared" ref="V585:V648" si="122">O585+U585</f>
        <v>4957</v>
      </c>
      <c r="W585" s="11">
        <v>4909</v>
      </c>
      <c r="X585" s="12">
        <f t="shared" ref="X585:X648" si="123">W585-O585</f>
        <v>73</v>
      </c>
      <c r="Y585" s="13">
        <f t="shared" ref="Y585:Y648" si="124">ROUND(W585/O585-1,4)</f>
        <v>1.5100000000000001E-2</v>
      </c>
      <c r="Z585" s="14" t="str">
        <f t="shared" ref="Z585:Z648" si="125">IF(OR(M585=1,M585=2,M585=4),TEXT(T585*0.8,"0.00%")&amp;"-"&amp;TEXT(T585*1.2,"0.00%"),IF(OR(M585=3,M585=6),TEXT(0,"0.00%")&amp;"-"&amp;TEXT(7%*1.2,"0.00%"),IF(OR(M585=5,M585=7),TEXT((S585/O585),"0.00%")&amp;"-"&amp;TEXT((S585/O585)+7%,"0.00%"),"")))</f>
        <v>0.00%-8.40%</v>
      </c>
      <c r="AA585" s="15"/>
      <c r="AB585" s="15"/>
      <c r="AC585" s="15"/>
      <c r="AD585" s="16"/>
      <c r="AE585" s="8">
        <f t="shared" ref="AE585:AE648" si="126">ROUND(O585*AD585,0)</f>
        <v>0</v>
      </c>
      <c r="AF585" s="17">
        <f t="shared" ref="AF585:AF648" si="127">W585+AE585</f>
        <v>4909</v>
      </c>
      <c r="AG585" s="18">
        <f t="shared" ref="AG585:AG648" si="128">AF585-O585</f>
        <v>73</v>
      </c>
      <c r="AH585" s="19">
        <f t="shared" ref="AH585:AH648" si="129">AF585/O585-1</f>
        <v>1.5095119933829615E-2</v>
      </c>
      <c r="AI585" s="20">
        <v>13.6</v>
      </c>
      <c r="AJ585" s="20">
        <v>500</v>
      </c>
      <c r="AK585" s="20"/>
      <c r="AL585" s="20">
        <v>688</v>
      </c>
      <c r="AM585" s="20">
        <f t="shared" ref="AM585:AM648" si="130">AF585*AI585+AJ585*12+AL585+IF(AC585="",AK585,IF(AC585="D",5000,IF(AC585="C",1000,0)))*12</f>
        <v>73450.399999999994</v>
      </c>
      <c r="AN585" s="7" t="s">
        <v>176</v>
      </c>
      <c r="AO585" s="20"/>
      <c r="AP585" s="21"/>
      <c r="AQ585" s="21"/>
      <c r="AR585" s="5" t="s">
        <v>912</v>
      </c>
      <c r="AS585" s="5" t="s">
        <v>164</v>
      </c>
      <c r="AT585" s="5" t="s">
        <v>59</v>
      </c>
      <c r="AU585" s="20"/>
      <c r="AV585" s="21"/>
      <c r="AW585" s="21"/>
      <c r="AX585" s="21"/>
    </row>
    <row r="586" spans="1:50" s="55" customFormat="1">
      <c r="A586" s="86" t="s">
        <v>318</v>
      </c>
      <c r="B586" s="5">
        <v>15008095</v>
      </c>
      <c r="C586" s="5" t="s">
        <v>962</v>
      </c>
      <c r="D586" s="5" t="s">
        <v>321</v>
      </c>
      <c r="E586" s="5" t="s">
        <v>52</v>
      </c>
      <c r="F586" s="5" t="s">
        <v>62</v>
      </c>
      <c r="G586" s="5" t="s">
        <v>211</v>
      </c>
      <c r="H586" s="5" t="s">
        <v>910</v>
      </c>
      <c r="I586" s="6">
        <v>41365</v>
      </c>
      <c r="J586" s="5" t="s">
        <v>336</v>
      </c>
      <c r="K586" s="5" t="s">
        <v>511</v>
      </c>
      <c r="L586" s="5" t="s">
        <v>324</v>
      </c>
      <c r="M586" s="7">
        <v>6</v>
      </c>
      <c r="N586" s="7" t="s">
        <v>176</v>
      </c>
      <c r="O586" s="8">
        <v>4984</v>
      </c>
      <c r="P586" s="9">
        <v>0.02</v>
      </c>
      <c r="Q586" s="10">
        <f t="shared" si="118"/>
        <v>100</v>
      </c>
      <c r="R586" s="9">
        <v>5.0000000000000001E-3</v>
      </c>
      <c r="S586" s="10">
        <f t="shared" si="119"/>
        <v>25</v>
      </c>
      <c r="T586" s="9">
        <f t="shared" si="120"/>
        <v>2.5080256821829856E-2</v>
      </c>
      <c r="U586" s="10">
        <f t="shared" si="121"/>
        <v>125</v>
      </c>
      <c r="V586" s="10">
        <f t="shared" si="122"/>
        <v>5109</v>
      </c>
      <c r="W586" s="11">
        <v>5109</v>
      </c>
      <c r="X586" s="12">
        <f t="shared" si="123"/>
        <v>125</v>
      </c>
      <c r="Y586" s="13">
        <f t="shared" si="124"/>
        <v>2.5100000000000001E-2</v>
      </c>
      <c r="Z586" s="14" t="str">
        <f t="shared" si="125"/>
        <v>0.00%-8.40%</v>
      </c>
      <c r="AA586" s="15"/>
      <c r="AB586" s="15"/>
      <c r="AC586" s="15"/>
      <c r="AD586" s="16"/>
      <c r="AE586" s="8">
        <f t="shared" si="126"/>
        <v>0</v>
      </c>
      <c r="AF586" s="17">
        <f t="shared" si="127"/>
        <v>5109</v>
      </c>
      <c r="AG586" s="18">
        <f t="shared" si="128"/>
        <v>125</v>
      </c>
      <c r="AH586" s="19">
        <f t="shared" si="129"/>
        <v>2.5080256821829794E-2</v>
      </c>
      <c r="AI586" s="20">
        <v>13.6</v>
      </c>
      <c r="AJ586" s="20">
        <v>450</v>
      </c>
      <c r="AK586" s="20"/>
      <c r="AL586" s="20">
        <v>688</v>
      </c>
      <c r="AM586" s="20">
        <f t="shared" si="130"/>
        <v>75570.399999999994</v>
      </c>
      <c r="AN586" s="7" t="s">
        <v>176</v>
      </c>
      <c r="AO586" s="20"/>
      <c r="AP586" s="21"/>
      <c r="AQ586" s="21"/>
      <c r="AR586" s="5" t="s">
        <v>912</v>
      </c>
      <c r="AS586" s="5" t="s">
        <v>164</v>
      </c>
      <c r="AT586" s="5" t="s">
        <v>59</v>
      </c>
      <c r="AU586" s="20"/>
      <c r="AV586" s="21"/>
      <c r="AW586" s="21"/>
      <c r="AX586" s="21"/>
    </row>
    <row r="587" spans="1:50" s="55" customFormat="1">
      <c r="A587" s="86" t="s">
        <v>318</v>
      </c>
      <c r="B587" s="5">
        <v>15018848</v>
      </c>
      <c r="C587" s="5" t="s">
        <v>963</v>
      </c>
      <c r="D587" s="5" t="s">
        <v>321</v>
      </c>
      <c r="E587" s="5" t="s">
        <v>52</v>
      </c>
      <c r="F587" s="5" t="s">
        <v>62</v>
      </c>
      <c r="G587" s="5" t="s">
        <v>211</v>
      </c>
      <c r="H587" s="5" t="s">
        <v>910</v>
      </c>
      <c r="I587" s="6">
        <v>43160</v>
      </c>
      <c r="J587" s="5" t="s">
        <v>336</v>
      </c>
      <c r="K587" s="5" t="s">
        <v>511</v>
      </c>
      <c r="L587" s="5" t="s">
        <v>324</v>
      </c>
      <c r="M587" s="7">
        <v>6</v>
      </c>
      <c r="N587" s="7" t="s">
        <v>176</v>
      </c>
      <c r="O587" s="8">
        <v>4698</v>
      </c>
      <c r="P587" s="9">
        <v>0.02</v>
      </c>
      <c r="Q587" s="10">
        <f t="shared" si="118"/>
        <v>94</v>
      </c>
      <c r="R587" s="9">
        <v>5.0000000000000001E-3</v>
      </c>
      <c r="S587" s="10">
        <f t="shared" si="119"/>
        <v>23</v>
      </c>
      <c r="T587" s="9">
        <f t="shared" si="120"/>
        <v>2.4904214559386972E-2</v>
      </c>
      <c r="U587" s="10">
        <f t="shared" si="121"/>
        <v>117</v>
      </c>
      <c r="V587" s="10">
        <f t="shared" si="122"/>
        <v>4815</v>
      </c>
      <c r="W587" s="11">
        <v>4815</v>
      </c>
      <c r="X587" s="12">
        <f t="shared" si="123"/>
        <v>117</v>
      </c>
      <c r="Y587" s="13">
        <f t="shared" si="124"/>
        <v>2.4899999999999999E-2</v>
      </c>
      <c r="Z587" s="14" t="str">
        <f t="shared" si="125"/>
        <v>0.00%-8.40%</v>
      </c>
      <c r="AA587" s="15"/>
      <c r="AB587" s="15"/>
      <c r="AC587" s="15"/>
      <c r="AD587" s="16"/>
      <c r="AE587" s="8">
        <f t="shared" si="126"/>
        <v>0</v>
      </c>
      <c r="AF587" s="17">
        <f t="shared" si="127"/>
        <v>4815</v>
      </c>
      <c r="AG587" s="18">
        <f t="shared" si="128"/>
        <v>117</v>
      </c>
      <c r="AH587" s="19">
        <f t="shared" si="129"/>
        <v>2.4904214559386961E-2</v>
      </c>
      <c r="AI587" s="20">
        <v>13.6</v>
      </c>
      <c r="AJ587" s="20">
        <v>450</v>
      </c>
      <c r="AK587" s="20"/>
      <c r="AL587" s="20">
        <v>688</v>
      </c>
      <c r="AM587" s="20">
        <f t="shared" si="130"/>
        <v>71572</v>
      </c>
      <c r="AN587" s="7" t="s">
        <v>176</v>
      </c>
      <c r="AO587" s="20"/>
      <c r="AP587" s="21"/>
      <c r="AQ587" s="21"/>
      <c r="AR587" s="5" t="s">
        <v>912</v>
      </c>
      <c r="AS587" s="5" t="s">
        <v>164</v>
      </c>
      <c r="AT587" s="5" t="s">
        <v>59</v>
      </c>
      <c r="AU587" s="20"/>
      <c r="AV587" s="21"/>
      <c r="AW587" s="21"/>
      <c r="AX587" s="21"/>
    </row>
    <row r="588" spans="1:50" s="55" customFormat="1">
      <c r="A588" s="86" t="s">
        <v>318</v>
      </c>
      <c r="B588" s="5">
        <v>15013465</v>
      </c>
      <c r="C588" s="5" t="s">
        <v>964</v>
      </c>
      <c r="D588" s="5" t="s">
        <v>321</v>
      </c>
      <c r="E588" s="5" t="s">
        <v>52</v>
      </c>
      <c r="F588" s="5" t="s">
        <v>62</v>
      </c>
      <c r="G588" s="5" t="s">
        <v>211</v>
      </c>
      <c r="H588" s="5" t="s">
        <v>910</v>
      </c>
      <c r="I588" s="6">
        <v>41913</v>
      </c>
      <c r="J588" s="5" t="s">
        <v>336</v>
      </c>
      <c r="K588" s="5" t="s">
        <v>511</v>
      </c>
      <c r="L588" s="5" t="s">
        <v>324</v>
      </c>
      <c r="M588" s="7">
        <v>6</v>
      </c>
      <c r="N588" s="7" t="s">
        <v>176</v>
      </c>
      <c r="O588" s="8">
        <v>5750</v>
      </c>
      <c r="P588" s="9">
        <v>0.02</v>
      </c>
      <c r="Q588" s="10">
        <f t="shared" si="118"/>
        <v>115</v>
      </c>
      <c r="R588" s="9">
        <v>5.0000000000000001E-3</v>
      </c>
      <c r="S588" s="10">
        <f t="shared" si="119"/>
        <v>29</v>
      </c>
      <c r="T588" s="9">
        <f t="shared" si="120"/>
        <v>2.5043478260869566E-2</v>
      </c>
      <c r="U588" s="10">
        <f t="shared" si="121"/>
        <v>144</v>
      </c>
      <c r="V588" s="10">
        <f t="shared" si="122"/>
        <v>5894</v>
      </c>
      <c r="W588" s="11">
        <v>5750</v>
      </c>
      <c r="X588" s="12">
        <f t="shared" si="123"/>
        <v>0</v>
      </c>
      <c r="Y588" s="13">
        <f t="shared" si="124"/>
        <v>0</v>
      </c>
      <c r="Z588" s="14" t="str">
        <f t="shared" si="125"/>
        <v>0.00%-8.40%</v>
      </c>
      <c r="AA588" s="15"/>
      <c r="AB588" s="15"/>
      <c r="AC588" s="15"/>
      <c r="AD588" s="16"/>
      <c r="AE588" s="8">
        <f t="shared" si="126"/>
        <v>0</v>
      </c>
      <c r="AF588" s="17">
        <f t="shared" si="127"/>
        <v>5750</v>
      </c>
      <c r="AG588" s="18">
        <f t="shared" si="128"/>
        <v>0</v>
      </c>
      <c r="AH588" s="19">
        <f t="shared" si="129"/>
        <v>0</v>
      </c>
      <c r="AI588" s="20">
        <v>13.6</v>
      </c>
      <c r="AJ588" s="20">
        <v>450</v>
      </c>
      <c r="AK588" s="20"/>
      <c r="AL588" s="20">
        <v>688</v>
      </c>
      <c r="AM588" s="20">
        <f t="shared" si="130"/>
        <v>84288</v>
      </c>
      <c r="AN588" s="7" t="s">
        <v>176</v>
      </c>
      <c r="AO588" s="20"/>
      <c r="AP588" s="21" t="s">
        <v>487</v>
      </c>
      <c r="AQ588" s="21" t="s">
        <v>496</v>
      </c>
      <c r="AR588" s="5" t="s">
        <v>912</v>
      </c>
      <c r="AS588" s="5" t="s">
        <v>164</v>
      </c>
      <c r="AT588" s="5" t="s">
        <v>59</v>
      </c>
      <c r="AU588" s="20"/>
      <c r="AV588" s="21"/>
      <c r="AW588" s="21"/>
      <c r="AX588" s="21"/>
    </row>
    <row r="589" spans="1:50" s="55" customFormat="1">
      <c r="A589" s="86" t="s">
        <v>318</v>
      </c>
      <c r="B589" s="5">
        <v>15017328</v>
      </c>
      <c r="C589" s="5" t="s">
        <v>965</v>
      </c>
      <c r="D589" s="5" t="s">
        <v>321</v>
      </c>
      <c r="E589" s="5" t="s">
        <v>52</v>
      </c>
      <c r="F589" s="5" t="s">
        <v>62</v>
      </c>
      <c r="G589" s="5" t="s">
        <v>211</v>
      </c>
      <c r="H589" s="5" t="s">
        <v>910</v>
      </c>
      <c r="I589" s="6">
        <v>42979</v>
      </c>
      <c r="J589" s="5" t="s">
        <v>336</v>
      </c>
      <c r="K589" s="5" t="s">
        <v>511</v>
      </c>
      <c r="L589" s="5" t="s">
        <v>324</v>
      </c>
      <c r="M589" s="7">
        <v>6</v>
      </c>
      <c r="N589" s="7" t="s">
        <v>176</v>
      </c>
      <c r="O589" s="8">
        <v>4754</v>
      </c>
      <c r="P589" s="9">
        <v>0.02</v>
      </c>
      <c r="Q589" s="10">
        <f t="shared" si="118"/>
        <v>95</v>
      </c>
      <c r="R589" s="9">
        <v>5.0000000000000001E-3</v>
      </c>
      <c r="S589" s="10">
        <f t="shared" si="119"/>
        <v>24</v>
      </c>
      <c r="T589" s="9">
        <f t="shared" si="120"/>
        <v>2.503155237694573E-2</v>
      </c>
      <c r="U589" s="10">
        <f t="shared" si="121"/>
        <v>119</v>
      </c>
      <c r="V589" s="10">
        <f t="shared" si="122"/>
        <v>4873</v>
      </c>
      <c r="W589" s="11">
        <v>4754</v>
      </c>
      <c r="X589" s="12">
        <f t="shared" si="123"/>
        <v>0</v>
      </c>
      <c r="Y589" s="13">
        <f t="shared" si="124"/>
        <v>0</v>
      </c>
      <c r="Z589" s="14" t="str">
        <f t="shared" si="125"/>
        <v>0.00%-8.40%</v>
      </c>
      <c r="AA589" s="15"/>
      <c r="AB589" s="15"/>
      <c r="AC589" s="15"/>
      <c r="AD589" s="16"/>
      <c r="AE589" s="8">
        <f t="shared" si="126"/>
        <v>0</v>
      </c>
      <c r="AF589" s="17">
        <f t="shared" si="127"/>
        <v>4754</v>
      </c>
      <c r="AG589" s="18">
        <f t="shared" si="128"/>
        <v>0</v>
      </c>
      <c r="AH589" s="19">
        <f t="shared" si="129"/>
        <v>0</v>
      </c>
      <c r="AI589" s="20">
        <v>13.6</v>
      </c>
      <c r="AJ589" s="20">
        <v>450</v>
      </c>
      <c r="AK589" s="20"/>
      <c r="AL589" s="20">
        <v>688</v>
      </c>
      <c r="AM589" s="20">
        <f t="shared" si="130"/>
        <v>70742.399999999994</v>
      </c>
      <c r="AN589" s="7" t="s">
        <v>176</v>
      </c>
      <c r="AO589" s="20"/>
      <c r="AP589" s="21" t="s">
        <v>97</v>
      </c>
      <c r="AQ589" s="21" t="s">
        <v>97</v>
      </c>
      <c r="AR589" s="5" t="s">
        <v>912</v>
      </c>
      <c r="AS589" s="5" t="s">
        <v>164</v>
      </c>
      <c r="AT589" s="5" t="s">
        <v>59</v>
      </c>
      <c r="AU589" s="20"/>
      <c r="AV589" s="21"/>
      <c r="AW589" s="21"/>
      <c r="AX589" s="21"/>
    </row>
    <row r="590" spans="1:50" s="55" customFormat="1">
      <c r="A590" s="86" t="s">
        <v>318</v>
      </c>
      <c r="B590" s="5">
        <v>15011967</v>
      </c>
      <c r="C590" s="5" t="s">
        <v>966</v>
      </c>
      <c r="D590" s="5" t="s">
        <v>321</v>
      </c>
      <c r="E590" s="5" t="s">
        <v>52</v>
      </c>
      <c r="F590" s="5" t="s">
        <v>62</v>
      </c>
      <c r="G590" s="5" t="s">
        <v>211</v>
      </c>
      <c r="H590" s="5" t="s">
        <v>910</v>
      </c>
      <c r="I590" s="6">
        <v>41640</v>
      </c>
      <c r="J590" s="5" t="s">
        <v>336</v>
      </c>
      <c r="K590" s="5" t="s">
        <v>511</v>
      </c>
      <c r="L590" s="5" t="s">
        <v>324</v>
      </c>
      <c r="M590" s="7">
        <v>6</v>
      </c>
      <c r="N590" s="7" t="s">
        <v>176</v>
      </c>
      <c r="O590" s="8">
        <v>5620</v>
      </c>
      <c r="P590" s="9">
        <v>0.02</v>
      </c>
      <c r="Q590" s="10">
        <f t="shared" si="118"/>
        <v>112</v>
      </c>
      <c r="R590" s="9">
        <v>5.0000000000000001E-3</v>
      </c>
      <c r="S590" s="10">
        <f t="shared" si="119"/>
        <v>28</v>
      </c>
      <c r="T590" s="9">
        <f t="shared" si="120"/>
        <v>2.491103202846975E-2</v>
      </c>
      <c r="U590" s="10">
        <f t="shared" si="121"/>
        <v>140</v>
      </c>
      <c r="V590" s="10">
        <f t="shared" si="122"/>
        <v>5760</v>
      </c>
      <c r="W590" s="11">
        <v>5817</v>
      </c>
      <c r="X590" s="12">
        <f t="shared" si="123"/>
        <v>197</v>
      </c>
      <c r="Y590" s="13">
        <f t="shared" si="124"/>
        <v>3.5099999999999999E-2</v>
      </c>
      <c r="Z590" s="14" t="str">
        <f t="shared" si="125"/>
        <v>0.00%-8.40%</v>
      </c>
      <c r="AA590" s="15"/>
      <c r="AB590" s="15"/>
      <c r="AC590" s="15"/>
      <c r="AD590" s="16"/>
      <c r="AE590" s="8">
        <f t="shared" si="126"/>
        <v>0</v>
      </c>
      <c r="AF590" s="17">
        <f t="shared" si="127"/>
        <v>5817</v>
      </c>
      <c r="AG590" s="18">
        <f t="shared" si="128"/>
        <v>197</v>
      </c>
      <c r="AH590" s="19">
        <f t="shared" si="129"/>
        <v>3.5053380782918087E-2</v>
      </c>
      <c r="AI590" s="20">
        <v>13.6</v>
      </c>
      <c r="AJ590" s="20">
        <v>450</v>
      </c>
      <c r="AK590" s="20"/>
      <c r="AL590" s="20">
        <v>688</v>
      </c>
      <c r="AM590" s="20">
        <f t="shared" si="130"/>
        <v>85199.2</v>
      </c>
      <c r="AN590" s="7" t="s">
        <v>176</v>
      </c>
      <c r="AO590" s="20"/>
      <c r="AP590" s="21"/>
      <c r="AQ590" s="21"/>
      <c r="AR590" s="5" t="s">
        <v>912</v>
      </c>
      <c r="AS590" s="5" t="s">
        <v>164</v>
      </c>
      <c r="AT590" s="5" t="s">
        <v>59</v>
      </c>
      <c r="AU590" s="20"/>
      <c r="AV590" s="21"/>
      <c r="AW590" s="21"/>
      <c r="AX590" s="21"/>
    </row>
    <row r="591" spans="1:50" s="55" customFormat="1">
      <c r="A591" s="86" t="s">
        <v>318</v>
      </c>
      <c r="B591" s="5">
        <v>15014297</v>
      </c>
      <c r="C591" s="5" t="s">
        <v>967</v>
      </c>
      <c r="D591" s="5" t="s">
        <v>321</v>
      </c>
      <c r="E591" s="5" t="s">
        <v>52</v>
      </c>
      <c r="F591" s="5" t="s">
        <v>62</v>
      </c>
      <c r="G591" s="5" t="s">
        <v>211</v>
      </c>
      <c r="H591" s="5" t="s">
        <v>910</v>
      </c>
      <c r="I591" s="6">
        <v>42217</v>
      </c>
      <c r="J591" s="5" t="s">
        <v>336</v>
      </c>
      <c r="K591" s="5" t="s">
        <v>511</v>
      </c>
      <c r="L591" s="5" t="s">
        <v>324</v>
      </c>
      <c r="M591" s="7">
        <v>6</v>
      </c>
      <c r="N591" s="7" t="s">
        <v>176</v>
      </c>
      <c r="O591" s="8">
        <v>5565</v>
      </c>
      <c r="P591" s="9">
        <v>0.02</v>
      </c>
      <c r="Q591" s="10">
        <f t="shared" si="118"/>
        <v>111</v>
      </c>
      <c r="R591" s="9">
        <v>5.0000000000000001E-3</v>
      </c>
      <c r="S591" s="10">
        <f t="shared" si="119"/>
        <v>28</v>
      </c>
      <c r="T591" s="9">
        <f t="shared" si="120"/>
        <v>2.4977538185085354E-2</v>
      </c>
      <c r="U591" s="10">
        <f t="shared" si="121"/>
        <v>139</v>
      </c>
      <c r="V591" s="10">
        <f t="shared" si="122"/>
        <v>5704</v>
      </c>
      <c r="W591" s="11">
        <v>5732</v>
      </c>
      <c r="X591" s="12">
        <f t="shared" si="123"/>
        <v>167</v>
      </c>
      <c r="Y591" s="13">
        <f t="shared" si="124"/>
        <v>0.03</v>
      </c>
      <c r="Z591" s="14" t="str">
        <f t="shared" si="125"/>
        <v>0.00%-8.40%</v>
      </c>
      <c r="AA591" s="15"/>
      <c r="AB591" s="15"/>
      <c r="AC591" s="15"/>
      <c r="AD591" s="16"/>
      <c r="AE591" s="8">
        <f t="shared" si="126"/>
        <v>0</v>
      </c>
      <c r="AF591" s="17">
        <f t="shared" si="127"/>
        <v>5732</v>
      </c>
      <c r="AG591" s="18">
        <f t="shared" si="128"/>
        <v>167</v>
      </c>
      <c r="AH591" s="19">
        <f t="shared" si="129"/>
        <v>3.0008984725965915E-2</v>
      </c>
      <c r="AI591" s="20">
        <v>13.6</v>
      </c>
      <c r="AJ591" s="20">
        <v>450</v>
      </c>
      <c r="AK591" s="20"/>
      <c r="AL591" s="20">
        <v>688</v>
      </c>
      <c r="AM591" s="20">
        <f t="shared" si="130"/>
        <v>84043.199999999997</v>
      </c>
      <c r="AN591" s="7" t="s">
        <v>176</v>
      </c>
      <c r="AO591" s="20"/>
      <c r="AP591" s="21"/>
      <c r="AQ591" s="21"/>
      <c r="AR591" s="5" t="s">
        <v>912</v>
      </c>
      <c r="AS591" s="5" t="s">
        <v>164</v>
      </c>
      <c r="AT591" s="5" t="s">
        <v>59</v>
      </c>
      <c r="AU591" s="20"/>
      <c r="AV591" s="21"/>
      <c r="AW591" s="21"/>
      <c r="AX591" s="21"/>
    </row>
    <row r="592" spans="1:50" s="55" customFormat="1">
      <c r="A592" s="86" t="s">
        <v>318</v>
      </c>
      <c r="B592" s="5">
        <v>15011873</v>
      </c>
      <c r="C592" s="5" t="s">
        <v>968</v>
      </c>
      <c r="D592" s="5" t="s">
        <v>321</v>
      </c>
      <c r="E592" s="5" t="s">
        <v>52</v>
      </c>
      <c r="F592" s="5" t="s">
        <v>62</v>
      </c>
      <c r="G592" s="5" t="s">
        <v>211</v>
      </c>
      <c r="H592" s="5" t="s">
        <v>910</v>
      </c>
      <c r="I592" s="6">
        <v>41760</v>
      </c>
      <c r="J592" s="5" t="s">
        <v>336</v>
      </c>
      <c r="K592" s="5" t="s">
        <v>511</v>
      </c>
      <c r="L592" s="5" t="s">
        <v>324</v>
      </c>
      <c r="M592" s="7">
        <v>6</v>
      </c>
      <c r="N592" s="7" t="s">
        <v>176</v>
      </c>
      <c r="O592" s="8">
        <v>5189</v>
      </c>
      <c r="P592" s="9">
        <v>0.02</v>
      </c>
      <c r="Q592" s="10">
        <f t="shared" si="118"/>
        <v>104</v>
      </c>
      <c r="R592" s="9">
        <v>5.0000000000000001E-3</v>
      </c>
      <c r="S592" s="10">
        <f t="shared" si="119"/>
        <v>26</v>
      </c>
      <c r="T592" s="9">
        <f t="shared" si="120"/>
        <v>2.5052996723838889E-2</v>
      </c>
      <c r="U592" s="10">
        <f t="shared" si="121"/>
        <v>130</v>
      </c>
      <c r="V592" s="10">
        <f t="shared" si="122"/>
        <v>5319</v>
      </c>
      <c r="W592" s="11">
        <v>5319</v>
      </c>
      <c r="X592" s="12">
        <f t="shared" si="123"/>
        <v>130</v>
      </c>
      <c r="Y592" s="13">
        <f t="shared" si="124"/>
        <v>2.5100000000000001E-2</v>
      </c>
      <c r="Z592" s="14" t="str">
        <f t="shared" si="125"/>
        <v>0.00%-8.40%</v>
      </c>
      <c r="AA592" s="15"/>
      <c r="AB592" s="15"/>
      <c r="AC592" s="15"/>
      <c r="AD592" s="16"/>
      <c r="AE592" s="8">
        <f t="shared" si="126"/>
        <v>0</v>
      </c>
      <c r="AF592" s="17">
        <f t="shared" si="127"/>
        <v>5319</v>
      </c>
      <c r="AG592" s="18">
        <f t="shared" si="128"/>
        <v>130</v>
      </c>
      <c r="AH592" s="19">
        <f t="shared" si="129"/>
        <v>2.5052996723838872E-2</v>
      </c>
      <c r="AI592" s="20">
        <v>13.6</v>
      </c>
      <c r="AJ592" s="20">
        <v>450</v>
      </c>
      <c r="AK592" s="20"/>
      <c r="AL592" s="20">
        <v>688</v>
      </c>
      <c r="AM592" s="20">
        <f t="shared" si="130"/>
        <v>78426.399999999994</v>
      </c>
      <c r="AN592" s="7" t="s">
        <v>176</v>
      </c>
      <c r="AO592" s="20"/>
      <c r="AP592" s="21"/>
      <c r="AQ592" s="21"/>
      <c r="AR592" s="5" t="s">
        <v>912</v>
      </c>
      <c r="AS592" s="5" t="s">
        <v>164</v>
      </c>
      <c r="AT592" s="5" t="s">
        <v>59</v>
      </c>
      <c r="AU592" s="20"/>
      <c r="AV592" s="21"/>
      <c r="AW592" s="21"/>
      <c r="AX592" s="21"/>
    </row>
    <row r="593" spans="1:50" s="55" customFormat="1">
      <c r="A593" s="86" t="s">
        <v>318</v>
      </c>
      <c r="B593" s="5">
        <v>15010510</v>
      </c>
      <c r="C593" s="5" t="s">
        <v>969</v>
      </c>
      <c r="D593" s="5" t="s">
        <v>321</v>
      </c>
      <c r="E593" s="5" t="s">
        <v>52</v>
      </c>
      <c r="F593" s="5" t="s">
        <v>62</v>
      </c>
      <c r="G593" s="5" t="s">
        <v>211</v>
      </c>
      <c r="H593" s="5" t="s">
        <v>910</v>
      </c>
      <c r="I593" s="6">
        <v>41821</v>
      </c>
      <c r="J593" s="5" t="s">
        <v>336</v>
      </c>
      <c r="K593" s="5" t="s">
        <v>511</v>
      </c>
      <c r="L593" s="5" t="s">
        <v>324</v>
      </c>
      <c r="M593" s="7">
        <v>6</v>
      </c>
      <c r="N593" s="7" t="s">
        <v>176</v>
      </c>
      <c r="O593" s="8">
        <v>4431</v>
      </c>
      <c r="P593" s="9">
        <v>0.02</v>
      </c>
      <c r="Q593" s="10">
        <f t="shared" si="118"/>
        <v>89</v>
      </c>
      <c r="R593" s="9">
        <v>5.0000000000000001E-3</v>
      </c>
      <c r="S593" s="10">
        <f t="shared" si="119"/>
        <v>22</v>
      </c>
      <c r="T593" s="9">
        <f t="shared" si="120"/>
        <v>2.5050778605280974E-2</v>
      </c>
      <c r="U593" s="10">
        <f t="shared" si="121"/>
        <v>111</v>
      </c>
      <c r="V593" s="10">
        <f t="shared" si="122"/>
        <v>4542</v>
      </c>
      <c r="W593" s="11">
        <v>4431</v>
      </c>
      <c r="X593" s="12">
        <f t="shared" si="123"/>
        <v>0</v>
      </c>
      <c r="Y593" s="13">
        <f t="shared" si="124"/>
        <v>0</v>
      </c>
      <c r="Z593" s="14" t="str">
        <f t="shared" si="125"/>
        <v>0.00%-8.40%</v>
      </c>
      <c r="AA593" s="15"/>
      <c r="AB593" s="15"/>
      <c r="AC593" s="15"/>
      <c r="AD593" s="16"/>
      <c r="AE593" s="8">
        <f t="shared" si="126"/>
        <v>0</v>
      </c>
      <c r="AF593" s="17">
        <f t="shared" si="127"/>
        <v>4431</v>
      </c>
      <c r="AG593" s="18">
        <f t="shared" si="128"/>
        <v>0</v>
      </c>
      <c r="AH593" s="19">
        <f t="shared" si="129"/>
        <v>0</v>
      </c>
      <c r="AI593" s="20">
        <v>13.6</v>
      </c>
      <c r="AJ593" s="20">
        <v>450</v>
      </c>
      <c r="AK593" s="20"/>
      <c r="AL593" s="20">
        <v>688</v>
      </c>
      <c r="AM593" s="20">
        <f t="shared" si="130"/>
        <v>66349.600000000006</v>
      </c>
      <c r="AN593" s="7" t="s">
        <v>176</v>
      </c>
      <c r="AO593" s="20"/>
      <c r="AP593" s="21" t="s">
        <v>107</v>
      </c>
      <c r="AQ593" s="21" t="s">
        <v>107</v>
      </c>
      <c r="AR593" s="5" t="s">
        <v>912</v>
      </c>
      <c r="AS593" s="5" t="s">
        <v>164</v>
      </c>
      <c r="AT593" s="5" t="s">
        <v>59</v>
      </c>
      <c r="AU593" s="20"/>
      <c r="AV593" s="21"/>
      <c r="AW593" s="21"/>
      <c r="AX593" s="21"/>
    </row>
    <row r="594" spans="1:50" s="55" customFormat="1">
      <c r="A594" s="86" t="s">
        <v>318</v>
      </c>
      <c r="B594" s="5">
        <v>15009801</v>
      </c>
      <c r="C594" s="5" t="s">
        <v>970</v>
      </c>
      <c r="D594" s="5" t="s">
        <v>321</v>
      </c>
      <c r="E594" s="5" t="s">
        <v>52</v>
      </c>
      <c r="F594" s="5" t="s">
        <v>62</v>
      </c>
      <c r="G594" s="5" t="s">
        <v>211</v>
      </c>
      <c r="H594" s="5" t="s">
        <v>910</v>
      </c>
      <c r="I594" s="6">
        <v>41487</v>
      </c>
      <c r="J594" s="5" t="s">
        <v>336</v>
      </c>
      <c r="K594" s="5" t="s">
        <v>548</v>
      </c>
      <c r="L594" s="5" t="s">
        <v>324</v>
      </c>
      <c r="M594" s="7">
        <v>6</v>
      </c>
      <c r="N594" s="7" t="s">
        <v>176</v>
      </c>
      <c r="O594" s="8">
        <v>5038</v>
      </c>
      <c r="P594" s="9">
        <v>0.02</v>
      </c>
      <c r="Q594" s="10">
        <f t="shared" si="118"/>
        <v>101</v>
      </c>
      <c r="R594" s="9">
        <v>5.0000000000000001E-3</v>
      </c>
      <c r="S594" s="10">
        <f t="shared" si="119"/>
        <v>25</v>
      </c>
      <c r="T594" s="9">
        <f t="shared" si="120"/>
        <v>2.5009924573243351E-2</v>
      </c>
      <c r="U594" s="10">
        <f t="shared" si="121"/>
        <v>126</v>
      </c>
      <c r="V594" s="10">
        <f t="shared" si="122"/>
        <v>5164</v>
      </c>
      <c r="W594" s="11">
        <v>5189</v>
      </c>
      <c r="X594" s="12">
        <f t="shared" si="123"/>
        <v>151</v>
      </c>
      <c r="Y594" s="13">
        <f t="shared" si="124"/>
        <v>0.03</v>
      </c>
      <c r="Z594" s="14" t="str">
        <f t="shared" si="125"/>
        <v>0.00%-8.40%</v>
      </c>
      <c r="AA594" s="15"/>
      <c r="AB594" s="15"/>
      <c r="AC594" s="15"/>
      <c r="AD594" s="16"/>
      <c r="AE594" s="8">
        <f t="shared" si="126"/>
        <v>0</v>
      </c>
      <c r="AF594" s="17">
        <f t="shared" si="127"/>
        <v>5189</v>
      </c>
      <c r="AG594" s="18">
        <f t="shared" si="128"/>
        <v>151</v>
      </c>
      <c r="AH594" s="19">
        <f t="shared" si="129"/>
        <v>2.9972211194918552E-2</v>
      </c>
      <c r="AI594" s="20">
        <v>13.6</v>
      </c>
      <c r="AJ594" s="20">
        <v>450</v>
      </c>
      <c r="AK594" s="20"/>
      <c r="AL594" s="20">
        <v>688</v>
      </c>
      <c r="AM594" s="20">
        <f t="shared" si="130"/>
        <v>76658.399999999994</v>
      </c>
      <c r="AN594" s="7" t="s">
        <v>176</v>
      </c>
      <c r="AO594" s="20"/>
      <c r="AP594" s="21"/>
      <c r="AQ594" s="21"/>
      <c r="AR594" s="5" t="s">
        <v>912</v>
      </c>
      <c r="AS594" s="5" t="s">
        <v>164</v>
      </c>
      <c r="AT594" s="5" t="s">
        <v>59</v>
      </c>
      <c r="AU594" s="20"/>
      <c r="AV594" s="21"/>
      <c r="AW594" s="21"/>
      <c r="AX594" s="21"/>
    </row>
    <row r="595" spans="1:50" s="55" customFormat="1">
      <c r="A595" s="86" t="s">
        <v>318</v>
      </c>
      <c r="B595" s="5">
        <v>15015076</v>
      </c>
      <c r="C595" s="5" t="s">
        <v>971</v>
      </c>
      <c r="D595" s="5" t="s">
        <v>321</v>
      </c>
      <c r="E595" s="5" t="s">
        <v>52</v>
      </c>
      <c r="F595" s="5" t="s">
        <v>62</v>
      </c>
      <c r="G595" s="5" t="s">
        <v>211</v>
      </c>
      <c r="H595" s="5" t="s">
        <v>910</v>
      </c>
      <c r="I595" s="6">
        <v>42552</v>
      </c>
      <c r="J595" s="5" t="s">
        <v>336</v>
      </c>
      <c r="K595" s="5" t="s">
        <v>511</v>
      </c>
      <c r="L595" s="5" t="s">
        <v>324</v>
      </c>
      <c r="M595" s="7">
        <v>6</v>
      </c>
      <c r="N595" s="7" t="s">
        <v>176</v>
      </c>
      <c r="O595" s="8">
        <v>5770</v>
      </c>
      <c r="P595" s="9">
        <v>0.02</v>
      </c>
      <c r="Q595" s="10">
        <f t="shared" si="118"/>
        <v>115</v>
      </c>
      <c r="R595" s="9">
        <v>5.0000000000000001E-3</v>
      </c>
      <c r="S595" s="10">
        <f t="shared" si="119"/>
        <v>29</v>
      </c>
      <c r="T595" s="9">
        <f t="shared" si="120"/>
        <v>2.4956672443674176E-2</v>
      </c>
      <c r="U595" s="10">
        <f t="shared" si="121"/>
        <v>144</v>
      </c>
      <c r="V595" s="10">
        <f t="shared" si="122"/>
        <v>5914</v>
      </c>
      <c r="W595" s="11">
        <v>6116</v>
      </c>
      <c r="X595" s="12">
        <f t="shared" si="123"/>
        <v>346</v>
      </c>
      <c r="Y595" s="13">
        <f t="shared" si="124"/>
        <v>0.06</v>
      </c>
      <c r="Z595" s="14" t="str">
        <f t="shared" si="125"/>
        <v>0.00%-8.40%</v>
      </c>
      <c r="AA595" s="15"/>
      <c r="AB595" s="15"/>
      <c r="AC595" s="15"/>
      <c r="AD595" s="16"/>
      <c r="AE595" s="8">
        <f t="shared" si="126"/>
        <v>0</v>
      </c>
      <c r="AF595" s="17">
        <f t="shared" si="127"/>
        <v>6116</v>
      </c>
      <c r="AG595" s="18">
        <f t="shared" si="128"/>
        <v>346</v>
      </c>
      <c r="AH595" s="19">
        <f t="shared" si="129"/>
        <v>5.9965337954939413E-2</v>
      </c>
      <c r="AI595" s="20">
        <v>13.6</v>
      </c>
      <c r="AJ595" s="20">
        <v>450</v>
      </c>
      <c r="AK595" s="20"/>
      <c r="AL595" s="20">
        <v>688</v>
      </c>
      <c r="AM595" s="20">
        <f t="shared" si="130"/>
        <v>89265.599999999991</v>
      </c>
      <c r="AN595" s="7" t="s">
        <v>176</v>
      </c>
      <c r="AO595" s="20"/>
      <c r="AP595" s="21"/>
      <c r="AQ595" s="21"/>
      <c r="AR595" s="5" t="s">
        <v>912</v>
      </c>
      <c r="AS595" s="5" t="s">
        <v>164</v>
      </c>
      <c r="AT595" s="5" t="s">
        <v>59</v>
      </c>
      <c r="AU595" s="20"/>
      <c r="AV595" s="21"/>
      <c r="AW595" s="21"/>
      <c r="AX595" s="21"/>
    </row>
    <row r="596" spans="1:50" s="55" customFormat="1">
      <c r="A596" s="86" t="s">
        <v>318</v>
      </c>
      <c r="B596" s="5">
        <v>15019746</v>
      </c>
      <c r="C596" s="5" t="s">
        <v>972</v>
      </c>
      <c r="D596" s="5" t="s">
        <v>321</v>
      </c>
      <c r="E596" s="5" t="s">
        <v>52</v>
      </c>
      <c r="F596" s="5" t="s">
        <v>62</v>
      </c>
      <c r="G596" s="5" t="s">
        <v>211</v>
      </c>
      <c r="H596" s="5" t="s">
        <v>910</v>
      </c>
      <c r="I596" s="6">
        <v>44256</v>
      </c>
      <c r="J596" s="5" t="s">
        <v>336</v>
      </c>
      <c r="K596" s="5" t="s">
        <v>511</v>
      </c>
      <c r="L596" s="5" t="s">
        <v>324</v>
      </c>
      <c r="M596" s="7">
        <v>6</v>
      </c>
      <c r="N596" s="7" t="s">
        <v>176</v>
      </c>
      <c r="O596" s="8">
        <v>4559</v>
      </c>
      <c r="P596" s="9">
        <v>0.02</v>
      </c>
      <c r="Q596" s="10">
        <f t="shared" si="118"/>
        <v>91</v>
      </c>
      <c r="R596" s="9">
        <v>5.0000000000000001E-3</v>
      </c>
      <c r="S596" s="10">
        <f t="shared" si="119"/>
        <v>23</v>
      </c>
      <c r="T596" s="9">
        <f t="shared" si="120"/>
        <v>2.5005483658697081E-2</v>
      </c>
      <c r="U596" s="10">
        <f t="shared" si="121"/>
        <v>114</v>
      </c>
      <c r="V596" s="10">
        <f t="shared" si="122"/>
        <v>4673</v>
      </c>
      <c r="W596" s="11">
        <v>4673</v>
      </c>
      <c r="X596" s="12">
        <f t="shared" si="123"/>
        <v>114</v>
      </c>
      <c r="Y596" s="13">
        <f t="shared" si="124"/>
        <v>2.5000000000000001E-2</v>
      </c>
      <c r="Z596" s="14" t="str">
        <f t="shared" si="125"/>
        <v>0.00%-8.40%</v>
      </c>
      <c r="AA596" s="15"/>
      <c r="AB596" s="15"/>
      <c r="AC596" s="15"/>
      <c r="AD596" s="16"/>
      <c r="AE596" s="8">
        <f t="shared" si="126"/>
        <v>0</v>
      </c>
      <c r="AF596" s="17">
        <f t="shared" si="127"/>
        <v>4673</v>
      </c>
      <c r="AG596" s="18">
        <f t="shared" si="128"/>
        <v>114</v>
      </c>
      <c r="AH596" s="19">
        <f t="shared" si="129"/>
        <v>2.5005483658697036E-2</v>
      </c>
      <c r="AI596" s="20">
        <v>13.6</v>
      </c>
      <c r="AJ596" s="20">
        <v>450</v>
      </c>
      <c r="AK596" s="20"/>
      <c r="AL596" s="20">
        <v>688</v>
      </c>
      <c r="AM596" s="20">
        <f t="shared" si="130"/>
        <v>69640.799999999988</v>
      </c>
      <c r="AN596" s="7" t="s">
        <v>176</v>
      </c>
      <c r="AO596" s="20"/>
      <c r="AP596" s="21"/>
      <c r="AQ596" s="21"/>
      <c r="AR596" s="5" t="s">
        <v>912</v>
      </c>
      <c r="AS596" s="5" t="s">
        <v>164</v>
      </c>
      <c r="AT596" s="5" t="s">
        <v>59</v>
      </c>
      <c r="AU596" s="20"/>
      <c r="AV596" s="21"/>
      <c r="AW596" s="21"/>
      <c r="AX596" s="21"/>
    </row>
    <row r="597" spans="1:50" s="55" customFormat="1">
      <c r="A597" s="86" t="s">
        <v>318</v>
      </c>
      <c r="B597" s="5">
        <v>15018866</v>
      </c>
      <c r="C597" s="5" t="s">
        <v>973</v>
      </c>
      <c r="D597" s="5" t="s">
        <v>321</v>
      </c>
      <c r="E597" s="5" t="s">
        <v>52</v>
      </c>
      <c r="F597" s="5" t="s">
        <v>62</v>
      </c>
      <c r="G597" s="5" t="s">
        <v>211</v>
      </c>
      <c r="H597" s="5" t="s">
        <v>910</v>
      </c>
      <c r="I597" s="6">
        <v>43344</v>
      </c>
      <c r="J597" s="5" t="s">
        <v>336</v>
      </c>
      <c r="K597" s="5" t="s">
        <v>511</v>
      </c>
      <c r="L597" s="5" t="s">
        <v>324</v>
      </c>
      <c r="M597" s="7">
        <v>6</v>
      </c>
      <c r="N597" s="7" t="s">
        <v>176</v>
      </c>
      <c r="O597" s="8">
        <v>4564</v>
      </c>
      <c r="P597" s="9">
        <v>0.02</v>
      </c>
      <c r="Q597" s="10">
        <f t="shared" si="118"/>
        <v>91</v>
      </c>
      <c r="R597" s="9">
        <v>5.0000000000000001E-3</v>
      </c>
      <c r="S597" s="10">
        <f t="shared" si="119"/>
        <v>23</v>
      </c>
      <c r="T597" s="9">
        <f t="shared" si="120"/>
        <v>2.497808939526731E-2</v>
      </c>
      <c r="U597" s="10">
        <f t="shared" si="121"/>
        <v>114</v>
      </c>
      <c r="V597" s="10">
        <f t="shared" si="122"/>
        <v>4678</v>
      </c>
      <c r="W597" s="11">
        <v>4678</v>
      </c>
      <c r="X597" s="12">
        <f t="shared" si="123"/>
        <v>114</v>
      </c>
      <c r="Y597" s="13">
        <f t="shared" si="124"/>
        <v>2.5000000000000001E-2</v>
      </c>
      <c r="Z597" s="14" t="str">
        <f t="shared" si="125"/>
        <v>0.00%-8.40%</v>
      </c>
      <c r="AA597" s="15"/>
      <c r="AB597" s="15"/>
      <c r="AC597" s="15"/>
      <c r="AD597" s="16"/>
      <c r="AE597" s="8">
        <f t="shared" si="126"/>
        <v>0</v>
      </c>
      <c r="AF597" s="17">
        <f t="shared" si="127"/>
        <v>4678</v>
      </c>
      <c r="AG597" s="18">
        <f t="shared" si="128"/>
        <v>114</v>
      </c>
      <c r="AH597" s="19">
        <f t="shared" si="129"/>
        <v>2.4978089395267355E-2</v>
      </c>
      <c r="AI597" s="20">
        <v>13.6</v>
      </c>
      <c r="AJ597" s="20">
        <v>500</v>
      </c>
      <c r="AK597" s="20"/>
      <c r="AL597" s="20">
        <v>688</v>
      </c>
      <c r="AM597" s="20">
        <f t="shared" si="130"/>
        <v>70308.799999999988</v>
      </c>
      <c r="AN597" s="7" t="s">
        <v>176</v>
      </c>
      <c r="AO597" s="20"/>
      <c r="AP597" s="21"/>
      <c r="AQ597" s="21"/>
      <c r="AR597" s="5" t="s">
        <v>912</v>
      </c>
      <c r="AS597" s="5" t="s">
        <v>164</v>
      </c>
      <c r="AT597" s="5" t="s">
        <v>59</v>
      </c>
      <c r="AU597" s="20"/>
      <c r="AV597" s="21"/>
      <c r="AW597" s="21"/>
      <c r="AX597" s="21"/>
    </row>
    <row r="598" spans="1:50" s="55" customFormat="1">
      <c r="A598" s="86" t="s">
        <v>318</v>
      </c>
      <c r="B598" s="5">
        <v>15004240</v>
      </c>
      <c r="C598" s="5" t="s">
        <v>974</v>
      </c>
      <c r="D598" s="5" t="s">
        <v>321</v>
      </c>
      <c r="E598" s="5" t="s">
        <v>52</v>
      </c>
      <c r="F598" s="5" t="s">
        <v>62</v>
      </c>
      <c r="G598" s="5" t="s">
        <v>211</v>
      </c>
      <c r="H598" s="5" t="s">
        <v>910</v>
      </c>
      <c r="I598" s="6">
        <v>40575</v>
      </c>
      <c r="J598" s="5" t="s">
        <v>336</v>
      </c>
      <c r="K598" s="5" t="s">
        <v>511</v>
      </c>
      <c r="L598" s="5" t="s">
        <v>324</v>
      </c>
      <c r="M598" s="7">
        <v>6</v>
      </c>
      <c r="N598" s="7" t="s">
        <v>176</v>
      </c>
      <c r="O598" s="8">
        <v>4778</v>
      </c>
      <c r="P598" s="9">
        <v>0.02</v>
      </c>
      <c r="Q598" s="10">
        <f t="shared" si="118"/>
        <v>96</v>
      </c>
      <c r="R598" s="9">
        <v>5.0000000000000001E-3</v>
      </c>
      <c r="S598" s="10">
        <f t="shared" si="119"/>
        <v>24</v>
      </c>
      <c r="T598" s="9">
        <f t="shared" si="120"/>
        <v>2.5115110925073254E-2</v>
      </c>
      <c r="U598" s="10">
        <f t="shared" si="121"/>
        <v>120</v>
      </c>
      <c r="V598" s="10">
        <f t="shared" si="122"/>
        <v>4898</v>
      </c>
      <c r="W598" s="11">
        <v>4897</v>
      </c>
      <c r="X598" s="12">
        <f t="shared" si="123"/>
        <v>119</v>
      </c>
      <c r="Y598" s="13">
        <f t="shared" si="124"/>
        <v>2.4899999999999999E-2</v>
      </c>
      <c r="Z598" s="14" t="str">
        <f t="shared" si="125"/>
        <v>0.00%-8.40%</v>
      </c>
      <c r="AA598" s="15"/>
      <c r="AB598" s="15"/>
      <c r="AC598" s="15"/>
      <c r="AD598" s="16"/>
      <c r="AE598" s="8">
        <f t="shared" si="126"/>
        <v>0</v>
      </c>
      <c r="AF598" s="17">
        <f t="shared" si="127"/>
        <v>4897</v>
      </c>
      <c r="AG598" s="18">
        <f t="shared" si="128"/>
        <v>119</v>
      </c>
      <c r="AH598" s="19">
        <f t="shared" si="129"/>
        <v>2.4905818334030938E-2</v>
      </c>
      <c r="AI598" s="20">
        <v>13.6</v>
      </c>
      <c r="AJ598" s="20">
        <v>450</v>
      </c>
      <c r="AK598" s="20"/>
      <c r="AL598" s="20">
        <v>688</v>
      </c>
      <c r="AM598" s="20">
        <f t="shared" si="130"/>
        <v>72687.199999999997</v>
      </c>
      <c r="AN598" s="7" t="s">
        <v>176</v>
      </c>
      <c r="AO598" s="20"/>
      <c r="AP598" s="21"/>
      <c r="AQ598" s="21"/>
      <c r="AR598" s="5" t="s">
        <v>912</v>
      </c>
      <c r="AS598" s="5" t="s">
        <v>164</v>
      </c>
      <c r="AT598" s="5" t="s">
        <v>59</v>
      </c>
      <c r="AU598" s="20"/>
      <c r="AV598" s="21"/>
      <c r="AW598" s="21"/>
      <c r="AX598" s="21"/>
    </row>
    <row r="599" spans="1:50" s="55" customFormat="1">
      <c r="A599" s="86" t="s">
        <v>318</v>
      </c>
      <c r="B599" s="5">
        <v>15010172</v>
      </c>
      <c r="C599" s="5" t="s">
        <v>975</v>
      </c>
      <c r="D599" s="5" t="s">
        <v>321</v>
      </c>
      <c r="E599" s="5" t="s">
        <v>52</v>
      </c>
      <c r="F599" s="5" t="s">
        <v>62</v>
      </c>
      <c r="G599" s="5" t="s">
        <v>211</v>
      </c>
      <c r="H599" s="5" t="s">
        <v>910</v>
      </c>
      <c r="I599" s="6">
        <v>41487</v>
      </c>
      <c r="J599" s="5" t="s">
        <v>336</v>
      </c>
      <c r="K599" s="5" t="s">
        <v>511</v>
      </c>
      <c r="L599" s="5" t="s">
        <v>324</v>
      </c>
      <c r="M599" s="7">
        <v>6</v>
      </c>
      <c r="N599" s="7" t="s">
        <v>176</v>
      </c>
      <c r="O599" s="8">
        <v>4905</v>
      </c>
      <c r="P599" s="9">
        <v>0.02</v>
      </c>
      <c r="Q599" s="10">
        <f t="shared" si="118"/>
        <v>98</v>
      </c>
      <c r="R599" s="9">
        <v>5.0000000000000001E-3</v>
      </c>
      <c r="S599" s="10">
        <f t="shared" si="119"/>
        <v>25</v>
      </c>
      <c r="T599" s="9">
        <f t="shared" si="120"/>
        <v>2.5076452599388378E-2</v>
      </c>
      <c r="U599" s="10">
        <f t="shared" si="121"/>
        <v>123</v>
      </c>
      <c r="V599" s="10">
        <f t="shared" si="122"/>
        <v>5028</v>
      </c>
      <c r="W599" s="11">
        <v>5028</v>
      </c>
      <c r="X599" s="12">
        <f t="shared" si="123"/>
        <v>123</v>
      </c>
      <c r="Y599" s="13">
        <f t="shared" si="124"/>
        <v>2.5100000000000001E-2</v>
      </c>
      <c r="Z599" s="14" t="str">
        <f t="shared" si="125"/>
        <v>0.00%-8.40%</v>
      </c>
      <c r="AA599" s="15"/>
      <c r="AB599" s="15"/>
      <c r="AC599" s="15"/>
      <c r="AD599" s="16"/>
      <c r="AE599" s="8">
        <f t="shared" si="126"/>
        <v>0</v>
      </c>
      <c r="AF599" s="17">
        <f t="shared" si="127"/>
        <v>5028</v>
      </c>
      <c r="AG599" s="18">
        <f t="shared" si="128"/>
        <v>123</v>
      </c>
      <c r="AH599" s="19">
        <f t="shared" si="129"/>
        <v>2.5076452599388288E-2</v>
      </c>
      <c r="AI599" s="20">
        <v>13.6</v>
      </c>
      <c r="AJ599" s="20">
        <v>450</v>
      </c>
      <c r="AK599" s="20"/>
      <c r="AL599" s="20">
        <v>688</v>
      </c>
      <c r="AM599" s="20">
        <f t="shared" si="130"/>
        <v>74468.800000000003</v>
      </c>
      <c r="AN599" s="7" t="s">
        <v>176</v>
      </c>
      <c r="AO599" s="20"/>
      <c r="AP599" s="21"/>
      <c r="AQ599" s="21"/>
      <c r="AR599" s="5" t="s">
        <v>912</v>
      </c>
      <c r="AS599" s="5" t="s">
        <v>164</v>
      </c>
      <c r="AT599" s="5" t="s">
        <v>59</v>
      </c>
      <c r="AU599" s="20"/>
      <c r="AV599" s="21"/>
      <c r="AW599" s="21"/>
      <c r="AX599" s="21"/>
    </row>
    <row r="600" spans="1:50" s="55" customFormat="1">
      <c r="A600" s="86" t="s">
        <v>318</v>
      </c>
      <c r="B600" s="5">
        <v>15006295</v>
      </c>
      <c r="C600" s="5" t="s">
        <v>976</v>
      </c>
      <c r="D600" s="5" t="s">
        <v>321</v>
      </c>
      <c r="E600" s="5" t="s">
        <v>52</v>
      </c>
      <c r="F600" s="5" t="s">
        <v>62</v>
      </c>
      <c r="G600" s="5" t="s">
        <v>211</v>
      </c>
      <c r="H600" s="5" t="s">
        <v>910</v>
      </c>
      <c r="I600" s="6">
        <v>40909</v>
      </c>
      <c r="J600" s="5" t="s">
        <v>336</v>
      </c>
      <c r="K600" s="5" t="s">
        <v>511</v>
      </c>
      <c r="L600" s="5" t="s">
        <v>324</v>
      </c>
      <c r="M600" s="7">
        <v>6</v>
      </c>
      <c r="N600" s="7" t="s">
        <v>176</v>
      </c>
      <c r="O600" s="8">
        <v>5119</v>
      </c>
      <c r="P600" s="9">
        <v>0.02</v>
      </c>
      <c r="Q600" s="10">
        <f t="shared" si="118"/>
        <v>102</v>
      </c>
      <c r="R600" s="9">
        <v>5.0000000000000001E-3</v>
      </c>
      <c r="S600" s="10">
        <f t="shared" si="119"/>
        <v>26</v>
      </c>
      <c r="T600" s="9">
        <f t="shared" si="120"/>
        <v>2.5004883766360616E-2</v>
      </c>
      <c r="U600" s="10">
        <f t="shared" si="121"/>
        <v>128</v>
      </c>
      <c r="V600" s="10">
        <f t="shared" si="122"/>
        <v>5247</v>
      </c>
      <c r="W600" s="11">
        <v>5247</v>
      </c>
      <c r="X600" s="12">
        <f t="shared" si="123"/>
        <v>128</v>
      </c>
      <c r="Y600" s="13">
        <f t="shared" si="124"/>
        <v>2.5000000000000001E-2</v>
      </c>
      <c r="Z600" s="14" t="str">
        <f t="shared" si="125"/>
        <v>0.00%-8.40%</v>
      </c>
      <c r="AA600" s="15"/>
      <c r="AB600" s="15"/>
      <c r="AC600" s="15"/>
      <c r="AD600" s="16"/>
      <c r="AE600" s="8">
        <f t="shared" si="126"/>
        <v>0</v>
      </c>
      <c r="AF600" s="17">
        <f t="shared" si="127"/>
        <v>5247</v>
      </c>
      <c r="AG600" s="18">
        <f t="shared" si="128"/>
        <v>128</v>
      </c>
      <c r="AH600" s="19">
        <f t="shared" si="129"/>
        <v>2.5004883766360564E-2</v>
      </c>
      <c r="AI600" s="20">
        <v>13.6</v>
      </c>
      <c r="AJ600" s="20">
        <v>450</v>
      </c>
      <c r="AK600" s="20"/>
      <c r="AL600" s="20">
        <v>688</v>
      </c>
      <c r="AM600" s="20">
        <f t="shared" si="130"/>
        <v>77447.199999999997</v>
      </c>
      <c r="AN600" s="7" t="s">
        <v>176</v>
      </c>
      <c r="AO600" s="20"/>
      <c r="AP600" s="21"/>
      <c r="AQ600" s="21"/>
      <c r="AR600" s="5" t="s">
        <v>912</v>
      </c>
      <c r="AS600" s="5" t="s">
        <v>164</v>
      </c>
      <c r="AT600" s="5" t="s">
        <v>59</v>
      </c>
      <c r="AU600" s="20"/>
      <c r="AV600" s="21"/>
      <c r="AW600" s="21"/>
      <c r="AX600" s="21"/>
    </row>
    <row r="601" spans="1:50" s="55" customFormat="1">
      <c r="A601" s="86" t="s">
        <v>318</v>
      </c>
      <c r="B601" s="5">
        <v>15004066</v>
      </c>
      <c r="C601" s="5" t="s">
        <v>977</v>
      </c>
      <c r="D601" s="5" t="s">
        <v>321</v>
      </c>
      <c r="E601" s="5" t="s">
        <v>52</v>
      </c>
      <c r="F601" s="5" t="s">
        <v>62</v>
      </c>
      <c r="G601" s="5" t="s">
        <v>211</v>
      </c>
      <c r="H601" s="5" t="s">
        <v>910</v>
      </c>
      <c r="I601" s="6">
        <v>40544</v>
      </c>
      <c r="J601" s="5" t="s">
        <v>336</v>
      </c>
      <c r="K601" s="5" t="s">
        <v>511</v>
      </c>
      <c r="L601" s="5" t="s">
        <v>324</v>
      </c>
      <c r="M601" s="7">
        <v>6</v>
      </c>
      <c r="N601" s="7" t="s">
        <v>176</v>
      </c>
      <c r="O601" s="8">
        <v>5046</v>
      </c>
      <c r="P601" s="9">
        <v>0.02</v>
      </c>
      <c r="Q601" s="10">
        <f t="shared" si="118"/>
        <v>101</v>
      </c>
      <c r="R601" s="9">
        <v>5.0000000000000001E-3</v>
      </c>
      <c r="S601" s="10">
        <f t="shared" si="119"/>
        <v>25</v>
      </c>
      <c r="T601" s="9">
        <f t="shared" si="120"/>
        <v>2.4970273483947682E-2</v>
      </c>
      <c r="U601" s="10">
        <f t="shared" si="121"/>
        <v>126</v>
      </c>
      <c r="V601" s="10">
        <f t="shared" si="122"/>
        <v>5172</v>
      </c>
      <c r="W601" s="11">
        <v>5197</v>
      </c>
      <c r="X601" s="12">
        <f t="shared" si="123"/>
        <v>151</v>
      </c>
      <c r="Y601" s="13">
        <f t="shared" si="124"/>
        <v>2.9899999999999999E-2</v>
      </c>
      <c r="Z601" s="14" t="str">
        <f t="shared" si="125"/>
        <v>0.00%-8.40%</v>
      </c>
      <c r="AA601" s="15"/>
      <c r="AB601" s="15"/>
      <c r="AC601" s="15"/>
      <c r="AD601" s="16"/>
      <c r="AE601" s="8">
        <f t="shared" si="126"/>
        <v>0</v>
      </c>
      <c r="AF601" s="17">
        <f t="shared" si="127"/>
        <v>5197</v>
      </c>
      <c r="AG601" s="18">
        <f t="shared" si="128"/>
        <v>151</v>
      </c>
      <c r="AH601" s="19">
        <f t="shared" si="129"/>
        <v>2.9924692826000854E-2</v>
      </c>
      <c r="AI601" s="20">
        <v>13.6</v>
      </c>
      <c r="AJ601" s="20">
        <v>450</v>
      </c>
      <c r="AK601" s="20"/>
      <c r="AL601" s="20">
        <v>688</v>
      </c>
      <c r="AM601" s="20">
        <f t="shared" si="130"/>
        <v>76767.199999999997</v>
      </c>
      <c r="AN601" s="7" t="s">
        <v>176</v>
      </c>
      <c r="AO601" s="20"/>
      <c r="AP601" s="21"/>
      <c r="AQ601" s="21"/>
      <c r="AR601" s="5" t="s">
        <v>912</v>
      </c>
      <c r="AS601" s="5" t="s">
        <v>164</v>
      </c>
      <c r="AT601" s="5" t="s">
        <v>59</v>
      </c>
      <c r="AU601" s="20"/>
      <c r="AV601" s="21"/>
      <c r="AW601" s="21"/>
      <c r="AX601" s="21"/>
    </row>
    <row r="602" spans="1:50" s="55" customFormat="1">
      <c r="A602" s="86" t="s">
        <v>318</v>
      </c>
      <c r="B602" s="5">
        <v>15012651</v>
      </c>
      <c r="C602" s="5" t="s">
        <v>978</v>
      </c>
      <c r="D602" s="5" t="s">
        <v>321</v>
      </c>
      <c r="E602" s="5" t="s">
        <v>52</v>
      </c>
      <c r="F602" s="5" t="s">
        <v>62</v>
      </c>
      <c r="G602" s="5" t="s">
        <v>211</v>
      </c>
      <c r="H602" s="5" t="s">
        <v>910</v>
      </c>
      <c r="I602" s="6">
        <v>41791</v>
      </c>
      <c r="J602" s="5" t="s">
        <v>336</v>
      </c>
      <c r="K602" s="5" t="s">
        <v>511</v>
      </c>
      <c r="L602" s="5" t="s">
        <v>324</v>
      </c>
      <c r="M602" s="7">
        <v>6</v>
      </c>
      <c r="N602" s="7" t="s">
        <v>176</v>
      </c>
      <c r="O602" s="8">
        <v>5517</v>
      </c>
      <c r="P602" s="9">
        <v>0.02</v>
      </c>
      <c r="Q602" s="10">
        <f t="shared" si="118"/>
        <v>110</v>
      </c>
      <c r="R602" s="9">
        <v>5.0000000000000001E-3</v>
      </c>
      <c r="S602" s="10">
        <f t="shared" si="119"/>
        <v>28</v>
      </c>
      <c r="T602" s="9">
        <f t="shared" si="120"/>
        <v>2.5013594344752584E-2</v>
      </c>
      <c r="U602" s="10">
        <f t="shared" si="121"/>
        <v>138</v>
      </c>
      <c r="V602" s="10">
        <f t="shared" si="122"/>
        <v>5655</v>
      </c>
      <c r="W602" s="11">
        <v>5738</v>
      </c>
      <c r="X602" s="12">
        <f t="shared" si="123"/>
        <v>221</v>
      </c>
      <c r="Y602" s="13">
        <f t="shared" si="124"/>
        <v>4.0099999999999997E-2</v>
      </c>
      <c r="Z602" s="14" t="str">
        <f t="shared" si="125"/>
        <v>0.00%-8.40%</v>
      </c>
      <c r="AA602" s="15"/>
      <c r="AB602" s="15"/>
      <c r="AC602" s="15"/>
      <c r="AD602" s="16"/>
      <c r="AE602" s="8">
        <f t="shared" si="126"/>
        <v>0</v>
      </c>
      <c r="AF602" s="17">
        <f t="shared" si="127"/>
        <v>5738</v>
      </c>
      <c r="AG602" s="18">
        <f t="shared" si="128"/>
        <v>221</v>
      </c>
      <c r="AH602" s="19">
        <f t="shared" si="129"/>
        <v>4.0058002537610937E-2</v>
      </c>
      <c r="AI602" s="20">
        <v>13.6</v>
      </c>
      <c r="AJ602" s="20">
        <v>450</v>
      </c>
      <c r="AK602" s="20"/>
      <c r="AL602" s="20">
        <v>688</v>
      </c>
      <c r="AM602" s="20">
        <f t="shared" si="130"/>
        <v>84124.800000000003</v>
      </c>
      <c r="AN602" s="7" t="s">
        <v>176</v>
      </c>
      <c r="AO602" s="20"/>
      <c r="AP602" s="21"/>
      <c r="AQ602" s="21"/>
      <c r="AR602" s="5" t="s">
        <v>912</v>
      </c>
      <c r="AS602" s="5" t="s">
        <v>164</v>
      </c>
      <c r="AT602" s="5" t="s">
        <v>59</v>
      </c>
      <c r="AU602" s="20"/>
      <c r="AV602" s="21"/>
      <c r="AW602" s="21"/>
      <c r="AX602" s="21"/>
    </row>
    <row r="603" spans="1:50" s="55" customFormat="1">
      <c r="A603" s="86" t="s">
        <v>318</v>
      </c>
      <c r="B603" s="5">
        <v>15006779</v>
      </c>
      <c r="C603" s="5" t="s">
        <v>979</v>
      </c>
      <c r="D603" s="5" t="s">
        <v>321</v>
      </c>
      <c r="E603" s="5" t="s">
        <v>52</v>
      </c>
      <c r="F603" s="5" t="s">
        <v>62</v>
      </c>
      <c r="G603" s="5" t="s">
        <v>211</v>
      </c>
      <c r="H603" s="5" t="s">
        <v>910</v>
      </c>
      <c r="I603" s="6">
        <v>40940</v>
      </c>
      <c r="J603" s="5" t="s">
        <v>336</v>
      </c>
      <c r="K603" s="5" t="s">
        <v>511</v>
      </c>
      <c r="L603" s="5" t="s">
        <v>324</v>
      </c>
      <c r="M603" s="7">
        <v>6</v>
      </c>
      <c r="N603" s="7" t="s">
        <v>176</v>
      </c>
      <c r="O603" s="8">
        <v>4910</v>
      </c>
      <c r="P603" s="9">
        <v>0.02</v>
      </c>
      <c r="Q603" s="10">
        <f t="shared" si="118"/>
        <v>98</v>
      </c>
      <c r="R603" s="9">
        <v>5.0000000000000001E-3</v>
      </c>
      <c r="S603" s="10">
        <f t="shared" si="119"/>
        <v>25</v>
      </c>
      <c r="T603" s="9">
        <f t="shared" si="120"/>
        <v>2.5050916496945009E-2</v>
      </c>
      <c r="U603" s="10">
        <f t="shared" si="121"/>
        <v>123</v>
      </c>
      <c r="V603" s="10">
        <f t="shared" si="122"/>
        <v>5033</v>
      </c>
      <c r="W603" s="11">
        <v>5033</v>
      </c>
      <c r="X603" s="12">
        <f t="shared" si="123"/>
        <v>123</v>
      </c>
      <c r="Y603" s="13">
        <f t="shared" si="124"/>
        <v>2.5100000000000001E-2</v>
      </c>
      <c r="Z603" s="14" t="str">
        <f t="shared" si="125"/>
        <v>0.00%-8.40%</v>
      </c>
      <c r="AA603" s="15"/>
      <c r="AB603" s="15"/>
      <c r="AC603" s="15"/>
      <c r="AD603" s="16"/>
      <c r="AE603" s="8">
        <f t="shared" si="126"/>
        <v>0</v>
      </c>
      <c r="AF603" s="17">
        <f t="shared" si="127"/>
        <v>5033</v>
      </c>
      <c r="AG603" s="18">
        <f t="shared" si="128"/>
        <v>123</v>
      </c>
      <c r="AH603" s="19">
        <f t="shared" si="129"/>
        <v>2.5050916496945019E-2</v>
      </c>
      <c r="AI603" s="20">
        <v>13.6</v>
      </c>
      <c r="AJ603" s="20">
        <v>450</v>
      </c>
      <c r="AK603" s="20"/>
      <c r="AL603" s="20">
        <v>688</v>
      </c>
      <c r="AM603" s="20">
        <f t="shared" si="130"/>
        <v>74536.800000000003</v>
      </c>
      <c r="AN603" s="7" t="s">
        <v>176</v>
      </c>
      <c r="AO603" s="20"/>
      <c r="AP603" s="21"/>
      <c r="AQ603" s="21"/>
      <c r="AR603" s="5" t="s">
        <v>912</v>
      </c>
      <c r="AS603" s="5" t="s">
        <v>164</v>
      </c>
      <c r="AT603" s="5" t="s">
        <v>59</v>
      </c>
      <c r="AU603" s="20"/>
      <c r="AV603" s="21"/>
      <c r="AW603" s="21"/>
      <c r="AX603" s="21"/>
    </row>
    <row r="604" spans="1:50" s="55" customFormat="1">
      <c r="A604" s="86" t="s">
        <v>318</v>
      </c>
      <c r="B604" s="5">
        <v>15001362</v>
      </c>
      <c r="C604" s="5" t="s">
        <v>980</v>
      </c>
      <c r="D604" s="5" t="s">
        <v>321</v>
      </c>
      <c r="E604" s="5" t="s">
        <v>52</v>
      </c>
      <c r="F604" s="5" t="s">
        <v>62</v>
      </c>
      <c r="G604" s="5" t="s">
        <v>211</v>
      </c>
      <c r="H604" s="5" t="s">
        <v>910</v>
      </c>
      <c r="I604" s="6">
        <v>39492</v>
      </c>
      <c r="J604" s="5" t="s">
        <v>336</v>
      </c>
      <c r="K604" s="5" t="s">
        <v>511</v>
      </c>
      <c r="L604" s="5" t="s">
        <v>324</v>
      </c>
      <c r="M604" s="7">
        <v>6</v>
      </c>
      <c r="N604" s="7" t="s">
        <v>176</v>
      </c>
      <c r="O604" s="8">
        <v>5103</v>
      </c>
      <c r="P604" s="9">
        <v>0.02</v>
      </c>
      <c r="Q604" s="10">
        <f t="shared" si="118"/>
        <v>102</v>
      </c>
      <c r="R604" s="9">
        <v>5.0000000000000001E-3</v>
      </c>
      <c r="S604" s="10">
        <f t="shared" si="119"/>
        <v>26</v>
      </c>
      <c r="T604" s="9">
        <f t="shared" si="120"/>
        <v>2.5083284342543602E-2</v>
      </c>
      <c r="U604" s="10">
        <f t="shared" si="121"/>
        <v>128</v>
      </c>
      <c r="V604" s="10">
        <f t="shared" si="122"/>
        <v>5231</v>
      </c>
      <c r="W604" s="11">
        <v>5231</v>
      </c>
      <c r="X604" s="12">
        <f t="shared" si="123"/>
        <v>128</v>
      </c>
      <c r="Y604" s="13">
        <f t="shared" si="124"/>
        <v>2.5100000000000001E-2</v>
      </c>
      <c r="Z604" s="14" t="str">
        <f t="shared" si="125"/>
        <v>0.00%-8.40%</v>
      </c>
      <c r="AA604" s="15"/>
      <c r="AB604" s="15"/>
      <c r="AC604" s="15"/>
      <c r="AD604" s="16"/>
      <c r="AE604" s="8">
        <f t="shared" si="126"/>
        <v>0</v>
      </c>
      <c r="AF604" s="17">
        <f t="shared" si="127"/>
        <v>5231</v>
      </c>
      <c r="AG604" s="18">
        <f t="shared" si="128"/>
        <v>128</v>
      </c>
      <c r="AH604" s="19">
        <f t="shared" si="129"/>
        <v>2.5083284342543699E-2</v>
      </c>
      <c r="AI604" s="20">
        <v>13.6</v>
      </c>
      <c r="AJ604" s="20">
        <v>450</v>
      </c>
      <c r="AK604" s="20"/>
      <c r="AL604" s="20">
        <v>688</v>
      </c>
      <c r="AM604" s="20">
        <f t="shared" si="130"/>
        <v>77229.599999999991</v>
      </c>
      <c r="AN604" s="7" t="s">
        <v>176</v>
      </c>
      <c r="AO604" s="20"/>
      <c r="AP604" s="21"/>
      <c r="AQ604" s="21"/>
      <c r="AR604" s="5" t="s">
        <v>912</v>
      </c>
      <c r="AS604" s="5" t="s">
        <v>164</v>
      </c>
      <c r="AT604" s="5" t="s">
        <v>59</v>
      </c>
      <c r="AU604" s="20"/>
      <c r="AV604" s="21"/>
      <c r="AW604" s="21"/>
      <c r="AX604" s="21"/>
    </row>
    <row r="605" spans="1:50" s="55" customFormat="1">
      <c r="A605" s="86" t="s">
        <v>318</v>
      </c>
      <c r="B605" s="5">
        <v>15007939</v>
      </c>
      <c r="C605" s="5" t="s">
        <v>981</v>
      </c>
      <c r="D605" s="5" t="s">
        <v>321</v>
      </c>
      <c r="E605" s="5" t="s">
        <v>52</v>
      </c>
      <c r="F605" s="5" t="s">
        <v>62</v>
      </c>
      <c r="G605" s="5" t="s">
        <v>211</v>
      </c>
      <c r="H605" s="5" t="s">
        <v>910</v>
      </c>
      <c r="I605" s="6">
        <v>41456</v>
      </c>
      <c r="J605" s="5" t="s">
        <v>336</v>
      </c>
      <c r="K605" s="5" t="s">
        <v>511</v>
      </c>
      <c r="L605" s="5" t="s">
        <v>324</v>
      </c>
      <c r="M605" s="7">
        <v>6</v>
      </c>
      <c r="N605" s="7" t="s">
        <v>176</v>
      </c>
      <c r="O605" s="8">
        <v>5478</v>
      </c>
      <c r="P605" s="9">
        <v>0.02</v>
      </c>
      <c r="Q605" s="10">
        <f t="shared" si="118"/>
        <v>110</v>
      </c>
      <c r="R605" s="9">
        <v>5.0000000000000001E-3</v>
      </c>
      <c r="S605" s="10">
        <f t="shared" si="119"/>
        <v>27</v>
      </c>
      <c r="T605" s="9">
        <f t="shared" si="120"/>
        <v>2.5009127418765972E-2</v>
      </c>
      <c r="U605" s="10">
        <f t="shared" si="121"/>
        <v>137</v>
      </c>
      <c r="V605" s="10">
        <f t="shared" si="122"/>
        <v>5615</v>
      </c>
      <c r="W605" s="11">
        <v>5670</v>
      </c>
      <c r="X605" s="12">
        <f t="shared" si="123"/>
        <v>192</v>
      </c>
      <c r="Y605" s="13">
        <f t="shared" si="124"/>
        <v>3.5000000000000003E-2</v>
      </c>
      <c r="Z605" s="14" t="str">
        <f t="shared" si="125"/>
        <v>0.00%-8.40%</v>
      </c>
      <c r="AA605" s="15"/>
      <c r="AB605" s="15"/>
      <c r="AC605" s="15"/>
      <c r="AD605" s="16"/>
      <c r="AE605" s="8">
        <f t="shared" si="126"/>
        <v>0</v>
      </c>
      <c r="AF605" s="17">
        <f t="shared" si="127"/>
        <v>5670</v>
      </c>
      <c r="AG605" s="18">
        <f t="shared" si="128"/>
        <v>192</v>
      </c>
      <c r="AH605" s="19">
        <f t="shared" si="129"/>
        <v>3.5049288061336226E-2</v>
      </c>
      <c r="AI605" s="20">
        <v>13.6</v>
      </c>
      <c r="AJ605" s="20">
        <v>450</v>
      </c>
      <c r="AK605" s="20"/>
      <c r="AL605" s="20">
        <v>688</v>
      </c>
      <c r="AM605" s="20">
        <f t="shared" si="130"/>
        <v>83200</v>
      </c>
      <c r="AN605" s="7" t="s">
        <v>176</v>
      </c>
      <c r="AO605" s="20"/>
      <c r="AP605" s="21"/>
      <c r="AQ605" s="21"/>
      <c r="AR605" s="5" t="s">
        <v>912</v>
      </c>
      <c r="AS605" s="5" t="s">
        <v>164</v>
      </c>
      <c r="AT605" s="5" t="s">
        <v>59</v>
      </c>
      <c r="AU605" s="20"/>
      <c r="AV605" s="21"/>
      <c r="AW605" s="21"/>
      <c r="AX605" s="21"/>
    </row>
    <row r="606" spans="1:50" s="55" customFormat="1">
      <c r="A606" s="86" t="s">
        <v>318</v>
      </c>
      <c r="B606" s="5">
        <v>15020176</v>
      </c>
      <c r="C606" s="5" t="s">
        <v>982</v>
      </c>
      <c r="D606" s="5" t="s">
        <v>321</v>
      </c>
      <c r="E606" s="5" t="s">
        <v>52</v>
      </c>
      <c r="F606" s="5" t="s">
        <v>62</v>
      </c>
      <c r="G606" s="5" t="s">
        <v>211</v>
      </c>
      <c r="H606" s="5" t="s">
        <v>910</v>
      </c>
      <c r="I606" s="6">
        <v>44378</v>
      </c>
      <c r="J606" s="5" t="s">
        <v>336</v>
      </c>
      <c r="K606" s="5" t="s">
        <v>511</v>
      </c>
      <c r="L606" s="5" t="s">
        <v>324</v>
      </c>
      <c r="M606" s="7">
        <v>6</v>
      </c>
      <c r="N606" s="7" t="s">
        <v>176</v>
      </c>
      <c r="O606" s="8">
        <v>4820</v>
      </c>
      <c r="P606" s="9">
        <v>0.02</v>
      </c>
      <c r="Q606" s="10">
        <f t="shared" si="118"/>
        <v>96</v>
      </c>
      <c r="R606" s="9">
        <v>5.0000000000000001E-3</v>
      </c>
      <c r="S606" s="10">
        <f t="shared" si="119"/>
        <v>24</v>
      </c>
      <c r="T606" s="9">
        <f t="shared" si="120"/>
        <v>2.4896265560165973E-2</v>
      </c>
      <c r="U606" s="10">
        <f t="shared" si="121"/>
        <v>120</v>
      </c>
      <c r="V606" s="10">
        <f t="shared" si="122"/>
        <v>4940</v>
      </c>
      <c r="W606" s="11">
        <v>4868</v>
      </c>
      <c r="X606" s="12">
        <f t="shared" si="123"/>
        <v>48</v>
      </c>
      <c r="Y606" s="13">
        <f t="shared" si="124"/>
        <v>0.01</v>
      </c>
      <c r="Z606" s="14" t="str">
        <f t="shared" si="125"/>
        <v>0.00%-8.40%</v>
      </c>
      <c r="AA606" s="15"/>
      <c r="AB606" s="15"/>
      <c r="AC606" s="15"/>
      <c r="AD606" s="16"/>
      <c r="AE606" s="8">
        <f t="shared" si="126"/>
        <v>0</v>
      </c>
      <c r="AF606" s="17">
        <f t="shared" si="127"/>
        <v>4868</v>
      </c>
      <c r="AG606" s="18">
        <f t="shared" si="128"/>
        <v>48</v>
      </c>
      <c r="AH606" s="19">
        <f t="shared" si="129"/>
        <v>9.9585062240663547E-3</v>
      </c>
      <c r="AI606" s="20">
        <v>13.6</v>
      </c>
      <c r="AJ606" s="20">
        <v>450</v>
      </c>
      <c r="AK606" s="20"/>
      <c r="AL606" s="20">
        <v>688</v>
      </c>
      <c r="AM606" s="20">
        <f t="shared" si="130"/>
        <v>72292.800000000003</v>
      </c>
      <c r="AN606" s="7" t="s">
        <v>176</v>
      </c>
      <c r="AO606" s="20"/>
      <c r="AP606" s="21"/>
      <c r="AQ606" s="21"/>
      <c r="AR606" s="5" t="s">
        <v>912</v>
      </c>
      <c r="AS606" s="5" t="s">
        <v>164</v>
      </c>
      <c r="AT606" s="5" t="s">
        <v>59</v>
      </c>
      <c r="AU606" s="20"/>
      <c r="AV606" s="21"/>
      <c r="AW606" s="21"/>
      <c r="AX606" s="21"/>
    </row>
    <row r="607" spans="1:50" s="55" customFormat="1">
      <c r="A607" s="86" t="s">
        <v>318</v>
      </c>
      <c r="B607" s="5">
        <v>15013132</v>
      </c>
      <c r="C607" s="5" t="s">
        <v>983</v>
      </c>
      <c r="D607" s="5" t="s">
        <v>321</v>
      </c>
      <c r="E607" s="5" t="s">
        <v>52</v>
      </c>
      <c r="F607" s="5" t="s">
        <v>62</v>
      </c>
      <c r="G607" s="5" t="s">
        <v>211</v>
      </c>
      <c r="H607" s="5" t="s">
        <v>910</v>
      </c>
      <c r="I607" s="6">
        <v>41852</v>
      </c>
      <c r="J607" s="5" t="s">
        <v>336</v>
      </c>
      <c r="K607" s="5" t="s">
        <v>511</v>
      </c>
      <c r="L607" s="5" t="s">
        <v>324</v>
      </c>
      <c r="M607" s="7">
        <v>6</v>
      </c>
      <c r="N607" s="7" t="s">
        <v>176</v>
      </c>
      <c r="O607" s="8">
        <v>4603</v>
      </c>
      <c r="P607" s="9">
        <v>0.02</v>
      </c>
      <c r="Q607" s="10">
        <f t="shared" si="118"/>
        <v>92</v>
      </c>
      <c r="R607" s="9">
        <v>5.0000000000000001E-3</v>
      </c>
      <c r="S607" s="10">
        <f t="shared" si="119"/>
        <v>23</v>
      </c>
      <c r="T607" s="9">
        <f t="shared" si="120"/>
        <v>2.4983706278514012E-2</v>
      </c>
      <c r="U607" s="10">
        <f t="shared" si="121"/>
        <v>115</v>
      </c>
      <c r="V607" s="10">
        <f t="shared" si="122"/>
        <v>4718</v>
      </c>
      <c r="W607" s="11">
        <v>4718</v>
      </c>
      <c r="X607" s="12">
        <f t="shared" si="123"/>
        <v>115</v>
      </c>
      <c r="Y607" s="13">
        <f t="shared" si="124"/>
        <v>2.5000000000000001E-2</v>
      </c>
      <c r="Z607" s="14" t="str">
        <f t="shared" si="125"/>
        <v>0.00%-8.40%</v>
      </c>
      <c r="AA607" s="15"/>
      <c r="AB607" s="15"/>
      <c r="AC607" s="15"/>
      <c r="AD607" s="16"/>
      <c r="AE607" s="8">
        <f t="shared" si="126"/>
        <v>0</v>
      </c>
      <c r="AF607" s="17">
        <f t="shared" si="127"/>
        <v>4718</v>
      </c>
      <c r="AG607" s="18">
        <f t="shared" si="128"/>
        <v>115</v>
      </c>
      <c r="AH607" s="19">
        <f t="shared" si="129"/>
        <v>2.4983706278514095E-2</v>
      </c>
      <c r="AI607" s="20">
        <v>13.6</v>
      </c>
      <c r="AJ607" s="20">
        <v>450</v>
      </c>
      <c r="AK607" s="20"/>
      <c r="AL607" s="20">
        <v>688</v>
      </c>
      <c r="AM607" s="20">
        <f t="shared" si="130"/>
        <v>70252.799999999988</v>
      </c>
      <c r="AN607" s="7" t="s">
        <v>176</v>
      </c>
      <c r="AO607" s="20"/>
      <c r="AP607" s="21"/>
      <c r="AQ607" s="21"/>
      <c r="AR607" s="5" t="s">
        <v>912</v>
      </c>
      <c r="AS607" s="5" t="s">
        <v>164</v>
      </c>
      <c r="AT607" s="5" t="s">
        <v>59</v>
      </c>
      <c r="AU607" s="20"/>
      <c r="AV607" s="21"/>
      <c r="AW607" s="21"/>
      <c r="AX607" s="21"/>
    </row>
    <row r="608" spans="1:50" s="55" customFormat="1">
      <c r="A608" s="86" t="s">
        <v>318</v>
      </c>
      <c r="B608" s="5">
        <v>15018532</v>
      </c>
      <c r="C608" s="5" t="s">
        <v>984</v>
      </c>
      <c r="D608" s="5" t="s">
        <v>321</v>
      </c>
      <c r="E608" s="5" t="s">
        <v>52</v>
      </c>
      <c r="F608" s="5" t="s">
        <v>62</v>
      </c>
      <c r="G608" s="5" t="s">
        <v>211</v>
      </c>
      <c r="H608" s="5" t="s">
        <v>910</v>
      </c>
      <c r="I608" s="6">
        <v>43252</v>
      </c>
      <c r="J608" s="5" t="s">
        <v>336</v>
      </c>
      <c r="K608" s="5" t="s">
        <v>511</v>
      </c>
      <c r="L608" s="5" t="s">
        <v>324</v>
      </c>
      <c r="M608" s="7">
        <v>6</v>
      </c>
      <c r="N608" s="7" t="s">
        <v>176</v>
      </c>
      <c r="O608" s="8">
        <v>5332</v>
      </c>
      <c r="P608" s="9">
        <v>0.02</v>
      </c>
      <c r="Q608" s="10">
        <f t="shared" si="118"/>
        <v>107</v>
      </c>
      <c r="R608" s="9">
        <v>5.0000000000000001E-3</v>
      </c>
      <c r="S608" s="10">
        <f t="shared" si="119"/>
        <v>27</v>
      </c>
      <c r="T608" s="9">
        <f t="shared" si="120"/>
        <v>2.5131282820705175E-2</v>
      </c>
      <c r="U608" s="10">
        <f t="shared" si="121"/>
        <v>134</v>
      </c>
      <c r="V608" s="10">
        <f t="shared" si="122"/>
        <v>5466</v>
      </c>
      <c r="W608" s="11">
        <v>5465</v>
      </c>
      <c r="X608" s="12">
        <f t="shared" si="123"/>
        <v>133</v>
      </c>
      <c r="Y608" s="13">
        <f t="shared" si="124"/>
        <v>2.4899999999999999E-2</v>
      </c>
      <c r="Z608" s="14" t="str">
        <f t="shared" si="125"/>
        <v>0.00%-8.40%</v>
      </c>
      <c r="AA608" s="15"/>
      <c r="AB608" s="15"/>
      <c r="AC608" s="15"/>
      <c r="AD608" s="16"/>
      <c r="AE608" s="8">
        <f t="shared" si="126"/>
        <v>0</v>
      </c>
      <c r="AF608" s="17">
        <f t="shared" si="127"/>
        <v>5465</v>
      </c>
      <c r="AG608" s="18">
        <f t="shared" si="128"/>
        <v>133</v>
      </c>
      <c r="AH608" s="19">
        <f t="shared" si="129"/>
        <v>2.4943735933983469E-2</v>
      </c>
      <c r="AI608" s="20">
        <v>13.6</v>
      </c>
      <c r="AJ608" s="20">
        <v>450</v>
      </c>
      <c r="AK608" s="20"/>
      <c r="AL608" s="20">
        <v>688</v>
      </c>
      <c r="AM608" s="20">
        <f t="shared" si="130"/>
        <v>80412</v>
      </c>
      <c r="AN608" s="7" t="s">
        <v>176</v>
      </c>
      <c r="AO608" s="20"/>
      <c r="AP608" s="21"/>
      <c r="AQ608" s="21"/>
      <c r="AR608" s="5" t="s">
        <v>912</v>
      </c>
      <c r="AS608" s="5" t="s">
        <v>164</v>
      </c>
      <c r="AT608" s="5" t="s">
        <v>59</v>
      </c>
      <c r="AU608" s="20"/>
      <c r="AV608" s="21"/>
      <c r="AW608" s="21"/>
      <c r="AX608" s="21"/>
    </row>
    <row r="609" spans="1:50" s="55" customFormat="1">
      <c r="A609" s="86" t="s">
        <v>318</v>
      </c>
      <c r="B609" s="5">
        <v>15015048</v>
      </c>
      <c r="C609" s="5" t="s">
        <v>985</v>
      </c>
      <c r="D609" s="5" t="s">
        <v>321</v>
      </c>
      <c r="E609" s="5" t="s">
        <v>52</v>
      </c>
      <c r="F609" s="5" t="s">
        <v>62</v>
      </c>
      <c r="G609" s="5" t="s">
        <v>211</v>
      </c>
      <c r="H609" s="5" t="s">
        <v>910</v>
      </c>
      <c r="I609" s="6">
        <v>42552</v>
      </c>
      <c r="J609" s="5" t="s">
        <v>336</v>
      </c>
      <c r="K609" s="5" t="s">
        <v>511</v>
      </c>
      <c r="L609" s="5" t="s">
        <v>324</v>
      </c>
      <c r="M609" s="7">
        <v>6</v>
      </c>
      <c r="N609" s="7" t="s">
        <v>176</v>
      </c>
      <c r="O609" s="8">
        <v>4558</v>
      </c>
      <c r="P609" s="9">
        <v>0.02</v>
      </c>
      <c r="Q609" s="10">
        <f t="shared" si="118"/>
        <v>91</v>
      </c>
      <c r="R609" s="9">
        <v>5.0000000000000001E-3</v>
      </c>
      <c r="S609" s="10">
        <f t="shared" si="119"/>
        <v>23</v>
      </c>
      <c r="T609" s="9">
        <f t="shared" si="120"/>
        <v>2.5010969723562967E-2</v>
      </c>
      <c r="U609" s="10">
        <f t="shared" si="121"/>
        <v>114</v>
      </c>
      <c r="V609" s="10">
        <f t="shared" si="122"/>
        <v>4672</v>
      </c>
      <c r="W609" s="11">
        <v>4672</v>
      </c>
      <c r="X609" s="12">
        <f t="shared" si="123"/>
        <v>114</v>
      </c>
      <c r="Y609" s="13">
        <f t="shared" si="124"/>
        <v>2.5000000000000001E-2</v>
      </c>
      <c r="Z609" s="14" t="str">
        <f t="shared" si="125"/>
        <v>0.00%-8.40%</v>
      </c>
      <c r="AA609" s="15"/>
      <c r="AB609" s="15"/>
      <c r="AC609" s="15"/>
      <c r="AD609" s="16"/>
      <c r="AE609" s="8">
        <f t="shared" si="126"/>
        <v>0</v>
      </c>
      <c r="AF609" s="17">
        <f t="shared" si="127"/>
        <v>4672</v>
      </c>
      <c r="AG609" s="18">
        <f t="shared" si="128"/>
        <v>114</v>
      </c>
      <c r="AH609" s="19">
        <f t="shared" si="129"/>
        <v>2.5010969723562981E-2</v>
      </c>
      <c r="AI609" s="20">
        <v>13.6</v>
      </c>
      <c r="AJ609" s="20">
        <v>450</v>
      </c>
      <c r="AK609" s="20"/>
      <c r="AL609" s="20">
        <v>688</v>
      </c>
      <c r="AM609" s="20">
        <f t="shared" si="130"/>
        <v>69627.199999999997</v>
      </c>
      <c r="AN609" s="7" t="s">
        <v>176</v>
      </c>
      <c r="AO609" s="20" t="s">
        <v>364</v>
      </c>
      <c r="AP609" s="21"/>
      <c r="AQ609" s="21"/>
      <c r="AR609" s="5" t="s">
        <v>912</v>
      </c>
      <c r="AS609" s="5" t="s">
        <v>164</v>
      </c>
      <c r="AT609" s="5" t="s">
        <v>59</v>
      </c>
      <c r="AU609" s="20"/>
      <c r="AV609" s="21"/>
      <c r="AW609" s="21"/>
      <c r="AX609" s="21"/>
    </row>
    <row r="610" spans="1:50" s="55" customFormat="1">
      <c r="A610" s="86" t="s">
        <v>318</v>
      </c>
      <c r="B610" s="5">
        <v>15005657</v>
      </c>
      <c r="C610" s="5" t="s">
        <v>986</v>
      </c>
      <c r="D610" s="5" t="s">
        <v>321</v>
      </c>
      <c r="E610" s="5" t="s">
        <v>52</v>
      </c>
      <c r="F610" s="5" t="s">
        <v>62</v>
      </c>
      <c r="G610" s="5" t="s">
        <v>211</v>
      </c>
      <c r="H610" s="5" t="s">
        <v>910</v>
      </c>
      <c r="I610" s="6">
        <v>40848</v>
      </c>
      <c r="J610" s="5" t="s">
        <v>336</v>
      </c>
      <c r="K610" s="5" t="s">
        <v>511</v>
      </c>
      <c r="L610" s="5" t="s">
        <v>324</v>
      </c>
      <c r="M610" s="7">
        <v>6</v>
      </c>
      <c r="N610" s="7" t="s">
        <v>176</v>
      </c>
      <c r="O610" s="8">
        <v>4705</v>
      </c>
      <c r="P610" s="9">
        <v>0.02</v>
      </c>
      <c r="Q610" s="10">
        <f t="shared" si="118"/>
        <v>94</v>
      </c>
      <c r="R610" s="9">
        <v>5.0000000000000001E-3</v>
      </c>
      <c r="S610" s="10">
        <f t="shared" si="119"/>
        <v>24</v>
      </c>
      <c r="T610" s="9">
        <f t="shared" si="120"/>
        <v>2.5079702444208291E-2</v>
      </c>
      <c r="U610" s="10">
        <f t="shared" si="121"/>
        <v>118</v>
      </c>
      <c r="V610" s="10">
        <f t="shared" si="122"/>
        <v>4823</v>
      </c>
      <c r="W610" s="11">
        <v>4823</v>
      </c>
      <c r="X610" s="12">
        <f t="shared" si="123"/>
        <v>118</v>
      </c>
      <c r="Y610" s="13">
        <f t="shared" si="124"/>
        <v>2.5100000000000001E-2</v>
      </c>
      <c r="Z610" s="14" t="str">
        <f t="shared" si="125"/>
        <v>0.00%-8.40%</v>
      </c>
      <c r="AA610" s="15"/>
      <c r="AB610" s="15"/>
      <c r="AC610" s="15"/>
      <c r="AD610" s="16"/>
      <c r="AE610" s="8">
        <f t="shared" si="126"/>
        <v>0</v>
      </c>
      <c r="AF610" s="17">
        <f t="shared" si="127"/>
        <v>4823</v>
      </c>
      <c r="AG610" s="18">
        <f t="shared" si="128"/>
        <v>118</v>
      </c>
      <c r="AH610" s="19">
        <f t="shared" si="129"/>
        <v>2.5079702444208207E-2</v>
      </c>
      <c r="AI610" s="20">
        <v>13.6</v>
      </c>
      <c r="AJ610" s="20">
        <v>450</v>
      </c>
      <c r="AK610" s="20"/>
      <c r="AL610" s="20">
        <v>688</v>
      </c>
      <c r="AM610" s="20">
        <f t="shared" si="130"/>
        <v>71680.800000000003</v>
      </c>
      <c r="AN610" s="7" t="s">
        <v>176</v>
      </c>
      <c r="AO610" s="20"/>
      <c r="AP610" s="21"/>
      <c r="AQ610" s="21"/>
      <c r="AR610" s="5" t="s">
        <v>912</v>
      </c>
      <c r="AS610" s="5" t="s">
        <v>164</v>
      </c>
      <c r="AT610" s="5" t="s">
        <v>59</v>
      </c>
      <c r="AU610" s="20"/>
      <c r="AV610" s="21"/>
      <c r="AW610" s="21"/>
      <c r="AX610" s="21"/>
    </row>
    <row r="611" spans="1:50" s="55" customFormat="1">
      <c r="A611" s="86" t="s">
        <v>318</v>
      </c>
      <c r="B611" s="5">
        <v>15005290</v>
      </c>
      <c r="C611" s="5" t="s">
        <v>987</v>
      </c>
      <c r="D611" s="5" t="s">
        <v>321</v>
      </c>
      <c r="E611" s="5" t="s">
        <v>52</v>
      </c>
      <c r="F611" s="5" t="s">
        <v>62</v>
      </c>
      <c r="G611" s="5" t="s">
        <v>211</v>
      </c>
      <c r="H611" s="5" t="s">
        <v>910</v>
      </c>
      <c r="I611" s="6">
        <v>40787</v>
      </c>
      <c r="J611" s="5" t="s">
        <v>336</v>
      </c>
      <c r="K611" s="5" t="s">
        <v>511</v>
      </c>
      <c r="L611" s="5" t="s">
        <v>324</v>
      </c>
      <c r="M611" s="7">
        <v>6</v>
      </c>
      <c r="N611" s="7" t="s">
        <v>176</v>
      </c>
      <c r="O611" s="8">
        <v>5263</v>
      </c>
      <c r="P611" s="9">
        <v>0.02</v>
      </c>
      <c r="Q611" s="10">
        <f t="shared" si="118"/>
        <v>105</v>
      </c>
      <c r="R611" s="9">
        <v>5.0000000000000001E-3</v>
      </c>
      <c r="S611" s="10">
        <f t="shared" si="119"/>
        <v>26</v>
      </c>
      <c r="T611" s="9">
        <f t="shared" si="120"/>
        <v>2.4890746722401672E-2</v>
      </c>
      <c r="U611" s="10">
        <f t="shared" si="121"/>
        <v>131</v>
      </c>
      <c r="V611" s="10">
        <f t="shared" si="122"/>
        <v>5394</v>
      </c>
      <c r="W611" s="11">
        <v>5395</v>
      </c>
      <c r="X611" s="12">
        <f t="shared" si="123"/>
        <v>132</v>
      </c>
      <c r="Y611" s="13">
        <f t="shared" si="124"/>
        <v>2.5100000000000001E-2</v>
      </c>
      <c r="Z611" s="14" t="str">
        <f t="shared" si="125"/>
        <v>0.00%-8.40%</v>
      </c>
      <c r="AA611" s="15"/>
      <c r="AB611" s="15"/>
      <c r="AC611" s="15"/>
      <c r="AD611" s="16"/>
      <c r="AE611" s="8">
        <f t="shared" si="126"/>
        <v>0</v>
      </c>
      <c r="AF611" s="17">
        <f t="shared" si="127"/>
        <v>5395</v>
      </c>
      <c r="AG611" s="18">
        <f t="shared" si="128"/>
        <v>132</v>
      </c>
      <c r="AH611" s="19">
        <f t="shared" si="129"/>
        <v>2.5080752422572683E-2</v>
      </c>
      <c r="AI611" s="20">
        <v>13.6</v>
      </c>
      <c r="AJ611" s="20">
        <v>450</v>
      </c>
      <c r="AK611" s="20"/>
      <c r="AL611" s="20">
        <v>688</v>
      </c>
      <c r="AM611" s="20">
        <f t="shared" si="130"/>
        <v>79460</v>
      </c>
      <c r="AN611" s="7" t="s">
        <v>176</v>
      </c>
      <c r="AO611" s="20"/>
      <c r="AP611" s="21"/>
      <c r="AQ611" s="21"/>
      <c r="AR611" s="5" t="s">
        <v>912</v>
      </c>
      <c r="AS611" s="5" t="s">
        <v>164</v>
      </c>
      <c r="AT611" s="5" t="s">
        <v>59</v>
      </c>
      <c r="AU611" s="20"/>
      <c r="AV611" s="21"/>
      <c r="AW611" s="21"/>
      <c r="AX611" s="21"/>
    </row>
    <row r="612" spans="1:50" s="55" customFormat="1">
      <c r="A612" s="86" t="s">
        <v>318</v>
      </c>
      <c r="B612" s="5">
        <v>15021183</v>
      </c>
      <c r="C612" s="5" t="s">
        <v>988</v>
      </c>
      <c r="D612" s="5" t="s">
        <v>321</v>
      </c>
      <c r="E612" s="5" t="s">
        <v>52</v>
      </c>
      <c r="F612" s="5" t="s">
        <v>62</v>
      </c>
      <c r="G612" s="5" t="s">
        <v>211</v>
      </c>
      <c r="H612" s="5" t="s">
        <v>910</v>
      </c>
      <c r="I612" s="6">
        <v>44440</v>
      </c>
      <c r="J612" s="5" t="s">
        <v>336</v>
      </c>
      <c r="K612" s="5" t="s">
        <v>511</v>
      </c>
      <c r="L612" s="5" t="s">
        <v>324</v>
      </c>
      <c r="M612" s="7">
        <v>6</v>
      </c>
      <c r="N612" s="7" t="s">
        <v>176</v>
      </c>
      <c r="O612" s="8">
        <v>4689</v>
      </c>
      <c r="P612" s="9">
        <v>0.02</v>
      </c>
      <c r="Q612" s="10">
        <f t="shared" si="118"/>
        <v>94</v>
      </c>
      <c r="R612" s="9">
        <v>5.0000000000000001E-3</v>
      </c>
      <c r="S612" s="10">
        <f t="shared" si="119"/>
        <v>23</v>
      </c>
      <c r="T612" s="9">
        <f t="shared" si="120"/>
        <v>2.4952015355086371E-2</v>
      </c>
      <c r="U612" s="10">
        <f t="shared" si="121"/>
        <v>117</v>
      </c>
      <c r="V612" s="10">
        <f t="shared" si="122"/>
        <v>4806</v>
      </c>
      <c r="W612" s="11">
        <v>4853</v>
      </c>
      <c r="X612" s="12">
        <f t="shared" si="123"/>
        <v>164</v>
      </c>
      <c r="Y612" s="13">
        <f t="shared" si="124"/>
        <v>3.5000000000000003E-2</v>
      </c>
      <c r="Z612" s="14" t="str">
        <f t="shared" si="125"/>
        <v>0.00%-8.40%</v>
      </c>
      <c r="AA612" s="15"/>
      <c r="AB612" s="15"/>
      <c r="AC612" s="15"/>
      <c r="AD612" s="16"/>
      <c r="AE612" s="8">
        <f t="shared" si="126"/>
        <v>0</v>
      </c>
      <c r="AF612" s="17">
        <f t="shared" si="127"/>
        <v>4853</v>
      </c>
      <c r="AG612" s="18">
        <f t="shared" si="128"/>
        <v>164</v>
      </c>
      <c r="AH612" s="19">
        <f t="shared" si="129"/>
        <v>3.4975474514821858E-2</v>
      </c>
      <c r="AI612" s="20">
        <v>13.6</v>
      </c>
      <c r="AJ612" s="20">
        <v>450</v>
      </c>
      <c r="AK612" s="20"/>
      <c r="AL612" s="20">
        <v>688</v>
      </c>
      <c r="AM612" s="20">
        <f t="shared" si="130"/>
        <v>72088.800000000003</v>
      </c>
      <c r="AN612" s="7" t="s">
        <v>176</v>
      </c>
      <c r="AO612" s="20"/>
      <c r="AP612" s="21"/>
      <c r="AQ612" s="21"/>
      <c r="AR612" s="5" t="s">
        <v>912</v>
      </c>
      <c r="AS612" s="5" t="s">
        <v>164</v>
      </c>
      <c r="AT612" s="5" t="s">
        <v>59</v>
      </c>
      <c r="AU612" s="20"/>
      <c r="AV612" s="21"/>
      <c r="AW612" s="21"/>
      <c r="AX612" s="21"/>
    </row>
    <row r="613" spans="1:50" s="55" customFormat="1">
      <c r="A613" s="86" t="s">
        <v>318</v>
      </c>
      <c r="B613" s="5">
        <v>15005223</v>
      </c>
      <c r="C613" s="5" t="s">
        <v>989</v>
      </c>
      <c r="D613" s="5" t="s">
        <v>321</v>
      </c>
      <c r="E613" s="5" t="s">
        <v>52</v>
      </c>
      <c r="F613" s="5" t="s">
        <v>62</v>
      </c>
      <c r="G613" s="5" t="s">
        <v>211</v>
      </c>
      <c r="H613" s="5" t="s">
        <v>910</v>
      </c>
      <c r="I613" s="6">
        <v>40756</v>
      </c>
      <c r="J613" s="5" t="s">
        <v>336</v>
      </c>
      <c r="K613" s="5" t="s">
        <v>511</v>
      </c>
      <c r="L613" s="5" t="s">
        <v>324</v>
      </c>
      <c r="M613" s="7">
        <v>6</v>
      </c>
      <c r="N613" s="7" t="s">
        <v>176</v>
      </c>
      <c r="O613" s="8">
        <v>4785</v>
      </c>
      <c r="P613" s="9">
        <v>0.02</v>
      </c>
      <c r="Q613" s="10">
        <f t="shared" si="118"/>
        <v>96</v>
      </c>
      <c r="R613" s="9">
        <v>5.0000000000000001E-3</v>
      </c>
      <c r="S613" s="10">
        <f t="shared" si="119"/>
        <v>24</v>
      </c>
      <c r="T613" s="9">
        <f t="shared" si="120"/>
        <v>2.5078369905956112E-2</v>
      </c>
      <c r="U613" s="10">
        <f t="shared" si="121"/>
        <v>120</v>
      </c>
      <c r="V613" s="10">
        <f t="shared" si="122"/>
        <v>4905</v>
      </c>
      <c r="W613" s="11">
        <v>4785</v>
      </c>
      <c r="X613" s="12">
        <f t="shared" si="123"/>
        <v>0</v>
      </c>
      <c r="Y613" s="13">
        <f t="shared" si="124"/>
        <v>0</v>
      </c>
      <c r="Z613" s="14" t="str">
        <f t="shared" si="125"/>
        <v>0.00%-8.40%</v>
      </c>
      <c r="AA613" s="15"/>
      <c r="AB613" s="15"/>
      <c r="AC613" s="15"/>
      <c r="AD613" s="16"/>
      <c r="AE613" s="8">
        <f t="shared" si="126"/>
        <v>0</v>
      </c>
      <c r="AF613" s="17">
        <f t="shared" si="127"/>
        <v>4785</v>
      </c>
      <c r="AG613" s="18">
        <f t="shared" si="128"/>
        <v>0</v>
      </c>
      <c r="AH613" s="19">
        <f t="shared" si="129"/>
        <v>0</v>
      </c>
      <c r="AI613" s="20">
        <v>13.6</v>
      </c>
      <c r="AJ613" s="20">
        <v>450</v>
      </c>
      <c r="AK613" s="20"/>
      <c r="AL613" s="20">
        <v>688</v>
      </c>
      <c r="AM613" s="20">
        <f t="shared" si="130"/>
        <v>71164</v>
      </c>
      <c r="AN613" s="7" t="s">
        <v>176</v>
      </c>
      <c r="AO613" s="20"/>
      <c r="AP613" s="21" t="s">
        <v>97</v>
      </c>
      <c r="AQ613" s="21" t="s">
        <v>97</v>
      </c>
      <c r="AR613" s="5" t="s">
        <v>912</v>
      </c>
      <c r="AS613" s="5" t="s">
        <v>164</v>
      </c>
      <c r="AT613" s="5" t="s">
        <v>59</v>
      </c>
      <c r="AU613" s="20"/>
      <c r="AV613" s="21"/>
      <c r="AW613" s="21"/>
      <c r="AX613" s="21"/>
    </row>
    <row r="614" spans="1:50" s="55" customFormat="1">
      <c r="A614" s="86" t="s">
        <v>318</v>
      </c>
      <c r="B614" s="5">
        <v>15005149</v>
      </c>
      <c r="C614" s="5" t="s">
        <v>990</v>
      </c>
      <c r="D614" s="5" t="s">
        <v>321</v>
      </c>
      <c r="E614" s="5" t="s">
        <v>52</v>
      </c>
      <c r="F614" s="5" t="s">
        <v>62</v>
      </c>
      <c r="G614" s="5" t="s">
        <v>211</v>
      </c>
      <c r="H614" s="5" t="s">
        <v>910</v>
      </c>
      <c r="I614" s="6">
        <v>40725</v>
      </c>
      <c r="J614" s="5" t="s">
        <v>336</v>
      </c>
      <c r="K614" s="5" t="s">
        <v>511</v>
      </c>
      <c r="L614" s="5" t="s">
        <v>324</v>
      </c>
      <c r="M614" s="7">
        <v>6</v>
      </c>
      <c r="N614" s="7" t="s">
        <v>176</v>
      </c>
      <c r="O614" s="8">
        <v>5074</v>
      </c>
      <c r="P614" s="9">
        <v>0.02</v>
      </c>
      <c r="Q614" s="10">
        <f t="shared" si="118"/>
        <v>101</v>
      </c>
      <c r="R614" s="9">
        <v>5.0000000000000001E-3</v>
      </c>
      <c r="S614" s="10">
        <f t="shared" si="119"/>
        <v>25</v>
      </c>
      <c r="T614" s="9">
        <f t="shared" si="120"/>
        <v>2.4832479306267245E-2</v>
      </c>
      <c r="U614" s="10">
        <f t="shared" si="121"/>
        <v>126</v>
      </c>
      <c r="V614" s="10">
        <f t="shared" si="122"/>
        <v>5200</v>
      </c>
      <c r="W614" s="11">
        <v>5201</v>
      </c>
      <c r="X614" s="12">
        <f t="shared" si="123"/>
        <v>127</v>
      </c>
      <c r="Y614" s="13">
        <f t="shared" si="124"/>
        <v>2.5000000000000001E-2</v>
      </c>
      <c r="Z614" s="14" t="str">
        <f t="shared" si="125"/>
        <v>0.00%-8.40%</v>
      </c>
      <c r="AA614" s="15"/>
      <c r="AB614" s="15"/>
      <c r="AC614" s="15"/>
      <c r="AD614" s="16"/>
      <c r="AE614" s="8">
        <f t="shared" si="126"/>
        <v>0</v>
      </c>
      <c r="AF614" s="17">
        <f t="shared" si="127"/>
        <v>5201</v>
      </c>
      <c r="AG614" s="18">
        <f t="shared" si="128"/>
        <v>127</v>
      </c>
      <c r="AH614" s="19">
        <f t="shared" si="129"/>
        <v>2.5029562475364697E-2</v>
      </c>
      <c r="AI614" s="20">
        <v>13.6</v>
      </c>
      <c r="AJ614" s="20">
        <v>450</v>
      </c>
      <c r="AK614" s="20"/>
      <c r="AL614" s="20">
        <v>688</v>
      </c>
      <c r="AM614" s="20">
        <f t="shared" si="130"/>
        <v>76821.599999999991</v>
      </c>
      <c r="AN614" s="7" t="s">
        <v>176</v>
      </c>
      <c r="AO614" s="20"/>
      <c r="AP614" s="21"/>
      <c r="AQ614" s="21"/>
      <c r="AR614" s="5" t="s">
        <v>912</v>
      </c>
      <c r="AS614" s="5" t="s">
        <v>164</v>
      </c>
      <c r="AT614" s="5" t="s">
        <v>59</v>
      </c>
      <c r="AU614" s="20"/>
      <c r="AV614" s="21"/>
      <c r="AW614" s="21"/>
      <c r="AX614" s="21"/>
    </row>
    <row r="615" spans="1:50" s="55" customFormat="1">
      <c r="A615" s="86" t="s">
        <v>318</v>
      </c>
      <c r="B615" s="5">
        <v>15007707</v>
      </c>
      <c r="C615" s="5" t="s">
        <v>991</v>
      </c>
      <c r="D615" s="5" t="s">
        <v>321</v>
      </c>
      <c r="E615" s="5" t="s">
        <v>52</v>
      </c>
      <c r="F615" s="5" t="s">
        <v>62</v>
      </c>
      <c r="G615" s="5" t="s">
        <v>211</v>
      </c>
      <c r="H615" s="5" t="s">
        <v>910</v>
      </c>
      <c r="I615" s="6">
        <v>41275</v>
      </c>
      <c r="J615" s="5" t="s">
        <v>336</v>
      </c>
      <c r="K615" s="5" t="s">
        <v>511</v>
      </c>
      <c r="L615" s="5" t="s">
        <v>324</v>
      </c>
      <c r="M615" s="7">
        <v>6</v>
      </c>
      <c r="N615" s="7" t="s">
        <v>176</v>
      </c>
      <c r="O615" s="8">
        <v>5370</v>
      </c>
      <c r="P615" s="9">
        <v>0.02</v>
      </c>
      <c r="Q615" s="10">
        <f t="shared" si="118"/>
        <v>107</v>
      </c>
      <c r="R615" s="9">
        <v>5.0000000000000001E-3</v>
      </c>
      <c r="S615" s="10">
        <f t="shared" si="119"/>
        <v>27</v>
      </c>
      <c r="T615" s="9">
        <f t="shared" si="120"/>
        <v>2.495344506517691E-2</v>
      </c>
      <c r="U615" s="10">
        <f t="shared" si="121"/>
        <v>134</v>
      </c>
      <c r="V615" s="10">
        <f t="shared" si="122"/>
        <v>5504</v>
      </c>
      <c r="W615" s="11">
        <v>5504</v>
      </c>
      <c r="X615" s="12">
        <f t="shared" si="123"/>
        <v>134</v>
      </c>
      <c r="Y615" s="13">
        <f t="shared" si="124"/>
        <v>2.5000000000000001E-2</v>
      </c>
      <c r="Z615" s="14" t="str">
        <f t="shared" si="125"/>
        <v>0.00%-8.40%</v>
      </c>
      <c r="AA615" s="15"/>
      <c r="AB615" s="15"/>
      <c r="AC615" s="15"/>
      <c r="AD615" s="16"/>
      <c r="AE615" s="8">
        <f t="shared" si="126"/>
        <v>0</v>
      </c>
      <c r="AF615" s="17">
        <f t="shared" si="127"/>
        <v>5504</v>
      </c>
      <c r="AG615" s="18">
        <f t="shared" si="128"/>
        <v>134</v>
      </c>
      <c r="AH615" s="19">
        <f t="shared" si="129"/>
        <v>2.4953445065176938E-2</v>
      </c>
      <c r="AI615" s="20">
        <v>13.6</v>
      </c>
      <c r="AJ615" s="20">
        <v>500</v>
      </c>
      <c r="AK615" s="20"/>
      <c r="AL615" s="20">
        <v>688</v>
      </c>
      <c r="AM615" s="20">
        <f t="shared" si="130"/>
        <v>81542.399999999994</v>
      </c>
      <c r="AN615" s="7" t="s">
        <v>176</v>
      </c>
      <c r="AO615" s="20"/>
      <c r="AP615" s="21"/>
      <c r="AQ615" s="21"/>
      <c r="AR615" s="5" t="s">
        <v>912</v>
      </c>
      <c r="AS615" s="5" t="s">
        <v>164</v>
      </c>
      <c r="AT615" s="5" t="s">
        <v>59</v>
      </c>
      <c r="AU615" s="20"/>
      <c r="AV615" s="21"/>
      <c r="AW615" s="21"/>
      <c r="AX615" s="21"/>
    </row>
    <row r="616" spans="1:50" s="55" customFormat="1">
      <c r="A616" s="86" t="s">
        <v>318</v>
      </c>
      <c r="B616" s="5">
        <v>15016362</v>
      </c>
      <c r="C616" s="5" t="s">
        <v>992</v>
      </c>
      <c r="D616" s="5" t="s">
        <v>321</v>
      </c>
      <c r="E616" s="5" t="s">
        <v>52</v>
      </c>
      <c r="F616" s="5" t="s">
        <v>62</v>
      </c>
      <c r="G616" s="5" t="s">
        <v>211</v>
      </c>
      <c r="H616" s="5" t="s">
        <v>910</v>
      </c>
      <c r="I616" s="6">
        <v>42948</v>
      </c>
      <c r="J616" s="5" t="s">
        <v>336</v>
      </c>
      <c r="K616" s="5" t="s">
        <v>511</v>
      </c>
      <c r="L616" s="5" t="s">
        <v>324</v>
      </c>
      <c r="M616" s="7">
        <v>6</v>
      </c>
      <c r="N616" s="7" t="s">
        <v>176</v>
      </c>
      <c r="O616" s="8">
        <v>4470</v>
      </c>
      <c r="P616" s="9">
        <v>0.02</v>
      </c>
      <c r="Q616" s="10">
        <f t="shared" si="118"/>
        <v>89</v>
      </c>
      <c r="R616" s="9">
        <v>5.0000000000000001E-3</v>
      </c>
      <c r="S616" s="10">
        <f t="shared" si="119"/>
        <v>22</v>
      </c>
      <c r="T616" s="9">
        <f t="shared" si="120"/>
        <v>2.4832214765100672E-2</v>
      </c>
      <c r="U616" s="10">
        <f t="shared" si="121"/>
        <v>111</v>
      </c>
      <c r="V616" s="10">
        <f t="shared" si="122"/>
        <v>4581</v>
      </c>
      <c r="W616" s="11">
        <v>4582</v>
      </c>
      <c r="X616" s="12">
        <f t="shared" si="123"/>
        <v>112</v>
      </c>
      <c r="Y616" s="13">
        <f t="shared" si="124"/>
        <v>2.5100000000000001E-2</v>
      </c>
      <c r="Z616" s="14" t="str">
        <f t="shared" si="125"/>
        <v>0.00%-8.40%</v>
      </c>
      <c r="AA616" s="15"/>
      <c r="AB616" s="15"/>
      <c r="AC616" s="15"/>
      <c r="AD616" s="16"/>
      <c r="AE616" s="8">
        <f t="shared" si="126"/>
        <v>0</v>
      </c>
      <c r="AF616" s="17">
        <f t="shared" si="127"/>
        <v>4582</v>
      </c>
      <c r="AG616" s="18">
        <f t="shared" si="128"/>
        <v>112</v>
      </c>
      <c r="AH616" s="19">
        <f t="shared" si="129"/>
        <v>2.5055928411633177E-2</v>
      </c>
      <c r="AI616" s="20">
        <v>13.6</v>
      </c>
      <c r="AJ616" s="20">
        <v>450</v>
      </c>
      <c r="AK616" s="20"/>
      <c r="AL616" s="20">
        <v>688</v>
      </c>
      <c r="AM616" s="20">
        <f t="shared" si="130"/>
        <v>68403.199999999997</v>
      </c>
      <c r="AN616" s="7" t="s">
        <v>176</v>
      </c>
      <c r="AO616" s="20"/>
      <c r="AP616" s="21"/>
      <c r="AQ616" s="21"/>
      <c r="AR616" s="5" t="s">
        <v>912</v>
      </c>
      <c r="AS616" s="5" t="s">
        <v>164</v>
      </c>
      <c r="AT616" s="5" t="s">
        <v>59</v>
      </c>
      <c r="AU616" s="20"/>
      <c r="AV616" s="21"/>
      <c r="AW616" s="21"/>
      <c r="AX616" s="21"/>
    </row>
    <row r="617" spans="1:50" s="55" customFormat="1">
      <c r="A617" s="86" t="s">
        <v>318</v>
      </c>
      <c r="B617" s="5">
        <v>15014865</v>
      </c>
      <c r="C617" s="5" t="s">
        <v>993</v>
      </c>
      <c r="D617" s="5" t="s">
        <v>321</v>
      </c>
      <c r="E617" s="5" t="s">
        <v>52</v>
      </c>
      <c r="F617" s="5" t="s">
        <v>62</v>
      </c>
      <c r="G617" s="5" t="s">
        <v>211</v>
      </c>
      <c r="H617" s="5" t="s">
        <v>910</v>
      </c>
      <c r="I617" s="6">
        <v>42370</v>
      </c>
      <c r="J617" s="5" t="s">
        <v>336</v>
      </c>
      <c r="K617" s="5" t="s">
        <v>511</v>
      </c>
      <c r="L617" s="5" t="s">
        <v>324</v>
      </c>
      <c r="M617" s="7">
        <v>6</v>
      </c>
      <c r="N617" s="7" t="s">
        <v>176</v>
      </c>
      <c r="O617" s="8">
        <v>4410</v>
      </c>
      <c r="P617" s="9">
        <v>0.02</v>
      </c>
      <c r="Q617" s="10">
        <f t="shared" si="118"/>
        <v>88</v>
      </c>
      <c r="R617" s="9">
        <v>5.0000000000000001E-3</v>
      </c>
      <c r="S617" s="10">
        <f t="shared" si="119"/>
        <v>22</v>
      </c>
      <c r="T617" s="9">
        <f t="shared" si="120"/>
        <v>2.4943310657596373E-2</v>
      </c>
      <c r="U617" s="10">
        <f t="shared" si="121"/>
        <v>110</v>
      </c>
      <c r="V617" s="10">
        <f t="shared" si="122"/>
        <v>4520</v>
      </c>
      <c r="W617" s="11">
        <v>4520</v>
      </c>
      <c r="X617" s="12">
        <f t="shared" si="123"/>
        <v>110</v>
      </c>
      <c r="Y617" s="13">
        <f t="shared" si="124"/>
        <v>2.4899999999999999E-2</v>
      </c>
      <c r="Z617" s="14" t="str">
        <f t="shared" si="125"/>
        <v>0.00%-8.40%</v>
      </c>
      <c r="AA617" s="15"/>
      <c r="AB617" s="15"/>
      <c r="AC617" s="15"/>
      <c r="AD617" s="16"/>
      <c r="AE617" s="8">
        <f t="shared" si="126"/>
        <v>0</v>
      </c>
      <c r="AF617" s="17">
        <f t="shared" si="127"/>
        <v>4520</v>
      </c>
      <c r="AG617" s="18">
        <f t="shared" si="128"/>
        <v>110</v>
      </c>
      <c r="AH617" s="19">
        <f t="shared" si="129"/>
        <v>2.4943310657596474E-2</v>
      </c>
      <c r="AI617" s="20">
        <v>13.6</v>
      </c>
      <c r="AJ617" s="20">
        <v>450</v>
      </c>
      <c r="AK617" s="20"/>
      <c r="AL617" s="20">
        <v>688</v>
      </c>
      <c r="AM617" s="20">
        <f t="shared" si="130"/>
        <v>67560</v>
      </c>
      <c r="AN617" s="7" t="s">
        <v>176</v>
      </c>
      <c r="AO617" s="20"/>
      <c r="AP617" s="21"/>
      <c r="AQ617" s="21"/>
      <c r="AR617" s="5" t="s">
        <v>912</v>
      </c>
      <c r="AS617" s="5" t="s">
        <v>164</v>
      </c>
      <c r="AT617" s="5" t="s">
        <v>59</v>
      </c>
      <c r="AU617" s="20"/>
      <c r="AV617" s="21"/>
      <c r="AW617" s="21"/>
      <c r="AX617" s="21"/>
    </row>
    <row r="618" spans="1:50" s="55" customFormat="1">
      <c r="A618" s="86" t="s">
        <v>318</v>
      </c>
      <c r="B618" s="5">
        <v>15004765</v>
      </c>
      <c r="C618" s="5" t="s">
        <v>994</v>
      </c>
      <c r="D618" s="5" t="s">
        <v>321</v>
      </c>
      <c r="E618" s="5" t="s">
        <v>52</v>
      </c>
      <c r="F618" s="5" t="s">
        <v>62</v>
      </c>
      <c r="G618" s="5" t="s">
        <v>211</v>
      </c>
      <c r="H618" s="5" t="s">
        <v>910</v>
      </c>
      <c r="I618" s="6">
        <v>40634</v>
      </c>
      <c r="J618" s="5" t="s">
        <v>336</v>
      </c>
      <c r="K618" s="5" t="s">
        <v>511</v>
      </c>
      <c r="L618" s="5" t="s">
        <v>324</v>
      </c>
      <c r="M618" s="7">
        <v>6</v>
      </c>
      <c r="N618" s="7" t="s">
        <v>176</v>
      </c>
      <c r="O618" s="8">
        <v>5374</v>
      </c>
      <c r="P618" s="9">
        <v>0.02</v>
      </c>
      <c r="Q618" s="10">
        <f t="shared" si="118"/>
        <v>107</v>
      </c>
      <c r="R618" s="9">
        <v>5.0000000000000001E-3</v>
      </c>
      <c r="S618" s="10">
        <f t="shared" si="119"/>
        <v>27</v>
      </c>
      <c r="T618" s="9">
        <f t="shared" si="120"/>
        <v>2.4934871604019353E-2</v>
      </c>
      <c r="U618" s="10">
        <f t="shared" si="121"/>
        <v>134</v>
      </c>
      <c r="V618" s="10">
        <f t="shared" si="122"/>
        <v>5508</v>
      </c>
      <c r="W618" s="11">
        <v>5508</v>
      </c>
      <c r="X618" s="12">
        <f t="shared" si="123"/>
        <v>134</v>
      </c>
      <c r="Y618" s="13">
        <f t="shared" si="124"/>
        <v>2.4899999999999999E-2</v>
      </c>
      <c r="Z618" s="14" t="str">
        <f t="shared" si="125"/>
        <v>0.00%-8.40%</v>
      </c>
      <c r="AA618" s="15"/>
      <c r="AB618" s="15"/>
      <c r="AC618" s="15"/>
      <c r="AD618" s="16"/>
      <c r="AE618" s="8">
        <f t="shared" si="126"/>
        <v>0</v>
      </c>
      <c r="AF618" s="17">
        <f t="shared" si="127"/>
        <v>5508</v>
      </c>
      <c r="AG618" s="18">
        <f t="shared" si="128"/>
        <v>134</v>
      </c>
      <c r="AH618" s="19">
        <f t="shared" si="129"/>
        <v>2.4934871604019415E-2</v>
      </c>
      <c r="AI618" s="20">
        <v>13.6</v>
      </c>
      <c r="AJ618" s="20">
        <v>450</v>
      </c>
      <c r="AK618" s="20"/>
      <c r="AL618" s="20">
        <v>688</v>
      </c>
      <c r="AM618" s="20">
        <f t="shared" si="130"/>
        <v>80996.800000000003</v>
      </c>
      <c r="AN618" s="7" t="s">
        <v>176</v>
      </c>
      <c r="AO618" s="20"/>
      <c r="AP618" s="21"/>
      <c r="AQ618" s="21"/>
      <c r="AR618" s="5" t="s">
        <v>912</v>
      </c>
      <c r="AS618" s="5" t="s">
        <v>164</v>
      </c>
      <c r="AT618" s="5" t="s">
        <v>59</v>
      </c>
      <c r="AU618" s="20"/>
      <c r="AV618" s="21"/>
      <c r="AW618" s="21"/>
      <c r="AX618" s="21"/>
    </row>
    <row r="619" spans="1:50" s="55" customFormat="1">
      <c r="A619" s="86" t="s">
        <v>318</v>
      </c>
      <c r="B619" s="5">
        <v>15018659</v>
      </c>
      <c r="C619" s="5" t="s">
        <v>995</v>
      </c>
      <c r="D619" s="5" t="s">
        <v>321</v>
      </c>
      <c r="E619" s="5" t="s">
        <v>52</v>
      </c>
      <c r="F619" s="5" t="s">
        <v>62</v>
      </c>
      <c r="G619" s="5" t="s">
        <v>211</v>
      </c>
      <c r="H619" s="5" t="s">
        <v>910</v>
      </c>
      <c r="I619" s="6">
        <v>43282</v>
      </c>
      <c r="J619" s="5" t="s">
        <v>336</v>
      </c>
      <c r="K619" s="5" t="s">
        <v>511</v>
      </c>
      <c r="L619" s="5" t="s">
        <v>324</v>
      </c>
      <c r="M619" s="7">
        <v>6</v>
      </c>
      <c r="N619" s="7" t="s">
        <v>176</v>
      </c>
      <c r="O619" s="8">
        <v>4581</v>
      </c>
      <c r="P619" s="9">
        <v>0.02</v>
      </c>
      <c r="Q619" s="10">
        <f t="shared" si="118"/>
        <v>92</v>
      </c>
      <c r="R619" s="9">
        <v>5.0000000000000001E-3</v>
      </c>
      <c r="S619" s="10">
        <f t="shared" si="119"/>
        <v>23</v>
      </c>
      <c r="T619" s="9">
        <f t="shared" si="120"/>
        <v>2.5103689150840429E-2</v>
      </c>
      <c r="U619" s="10">
        <f t="shared" si="121"/>
        <v>115</v>
      </c>
      <c r="V619" s="10">
        <f t="shared" si="122"/>
        <v>4696</v>
      </c>
      <c r="W619" s="11">
        <v>4696</v>
      </c>
      <c r="X619" s="12">
        <f t="shared" si="123"/>
        <v>115</v>
      </c>
      <c r="Y619" s="13">
        <f t="shared" si="124"/>
        <v>2.5100000000000001E-2</v>
      </c>
      <c r="Z619" s="14" t="str">
        <f t="shared" si="125"/>
        <v>0.00%-8.40%</v>
      </c>
      <c r="AA619" s="15"/>
      <c r="AB619" s="15"/>
      <c r="AC619" s="15"/>
      <c r="AD619" s="16"/>
      <c r="AE619" s="8">
        <f t="shared" si="126"/>
        <v>0</v>
      </c>
      <c r="AF619" s="17">
        <f t="shared" si="127"/>
        <v>4696</v>
      </c>
      <c r="AG619" s="18">
        <f t="shared" si="128"/>
        <v>115</v>
      </c>
      <c r="AH619" s="19">
        <f t="shared" si="129"/>
        <v>2.5103689150840491E-2</v>
      </c>
      <c r="AI619" s="20">
        <v>13.6</v>
      </c>
      <c r="AJ619" s="20">
        <v>450</v>
      </c>
      <c r="AK619" s="20"/>
      <c r="AL619" s="20">
        <v>688</v>
      </c>
      <c r="AM619" s="20">
        <f t="shared" si="130"/>
        <v>69953.600000000006</v>
      </c>
      <c r="AN619" s="7" t="s">
        <v>176</v>
      </c>
      <c r="AO619" s="20"/>
      <c r="AP619" s="21"/>
      <c r="AQ619" s="21"/>
      <c r="AR619" s="5" t="s">
        <v>912</v>
      </c>
      <c r="AS619" s="5" t="s">
        <v>164</v>
      </c>
      <c r="AT619" s="5" t="s">
        <v>59</v>
      </c>
      <c r="AU619" s="20"/>
      <c r="AV619" s="21"/>
      <c r="AW619" s="21"/>
      <c r="AX619" s="21"/>
    </row>
    <row r="620" spans="1:50" s="55" customFormat="1">
      <c r="A620" s="86" t="s">
        <v>318</v>
      </c>
      <c r="B620" s="5">
        <v>15012912</v>
      </c>
      <c r="C620" s="5" t="s">
        <v>996</v>
      </c>
      <c r="D620" s="5" t="s">
        <v>321</v>
      </c>
      <c r="E620" s="5" t="s">
        <v>52</v>
      </c>
      <c r="F620" s="5" t="s">
        <v>62</v>
      </c>
      <c r="G620" s="5" t="s">
        <v>211</v>
      </c>
      <c r="H620" s="5" t="s">
        <v>910</v>
      </c>
      <c r="I620" s="6">
        <v>41731</v>
      </c>
      <c r="J620" s="5" t="s">
        <v>336</v>
      </c>
      <c r="K620" s="5" t="s">
        <v>511</v>
      </c>
      <c r="L620" s="5" t="s">
        <v>324</v>
      </c>
      <c r="M620" s="7">
        <v>6</v>
      </c>
      <c r="N620" s="7" t="s">
        <v>176</v>
      </c>
      <c r="O620" s="8">
        <v>5926</v>
      </c>
      <c r="P620" s="9">
        <v>0.02</v>
      </c>
      <c r="Q620" s="10">
        <f t="shared" si="118"/>
        <v>119</v>
      </c>
      <c r="R620" s="9">
        <v>5.0000000000000001E-3</v>
      </c>
      <c r="S620" s="10">
        <f t="shared" si="119"/>
        <v>30</v>
      </c>
      <c r="T620" s="9">
        <f t="shared" si="120"/>
        <v>2.5143435707053661E-2</v>
      </c>
      <c r="U620" s="10">
        <f t="shared" si="121"/>
        <v>149</v>
      </c>
      <c r="V620" s="10">
        <f t="shared" si="122"/>
        <v>6075</v>
      </c>
      <c r="W620" s="11">
        <v>5926</v>
      </c>
      <c r="X620" s="12">
        <f t="shared" si="123"/>
        <v>0</v>
      </c>
      <c r="Y620" s="13">
        <f t="shared" si="124"/>
        <v>0</v>
      </c>
      <c r="Z620" s="14" t="str">
        <f t="shared" si="125"/>
        <v>0.00%-8.40%</v>
      </c>
      <c r="AA620" s="15"/>
      <c r="AB620" s="15"/>
      <c r="AC620" s="15"/>
      <c r="AD620" s="16"/>
      <c r="AE620" s="8">
        <f t="shared" si="126"/>
        <v>0</v>
      </c>
      <c r="AF620" s="17">
        <f t="shared" si="127"/>
        <v>5926</v>
      </c>
      <c r="AG620" s="18">
        <f t="shared" si="128"/>
        <v>0</v>
      </c>
      <c r="AH620" s="19">
        <f t="shared" si="129"/>
        <v>0</v>
      </c>
      <c r="AI620" s="20">
        <v>13.6</v>
      </c>
      <c r="AJ620" s="20">
        <v>450</v>
      </c>
      <c r="AK620" s="20"/>
      <c r="AL620" s="20">
        <v>688</v>
      </c>
      <c r="AM620" s="20">
        <f t="shared" si="130"/>
        <v>86681.599999999991</v>
      </c>
      <c r="AN620" s="7" t="s">
        <v>176</v>
      </c>
      <c r="AO620" s="20"/>
      <c r="AP620" s="21" t="s">
        <v>97</v>
      </c>
      <c r="AQ620" s="21" t="s">
        <v>97</v>
      </c>
      <c r="AR620" s="5" t="s">
        <v>912</v>
      </c>
      <c r="AS620" s="5" t="s">
        <v>164</v>
      </c>
      <c r="AT620" s="5" t="s">
        <v>59</v>
      </c>
      <c r="AU620" s="20"/>
      <c r="AV620" s="21"/>
      <c r="AW620" s="21"/>
      <c r="AX620" s="21"/>
    </row>
    <row r="621" spans="1:50" s="55" customFormat="1">
      <c r="A621" s="86" t="s">
        <v>318</v>
      </c>
      <c r="B621" s="5">
        <v>15017262</v>
      </c>
      <c r="C621" s="5" t="s">
        <v>647</v>
      </c>
      <c r="D621" s="5" t="s">
        <v>321</v>
      </c>
      <c r="E621" s="5" t="s">
        <v>52</v>
      </c>
      <c r="F621" s="5" t="s">
        <v>62</v>
      </c>
      <c r="G621" s="5" t="s">
        <v>211</v>
      </c>
      <c r="H621" s="5" t="s">
        <v>910</v>
      </c>
      <c r="I621" s="6">
        <v>42979</v>
      </c>
      <c r="J621" s="5" t="s">
        <v>336</v>
      </c>
      <c r="K621" s="5" t="s">
        <v>511</v>
      </c>
      <c r="L621" s="5" t="s">
        <v>324</v>
      </c>
      <c r="M621" s="7">
        <v>6</v>
      </c>
      <c r="N621" s="7" t="s">
        <v>176</v>
      </c>
      <c r="O621" s="8">
        <v>5292</v>
      </c>
      <c r="P621" s="9">
        <v>0.02</v>
      </c>
      <c r="Q621" s="10">
        <f t="shared" si="118"/>
        <v>106</v>
      </c>
      <c r="R621" s="9">
        <v>5.0000000000000001E-3</v>
      </c>
      <c r="S621" s="10">
        <f t="shared" si="119"/>
        <v>26</v>
      </c>
      <c r="T621" s="9">
        <f t="shared" si="120"/>
        <v>2.4943310657596373E-2</v>
      </c>
      <c r="U621" s="10">
        <f t="shared" si="121"/>
        <v>132</v>
      </c>
      <c r="V621" s="10">
        <f t="shared" si="122"/>
        <v>5424</v>
      </c>
      <c r="W621" s="11">
        <v>5424</v>
      </c>
      <c r="X621" s="12">
        <f t="shared" si="123"/>
        <v>132</v>
      </c>
      <c r="Y621" s="13">
        <f t="shared" si="124"/>
        <v>2.4899999999999999E-2</v>
      </c>
      <c r="Z621" s="14" t="str">
        <f t="shared" si="125"/>
        <v>0.00%-8.40%</v>
      </c>
      <c r="AA621" s="15"/>
      <c r="AB621" s="15"/>
      <c r="AC621" s="15"/>
      <c r="AD621" s="16"/>
      <c r="AE621" s="8">
        <f t="shared" si="126"/>
        <v>0</v>
      </c>
      <c r="AF621" s="17">
        <f t="shared" si="127"/>
        <v>5424</v>
      </c>
      <c r="AG621" s="18">
        <f t="shared" si="128"/>
        <v>132</v>
      </c>
      <c r="AH621" s="19">
        <f t="shared" si="129"/>
        <v>2.4943310657596474E-2</v>
      </c>
      <c r="AI621" s="20">
        <v>13.6</v>
      </c>
      <c r="AJ621" s="20">
        <v>450</v>
      </c>
      <c r="AK621" s="20"/>
      <c r="AL621" s="20">
        <v>688</v>
      </c>
      <c r="AM621" s="20">
        <f t="shared" si="130"/>
        <v>79854.399999999994</v>
      </c>
      <c r="AN621" s="7" t="s">
        <v>176</v>
      </c>
      <c r="AO621" s="20"/>
      <c r="AP621" s="21"/>
      <c r="AQ621" s="21"/>
      <c r="AR621" s="5" t="s">
        <v>912</v>
      </c>
      <c r="AS621" s="5" t="s">
        <v>164</v>
      </c>
      <c r="AT621" s="5" t="s">
        <v>59</v>
      </c>
      <c r="AU621" s="20"/>
      <c r="AV621" s="21"/>
      <c r="AW621" s="21"/>
      <c r="AX621" s="21"/>
    </row>
    <row r="622" spans="1:50" s="55" customFormat="1">
      <c r="A622" s="86" t="s">
        <v>318</v>
      </c>
      <c r="B622" s="5">
        <v>15014493</v>
      </c>
      <c r="C622" s="5" t="s">
        <v>997</v>
      </c>
      <c r="D622" s="5" t="s">
        <v>321</v>
      </c>
      <c r="E622" s="5" t="s">
        <v>52</v>
      </c>
      <c r="F622" s="5" t="s">
        <v>62</v>
      </c>
      <c r="G622" s="5" t="s">
        <v>211</v>
      </c>
      <c r="H622" s="5" t="s">
        <v>910</v>
      </c>
      <c r="I622" s="6">
        <v>42339</v>
      </c>
      <c r="J622" s="5" t="s">
        <v>336</v>
      </c>
      <c r="K622" s="5" t="s">
        <v>511</v>
      </c>
      <c r="L622" s="5" t="s">
        <v>324</v>
      </c>
      <c r="M622" s="7">
        <v>6</v>
      </c>
      <c r="N622" s="7" t="s">
        <v>176</v>
      </c>
      <c r="O622" s="8">
        <v>5061</v>
      </c>
      <c r="P622" s="9">
        <v>0.02</v>
      </c>
      <c r="Q622" s="10">
        <f t="shared" si="118"/>
        <v>101</v>
      </c>
      <c r="R622" s="9">
        <v>5.0000000000000001E-3</v>
      </c>
      <c r="S622" s="10">
        <f t="shared" si="119"/>
        <v>25</v>
      </c>
      <c r="T622" s="9">
        <f t="shared" si="120"/>
        <v>2.4896265560165973E-2</v>
      </c>
      <c r="U622" s="10">
        <f t="shared" si="121"/>
        <v>126</v>
      </c>
      <c r="V622" s="10">
        <f t="shared" si="122"/>
        <v>5187</v>
      </c>
      <c r="W622" s="11">
        <v>5213</v>
      </c>
      <c r="X622" s="12">
        <f t="shared" si="123"/>
        <v>152</v>
      </c>
      <c r="Y622" s="13">
        <f t="shared" si="124"/>
        <v>0.03</v>
      </c>
      <c r="Z622" s="14" t="str">
        <f t="shared" si="125"/>
        <v>0.00%-8.40%</v>
      </c>
      <c r="AA622" s="15"/>
      <c r="AB622" s="15"/>
      <c r="AC622" s="15"/>
      <c r="AD622" s="16"/>
      <c r="AE622" s="8">
        <f t="shared" si="126"/>
        <v>0</v>
      </c>
      <c r="AF622" s="17">
        <f t="shared" si="127"/>
        <v>5213</v>
      </c>
      <c r="AG622" s="18">
        <f t="shared" si="128"/>
        <v>152</v>
      </c>
      <c r="AH622" s="19">
        <f t="shared" si="129"/>
        <v>3.0033590199565197E-2</v>
      </c>
      <c r="AI622" s="20">
        <v>13.6</v>
      </c>
      <c r="AJ622" s="20">
        <v>450</v>
      </c>
      <c r="AK622" s="20"/>
      <c r="AL622" s="20">
        <v>688</v>
      </c>
      <c r="AM622" s="20">
        <f t="shared" si="130"/>
        <v>76984.800000000003</v>
      </c>
      <c r="AN622" s="7" t="s">
        <v>176</v>
      </c>
      <c r="AO622" s="20"/>
      <c r="AP622" s="21"/>
      <c r="AQ622" s="21"/>
      <c r="AR622" s="5" t="s">
        <v>912</v>
      </c>
      <c r="AS622" s="5" t="s">
        <v>164</v>
      </c>
      <c r="AT622" s="5" t="s">
        <v>59</v>
      </c>
      <c r="AU622" s="20"/>
      <c r="AV622" s="21"/>
      <c r="AW622" s="21"/>
      <c r="AX622" s="21"/>
    </row>
    <row r="623" spans="1:50" s="55" customFormat="1">
      <c r="A623" s="86" t="s">
        <v>318</v>
      </c>
      <c r="B623" s="5">
        <v>15006231</v>
      </c>
      <c r="C623" s="5" t="s">
        <v>998</v>
      </c>
      <c r="D623" s="5" t="s">
        <v>321</v>
      </c>
      <c r="E623" s="5" t="s">
        <v>52</v>
      </c>
      <c r="F623" s="5" t="s">
        <v>62</v>
      </c>
      <c r="G623" s="5" t="s">
        <v>211</v>
      </c>
      <c r="H623" s="5" t="s">
        <v>910</v>
      </c>
      <c r="I623" s="6">
        <v>40909</v>
      </c>
      <c r="J623" s="5" t="s">
        <v>336</v>
      </c>
      <c r="K623" s="5" t="s">
        <v>511</v>
      </c>
      <c r="L623" s="5" t="s">
        <v>324</v>
      </c>
      <c r="M623" s="7">
        <v>6</v>
      </c>
      <c r="N623" s="7" t="s">
        <v>176</v>
      </c>
      <c r="O623" s="8">
        <v>5499</v>
      </c>
      <c r="P623" s="9">
        <v>0.02</v>
      </c>
      <c r="Q623" s="10">
        <f t="shared" si="118"/>
        <v>110</v>
      </c>
      <c r="R623" s="9">
        <v>5.0000000000000001E-3</v>
      </c>
      <c r="S623" s="10">
        <f t="shared" si="119"/>
        <v>27</v>
      </c>
      <c r="T623" s="9">
        <f t="shared" si="120"/>
        <v>2.4913620658301508E-2</v>
      </c>
      <c r="U623" s="10">
        <f t="shared" si="121"/>
        <v>137</v>
      </c>
      <c r="V623" s="10">
        <f t="shared" si="122"/>
        <v>5636</v>
      </c>
      <c r="W623" s="11">
        <v>5829</v>
      </c>
      <c r="X623" s="12">
        <f t="shared" si="123"/>
        <v>330</v>
      </c>
      <c r="Y623" s="13">
        <f t="shared" si="124"/>
        <v>0.06</v>
      </c>
      <c r="Z623" s="14" t="str">
        <f t="shared" si="125"/>
        <v>0.00%-8.40%</v>
      </c>
      <c r="AA623" s="15"/>
      <c r="AB623" s="15"/>
      <c r="AC623" s="15"/>
      <c r="AD623" s="16"/>
      <c r="AE623" s="8">
        <f t="shared" si="126"/>
        <v>0</v>
      </c>
      <c r="AF623" s="17">
        <f t="shared" si="127"/>
        <v>5829</v>
      </c>
      <c r="AG623" s="18">
        <f t="shared" si="128"/>
        <v>330</v>
      </c>
      <c r="AH623" s="19">
        <f t="shared" si="129"/>
        <v>6.001091107474088E-2</v>
      </c>
      <c r="AI623" s="20">
        <v>13.6</v>
      </c>
      <c r="AJ623" s="20">
        <v>450</v>
      </c>
      <c r="AK623" s="20"/>
      <c r="AL623" s="20">
        <v>688</v>
      </c>
      <c r="AM623" s="20">
        <f t="shared" si="130"/>
        <v>85362.4</v>
      </c>
      <c r="AN623" s="7" t="s">
        <v>176</v>
      </c>
      <c r="AO623" s="20"/>
      <c r="AP623" s="21"/>
      <c r="AQ623" s="21"/>
      <c r="AR623" s="5" t="s">
        <v>912</v>
      </c>
      <c r="AS623" s="5" t="s">
        <v>164</v>
      </c>
      <c r="AT623" s="5" t="s">
        <v>59</v>
      </c>
      <c r="AU623" s="20"/>
      <c r="AV623" s="21"/>
      <c r="AW623" s="21"/>
      <c r="AX623" s="21"/>
    </row>
    <row r="624" spans="1:50" s="55" customFormat="1">
      <c r="A624" s="86" t="s">
        <v>318</v>
      </c>
      <c r="B624" s="5">
        <v>15016654</v>
      </c>
      <c r="C624" s="5" t="s">
        <v>999</v>
      </c>
      <c r="D624" s="5" t="s">
        <v>321</v>
      </c>
      <c r="E624" s="5" t="s">
        <v>52</v>
      </c>
      <c r="F624" s="5" t="s">
        <v>62</v>
      </c>
      <c r="G624" s="5" t="s">
        <v>211</v>
      </c>
      <c r="H624" s="5" t="s">
        <v>910</v>
      </c>
      <c r="I624" s="6">
        <v>42979</v>
      </c>
      <c r="J624" s="5" t="s">
        <v>336</v>
      </c>
      <c r="K624" s="5" t="s">
        <v>511</v>
      </c>
      <c r="L624" s="5" t="s">
        <v>324</v>
      </c>
      <c r="M624" s="7">
        <v>6</v>
      </c>
      <c r="N624" s="7" t="s">
        <v>176</v>
      </c>
      <c r="O624" s="8">
        <v>4581</v>
      </c>
      <c r="P624" s="9">
        <v>0.02</v>
      </c>
      <c r="Q624" s="10">
        <f t="shared" si="118"/>
        <v>92</v>
      </c>
      <c r="R624" s="9">
        <v>5.0000000000000001E-3</v>
      </c>
      <c r="S624" s="10">
        <f t="shared" si="119"/>
        <v>23</v>
      </c>
      <c r="T624" s="9">
        <f t="shared" si="120"/>
        <v>2.5103689150840429E-2</v>
      </c>
      <c r="U624" s="10">
        <f t="shared" si="121"/>
        <v>115</v>
      </c>
      <c r="V624" s="10">
        <f t="shared" si="122"/>
        <v>4696</v>
      </c>
      <c r="W624" s="11">
        <v>4696</v>
      </c>
      <c r="X624" s="12">
        <f t="shared" si="123"/>
        <v>115</v>
      </c>
      <c r="Y624" s="13">
        <f t="shared" si="124"/>
        <v>2.5100000000000001E-2</v>
      </c>
      <c r="Z624" s="14" t="str">
        <f t="shared" si="125"/>
        <v>0.00%-8.40%</v>
      </c>
      <c r="AA624" s="15"/>
      <c r="AB624" s="15"/>
      <c r="AC624" s="15"/>
      <c r="AD624" s="16"/>
      <c r="AE624" s="8">
        <f t="shared" si="126"/>
        <v>0</v>
      </c>
      <c r="AF624" s="17">
        <f t="shared" si="127"/>
        <v>4696</v>
      </c>
      <c r="AG624" s="18">
        <f t="shared" si="128"/>
        <v>115</v>
      </c>
      <c r="AH624" s="19">
        <f t="shared" si="129"/>
        <v>2.5103689150840491E-2</v>
      </c>
      <c r="AI624" s="20">
        <v>13.6</v>
      </c>
      <c r="AJ624" s="20">
        <v>450</v>
      </c>
      <c r="AK624" s="20"/>
      <c r="AL624" s="20">
        <v>688</v>
      </c>
      <c r="AM624" s="20">
        <f t="shared" si="130"/>
        <v>69953.600000000006</v>
      </c>
      <c r="AN624" s="7" t="s">
        <v>176</v>
      </c>
      <c r="AO624" s="20"/>
      <c r="AP624" s="21"/>
      <c r="AQ624" s="21"/>
      <c r="AR624" s="5" t="s">
        <v>912</v>
      </c>
      <c r="AS624" s="5" t="s">
        <v>164</v>
      </c>
      <c r="AT624" s="5" t="s">
        <v>59</v>
      </c>
      <c r="AU624" s="20"/>
      <c r="AV624" s="21"/>
      <c r="AW624" s="21"/>
      <c r="AX624" s="21"/>
    </row>
    <row r="625" spans="1:50" s="55" customFormat="1">
      <c r="A625" s="86" t="s">
        <v>318</v>
      </c>
      <c r="B625" s="5">
        <v>15021814</v>
      </c>
      <c r="C625" s="5" t="s">
        <v>1000</v>
      </c>
      <c r="D625" s="5" t="s">
        <v>321</v>
      </c>
      <c r="E625" s="5" t="s">
        <v>52</v>
      </c>
      <c r="F625" s="5" t="s">
        <v>62</v>
      </c>
      <c r="G625" s="5" t="s">
        <v>211</v>
      </c>
      <c r="H625" s="5" t="s">
        <v>910</v>
      </c>
      <c r="I625" s="6">
        <v>44652</v>
      </c>
      <c r="J625" s="5" t="s">
        <v>336</v>
      </c>
      <c r="K625" s="5" t="s">
        <v>511</v>
      </c>
      <c r="L625" s="5" t="s">
        <v>324</v>
      </c>
      <c r="M625" s="7">
        <v>6</v>
      </c>
      <c r="N625" s="7" t="s">
        <v>176</v>
      </c>
      <c r="O625" s="8">
        <v>4629</v>
      </c>
      <c r="P625" s="9">
        <v>0.02</v>
      </c>
      <c r="Q625" s="10">
        <f t="shared" si="118"/>
        <v>93</v>
      </c>
      <c r="R625" s="9">
        <v>5.0000000000000001E-3</v>
      </c>
      <c r="S625" s="10">
        <f t="shared" si="119"/>
        <v>23</v>
      </c>
      <c r="T625" s="9">
        <f t="shared" si="120"/>
        <v>2.5059408079498812E-2</v>
      </c>
      <c r="U625" s="10">
        <f t="shared" si="121"/>
        <v>116</v>
      </c>
      <c r="V625" s="10">
        <f t="shared" si="122"/>
        <v>4745</v>
      </c>
      <c r="W625" s="11">
        <v>4745</v>
      </c>
      <c r="X625" s="12">
        <f t="shared" si="123"/>
        <v>116</v>
      </c>
      <c r="Y625" s="13">
        <f t="shared" si="124"/>
        <v>2.5100000000000001E-2</v>
      </c>
      <c r="Z625" s="14" t="str">
        <f t="shared" si="125"/>
        <v>0.00%-8.40%</v>
      </c>
      <c r="AA625" s="15"/>
      <c r="AB625" s="15"/>
      <c r="AC625" s="15"/>
      <c r="AD625" s="16"/>
      <c r="AE625" s="8">
        <f t="shared" si="126"/>
        <v>0</v>
      </c>
      <c r="AF625" s="17">
        <f t="shared" si="127"/>
        <v>4745</v>
      </c>
      <c r="AG625" s="18">
        <f t="shared" si="128"/>
        <v>116</v>
      </c>
      <c r="AH625" s="19">
        <f t="shared" si="129"/>
        <v>2.5059408079498802E-2</v>
      </c>
      <c r="AI625" s="20">
        <v>13.6</v>
      </c>
      <c r="AJ625" s="20">
        <v>450</v>
      </c>
      <c r="AK625" s="20"/>
      <c r="AL625" s="20">
        <v>688</v>
      </c>
      <c r="AM625" s="20">
        <f t="shared" si="130"/>
        <v>70620</v>
      </c>
      <c r="AN625" s="7" t="s">
        <v>176</v>
      </c>
      <c r="AO625" s="20"/>
      <c r="AP625" s="21"/>
      <c r="AQ625" s="21"/>
      <c r="AR625" s="5" t="s">
        <v>912</v>
      </c>
      <c r="AS625" s="5" t="s">
        <v>164</v>
      </c>
      <c r="AT625" s="5" t="s">
        <v>59</v>
      </c>
      <c r="AU625" s="20"/>
      <c r="AV625" s="21"/>
      <c r="AW625" s="21"/>
      <c r="AX625" s="21"/>
    </row>
    <row r="626" spans="1:50" s="55" customFormat="1">
      <c r="A626" s="86" t="s">
        <v>318</v>
      </c>
      <c r="B626" s="5">
        <v>15010898</v>
      </c>
      <c r="C626" s="5" t="s">
        <v>1001</v>
      </c>
      <c r="D626" s="5" t="s">
        <v>321</v>
      </c>
      <c r="E626" s="5" t="s">
        <v>52</v>
      </c>
      <c r="F626" s="5" t="s">
        <v>62</v>
      </c>
      <c r="G626" s="5" t="s">
        <v>211</v>
      </c>
      <c r="H626" s="5" t="s">
        <v>910</v>
      </c>
      <c r="I626" s="6">
        <v>41579</v>
      </c>
      <c r="J626" s="5" t="s">
        <v>336</v>
      </c>
      <c r="K626" s="5" t="s">
        <v>511</v>
      </c>
      <c r="L626" s="5" t="s">
        <v>324</v>
      </c>
      <c r="M626" s="7">
        <v>6</v>
      </c>
      <c r="N626" s="7" t="s">
        <v>176</v>
      </c>
      <c r="O626" s="8">
        <v>5521</v>
      </c>
      <c r="P626" s="9">
        <v>0.02</v>
      </c>
      <c r="Q626" s="10">
        <f t="shared" si="118"/>
        <v>110</v>
      </c>
      <c r="R626" s="9">
        <v>5.0000000000000001E-3</v>
      </c>
      <c r="S626" s="10">
        <f t="shared" si="119"/>
        <v>28</v>
      </c>
      <c r="T626" s="9">
        <f t="shared" si="120"/>
        <v>2.4995471834812533E-2</v>
      </c>
      <c r="U626" s="10">
        <f t="shared" si="121"/>
        <v>138</v>
      </c>
      <c r="V626" s="10">
        <f t="shared" si="122"/>
        <v>5659</v>
      </c>
      <c r="W626" s="11">
        <v>5659</v>
      </c>
      <c r="X626" s="12">
        <f t="shared" si="123"/>
        <v>138</v>
      </c>
      <c r="Y626" s="13">
        <f t="shared" si="124"/>
        <v>2.5000000000000001E-2</v>
      </c>
      <c r="Z626" s="14" t="str">
        <f t="shared" si="125"/>
        <v>0.00%-8.40%</v>
      </c>
      <c r="AA626" s="15"/>
      <c r="AB626" s="15"/>
      <c r="AC626" s="15"/>
      <c r="AD626" s="16"/>
      <c r="AE626" s="8">
        <f t="shared" si="126"/>
        <v>0</v>
      </c>
      <c r="AF626" s="17">
        <f t="shared" si="127"/>
        <v>5659</v>
      </c>
      <c r="AG626" s="18">
        <f t="shared" si="128"/>
        <v>138</v>
      </c>
      <c r="AH626" s="19">
        <f t="shared" si="129"/>
        <v>2.4995471834812433E-2</v>
      </c>
      <c r="AI626" s="20">
        <v>13.6</v>
      </c>
      <c r="AJ626" s="20">
        <v>450</v>
      </c>
      <c r="AK626" s="20"/>
      <c r="AL626" s="20">
        <v>688</v>
      </c>
      <c r="AM626" s="20">
        <f t="shared" si="130"/>
        <v>83050.399999999994</v>
      </c>
      <c r="AN626" s="7" t="s">
        <v>176</v>
      </c>
      <c r="AO626" s="20"/>
      <c r="AP626" s="21"/>
      <c r="AQ626" s="21"/>
      <c r="AR626" s="5" t="s">
        <v>912</v>
      </c>
      <c r="AS626" s="5" t="s">
        <v>164</v>
      </c>
      <c r="AT626" s="5" t="s">
        <v>59</v>
      </c>
      <c r="AU626" s="20"/>
      <c r="AV626" s="21"/>
      <c r="AW626" s="21"/>
      <c r="AX626" s="21"/>
    </row>
    <row r="627" spans="1:50" s="55" customFormat="1">
      <c r="A627" s="86" t="s">
        <v>318</v>
      </c>
      <c r="B627" s="5">
        <v>15015041</v>
      </c>
      <c r="C627" s="5" t="s">
        <v>1002</v>
      </c>
      <c r="D627" s="5" t="s">
        <v>321</v>
      </c>
      <c r="E627" s="5" t="s">
        <v>52</v>
      </c>
      <c r="F627" s="5" t="s">
        <v>62</v>
      </c>
      <c r="G627" s="5" t="s">
        <v>211</v>
      </c>
      <c r="H627" s="5" t="s">
        <v>910</v>
      </c>
      <c r="I627" s="6">
        <v>42522</v>
      </c>
      <c r="J627" s="5" t="s">
        <v>336</v>
      </c>
      <c r="K627" s="5" t="s">
        <v>511</v>
      </c>
      <c r="L627" s="5" t="s">
        <v>324</v>
      </c>
      <c r="M627" s="7">
        <v>6</v>
      </c>
      <c r="N627" s="7" t="s">
        <v>176</v>
      </c>
      <c r="O627" s="8">
        <v>4794</v>
      </c>
      <c r="P627" s="9">
        <v>0.02</v>
      </c>
      <c r="Q627" s="10">
        <f t="shared" si="118"/>
        <v>96</v>
      </c>
      <c r="R627" s="9">
        <v>5.0000000000000001E-3</v>
      </c>
      <c r="S627" s="10">
        <f t="shared" si="119"/>
        <v>24</v>
      </c>
      <c r="T627" s="9">
        <f t="shared" si="120"/>
        <v>2.5031289111389236E-2</v>
      </c>
      <c r="U627" s="10">
        <f t="shared" si="121"/>
        <v>120</v>
      </c>
      <c r="V627" s="10">
        <f t="shared" si="122"/>
        <v>4914</v>
      </c>
      <c r="W627" s="11">
        <v>4794</v>
      </c>
      <c r="X627" s="12">
        <f t="shared" si="123"/>
        <v>0</v>
      </c>
      <c r="Y627" s="13">
        <f t="shared" si="124"/>
        <v>0</v>
      </c>
      <c r="Z627" s="14" t="str">
        <f t="shared" si="125"/>
        <v>0.00%-8.40%</v>
      </c>
      <c r="AA627" s="15"/>
      <c r="AB627" s="15"/>
      <c r="AC627" s="15"/>
      <c r="AD627" s="16"/>
      <c r="AE627" s="8">
        <f t="shared" si="126"/>
        <v>0</v>
      </c>
      <c r="AF627" s="17">
        <f t="shared" si="127"/>
        <v>4794</v>
      </c>
      <c r="AG627" s="18">
        <f t="shared" si="128"/>
        <v>0</v>
      </c>
      <c r="AH627" s="19">
        <f t="shared" si="129"/>
        <v>0</v>
      </c>
      <c r="AI627" s="20">
        <v>13.6</v>
      </c>
      <c r="AJ627" s="20">
        <v>450</v>
      </c>
      <c r="AK627" s="20"/>
      <c r="AL627" s="20">
        <v>688</v>
      </c>
      <c r="AM627" s="20">
        <f t="shared" si="130"/>
        <v>71286.399999999994</v>
      </c>
      <c r="AN627" s="7" t="s">
        <v>176</v>
      </c>
      <c r="AO627" s="20"/>
      <c r="AP627" s="21" t="s">
        <v>487</v>
      </c>
      <c r="AQ627" s="21" t="s">
        <v>496</v>
      </c>
      <c r="AR627" s="5" t="s">
        <v>912</v>
      </c>
      <c r="AS627" s="5" t="s">
        <v>164</v>
      </c>
      <c r="AT627" s="5" t="s">
        <v>59</v>
      </c>
      <c r="AU627" s="20"/>
      <c r="AV627" s="21"/>
      <c r="AW627" s="21"/>
      <c r="AX627" s="21"/>
    </row>
    <row r="628" spans="1:50" s="55" customFormat="1">
      <c r="A628" s="86" t="s">
        <v>318</v>
      </c>
      <c r="B628" s="5">
        <v>15014880</v>
      </c>
      <c r="C628" s="5" t="s">
        <v>1003</v>
      </c>
      <c r="D628" s="5" t="s">
        <v>321</v>
      </c>
      <c r="E628" s="5" t="s">
        <v>52</v>
      </c>
      <c r="F628" s="5" t="s">
        <v>62</v>
      </c>
      <c r="G628" s="5" t="s">
        <v>211</v>
      </c>
      <c r="H628" s="5" t="s">
        <v>910</v>
      </c>
      <c r="I628" s="6">
        <v>42370</v>
      </c>
      <c r="J628" s="5" t="s">
        <v>336</v>
      </c>
      <c r="K628" s="5" t="s">
        <v>511</v>
      </c>
      <c r="L628" s="5" t="s">
        <v>324</v>
      </c>
      <c r="M628" s="7">
        <v>6</v>
      </c>
      <c r="N628" s="7" t="s">
        <v>176</v>
      </c>
      <c r="O628" s="8">
        <v>4661</v>
      </c>
      <c r="P628" s="9">
        <v>0.02</v>
      </c>
      <c r="Q628" s="10">
        <f t="shared" si="118"/>
        <v>93</v>
      </c>
      <c r="R628" s="9">
        <v>5.0000000000000001E-3</v>
      </c>
      <c r="S628" s="10">
        <f t="shared" si="119"/>
        <v>23</v>
      </c>
      <c r="T628" s="9">
        <f t="shared" si="120"/>
        <v>2.4887363226775368E-2</v>
      </c>
      <c r="U628" s="10">
        <f t="shared" si="121"/>
        <v>116</v>
      </c>
      <c r="V628" s="10">
        <f t="shared" si="122"/>
        <v>4777</v>
      </c>
      <c r="W628" s="11">
        <v>4661</v>
      </c>
      <c r="X628" s="12">
        <f t="shared" si="123"/>
        <v>0</v>
      </c>
      <c r="Y628" s="13">
        <f t="shared" si="124"/>
        <v>0</v>
      </c>
      <c r="Z628" s="14" t="str">
        <f t="shared" si="125"/>
        <v>0.00%-8.40%</v>
      </c>
      <c r="AA628" s="15"/>
      <c r="AB628" s="15"/>
      <c r="AC628" s="15"/>
      <c r="AD628" s="16"/>
      <c r="AE628" s="8">
        <f t="shared" si="126"/>
        <v>0</v>
      </c>
      <c r="AF628" s="17">
        <f t="shared" si="127"/>
        <v>4661</v>
      </c>
      <c r="AG628" s="18">
        <f t="shared" si="128"/>
        <v>0</v>
      </c>
      <c r="AH628" s="19">
        <f t="shared" si="129"/>
        <v>0</v>
      </c>
      <c r="AI628" s="20">
        <v>13.6</v>
      </c>
      <c r="AJ628" s="20">
        <v>450</v>
      </c>
      <c r="AK628" s="20"/>
      <c r="AL628" s="20">
        <v>688</v>
      </c>
      <c r="AM628" s="20">
        <f t="shared" si="130"/>
        <v>69477.600000000006</v>
      </c>
      <c r="AN628" s="7" t="s">
        <v>176</v>
      </c>
      <c r="AO628" s="20"/>
      <c r="AP628" s="21" t="s">
        <v>97</v>
      </c>
      <c r="AQ628" s="21" t="s">
        <v>97</v>
      </c>
      <c r="AR628" s="5" t="s">
        <v>912</v>
      </c>
      <c r="AS628" s="5" t="s">
        <v>164</v>
      </c>
      <c r="AT628" s="5" t="s">
        <v>59</v>
      </c>
      <c r="AU628" s="20"/>
      <c r="AV628" s="21"/>
      <c r="AW628" s="21"/>
      <c r="AX628" s="21"/>
    </row>
    <row r="629" spans="1:50" s="55" customFormat="1">
      <c r="A629" s="86" t="s">
        <v>318</v>
      </c>
      <c r="B629" s="5">
        <v>15002930</v>
      </c>
      <c r="C629" s="5" t="s">
        <v>1004</v>
      </c>
      <c r="D629" s="5" t="s">
        <v>321</v>
      </c>
      <c r="E629" s="5" t="s">
        <v>52</v>
      </c>
      <c r="F629" s="5" t="s">
        <v>62</v>
      </c>
      <c r="G629" s="5" t="s">
        <v>211</v>
      </c>
      <c r="H629" s="5" t="s">
        <v>910</v>
      </c>
      <c r="I629" s="6">
        <v>40269</v>
      </c>
      <c r="J629" s="5" t="s">
        <v>336</v>
      </c>
      <c r="K629" s="5" t="s">
        <v>511</v>
      </c>
      <c r="L629" s="5" t="s">
        <v>324</v>
      </c>
      <c r="M629" s="7">
        <v>6</v>
      </c>
      <c r="N629" s="7" t="s">
        <v>176</v>
      </c>
      <c r="O629" s="8">
        <v>4595</v>
      </c>
      <c r="P629" s="9">
        <v>0.02</v>
      </c>
      <c r="Q629" s="10">
        <f t="shared" si="118"/>
        <v>92</v>
      </c>
      <c r="R629" s="9">
        <v>5.0000000000000001E-3</v>
      </c>
      <c r="S629" s="10">
        <f t="shared" si="119"/>
        <v>23</v>
      </c>
      <c r="T629" s="9">
        <f t="shared" si="120"/>
        <v>2.5027203482045703E-2</v>
      </c>
      <c r="U629" s="10">
        <f t="shared" si="121"/>
        <v>115</v>
      </c>
      <c r="V629" s="10">
        <f t="shared" si="122"/>
        <v>4710</v>
      </c>
      <c r="W629" s="11">
        <v>4710</v>
      </c>
      <c r="X629" s="12">
        <f t="shared" si="123"/>
        <v>115</v>
      </c>
      <c r="Y629" s="13">
        <f t="shared" si="124"/>
        <v>2.5000000000000001E-2</v>
      </c>
      <c r="Z629" s="14" t="str">
        <f t="shared" si="125"/>
        <v>0.00%-8.40%</v>
      </c>
      <c r="AA629" s="15"/>
      <c r="AB629" s="15"/>
      <c r="AC629" s="15"/>
      <c r="AD629" s="16"/>
      <c r="AE629" s="8">
        <f t="shared" si="126"/>
        <v>0</v>
      </c>
      <c r="AF629" s="17">
        <f t="shared" si="127"/>
        <v>4710</v>
      </c>
      <c r="AG629" s="18">
        <f t="shared" si="128"/>
        <v>115</v>
      </c>
      <c r="AH629" s="19">
        <f t="shared" si="129"/>
        <v>2.502720348204579E-2</v>
      </c>
      <c r="AI629" s="20">
        <v>13.6</v>
      </c>
      <c r="AJ629" s="20">
        <v>450</v>
      </c>
      <c r="AK629" s="20"/>
      <c r="AL629" s="20">
        <v>688</v>
      </c>
      <c r="AM629" s="20">
        <f t="shared" si="130"/>
        <v>70144</v>
      </c>
      <c r="AN629" s="7" t="s">
        <v>176</v>
      </c>
      <c r="AO629" s="20"/>
      <c r="AP629" s="21"/>
      <c r="AQ629" s="21"/>
      <c r="AR629" s="5" t="s">
        <v>912</v>
      </c>
      <c r="AS629" s="5" t="s">
        <v>164</v>
      </c>
      <c r="AT629" s="5" t="s">
        <v>59</v>
      </c>
      <c r="AU629" s="20"/>
      <c r="AV629" s="21"/>
      <c r="AW629" s="21"/>
      <c r="AX629" s="21"/>
    </row>
    <row r="630" spans="1:50" s="55" customFormat="1">
      <c r="A630" s="86" t="s">
        <v>318</v>
      </c>
      <c r="B630" s="5">
        <v>15017659</v>
      </c>
      <c r="C630" s="5" t="s">
        <v>1005</v>
      </c>
      <c r="D630" s="5" t="s">
        <v>321</v>
      </c>
      <c r="E630" s="5" t="s">
        <v>52</v>
      </c>
      <c r="F630" s="5" t="s">
        <v>62</v>
      </c>
      <c r="G630" s="5" t="s">
        <v>211</v>
      </c>
      <c r="H630" s="5" t="s">
        <v>910</v>
      </c>
      <c r="I630" s="6">
        <v>43132</v>
      </c>
      <c r="J630" s="5" t="s">
        <v>336</v>
      </c>
      <c r="K630" s="5" t="s">
        <v>511</v>
      </c>
      <c r="L630" s="5" t="s">
        <v>324</v>
      </c>
      <c r="M630" s="7">
        <v>6</v>
      </c>
      <c r="N630" s="7" t="s">
        <v>176</v>
      </c>
      <c r="O630" s="8">
        <v>5052</v>
      </c>
      <c r="P630" s="9">
        <v>0.02</v>
      </c>
      <c r="Q630" s="10">
        <f t="shared" si="118"/>
        <v>101</v>
      </c>
      <c r="R630" s="9">
        <v>5.0000000000000001E-3</v>
      </c>
      <c r="S630" s="10">
        <f t="shared" si="119"/>
        <v>25</v>
      </c>
      <c r="T630" s="9">
        <f t="shared" si="120"/>
        <v>2.4940617577197149E-2</v>
      </c>
      <c r="U630" s="10">
        <f t="shared" si="121"/>
        <v>126</v>
      </c>
      <c r="V630" s="10">
        <f t="shared" si="122"/>
        <v>5178</v>
      </c>
      <c r="W630" s="11">
        <v>5128</v>
      </c>
      <c r="X630" s="12">
        <f t="shared" si="123"/>
        <v>76</v>
      </c>
      <c r="Y630" s="13">
        <f t="shared" si="124"/>
        <v>1.4999999999999999E-2</v>
      </c>
      <c r="Z630" s="14" t="str">
        <f t="shared" si="125"/>
        <v>0.00%-8.40%</v>
      </c>
      <c r="AA630" s="15"/>
      <c r="AB630" s="15"/>
      <c r="AC630" s="15"/>
      <c r="AD630" s="16"/>
      <c r="AE630" s="8">
        <f t="shared" si="126"/>
        <v>0</v>
      </c>
      <c r="AF630" s="17">
        <f t="shared" si="127"/>
        <v>5128</v>
      </c>
      <c r="AG630" s="18">
        <f t="shared" si="128"/>
        <v>76</v>
      </c>
      <c r="AH630" s="19">
        <f t="shared" si="129"/>
        <v>1.50435471100554E-2</v>
      </c>
      <c r="AI630" s="20">
        <v>13.6</v>
      </c>
      <c r="AJ630" s="20">
        <v>450</v>
      </c>
      <c r="AK630" s="20"/>
      <c r="AL630" s="20">
        <v>688</v>
      </c>
      <c r="AM630" s="20">
        <f t="shared" si="130"/>
        <v>75828.800000000003</v>
      </c>
      <c r="AN630" s="7" t="s">
        <v>176</v>
      </c>
      <c r="AO630" s="20"/>
      <c r="AP630" s="21"/>
      <c r="AQ630" s="21"/>
      <c r="AR630" s="5" t="s">
        <v>912</v>
      </c>
      <c r="AS630" s="5" t="s">
        <v>164</v>
      </c>
      <c r="AT630" s="5" t="s">
        <v>59</v>
      </c>
      <c r="AU630" s="20"/>
      <c r="AV630" s="21"/>
      <c r="AW630" s="21"/>
      <c r="AX630" s="21"/>
    </row>
    <row r="631" spans="1:50" s="55" customFormat="1">
      <c r="A631" s="86" t="s">
        <v>318</v>
      </c>
      <c r="B631" s="5">
        <v>15014677</v>
      </c>
      <c r="C631" s="5" t="s">
        <v>1006</v>
      </c>
      <c r="D631" s="5" t="s">
        <v>321</v>
      </c>
      <c r="E631" s="5" t="s">
        <v>52</v>
      </c>
      <c r="F631" s="5" t="s">
        <v>62</v>
      </c>
      <c r="G631" s="5" t="s">
        <v>211</v>
      </c>
      <c r="H631" s="5" t="s">
        <v>910</v>
      </c>
      <c r="I631" s="6">
        <v>42401</v>
      </c>
      <c r="J631" s="5" t="s">
        <v>336</v>
      </c>
      <c r="K631" s="5" t="s">
        <v>511</v>
      </c>
      <c r="L631" s="5" t="s">
        <v>324</v>
      </c>
      <c r="M631" s="7">
        <v>6</v>
      </c>
      <c r="N631" s="7" t="s">
        <v>176</v>
      </c>
      <c r="O631" s="8">
        <v>5115</v>
      </c>
      <c r="P631" s="9">
        <v>0.02</v>
      </c>
      <c r="Q631" s="10">
        <f t="shared" si="118"/>
        <v>102</v>
      </c>
      <c r="R631" s="9">
        <v>5.0000000000000001E-3</v>
      </c>
      <c r="S631" s="10">
        <f t="shared" si="119"/>
        <v>26</v>
      </c>
      <c r="T631" s="9">
        <f t="shared" si="120"/>
        <v>2.5024437927663734E-2</v>
      </c>
      <c r="U631" s="10">
        <f t="shared" si="121"/>
        <v>128</v>
      </c>
      <c r="V631" s="10">
        <f t="shared" si="122"/>
        <v>5243</v>
      </c>
      <c r="W631" s="11">
        <v>5268</v>
      </c>
      <c r="X631" s="12">
        <f t="shared" si="123"/>
        <v>153</v>
      </c>
      <c r="Y631" s="13">
        <f t="shared" si="124"/>
        <v>2.9899999999999999E-2</v>
      </c>
      <c r="Z631" s="14" t="str">
        <f t="shared" si="125"/>
        <v>0.00%-8.40%</v>
      </c>
      <c r="AA631" s="15"/>
      <c r="AB631" s="15"/>
      <c r="AC631" s="15"/>
      <c r="AD631" s="16"/>
      <c r="AE631" s="8">
        <f t="shared" si="126"/>
        <v>0</v>
      </c>
      <c r="AF631" s="17">
        <f t="shared" si="127"/>
        <v>5268</v>
      </c>
      <c r="AG631" s="18">
        <f t="shared" si="128"/>
        <v>153</v>
      </c>
      <c r="AH631" s="19">
        <f t="shared" si="129"/>
        <v>2.9912023460410664E-2</v>
      </c>
      <c r="AI631" s="20">
        <v>13.6</v>
      </c>
      <c r="AJ631" s="20">
        <v>450</v>
      </c>
      <c r="AK631" s="20"/>
      <c r="AL631" s="20">
        <v>688</v>
      </c>
      <c r="AM631" s="20">
        <f t="shared" si="130"/>
        <v>77732.800000000003</v>
      </c>
      <c r="AN631" s="7" t="s">
        <v>176</v>
      </c>
      <c r="AO631" s="20"/>
      <c r="AP631" s="21"/>
      <c r="AQ631" s="21"/>
      <c r="AR631" s="5" t="s">
        <v>912</v>
      </c>
      <c r="AS631" s="5" t="s">
        <v>164</v>
      </c>
      <c r="AT631" s="5" t="s">
        <v>59</v>
      </c>
      <c r="AU631" s="20"/>
      <c r="AV631" s="21"/>
      <c r="AW631" s="21"/>
      <c r="AX631" s="21"/>
    </row>
    <row r="632" spans="1:50" s="55" customFormat="1">
      <c r="A632" s="86" t="s">
        <v>318</v>
      </c>
      <c r="B632" s="5">
        <v>15000657</v>
      </c>
      <c r="C632" s="5" t="s">
        <v>1007</v>
      </c>
      <c r="D632" s="5" t="s">
        <v>321</v>
      </c>
      <c r="E632" s="5" t="s">
        <v>52</v>
      </c>
      <c r="F632" s="5" t="s">
        <v>62</v>
      </c>
      <c r="G632" s="5" t="s">
        <v>211</v>
      </c>
      <c r="H632" s="5" t="s">
        <v>910</v>
      </c>
      <c r="I632" s="6">
        <v>38961</v>
      </c>
      <c r="J632" s="5" t="s">
        <v>336</v>
      </c>
      <c r="K632" s="5" t="s">
        <v>511</v>
      </c>
      <c r="L632" s="5" t="s">
        <v>324</v>
      </c>
      <c r="M632" s="7">
        <v>6</v>
      </c>
      <c r="N632" s="7" t="s">
        <v>176</v>
      </c>
      <c r="O632" s="8">
        <v>4786</v>
      </c>
      <c r="P632" s="9">
        <v>0.02</v>
      </c>
      <c r="Q632" s="10">
        <f t="shared" si="118"/>
        <v>96</v>
      </c>
      <c r="R632" s="9">
        <v>5.0000000000000001E-3</v>
      </c>
      <c r="S632" s="10">
        <f t="shared" si="119"/>
        <v>24</v>
      </c>
      <c r="T632" s="9">
        <f t="shared" si="120"/>
        <v>2.5073129962390306E-2</v>
      </c>
      <c r="U632" s="10">
        <f t="shared" si="121"/>
        <v>120</v>
      </c>
      <c r="V632" s="10">
        <f t="shared" si="122"/>
        <v>4906</v>
      </c>
      <c r="W632" s="11">
        <v>4786</v>
      </c>
      <c r="X632" s="12">
        <f t="shared" si="123"/>
        <v>0</v>
      </c>
      <c r="Y632" s="13">
        <f t="shared" si="124"/>
        <v>0</v>
      </c>
      <c r="Z632" s="14" t="str">
        <f t="shared" si="125"/>
        <v>0.00%-8.40%</v>
      </c>
      <c r="AA632" s="15"/>
      <c r="AB632" s="15"/>
      <c r="AC632" s="15"/>
      <c r="AD632" s="16"/>
      <c r="AE632" s="8">
        <f t="shared" si="126"/>
        <v>0</v>
      </c>
      <c r="AF632" s="17">
        <f t="shared" si="127"/>
        <v>4786</v>
      </c>
      <c r="AG632" s="18">
        <f t="shared" si="128"/>
        <v>0</v>
      </c>
      <c r="AH632" s="19">
        <f t="shared" si="129"/>
        <v>0</v>
      </c>
      <c r="AI632" s="20">
        <v>13.6</v>
      </c>
      <c r="AJ632" s="20">
        <v>500</v>
      </c>
      <c r="AK632" s="20"/>
      <c r="AL632" s="20">
        <v>688</v>
      </c>
      <c r="AM632" s="20">
        <f t="shared" si="130"/>
        <v>71777.600000000006</v>
      </c>
      <c r="AN632" s="7" t="s">
        <v>176</v>
      </c>
      <c r="AO632" s="20"/>
      <c r="AP632" s="21" t="s">
        <v>97</v>
      </c>
      <c r="AQ632" s="21" t="s">
        <v>97</v>
      </c>
      <c r="AR632" s="5" t="s">
        <v>912</v>
      </c>
      <c r="AS632" s="5" t="s">
        <v>164</v>
      </c>
      <c r="AT632" s="5" t="s">
        <v>59</v>
      </c>
      <c r="AU632" s="20"/>
      <c r="AV632" s="21"/>
      <c r="AW632" s="21"/>
      <c r="AX632" s="21"/>
    </row>
    <row r="633" spans="1:50" s="55" customFormat="1">
      <c r="A633" s="86" t="s">
        <v>318</v>
      </c>
      <c r="B633" s="5">
        <v>15010703</v>
      </c>
      <c r="C633" s="5" t="s">
        <v>1008</v>
      </c>
      <c r="D633" s="5" t="s">
        <v>321</v>
      </c>
      <c r="E633" s="5" t="s">
        <v>52</v>
      </c>
      <c r="F633" s="5" t="s">
        <v>62</v>
      </c>
      <c r="G633" s="5" t="s">
        <v>211</v>
      </c>
      <c r="H633" s="5" t="s">
        <v>910</v>
      </c>
      <c r="I633" s="6">
        <v>41579</v>
      </c>
      <c r="J633" s="5" t="s">
        <v>336</v>
      </c>
      <c r="K633" s="5" t="s">
        <v>511</v>
      </c>
      <c r="L633" s="5" t="s">
        <v>324</v>
      </c>
      <c r="M633" s="7">
        <v>6</v>
      </c>
      <c r="N633" s="7" t="s">
        <v>176</v>
      </c>
      <c r="O633" s="8">
        <v>4959</v>
      </c>
      <c r="P633" s="9">
        <v>0.02</v>
      </c>
      <c r="Q633" s="10">
        <f t="shared" si="118"/>
        <v>99</v>
      </c>
      <c r="R633" s="9">
        <v>5.0000000000000001E-3</v>
      </c>
      <c r="S633" s="10">
        <f t="shared" si="119"/>
        <v>25</v>
      </c>
      <c r="T633" s="9">
        <f t="shared" si="120"/>
        <v>2.5005041338979635E-2</v>
      </c>
      <c r="U633" s="10">
        <f t="shared" si="121"/>
        <v>124</v>
      </c>
      <c r="V633" s="10">
        <f t="shared" si="122"/>
        <v>5083</v>
      </c>
      <c r="W633" s="11">
        <v>5108</v>
      </c>
      <c r="X633" s="12">
        <f t="shared" si="123"/>
        <v>149</v>
      </c>
      <c r="Y633" s="13">
        <f t="shared" si="124"/>
        <v>0.03</v>
      </c>
      <c r="Z633" s="14" t="str">
        <f t="shared" si="125"/>
        <v>0.00%-8.40%</v>
      </c>
      <c r="AA633" s="15"/>
      <c r="AB633" s="15"/>
      <c r="AC633" s="15"/>
      <c r="AD633" s="16"/>
      <c r="AE633" s="8">
        <f t="shared" si="126"/>
        <v>0</v>
      </c>
      <c r="AF633" s="17">
        <f t="shared" si="127"/>
        <v>5108</v>
      </c>
      <c r="AG633" s="18">
        <f t="shared" si="128"/>
        <v>149</v>
      </c>
      <c r="AH633" s="19">
        <f t="shared" si="129"/>
        <v>3.004638031861262E-2</v>
      </c>
      <c r="AI633" s="20">
        <v>13.6</v>
      </c>
      <c r="AJ633" s="20">
        <v>450</v>
      </c>
      <c r="AK633" s="20"/>
      <c r="AL633" s="20">
        <v>688</v>
      </c>
      <c r="AM633" s="20">
        <f t="shared" si="130"/>
        <v>75556.800000000003</v>
      </c>
      <c r="AN633" s="7" t="s">
        <v>176</v>
      </c>
      <c r="AO633" s="20"/>
      <c r="AP633" s="21"/>
      <c r="AQ633" s="21"/>
      <c r="AR633" s="5" t="s">
        <v>912</v>
      </c>
      <c r="AS633" s="5" t="s">
        <v>164</v>
      </c>
      <c r="AT633" s="5" t="s">
        <v>59</v>
      </c>
      <c r="AU633" s="20"/>
      <c r="AV633" s="21"/>
      <c r="AW633" s="21"/>
      <c r="AX633" s="21"/>
    </row>
    <row r="634" spans="1:50" s="55" customFormat="1">
      <c r="A634" s="86" t="s">
        <v>318</v>
      </c>
      <c r="B634" s="5">
        <v>15009208</v>
      </c>
      <c r="C634" s="5" t="s">
        <v>1009</v>
      </c>
      <c r="D634" s="5" t="s">
        <v>321</v>
      </c>
      <c r="E634" s="5" t="s">
        <v>52</v>
      </c>
      <c r="F634" s="5" t="s">
        <v>62</v>
      </c>
      <c r="G634" s="5" t="s">
        <v>211</v>
      </c>
      <c r="H634" s="5" t="s">
        <v>910</v>
      </c>
      <c r="I634" s="6">
        <v>41487</v>
      </c>
      <c r="J634" s="5" t="s">
        <v>336</v>
      </c>
      <c r="K634" s="5" t="s">
        <v>511</v>
      </c>
      <c r="L634" s="5" t="s">
        <v>324</v>
      </c>
      <c r="M634" s="7">
        <v>6</v>
      </c>
      <c r="N634" s="7" t="s">
        <v>176</v>
      </c>
      <c r="O634" s="8">
        <v>5392</v>
      </c>
      <c r="P634" s="9">
        <v>0.02</v>
      </c>
      <c r="Q634" s="10">
        <f t="shared" si="118"/>
        <v>108</v>
      </c>
      <c r="R634" s="9">
        <v>5.0000000000000001E-3</v>
      </c>
      <c r="S634" s="10">
        <f t="shared" si="119"/>
        <v>27</v>
      </c>
      <c r="T634" s="9">
        <f t="shared" si="120"/>
        <v>2.5037091988130564E-2</v>
      </c>
      <c r="U634" s="10">
        <f t="shared" si="121"/>
        <v>135</v>
      </c>
      <c r="V634" s="10">
        <f t="shared" si="122"/>
        <v>5527</v>
      </c>
      <c r="W634" s="11">
        <v>5527</v>
      </c>
      <c r="X634" s="12">
        <f t="shared" si="123"/>
        <v>135</v>
      </c>
      <c r="Y634" s="13">
        <f t="shared" si="124"/>
        <v>2.5000000000000001E-2</v>
      </c>
      <c r="Z634" s="14" t="str">
        <f t="shared" si="125"/>
        <v>0.00%-8.40%</v>
      </c>
      <c r="AA634" s="15"/>
      <c r="AB634" s="15"/>
      <c r="AC634" s="15"/>
      <c r="AD634" s="16"/>
      <c r="AE634" s="8">
        <f t="shared" si="126"/>
        <v>0</v>
      </c>
      <c r="AF634" s="17">
        <f t="shared" si="127"/>
        <v>5527</v>
      </c>
      <c r="AG634" s="18">
        <f t="shared" si="128"/>
        <v>135</v>
      </c>
      <c r="AH634" s="19">
        <f t="shared" si="129"/>
        <v>2.5037091988130644E-2</v>
      </c>
      <c r="AI634" s="20">
        <v>13.6</v>
      </c>
      <c r="AJ634" s="20">
        <v>450</v>
      </c>
      <c r="AK634" s="20"/>
      <c r="AL634" s="20">
        <v>688</v>
      </c>
      <c r="AM634" s="20">
        <f t="shared" si="130"/>
        <v>81255.199999999997</v>
      </c>
      <c r="AN634" s="7" t="s">
        <v>176</v>
      </c>
      <c r="AO634" s="20"/>
      <c r="AP634" s="21"/>
      <c r="AQ634" s="21"/>
      <c r="AR634" s="5" t="s">
        <v>912</v>
      </c>
      <c r="AS634" s="5" t="s">
        <v>164</v>
      </c>
      <c r="AT634" s="5" t="s">
        <v>59</v>
      </c>
      <c r="AU634" s="20"/>
      <c r="AV634" s="21"/>
      <c r="AW634" s="21"/>
      <c r="AX634" s="21"/>
    </row>
    <row r="635" spans="1:50" s="55" customFormat="1">
      <c r="A635" s="86" t="s">
        <v>318</v>
      </c>
      <c r="B635" s="5">
        <v>15014694</v>
      </c>
      <c r="C635" s="5" t="s">
        <v>1010</v>
      </c>
      <c r="D635" s="5" t="s">
        <v>321</v>
      </c>
      <c r="E635" s="5" t="s">
        <v>52</v>
      </c>
      <c r="F635" s="5" t="s">
        <v>62</v>
      </c>
      <c r="G635" s="5" t="s">
        <v>211</v>
      </c>
      <c r="H635" s="5" t="s">
        <v>910</v>
      </c>
      <c r="I635" s="6">
        <v>42309</v>
      </c>
      <c r="J635" s="5" t="s">
        <v>336</v>
      </c>
      <c r="K635" s="5" t="s">
        <v>511</v>
      </c>
      <c r="L635" s="5" t="s">
        <v>324</v>
      </c>
      <c r="M635" s="7">
        <v>6</v>
      </c>
      <c r="N635" s="7" t="s">
        <v>176</v>
      </c>
      <c r="O635" s="8">
        <v>5089</v>
      </c>
      <c r="P635" s="9">
        <v>0.02</v>
      </c>
      <c r="Q635" s="10">
        <f t="shared" si="118"/>
        <v>102</v>
      </c>
      <c r="R635" s="9">
        <v>5.0000000000000001E-3</v>
      </c>
      <c r="S635" s="10">
        <f t="shared" si="119"/>
        <v>25</v>
      </c>
      <c r="T635" s="9">
        <f t="shared" si="120"/>
        <v>2.4955786991550401E-2</v>
      </c>
      <c r="U635" s="10">
        <f t="shared" si="121"/>
        <v>127</v>
      </c>
      <c r="V635" s="10">
        <f t="shared" si="122"/>
        <v>5216</v>
      </c>
      <c r="W635" s="11">
        <v>5216</v>
      </c>
      <c r="X635" s="12">
        <f t="shared" si="123"/>
        <v>127</v>
      </c>
      <c r="Y635" s="13">
        <f t="shared" si="124"/>
        <v>2.5000000000000001E-2</v>
      </c>
      <c r="Z635" s="14" t="str">
        <f t="shared" si="125"/>
        <v>0.00%-8.40%</v>
      </c>
      <c r="AA635" s="15"/>
      <c r="AB635" s="15"/>
      <c r="AC635" s="15"/>
      <c r="AD635" s="16"/>
      <c r="AE635" s="8">
        <f t="shared" si="126"/>
        <v>0</v>
      </c>
      <c r="AF635" s="17">
        <f t="shared" si="127"/>
        <v>5216</v>
      </c>
      <c r="AG635" s="18">
        <f t="shared" si="128"/>
        <v>127</v>
      </c>
      <c r="AH635" s="19">
        <f t="shared" si="129"/>
        <v>2.4955786991550433E-2</v>
      </c>
      <c r="AI635" s="20">
        <v>13.6</v>
      </c>
      <c r="AJ635" s="20">
        <v>450</v>
      </c>
      <c r="AK635" s="20"/>
      <c r="AL635" s="20">
        <v>688</v>
      </c>
      <c r="AM635" s="20">
        <f t="shared" si="130"/>
        <v>77025.599999999991</v>
      </c>
      <c r="AN635" s="7" t="s">
        <v>176</v>
      </c>
      <c r="AO635" s="20"/>
      <c r="AP635" s="21"/>
      <c r="AQ635" s="21"/>
      <c r="AR635" s="5" t="s">
        <v>912</v>
      </c>
      <c r="AS635" s="5" t="s">
        <v>164</v>
      </c>
      <c r="AT635" s="5" t="s">
        <v>59</v>
      </c>
      <c r="AU635" s="20"/>
      <c r="AV635" s="21"/>
      <c r="AW635" s="21"/>
      <c r="AX635" s="21"/>
    </row>
    <row r="636" spans="1:50" s="55" customFormat="1">
      <c r="A636" s="86" t="s">
        <v>318</v>
      </c>
      <c r="B636" s="5">
        <v>15014528</v>
      </c>
      <c r="C636" s="5" t="s">
        <v>1011</v>
      </c>
      <c r="D636" s="5" t="s">
        <v>321</v>
      </c>
      <c r="E636" s="5" t="s">
        <v>52</v>
      </c>
      <c r="F636" s="5" t="s">
        <v>62</v>
      </c>
      <c r="G636" s="5" t="s">
        <v>211</v>
      </c>
      <c r="H636" s="5" t="s">
        <v>910</v>
      </c>
      <c r="I636" s="6">
        <v>42339</v>
      </c>
      <c r="J636" s="5" t="s">
        <v>336</v>
      </c>
      <c r="K636" s="5" t="s">
        <v>511</v>
      </c>
      <c r="L636" s="5" t="s">
        <v>324</v>
      </c>
      <c r="M636" s="7">
        <v>6</v>
      </c>
      <c r="N636" s="7" t="s">
        <v>176</v>
      </c>
      <c r="O636" s="8">
        <v>4902</v>
      </c>
      <c r="P636" s="9">
        <v>0.02</v>
      </c>
      <c r="Q636" s="10">
        <f t="shared" si="118"/>
        <v>98</v>
      </c>
      <c r="R636" s="9">
        <v>5.0000000000000001E-3</v>
      </c>
      <c r="S636" s="10">
        <f t="shared" si="119"/>
        <v>25</v>
      </c>
      <c r="T636" s="9">
        <f t="shared" si="120"/>
        <v>2.5091799265605876E-2</v>
      </c>
      <c r="U636" s="10">
        <f t="shared" si="121"/>
        <v>123</v>
      </c>
      <c r="V636" s="10">
        <f t="shared" si="122"/>
        <v>5025</v>
      </c>
      <c r="W636" s="11">
        <v>5098</v>
      </c>
      <c r="X636" s="12">
        <f t="shared" si="123"/>
        <v>196</v>
      </c>
      <c r="Y636" s="13">
        <f t="shared" si="124"/>
        <v>0.04</v>
      </c>
      <c r="Z636" s="14" t="str">
        <f t="shared" si="125"/>
        <v>0.00%-8.40%</v>
      </c>
      <c r="AA636" s="15"/>
      <c r="AB636" s="15"/>
      <c r="AC636" s="15"/>
      <c r="AD636" s="16"/>
      <c r="AE636" s="8">
        <f t="shared" si="126"/>
        <v>0</v>
      </c>
      <c r="AF636" s="17">
        <f t="shared" si="127"/>
        <v>5098</v>
      </c>
      <c r="AG636" s="18">
        <f t="shared" si="128"/>
        <v>196</v>
      </c>
      <c r="AH636" s="19">
        <f t="shared" si="129"/>
        <v>3.9983680130558863E-2</v>
      </c>
      <c r="AI636" s="20">
        <v>13.6</v>
      </c>
      <c r="AJ636" s="20">
        <v>450</v>
      </c>
      <c r="AK636" s="20"/>
      <c r="AL636" s="20">
        <v>688</v>
      </c>
      <c r="AM636" s="20">
        <f t="shared" si="130"/>
        <v>75420.800000000003</v>
      </c>
      <c r="AN636" s="7" t="s">
        <v>176</v>
      </c>
      <c r="AO636" s="20"/>
      <c r="AP636" s="21"/>
      <c r="AQ636" s="21"/>
      <c r="AR636" s="5" t="s">
        <v>912</v>
      </c>
      <c r="AS636" s="5" t="s">
        <v>164</v>
      </c>
      <c r="AT636" s="5" t="s">
        <v>59</v>
      </c>
      <c r="AU636" s="20"/>
      <c r="AV636" s="21"/>
      <c r="AW636" s="21"/>
      <c r="AX636" s="21"/>
    </row>
    <row r="637" spans="1:50" s="55" customFormat="1">
      <c r="A637" s="86" t="s">
        <v>318</v>
      </c>
      <c r="B637" s="5">
        <v>15009306</v>
      </c>
      <c r="C637" s="5" t="s">
        <v>1012</v>
      </c>
      <c r="D637" s="5" t="s">
        <v>321</v>
      </c>
      <c r="E637" s="5" t="s">
        <v>52</v>
      </c>
      <c r="F637" s="5" t="s">
        <v>62</v>
      </c>
      <c r="G637" s="5" t="s">
        <v>211</v>
      </c>
      <c r="H637" s="5" t="s">
        <v>910</v>
      </c>
      <c r="I637" s="6">
        <v>41487</v>
      </c>
      <c r="J637" s="5" t="s">
        <v>336</v>
      </c>
      <c r="K637" s="5" t="s">
        <v>511</v>
      </c>
      <c r="L637" s="5" t="s">
        <v>324</v>
      </c>
      <c r="M637" s="7">
        <v>6</v>
      </c>
      <c r="N637" s="7" t="s">
        <v>176</v>
      </c>
      <c r="O637" s="8">
        <v>4607</v>
      </c>
      <c r="P637" s="9">
        <v>0.02</v>
      </c>
      <c r="Q637" s="10">
        <f t="shared" si="118"/>
        <v>92</v>
      </c>
      <c r="R637" s="9">
        <v>5.0000000000000001E-3</v>
      </c>
      <c r="S637" s="10">
        <f t="shared" si="119"/>
        <v>23</v>
      </c>
      <c r="T637" s="9">
        <f t="shared" si="120"/>
        <v>2.4962014326025614E-2</v>
      </c>
      <c r="U637" s="10">
        <f t="shared" si="121"/>
        <v>115</v>
      </c>
      <c r="V637" s="10">
        <f t="shared" si="122"/>
        <v>4722</v>
      </c>
      <c r="W637" s="11">
        <v>4722</v>
      </c>
      <c r="X637" s="12">
        <f t="shared" si="123"/>
        <v>115</v>
      </c>
      <c r="Y637" s="13">
        <f t="shared" si="124"/>
        <v>2.5000000000000001E-2</v>
      </c>
      <c r="Z637" s="14" t="str">
        <f t="shared" si="125"/>
        <v>0.00%-8.40%</v>
      </c>
      <c r="AA637" s="15"/>
      <c r="AB637" s="15"/>
      <c r="AC637" s="15"/>
      <c r="AD637" s="16"/>
      <c r="AE637" s="8">
        <f t="shared" si="126"/>
        <v>0</v>
      </c>
      <c r="AF637" s="17">
        <f t="shared" si="127"/>
        <v>4722</v>
      </c>
      <c r="AG637" s="18">
        <f t="shared" si="128"/>
        <v>115</v>
      </c>
      <c r="AH637" s="19">
        <f t="shared" si="129"/>
        <v>2.4962014326025628E-2</v>
      </c>
      <c r="AI637" s="20">
        <v>13.6</v>
      </c>
      <c r="AJ637" s="20">
        <v>450</v>
      </c>
      <c r="AK637" s="20"/>
      <c r="AL637" s="20">
        <v>688</v>
      </c>
      <c r="AM637" s="20">
        <f t="shared" si="130"/>
        <v>70307.199999999997</v>
      </c>
      <c r="AN637" s="7" t="s">
        <v>176</v>
      </c>
      <c r="AO637" s="20"/>
      <c r="AP637" s="21"/>
      <c r="AQ637" s="21"/>
      <c r="AR637" s="5" t="s">
        <v>912</v>
      </c>
      <c r="AS637" s="5" t="s">
        <v>164</v>
      </c>
      <c r="AT637" s="5" t="s">
        <v>59</v>
      </c>
      <c r="AU637" s="20"/>
      <c r="AV637" s="21"/>
      <c r="AW637" s="21"/>
      <c r="AX637" s="21"/>
    </row>
    <row r="638" spans="1:50" s="55" customFormat="1">
      <c r="A638" s="86" t="s">
        <v>318</v>
      </c>
      <c r="B638" s="5">
        <v>15016358</v>
      </c>
      <c r="C638" s="5" t="s">
        <v>1013</v>
      </c>
      <c r="D638" s="5" t="s">
        <v>321</v>
      </c>
      <c r="E638" s="5" t="s">
        <v>52</v>
      </c>
      <c r="F638" s="5" t="s">
        <v>62</v>
      </c>
      <c r="G638" s="5" t="s">
        <v>211</v>
      </c>
      <c r="H638" s="5" t="s">
        <v>910</v>
      </c>
      <c r="I638" s="6">
        <v>42948</v>
      </c>
      <c r="J638" s="5" t="s">
        <v>336</v>
      </c>
      <c r="K638" s="5" t="s">
        <v>511</v>
      </c>
      <c r="L638" s="5" t="s">
        <v>324</v>
      </c>
      <c r="M638" s="7">
        <v>6</v>
      </c>
      <c r="N638" s="7" t="s">
        <v>176</v>
      </c>
      <c r="O638" s="8">
        <v>4417</v>
      </c>
      <c r="P638" s="9">
        <v>0.02</v>
      </c>
      <c r="Q638" s="10">
        <f t="shared" si="118"/>
        <v>88</v>
      </c>
      <c r="R638" s="9">
        <v>5.0000000000000001E-3</v>
      </c>
      <c r="S638" s="10">
        <f t="shared" si="119"/>
        <v>22</v>
      </c>
      <c r="T638" s="9">
        <f t="shared" si="120"/>
        <v>2.4903780846728549E-2</v>
      </c>
      <c r="U638" s="10">
        <f t="shared" si="121"/>
        <v>110</v>
      </c>
      <c r="V638" s="10">
        <f t="shared" si="122"/>
        <v>4527</v>
      </c>
      <c r="W638" s="11">
        <v>4417</v>
      </c>
      <c r="X638" s="12">
        <f t="shared" si="123"/>
        <v>0</v>
      </c>
      <c r="Y638" s="13">
        <f t="shared" si="124"/>
        <v>0</v>
      </c>
      <c r="Z638" s="14" t="str">
        <f t="shared" si="125"/>
        <v>0.00%-8.40%</v>
      </c>
      <c r="AA638" s="15"/>
      <c r="AB638" s="15"/>
      <c r="AC638" s="15"/>
      <c r="AD638" s="16"/>
      <c r="AE638" s="8">
        <f t="shared" si="126"/>
        <v>0</v>
      </c>
      <c r="AF638" s="17">
        <f t="shared" si="127"/>
        <v>4417</v>
      </c>
      <c r="AG638" s="18">
        <f t="shared" si="128"/>
        <v>0</v>
      </c>
      <c r="AH638" s="19">
        <f t="shared" si="129"/>
        <v>0</v>
      </c>
      <c r="AI638" s="20">
        <v>13.6</v>
      </c>
      <c r="AJ638" s="20">
        <v>500</v>
      </c>
      <c r="AK638" s="20"/>
      <c r="AL638" s="20">
        <v>688</v>
      </c>
      <c r="AM638" s="20">
        <f t="shared" si="130"/>
        <v>66759.199999999997</v>
      </c>
      <c r="AN638" s="7" t="s">
        <v>176</v>
      </c>
      <c r="AO638" s="20"/>
      <c r="AP638" s="21" t="s">
        <v>487</v>
      </c>
      <c r="AQ638" s="21" t="s">
        <v>496</v>
      </c>
      <c r="AR638" s="5" t="s">
        <v>912</v>
      </c>
      <c r="AS638" s="5" t="s">
        <v>164</v>
      </c>
      <c r="AT638" s="5" t="s">
        <v>59</v>
      </c>
      <c r="AU638" s="20"/>
      <c r="AV638" s="21"/>
      <c r="AW638" s="21"/>
      <c r="AX638" s="21"/>
    </row>
    <row r="639" spans="1:50" s="55" customFormat="1">
      <c r="A639" s="86" t="s">
        <v>318</v>
      </c>
      <c r="B639" s="5">
        <v>15018243</v>
      </c>
      <c r="C639" s="5" t="s">
        <v>1014</v>
      </c>
      <c r="D639" s="5" t="s">
        <v>321</v>
      </c>
      <c r="E639" s="5" t="s">
        <v>52</v>
      </c>
      <c r="F639" s="5" t="s">
        <v>62</v>
      </c>
      <c r="G639" s="5" t="s">
        <v>211</v>
      </c>
      <c r="H639" s="5" t="s">
        <v>910</v>
      </c>
      <c r="I639" s="6">
        <v>43160</v>
      </c>
      <c r="J639" s="5" t="s">
        <v>336</v>
      </c>
      <c r="K639" s="5" t="s">
        <v>511</v>
      </c>
      <c r="L639" s="5" t="s">
        <v>324</v>
      </c>
      <c r="M639" s="7">
        <v>6</v>
      </c>
      <c r="N639" s="7" t="s">
        <v>176</v>
      </c>
      <c r="O639" s="8">
        <v>4565</v>
      </c>
      <c r="P639" s="9">
        <v>0.02</v>
      </c>
      <c r="Q639" s="10">
        <f t="shared" si="118"/>
        <v>91</v>
      </c>
      <c r="R639" s="9">
        <v>5.0000000000000001E-3</v>
      </c>
      <c r="S639" s="10">
        <f t="shared" si="119"/>
        <v>23</v>
      </c>
      <c r="T639" s="9">
        <f t="shared" si="120"/>
        <v>2.4972617743702082E-2</v>
      </c>
      <c r="U639" s="10">
        <f t="shared" si="121"/>
        <v>114</v>
      </c>
      <c r="V639" s="10">
        <f t="shared" si="122"/>
        <v>4679</v>
      </c>
      <c r="W639" s="11">
        <v>4565</v>
      </c>
      <c r="X639" s="12">
        <f t="shared" si="123"/>
        <v>0</v>
      </c>
      <c r="Y639" s="13">
        <f t="shared" si="124"/>
        <v>0</v>
      </c>
      <c r="Z639" s="14" t="str">
        <f t="shared" si="125"/>
        <v>0.00%-8.40%</v>
      </c>
      <c r="AA639" s="15"/>
      <c r="AB639" s="15"/>
      <c r="AC639" s="15"/>
      <c r="AD639" s="16"/>
      <c r="AE639" s="8">
        <f t="shared" si="126"/>
        <v>0</v>
      </c>
      <c r="AF639" s="17">
        <f t="shared" si="127"/>
        <v>4565</v>
      </c>
      <c r="AG639" s="18">
        <f t="shared" si="128"/>
        <v>0</v>
      </c>
      <c r="AH639" s="19">
        <f t="shared" si="129"/>
        <v>0</v>
      </c>
      <c r="AI639" s="20">
        <v>13.6</v>
      </c>
      <c r="AJ639" s="20">
        <v>450</v>
      </c>
      <c r="AK639" s="20"/>
      <c r="AL639" s="20">
        <v>688</v>
      </c>
      <c r="AM639" s="20">
        <f t="shared" si="130"/>
        <v>68172</v>
      </c>
      <c r="AN639" s="7" t="s">
        <v>176</v>
      </c>
      <c r="AO639" s="20"/>
      <c r="AP639" s="21" t="s">
        <v>107</v>
      </c>
      <c r="AQ639" s="21" t="s">
        <v>107</v>
      </c>
      <c r="AR639" s="5" t="s">
        <v>912</v>
      </c>
      <c r="AS639" s="5" t="s">
        <v>164</v>
      </c>
      <c r="AT639" s="5" t="s">
        <v>59</v>
      </c>
      <c r="AU639" s="20"/>
      <c r="AV639" s="21"/>
      <c r="AW639" s="21"/>
      <c r="AX639" s="21"/>
    </row>
    <row r="640" spans="1:50" s="55" customFormat="1">
      <c r="A640" s="86" t="s">
        <v>318</v>
      </c>
      <c r="B640" s="5">
        <v>15000751</v>
      </c>
      <c r="C640" s="5" t="s">
        <v>1015</v>
      </c>
      <c r="D640" s="5" t="s">
        <v>321</v>
      </c>
      <c r="E640" s="5" t="s">
        <v>52</v>
      </c>
      <c r="F640" s="5" t="s">
        <v>62</v>
      </c>
      <c r="G640" s="5" t="s">
        <v>211</v>
      </c>
      <c r="H640" s="5" t="s">
        <v>910</v>
      </c>
      <c r="I640" s="6">
        <v>39022</v>
      </c>
      <c r="J640" s="5" t="s">
        <v>336</v>
      </c>
      <c r="K640" s="5" t="s">
        <v>548</v>
      </c>
      <c r="L640" s="5" t="s">
        <v>324</v>
      </c>
      <c r="M640" s="7">
        <v>6</v>
      </c>
      <c r="N640" s="7" t="s">
        <v>176</v>
      </c>
      <c r="O640" s="8">
        <v>4948</v>
      </c>
      <c r="P640" s="9">
        <v>0.02</v>
      </c>
      <c r="Q640" s="10">
        <f t="shared" si="118"/>
        <v>99</v>
      </c>
      <c r="R640" s="9">
        <v>5.0000000000000001E-3</v>
      </c>
      <c r="S640" s="10">
        <f t="shared" si="119"/>
        <v>25</v>
      </c>
      <c r="T640" s="9">
        <f t="shared" si="120"/>
        <v>2.5060630557801132E-2</v>
      </c>
      <c r="U640" s="10">
        <f t="shared" si="121"/>
        <v>124</v>
      </c>
      <c r="V640" s="10">
        <f t="shared" si="122"/>
        <v>5072</v>
      </c>
      <c r="W640" s="11">
        <v>5072</v>
      </c>
      <c r="X640" s="12">
        <f t="shared" si="123"/>
        <v>124</v>
      </c>
      <c r="Y640" s="13">
        <f t="shared" si="124"/>
        <v>2.5100000000000001E-2</v>
      </c>
      <c r="Z640" s="14" t="str">
        <f t="shared" si="125"/>
        <v>0.00%-8.40%</v>
      </c>
      <c r="AA640" s="15"/>
      <c r="AB640" s="15"/>
      <c r="AC640" s="15"/>
      <c r="AD640" s="16"/>
      <c r="AE640" s="8">
        <f t="shared" si="126"/>
        <v>0</v>
      </c>
      <c r="AF640" s="17">
        <f t="shared" si="127"/>
        <v>5072</v>
      </c>
      <c r="AG640" s="18">
        <f t="shared" si="128"/>
        <v>124</v>
      </c>
      <c r="AH640" s="19">
        <f t="shared" si="129"/>
        <v>2.5060630557801167E-2</v>
      </c>
      <c r="AI640" s="20">
        <v>13.6</v>
      </c>
      <c r="AJ640" s="20">
        <v>450</v>
      </c>
      <c r="AK640" s="20"/>
      <c r="AL640" s="20">
        <v>688</v>
      </c>
      <c r="AM640" s="20">
        <f t="shared" si="130"/>
        <v>75067.199999999997</v>
      </c>
      <c r="AN640" s="7" t="s">
        <v>176</v>
      </c>
      <c r="AO640" s="20"/>
      <c r="AP640" s="21"/>
      <c r="AQ640" s="21"/>
      <c r="AR640" s="5" t="s">
        <v>912</v>
      </c>
      <c r="AS640" s="5" t="s">
        <v>164</v>
      </c>
      <c r="AT640" s="5" t="s">
        <v>59</v>
      </c>
      <c r="AU640" s="20"/>
      <c r="AV640" s="21"/>
      <c r="AW640" s="21"/>
      <c r="AX640" s="21"/>
    </row>
    <row r="641" spans="1:50" s="55" customFormat="1">
      <c r="A641" s="86" t="s">
        <v>318</v>
      </c>
      <c r="B641" s="5">
        <v>15010238</v>
      </c>
      <c r="C641" s="5" t="s">
        <v>1016</v>
      </c>
      <c r="D641" s="5" t="s">
        <v>321</v>
      </c>
      <c r="E641" s="5" t="s">
        <v>52</v>
      </c>
      <c r="F641" s="5" t="s">
        <v>62</v>
      </c>
      <c r="G641" s="5" t="s">
        <v>211</v>
      </c>
      <c r="H641" s="5" t="s">
        <v>910</v>
      </c>
      <c r="I641" s="6">
        <v>41548</v>
      </c>
      <c r="J641" s="5" t="s">
        <v>336</v>
      </c>
      <c r="K641" s="5" t="s">
        <v>511</v>
      </c>
      <c r="L641" s="5" t="s">
        <v>324</v>
      </c>
      <c r="M641" s="7">
        <v>6</v>
      </c>
      <c r="N641" s="7" t="s">
        <v>176</v>
      </c>
      <c r="O641" s="8">
        <v>5095</v>
      </c>
      <c r="P641" s="9">
        <v>0.02</v>
      </c>
      <c r="Q641" s="10">
        <f t="shared" si="118"/>
        <v>102</v>
      </c>
      <c r="R641" s="9">
        <v>5.0000000000000001E-3</v>
      </c>
      <c r="S641" s="10">
        <f t="shared" si="119"/>
        <v>25</v>
      </c>
      <c r="T641" s="9">
        <f t="shared" si="120"/>
        <v>2.4926398429833171E-2</v>
      </c>
      <c r="U641" s="10">
        <f t="shared" si="121"/>
        <v>127</v>
      </c>
      <c r="V641" s="10">
        <f t="shared" si="122"/>
        <v>5222</v>
      </c>
      <c r="W641" s="11">
        <v>5095</v>
      </c>
      <c r="X641" s="12">
        <f t="shared" si="123"/>
        <v>0</v>
      </c>
      <c r="Y641" s="13">
        <f t="shared" si="124"/>
        <v>0</v>
      </c>
      <c r="Z641" s="14" t="str">
        <f t="shared" si="125"/>
        <v>0.00%-8.40%</v>
      </c>
      <c r="AA641" s="15"/>
      <c r="AB641" s="15"/>
      <c r="AC641" s="15"/>
      <c r="AD641" s="16"/>
      <c r="AE641" s="8">
        <f t="shared" si="126"/>
        <v>0</v>
      </c>
      <c r="AF641" s="17">
        <f t="shared" si="127"/>
        <v>5095</v>
      </c>
      <c r="AG641" s="18">
        <f t="shared" si="128"/>
        <v>0</v>
      </c>
      <c r="AH641" s="19">
        <f t="shared" si="129"/>
        <v>0</v>
      </c>
      <c r="AI641" s="20">
        <v>13.6</v>
      </c>
      <c r="AJ641" s="20">
        <v>450</v>
      </c>
      <c r="AK641" s="20"/>
      <c r="AL641" s="20">
        <v>688</v>
      </c>
      <c r="AM641" s="20">
        <f t="shared" si="130"/>
        <v>75380</v>
      </c>
      <c r="AN641" s="7" t="s">
        <v>176</v>
      </c>
      <c r="AO641" s="20"/>
      <c r="AP641" s="21" t="s">
        <v>97</v>
      </c>
      <c r="AQ641" s="21" t="s">
        <v>97</v>
      </c>
      <c r="AR641" s="5" t="s">
        <v>912</v>
      </c>
      <c r="AS641" s="5" t="s">
        <v>164</v>
      </c>
      <c r="AT641" s="5" t="s">
        <v>59</v>
      </c>
      <c r="AU641" s="20"/>
      <c r="AV641" s="21"/>
      <c r="AW641" s="21"/>
      <c r="AX641" s="21"/>
    </row>
    <row r="642" spans="1:50" s="55" customFormat="1">
      <c r="A642" s="86" t="s">
        <v>318</v>
      </c>
      <c r="B642" s="5">
        <v>15014299</v>
      </c>
      <c r="C642" s="5" t="s">
        <v>1017</v>
      </c>
      <c r="D642" s="5" t="s">
        <v>321</v>
      </c>
      <c r="E642" s="5" t="s">
        <v>52</v>
      </c>
      <c r="F642" s="5" t="s">
        <v>62</v>
      </c>
      <c r="G642" s="5" t="s">
        <v>211</v>
      </c>
      <c r="H642" s="5" t="s">
        <v>910</v>
      </c>
      <c r="I642" s="6">
        <v>42248</v>
      </c>
      <c r="J642" s="5" t="s">
        <v>336</v>
      </c>
      <c r="K642" s="5" t="s">
        <v>511</v>
      </c>
      <c r="L642" s="5" t="s">
        <v>324</v>
      </c>
      <c r="M642" s="7">
        <v>6</v>
      </c>
      <c r="N642" s="7" t="s">
        <v>176</v>
      </c>
      <c r="O642" s="8">
        <v>5123</v>
      </c>
      <c r="P642" s="9">
        <v>0.02</v>
      </c>
      <c r="Q642" s="10">
        <f t="shared" si="118"/>
        <v>102</v>
      </c>
      <c r="R642" s="9">
        <v>5.0000000000000001E-3</v>
      </c>
      <c r="S642" s="10">
        <f t="shared" si="119"/>
        <v>26</v>
      </c>
      <c r="T642" s="9">
        <f t="shared" si="120"/>
        <v>2.4985360140542652E-2</v>
      </c>
      <c r="U642" s="10">
        <f t="shared" si="121"/>
        <v>128</v>
      </c>
      <c r="V642" s="10">
        <f t="shared" si="122"/>
        <v>5251</v>
      </c>
      <c r="W642" s="11">
        <v>5123</v>
      </c>
      <c r="X642" s="12">
        <f t="shared" si="123"/>
        <v>0</v>
      </c>
      <c r="Y642" s="13">
        <f t="shared" si="124"/>
        <v>0</v>
      </c>
      <c r="Z642" s="14" t="str">
        <f t="shared" si="125"/>
        <v>0.00%-8.40%</v>
      </c>
      <c r="AA642" s="15"/>
      <c r="AB642" s="15"/>
      <c r="AC642" s="15"/>
      <c r="AD642" s="16"/>
      <c r="AE642" s="8">
        <f t="shared" si="126"/>
        <v>0</v>
      </c>
      <c r="AF642" s="17">
        <f t="shared" si="127"/>
        <v>5123</v>
      </c>
      <c r="AG642" s="18">
        <f t="shared" si="128"/>
        <v>0</v>
      </c>
      <c r="AH642" s="19">
        <f t="shared" si="129"/>
        <v>0</v>
      </c>
      <c r="AI642" s="20">
        <v>13.6</v>
      </c>
      <c r="AJ642" s="20">
        <v>450</v>
      </c>
      <c r="AK642" s="20"/>
      <c r="AL642" s="20">
        <v>688</v>
      </c>
      <c r="AM642" s="20">
        <f t="shared" si="130"/>
        <v>75760.800000000003</v>
      </c>
      <c r="AN642" s="7" t="s">
        <v>176</v>
      </c>
      <c r="AO642" s="20"/>
      <c r="AP642" s="21" t="s">
        <v>97</v>
      </c>
      <c r="AQ642" s="21" t="s">
        <v>97</v>
      </c>
      <c r="AR642" s="5" t="s">
        <v>912</v>
      </c>
      <c r="AS642" s="5" t="s">
        <v>164</v>
      </c>
      <c r="AT642" s="5" t="s">
        <v>59</v>
      </c>
      <c r="AU642" s="20"/>
      <c r="AV642" s="21"/>
      <c r="AW642" s="21"/>
      <c r="AX642" s="21"/>
    </row>
    <row r="643" spans="1:50" s="55" customFormat="1">
      <c r="A643" s="86" t="s">
        <v>318</v>
      </c>
      <c r="B643" s="5">
        <v>15006388</v>
      </c>
      <c r="C643" s="5" t="s">
        <v>1018</v>
      </c>
      <c r="D643" s="5" t="s">
        <v>321</v>
      </c>
      <c r="E643" s="5" t="s">
        <v>52</v>
      </c>
      <c r="F643" s="5" t="s">
        <v>62</v>
      </c>
      <c r="G643" s="5" t="s">
        <v>211</v>
      </c>
      <c r="H643" s="5" t="s">
        <v>910</v>
      </c>
      <c r="I643" s="6">
        <v>40909</v>
      </c>
      <c r="J643" s="5" t="s">
        <v>336</v>
      </c>
      <c r="K643" s="5" t="s">
        <v>511</v>
      </c>
      <c r="L643" s="5" t="s">
        <v>324</v>
      </c>
      <c r="M643" s="7">
        <v>6</v>
      </c>
      <c r="N643" s="7" t="s">
        <v>176</v>
      </c>
      <c r="O643" s="8">
        <v>4647</v>
      </c>
      <c r="P643" s="9">
        <v>0.02</v>
      </c>
      <c r="Q643" s="10">
        <f t="shared" si="118"/>
        <v>93</v>
      </c>
      <c r="R643" s="9">
        <v>5.0000000000000001E-3</v>
      </c>
      <c r="S643" s="10">
        <f t="shared" si="119"/>
        <v>23</v>
      </c>
      <c r="T643" s="9">
        <f t="shared" si="120"/>
        <v>2.4962341295459437E-2</v>
      </c>
      <c r="U643" s="10">
        <f t="shared" si="121"/>
        <v>116</v>
      </c>
      <c r="V643" s="10">
        <f t="shared" si="122"/>
        <v>4763</v>
      </c>
      <c r="W643" s="11">
        <v>4693</v>
      </c>
      <c r="X643" s="12">
        <f t="shared" si="123"/>
        <v>46</v>
      </c>
      <c r="Y643" s="13">
        <f t="shared" si="124"/>
        <v>9.9000000000000008E-3</v>
      </c>
      <c r="Z643" s="14" t="str">
        <f t="shared" si="125"/>
        <v>0.00%-8.40%</v>
      </c>
      <c r="AA643" s="15"/>
      <c r="AB643" s="15"/>
      <c r="AC643" s="15"/>
      <c r="AD643" s="16"/>
      <c r="AE643" s="8">
        <f t="shared" si="126"/>
        <v>0</v>
      </c>
      <c r="AF643" s="17">
        <f t="shared" si="127"/>
        <v>4693</v>
      </c>
      <c r="AG643" s="18">
        <f t="shared" si="128"/>
        <v>46</v>
      </c>
      <c r="AH643" s="19">
        <f t="shared" si="129"/>
        <v>9.8988594792339679E-3</v>
      </c>
      <c r="AI643" s="20">
        <v>13.6</v>
      </c>
      <c r="AJ643" s="20">
        <v>500</v>
      </c>
      <c r="AK643" s="20"/>
      <c r="AL643" s="20">
        <v>688</v>
      </c>
      <c r="AM643" s="20">
        <f t="shared" si="130"/>
        <v>70512.799999999988</v>
      </c>
      <c r="AN643" s="7" t="s">
        <v>176</v>
      </c>
      <c r="AO643" s="20"/>
      <c r="AP643" s="21"/>
      <c r="AQ643" s="21"/>
      <c r="AR643" s="5" t="s">
        <v>912</v>
      </c>
      <c r="AS643" s="5" t="s">
        <v>164</v>
      </c>
      <c r="AT643" s="5" t="s">
        <v>59</v>
      </c>
      <c r="AU643" s="20"/>
      <c r="AV643" s="21"/>
      <c r="AW643" s="21"/>
      <c r="AX643" s="21"/>
    </row>
    <row r="644" spans="1:50" s="55" customFormat="1">
      <c r="A644" s="86" t="s">
        <v>318</v>
      </c>
      <c r="B644" s="5">
        <v>15005671</v>
      </c>
      <c r="C644" s="5" t="s">
        <v>1019</v>
      </c>
      <c r="D644" s="5" t="s">
        <v>321</v>
      </c>
      <c r="E644" s="5" t="s">
        <v>52</v>
      </c>
      <c r="F644" s="5" t="s">
        <v>62</v>
      </c>
      <c r="G644" s="5" t="s">
        <v>211</v>
      </c>
      <c r="H644" s="5" t="s">
        <v>910</v>
      </c>
      <c r="I644" s="6">
        <v>40817</v>
      </c>
      <c r="J644" s="5" t="s">
        <v>336</v>
      </c>
      <c r="K644" s="5" t="s">
        <v>511</v>
      </c>
      <c r="L644" s="5" t="s">
        <v>324</v>
      </c>
      <c r="M644" s="7">
        <v>6</v>
      </c>
      <c r="N644" s="7" t="s">
        <v>176</v>
      </c>
      <c r="O644" s="8">
        <v>5052</v>
      </c>
      <c r="P644" s="9">
        <v>0.02</v>
      </c>
      <c r="Q644" s="10">
        <f t="shared" si="118"/>
        <v>101</v>
      </c>
      <c r="R644" s="9">
        <v>5.0000000000000001E-3</v>
      </c>
      <c r="S644" s="10">
        <f t="shared" si="119"/>
        <v>25</v>
      </c>
      <c r="T644" s="9">
        <f t="shared" si="120"/>
        <v>2.4940617577197149E-2</v>
      </c>
      <c r="U644" s="10">
        <f t="shared" si="121"/>
        <v>126</v>
      </c>
      <c r="V644" s="10">
        <f t="shared" si="122"/>
        <v>5178</v>
      </c>
      <c r="W644" s="11">
        <v>5178</v>
      </c>
      <c r="X644" s="12">
        <f t="shared" si="123"/>
        <v>126</v>
      </c>
      <c r="Y644" s="13">
        <f t="shared" si="124"/>
        <v>2.4899999999999999E-2</v>
      </c>
      <c r="Z644" s="14" t="str">
        <f t="shared" si="125"/>
        <v>0.00%-8.40%</v>
      </c>
      <c r="AA644" s="15"/>
      <c r="AB644" s="15"/>
      <c r="AC644" s="15"/>
      <c r="AD644" s="16"/>
      <c r="AE644" s="8">
        <f t="shared" si="126"/>
        <v>0</v>
      </c>
      <c r="AF644" s="17">
        <f t="shared" si="127"/>
        <v>5178</v>
      </c>
      <c r="AG644" s="18">
        <f t="shared" si="128"/>
        <v>126</v>
      </c>
      <c r="AH644" s="19">
        <f t="shared" si="129"/>
        <v>2.4940617577197122E-2</v>
      </c>
      <c r="AI644" s="20">
        <v>13.6</v>
      </c>
      <c r="AJ644" s="20">
        <v>450</v>
      </c>
      <c r="AK644" s="20"/>
      <c r="AL644" s="20">
        <v>688</v>
      </c>
      <c r="AM644" s="20">
        <f t="shared" si="130"/>
        <v>76508.800000000003</v>
      </c>
      <c r="AN644" s="7" t="s">
        <v>176</v>
      </c>
      <c r="AO644" s="20"/>
      <c r="AP644" s="21"/>
      <c r="AQ644" s="21"/>
      <c r="AR644" s="5" t="s">
        <v>912</v>
      </c>
      <c r="AS644" s="5" t="s">
        <v>164</v>
      </c>
      <c r="AT644" s="5" t="s">
        <v>59</v>
      </c>
      <c r="AU644" s="20"/>
      <c r="AV644" s="21"/>
      <c r="AW644" s="21"/>
      <c r="AX644" s="21"/>
    </row>
    <row r="645" spans="1:50" s="55" customFormat="1">
      <c r="A645" s="86" t="s">
        <v>318</v>
      </c>
      <c r="B645" s="5">
        <v>15005512</v>
      </c>
      <c r="C645" s="5" t="s">
        <v>1020</v>
      </c>
      <c r="D645" s="5" t="s">
        <v>321</v>
      </c>
      <c r="E645" s="5" t="s">
        <v>52</v>
      </c>
      <c r="F645" s="5" t="s">
        <v>62</v>
      </c>
      <c r="G645" s="5" t="s">
        <v>211</v>
      </c>
      <c r="H645" s="5" t="s">
        <v>910</v>
      </c>
      <c r="I645" s="6">
        <v>40787</v>
      </c>
      <c r="J645" s="5" t="s">
        <v>336</v>
      </c>
      <c r="K645" s="5" t="s">
        <v>511</v>
      </c>
      <c r="L645" s="5" t="s">
        <v>324</v>
      </c>
      <c r="M645" s="7">
        <v>6</v>
      </c>
      <c r="N645" s="7" t="s">
        <v>176</v>
      </c>
      <c r="O645" s="8">
        <v>5019</v>
      </c>
      <c r="P645" s="9">
        <v>0.02</v>
      </c>
      <c r="Q645" s="10">
        <f t="shared" si="118"/>
        <v>100</v>
      </c>
      <c r="R645" s="9">
        <v>5.0000000000000001E-3</v>
      </c>
      <c r="S645" s="10">
        <f t="shared" si="119"/>
        <v>25</v>
      </c>
      <c r="T645" s="9">
        <f t="shared" si="120"/>
        <v>2.4905359633393107E-2</v>
      </c>
      <c r="U645" s="10">
        <f t="shared" si="121"/>
        <v>125</v>
      </c>
      <c r="V645" s="10">
        <f t="shared" si="122"/>
        <v>5144</v>
      </c>
      <c r="W645" s="11">
        <v>5170</v>
      </c>
      <c r="X645" s="12">
        <f t="shared" si="123"/>
        <v>151</v>
      </c>
      <c r="Y645" s="13">
        <f t="shared" si="124"/>
        <v>3.0099999999999998E-2</v>
      </c>
      <c r="Z645" s="14" t="str">
        <f t="shared" si="125"/>
        <v>0.00%-8.40%</v>
      </c>
      <c r="AA645" s="15"/>
      <c r="AB645" s="15"/>
      <c r="AC645" s="15"/>
      <c r="AD645" s="16"/>
      <c r="AE645" s="8">
        <f t="shared" si="126"/>
        <v>0</v>
      </c>
      <c r="AF645" s="17">
        <f t="shared" si="127"/>
        <v>5170</v>
      </c>
      <c r="AG645" s="18">
        <f t="shared" si="128"/>
        <v>151</v>
      </c>
      <c r="AH645" s="19">
        <f t="shared" si="129"/>
        <v>3.0085674437138943E-2</v>
      </c>
      <c r="AI645" s="20">
        <v>13.6</v>
      </c>
      <c r="AJ645" s="20">
        <v>450</v>
      </c>
      <c r="AK645" s="20"/>
      <c r="AL645" s="20">
        <v>688</v>
      </c>
      <c r="AM645" s="20">
        <f t="shared" si="130"/>
        <v>76400</v>
      </c>
      <c r="AN645" s="7" t="s">
        <v>176</v>
      </c>
      <c r="AO645" s="20"/>
      <c r="AP645" s="21"/>
      <c r="AQ645" s="21"/>
      <c r="AR645" s="5" t="s">
        <v>912</v>
      </c>
      <c r="AS645" s="5" t="s">
        <v>164</v>
      </c>
      <c r="AT645" s="5" t="s">
        <v>59</v>
      </c>
      <c r="AU645" s="20"/>
      <c r="AV645" s="21"/>
      <c r="AW645" s="21"/>
      <c r="AX645" s="21"/>
    </row>
    <row r="646" spans="1:50" s="55" customFormat="1">
      <c r="A646" s="86" t="s">
        <v>318</v>
      </c>
      <c r="B646" s="5">
        <v>15012364</v>
      </c>
      <c r="C646" s="5" t="s">
        <v>1021</v>
      </c>
      <c r="D646" s="5" t="s">
        <v>321</v>
      </c>
      <c r="E646" s="5" t="s">
        <v>52</v>
      </c>
      <c r="F646" s="5" t="s">
        <v>62</v>
      </c>
      <c r="G646" s="5" t="s">
        <v>211</v>
      </c>
      <c r="H646" s="5" t="s">
        <v>910</v>
      </c>
      <c r="I646" s="6">
        <v>41821</v>
      </c>
      <c r="J646" s="5" t="s">
        <v>336</v>
      </c>
      <c r="K646" s="5" t="s">
        <v>511</v>
      </c>
      <c r="L646" s="5" t="s">
        <v>324</v>
      </c>
      <c r="M646" s="7">
        <v>6</v>
      </c>
      <c r="N646" s="7" t="s">
        <v>176</v>
      </c>
      <c r="O646" s="8">
        <v>4991</v>
      </c>
      <c r="P646" s="9">
        <v>0.02</v>
      </c>
      <c r="Q646" s="10">
        <f t="shared" si="118"/>
        <v>100</v>
      </c>
      <c r="R646" s="9">
        <v>5.0000000000000001E-3</v>
      </c>
      <c r="S646" s="10">
        <f t="shared" si="119"/>
        <v>25</v>
      </c>
      <c r="T646" s="9">
        <f t="shared" si="120"/>
        <v>2.5045081146062912E-2</v>
      </c>
      <c r="U646" s="10">
        <f t="shared" si="121"/>
        <v>125</v>
      </c>
      <c r="V646" s="10">
        <f t="shared" si="122"/>
        <v>5116</v>
      </c>
      <c r="W646" s="11">
        <v>5066</v>
      </c>
      <c r="X646" s="12">
        <f t="shared" si="123"/>
        <v>75</v>
      </c>
      <c r="Y646" s="13">
        <f t="shared" si="124"/>
        <v>1.4999999999999999E-2</v>
      </c>
      <c r="Z646" s="14" t="str">
        <f t="shared" si="125"/>
        <v>0.00%-8.40%</v>
      </c>
      <c r="AA646" s="15"/>
      <c r="AB646" s="15"/>
      <c r="AC646" s="15"/>
      <c r="AD646" s="16"/>
      <c r="AE646" s="8">
        <f t="shared" si="126"/>
        <v>0</v>
      </c>
      <c r="AF646" s="17">
        <f t="shared" si="127"/>
        <v>5066</v>
      </c>
      <c r="AG646" s="18">
        <f t="shared" si="128"/>
        <v>75</v>
      </c>
      <c r="AH646" s="19">
        <f t="shared" si="129"/>
        <v>1.5027048687637823E-2</v>
      </c>
      <c r="AI646" s="20">
        <v>13.6</v>
      </c>
      <c r="AJ646" s="20">
        <v>450</v>
      </c>
      <c r="AK646" s="20"/>
      <c r="AL646" s="20">
        <v>688</v>
      </c>
      <c r="AM646" s="20">
        <f t="shared" si="130"/>
        <v>74985.599999999991</v>
      </c>
      <c r="AN646" s="7" t="s">
        <v>176</v>
      </c>
      <c r="AO646" s="20"/>
      <c r="AP646" s="21"/>
      <c r="AQ646" s="21"/>
      <c r="AR646" s="5" t="s">
        <v>912</v>
      </c>
      <c r="AS646" s="5" t="s">
        <v>164</v>
      </c>
      <c r="AT646" s="5" t="s">
        <v>59</v>
      </c>
      <c r="AU646" s="20"/>
      <c r="AV646" s="21"/>
      <c r="AW646" s="21"/>
      <c r="AX646" s="21"/>
    </row>
    <row r="647" spans="1:50" s="55" customFormat="1">
      <c r="A647" s="86" t="s">
        <v>318</v>
      </c>
      <c r="B647" s="5">
        <v>15018873</v>
      </c>
      <c r="C647" s="5" t="s">
        <v>1022</v>
      </c>
      <c r="D647" s="5" t="s">
        <v>321</v>
      </c>
      <c r="E647" s="5" t="s">
        <v>52</v>
      </c>
      <c r="F647" s="5" t="s">
        <v>62</v>
      </c>
      <c r="G647" s="5" t="s">
        <v>211</v>
      </c>
      <c r="H647" s="5" t="s">
        <v>910</v>
      </c>
      <c r="I647" s="6">
        <v>43344</v>
      </c>
      <c r="J647" s="5" t="s">
        <v>336</v>
      </c>
      <c r="K647" s="5" t="s">
        <v>511</v>
      </c>
      <c r="L647" s="5" t="s">
        <v>324</v>
      </c>
      <c r="M647" s="7">
        <v>6</v>
      </c>
      <c r="N647" s="7" t="s">
        <v>176</v>
      </c>
      <c r="O647" s="8">
        <v>4829</v>
      </c>
      <c r="P647" s="9">
        <v>0.02</v>
      </c>
      <c r="Q647" s="10">
        <f t="shared" si="118"/>
        <v>97</v>
      </c>
      <c r="R647" s="9">
        <v>5.0000000000000001E-3</v>
      </c>
      <c r="S647" s="10">
        <f t="shared" si="119"/>
        <v>24</v>
      </c>
      <c r="T647" s="9">
        <f t="shared" si="120"/>
        <v>2.5056947608200455E-2</v>
      </c>
      <c r="U647" s="10">
        <f t="shared" si="121"/>
        <v>121</v>
      </c>
      <c r="V647" s="10">
        <f t="shared" si="122"/>
        <v>4950</v>
      </c>
      <c r="W647" s="11">
        <v>4950</v>
      </c>
      <c r="X647" s="12">
        <f t="shared" si="123"/>
        <v>121</v>
      </c>
      <c r="Y647" s="13">
        <f t="shared" si="124"/>
        <v>2.5100000000000001E-2</v>
      </c>
      <c r="Z647" s="14" t="str">
        <f t="shared" si="125"/>
        <v>0.00%-8.40%</v>
      </c>
      <c r="AA647" s="15"/>
      <c r="AB647" s="15"/>
      <c r="AC647" s="15"/>
      <c r="AD647" s="16"/>
      <c r="AE647" s="8">
        <f t="shared" si="126"/>
        <v>0</v>
      </c>
      <c r="AF647" s="17">
        <f t="shared" si="127"/>
        <v>4950</v>
      </c>
      <c r="AG647" s="18">
        <f t="shared" si="128"/>
        <v>121</v>
      </c>
      <c r="AH647" s="19">
        <f t="shared" si="129"/>
        <v>2.5056947608200542E-2</v>
      </c>
      <c r="AI647" s="20">
        <v>13.6</v>
      </c>
      <c r="AJ647" s="20">
        <v>450</v>
      </c>
      <c r="AK647" s="20"/>
      <c r="AL647" s="20">
        <v>688</v>
      </c>
      <c r="AM647" s="20">
        <f t="shared" si="130"/>
        <v>73408</v>
      </c>
      <c r="AN647" s="7" t="s">
        <v>176</v>
      </c>
      <c r="AO647" s="20"/>
      <c r="AP647" s="21"/>
      <c r="AQ647" s="21"/>
      <c r="AR647" s="5" t="s">
        <v>912</v>
      </c>
      <c r="AS647" s="5" t="s">
        <v>164</v>
      </c>
      <c r="AT647" s="5" t="s">
        <v>59</v>
      </c>
      <c r="AU647" s="20"/>
      <c r="AV647" s="21"/>
      <c r="AW647" s="21"/>
      <c r="AX647" s="21"/>
    </row>
    <row r="648" spans="1:50" s="55" customFormat="1">
      <c r="A648" s="86" t="s">
        <v>318</v>
      </c>
      <c r="B648" s="5">
        <v>15015582</v>
      </c>
      <c r="C648" s="5" t="s">
        <v>1023</v>
      </c>
      <c r="D648" s="5" t="s">
        <v>321</v>
      </c>
      <c r="E648" s="5" t="s">
        <v>52</v>
      </c>
      <c r="F648" s="5" t="s">
        <v>62</v>
      </c>
      <c r="G648" s="5" t="s">
        <v>211</v>
      </c>
      <c r="H648" s="5" t="s">
        <v>910</v>
      </c>
      <c r="I648" s="6">
        <v>42917</v>
      </c>
      <c r="J648" s="5" t="s">
        <v>336</v>
      </c>
      <c r="K648" s="5" t="s">
        <v>511</v>
      </c>
      <c r="L648" s="5" t="s">
        <v>324</v>
      </c>
      <c r="M648" s="7">
        <v>6</v>
      </c>
      <c r="N648" s="7" t="s">
        <v>176</v>
      </c>
      <c r="O648" s="8">
        <v>4921</v>
      </c>
      <c r="P648" s="9">
        <v>0.02</v>
      </c>
      <c r="Q648" s="10">
        <f t="shared" si="118"/>
        <v>98</v>
      </c>
      <c r="R648" s="9">
        <v>5.0000000000000001E-3</v>
      </c>
      <c r="S648" s="10">
        <f t="shared" si="119"/>
        <v>25</v>
      </c>
      <c r="T648" s="9">
        <f t="shared" si="120"/>
        <v>2.4994919731761836E-2</v>
      </c>
      <c r="U648" s="10">
        <f t="shared" si="121"/>
        <v>123</v>
      </c>
      <c r="V648" s="10">
        <f t="shared" si="122"/>
        <v>5044</v>
      </c>
      <c r="W648" s="11">
        <v>5044</v>
      </c>
      <c r="X648" s="12">
        <f t="shared" si="123"/>
        <v>123</v>
      </c>
      <c r="Y648" s="13">
        <f t="shared" si="124"/>
        <v>2.5000000000000001E-2</v>
      </c>
      <c r="Z648" s="14" t="str">
        <f t="shared" si="125"/>
        <v>0.00%-8.40%</v>
      </c>
      <c r="AA648" s="15"/>
      <c r="AB648" s="15"/>
      <c r="AC648" s="15"/>
      <c r="AD648" s="16"/>
      <c r="AE648" s="8">
        <f t="shared" si="126"/>
        <v>0</v>
      </c>
      <c r="AF648" s="17">
        <f t="shared" si="127"/>
        <v>5044</v>
      </c>
      <c r="AG648" s="18">
        <f t="shared" si="128"/>
        <v>123</v>
      </c>
      <c r="AH648" s="19">
        <f t="shared" si="129"/>
        <v>2.4994919731761822E-2</v>
      </c>
      <c r="AI648" s="20">
        <v>13.6</v>
      </c>
      <c r="AJ648" s="20">
        <v>500</v>
      </c>
      <c r="AK648" s="20"/>
      <c r="AL648" s="20">
        <v>688</v>
      </c>
      <c r="AM648" s="20">
        <f t="shared" si="130"/>
        <v>75286.399999999994</v>
      </c>
      <c r="AN648" s="7" t="s">
        <v>176</v>
      </c>
      <c r="AO648" s="20"/>
      <c r="AP648" s="21"/>
      <c r="AQ648" s="21"/>
      <c r="AR648" s="5" t="s">
        <v>912</v>
      </c>
      <c r="AS648" s="5" t="s">
        <v>164</v>
      </c>
      <c r="AT648" s="5" t="s">
        <v>59</v>
      </c>
      <c r="AU648" s="20"/>
      <c r="AV648" s="21"/>
      <c r="AW648" s="21"/>
      <c r="AX648" s="21"/>
    </row>
    <row r="649" spans="1:50" s="55" customFormat="1">
      <c r="A649" s="86" t="s">
        <v>318</v>
      </c>
      <c r="B649" s="5">
        <v>15019788</v>
      </c>
      <c r="C649" s="5" t="s">
        <v>1024</v>
      </c>
      <c r="D649" s="5" t="s">
        <v>321</v>
      </c>
      <c r="E649" s="5" t="s">
        <v>52</v>
      </c>
      <c r="F649" s="5" t="s">
        <v>62</v>
      </c>
      <c r="G649" s="5" t="s">
        <v>211</v>
      </c>
      <c r="H649" s="5" t="s">
        <v>910</v>
      </c>
      <c r="I649" s="6">
        <v>44044</v>
      </c>
      <c r="J649" s="5" t="s">
        <v>336</v>
      </c>
      <c r="K649" s="5" t="s">
        <v>511</v>
      </c>
      <c r="L649" s="5" t="s">
        <v>324</v>
      </c>
      <c r="M649" s="7">
        <v>6</v>
      </c>
      <c r="N649" s="7" t="s">
        <v>176</v>
      </c>
      <c r="O649" s="8">
        <v>4820</v>
      </c>
      <c r="P649" s="9">
        <v>0.02</v>
      </c>
      <c r="Q649" s="10">
        <f t="shared" ref="Q649:Q712" si="131">ROUND(O649*P649,0)</f>
        <v>96</v>
      </c>
      <c r="R649" s="9">
        <v>5.0000000000000001E-3</v>
      </c>
      <c r="S649" s="10">
        <f t="shared" ref="S649:S712" si="132">ROUND(O649*R649,0)</f>
        <v>24</v>
      </c>
      <c r="T649" s="9">
        <f t="shared" ref="T649:T712" si="133">U649/O649</f>
        <v>2.4896265560165973E-2</v>
      </c>
      <c r="U649" s="10">
        <f t="shared" ref="U649:U712" si="134">Q649+S649</f>
        <v>120</v>
      </c>
      <c r="V649" s="10">
        <f t="shared" ref="V649:V712" si="135">O649+U649</f>
        <v>4940</v>
      </c>
      <c r="W649" s="11">
        <v>4941</v>
      </c>
      <c r="X649" s="12">
        <f t="shared" ref="X649:X712" si="136">W649-O649</f>
        <v>121</v>
      </c>
      <c r="Y649" s="13">
        <f t="shared" ref="Y649:Y712" si="137">ROUND(W649/O649-1,4)</f>
        <v>2.5100000000000001E-2</v>
      </c>
      <c r="Z649" s="14" t="str">
        <f t="shared" ref="Z649:Z670" si="138">IF(OR(M649=1,M649=2,M649=4),TEXT(T649*0.8,"0.00%")&amp;"-"&amp;TEXT(T649*1.2,"0.00%"),IF(OR(M649=3,M649=6),TEXT(0,"0.00%")&amp;"-"&amp;TEXT(7%*1.2,"0.00%"),IF(OR(M649=5,M649=7),TEXT((S649/O649),"0.00%")&amp;"-"&amp;TEXT((S649/O649)+7%,"0.00%"),"")))</f>
        <v>0.00%-8.40%</v>
      </c>
      <c r="AA649" s="15"/>
      <c r="AB649" s="15"/>
      <c r="AC649" s="15"/>
      <c r="AD649" s="16"/>
      <c r="AE649" s="8">
        <f t="shared" ref="AE649:AE712" si="139">ROUND(O649*AD649,0)</f>
        <v>0</v>
      </c>
      <c r="AF649" s="17">
        <f t="shared" ref="AF649:AF712" si="140">W649+AE649</f>
        <v>4941</v>
      </c>
      <c r="AG649" s="18">
        <f t="shared" ref="AG649:AG712" si="141">AF649-O649</f>
        <v>121</v>
      </c>
      <c r="AH649" s="19">
        <f t="shared" ref="AH649:AH712" si="142">AF649/O649-1</f>
        <v>2.5103734439833936E-2</v>
      </c>
      <c r="AI649" s="20">
        <v>13.6</v>
      </c>
      <c r="AJ649" s="20">
        <v>450</v>
      </c>
      <c r="AK649" s="20"/>
      <c r="AL649" s="20">
        <v>688</v>
      </c>
      <c r="AM649" s="20">
        <f t="shared" ref="AM649:AM712" si="143">AF649*AI649+AJ649*12+AL649+IF(AC649="",AK649,IF(AC649="D",5000,IF(AC649="C",1000,0)))*12</f>
        <v>73285.599999999991</v>
      </c>
      <c r="AN649" s="7" t="s">
        <v>176</v>
      </c>
      <c r="AO649" s="20"/>
      <c r="AP649" s="21"/>
      <c r="AQ649" s="21"/>
      <c r="AR649" s="5" t="s">
        <v>912</v>
      </c>
      <c r="AS649" s="5" t="s">
        <v>164</v>
      </c>
      <c r="AT649" s="5" t="s">
        <v>59</v>
      </c>
      <c r="AU649" s="20"/>
      <c r="AV649" s="21"/>
      <c r="AW649" s="21"/>
      <c r="AX649" s="21"/>
    </row>
    <row r="650" spans="1:50" s="55" customFormat="1">
      <c r="A650" s="86" t="s">
        <v>318</v>
      </c>
      <c r="B650" s="5">
        <v>15007889</v>
      </c>
      <c r="C650" s="5" t="s">
        <v>1025</v>
      </c>
      <c r="D650" s="5" t="s">
        <v>321</v>
      </c>
      <c r="E650" s="5" t="s">
        <v>52</v>
      </c>
      <c r="F650" s="5" t="s">
        <v>62</v>
      </c>
      <c r="G650" s="5" t="s">
        <v>211</v>
      </c>
      <c r="H650" s="5" t="s">
        <v>910</v>
      </c>
      <c r="I650" s="6">
        <v>41365</v>
      </c>
      <c r="J650" s="5" t="s">
        <v>336</v>
      </c>
      <c r="K650" s="5" t="s">
        <v>511</v>
      </c>
      <c r="L650" s="5" t="s">
        <v>324</v>
      </c>
      <c r="M650" s="7">
        <v>6</v>
      </c>
      <c r="N650" s="7" t="s">
        <v>176</v>
      </c>
      <c r="O650" s="8">
        <v>4802</v>
      </c>
      <c r="P650" s="9">
        <v>0.02</v>
      </c>
      <c r="Q650" s="10">
        <f t="shared" si="131"/>
        <v>96</v>
      </c>
      <c r="R650" s="9">
        <v>5.0000000000000001E-3</v>
      </c>
      <c r="S650" s="10">
        <f t="shared" si="132"/>
        <v>24</v>
      </c>
      <c r="T650" s="9">
        <f t="shared" si="133"/>
        <v>2.4989587671803416E-2</v>
      </c>
      <c r="U650" s="10">
        <f t="shared" si="134"/>
        <v>120</v>
      </c>
      <c r="V650" s="10">
        <f t="shared" si="135"/>
        <v>4922</v>
      </c>
      <c r="W650" s="11">
        <v>4922</v>
      </c>
      <c r="X650" s="12">
        <f t="shared" si="136"/>
        <v>120</v>
      </c>
      <c r="Y650" s="13">
        <f t="shared" si="137"/>
        <v>2.5000000000000001E-2</v>
      </c>
      <c r="Z650" s="14" t="str">
        <f t="shared" si="138"/>
        <v>0.00%-8.40%</v>
      </c>
      <c r="AA650" s="15"/>
      <c r="AB650" s="15"/>
      <c r="AC650" s="15"/>
      <c r="AD650" s="16"/>
      <c r="AE650" s="8">
        <f t="shared" si="139"/>
        <v>0</v>
      </c>
      <c r="AF650" s="17">
        <f t="shared" si="140"/>
        <v>4922</v>
      </c>
      <c r="AG650" s="18">
        <f t="shared" si="141"/>
        <v>120</v>
      </c>
      <c r="AH650" s="19">
        <f t="shared" si="142"/>
        <v>2.498958767180337E-2</v>
      </c>
      <c r="AI650" s="20">
        <v>13.6</v>
      </c>
      <c r="AJ650" s="20">
        <v>500</v>
      </c>
      <c r="AK650" s="20"/>
      <c r="AL650" s="20">
        <v>688</v>
      </c>
      <c r="AM650" s="20">
        <f t="shared" si="143"/>
        <v>73627.199999999997</v>
      </c>
      <c r="AN650" s="7" t="s">
        <v>176</v>
      </c>
      <c r="AO650" s="20"/>
      <c r="AP650" s="21"/>
      <c r="AQ650" s="21"/>
      <c r="AR650" s="5" t="s">
        <v>912</v>
      </c>
      <c r="AS650" s="5" t="s">
        <v>164</v>
      </c>
      <c r="AT650" s="5" t="s">
        <v>59</v>
      </c>
      <c r="AU650" s="20"/>
      <c r="AV650" s="21"/>
      <c r="AW650" s="21"/>
      <c r="AX650" s="21"/>
    </row>
    <row r="651" spans="1:50" s="55" customFormat="1">
      <c r="A651" s="86" t="s">
        <v>318</v>
      </c>
      <c r="B651" s="5">
        <v>15018571</v>
      </c>
      <c r="C651" s="5" t="s">
        <v>1026</v>
      </c>
      <c r="D651" s="5" t="s">
        <v>321</v>
      </c>
      <c r="E651" s="5" t="s">
        <v>52</v>
      </c>
      <c r="F651" s="5" t="s">
        <v>62</v>
      </c>
      <c r="G651" s="5" t="s">
        <v>211</v>
      </c>
      <c r="H651" s="5" t="s">
        <v>910</v>
      </c>
      <c r="I651" s="6">
        <v>43252</v>
      </c>
      <c r="J651" s="5" t="s">
        <v>336</v>
      </c>
      <c r="K651" s="5" t="s">
        <v>511</v>
      </c>
      <c r="L651" s="5" t="s">
        <v>324</v>
      </c>
      <c r="M651" s="7">
        <v>6</v>
      </c>
      <c r="N651" s="7" t="s">
        <v>176</v>
      </c>
      <c r="O651" s="8">
        <v>4814</v>
      </c>
      <c r="P651" s="9">
        <v>0.02</v>
      </c>
      <c r="Q651" s="10">
        <f t="shared" si="131"/>
        <v>96</v>
      </c>
      <c r="R651" s="9">
        <v>5.0000000000000001E-3</v>
      </c>
      <c r="S651" s="10">
        <f t="shared" si="132"/>
        <v>24</v>
      </c>
      <c r="T651" s="9">
        <f t="shared" si="133"/>
        <v>2.4927295388450354E-2</v>
      </c>
      <c r="U651" s="10">
        <f t="shared" si="134"/>
        <v>120</v>
      </c>
      <c r="V651" s="10">
        <f t="shared" si="135"/>
        <v>4934</v>
      </c>
      <c r="W651" s="11">
        <v>4934</v>
      </c>
      <c r="X651" s="12">
        <f t="shared" si="136"/>
        <v>120</v>
      </c>
      <c r="Y651" s="13">
        <f t="shared" si="137"/>
        <v>2.4899999999999999E-2</v>
      </c>
      <c r="Z651" s="14" t="str">
        <f t="shared" si="138"/>
        <v>0.00%-8.40%</v>
      </c>
      <c r="AA651" s="15"/>
      <c r="AB651" s="15"/>
      <c r="AC651" s="15"/>
      <c r="AD651" s="16"/>
      <c r="AE651" s="8">
        <f t="shared" si="139"/>
        <v>0</v>
      </c>
      <c r="AF651" s="17">
        <f t="shared" si="140"/>
        <v>4934</v>
      </c>
      <c r="AG651" s="18">
        <f t="shared" si="141"/>
        <v>120</v>
      </c>
      <c r="AH651" s="19">
        <f t="shared" si="142"/>
        <v>2.4927295388450288E-2</v>
      </c>
      <c r="AI651" s="20">
        <v>13.6</v>
      </c>
      <c r="AJ651" s="20">
        <v>450</v>
      </c>
      <c r="AK651" s="20"/>
      <c r="AL651" s="20">
        <v>688</v>
      </c>
      <c r="AM651" s="20">
        <f t="shared" si="143"/>
        <v>73190.399999999994</v>
      </c>
      <c r="AN651" s="7" t="s">
        <v>176</v>
      </c>
      <c r="AO651" s="20"/>
      <c r="AP651" s="21"/>
      <c r="AQ651" s="21"/>
      <c r="AR651" s="5" t="s">
        <v>912</v>
      </c>
      <c r="AS651" s="5" t="s">
        <v>164</v>
      </c>
      <c r="AT651" s="5" t="s">
        <v>59</v>
      </c>
      <c r="AU651" s="20"/>
      <c r="AV651" s="21"/>
      <c r="AW651" s="21"/>
      <c r="AX651" s="21"/>
    </row>
    <row r="652" spans="1:50" s="55" customFormat="1">
      <c r="A652" s="86" t="s">
        <v>318</v>
      </c>
      <c r="B652" s="5">
        <v>15018598</v>
      </c>
      <c r="C652" s="5" t="s">
        <v>1027</v>
      </c>
      <c r="D652" s="5" t="s">
        <v>321</v>
      </c>
      <c r="E652" s="5" t="s">
        <v>52</v>
      </c>
      <c r="F652" s="5" t="s">
        <v>62</v>
      </c>
      <c r="G652" s="5" t="s">
        <v>211</v>
      </c>
      <c r="H652" s="5" t="s">
        <v>910</v>
      </c>
      <c r="I652" s="6">
        <v>43344</v>
      </c>
      <c r="J652" s="5" t="s">
        <v>336</v>
      </c>
      <c r="K652" s="5" t="s">
        <v>511</v>
      </c>
      <c r="L652" s="5" t="s">
        <v>324</v>
      </c>
      <c r="M652" s="7">
        <v>6</v>
      </c>
      <c r="N652" s="7" t="s">
        <v>176</v>
      </c>
      <c r="O652" s="8">
        <v>4607</v>
      </c>
      <c r="P652" s="9">
        <v>0.02</v>
      </c>
      <c r="Q652" s="10">
        <f t="shared" si="131"/>
        <v>92</v>
      </c>
      <c r="R652" s="9">
        <v>5.0000000000000001E-3</v>
      </c>
      <c r="S652" s="10">
        <f t="shared" si="132"/>
        <v>23</v>
      </c>
      <c r="T652" s="9">
        <f t="shared" si="133"/>
        <v>2.4962014326025614E-2</v>
      </c>
      <c r="U652" s="10">
        <f t="shared" si="134"/>
        <v>115</v>
      </c>
      <c r="V652" s="10">
        <f t="shared" si="135"/>
        <v>4722</v>
      </c>
      <c r="W652" s="11">
        <v>4722</v>
      </c>
      <c r="X652" s="12">
        <f t="shared" si="136"/>
        <v>115</v>
      </c>
      <c r="Y652" s="13">
        <f t="shared" si="137"/>
        <v>2.5000000000000001E-2</v>
      </c>
      <c r="Z652" s="14" t="str">
        <f t="shared" si="138"/>
        <v>0.00%-8.40%</v>
      </c>
      <c r="AA652" s="15"/>
      <c r="AB652" s="15"/>
      <c r="AC652" s="15"/>
      <c r="AD652" s="16"/>
      <c r="AE652" s="8">
        <f t="shared" si="139"/>
        <v>0</v>
      </c>
      <c r="AF652" s="17">
        <f t="shared" si="140"/>
        <v>4722</v>
      </c>
      <c r="AG652" s="18">
        <f t="shared" si="141"/>
        <v>115</v>
      </c>
      <c r="AH652" s="19">
        <f t="shared" si="142"/>
        <v>2.4962014326025628E-2</v>
      </c>
      <c r="AI652" s="20">
        <v>13.6</v>
      </c>
      <c r="AJ652" s="20">
        <v>450</v>
      </c>
      <c r="AK652" s="20"/>
      <c r="AL652" s="20">
        <v>688</v>
      </c>
      <c r="AM652" s="20">
        <f t="shared" si="143"/>
        <v>70307.199999999997</v>
      </c>
      <c r="AN652" s="7" t="s">
        <v>176</v>
      </c>
      <c r="AO652" s="20"/>
      <c r="AP652" s="21"/>
      <c r="AQ652" s="21"/>
      <c r="AR652" s="5" t="s">
        <v>912</v>
      </c>
      <c r="AS652" s="5" t="s">
        <v>164</v>
      </c>
      <c r="AT652" s="5" t="s">
        <v>59</v>
      </c>
      <c r="AU652" s="20"/>
      <c r="AV652" s="21"/>
      <c r="AW652" s="21"/>
      <c r="AX652" s="21"/>
    </row>
    <row r="653" spans="1:50" s="55" customFormat="1">
      <c r="A653" s="86" t="s">
        <v>318</v>
      </c>
      <c r="B653" s="5">
        <v>15007173</v>
      </c>
      <c r="C653" s="5" t="s">
        <v>1028</v>
      </c>
      <c r="D653" s="5" t="s">
        <v>321</v>
      </c>
      <c r="E653" s="5" t="s">
        <v>52</v>
      </c>
      <c r="F653" s="5" t="s">
        <v>62</v>
      </c>
      <c r="G653" s="5" t="s">
        <v>211</v>
      </c>
      <c r="H653" s="5" t="s">
        <v>910</v>
      </c>
      <c r="I653" s="6">
        <v>41030</v>
      </c>
      <c r="J653" s="5" t="s">
        <v>336</v>
      </c>
      <c r="K653" s="5" t="s">
        <v>511</v>
      </c>
      <c r="L653" s="5" t="s">
        <v>324</v>
      </c>
      <c r="M653" s="7">
        <v>6</v>
      </c>
      <c r="N653" s="7" t="s">
        <v>176</v>
      </c>
      <c r="O653" s="8">
        <v>4739</v>
      </c>
      <c r="P653" s="9">
        <v>0.02</v>
      </c>
      <c r="Q653" s="10">
        <f t="shared" si="131"/>
        <v>95</v>
      </c>
      <c r="R653" s="9">
        <v>5.0000000000000001E-3</v>
      </c>
      <c r="S653" s="10">
        <f t="shared" si="132"/>
        <v>24</v>
      </c>
      <c r="T653" s="9">
        <f t="shared" si="133"/>
        <v>2.5110782865583457E-2</v>
      </c>
      <c r="U653" s="10">
        <f t="shared" si="134"/>
        <v>119</v>
      </c>
      <c r="V653" s="10">
        <f t="shared" si="135"/>
        <v>4858</v>
      </c>
      <c r="W653" s="11">
        <v>4739</v>
      </c>
      <c r="X653" s="12">
        <f t="shared" si="136"/>
        <v>0</v>
      </c>
      <c r="Y653" s="13">
        <f t="shared" si="137"/>
        <v>0</v>
      </c>
      <c r="Z653" s="14" t="str">
        <f t="shared" si="138"/>
        <v>0.00%-8.40%</v>
      </c>
      <c r="AA653" s="15"/>
      <c r="AB653" s="15"/>
      <c r="AC653" s="15"/>
      <c r="AD653" s="16"/>
      <c r="AE653" s="8">
        <f t="shared" si="139"/>
        <v>0</v>
      </c>
      <c r="AF653" s="17">
        <f t="shared" si="140"/>
        <v>4739</v>
      </c>
      <c r="AG653" s="18">
        <f t="shared" si="141"/>
        <v>0</v>
      </c>
      <c r="AH653" s="19">
        <f t="shared" si="142"/>
        <v>0</v>
      </c>
      <c r="AI653" s="20">
        <v>13.6</v>
      </c>
      <c r="AJ653" s="20">
        <v>500</v>
      </c>
      <c r="AK653" s="20"/>
      <c r="AL653" s="20">
        <v>688</v>
      </c>
      <c r="AM653" s="20">
        <f t="shared" si="143"/>
        <v>71138.399999999994</v>
      </c>
      <c r="AN653" s="7" t="s">
        <v>176</v>
      </c>
      <c r="AO653" s="20"/>
      <c r="AP653" s="21" t="s">
        <v>97</v>
      </c>
      <c r="AQ653" s="21" t="s">
        <v>97</v>
      </c>
      <c r="AR653" s="5" t="s">
        <v>912</v>
      </c>
      <c r="AS653" s="5" t="s">
        <v>164</v>
      </c>
      <c r="AT653" s="5" t="s">
        <v>59</v>
      </c>
      <c r="AU653" s="20"/>
      <c r="AV653" s="21"/>
      <c r="AW653" s="21"/>
      <c r="AX653" s="21"/>
    </row>
    <row r="654" spans="1:50" s="55" customFormat="1">
      <c r="A654" s="86" t="s">
        <v>318</v>
      </c>
      <c r="B654" s="5">
        <v>15009650</v>
      </c>
      <c r="C654" s="5" t="s">
        <v>1029</v>
      </c>
      <c r="D654" s="5" t="s">
        <v>321</v>
      </c>
      <c r="E654" s="5" t="s">
        <v>52</v>
      </c>
      <c r="F654" s="5" t="s">
        <v>62</v>
      </c>
      <c r="G654" s="5" t="s">
        <v>211</v>
      </c>
      <c r="H654" s="5" t="s">
        <v>910</v>
      </c>
      <c r="I654" s="6">
        <v>41487</v>
      </c>
      <c r="J654" s="5" t="s">
        <v>336</v>
      </c>
      <c r="K654" s="5" t="s">
        <v>511</v>
      </c>
      <c r="L654" s="5" t="s">
        <v>324</v>
      </c>
      <c r="M654" s="7">
        <v>6</v>
      </c>
      <c r="N654" s="7" t="s">
        <v>176</v>
      </c>
      <c r="O654" s="8">
        <v>4869</v>
      </c>
      <c r="P654" s="9">
        <v>0.02</v>
      </c>
      <c r="Q654" s="10">
        <f t="shared" si="131"/>
        <v>97</v>
      </c>
      <c r="R654" s="9">
        <v>5.0000000000000001E-3</v>
      </c>
      <c r="S654" s="10">
        <f t="shared" si="132"/>
        <v>24</v>
      </c>
      <c r="T654" s="9">
        <f t="shared" si="133"/>
        <v>2.4851098788252209E-2</v>
      </c>
      <c r="U654" s="10">
        <f t="shared" si="134"/>
        <v>121</v>
      </c>
      <c r="V654" s="10">
        <f t="shared" si="135"/>
        <v>4990</v>
      </c>
      <c r="W654" s="11">
        <v>5015</v>
      </c>
      <c r="X654" s="12">
        <f t="shared" si="136"/>
        <v>146</v>
      </c>
      <c r="Y654" s="13">
        <f t="shared" si="137"/>
        <v>0.03</v>
      </c>
      <c r="Z654" s="14" t="str">
        <f t="shared" si="138"/>
        <v>0.00%-8.40%</v>
      </c>
      <c r="AA654" s="15"/>
      <c r="AB654" s="15"/>
      <c r="AC654" s="15"/>
      <c r="AD654" s="16"/>
      <c r="AE654" s="8">
        <f t="shared" si="139"/>
        <v>0</v>
      </c>
      <c r="AF654" s="17">
        <f t="shared" si="140"/>
        <v>5015</v>
      </c>
      <c r="AG654" s="18">
        <f t="shared" si="141"/>
        <v>146</v>
      </c>
      <c r="AH654" s="19">
        <f t="shared" si="142"/>
        <v>2.9985623331279632E-2</v>
      </c>
      <c r="AI654" s="20">
        <v>13.6</v>
      </c>
      <c r="AJ654" s="20">
        <v>450</v>
      </c>
      <c r="AK654" s="20"/>
      <c r="AL654" s="20">
        <v>688</v>
      </c>
      <c r="AM654" s="20">
        <f t="shared" si="143"/>
        <v>74292</v>
      </c>
      <c r="AN654" s="7" t="s">
        <v>176</v>
      </c>
      <c r="AO654" s="20"/>
      <c r="AP654" s="21"/>
      <c r="AQ654" s="21"/>
      <c r="AR654" s="5" t="s">
        <v>912</v>
      </c>
      <c r="AS654" s="5" t="s">
        <v>164</v>
      </c>
      <c r="AT654" s="5" t="s">
        <v>59</v>
      </c>
      <c r="AU654" s="20"/>
      <c r="AV654" s="21"/>
      <c r="AW654" s="21"/>
      <c r="AX654" s="21"/>
    </row>
    <row r="655" spans="1:50" s="55" customFormat="1">
      <c r="A655" s="86" t="s">
        <v>318</v>
      </c>
      <c r="B655" s="5">
        <v>15018628</v>
      </c>
      <c r="C655" s="5" t="s">
        <v>1030</v>
      </c>
      <c r="D655" s="5" t="s">
        <v>321</v>
      </c>
      <c r="E655" s="5" t="s">
        <v>52</v>
      </c>
      <c r="F655" s="5" t="s">
        <v>62</v>
      </c>
      <c r="G655" s="5" t="s">
        <v>211</v>
      </c>
      <c r="H655" s="5" t="s">
        <v>910</v>
      </c>
      <c r="I655" s="6">
        <v>43252</v>
      </c>
      <c r="J655" s="5" t="s">
        <v>336</v>
      </c>
      <c r="K655" s="5" t="s">
        <v>511</v>
      </c>
      <c r="L655" s="5" t="s">
        <v>324</v>
      </c>
      <c r="M655" s="7">
        <v>6</v>
      </c>
      <c r="N655" s="7" t="s">
        <v>176</v>
      </c>
      <c r="O655" s="8">
        <v>4856</v>
      </c>
      <c r="P655" s="9">
        <v>0.02</v>
      </c>
      <c r="Q655" s="10">
        <f t="shared" si="131"/>
        <v>97</v>
      </c>
      <c r="R655" s="9">
        <v>5.0000000000000001E-3</v>
      </c>
      <c r="S655" s="10">
        <f t="shared" si="132"/>
        <v>24</v>
      </c>
      <c r="T655" s="9">
        <f t="shared" si="133"/>
        <v>2.4917627677100495E-2</v>
      </c>
      <c r="U655" s="10">
        <f t="shared" si="134"/>
        <v>121</v>
      </c>
      <c r="V655" s="10">
        <f t="shared" si="135"/>
        <v>4977</v>
      </c>
      <c r="W655" s="11">
        <v>4856</v>
      </c>
      <c r="X655" s="12">
        <f t="shared" si="136"/>
        <v>0</v>
      </c>
      <c r="Y655" s="13">
        <f t="shared" si="137"/>
        <v>0</v>
      </c>
      <c r="Z655" s="14" t="str">
        <f t="shared" si="138"/>
        <v>0.00%-8.40%</v>
      </c>
      <c r="AA655" s="15"/>
      <c r="AB655" s="15"/>
      <c r="AC655" s="15"/>
      <c r="AD655" s="16"/>
      <c r="AE655" s="8">
        <f t="shared" si="139"/>
        <v>0</v>
      </c>
      <c r="AF655" s="17">
        <f t="shared" si="140"/>
        <v>4856</v>
      </c>
      <c r="AG655" s="18">
        <f t="shared" si="141"/>
        <v>0</v>
      </c>
      <c r="AH655" s="19">
        <f t="shared" si="142"/>
        <v>0</v>
      </c>
      <c r="AI655" s="20">
        <v>13.6</v>
      </c>
      <c r="AJ655" s="20">
        <v>450</v>
      </c>
      <c r="AK655" s="20"/>
      <c r="AL655" s="20">
        <v>688</v>
      </c>
      <c r="AM655" s="20">
        <f t="shared" si="143"/>
        <v>72129.599999999991</v>
      </c>
      <c r="AN655" s="7" t="s">
        <v>176</v>
      </c>
      <c r="AO655" s="20"/>
      <c r="AP655" s="21" t="s">
        <v>97</v>
      </c>
      <c r="AQ655" s="21" t="s">
        <v>97</v>
      </c>
      <c r="AR655" s="5" t="s">
        <v>912</v>
      </c>
      <c r="AS655" s="5" t="s">
        <v>164</v>
      </c>
      <c r="AT655" s="5" t="s">
        <v>59</v>
      </c>
      <c r="AU655" s="20"/>
      <c r="AV655" s="21"/>
      <c r="AW655" s="21"/>
      <c r="AX655" s="21"/>
    </row>
    <row r="656" spans="1:50" s="55" customFormat="1">
      <c r="A656" s="86" t="s">
        <v>318</v>
      </c>
      <c r="B656" s="5">
        <v>15014746</v>
      </c>
      <c r="C656" s="5" t="s">
        <v>1031</v>
      </c>
      <c r="D656" s="5" t="s">
        <v>321</v>
      </c>
      <c r="E656" s="5" t="s">
        <v>52</v>
      </c>
      <c r="F656" s="5" t="s">
        <v>62</v>
      </c>
      <c r="G656" s="5" t="s">
        <v>211</v>
      </c>
      <c r="H656" s="5" t="s">
        <v>910</v>
      </c>
      <c r="I656" s="6">
        <v>42370</v>
      </c>
      <c r="J656" s="5" t="s">
        <v>336</v>
      </c>
      <c r="K656" s="5" t="s">
        <v>511</v>
      </c>
      <c r="L656" s="5" t="s">
        <v>324</v>
      </c>
      <c r="M656" s="7">
        <v>6</v>
      </c>
      <c r="N656" s="7" t="s">
        <v>176</v>
      </c>
      <c r="O656" s="8">
        <v>4796</v>
      </c>
      <c r="P656" s="9">
        <v>0.02</v>
      </c>
      <c r="Q656" s="10">
        <f t="shared" si="131"/>
        <v>96</v>
      </c>
      <c r="R656" s="9">
        <v>5.0000000000000001E-3</v>
      </c>
      <c r="S656" s="10">
        <f t="shared" si="132"/>
        <v>24</v>
      </c>
      <c r="T656" s="9">
        <f t="shared" si="133"/>
        <v>2.5020850708924104E-2</v>
      </c>
      <c r="U656" s="10">
        <f t="shared" si="134"/>
        <v>120</v>
      </c>
      <c r="V656" s="10">
        <f t="shared" si="135"/>
        <v>4916</v>
      </c>
      <c r="W656" s="11">
        <v>4916</v>
      </c>
      <c r="X656" s="12">
        <f t="shared" si="136"/>
        <v>120</v>
      </c>
      <c r="Y656" s="13">
        <f t="shared" si="137"/>
        <v>2.5000000000000001E-2</v>
      </c>
      <c r="Z656" s="14" t="str">
        <f t="shared" si="138"/>
        <v>0.00%-8.40%</v>
      </c>
      <c r="AA656" s="15"/>
      <c r="AB656" s="15"/>
      <c r="AC656" s="15"/>
      <c r="AD656" s="16"/>
      <c r="AE656" s="8">
        <f t="shared" si="139"/>
        <v>0</v>
      </c>
      <c r="AF656" s="17">
        <f t="shared" si="140"/>
        <v>4916</v>
      </c>
      <c r="AG656" s="18">
        <f t="shared" si="141"/>
        <v>120</v>
      </c>
      <c r="AH656" s="19">
        <f t="shared" si="142"/>
        <v>2.5020850708924014E-2</v>
      </c>
      <c r="AI656" s="20">
        <v>13.6</v>
      </c>
      <c r="AJ656" s="20">
        <v>450</v>
      </c>
      <c r="AK656" s="20"/>
      <c r="AL656" s="20">
        <v>688</v>
      </c>
      <c r="AM656" s="20">
        <f t="shared" si="143"/>
        <v>72945.599999999991</v>
      </c>
      <c r="AN656" s="7" t="s">
        <v>176</v>
      </c>
      <c r="AO656" s="20"/>
      <c r="AP656" s="21"/>
      <c r="AQ656" s="21"/>
      <c r="AR656" s="5" t="s">
        <v>912</v>
      </c>
      <c r="AS656" s="5" t="s">
        <v>164</v>
      </c>
      <c r="AT656" s="5" t="s">
        <v>59</v>
      </c>
      <c r="AU656" s="20"/>
      <c r="AV656" s="21"/>
      <c r="AW656" s="21"/>
      <c r="AX656" s="21"/>
    </row>
    <row r="657" spans="1:50" s="55" customFormat="1">
      <c r="A657" s="86" t="s">
        <v>318</v>
      </c>
      <c r="B657" s="5">
        <v>15002784</v>
      </c>
      <c r="C657" s="5" t="s">
        <v>1032</v>
      </c>
      <c r="D657" s="5" t="s">
        <v>321</v>
      </c>
      <c r="E657" s="5" t="s">
        <v>52</v>
      </c>
      <c r="F657" s="5" t="s">
        <v>62</v>
      </c>
      <c r="G657" s="5" t="s">
        <v>211</v>
      </c>
      <c r="H657" s="5" t="s">
        <v>910</v>
      </c>
      <c r="I657" s="6">
        <v>40179</v>
      </c>
      <c r="J657" s="5" t="s">
        <v>336</v>
      </c>
      <c r="K657" s="5" t="s">
        <v>511</v>
      </c>
      <c r="L657" s="5" t="s">
        <v>324</v>
      </c>
      <c r="M657" s="7">
        <v>6</v>
      </c>
      <c r="N657" s="7" t="s">
        <v>176</v>
      </c>
      <c r="O657" s="8">
        <v>4978</v>
      </c>
      <c r="P657" s="9">
        <v>0.02</v>
      </c>
      <c r="Q657" s="10">
        <f t="shared" si="131"/>
        <v>100</v>
      </c>
      <c r="R657" s="9">
        <v>5.0000000000000001E-3</v>
      </c>
      <c r="S657" s="10">
        <f t="shared" si="132"/>
        <v>25</v>
      </c>
      <c r="T657" s="9">
        <f t="shared" si="133"/>
        <v>2.5110486139011651E-2</v>
      </c>
      <c r="U657" s="10">
        <f t="shared" si="134"/>
        <v>125</v>
      </c>
      <c r="V657" s="10">
        <f t="shared" si="135"/>
        <v>5103</v>
      </c>
      <c r="W657" s="11">
        <v>5177</v>
      </c>
      <c r="X657" s="12">
        <f t="shared" si="136"/>
        <v>199</v>
      </c>
      <c r="Y657" s="13">
        <f t="shared" si="137"/>
        <v>0.04</v>
      </c>
      <c r="Z657" s="14" t="str">
        <f t="shared" si="138"/>
        <v>0.00%-8.40%</v>
      </c>
      <c r="AA657" s="15"/>
      <c r="AB657" s="15"/>
      <c r="AC657" s="15"/>
      <c r="AD657" s="16"/>
      <c r="AE657" s="8">
        <f t="shared" si="139"/>
        <v>0</v>
      </c>
      <c r="AF657" s="17">
        <f t="shared" si="140"/>
        <v>5177</v>
      </c>
      <c r="AG657" s="18">
        <f t="shared" si="141"/>
        <v>199</v>
      </c>
      <c r="AH657" s="19">
        <f t="shared" si="142"/>
        <v>3.9975893933306583E-2</v>
      </c>
      <c r="AI657" s="20">
        <v>13.6</v>
      </c>
      <c r="AJ657" s="20">
        <v>450</v>
      </c>
      <c r="AK657" s="20"/>
      <c r="AL657" s="20">
        <v>688</v>
      </c>
      <c r="AM657" s="20">
        <f t="shared" si="143"/>
        <v>76495.199999999997</v>
      </c>
      <c r="AN657" s="7" t="s">
        <v>176</v>
      </c>
      <c r="AO657" s="20"/>
      <c r="AP657" s="21"/>
      <c r="AQ657" s="21"/>
      <c r="AR657" s="5" t="s">
        <v>912</v>
      </c>
      <c r="AS657" s="5" t="s">
        <v>164</v>
      </c>
      <c r="AT657" s="5" t="s">
        <v>59</v>
      </c>
      <c r="AU657" s="20"/>
      <c r="AV657" s="21"/>
      <c r="AW657" s="21"/>
      <c r="AX657" s="21"/>
    </row>
    <row r="658" spans="1:50" s="55" customFormat="1">
      <c r="A658" s="86" t="s">
        <v>318</v>
      </c>
      <c r="B658" s="5">
        <v>15003096</v>
      </c>
      <c r="C658" s="5" t="s">
        <v>1033</v>
      </c>
      <c r="D658" s="5" t="s">
        <v>321</v>
      </c>
      <c r="E658" s="5" t="s">
        <v>52</v>
      </c>
      <c r="F658" s="5" t="s">
        <v>62</v>
      </c>
      <c r="G658" s="5" t="s">
        <v>211</v>
      </c>
      <c r="H658" s="5" t="s">
        <v>910</v>
      </c>
      <c r="I658" s="6">
        <v>40238</v>
      </c>
      <c r="J658" s="5" t="s">
        <v>336</v>
      </c>
      <c r="K658" s="5" t="s">
        <v>648</v>
      </c>
      <c r="L658" s="5" t="s">
        <v>324</v>
      </c>
      <c r="M658" s="7">
        <v>6</v>
      </c>
      <c r="N658" s="7" t="s">
        <v>176</v>
      </c>
      <c r="O658" s="8">
        <v>5242</v>
      </c>
      <c r="P658" s="9">
        <v>0.02</v>
      </c>
      <c r="Q658" s="10">
        <f t="shared" si="131"/>
        <v>105</v>
      </c>
      <c r="R658" s="9">
        <v>5.0000000000000001E-3</v>
      </c>
      <c r="S658" s="10">
        <f t="shared" si="132"/>
        <v>26</v>
      </c>
      <c r="T658" s="9">
        <f t="shared" si="133"/>
        <v>2.4990461655856545E-2</v>
      </c>
      <c r="U658" s="10">
        <f t="shared" si="134"/>
        <v>131</v>
      </c>
      <c r="V658" s="10">
        <f t="shared" si="135"/>
        <v>5373</v>
      </c>
      <c r="W658" s="11">
        <v>5373</v>
      </c>
      <c r="X658" s="12">
        <f t="shared" si="136"/>
        <v>131</v>
      </c>
      <c r="Y658" s="13">
        <f t="shared" si="137"/>
        <v>2.5000000000000001E-2</v>
      </c>
      <c r="Z658" s="14" t="str">
        <f t="shared" si="138"/>
        <v>0.00%-8.40%</v>
      </c>
      <c r="AA658" s="15"/>
      <c r="AB658" s="15"/>
      <c r="AC658" s="15"/>
      <c r="AD658" s="16"/>
      <c r="AE658" s="8">
        <f t="shared" si="139"/>
        <v>0</v>
      </c>
      <c r="AF658" s="17">
        <f t="shared" si="140"/>
        <v>5373</v>
      </c>
      <c r="AG658" s="18">
        <f t="shared" si="141"/>
        <v>131</v>
      </c>
      <c r="AH658" s="19">
        <f t="shared" si="142"/>
        <v>2.49904616558565E-2</v>
      </c>
      <c r="AI658" s="20">
        <v>13.6</v>
      </c>
      <c r="AJ658" s="20">
        <v>450</v>
      </c>
      <c r="AK658" s="20"/>
      <c r="AL658" s="20">
        <v>688</v>
      </c>
      <c r="AM658" s="20">
        <f t="shared" si="143"/>
        <v>79160.800000000003</v>
      </c>
      <c r="AN658" s="7" t="s">
        <v>176</v>
      </c>
      <c r="AO658" s="20"/>
      <c r="AP658" s="21"/>
      <c r="AQ658" s="21"/>
      <c r="AR658" s="5" t="s">
        <v>912</v>
      </c>
      <c r="AS658" s="5" t="s">
        <v>164</v>
      </c>
      <c r="AT658" s="5" t="s">
        <v>59</v>
      </c>
      <c r="AU658" s="20"/>
      <c r="AV658" s="21"/>
      <c r="AW658" s="21"/>
      <c r="AX658" s="21"/>
    </row>
    <row r="659" spans="1:50" s="55" customFormat="1">
      <c r="A659" s="86" t="s">
        <v>318</v>
      </c>
      <c r="B659" s="5">
        <v>15016819</v>
      </c>
      <c r="C659" s="5" t="s">
        <v>1034</v>
      </c>
      <c r="D659" s="5" t="s">
        <v>321</v>
      </c>
      <c r="E659" s="5" t="s">
        <v>52</v>
      </c>
      <c r="F659" s="5" t="s">
        <v>62</v>
      </c>
      <c r="G659" s="5" t="s">
        <v>211</v>
      </c>
      <c r="H659" s="5" t="s">
        <v>910</v>
      </c>
      <c r="I659" s="6">
        <v>42948</v>
      </c>
      <c r="J659" s="5" t="s">
        <v>336</v>
      </c>
      <c r="K659" s="5" t="s">
        <v>511</v>
      </c>
      <c r="L659" s="5" t="s">
        <v>324</v>
      </c>
      <c r="M659" s="7">
        <v>6</v>
      </c>
      <c r="N659" s="7" t="s">
        <v>176</v>
      </c>
      <c r="O659" s="8">
        <v>4965</v>
      </c>
      <c r="P659" s="9">
        <v>0.02</v>
      </c>
      <c r="Q659" s="10">
        <f t="shared" si="131"/>
        <v>99</v>
      </c>
      <c r="R659" s="9">
        <v>5.0000000000000001E-3</v>
      </c>
      <c r="S659" s="10">
        <f t="shared" si="132"/>
        <v>25</v>
      </c>
      <c r="T659" s="9">
        <f t="shared" si="133"/>
        <v>2.4974823766364552E-2</v>
      </c>
      <c r="U659" s="10">
        <f t="shared" si="134"/>
        <v>124</v>
      </c>
      <c r="V659" s="10">
        <f t="shared" si="135"/>
        <v>5089</v>
      </c>
      <c r="W659" s="11">
        <v>5089</v>
      </c>
      <c r="X659" s="12">
        <f t="shared" si="136"/>
        <v>124</v>
      </c>
      <c r="Y659" s="13">
        <f t="shared" si="137"/>
        <v>2.5000000000000001E-2</v>
      </c>
      <c r="Z659" s="14" t="str">
        <f t="shared" si="138"/>
        <v>0.00%-8.40%</v>
      </c>
      <c r="AA659" s="15"/>
      <c r="AB659" s="15"/>
      <c r="AC659" s="15"/>
      <c r="AD659" s="16"/>
      <c r="AE659" s="8">
        <f t="shared" si="139"/>
        <v>0</v>
      </c>
      <c r="AF659" s="17">
        <f t="shared" si="140"/>
        <v>5089</v>
      </c>
      <c r="AG659" s="18">
        <f t="shared" si="141"/>
        <v>124</v>
      </c>
      <c r="AH659" s="19">
        <f t="shared" si="142"/>
        <v>2.4974823766364507E-2</v>
      </c>
      <c r="AI659" s="20">
        <v>13.6</v>
      </c>
      <c r="AJ659" s="20">
        <v>450</v>
      </c>
      <c r="AK659" s="20"/>
      <c r="AL659" s="20">
        <v>688</v>
      </c>
      <c r="AM659" s="20">
        <f t="shared" si="143"/>
        <v>75298.399999999994</v>
      </c>
      <c r="AN659" s="7" t="s">
        <v>176</v>
      </c>
      <c r="AO659" s="20"/>
      <c r="AP659" s="21"/>
      <c r="AQ659" s="21"/>
      <c r="AR659" s="5" t="s">
        <v>912</v>
      </c>
      <c r="AS659" s="5" t="s">
        <v>164</v>
      </c>
      <c r="AT659" s="5" t="s">
        <v>59</v>
      </c>
      <c r="AU659" s="20"/>
      <c r="AV659" s="21"/>
      <c r="AW659" s="21"/>
      <c r="AX659" s="21"/>
    </row>
    <row r="660" spans="1:50" s="55" customFormat="1">
      <c r="A660" s="86" t="s">
        <v>318</v>
      </c>
      <c r="B660" s="5">
        <v>15005216</v>
      </c>
      <c r="C660" s="5" t="s">
        <v>1035</v>
      </c>
      <c r="D660" s="5" t="s">
        <v>321</v>
      </c>
      <c r="E660" s="5" t="s">
        <v>52</v>
      </c>
      <c r="F660" s="5" t="s">
        <v>62</v>
      </c>
      <c r="G660" s="5" t="s">
        <v>211</v>
      </c>
      <c r="H660" s="5" t="s">
        <v>910</v>
      </c>
      <c r="I660" s="6">
        <v>40756</v>
      </c>
      <c r="J660" s="5" t="s">
        <v>336</v>
      </c>
      <c r="K660" s="5" t="s">
        <v>511</v>
      </c>
      <c r="L660" s="5" t="s">
        <v>324</v>
      </c>
      <c r="M660" s="7">
        <v>6</v>
      </c>
      <c r="N660" s="7" t="s">
        <v>176</v>
      </c>
      <c r="O660" s="8">
        <v>5262</v>
      </c>
      <c r="P660" s="9">
        <v>0.02</v>
      </c>
      <c r="Q660" s="10">
        <f t="shared" si="131"/>
        <v>105</v>
      </c>
      <c r="R660" s="9">
        <v>5.0000000000000001E-3</v>
      </c>
      <c r="S660" s="10">
        <f t="shared" si="132"/>
        <v>26</v>
      </c>
      <c r="T660" s="9">
        <f t="shared" si="133"/>
        <v>2.4895477004941088E-2</v>
      </c>
      <c r="U660" s="10">
        <f t="shared" si="134"/>
        <v>131</v>
      </c>
      <c r="V660" s="10">
        <f t="shared" si="135"/>
        <v>5393</v>
      </c>
      <c r="W660" s="11">
        <v>5394</v>
      </c>
      <c r="X660" s="12">
        <f t="shared" si="136"/>
        <v>132</v>
      </c>
      <c r="Y660" s="13">
        <f t="shared" si="137"/>
        <v>2.5100000000000001E-2</v>
      </c>
      <c r="Z660" s="14" t="str">
        <f t="shared" si="138"/>
        <v>0.00%-8.40%</v>
      </c>
      <c r="AA660" s="15"/>
      <c r="AB660" s="15"/>
      <c r="AC660" s="15"/>
      <c r="AD660" s="16"/>
      <c r="AE660" s="8">
        <f t="shared" si="139"/>
        <v>0</v>
      </c>
      <c r="AF660" s="17">
        <f t="shared" si="140"/>
        <v>5394</v>
      </c>
      <c r="AG660" s="18">
        <f t="shared" si="141"/>
        <v>132</v>
      </c>
      <c r="AH660" s="19">
        <f t="shared" si="142"/>
        <v>2.5085518814139007E-2</v>
      </c>
      <c r="AI660" s="20">
        <v>13.6</v>
      </c>
      <c r="AJ660" s="20">
        <v>450</v>
      </c>
      <c r="AK660" s="20"/>
      <c r="AL660" s="20">
        <v>688</v>
      </c>
      <c r="AM660" s="20">
        <f t="shared" si="143"/>
        <v>79446.399999999994</v>
      </c>
      <c r="AN660" s="7" t="s">
        <v>176</v>
      </c>
      <c r="AO660" s="20"/>
      <c r="AP660" s="21"/>
      <c r="AQ660" s="21"/>
      <c r="AR660" s="5" t="s">
        <v>912</v>
      </c>
      <c r="AS660" s="5" t="s">
        <v>164</v>
      </c>
      <c r="AT660" s="5" t="s">
        <v>59</v>
      </c>
      <c r="AU660" s="20"/>
      <c r="AV660" s="21"/>
      <c r="AW660" s="21"/>
      <c r="AX660" s="21"/>
    </row>
    <row r="661" spans="1:50" s="55" customFormat="1">
      <c r="A661" s="86" t="s">
        <v>318</v>
      </c>
      <c r="B661" s="5">
        <v>15017878</v>
      </c>
      <c r="C661" s="5" t="s">
        <v>1036</v>
      </c>
      <c r="D661" s="5" t="s">
        <v>321</v>
      </c>
      <c r="E661" s="5" t="s">
        <v>52</v>
      </c>
      <c r="F661" s="5" t="s">
        <v>62</v>
      </c>
      <c r="G661" s="5" t="s">
        <v>211</v>
      </c>
      <c r="H661" s="5" t="s">
        <v>910</v>
      </c>
      <c r="I661" s="6">
        <v>43132</v>
      </c>
      <c r="J661" s="5" t="s">
        <v>336</v>
      </c>
      <c r="K661" s="5" t="s">
        <v>511</v>
      </c>
      <c r="L661" s="5" t="s">
        <v>324</v>
      </c>
      <c r="M661" s="7">
        <v>6</v>
      </c>
      <c r="N661" s="7" t="s">
        <v>176</v>
      </c>
      <c r="O661" s="8">
        <v>5233</v>
      </c>
      <c r="P661" s="9">
        <v>0.02</v>
      </c>
      <c r="Q661" s="10">
        <f t="shared" si="131"/>
        <v>105</v>
      </c>
      <c r="R661" s="9">
        <v>5.0000000000000001E-3</v>
      </c>
      <c r="S661" s="10">
        <f t="shared" si="132"/>
        <v>26</v>
      </c>
      <c r="T661" s="9">
        <f t="shared" si="133"/>
        <v>2.5033441620485382E-2</v>
      </c>
      <c r="U661" s="10">
        <f t="shared" si="134"/>
        <v>131</v>
      </c>
      <c r="V661" s="10">
        <f t="shared" si="135"/>
        <v>5364</v>
      </c>
      <c r="W661" s="11">
        <v>5364</v>
      </c>
      <c r="X661" s="12">
        <f t="shared" si="136"/>
        <v>131</v>
      </c>
      <c r="Y661" s="13">
        <f t="shared" si="137"/>
        <v>2.5000000000000001E-2</v>
      </c>
      <c r="Z661" s="14" t="str">
        <f t="shared" si="138"/>
        <v>0.00%-8.40%</v>
      </c>
      <c r="AA661" s="15"/>
      <c r="AB661" s="15"/>
      <c r="AC661" s="15"/>
      <c r="AD661" s="16"/>
      <c r="AE661" s="8">
        <f t="shared" si="139"/>
        <v>0</v>
      </c>
      <c r="AF661" s="17">
        <f t="shared" si="140"/>
        <v>5364</v>
      </c>
      <c r="AG661" s="18">
        <f t="shared" si="141"/>
        <v>131</v>
      </c>
      <c r="AH661" s="19">
        <f t="shared" si="142"/>
        <v>2.5033441620485375E-2</v>
      </c>
      <c r="AI661" s="20">
        <v>13.6</v>
      </c>
      <c r="AJ661" s="20">
        <v>450</v>
      </c>
      <c r="AK661" s="20"/>
      <c r="AL661" s="20">
        <v>688</v>
      </c>
      <c r="AM661" s="20">
        <f t="shared" si="143"/>
        <v>79038.399999999994</v>
      </c>
      <c r="AN661" s="7" t="s">
        <v>176</v>
      </c>
      <c r="AO661" s="20"/>
      <c r="AP661" s="21"/>
      <c r="AQ661" s="21"/>
      <c r="AR661" s="5" t="s">
        <v>912</v>
      </c>
      <c r="AS661" s="5" t="s">
        <v>164</v>
      </c>
      <c r="AT661" s="5" t="s">
        <v>59</v>
      </c>
      <c r="AU661" s="20"/>
      <c r="AV661" s="21"/>
      <c r="AW661" s="21"/>
      <c r="AX661" s="21"/>
    </row>
    <row r="662" spans="1:50" s="55" customFormat="1">
      <c r="A662" s="86" t="s">
        <v>318</v>
      </c>
      <c r="B662" s="5">
        <v>15002441</v>
      </c>
      <c r="C662" s="5" t="s">
        <v>1037</v>
      </c>
      <c r="D662" s="5" t="s">
        <v>321</v>
      </c>
      <c r="E662" s="5" t="s">
        <v>52</v>
      </c>
      <c r="F662" s="5" t="s">
        <v>62</v>
      </c>
      <c r="G662" s="5" t="s">
        <v>211</v>
      </c>
      <c r="H662" s="5" t="s">
        <v>910</v>
      </c>
      <c r="I662" s="6">
        <v>40057</v>
      </c>
      <c r="J662" s="5" t="s">
        <v>336</v>
      </c>
      <c r="K662" s="5" t="s">
        <v>511</v>
      </c>
      <c r="L662" s="5" t="s">
        <v>324</v>
      </c>
      <c r="M662" s="7">
        <v>6</v>
      </c>
      <c r="N662" s="7" t="s">
        <v>176</v>
      </c>
      <c r="O662" s="8">
        <v>5096</v>
      </c>
      <c r="P662" s="9">
        <v>0.02</v>
      </c>
      <c r="Q662" s="10">
        <f t="shared" si="131"/>
        <v>102</v>
      </c>
      <c r="R662" s="9">
        <v>5.0000000000000001E-3</v>
      </c>
      <c r="S662" s="10">
        <f t="shared" si="132"/>
        <v>25</v>
      </c>
      <c r="T662" s="9">
        <f t="shared" si="133"/>
        <v>2.4921507064364207E-2</v>
      </c>
      <c r="U662" s="10">
        <f t="shared" si="134"/>
        <v>127</v>
      </c>
      <c r="V662" s="10">
        <f t="shared" si="135"/>
        <v>5223</v>
      </c>
      <c r="W662" s="11">
        <v>5223</v>
      </c>
      <c r="X662" s="12">
        <f t="shared" si="136"/>
        <v>127</v>
      </c>
      <c r="Y662" s="13">
        <f t="shared" si="137"/>
        <v>2.4899999999999999E-2</v>
      </c>
      <c r="Z662" s="14" t="str">
        <f t="shared" si="138"/>
        <v>0.00%-8.40%</v>
      </c>
      <c r="AA662" s="15"/>
      <c r="AB662" s="15"/>
      <c r="AC662" s="15"/>
      <c r="AD662" s="16"/>
      <c r="AE662" s="8">
        <f t="shared" si="139"/>
        <v>0</v>
      </c>
      <c r="AF662" s="17">
        <f t="shared" si="140"/>
        <v>5223</v>
      </c>
      <c r="AG662" s="18">
        <f t="shared" si="141"/>
        <v>127</v>
      </c>
      <c r="AH662" s="19">
        <f t="shared" si="142"/>
        <v>2.4921507064364246E-2</v>
      </c>
      <c r="AI662" s="20">
        <v>13.6</v>
      </c>
      <c r="AJ662" s="20">
        <v>450</v>
      </c>
      <c r="AK662" s="20"/>
      <c r="AL662" s="20">
        <v>688</v>
      </c>
      <c r="AM662" s="20">
        <f t="shared" si="143"/>
        <v>77120.800000000003</v>
      </c>
      <c r="AN662" s="7" t="s">
        <v>176</v>
      </c>
      <c r="AO662" s="20"/>
      <c r="AP662" s="21"/>
      <c r="AQ662" s="21"/>
      <c r="AR662" s="5" t="s">
        <v>912</v>
      </c>
      <c r="AS662" s="5" t="s">
        <v>164</v>
      </c>
      <c r="AT662" s="5" t="s">
        <v>59</v>
      </c>
      <c r="AU662" s="20"/>
      <c r="AV662" s="21"/>
      <c r="AW662" s="21"/>
      <c r="AX662" s="21"/>
    </row>
    <row r="663" spans="1:50" s="55" customFormat="1">
      <c r="A663" s="86" t="s">
        <v>318</v>
      </c>
      <c r="B663" s="5">
        <v>15008426</v>
      </c>
      <c r="C663" s="5" t="s">
        <v>1038</v>
      </c>
      <c r="D663" s="5" t="s">
        <v>321</v>
      </c>
      <c r="E663" s="5" t="s">
        <v>52</v>
      </c>
      <c r="F663" s="5" t="s">
        <v>62</v>
      </c>
      <c r="G663" s="5" t="s">
        <v>211</v>
      </c>
      <c r="H663" s="5" t="s">
        <v>910</v>
      </c>
      <c r="I663" s="6">
        <v>41426</v>
      </c>
      <c r="J663" s="5" t="s">
        <v>336</v>
      </c>
      <c r="K663" s="5" t="s">
        <v>511</v>
      </c>
      <c r="L663" s="5" t="s">
        <v>324</v>
      </c>
      <c r="M663" s="7">
        <v>6</v>
      </c>
      <c r="N663" s="7" t="s">
        <v>176</v>
      </c>
      <c r="O663" s="8">
        <v>4754</v>
      </c>
      <c r="P663" s="9">
        <v>0.02</v>
      </c>
      <c r="Q663" s="10">
        <f t="shared" si="131"/>
        <v>95</v>
      </c>
      <c r="R663" s="9">
        <v>5.0000000000000001E-3</v>
      </c>
      <c r="S663" s="10">
        <f t="shared" si="132"/>
        <v>24</v>
      </c>
      <c r="T663" s="9">
        <f t="shared" si="133"/>
        <v>2.503155237694573E-2</v>
      </c>
      <c r="U663" s="10">
        <f t="shared" si="134"/>
        <v>119</v>
      </c>
      <c r="V663" s="10">
        <f t="shared" si="135"/>
        <v>4873</v>
      </c>
      <c r="W663" s="11">
        <v>4873</v>
      </c>
      <c r="X663" s="12">
        <f t="shared" si="136"/>
        <v>119</v>
      </c>
      <c r="Y663" s="13">
        <f t="shared" si="137"/>
        <v>2.5000000000000001E-2</v>
      </c>
      <c r="Z663" s="14" t="str">
        <f t="shared" si="138"/>
        <v>0.00%-8.40%</v>
      </c>
      <c r="AA663" s="15"/>
      <c r="AB663" s="15"/>
      <c r="AC663" s="15"/>
      <c r="AD663" s="16"/>
      <c r="AE663" s="8">
        <f t="shared" si="139"/>
        <v>0</v>
      </c>
      <c r="AF663" s="17">
        <f t="shared" si="140"/>
        <v>4873</v>
      </c>
      <c r="AG663" s="18">
        <f t="shared" si="141"/>
        <v>119</v>
      </c>
      <c r="AH663" s="19">
        <f t="shared" si="142"/>
        <v>2.5031552376945765E-2</v>
      </c>
      <c r="AI663" s="20">
        <v>13.6</v>
      </c>
      <c r="AJ663" s="20">
        <v>450</v>
      </c>
      <c r="AK663" s="20"/>
      <c r="AL663" s="20">
        <v>688</v>
      </c>
      <c r="AM663" s="20">
        <f t="shared" si="143"/>
        <v>72360.800000000003</v>
      </c>
      <c r="AN663" s="7" t="s">
        <v>176</v>
      </c>
      <c r="AO663" s="20"/>
      <c r="AP663" s="21"/>
      <c r="AQ663" s="21"/>
      <c r="AR663" s="5" t="s">
        <v>912</v>
      </c>
      <c r="AS663" s="5" t="s">
        <v>164</v>
      </c>
      <c r="AT663" s="5" t="s">
        <v>59</v>
      </c>
      <c r="AU663" s="20"/>
      <c r="AV663" s="21"/>
      <c r="AW663" s="21"/>
      <c r="AX663" s="21"/>
    </row>
    <row r="664" spans="1:50" s="55" customFormat="1">
      <c r="A664" s="86" t="s">
        <v>318</v>
      </c>
      <c r="B664" s="5">
        <v>15020113</v>
      </c>
      <c r="C664" s="5" t="s">
        <v>1039</v>
      </c>
      <c r="D664" s="5" t="s">
        <v>321</v>
      </c>
      <c r="E664" s="5" t="s">
        <v>52</v>
      </c>
      <c r="F664" s="5" t="s">
        <v>62</v>
      </c>
      <c r="G664" s="5" t="s">
        <v>211</v>
      </c>
      <c r="H664" s="5" t="s">
        <v>910</v>
      </c>
      <c r="I664" s="6">
        <v>44256</v>
      </c>
      <c r="J664" s="5" t="s">
        <v>336</v>
      </c>
      <c r="K664" s="5" t="s">
        <v>511</v>
      </c>
      <c r="L664" s="5" t="s">
        <v>324</v>
      </c>
      <c r="M664" s="7">
        <v>6</v>
      </c>
      <c r="N664" s="7" t="s">
        <v>176</v>
      </c>
      <c r="O664" s="8">
        <v>4723</v>
      </c>
      <c r="P664" s="9">
        <v>0.02</v>
      </c>
      <c r="Q664" s="10">
        <f t="shared" si="131"/>
        <v>94</v>
      </c>
      <c r="R664" s="9">
        <v>5.0000000000000001E-3</v>
      </c>
      <c r="S664" s="10">
        <f t="shared" si="132"/>
        <v>24</v>
      </c>
      <c r="T664" s="9">
        <f t="shared" si="133"/>
        <v>2.4984120262544991E-2</v>
      </c>
      <c r="U664" s="10">
        <f t="shared" si="134"/>
        <v>118</v>
      </c>
      <c r="V664" s="10">
        <f t="shared" si="135"/>
        <v>4841</v>
      </c>
      <c r="W664" s="11">
        <v>4841</v>
      </c>
      <c r="X664" s="12">
        <f t="shared" si="136"/>
        <v>118</v>
      </c>
      <c r="Y664" s="13">
        <f t="shared" si="137"/>
        <v>2.5000000000000001E-2</v>
      </c>
      <c r="Z664" s="14" t="str">
        <f t="shared" si="138"/>
        <v>0.00%-8.40%</v>
      </c>
      <c r="AA664" s="15"/>
      <c r="AB664" s="15"/>
      <c r="AC664" s="15"/>
      <c r="AD664" s="16"/>
      <c r="AE664" s="8">
        <f t="shared" si="139"/>
        <v>0</v>
      </c>
      <c r="AF664" s="17">
        <f t="shared" si="140"/>
        <v>4841</v>
      </c>
      <c r="AG664" s="18">
        <f t="shared" si="141"/>
        <v>118</v>
      </c>
      <c r="AH664" s="19">
        <f t="shared" si="142"/>
        <v>2.4984120262544929E-2</v>
      </c>
      <c r="AI664" s="20">
        <v>13.6</v>
      </c>
      <c r="AJ664" s="20">
        <v>450</v>
      </c>
      <c r="AK664" s="20"/>
      <c r="AL664" s="20">
        <v>688</v>
      </c>
      <c r="AM664" s="20">
        <f t="shared" si="143"/>
        <v>71925.599999999991</v>
      </c>
      <c r="AN664" s="7" t="s">
        <v>176</v>
      </c>
      <c r="AO664" s="20"/>
      <c r="AP664" s="21"/>
      <c r="AQ664" s="21"/>
      <c r="AR664" s="5" t="s">
        <v>912</v>
      </c>
      <c r="AS664" s="5" t="s">
        <v>164</v>
      </c>
      <c r="AT664" s="5" t="s">
        <v>59</v>
      </c>
      <c r="AU664" s="20"/>
      <c r="AV664" s="21"/>
      <c r="AW664" s="21"/>
      <c r="AX664" s="21"/>
    </row>
    <row r="665" spans="1:50" s="55" customFormat="1">
      <c r="A665" s="86" t="s">
        <v>318</v>
      </c>
      <c r="B665" s="5">
        <v>15011433</v>
      </c>
      <c r="C665" s="5" t="s">
        <v>1040</v>
      </c>
      <c r="D665" s="5" t="s">
        <v>321</v>
      </c>
      <c r="E665" s="5" t="s">
        <v>52</v>
      </c>
      <c r="F665" s="5" t="s">
        <v>62</v>
      </c>
      <c r="G665" s="5" t="s">
        <v>211</v>
      </c>
      <c r="H665" s="5" t="s">
        <v>910</v>
      </c>
      <c r="I665" s="6">
        <v>41609</v>
      </c>
      <c r="J665" s="5" t="s">
        <v>336</v>
      </c>
      <c r="K665" s="5" t="s">
        <v>511</v>
      </c>
      <c r="L665" s="5" t="s">
        <v>324</v>
      </c>
      <c r="M665" s="7">
        <v>6</v>
      </c>
      <c r="N665" s="7" t="s">
        <v>176</v>
      </c>
      <c r="O665" s="8">
        <v>4478</v>
      </c>
      <c r="P665" s="9">
        <v>0.02</v>
      </c>
      <c r="Q665" s="10">
        <f t="shared" si="131"/>
        <v>90</v>
      </c>
      <c r="R665" s="9">
        <v>5.0000000000000001E-3</v>
      </c>
      <c r="S665" s="10">
        <f t="shared" si="132"/>
        <v>22</v>
      </c>
      <c r="T665" s="9">
        <f t="shared" si="133"/>
        <v>2.5011165698972757E-2</v>
      </c>
      <c r="U665" s="10">
        <f t="shared" si="134"/>
        <v>112</v>
      </c>
      <c r="V665" s="10">
        <f t="shared" si="135"/>
        <v>4590</v>
      </c>
      <c r="W665" s="11">
        <v>4478</v>
      </c>
      <c r="X665" s="12">
        <f t="shared" si="136"/>
        <v>0</v>
      </c>
      <c r="Y665" s="13">
        <f t="shared" si="137"/>
        <v>0</v>
      </c>
      <c r="Z665" s="14" t="str">
        <f t="shared" si="138"/>
        <v>0.00%-8.40%</v>
      </c>
      <c r="AA665" s="15"/>
      <c r="AB665" s="15"/>
      <c r="AC665" s="15"/>
      <c r="AD665" s="16"/>
      <c r="AE665" s="8">
        <f t="shared" si="139"/>
        <v>0</v>
      </c>
      <c r="AF665" s="17">
        <f t="shared" si="140"/>
        <v>4478</v>
      </c>
      <c r="AG665" s="18">
        <f t="shared" si="141"/>
        <v>0</v>
      </c>
      <c r="AH665" s="19">
        <f t="shared" si="142"/>
        <v>0</v>
      </c>
      <c r="AI665" s="20">
        <v>13.6</v>
      </c>
      <c r="AJ665" s="20">
        <v>450</v>
      </c>
      <c r="AK665" s="20"/>
      <c r="AL665" s="20">
        <v>688</v>
      </c>
      <c r="AM665" s="20">
        <f t="shared" si="143"/>
        <v>66988.799999999988</v>
      </c>
      <c r="AN665" s="7" t="s">
        <v>176</v>
      </c>
      <c r="AO665" s="20"/>
      <c r="AP665" s="21" t="s">
        <v>487</v>
      </c>
      <c r="AQ665" s="21" t="s">
        <v>496</v>
      </c>
      <c r="AR665" s="5" t="s">
        <v>912</v>
      </c>
      <c r="AS665" s="5" t="s">
        <v>164</v>
      </c>
      <c r="AT665" s="5" t="s">
        <v>59</v>
      </c>
      <c r="AU665" s="20"/>
      <c r="AV665" s="21"/>
      <c r="AW665" s="21"/>
      <c r="AX665" s="21"/>
    </row>
    <row r="666" spans="1:50" s="55" customFormat="1">
      <c r="A666" s="86" t="s">
        <v>318</v>
      </c>
      <c r="B666" s="5">
        <v>15018773</v>
      </c>
      <c r="C666" s="5" t="s">
        <v>1041</v>
      </c>
      <c r="D666" s="5" t="s">
        <v>321</v>
      </c>
      <c r="E666" s="5" t="s">
        <v>52</v>
      </c>
      <c r="F666" s="5" t="s">
        <v>62</v>
      </c>
      <c r="G666" s="5" t="s">
        <v>211</v>
      </c>
      <c r="H666" s="5" t="s">
        <v>910</v>
      </c>
      <c r="I666" s="6">
        <v>43313</v>
      </c>
      <c r="J666" s="5" t="s">
        <v>336</v>
      </c>
      <c r="K666" s="5" t="s">
        <v>511</v>
      </c>
      <c r="L666" s="5" t="s">
        <v>324</v>
      </c>
      <c r="M666" s="7">
        <v>6</v>
      </c>
      <c r="N666" s="7" t="s">
        <v>176</v>
      </c>
      <c r="O666" s="8">
        <v>4820</v>
      </c>
      <c r="P666" s="9">
        <v>0.02</v>
      </c>
      <c r="Q666" s="10">
        <f t="shared" si="131"/>
        <v>96</v>
      </c>
      <c r="R666" s="9">
        <v>5.0000000000000001E-3</v>
      </c>
      <c r="S666" s="10">
        <f t="shared" si="132"/>
        <v>24</v>
      </c>
      <c r="T666" s="9">
        <f t="shared" si="133"/>
        <v>2.4896265560165973E-2</v>
      </c>
      <c r="U666" s="10">
        <f t="shared" si="134"/>
        <v>120</v>
      </c>
      <c r="V666" s="10">
        <f t="shared" si="135"/>
        <v>4940</v>
      </c>
      <c r="W666" s="11">
        <v>4941</v>
      </c>
      <c r="X666" s="12">
        <f t="shared" si="136"/>
        <v>121</v>
      </c>
      <c r="Y666" s="13">
        <f t="shared" si="137"/>
        <v>2.5100000000000001E-2</v>
      </c>
      <c r="Z666" s="14" t="str">
        <f t="shared" si="138"/>
        <v>0.00%-8.40%</v>
      </c>
      <c r="AA666" s="15"/>
      <c r="AB666" s="15"/>
      <c r="AC666" s="15"/>
      <c r="AD666" s="16"/>
      <c r="AE666" s="8">
        <f t="shared" si="139"/>
        <v>0</v>
      </c>
      <c r="AF666" s="17">
        <f t="shared" si="140"/>
        <v>4941</v>
      </c>
      <c r="AG666" s="18">
        <f t="shared" si="141"/>
        <v>121</v>
      </c>
      <c r="AH666" s="19">
        <f t="shared" si="142"/>
        <v>2.5103734439833936E-2</v>
      </c>
      <c r="AI666" s="20">
        <v>13.6</v>
      </c>
      <c r="AJ666" s="20">
        <v>450</v>
      </c>
      <c r="AK666" s="20"/>
      <c r="AL666" s="20">
        <v>688</v>
      </c>
      <c r="AM666" s="20">
        <f t="shared" si="143"/>
        <v>73285.599999999991</v>
      </c>
      <c r="AN666" s="7" t="s">
        <v>176</v>
      </c>
      <c r="AO666" s="20"/>
      <c r="AP666" s="21"/>
      <c r="AQ666" s="21"/>
      <c r="AR666" s="5" t="s">
        <v>912</v>
      </c>
      <c r="AS666" s="5" t="s">
        <v>164</v>
      </c>
      <c r="AT666" s="5" t="s">
        <v>59</v>
      </c>
      <c r="AU666" s="20"/>
      <c r="AV666" s="21"/>
      <c r="AW666" s="21"/>
      <c r="AX666" s="21"/>
    </row>
    <row r="667" spans="1:50" s="55" customFormat="1">
      <c r="A667" s="86" t="s">
        <v>318</v>
      </c>
      <c r="B667" s="5">
        <v>15014088</v>
      </c>
      <c r="C667" s="5" t="s">
        <v>1042</v>
      </c>
      <c r="D667" s="5" t="s">
        <v>321</v>
      </c>
      <c r="E667" s="5" t="s">
        <v>52</v>
      </c>
      <c r="F667" s="5" t="s">
        <v>62</v>
      </c>
      <c r="G667" s="5" t="s">
        <v>211</v>
      </c>
      <c r="H667" s="5" t="s">
        <v>910</v>
      </c>
      <c r="I667" s="6">
        <v>42186</v>
      </c>
      <c r="J667" s="5" t="s">
        <v>336</v>
      </c>
      <c r="K667" s="5" t="s">
        <v>511</v>
      </c>
      <c r="L667" s="5" t="s">
        <v>324</v>
      </c>
      <c r="M667" s="7">
        <v>6</v>
      </c>
      <c r="N667" s="7" t="s">
        <v>176</v>
      </c>
      <c r="O667" s="8">
        <v>4882</v>
      </c>
      <c r="P667" s="9">
        <v>0.02</v>
      </c>
      <c r="Q667" s="10">
        <f t="shared" si="131"/>
        <v>98</v>
      </c>
      <c r="R667" s="9">
        <v>5.0000000000000001E-3</v>
      </c>
      <c r="S667" s="10">
        <f t="shared" si="132"/>
        <v>24</v>
      </c>
      <c r="T667" s="9">
        <f t="shared" si="133"/>
        <v>2.4989758295780418E-2</v>
      </c>
      <c r="U667" s="10">
        <f t="shared" si="134"/>
        <v>122</v>
      </c>
      <c r="V667" s="10">
        <f t="shared" si="135"/>
        <v>5004</v>
      </c>
      <c r="W667" s="11">
        <v>4882</v>
      </c>
      <c r="X667" s="12">
        <f t="shared" si="136"/>
        <v>0</v>
      </c>
      <c r="Y667" s="13">
        <f t="shared" si="137"/>
        <v>0</v>
      </c>
      <c r="Z667" s="14" t="str">
        <f t="shared" si="138"/>
        <v>0.00%-8.40%</v>
      </c>
      <c r="AA667" s="15"/>
      <c r="AB667" s="15"/>
      <c r="AC667" s="15"/>
      <c r="AD667" s="16"/>
      <c r="AE667" s="8">
        <f t="shared" si="139"/>
        <v>0</v>
      </c>
      <c r="AF667" s="17">
        <f t="shared" si="140"/>
        <v>4882</v>
      </c>
      <c r="AG667" s="18">
        <f t="shared" si="141"/>
        <v>0</v>
      </c>
      <c r="AH667" s="19">
        <f t="shared" si="142"/>
        <v>0</v>
      </c>
      <c r="AI667" s="20">
        <v>13.6</v>
      </c>
      <c r="AJ667" s="20">
        <v>450</v>
      </c>
      <c r="AK667" s="20"/>
      <c r="AL667" s="20">
        <v>688</v>
      </c>
      <c r="AM667" s="20">
        <f t="shared" si="143"/>
        <v>72483.199999999997</v>
      </c>
      <c r="AN667" s="7" t="s">
        <v>176</v>
      </c>
      <c r="AO667" s="20"/>
      <c r="AP667" s="21" t="s">
        <v>487</v>
      </c>
      <c r="AQ667" s="21" t="s">
        <v>496</v>
      </c>
      <c r="AR667" s="5" t="s">
        <v>912</v>
      </c>
      <c r="AS667" s="5" t="s">
        <v>164</v>
      </c>
      <c r="AT667" s="5" t="s">
        <v>59</v>
      </c>
      <c r="AU667" s="20"/>
      <c r="AV667" s="21"/>
      <c r="AW667" s="21"/>
      <c r="AX667" s="21"/>
    </row>
    <row r="668" spans="1:50" s="55" customFormat="1">
      <c r="A668" s="86" t="s">
        <v>318</v>
      </c>
      <c r="B668" s="5">
        <v>15017993</v>
      </c>
      <c r="C668" s="5" t="s">
        <v>1043</v>
      </c>
      <c r="D668" s="5" t="s">
        <v>321</v>
      </c>
      <c r="E668" s="5" t="s">
        <v>52</v>
      </c>
      <c r="F668" s="5" t="s">
        <v>62</v>
      </c>
      <c r="G668" s="5" t="s">
        <v>211</v>
      </c>
      <c r="H668" s="5" t="s">
        <v>910</v>
      </c>
      <c r="I668" s="6">
        <v>43132</v>
      </c>
      <c r="J668" s="5" t="s">
        <v>336</v>
      </c>
      <c r="K668" s="5" t="s">
        <v>511</v>
      </c>
      <c r="L668" s="5" t="s">
        <v>324</v>
      </c>
      <c r="M668" s="7">
        <v>6</v>
      </c>
      <c r="N668" s="7" t="s">
        <v>176</v>
      </c>
      <c r="O668" s="8">
        <v>4546</v>
      </c>
      <c r="P668" s="9">
        <v>0.02</v>
      </c>
      <c r="Q668" s="10">
        <f t="shared" si="131"/>
        <v>91</v>
      </c>
      <c r="R668" s="9">
        <v>5.0000000000000001E-3</v>
      </c>
      <c r="S668" s="10">
        <f t="shared" si="132"/>
        <v>23</v>
      </c>
      <c r="T668" s="9">
        <f t="shared" si="133"/>
        <v>2.5076990761108666E-2</v>
      </c>
      <c r="U668" s="10">
        <f t="shared" si="134"/>
        <v>114</v>
      </c>
      <c r="V668" s="10">
        <f t="shared" si="135"/>
        <v>4660</v>
      </c>
      <c r="W668" s="11">
        <v>4660</v>
      </c>
      <c r="X668" s="12">
        <f t="shared" si="136"/>
        <v>114</v>
      </c>
      <c r="Y668" s="13">
        <f t="shared" si="137"/>
        <v>2.5100000000000001E-2</v>
      </c>
      <c r="Z668" s="14" t="str">
        <f t="shared" si="138"/>
        <v>0.00%-8.40%</v>
      </c>
      <c r="AA668" s="15"/>
      <c r="AB668" s="15"/>
      <c r="AC668" s="15"/>
      <c r="AD668" s="16"/>
      <c r="AE668" s="8">
        <f t="shared" si="139"/>
        <v>0</v>
      </c>
      <c r="AF668" s="17">
        <f t="shared" si="140"/>
        <v>4660</v>
      </c>
      <c r="AG668" s="18">
        <f t="shared" si="141"/>
        <v>114</v>
      </c>
      <c r="AH668" s="19">
        <f t="shared" si="142"/>
        <v>2.5076990761108586E-2</v>
      </c>
      <c r="AI668" s="20">
        <v>13.6</v>
      </c>
      <c r="AJ668" s="20">
        <v>450</v>
      </c>
      <c r="AK668" s="20"/>
      <c r="AL668" s="20">
        <v>688</v>
      </c>
      <c r="AM668" s="20">
        <f t="shared" si="143"/>
        <v>69464</v>
      </c>
      <c r="AN668" s="7" t="s">
        <v>176</v>
      </c>
      <c r="AO668" s="20"/>
      <c r="AP668" s="21"/>
      <c r="AQ668" s="21"/>
      <c r="AR668" s="5" t="s">
        <v>912</v>
      </c>
      <c r="AS668" s="5" t="s">
        <v>164</v>
      </c>
      <c r="AT668" s="5" t="s">
        <v>59</v>
      </c>
      <c r="AU668" s="20"/>
      <c r="AV668" s="21"/>
      <c r="AW668" s="21"/>
      <c r="AX668" s="21"/>
    </row>
    <row r="669" spans="1:50" s="55" customFormat="1">
      <c r="A669" s="86" t="s">
        <v>318</v>
      </c>
      <c r="B669" s="5">
        <v>15009975</v>
      </c>
      <c r="C669" s="5" t="s">
        <v>1044</v>
      </c>
      <c r="D669" s="5" t="s">
        <v>321</v>
      </c>
      <c r="E669" s="5" t="s">
        <v>52</v>
      </c>
      <c r="F669" s="5" t="s">
        <v>62</v>
      </c>
      <c r="G669" s="5" t="s">
        <v>211</v>
      </c>
      <c r="H669" s="5" t="s">
        <v>910</v>
      </c>
      <c r="I669" s="6">
        <v>41456</v>
      </c>
      <c r="J669" s="5" t="s">
        <v>336</v>
      </c>
      <c r="K669" s="5" t="s">
        <v>511</v>
      </c>
      <c r="L669" s="5" t="s">
        <v>324</v>
      </c>
      <c r="M669" s="7">
        <v>6</v>
      </c>
      <c r="N669" s="7" t="s">
        <v>176</v>
      </c>
      <c r="O669" s="8">
        <v>5567</v>
      </c>
      <c r="P669" s="9">
        <v>0.02</v>
      </c>
      <c r="Q669" s="10">
        <f t="shared" si="131"/>
        <v>111</v>
      </c>
      <c r="R669" s="9">
        <v>5.0000000000000001E-3</v>
      </c>
      <c r="S669" s="10">
        <f t="shared" si="132"/>
        <v>28</v>
      </c>
      <c r="T669" s="9">
        <f t="shared" si="133"/>
        <v>2.4968564756601402E-2</v>
      </c>
      <c r="U669" s="10">
        <f t="shared" si="134"/>
        <v>139</v>
      </c>
      <c r="V669" s="10">
        <f t="shared" si="135"/>
        <v>5706</v>
      </c>
      <c r="W669" s="11">
        <v>5734</v>
      </c>
      <c r="X669" s="12">
        <f t="shared" si="136"/>
        <v>167</v>
      </c>
      <c r="Y669" s="13">
        <f t="shared" si="137"/>
        <v>0.03</v>
      </c>
      <c r="Z669" s="14" t="str">
        <f t="shared" si="138"/>
        <v>0.00%-8.40%</v>
      </c>
      <c r="AA669" s="15"/>
      <c r="AB669" s="15"/>
      <c r="AC669" s="15"/>
      <c r="AD669" s="16"/>
      <c r="AE669" s="8">
        <f t="shared" si="139"/>
        <v>0</v>
      </c>
      <c r="AF669" s="17">
        <f t="shared" si="140"/>
        <v>5734</v>
      </c>
      <c r="AG669" s="18">
        <f t="shared" si="141"/>
        <v>167</v>
      </c>
      <c r="AH669" s="19">
        <f t="shared" si="142"/>
        <v>2.9998203700377202E-2</v>
      </c>
      <c r="AI669" s="20">
        <v>13.6</v>
      </c>
      <c r="AJ669" s="20">
        <v>450</v>
      </c>
      <c r="AK669" s="20"/>
      <c r="AL669" s="20">
        <v>688</v>
      </c>
      <c r="AM669" s="20">
        <f t="shared" si="143"/>
        <v>84070.399999999994</v>
      </c>
      <c r="AN669" s="7" t="s">
        <v>176</v>
      </c>
      <c r="AO669" s="20"/>
      <c r="AP669" s="21"/>
      <c r="AQ669" s="21"/>
      <c r="AR669" s="5" t="s">
        <v>912</v>
      </c>
      <c r="AS669" s="5" t="s">
        <v>164</v>
      </c>
      <c r="AT669" s="5" t="s">
        <v>59</v>
      </c>
      <c r="AU669" s="20"/>
      <c r="AV669" s="21"/>
      <c r="AW669" s="21"/>
      <c r="AX669" s="21"/>
    </row>
    <row r="670" spans="1:50" s="55" customFormat="1">
      <c r="A670" s="86" t="s">
        <v>318</v>
      </c>
      <c r="B670" s="5">
        <v>15012238</v>
      </c>
      <c r="C670" s="5" t="s">
        <v>1045</v>
      </c>
      <c r="D670" s="5" t="s">
        <v>321</v>
      </c>
      <c r="E670" s="5" t="s">
        <v>52</v>
      </c>
      <c r="F670" s="5" t="s">
        <v>62</v>
      </c>
      <c r="G670" s="5" t="s">
        <v>211</v>
      </c>
      <c r="H670" s="5" t="s">
        <v>910</v>
      </c>
      <c r="I670" s="6">
        <v>41730</v>
      </c>
      <c r="J670" s="5" t="s">
        <v>336</v>
      </c>
      <c r="K670" s="5" t="s">
        <v>511</v>
      </c>
      <c r="L670" s="5" t="s">
        <v>324</v>
      </c>
      <c r="M670" s="7">
        <v>6</v>
      </c>
      <c r="N670" s="7" t="s">
        <v>176</v>
      </c>
      <c r="O670" s="8">
        <v>5184</v>
      </c>
      <c r="P670" s="9">
        <v>0.02</v>
      </c>
      <c r="Q670" s="10">
        <f t="shared" si="131"/>
        <v>104</v>
      </c>
      <c r="R670" s="9">
        <v>5.0000000000000001E-3</v>
      </c>
      <c r="S670" s="10">
        <f t="shared" si="132"/>
        <v>26</v>
      </c>
      <c r="T670" s="9">
        <f t="shared" si="133"/>
        <v>2.5077160493827161E-2</v>
      </c>
      <c r="U670" s="10">
        <f t="shared" si="134"/>
        <v>130</v>
      </c>
      <c r="V670" s="10">
        <f t="shared" si="135"/>
        <v>5314</v>
      </c>
      <c r="W670" s="11">
        <v>5391</v>
      </c>
      <c r="X670" s="12">
        <f t="shared" si="136"/>
        <v>207</v>
      </c>
      <c r="Y670" s="13">
        <f t="shared" si="137"/>
        <v>3.9899999999999998E-2</v>
      </c>
      <c r="Z670" s="14" t="str">
        <f t="shared" si="138"/>
        <v>0.00%-8.40%</v>
      </c>
      <c r="AA670" s="15"/>
      <c r="AB670" s="15"/>
      <c r="AC670" s="15"/>
      <c r="AD670" s="16"/>
      <c r="AE670" s="8">
        <f t="shared" si="139"/>
        <v>0</v>
      </c>
      <c r="AF670" s="17">
        <f t="shared" si="140"/>
        <v>5391</v>
      </c>
      <c r="AG670" s="18">
        <f t="shared" si="141"/>
        <v>207</v>
      </c>
      <c r="AH670" s="19">
        <f t="shared" si="142"/>
        <v>3.993055555555558E-2</v>
      </c>
      <c r="AI670" s="20">
        <v>13.6</v>
      </c>
      <c r="AJ670" s="20">
        <v>500</v>
      </c>
      <c r="AK670" s="20"/>
      <c r="AL670" s="20">
        <v>688</v>
      </c>
      <c r="AM670" s="20">
        <f t="shared" si="143"/>
        <v>80005.599999999991</v>
      </c>
      <c r="AN670" s="7" t="s">
        <v>176</v>
      </c>
      <c r="AO670" s="20"/>
      <c r="AP670" s="21"/>
      <c r="AQ670" s="21"/>
      <c r="AR670" s="5" t="s">
        <v>912</v>
      </c>
      <c r="AS670" s="5" t="s">
        <v>164</v>
      </c>
      <c r="AT670" s="5" t="s">
        <v>59</v>
      </c>
      <c r="AU670" s="20"/>
      <c r="AV670" s="21"/>
      <c r="AW670" s="21"/>
      <c r="AX670" s="21"/>
    </row>
    <row r="671" spans="1:50">
      <c r="A671" s="86" t="s">
        <v>318</v>
      </c>
      <c r="B671" s="5">
        <v>15001893</v>
      </c>
      <c r="C671" s="5" t="s">
        <v>1046</v>
      </c>
      <c r="D671" s="5" t="s">
        <v>321</v>
      </c>
      <c r="E671" s="5" t="s">
        <v>52</v>
      </c>
      <c r="F671" s="5" t="s">
        <v>62</v>
      </c>
      <c r="G671" s="5" t="s">
        <v>64</v>
      </c>
      <c r="H671" s="5" t="s">
        <v>1047</v>
      </c>
      <c r="I671" s="6">
        <v>39665</v>
      </c>
      <c r="J671" s="5" t="s">
        <v>323</v>
      </c>
      <c r="K671" s="5" t="s">
        <v>323</v>
      </c>
      <c r="L671" s="5" t="s">
        <v>324</v>
      </c>
      <c r="M671" s="7">
        <v>6</v>
      </c>
      <c r="N671" s="7" t="s">
        <v>176</v>
      </c>
      <c r="O671" s="87">
        <v>8500</v>
      </c>
      <c r="P671" s="88">
        <v>0.02</v>
      </c>
      <c r="Q671" s="89">
        <f t="shared" si="131"/>
        <v>170</v>
      </c>
      <c r="R671" s="88">
        <v>5.0000000000000001E-3</v>
      </c>
      <c r="S671" s="89">
        <f t="shared" si="132"/>
        <v>43</v>
      </c>
      <c r="T671" s="88">
        <f t="shared" si="133"/>
        <v>2.5058823529411765E-2</v>
      </c>
      <c r="U671" s="89">
        <f t="shared" si="134"/>
        <v>213</v>
      </c>
      <c r="V671" s="89">
        <f t="shared" si="135"/>
        <v>8713</v>
      </c>
      <c r="W671" s="90">
        <v>9173</v>
      </c>
      <c r="X671" s="91">
        <f t="shared" si="136"/>
        <v>673</v>
      </c>
      <c r="Y671" s="92">
        <f t="shared" si="137"/>
        <v>7.9200000000000007E-2</v>
      </c>
      <c r="Z671" s="93" t="str">
        <f t="shared" ref="Z671:Z734" si="144">IF(OR(M671=1,M671=2,M671=4),
    TEXT(T671*0.8,"0.00%") &amp; "-" &amp; TEXT(T671*1.2,"0.00%"),
    IF(OR(M671=3,M671=6),
        TEXT(0,"0.00%") &amp; "-" &amp; TEXT(7%*1.2,"0.00%"),
        IF(OR(M671=5,M671=7),
            TEXT((S671/O671),"0.00%") &amp; "-" &amp; TEXT((S671/O671)+7%,"0.00%"),
            ""
        )
    )
)</f>
        <v>0.00%-8.40%</v>
      </c>
      <c r="AA671" s="94"/>
      <c r="AB671" s="94"/>
      <c r="AC671" s="94"/>
      <c r="AD671" s="95"/>
      <c r="AE671" s="87">
        <f t="shared" si="139"/>
        <v>0</v>
      </c>
      <c r="AF671" s="96">
        <f t="shared" si="140"/>
        <v>9173</v>
      </c>
      <c r="AG671" s="18">
        <f t="shared" si="141"/>
        <v>673</v>
      </c>
      <c r="AH671" s="97">
        <f t="shared" si="142"/>
        <v>7.9176470588235404E-2</v>
      </c>
      <c r="AI671" s="20">
        <v>13.6</v>
      </c>
      <c r="AJ671" s="20">
        <v>450</v>
      </c>
      <c r="AK671" s="20"/>
      <c r="AL671" s="20">
        <v>688</v>
      </c>
      <c r="AM671" s="20">
        <f t="shared" si="143"/>
        <v>130840.8</v>
      </c>
      <c r="AN671" s="7" t="s">
        <v>176</v>
      </c>
      <c r="AO671" s="20"/>
      <c r="AP671" s="21" t="s">
        <v>1048</v>
      </c>
      <c r="AQ671" s="21"/>
      <c r="AR671" s="5" t="s">
        <v>68</v>
      </c>
      <c r="AS671" s="5" t="s">
        <v>69</v>
      </c>
      <c r="AT671" s="5" t="s">
        <v>59</v>
      </c>
    </row>
    <row r="672" spans="1:50">
      <c r="A672" s="86" t="s">
        <v>318</v>
      </c>
      <c r="B672" s="5">
        <v>15005894</v>
      </c>
      <c r="C672" s="5" t="s">
        <v>1049</v>
      </c>
      <c r="D672" s="5" t="s">
        <v>321</v>
      </c>
      <c r="E672" s="5" t="s">
        <v>52</v>
      </c>
      <c r="F672" s="5" t="s">
        <v>62</v>
      </c>
      <c r="G672" s="5" t="s">
        <v>64</v>
      </c>
      <c r="H672" s="5" t="s">
        <v>1050</v>
      </c>
      <c r="I672" s="6">
        <v>40756</v>
      </c>
      <c r="J672" s="5" t="s">
        <v>279</v>
      </c>
      <c r="K672" s="5" t="s">
        <v>279</v>
      </c>
      <c r="L672" s="5" t="s">
        <v>324</v>
      </c>
      <c r="M672" s="7">
        <v>6</v>
      </c>
      <c r="N672" s="7" t="s">
        <v>176</v>
      </c>
      <c r="O672" s="87">
        <v>6486</v>
      </c>
      <c r="P672" s="88">
        <v>0.02</v>
      </c>
      <c r="Q672" s="89">
        <f t="shared" si="131"/>
        <v>130</v>
      </c>
      <c r="R672" s="88">
        <v>5.0000000000000001E-3</v>
      </c>
      <c r="S672" s="89">
        <f t="shared" si="132"/>
        <v>32</v>
      </c>
      <c r="T672" s="88">
        <f t="shared" si="133"/>
        <v>2.4976873265494911E-2</v>
      </c>
      <c r="U672" s="89">
        <f t="shared" si="134"/>
        <v>162</v>
      </c>
      <c r="V672" s="89">
        <f t="shared" si="135"/>
        <v>6648</v>
      </c>
      <c r="W672" s="90">
        <v>6586</v>
      </c>
      <c r="X672" s="91">
        <f t="shared" si="136"/>
        <v>100</v>
      </c>
      <c r="Y672" s="92">
        <f t="shared" si="137"/>
        <v>1.54E-2</v>
      </c>
      <c r="Z672" s="93" t="str">
        <f t="shared" si="144"/>
        <v>0.00%-8.40%</v>
      </c>
      <c r="AA672" s="94"/>
      <c r="AB672" s="94"/>
      <c r="AC672" s="94"/>
      <c r="AD672" s="95"/>
      <c r="AE672" s="87">
        <f t="shared" si="139"/>
        <v>0</v>
      </c>
      <c r="AF672" s="96">
        <f t="shared" si="140"/>
        <v>6586</v>
      </c>
      <c r="AG672" s="18">
        <f t="shared" si="141"/>
        <v>100</v>
      </c>
      <c r="AH672" s="97">
        <f t="shared" si="142"/>
        <v>1.5417823003391895E-2</v>
      </c>
      <c r="AI672" s="20">
        <v>13.6</v>
      </c>
      <c r="AJ672" s="20">
        <v>500</v>
      </c>
      <c r="AK672" s="20"/>
      <c r="AL672" s="20">
        <v>688</v>
      </c>
      <c r="AM672" s="20">
        <f t="shared" si="143"/>
        <v>96257.599999999991</v>
      </c>
      <c r="AN672" s="7" t="s">
        <v>176</v>
      </c>
      <c r="AO672" s="20"/>
      <c r="AP672" s="21" t="s">
        <v>1051</v>
      </c>
      <c r="AQ672" s="21"/>
      <c r="AR672" s="5" t="s">
        <v>68</v>
      </c>
      <c r="AS672" s="5" t="s">
        <v>69</v>
      </c>
      <c r="AT672" s="5" t="s">
        <v>59</v>
      </c>
    </row>
    <row r="673" spans="1:46">
      <c r="A673" s="86" t="s">
        <v>318</v>
      </c>
      <c r="B673" s="5">
        <v>15000570</v>
      </c>
      <c r="C673" s="5" t="s">
        <v>1052</v>
      </c>
      <c r="D673" s="5" t="s">
        <v>321</v>
      </c>
      <c r="E673" s="5" t="s">
        <v>52</v>
      </c>
      <c r="F673" s="5" t="s">
        <v>62</v>
      </c>
      <c r="G673" s="5" t="s">
        <v>64</v>
      </c>
      <c r="H673" s="5" t="s">
        <v>1053</v>
      </c>
      <c r="I673" s="6">
        <v>38899</v>
      </c>
      <c r="J673" s="5" t="s">
        <v>279</v>
      </c>
      <c r="K673" s="5" t="s">
        <v>279</v>
      </c>
      <c r="L673" s="5" t="s">
        <v>324</v>
      </c>
      <c r="M673" s="7">
        <v>6</v>
      </c>
      <c r="N673" s="7" t="s">
        <v>176</v>
      </c>
      <c r="O673" s="87">
        <v>6400</v>
      </c>
      <c r="P673" s="88">
        <v>0.02</v>
      </c>
      <c r="Q673" s="89">
        <f t="shared" si="131"/>
        <v>128</v>
      </c>
      <c r="R673" s="88">
        <v>5.0000000000000001E-3</v>
      </c>
      <c r="S673" s="89">
        <f t="shared" si="132"/>
        <v>32</v>
      </c>
      <c r="T673" s="88">
        <f t="shared" si="133"/>
        <v>2.5000000000000001E-2</v>
      </c>
      <c r="U673" s="89">
        <f t="shared" si="134"/>
        <v>160</v>
      </c>
      <c r="V673" s="89">
        <f t="shared" si="135"/>
        <v>6560</v>
      </c>
      <c r="W673" s="90">
        <v>6658</v>
      </c>
      <c r="X673" s="91">
        <f t="shared" si="136"/>
        <v>258</v>
      </c>
      <c r="Y673" s="92">
        <f t="shared" si="137"/>
        <v>4.0300000000000002E-2</v>
      </c>
      <c r="Z673" s="93" t="str">
        <f t="shared" si="144"/>
        <v>0.00%-8.40%</v>
      </c>
      <c r="AA673" s="94"/>
      <c r="AB673" s="94"/>
      <c r="AC673" s="94"/>
      <c r="AD673" s="95"/>
      <c r="AE673" s="87">
        <f t="shared" si="139"/>
        <v>0</v>
      </c>
      <c r="AF673" s="96">
        <f t="shared" si="140"/>
        <v>6658</v>
      </c>
      <c r="AG673" s="18">
        <f t="shared" si="141"/>
        <v>258</v>
      </c>
      <c r="AH673" s="97">
        <f t="shared" si="142"/>
        <v>4.0312499999999973E-2</v>
      </c>
      <c r="AI673" s="20">
        <v>13.6</v>
      </c>
      <c r="AJ673" s="20">
        <v>500</v>
      </c>
      <c r="AK673" s="20"/>
      <c r="AL673" s="20">
        <v>688</v>
      </c>
      <c r="AM673" s="20">
        <f t="shared" si="143"/>
        <v>97236.800000000003</v>
      </c>
      <c r="AN673" s="7" t="s">
        <v>176</v>
      </c>
      <c r="AO673" s="20"/>
      <c r="AP673" s="21" t="s">
        <v>1048</v>
      </c>
      <c r="AQ673" s="21"/>
      <c r="AR673" s="5" t="s">
        <v>68</v>
      </c>
      <c r="AS673" s="5" t="s">
        <v>69</v>
      </c>
      <c r="AT673" s="5" t="s">
        <v>59</v>
      </c>
    </row>
    <row r="674" spans="1:46">
      <c r="A674" s="86" t="s">
        <v>318</v>
      </c>
      <c r="B674" s="5">
        <v>15000591</v>
      </c>
      <c r="C674" s="5" t="s">
        <v>1054</v>
      </c>
      <c r="D674" s="5" t="s">
        <v>321</v>
      </c>
      <c r="E674" s="5" t="s">
        <v>52</v>
      </c>
      <c r="F674" s="5" t="s">
        <v>62</v>
      </c>
      <c r="G674" s="5" t="s">
        <v>64</v>
      </c>
      <c r="H674" s="5" t="s">
        <v>1047</v>
      </c>
      <c r="I674" s="6">
        <v>38899</v>
      </c>
      <c r="J674" s="5" t="s">
        <v>279</v>
      </c>
      <c r="K674" s="5" t="s">
        <v>279</v>
      </c>
      <c r="L674" s="5" t="s">
        <v>324</v>
      </c>
      <c r="M674" s="7">
        <v>6</v>
      </c>
      <c r="N674" s="7" t="s">
        <v>176</v>
      </c>
      <c r="O674" s="87">
        <v>6680</v>
      </c>
      <c r="P674" s="88">
        <v>0.02</v>
      </c>
      <c r="Q674" s="89">
        <f t="shared" si="131"/>
        <v>134</v>
      </c>
      <c r="R674" s="88">
        <v>5.0000000000000001E-3</v>
      </c>
      <c r="S674" s="89">
        <f t="shared" si="132"/>
        <v>33</v>
      </c>
      <c r="T674" s="88">
        <f t="shared" si="133"/>
        <v>2.5000000000000001E-2</v>
      </c>
      <c r="U674" s="89">
        <f t="shared" si="134"/>
        <v>167</v>
      </c>
      <c r="V674" s="89">
        <f t="shared" si="135"/>
        <v>6847</v>
      </c>
      <c r="W674" s="90">
        <v>6900</v>
      </c>
      <c r="X674" s="91">
        <f t="shared" si="136"/>
        <v>220</v>
      </c>
      <c r="Y674" s="92">
        <f t="shared" si="137"/>
        <v>3.2899999999999999E-2</v>
      </c>
      <c r="Z674" s="93" t="str">
        <f t="shared" si="144"/>
        <v>0.00%-8.40%</v>
      </c>
      <c r="AA674" s="94"/>
      <c r="AB674" s="94"/>
      <c r="AC674" s="94"/>
      <c r="AD674" s="95"/>
      <c r="AE674" s="87">
        <f t="shared" si="139"/>
        <v>0</v>
      </c>
      <c r="AF674" s="96">
        <f t="shared" si="140"/>
        <v>6900</v>
      </c>
      <c r="AG674" s="18">
        <f t="shared" si="141"/>
        <v>220</v>
      </c>
      <c r="AH674" s="97">
        <f t="shared" si="142"/>
        <v>3.2934131736527039E-2</v>
      </c>
      <c r="AI674" s="20">
        <v>13.6</v>
      </c>
      <c r="AJ674" s="20">
        <v>500</v>
      </c>
      <c r="AK674" s="20"/>
      <c r="AL674" s="20">
        <v>688</v>
      </c>
      <c r="AM674" s="20">
        <f t="shared" si="143"/>
        <v>100528</v>
      </c>
      <c r="AN674" s="7" t="s">
        <v>176</v>
      </c>
      <c r="AO674" s="20"/>
      <c r="AP674" s="21" t="s">
        <v>1055</v>
      </c>
      <c r="AQ674" s="21"/>
      <c r="AR674" s="5" t="s">
        <v>68</v>
      </c>
      <c r="AS674" s="5" t="s">
        <v>69</v>
      </c>
      <c r="AT674" s="5" t="s">
        <v>59</v>
      </c>
    </row>
    <row r="675" spans="1:46">
      <c r="A675" s="86" t="s">
        <v>318</v>
      </c>
      <c r="B675" s="5">
        <v>15000296</v>
      </c>
      <c r="C675" s="5" t="s">
        <v>568</v>
      </c>
      <c r="D675" s="5" t="s">
        <v>321</v>
      </c>
      <c r="E675" s="5" t="s">
        <v>52</v>
      </c>
      <c r="F675" s="5" t="s">
        <v>62</v>
      </c>
      <c r="G675" s="5" t="s">
        <v>64</v>
      </c>
      <c r="H675" s="5" t="s">
        <v>1050</v>
      </c>
      <c r="I675" s="6">
        <v>38698</v>
      </c>
      <c r="J675" s="5" t="s">
        <v>279</v>
      </c>
      <c r="K675" s="5" t="s">
        <v>279</v>
      </c>
      <c r="L675" s="5" t="s">
        <v>324</v>
      </c>
      <c r="M675" s="7">
        <v>6</v>
      </c>
      <c r="N675" s="7" t="s">
        <v>176</v>
      </c>
      <c r="O675" s="87">
        <v>6470</v>
      </c>
      <c r="P675" s="88">
        <v>0.02</v>
      </c>
      <c r="Q675" s="89">
        <f t="shared" si="131"/>
        <v>129</v>
      </c>
      <c r="R675" s="88">
        <v>5.0000000000000001E-3</v>
      </c>
      <c r="S675" s="89">
        <f t="shared" si="132"/>
        <v>32</v>
      </c>
      <c r="T675" s="88">
        <f t="shared" si="133"/>
        <v>2.4884080370942814E-2</v>
      </c>
      <c r="U675" s="89">
        <f t="shared" si="134"/>
        <v>161</v>
      </c>
      <c r="V675" s="89">
        <f t="shared" si="135"/>
        <v>6631</v>
      </c>
      <c r="W675" s="90">
        <v>6615</v>
      </c>
      <c r="X675" s="91">
        <f t="shared" si="136"/>
        <v>145</v>
      </c>
      <c r="Y675" s="92">
        <f t="shared" si="137"/>
        <v>2.24E-2</v>
      </c>
      <c r="Z675" s="93" t="str">
        <f t="shared" si="144"/>
        <v>0.00%-8.40%</v>
      </c>
      <c r="AA675" s="94"/>
      <c r="AB675" s="94"/>
      <c r="AC675" s="94"/>
      <c r="AD675" s="95"/>
      <c r="AE675" s="87">
        <f t="shared" si="139"/>
        <v>0</v>
      </c>
      <c r="AF675" s="96">
        <f t="shared" si="140"/>
        <v>6615</v>
      </c>
      <c r="AG675" s="18">
        <f t="shared" si="141"/>
        <v>145</v>
      </c>
      <c r="AH675" s="97">
        <f t="shared" si="142"/>
        <v>2.2411128284389514E-2</v>
      </c>
      <c r="AI675" s="20">
        <v>13.6</v>
      </c>
      <c r="AJ675" s="20">
        <v>450</v>
      </c>
      <c r="AK675" s="20"/>
      <c r="AL675" s="20">
        <v>688</v>
      </c>
      <c r="AM675" s="20">
        <f t="shared" si="143"/>
        <v>96052</v>
      </c>
      <c r="AN675" s="7" t="s">
        <v>176</v>
      </c>
      <c r="AO675" s="20"/>
      <c r="AP675" s="21" t="s">
        <v>1056</v>
      </c>
      <c r="AQ675" s="21"/>
      <c r="AR675" s="5" t="s">
        <v>68</v>
      </c>
      <c r="AS675" s="5" t="s">
        <v>69</v>
      </c>
      <c r="AT675" s="5" t="s">
        <v>59</v>
      </c>
    </row>
    <row r="676" spans="1:46">
      <c r="A676" s="86" t="s">
        <v>318</v>
      </c>
      <c r="B676" s="5">
        <v>15004896</v>
      </c>
      <c r="C676" s="5" t="s">
        <v>1057</v>
      </c>
      <c r="D676" s="5" t="s">
        <v>321</v>
      </c>
      <c r="E676" s="5" t="s">
        <v>52</v>
      </c>
      <c r="F676" s="5" t="s">
        <v>62</v>
      </c>
      <c r="G676" s="5" t="s">
        <v>64</v>
      </c>
      <c r="H676" s="5" t="s">
        <v>1050</v>
      </c>
      <c r="I676" s="6">
        <v>40492</v>
      </c>
      <c r="J676" s="5" t="s">
        <v>279</v>
      </c>
      <c r="K676" s="5" t="s">
        <v>279</v>
      </c>
      <c r="L676" s="5" t="s">
        <v>324</v>
      </c>
      <c r="M676" s="7">
        <v>6</v>
      </c>
      <c r="N676" s="7" t="s">
        <v>176</v>
      </c>
      <c r="O676" s="87">
        <v>9060</v>
      </c>
      <c r="P676" s="88">
        <v>0.02</v>
      </c>
      <c r="Q676" s="89">
        <f t="shared" si="131"/>
        <v>181</v>
      </c>
      <c r="R676" s="88">
        <v>5.0000000000000001E-3</v>
      </c>
      <c r="S676" s="89">
        <f t="shared" si="132"/>
        <v>45</v>
      </c>
      <c r="T676" s="88">
        <f t="shared" si="133"/>
        <v>2.4944812362030905E-2</v>
      </c>
      <c r="U676" s="89">
        <f t="shared" si="134"/>
        <v>226</v>
      </c>
      <c r="V676" s="89">
        <f t="shared" si="135"/>
        <v>9286</v>
      </c>
      <c r="W676" s="90">
        <v>9400</v>
      </c>
      <c r="X676" s="91">
        <f t="shared" si="136"/>
        <v>340</v>
      </c>
      <c r="Y676" s="92">
        <f t="shared" si="137"/>
        <v>3.7499999999999999E-2</v>
      </c>
      <c r="Z676" s="93" t="str">
        <f t="shared" si="144"/>
        <v>0.00%-8.40%</v>
      </c>
      <c r="AA676" s="94"/>
      <c r="AB676" s="94"/>
      <c r="AC676" s="94"/>
      <c r="AD676" s="95"/>
      <c r="AE676" s="87">
        <f t="shared" si="139"/>
        <v>0</v>
      </c>
      <c r="AF676" s="96">
        <f t="shared" si="140"/>
        <v>9400</v>
      </c>
      <c r="AG676" s="18">
        <f t="shared" si="141"/>
        <v>340</v>
      </c>
      <c r="AH676" s="97">
        <f t="shared" si="142"/>
        <v>3.7527593818984517E-2</v>
      </c>
      <c r="AI676" s="20">
        <v>13.6</v>
      </c>
      <c r="AJ676" s="20">
        <v>500</v>
      </c>
      <c r="AK676" s="20"/>
      <c r="AL676" s="20">
        <v>688</v>
      </c>
      <c r="AM676" s="20">
        <f t="shared" si="143"/>
        <v>134528</v>
      </c>
      <c r="AN676" s="7" t="s">
        <v>176</v>
      </c>
      <c r="AO676" s="20"/>
      <c r="AP676" s="21" t="s">
        <v>1048</v>
      </c>
      <c r="AQ676" s="21"/>
      <c r="AR676" s="5" t="s">
        <v>68</v>
      </c>
      <c r="AS676" s="5" t="s">
        <v>69</v>
      </c>
      <c r="AT676" s="5" t="s">
        <v>59</v>
      </c>
    </row>
    <row r="677" spans="1:46">
      <c r="A677" s="86" t="s">
        <v>318</v>
      </c>
      <c r="B677" s="5">
        <v>15001635</v>
      </c>
      <c r="C677" s="5" t="s">
        <v>1058</v>
      </c>
      <c r="D677" s="5" t="s">
        <v>321</v>
      </c>
      <c r="E677" s="5" t="s">
        <v>52</v>
      </c>
      <c r="F677" s="5" t="s">
        <v>62</v>
      </c>
      <c r="G677" s="5" t="s">
        <v>64</v>
      </c>
      <c r="H677" s="5" t="s">
        <v>1047</v>
      </c>
      <c r="I677" s="6">
        <v>39590</v>
      </c>
      <c r="J677" s="5" t="s">
        <v>279</v>
      </c>
      <c r="K677" s="5" t="s">
        <v>279</v>
      </c>
      <c r="L677" s="5" t="s">
        <v>324</v>
      </c>
      <c r="M677" s="7">
        <v>6</v>
      </c>
      <c r="N677" s="7" t="s">
        <v>176</v>
      </c>
      <c r="O677" s="87">
        <v>6290</v>
      </c>
      <c r="P677" s="88">
        <v>0.02</v>
      </c>
      <c r="Q677" s="89">
        <f t="shared" si="131"/>
        <v>126</v>
      </c>
      <c r="R677" s="88">
        <v>5.0000000000000001E-3</v>
      </c>
      <c r="S677" s="89">
        <f t="shared" si="132"/>
        <v>31</v>
      </c>
      <c r="T677" s="88">
        <f t="shared" si="133"/>
        <v>2.4960254372019076E-2</v>
      </c>
      <c r="U677" s="89">
        <f t="shared" si="134"/>
        <v>157</v>
      </c>
      <c r="V677" s="89">
        <f t="shared" si="135"/>
        <v>6447</v>
      </c>
      <c r="W677" s="90">
        <v>6500</v>
      </c>
      <c r="X677" s="91">
        <f t="shared" si="136"/>
        <v>210</v>
      </c>
      <c r="Y677" s="92">
        <f t="shared" si="137"/>
        <v>3.3399999999999999E-2</v>
      </c>
      <c r="Z677" s="93" t="str">
        <f t="shared" si="144"/>
        <v>0.00%-8.40%</v>
      </c>
      <c r="AA677" s="94"/>
      <c r="AB677" s="94"/>
      <c r="AC677" s="94"/>
      <c r="AD677" s="95"/>
      <c r="AE677" s="87">
        <f t="shared" si="139"/>
        <v>0</v>
      </c>
      <c r="AF677" s="96">
        <f t="shared" si="140"/>
        <v>6500</v>
      </c>
      <c r="AG677" s="18">
        <f t="shared" si="141"/>
        <v>210</v>
      </c>
      <c r="AH677" s="97">
        <f t="shared" si="142"/>
        <v>3.3386327503974522E-2</v>
      </c>
      <c r="AI677" s="20">
        <v>13.6</v>
      </c>
      <c r="AJ677" s="20">
        <v>500</v>
      </c>
      <c r="AK677" s="20"/>
      <c r="AL677" s="20">
        <v>688</v>
      </c>
      <c r="AM677" s="20">
        <f t="shared" si="143"/>
        <v>95088</v>
      </c>
      <c r="AN677" s="7" t="s">
        <v>176</v>
      </c>
      <c r="AO677" s="20"/>
      <c r="AP677" s="21" t="s">
        <v>1055</v>
      </c>
      <c r="AQ677" s="21"/>
      <c r="AR677" s="5" t="s">
        <v>68</v>
      </c>
      <c r="AS677" s="5" t="s">
        <v>69</v>
      </c>
      <c r="AT677" s="5" t="s">
        <v>59</v>
      </c>
    </row>
    <row r="678" spans="1:46">
      <c r="A678" s="86" t="s">
        <v>318</v>
      </c>
      <c r="B678" s="5">
        <v>15000258</v>
      </c>
      <c r="C678" s="5" t="s">
        <v>1059</v>
      </c>
      <c r="D678" s="5" t="s">
        <v>321</v>
      </c>
      <c r="E678" s="5" t="s">
        <v>52</v>
      </c>
      <c r="F678" s="5" t="s">
        <v>62</v>
      </c>
      <c r="G678" s="5" t="s">
        <v>64</v>
      </c>
      <c r="H678" s="5" t="s">
        <v>1050</v>
      </c>
      <c r="I678" s="6">
        <v>38656</v>
      </c>
      <c r="J678" s="5" t="s">
        <v>279</v>
      </c>
      <c r="K678" s="5" t="s">
        <v>279</v>
      </c>
      <c r="L678" s="5" t="s">
        <v>324</v>
      </c>
      <c r="M678" s="7">
        <v>6</v>
      </c>
      <c r="N678" s="7" t="s">
        <v>176</v>
      </c>
      <c r="O678" s="87">
        <v>8000</v>
      </c>
      <c r="P678" s="88">
        <v>0.02</v>
      </c>
      <c r="Q678" s="89">
        <f t="shared" si="131"/>
        <v>160</v>
      </c>
      <c r="R678" s="88">
        <v>5.0000000000000001E-3</v>
      </c>
      <c r="S678" s="89">
        <f t="shared" si="132"/>
        <v>40</v>
      </c>
      <c r="T678" s="88">
        <f t="shared" si="133"/>
        <v>2.5000000000000001E-2</v>
      </c>
      <c r="U678" s="89">
        <f t="shared" si="134"/>
        <v>200</v>
      </c>
      <c r="V678" s="89">
        <f t="shared" si="135"/>
        <v>8200</v>
      </c>
      <c r="W678" s="90">
        <v>8100</v>
      </c>
      <c r="X678" s="91">
        <f t="shared" si="136"/>
        <v>100</v>
      </c>
      <c r="Y678" s="92">
        <f t="shared" si="137"/>
        <v>1.2500000000000001E-2</v>
      </c>
      <c r="Z678" s="93" t="str">
        <f t="shared" si="144"/>
        <v>0.00%-8.40%</v>
      </c>
      <c r="AA678" s="94"/>
      <c r="AB678" s="94"/>
      <c r="AC678" s="94"/>
      <c r="AD678" s="95"/>
      <c r="AE678" s="87">
        <f t="shared" si="139"/>
        <v>0</v>
      </c>
      <c r="AF678" s="96">
        <f t="shared" si="140"/>
        <v>8100</v>
      </c>
      <c r="AG678" s="18">
        <f t="shared" si="141"/>
        <v>100</v>
      </c>
      <c r="AH678" s="97">
        <f t="shared" si="142"/>
        <v>1.2499999999999956E-2</v>
      </c>
      <c r="AI678" s="20">
        <v>13.6</v>
      </c>
      <c r="AJ678" s="20">
        <v>450</v>
      </c>
      <c r="AK678" s="20"/>
      <c r="AL678" s="20">
        <v>688</v>
      </c>
      <c r="AM678" s="20">
        <f t="shared" si="143"/>
        <v>116248</v>
      </c>
      <c r="AN678" s="7" t="s">
        <v>176</v>
      </c>
      <c r="AO678" s="20"/>
      <c r="AP678" s="21" t="s">
        <v>1051</v>
      </c>
      <c r="AQ678" s="21"/>
      <c r="AR678" s="5" t="s">
        <v>68</v>
      </c>
      <c r="AS678" s="5" t="s">
        <v>69</v>
      </c>
      <c r="AT678" s="5" t="s">
        <v>59</v>
      </c>
    </row>
    <row r="679" spans="1:46">
      <c r="A679" s="86" t="s">
        <v>318</v>
      </c>
      <c r="B679" s="5">
        <v>15014179</v>
      </c>
      <c r="C679" s="5" t="s">
        <v>1060</v>
      </c>
      <c r="D679" s="5" t="s">
        <v>321</v>
      </c>
      <c r="E679" s="5" t="s">
        <v>52</v>
      </c>
      <c r="F679" s="5" t="s">
        <v>62</v>
      </c>
      <c r="G679" s="5" t="s">
        <v>64</v>
      </c>
      <c r="H679" s="5" t="s">
        <v>1050</v>
      </c>
      <c r="I679" s="6">
        <v>41640</v>
      </c>
      <c r="J679" s="5" t="s">
        <v>279</v>
      </c>
      <c r="K679" s="5" t="s">
        <v>279</v>
      </c>
      <c r="L679" s="5" t="s">
        <v>324</v>
      </c>
      <c r="M679" s="7">
        <v>6</v>
      </c>
      <c r="N679" s="7" t="s">
        <v>176</v>
      </c>
      <c r="O679" s="87">
        <v>6150</v>
      </c>
      <c r="P679" s="88">
        <v>0.02</v>
      </c>
      <c r="Q679" s="89">
        <f t="shared" si="131"/>
        <v>123</v>
      </c>
      <c r="R679" s="88">
        <v>5.0000000000000001E-3</v>
      </c>
      <c r="S679" s="89">
        <f t="shared" si="132"/>
        <v>31</v>
      </c>
      <c r="T679" s="88">
        <f t="shared" si="133"/>
        <v>2.5040650406504064E-2</v>
      </c>
      <c r="U679" s="89">
        <f t="shared" si="134"/>
        <v>154</v>
      </c>
      <c r="V679" s="89">
        <f t="shared" si="135"/>
        <v>6304</v>
      </c>
      <c r="W679" s="90">
        <v>6350</v>
      </c>
      <c r="X679" s="91">
        <f t="shared" si="136"/>
        <v>200</v>
      </c>
      <c r="Y679" s="92">
        <f t="shared" si="137"/>
        <v>3.2500000000000001E-2</v>
      </c>
      <c r="Z679" s="93" t="str">
        <f t="shared" si="144"/>
        <v>0.00%-8.40%</v>
      </c>
      <c r="AA679" s="94"/>
      <c r="AB679" s="94"/>
      <c r="AC679" s="94"/>
      <c r="AD679" s="95"/>
      <c r="AE679" s="87">
        <f t="shared" si="139"/>
        <v>0</v>
      </c>
      <c r="AF679" s="96">
        <f t="shared" si="140"/>
        <v>6350</v>
      </c>
      <c r="AG679" s="18">
        <f t="shared" si="141"/>
        <v>200</v>
      </c>
      <c r="AH679" s="97">
        <f t="shared" si="142"/>
        <v>3.2520325203251987E-2</v>
      </c>
      <c r="AI679" s="20">
        <v>13.6</v>
      </c>
      <c r="AJ679" s="20">
        <v>500</v>
      </c>
      <c r="AK679" s="20"/>
      <c r="AL679" s="20">
        <v>688</v>
      </c>
      <c r="AM679" s="20">
        <f t="shared" si="143"/>
        <v>93048</v>
      </c>
      <c r="AN679" s="7" t="s">
        <v>176</v>
      </c>
      <c r="AO679" s="20"/>
      <c r="AP679" s="21" t="s">
        <v>1055</v>
      </c>
      <c r="AQ679" s="21"/>
      <c r="AR679" s="5" t="s">
        <v>68</v>
      </c>
      <c r="AS679" s="5" t="s">
        <v>69</v>
      </c>
      <c r="AT679" s="5" t="s">
        <v>59</v>
      </c>
    </row>
    <row r="680" spans="1:46">
      <c r="A680" s="86" t="s">
        <v>318</v>
      </c>
      <c r="B680" s="5">
        <v>15000672</v>
      </c>
      <c r="C680" s="5" t="s">
        <v>1061</v>
      </c>
      <c r="D680" s="5" t="s">
        <v>321</v>
      </c>
      <c r="E680" s="5" t="s">
        <v>52</v>
      </c>
      <c r="F680" s="5" t="s">
        <v>62</v>
      </c>
      <c r="G680" s="5" t="s">
        <v>64</v>
      </c>
      <c r="H680" s="5" t="s">
        <v>1050</v>
      </c>
      <c r="I680" s="6">
        <v>38985</v>
      </c>
      <c r="J680" s="5" t="s">
        <v>279</v>
      </c>
      <c r="K680" s="5" t="s">
        <v>279</v>
      </c>
      <c r="L680" s="5" t="s">
        <v>324</v>
      </c>
      <c r="M680" s="7">
        <v>6</v>
      </c>
      <c r="N680" s="7" t="s">
        <v>176</v>
      </c>
      <c r="O680" s="87">
        <v>6342</v>
      </c>
      <c r="P680" s="88">
        <v>0.02</v>
      </c>
      <c r="Q680" s="89">
        <f t="shared" si="131"/>
        <v>127</v>
      </c>
      <c r="R680" s="88">
        <v>5.0000000000000001E-3</v>
      </c>
      <c r="S680" s="89">
        <f t="shared" si="132"/>
        <v>32</v>
      </c>
      <c r="T680" s="88">
        <f t="shared" si="133"/>
        <v>2.5070955534531692E-2</v>
      </c>
      <c r="U680" s="89">
        <f t="shared" si="134"/>
        <v>159</v>
      </c>
      <c r="V680" s="89">
        <f t="shared" si="135"/>
        <v>6501</v>
      </c>
      <c r="W680" s="90">
        <v>6500</v>
      </c>
      <c r="X680" s="91">
        <f t="shared" si="136"/>
        <v>158</v>
      </c>
      <c r="Y680" s="92">
        <f t="shared" si="137"/>
        <v>2.4899999999999999E-2</v>
      </c>
      <c r="Z680" s="93" t="str">
        <f t="shared" si="144"/>
        <v>0.00%-8.40%</v>
      </c>
      <c r="AA680" s="94"/>
      <c r="AB680" s="94"/>
      <c r="AC680" s="94"/>
      <c r="AD680" s="95"/>
      <c r="AE680" s="87">
        <f t="shared" si="139"/>
        <v>0</v>
      </c>
      <c r="AF680" s="96">
        <f t="shared" si="140"/>
        <v>6500</v>
      </c>
      <c r="AG680" s="18">
        <f t="shared" si="141"/>
        <v>158</v>
      </c>
      <c r="AH680" s="97">
        <f t="shared" si="142"/>
        <v>2.491327656890574E-2</v>
      </c>
      <c r="AI680" s="20">
        <v>13.6</v>
      </c>
      <c r="AJ680" s="20">
        <v>500</v>
      </c>
      <c r="AK680" s="20"/>
      <c r="AL680" s="20">
        <v>688</v>
      </c>
      <c r="AM680" s="20">
        <f t="shared" si="143"/>
        <v>95088</v>
      </c>
      <c r="AN680" s="7" t="s">
        <v>176</v>
      </c>
      <c r="AO680" s="20"/>
      <c r="AP680" s="21" t="s">
        <v>1056</v>
      </c>
      <c r="AQ680" s="21"/>
      <c r="AR680" s="5" t="s">
        <v>68</v>
      </c>
      <c r="AS680" s="5" t="s">
        <v>69</v>
      </c>
      <c r="AT680" s="5" t="s">
        <v>59</v>
      </c>
    </row>
    <row r="681" spans="1:46">
      <c r="A681" s="86" t="s">
        <v>318</v>
      </c>
      <c r="B681" s="5">
        <v>15005747</v>
      </c>
      <c r="C681" s="5" t="s">
        <v>1062</v>
      </c>
      <c r="D681" s="5" t="s">
        <v>321</v>
      </c>
      <c r="E681" s="5" t="s">
        <v>52</v>
      </c>
      <c r="F681" s="5" t="s">
        <v>62</v>
      </c>
      <c r="G681" s="5" t="s">
        <v>64</v>
      </c>
      <c r="H681" s="5" t="s">
        <v>1047</v>
      </c>
      <c r="I681" s="6">
        <v>40817</v>
      </c>
      <c r="J681" s="5" t="s">
        <v>279</v>
      </c>
      <c r="K681" s="5" t="s">
        <v>279</v>
      </c>
      <c r="L681" s="5" t="s">
        <v>324</v>
      </c>
      <c r="M681" s="7">
        <v>6</v>
      </c>
      <c r="N681" s="7" t="s">
        <v>176</v>
      </c>
      <c r="O681" s="87">
        <v>7300</v>
      </c>
      <c r="P681" s="88">
        <v>0.02</v>
      </c>
      <c r="Q681" s="89">
        <f t="shared" si="131"/>
        <v>146</v>
      </c>
      <c r="R681" s="88">
        <v>5.0000000000000001E-3</v>
      </c>
      <c r="S681" s="89">
        <f t="shared" si="132"/>
        <v>37</v>
      </c>
      <c r="T681" s="88">
        <f t="shared" si="133"/>
        <v>2.5068493150684931E-2</v>
      </c>
      <c r="U681" s="89">
        <f t="shared" si="134"/>
        <v>183</v>
      </c>
      <c r="V681" s="89">
        <f t="shared" si="135"/>
        <v>7483</v>
      </c>
      <c r="W681" s="90">
        <v>7600</v>
      </c>
      <c r="X681" s="91">
        <f t="shared" si="136"/>
        <v>300</v>
      </c>
      <c r="Y681" s="92">
        <f t="shared" si="137"/>
        <v>4.1099999999999998E-2</v>
      </c>
      <c r="Z681" s="93" t="str">
        <f t="shared" si="144"/>
        <v>0.00%-8.40%</v>
      </c>
      <c r="AA681" s="94"/>
      <c r="AB681" s="94"/>
      <c r="AC681" s="94"/>
      <c r="AD681" s="95"/>
      <c r="AE681" s="87">
        <f t="shared" si="139"/>
        <v>0</v>
      </c>
      <c r="AF681" s="96">
        <f t="shared" si="140"/>
        <v>7600</v>
      </c>
      <c r="AG681" s="18">
        <f t="shared" si="141"/>
        <v>300</v>
      </c>
      <c r="AH681" s="97">
        <f t="shared" si="142"/>
        <v>4.1095890410958846E-2</v>
      </c>
      <c r="AI681" s="20">
        <v>13.6</v>
      </c>
      <c r="AJ681" s="20">
        <v>500</v>
      </c>
      <c r="AK681" s="20"/>
      <c r="AL681" s="20">
        <v>688</v>
      </c>
      <c r="AM681" s="20">
        <f t="shared" si="143"/>
        <v>110048</v>
      </c>
      <c r="AN681" s="7" t="s">
        <v>176</v>
      </c>
      <c r="AO681" s="20"/>
      <c r="AP681" s="21" t="s">
        <v>1048</v>
      </c>
      <c r="AQ681" s="21"/>
      <c r="AR681" s="5" t="s">
        <v>68</v>
      </c>
      <c r="AS681" s="5" t="s">
        <v>69</v>
      </c>
      <c r="AT681" s="5" t="s">
        <v>59</v>
      </c>
    </row>
    <row r="682" spans="1:46">
      <c r="A682" s="86" t="s">
        <v>318</v>
      </c>
      <c r="B682" s="5">
        <v>15000155</v>
      </c>
      <c r="C682" s="5" t="s">
        <v>1063</v>
      </c>
      <c r="D682" s="5" t="s">
        <v>360</v>
      </c>
      <c r="E682" s="5" t="s">
        <v>52</v>
      </c>
      <c r="F682" s="5" t="s">
        <v>62</v>
      </c>
      <c r="G682" s="5" t="s">
        <v>116</v>
      </c>
      <c r="H682" s="5" t="s">
        <v>65</v>
      </c>
      <c r="I682" s="6">
        <v>38572</v>
      </c>
      <c r="J682" s="5" t="s">
        <v>223</v>
      </c>
      <c r="K682" s="5" t="s">
        <v>223</v>
      </c>
      <c r="L682" s="5" t="s">
        <v>324</v>
      </c>
      <c r="M682" s="7">
        <v>6</v>
      </c>
      <c r="N682" s="7" t="s">
        <v>176</v>
      </c>
      <c r="O682" s="87">
        <v>8750</v>
      </c>
      <c r="P682" s="88">
        <v>0.02</v>
      </c>
      <c r="Q682" s="89">
        <f t="shared" si="131"/>
        <v>175</v>
      </c>
      <c r="R682" s="88">
        <v>5.0000000000000001E-3</v>
      </c>
      <c r="S682" s="89">
        <f t="shared" si="132"/>
        <v>44</v>
      </c>
      <c r="T682" s="88">
        <f t="shared" si="133"/>
        <v>2.5028571428571428E-2</v>
      </c>
      <c r="U682" s="89">
        <f t="shared" si="134"/>
        <v>219</v>
      </c>
      <c r="V682" s="89">
        <f t="shared" si="135"/>
        <v>8969</v>
      </c>
      <c r="W682" s="90">
        <v>8925</v>
      </c>
      <c r="X682" s="91">
        <f t="shared" si="136"/>
        <v>175</v>
      </c>
      <c r="Y682" s="92">
        <f t="shared" si="137"/>
        <v>0.02</v>
      </c>
      <c r="Z682" s="93" t="str">
        <f t="shared" si="144"/>
        <v>0.00%-8.40%</v>
      </c>
      <c r="AA682" s="94"/>
      <c r="AB682" s="94"/>
      <c r="AC682" s="94"/>
      <c r="AD682" s="95"/>
      <c r="AE682" s="87">
        <f t="shared" si="139"/>
        <v>0</v>
      </c>
      <c r="AF682" s="96">
        <f t="shared" si="140"/>
        <v>8925</v>
      </c>
      <c r="AG682" s="18">
        <f t="shared" si="141"/>
        <v>175</v>
      </c>
      <c r="AH682" s="97">
        <f t="shared" si="142"/>
        <v>2.0000000000000018E-2</v>
      </c>
      <c r="AI682" s="20">
        <v>13.6</v>
      </c>
      <c r="AJ682" s="20">
        <v>450</v>
      </c>
      <c r="AK682" s="20"/>
      <c r="AL682" s="20">
        <v>688</v>
      </c>
      <c r="AM682" s="20">
        <f t="shared" si="143"/>
        <v>127468</v>
      </c>
      <c r="AN682" s="7" t="s">
        <v>176</v>
      </c>
      <c r="AO682" s="20"/>
      <c r="AP682" s="21" t="s">
        <v>1048</v>
      </c>
      <c r="AQ682" s="21"/>
      <c r="AR682" s="5" t="s">
        <v>68</v>
      </c>
      <c r="AS682" s="5" t="s">
        <v>69</v>
      </c>
      <c r="AT682" s="5" t="s">
        <v>59</v>
      </c>
    </row>
    <row r="683" spans="1:46">
      <c r="A683" s="86" t="s">
        <v>318</v>
      </c>
      <c r="B683" s="5">
        <v>15008411</v>
      </c>
      <c r="C683" s="5" t="s">
        <v>1064</v>
      </c>
      <c r="D683" s="5" t="s">
        <v>321</v>
      </c>
      <c r="E683" s="5" t="s">
        <v>52</v>
      </c>
      <c r="F683" s="5" t="s">
        <v>62</v>
      </c>
      <c r="G683" s="5" t="s">
        <v>64</v>
      </c>
      <c r="H683" s="5" t="s">
        <v>1050</v>
      </c>
      <c r="I683" s="6">
        <v>41426</v>
      </c>
      <c r="J683" s="5" t="s">
        <v>336</v>
      </c>
      <c r="K683" s="5" t="s">
        <v>336</v>
      </c>
      <c r="L683" s="5" t="s">
        <v>324</v>
      </c>
      <c r="M683" s="7">
        <v>6</v>
      </c>
      <c r="N683" s="7" t="s">
        <v>176</v>
      </c>
      <c r="O683" s="87">
        <v>4900</v>
      </c>
      <c r="P683" s="88">
        <v>0.02</v>
      </c>
      <c r="Q683" s="89">
        <f t="shared" si="131"/>
        <v>98</v>
      </c>
      <c r="R683" s="88">
        <v>5.0000000000000001E-3</v>
      </c>
      <c r="S683" s="89">
        <f t="shared" si="132"/>
        <v>25</v>
      </c>
      <c r="T683" s="88">
        <f t="shared" si="133"/>
        <v>2.510204081632653E-2</v>
      </c>
      <c r="U683" s="89">
        <f t="shared" si="134"/>
        <v>123</v>
      </c>
      <c r="V683" s="89">
        <f t="shared" si="135"/>
        <v>5023</v>
      </c>
      <c r="W683" s="90">
        <v>5000</v>
      </c>
      <c r="X683" s="91">
        <f t="shared" si="136"/>
        <v>100</v>
      </c>
      <c r="Y683" s="92">
        <f t="shared" si="137"/>
        <v>2.0400000000000001E-2</v>
      </c>
      <c r="Z683" s="93" t="str">
        <f t="shared" si="144"/>
        <v>0.00%-8.40%</v>
      </c>
      <c r="AA683" s="94"/>
      <c r="AB683" s="94"/>
      <c r="AC683" s="94"/>
      <c r="AD683" s="95"/>
      <c r="AE683" s="87">
        <f t="shared" si="139"/>
        <v>0</v>
      </c>
      <c r="AF683" s="96">
        <f t="shared" si="140"/>
        <v>5000</v>
      </c>
      <c r="AG683" s="18">
        <f t="shared" si="141"/>
        <v>100</v>
      </c>
      <c r="AH683" s="97">
        <f t="shared" si="142"/>
        <v>2.0408163265306145E-2</v>
      </c>
      <c r="AI683" s="20">
        <v>13.6</v>
      </c>
      <c r="AJ683" s="20">
        <v>500</v>
      </c>
      <c r="AK683" s="20"/>
      <c r="AL683" s="20">
        <v>688</v>
      </c>
      <c r="AM683" s="20">
        <f t="shared" si="143"/>
        <v>74688</v>
      </c>
      <c r="AN683" s="7" t="s">
        <v>176</v>
      </c>
      <c r="AO683" s="20"/>
      <c r="AP683" s="21" t="s">
        <v>1056</v>
      </c>
      <c r="AQ683" s="21"/>
      <c r="AR683" s="5" t="s">
        <v>68</v>
      </c>
      <c r="AS683" s="5" t="s">
        <v>69</v>
      </c>
      <c r="AT683" s="5" t="s">
        <v>59</v>
      </c>
    </row>
    <row r="684" spans="1:46">
      <c r="A684" s="86" t="s">
        <v>318</v>
      </c>
      <c r="B684" s="5">
        <v>15001060</v>
      </c>
      <c r="C684" s="5" t="s">
        <v>1065</v>
      </c>
      <c r="D684" s="5" t="s">
        <v>321</v>
      </c>
      <c r="E684" s="5" t="s">
        <v>52</v>
      </c>
      <c r="F684" s="5" t="s">
        <v>62</v>
      </c>
      <c r="G684" s="5" t="s">
        <v>64</v>
      </c>
      <c r="H684" s="5" t="s">
        <v>1047</v>
      </c>
      <c r="I684" s="6">
        <v>39448</v>
      </c>
      <c r="J684" s="5" t="s">
        <v>336</v>
      </c>
      <c r="K684" s="5" t="s">
        <v>336</v>
      </c>
      <c r="L684" s="5" t="s">
        <v>324</v>
      </c>
      <c r="M684" s="7">
        <v>6</v>
      </c>
      <c r="N684" s="7" t="s">
        <v>176</v>
      </c>
      <c r="O684" s="87">
        <v>5980</v>
      </c>
      <c r="P684" s="88">
        <v>0.02</v>
      </c>
      <c r="Q684" s="89">
        <f t="shared" si="131"/>
        <v>120</v>
      </c>
      <c r="R684" s="88">
        <v>5.0000000000000001E-3</v>
      </c>
      <c r="S684" s="89">
        <f t="shared" si="132"/>
        <v>30</v>
      </c>
      <c r="T684" s="88">
        <f t="shared" si="133"/>
        <v>2.508361204013378E-2</v>
      </c>
      <c r="U684" s="89">
        <f t="shared" si="134"/>
        <v>150</v>
      </c>
      <c r="V684" s="89">
        <f t="shared" si="135"/>
        <v>6130</v>
      </c>
      <c r="W684" s="90">
        <v>6180</v>
      </c>
      <c r="X684" s="91">
        <f t="shared" si="136"/>
        <v>200</v>
      </c>
      <c r="Y684" s="92">
        <f t="shared" si="137"/>
        <v>3.3399999999999999E-2</v>
      </c>
      <c r="Z684" s="93" t="str">
        <f t="shared" si="144"/>
        <v>0.00%-8.40%</v>
      </c>
      <c r="AA684" s="94"/>
      <c r="AB684" s="94"/>
      <c r="AC684" s="94"/>
      <c r="AD684" s="95"/>
      <c r="AE684" s="87">
        <f t="shared" si="139"/>
        <v>0</v>
      </c>
      <c r="AF684" s="96">
        <f t="shared" si="140"/>
        <v>6180</v>
      </c>
      <c r="AG684" s="18">
        <f t="shared" si="141"/>
        <v>200</v>
      </c>
      <c r="AH684" s="97">
        <f t="shared" si="142"/>
        <v>3.3444816053511683E-2</v>
      </c>
      <c r="AI684" s="20">
        <v>13.6</v>
      </c>
      <c r="AJ684" s="20">
        <v>700</v>
      </c>
      <c r="AK684" s="20"/>
      <c r="AL684" s="20">
        <v>688</v>
      </c>
      <c r="AM684" s="20">
        <f t="shared" si="143"/>
        <v>93136</v>
      </c>
      <c r="AN684" s="7" t="s">
        <v>176</v>
      </c>
      <c r="AO684" s="20"/>
      <c r="AP684" s="21" t="s">
        <v>1055</v>
      </c>
      <c r="AQ684" s="21"/>
      <c r="AR684" s="5" t="s">
        <v>68</v>
      </c>
      <c r="AS684" s="5" t="s">
        <v>69</v>
      </c>
      <c r="AT684" s="5" t="s">
        <v>59</v>
      </c>
    </row>
    <row r="685" spans="1:46">
      <c r="A685" s="86" t="s">
        <v>318</v>
      </c>
      <c r="B685" s="5">
        <v>15016420</v>
      </c>
      <c r="C685" s="5" t="s">
        <v>1066</v>
      </c>
      <c r="D685" s="5" t="s">
        <v>321</v>
      </c>
      <c r="E685" s="5" t="s">
        <v>52</v>
      </c>
      <c r="F685" s="5" t="s">
        <v>62</v>
      </c>
      <c r="G685" s="5" t="s">
        <v>64</v>
      </c>
      <c r="H685" s="5" t="s">
        <v>1047</v>
      </c>
      <c r="I685" s="6">
        <v>42917</v>
      </c>
      <c r="J685" s="5" t="s">
        <v>336</v>
      </c>
      <c r="K685" s="5" t="s">
        <v>336</v>
      </c>
      <c r="L685" s="5" t="s">
        <v>324</v>
      </c>
      <c r="M685" s="7">
        <v>6</v>
      </c>
      <c r="N685" s="7" t="s">
        <v>176</v>
      </c>
      <c r="O685" s="87">
        <v>4605</v>
      </c>
      <c r="P685" s="88">
        <v>0.02</v>
      </c>
      <c r="Q685" s="89">
        <f t="shared" si="131"/>
        <v>92</v>
      </c>
      <c r="R685" s="88">
        <v>5.0000000000000001E-3</v>
      </c>
      <c r="S685" s="89">
        <f t="shared" si="132"/>
        <v>23</v>
      </c>
      <c r="T685" s="88">
        <f t="shared" si="133"/>
        <v>2.4972855591748101E-2</v>
      </c>
      <c r="U685" s="89">
        <f t="shared" si="134"/>
        <v>115</v>
      </c>
      <c r="V685" s="89">
        <f t="shared" si="135"/>
        <v>4720</v>
      </c>
      <c r="W685" s="90">
        <v>4710</v>
      </c>
      <c r="X685" s="91">
        <f t="shared" si="136"/>
        <v>105</v>
      </c>
      <c r="Y685" s="92">
        <f t="shared" si="137"/>
        <v>2.2800000000000001E-2</v>
      </c>
      <c r="Z685" s="93" t="str">
        <f t="shared" si="144"/>
        <v>0.00%-8.40%</v>
      </c>
      <c r="AA685" s="94"/>
      <c r="AB685" s="94"/>
      <c r="AC685" s="94"/>
      <c r="AD685" s="95"/>
      <c r="AE685" s="87">
        <f t="shared" si="139"/>
        <v>0</v>
      </c>
      <c r="AF685" s="96">
        <f t="shared" si="140"/>
        <v>4710</v>
      </c>
      <c r="AG685" s="18">
        <f t="shared" si="141"/>
        <v>105</v>
      </c>
      <c r="AH685" s="97">
        <f t="shared" si="142"/>
        <v>2.2801302931596101E-2</v>
      </c>
      <c r="AI685" s="20">
        <v>13.6</v>
      </c>
      <c r="AJ685" s="20">
        <v>650</v>
      </c>
      <c r="AK685" s="20"/>
      <c r="AL685" s="20">
        <v>688</v>
      </c>
      <c r="AM685" s="20">
        <f t="shared" si="143"/>
        <v>72544</v>
      </c>
      <c r="AN685" s="7" t="s">
        <v>176</v>
      </c>
      <c r="AO685" s="20"/>
      <c r="AP685" s="21" t="s">
        <v>1056</v>
      </c>
      <c r="AQ685" s="21"/>
      <c r="AR685" s="5" t="s">
        <v>68</v>
      </c>
      <c r="AS685" s="5" t="s">
        <v>69</v>
      </c>
      <c r="AT685" s="5" t="s">
        <v>59</v>
      </c>
    </row>
    <row r="686" spans="1:46">
      <c r="A686" s="86" t="s">
        <v>318</v>
      </c>
      <c r="B686" s="5">
        <v>15009540</v>
      </c>
      <c r="C686" s="5" t="s">
        <v>1067</v>
      </c>
      <c r="D686" s="5" t="s">
        <v>321</v>
      </c>
      <c r="E686" s="5" t="s">
        <v>52</v>
      </c>
      <c r="F686" s="5" t="s">
        <v>62</v>
      </c>
      <c r="G686" s="5" t="s">
        <v>64</v>
      </c>
      <c r="H686" s="5" t="s">
        <v>1050</v>
      </c>
      <c r="I686" s="6">
        <v>41944</v>
      </c>
      <c r="J686" s="5" t="s">
        <v>336</v>
      </c>
      <c r="K686" s="5" t="s">
        <v>336</v>
      </c>
      <c r="L686" s="5" t="s">
        <v>324</v>
      </c>
      <c r="M686" s="7">
        <v>6</v>
      </c>
      <c r="N686" s="7" t="s">
        <v>176</v>
      </c>
      <c r="O686" s="87">
        <v>5433</v>
      </c>
      <c r="P686" s="88">
        <v>0.02</v>
      </c>
      <c r="Q686" s="89">
        <f t="shared" si="131"/>
        <v>109</v>
      </c>
      <c r="R686" s="88">
        <v>5.0000000000000001E-3</v>
      </c>
      <c r="S686" s="89">
        <f t="shared" si="132"/>
        <v>27</v>
      </c>
      <c r="T686" s="88">
        <f t="shared" si="133"/>
        <v>2.5032210565065341E-2</v>
      </c>
      <c r="U686" s="89">
        <f t="shared" si="134"/>
        <v>136</v>
      </c>
      <c r="V686" s="89">
        <f t="shared" si="135"/>
        <v>5569</v>
      </c>
      <c r="W686" s="90">
        <v>5565</v>
      </c>
      <c r="X686" s="91">
        <f t="shared" si="136"/>
        <v>132</v>
      </c>
      <c r="Y686" s="92">
        <f t="shared" si="137"/>
        <v>2.4299999999999999E-2</v>
      </c>
      <c r="Z686" s="93" t="str">
        <f t="shared" si="144"/>
        <v>0.00%-8.40%</v>
      </c>
      <c r="AA686" s="94"/>
      <c r="AB686" s="94"/>
      <c r="AC686" s="94"/>
      <c r="AD686" s="95"/>
      <c r="AE686" s="87">
        <f t="shared" si="139"/>
        <v>0</v>
      </c>
      <c r="AF686" s="96">
        <f t="shared" si="140"/>
        <v>5565</v>
      </c>
      <c r="AG686" s="18">
        <f t="shared" si="141"/>
        <v>132</v>
      </c>
      <c r="AH686" s="97">
        <f t="shared" si="142"/>
        <v>2.4295969077857471E-2</v>
      </c>
      <c r="AI686" s="20">
        <v>13.6</v>
      </c>
      <c r="AJ686" s="20">
        <v>700</v>
      </c>
      <c r="AK686" s="20"/>
      <c r="AL686" s="20">
        <v>688</v>
      </c>
      <c r="AM686" s="20">
        <f t="shared" si="143"/>
        <v>84772</v>
      </c>
      <c r="AN686" s="7" t="s">
        <v>176</v>
      </c>
      <c r="AO686" s="20"/>
      <c r="AP686" s="21" t="s">
        <v>1056</v>
      </c>
      <c r="AQ686" s="21"/>
      <c r="AR686" s="5" t="s">
        <v>68</v>
      </c>
      <c r="AS686" s="5" t="s">
        <v>69</v>
      </c>
      <c r="AT686" s="5" t="s">
        <v>59</v>
      </c>
    </row>
    <row r="687" spans="1:46">
      <c r="A687" s="86" t="s">
        <v>318</v>
      </c>
      <c r="B687" s="5">
        <v>15021597</v>
      </c>
      <c r="C687" s="5" t="s">
        <v>1068</v>
      </c>
      <c r="D687" s="5" t="s">
        <v>321</v>
      </c>
      <c r="E687" s="5" t="s">
        <v>52</v>
      </c>
      <c r="F687" s="5" t="s">
        <v>62</v>
      </c>
      <c r="G687" s="5" t="s">
        <v>64</v>
      </c>
      <c r="H687" s="5" t="s">
        <v>1047</v>
      </c>
      <c r="I687" s="6">
        <v>44531</v>
      </c>
      <c r="J687" s="5" t="s">
        <v>336</v>
      </c>
      <c r="K687" s="5" t="s">
        <v>336</v>
      </c>
      <c r="L687" s="5" t="s">
        <v>324</v>
      </c>
      <c r="M687" s="7">
        <v>6</v>
      </c>
      <c r="N687" s="7" t="s">
        <v>176</v>
      </c>
      <c r="O687" s="87">
        <v>4550</v>
      </c>
      <c r="P687" s="88">
        <v>0.02</v>
      </c>
      <c r="Q687" s="89">
        <f t="shared" si="131"/>
        <v>91</v>
      </c>
      <c r="R687" s="88">
        <v>5.0000000000000001E-3</v>
      </c>
      <c r="S687" s="89">
        <f t="shared" si="132"/>
        <v>23</v>
      </c>
      <c r="T687" s="88">
        <f t="shared" si="133"/>
        <v>2.5054945054945054E-2</v>
      </c>
      <c r="U687" s="89">
        <f t="shared" si="134"/>
        <v>114</v>
      </c>
      <c r="V687" s="89">
        <f t="shared" si="135"/>
        <v>4664</v>
      </c>
      <c r="W687" s="90">
        <v>4650</v>
      </c>
      <c r="X687" s="91">
        <f t="shared" si="136"/>
        <v>100</v>
      </c>
      <c r="Y687" s="92">
        <f t="shared" si="137"/>
        <v>2.1999999999999999E-2</v>
      </c>
      <c r="Z687" s="93" t="str">
        <f t="shared" si="144"/>
        <v>0.00%-8.40%</v>
      </c>
      <c r="AA687" s="94"/>
      <c r="AB687" s="94"/>
      <c r="AC687" s="94"/>
      <c r="AD687" s="95"/>
      <c r="AE687" s="87">
        <f t="shared" si="139"/>
        <v>0</v>
      </c>
      <c r="AF687" s="96">
        <f t="shared" si="140"/>
        <v>4650</v>
      </c>
      <c r="AG687" s="18">
        <f t="shared" si="141"/>
        <v>100</v>
      </c>
      <c r="AH687" s="97">
        <f t="shared" si="142"/>
        <v>2.19780219780219E-2</v>
      </c>
      <c r="AI687" s="20">
        <v>13.6</v>
      </c>
      <c r="AJ687" s="20">
        <v>700</v>
      </c>
      <c r="AK687" s="20"/>
      <c r="AL687" s="20">
        <v>688</v>
      </c>
      <c r="AM687" s="20">
        <f t="shared" si="143"/>
        <v>72328</v>
      </c>
      <c r="AN687" s="7" t="s">
        <v>176</v>
      </c>
      <c r="AO687" s="20"/>
      <c r="AP687" s="21" t="s">
        <v>1056</v>
      </c>
      <c r="AQ687" s="21"/>
      <c r="AR687" s="5" t="s">
        <v>68</v>
      </c>
      <c r="AS687" s="5" t="s">
        <v>69</v>
      </c>
      <c r="AT687" s="5" t="s">
        <v>59</v>
      </c>
    </row>
    <row r="688" spans="1:46">
      <c r="A688" s="86" t="s">
        <v>318</v>
      </c>
      <c r="B688" s="5">
        <v>15003603</v>
      </c>
      <c r="C688" s="5" t="s">
        <v>1069</v>
      </c>
      <c r="D688" s="5" t="s">
        <v>321</v>
      </c>
      <c r="E688" s="5" t="s">
        <v>52</v>
      </c>
      <c r="F688" s="5" t="s">
        <v>62</v>
      </c>
      <c r="G688" s="5" t="s">
        <v>64</v>
      </c>
      <c r="H688" s="5" t="s">
        <v>1053</v>
      </c>
      <c r="I688" s="6">
        <v>40391</v>
      </c>
      <c r="J688" s="5" t="s">
        <v>336</v>
      </c>
      <c r="K688" s="5" t="s">
        <v>336</v>
      </c>
      <c r="L688" s="5" t="s">
        <v>324</v>
      </c>
      <c r="M688" s="7">
        <v>6</v>
      </c>
      <c r="N688" s="7" t="s">
        <v>176</v>
      </c>
      <c r="O688" s="87">
        <v>5340</v>
      </c>
      <c r="P688" s="88">
        <v>0.02</v>
      </c>
      <c r="Q688" s="89">
        <f t="shared" si="131"/>
        <v>107</v>
      </c>
      <c r="R688" s="88">
        <v>5.0000000000000001E-3</v>
      </c>
      <c r="S688" s="89">
        <f t="shared" si="132"/>
        <v>27</v>
      </c>
      <c r="T688" s="88">
        <f t="shared" si="133"/>
        <v>2.5093632958801498E-2</v>
      </c>
      <c r="U688" s="89">
        <f t="shared" si="134"/>
        <v>134</v>
      </c>
      <c r="V688" s="89">
        <f t="shared" si="135"/>
        <v>5474</v>
      </c>
      <c r="W688" s="90">
        <v>5458</v>
      </c>
      <c r="X688" s="91">
        <f t="shared" si="136"/>
        <v>118</v>
      </c>
      <c r="Y688" s="92">
        <f t="shared" si="137"/>
        <v>2.2100000000000002E-2</v>
      </c>
      <c r="Z688" s="93" t="str">
        <f t="shared" si="144"/>
        <v>0.00%-8.40%</v>
      </c>
      <c r="AA688" s="94"/>
      <c r="AB688" s="94"/>
      <c r="AC688" s="94"/>
      <c r="AD688" s="95"/>
      <c r="AE688" s="87">
        <f t="shared" si="139"/>
        <v>0</v>
      </c>
      <c r="AF688" s="96">
        <f t="shared" si="140"/>
        <v>5458</v>
      </c>
      <c r="AG688" s="18">
        <f t="shared" si="141"/>
        <v>118</v>
      </c>
      <c r="AH688" s="97">
        <f t="shared" si="142"/>
        <v>2.2097378277153634E-2</v>
      </c>
      <c r="AI688" s="20">
        <v>13.6</v>
      </c>
      <c r="AJ688" s="20">
        <v>500</v>
      </c>
      <c r="AK688" s="20"/>
      <c r="AL688" s="20">
        <v>688</v>
      </c>
      <c r="AM688" s="20">
        <f t="shared" si="143"/>
        <v>80916.800000000003</v>
      </c>
      <c r="AN688" s="7" t="s">
        <v>176</v>
      </c>
      <c r="AO688" s="20"/>
      <c r="AP688" s="21" t="s">
        <v>1056</v>
      </c>
      <c r="AQ688" s="21"/>
      <c r="AR688" s="5" t="s">
        <v>68</v>
      </c>
      <c r="AS688" s="5" t="s">
        <v>69</v>
      </c>
      <c r="AT688" s="5" t="s">
        <v>59</v>
      </c>
    </row>
    <row r="689" spans="1:46">
      <c r="A689" s="86" t="s">
        <v>318</v>
      </c>
      <c r="B689" s="5">
        <v>15012441</v>
      </c>
      <c r="C689" s="5" t="s">
        <v>1070</v>
      </c>
      <c r="D689" s="5" t="s">
        <v>360</v>
      </c>
      <c r="E689" s="5" t="s">
        <v>52</v>
      </c>
      <c r="F689" s="5" t="s">
        <v>62</v>
      </c>
      <c r="G689" s="5" t="s">
        <v>79</v>
      </c>
      <c r="H689" s="5" t="s">
        <v>80</v>
      </c>
      <c r="I689" s="6">
        <v>41627</v>
      </c>
      <c r="J689" s="5" t="s">
        <v>434</v>
      </c>
      <c r="K689" s="5" t="s">
        <v>435</v>
      </c>
      <c r="L689" s="5" t="s">
        <v>324</v>
      </c>
      <c r="M689" s="7">
        <v>6</v>
      </c>
      <c r="N689" s="7" t="s">
        <v>176</v>
      </c>
      <c r="O689" s="87">
        <v>8150</v>
      </c>
      <c r="P689" s="88">
        <v>0.02</v>
      </c>
      <c r="Q689" s="89">
        <f t="shared" si="131"/>
        <v>163</v>
      </c>
      <c r="R689" s="88">
        <v>5.0000000000000001E-3</v>
      </c>
      <c r="S689" s="89">
        <f t="shared" si="132"/>
        <v>41</v>
      </c>
      <c r="T689" s="88">
        <f t="shared" si="133"/>
        <v>2.5030674846625765E-2</v>
      </c>
      <c r="U689" s="89">
        <f t="shared" si="134"/>
        <v>204</v>
      </c>
      <c r="V689" s="89">
        <f t="shared" si="135"/>
        <v>8354</v>
      </c>
      <c r="W689" s="90">
        <v>8395</v>
      </c>
      <c r="X689" s="91">
        <f t="shared" si="136"/>
        <v>245</v>
      </c>
      <c r="Y689" s="92">
        <f t="shared" si="137"/>
        <v>3.0099999999999998E-2</v>
      </c>
      <c r="Z689" s="93" t="str">
        <f t="shared" si="144"/>
        <v>0.00%-8.40%</v>
      </c>
      <c r="AA689" s="94"/>
      <c r="AB689" s="94"/>
      <c r="AC689" s="94"/>
      <c r="AD689" s="95"/>
      <c r="AE689" s="87">
        <f t="shared" si="139"/>
        <v>0</v>
      </c>
      <c r="AF689" s="96">
        <f t="shared" si="140"/>
        <v>8395</v>
      </c>
      <c r="AG689" s="18">
        <f t="shared" si="141"/>
        <v>245</v>
      </c>
      <c r="AH689" s="97">
        <f t="shared" si="142"/>
        <v>3.0061349693251582E-2</v>
      </c>
      <c r="AI689" s="20">
        <v>13.6</v>
      </c>
      <c r="AJ689" s="20">
        <v>500</v>
      </c>
      <c r="AK689" s="20"/>
      <c r="AL689" s="20">
        <v>688</v>
      </c>
      <c r="AM689" s="20">
        <f t="shared" si="143"/>
        <v>120860</v>
      </c>
      <c r="AN689" s="7" t="s">
        <v>176</v>
      </c>
      <c r="AO689" s="20"/>
      <c r="AP689" s="21" t="s">
        <v>1056</v>
      </c>
      <c r="AQ689" s="21"/>
      <c r="AR689" s="5" t="s">
        <v>68</v>
      </c>
      <c r="AS689" s="5" t="s">
        <v>69</v>
      </c>
      <c r="AT689" s="5" t="s">
        <v>59</v>
      </c>
    </row>
    <row r="690" spans="1:46">
      <c r="A690" s="86" t="s">
        <v>318</v>
      </c>
      <c r="B690" s="5">
        <v>15015574</v>
      </c>
      <c r="C690" s="5" t="s">
        <v>1071</v>
      </c>
      <c r="D690" s="5" t="s">
        <v>321</v>
      </c>
      <c r="E690" s="5" t="s">
        <v>52</v>
      </c>
      <c r="F690" s="5" t="s">
        <v>62</v>
      </c>
      <c r="G690" s="5" t="s">
        <v>64</v>
      </c>
      <c r="H690" s="5" t="s">
        <v>1047</v>
      </c>
      <c r="I690" s="6">
        <v>42705</v>
      </c>
      <c r="J690" s="5" t="s">
        <v>336</v>
      </c>
      <c r="K690" s="5" t="s">
        <v>336</v>
      </c>
      <c r="L690" s="5" t="s">
        <v>324</v>
      </c>
      <c r="M690" s="7">
        <v>6</v>
      </c>
      <c r="N690" s="7" t="s">
        <v>176</v>
      </c>
      <c r="O690" s="87">
        <v>4880</v>
      </c>
      <c r="P690" s="88">
        <v>0.02</v>
      </c>
      <c r="Q690" s="89">
        <f t="shared" si="131"/>
        <v>98</v>
      </c>
      <c r="R690" s="88">
        <v>5.0000000000000001E-3</v>
      </c>
      <c r="S690" s="89">
        <f t="shared" si="132"/>
        <v>24</v>
      </c>
      <c r="T690" s="88">
        <f t="shared" si="133"/>
        <v>2.5000000000000001E-2</v>
      </c>
      <c r="U690" s="89">
        <f t="shared" si="134"/>
        <v>122</v>
      </c>
      <c r="V690" s="89">
        <f t="shared" si="135"/>
        <v>5002</v>
      </c>
      <c r="W690" s="90">
        <v>4990</v>
      </c>
      <c r="X690" s="91">
        <f t="shared" si="136"/>
        <v>110</v>
      </c>
      <c r="Y690" s="92">
        <f t="shared" si="137"/>
        <v>2.2499999999999999E-2</v>
      </c>
      <c r="Z690" s="93" t="str">
        <f t="shared" si="144"/>
        <v>0.00%-8.40%</v>
      </c>
      <c r="AA690" s="94"/>
      <c r="AB690" s="94"/>
      <c r="AC690" s="94"/>
      <c r="AD690" s="95"/>
      <c r="AE690" s="87">
        <f t="shared" si="139"/>
        <v>0</v>
      </c>
      <c r="AF690" s="96">
        <f t="shared" si="140"/>
        <v>4990</v>
      </c>
      <c r="AG690" s="18">
        <f t="shared" si="141"/>
        <v>110</v>
      </c>
      <c r="AH690" s="97">
        <f t="shared" si="142"/>
        <v>2.2540983606557319E-2</v>
      </c>
      <c r="AI690" s="20">
        <v>13.6</v>
      </c>
      <c r="AJ690" s="20">
        <v>450</v>
      </c>
      <c r="AK690" s="20"/>
      <c r="AL690" s="20">
        <v>688</v>
      </c>
      <c r="AM690" s="20">
        <f t="shared" si="143"/>
        <v>73952</v>
      </c>
      <c r="AN690" s="7" t="s">
        <v>176</v>
      </c>
      <c r="AO690" s="20"/>
      <c r="AP690" s="21" t="s">
        <v>1056</v>
      </c>
      <c r="AQ690" s="21"/>
      <c r="AR690" s="5" t="s">
        <v>68</v>
      </c>
      <c r="AS690" s="5" t="s">
        <v>69</v>
      </c>
      <c r="AT690" s="5" t="s">
        <v>59</v>
      </c>
    </row>
    <row r="691" spans="1:46">
      <c r="A691" s="86" t="s">
        <v>318</v>
      </c>
      <c r="B691" s="5">
        <v>15001548</v>
      </c>
      <c r="C691" s="5" t="s">
        <v>1072</v>
      </c>
      <c r="D691" s="5" t="s">
        <v>321</v>
      </c>
      <c r="E691" s="5" t="s">
        <v>52</v>
      </c>
      <c r="F691" s="5" t="s">
        <v>62</v>
      </c>
      <c r="G691" s="5" t="s">
        <v>64</v>
      </c>
      <c r="H691" s="5" t="s">
        <v>1050</v>
      </c>
      <c r="I691" s="6">
        <v>39556</v>
      </c>
      <c r="J691" s="5" t="s">
        <v>336</v>
      </c>
      <c r="K691" s="5" t="s">
        <v>336</v>
      </c>
      <c r="L691" s="5" t="s">
        <v>324</v>
      </c>
      <c r="M691" s="7">
        <v>6</v>
      </c>
      <c r="N691" s="7" t="s">
        <v>176</v>
      </c>
      <c r="O691" s="87">
        <v>5231</v>
      </c>
      <c r="P691" s="88">
        <v>0.02</v>
      </c>
      <c r="Q691" s="89">
        <f t="shared" si="131"/>
        <v>105</v>
      </c>
      <c r="R691" s="88">
        <v>5.0000000000000001E-3</v>
      </c>
      <c r="S691" s="89">
        <f t="shared" si="132"/>
        <v>26</v>
      </c>
      <c r="T691" s="88">
        <f t="shared" si="133"/>
        <v>2.504301280825846E-2</v>
      </c>
      <c r="U691" s="89">
        <f t="shared" si="134"/>
        <v>131</v>
      </c>
      <c r="V691" s="89">
        <f t="shared" si="135"/>
        <v>5362</v>
      </c>
      <c r="W691" s="90">
        <v>5400</v>
      </c>
      <c r="X691" s="91">
        <f t="shared" si="136"/>
        <v>169</v>
      </c>
      <c r="Y691" s="92">
        <f t="shared" si="137"/>
        <v>3.2300000000000002E-2</v>
      </c>
      <c r="Z691" s="93" t="str">
        <f t="shared" si="144"/>
        <v>0.00%-8.40%</v>
      </c>
      <c r="AA691" s="94"/>
      <c r="AB691" s="94"/>
      <c r="AC691" s="94"/>
      <c r="AD691" s="95"/>
      <c r="AE691" s="87">
        <f t="shared" si="139"/>
        <v>0</v>
      </c>
      <c r="AF691" s="96">
        <f t="shared" si="140"/>
        <v>5400</v>
      </c>
      <c r="AG691" s="18">
        <f t="shared" si="141"/>
        <v>169</v>
      </c>
      <c r="AH691" s="97">
        <f t="shared" si="142"/>
        <v>3.2307398203020421E-2</v>
      </c>
      <c r="AI691" s="20">
        <v>13.6</v>
      </c>
      <c r="AJ691" s="20">
        <v>700</v>
      </c>
      <c r="AK691" s="20"/>
      <c r="AL691" s="20">
        <v>688</v>
      </c>
      <c r="AM691" s="20">
        <f t="shared" si="143"/>
        <v>82528</v>
      </c>
      <c r="AN691" s="7" t="s">
        <v>176</v>
      </c>
      <c r="AO691" s="20"/>
      <c r="AP691" s="21" t="s">
        <v>1055</v>
      </c>
      <c r="AQ691" s="21"/>
      <c r="AR691" s="5" t="s">
        <v>68</v>
      </c>
      <c r="AS691" s="5" t="s">
        <v>69</v>
      </c>
      <c r="AT691" s="5" t="s">
        <v>59</v>
      </c>
    </row>
    <row r="692" spans="1:46">
      <c r="A692" s="86" t="s">
        <v>318</v>
      </c>
      <c r="B692" s="5">
        <v>15000197</v>
      </c>
      <c r="C692" s="5" t="s">
        <v>1073</v>
      </c>
      <c r="D692" s="5" t="s">
        <v>360</v>
      </c>
      <c r="E692" s="5" t="s">
        <v>52</v>
      </c>
      <c r="F692" s="5" t="s">
        <v>62</v>
      </c>
      <c r="G692" s="5" t="s">
        <v>79</v>
      </c>
      <c r="H692" s="5" t="s">
        <v>80</v>
      </c>
      <c r="I692" s="6">
        <v>38607</v>
      </c>
      <c r="J692" s="5" t="s">
        <v>377</v>
      </c>
      <c r="K692" s="5" t="s">
        <v>456</v>
      </c>
      <c r="L692" s="5" t="s">
        <v>324</v>
      </c>
      <c r="M692" s="7">
        <v>6</v>
      </c>
      <c r="N692" s="7" t="s">
        <v>176</v>
      </c>
      <c r="O692" s="87">
        <v>6663</v>
      </c>
      <c r="P692" s="88">
        <v>0.02</v>
      </c>
      <c r="Q692" s="89">
        <f t="shared" si="131"/>
        <v>133</v>
      </c>
      <c r="R692" s="88">
        <v>5.0000000000000001E-3</v>
      </c>
      <c r="S692" s="89">
        <f t="shared" si="132"/>
        <v>33</v>
      </c>
      <c r="T692" s="88">
        <f t="shared" si="133"/>
        <v>2.4913702536395018E-2</v>
      </c>
      <c r="U692" s="89">
        <f t="shared" si="134"/>
        <v>166</v>
      </c>
      <c r="V692" s="89">
        <f t="shared" si="135"/>
        <v>6829</v>
      </c>
      <c r="W692" s="90">
        <v>6830</v>
      </c>
      <c r="X692" s="91">
        <f t="shared" si="136"/>
        <v>167</v>
      </c>
      <c r="Y692" s="92">
        <f t="shared" si="137"/>
        <v>2.5100000000000001E-2</v>
      </c>
      <c r="Z692" s="93" t="str">
        <f t="shared" si="144"/>
        <v>0.00%-8.40%</v>
      </c>
      <c r="AA692" s="94"/>
      <c r="AB692" s="94"/>
      <c r="AC692" s="94"/>
      <c r="AD692" s="95"/>
      <c r="AE692" s="87">
        <f t="shared" si="139"/>
        <v>0</v>
      </c>
      <c r="AF692" s="96">
        <f t="shared" si="140"/>
        <v>6830</v>
      </c>
      <c r="AG692" s="18">
        <f t="shared" si="141"/>
        <v>167</v>
      </c>
      <c r="AH692" s="97">
        <f t="shared" si="142"/>
        <v>2.5063785081794965E-2</v>
      </c>
      <c r="AI692" s="20">
        <v>13.6</v>
      </c>
      <c r="AJ692" s="20">
        <v>500</v>
      </c>
      <c r="AK692" s="20"/>
      <c r="AL692" s="20">
        <v>688</v>
      </c>
      <c r="AM692" s="20">
        <f t="shared" si="143"/>
        <v>99576</v>
      </c>
      <c r="AN692" s="7" t="s">
        <v>176</v>
      </c>
      <c r="AO692" s="20"/>
      <c r="AP692" s="21" t="s">
        <v>1056</v>
      </c>
      <c r="AQ692" s="21"/>
      <c r="AR692" s="5" t="s">
        <v>68</v>
      </c>
      <c r="AS692" s="5" t="s">
        <v>69</v>
      </c>
      <c r="AT692" s="5" t="s">
        <v>59</v>
      </c>
    </row>
    <row r="693" spans="1:46">
      <c r="A693" s="86" t="s">
        <v>318</v>
      </c>
      <c r="B693" s="5">
        <v>15021575</v>
      </c>
      <c r="C693" s="5" t="s">
        <v>1074</v>
      </c>
      <c r="D693" s="5" t="s">
        <v>321</v>
      </c>
      <c r="E693" s="5" t="s">
        <v>52</v>
      </c>
      <c r="F693" s="5" t="s">
        <v>62</v>
      </c>
      <c r="G693" s="5" t="s">
        <v>64</v>
      </c>
      <c r="H693" s="5" t="s">
        <v>1047</v>
      </c>
      <c r="I693" s="6">
        <v>44531</v>
      </c>
      <c r="J693" s="5" t="s">
        <v>336</v>
      </c>
      <c r="K693" s="5" t="s">
        <v>336</v>
      </c>
      <c r="L693" s="5" t="s">
        <v>324</v>
      </c>
      <c r="M693" s="7">
        <v>6</v>
      </c>
      <c r="N693" s="7" t="s">
        <v>176</v>
      </c>
      <c r="O693" s="87">
        <v>4568</v>
      </c>
      <c r="P693" s="88">
        <v>0.02</v>
      </c>
      <c r="Q693" s="89">
        <f t="shared" si="131"/>
        <v>91</v>
      </c>
      <c r="R693" s="88">
        <v>5.0000000000000001E-3</v>
      </c>
      <c r="S693" s="89">
        <f t="shared" si="132"/>
        <v>23</v>
      </c>
      <c r="T693" s="88">
        <f t="shared" si="133"/>
        <v>2.4956217162872153E-2</v>
      </c>
      <c r="U693" s="89">
        <f t="shared" si="134"/>
        <v>114</v>
      </c>
      <c r="V693" s="89">
        <f t="shared" si="135"/>
        <v>4682</v>
      </c>
      <c r="W693" s="90">
        <v>4670</v>
      </c>
      <c r="X693" s="91">
        <f t="shared" si="136"/>
        <v>102</v>
      </c>
      <c r="Y693" s="92">
        <f t="shared" si="137"/>
        <v>2.23E-2</v>
      </c>
      <c r="Z693" s="93" t="str">
        <f t="shared" si="144"/>
        <v>0.00%-8.40%</v>
      </c>
      <c r="AA693" s="94"/>
      <c r="AB693" s="94"/>
      <c r="AC693" s="94"/>
      <c r="AD693" s="95"/>
      <c r="AE693" s="87">
        <f t="shared" si="139"/>
        <v>0</v>
      </c>
      <c r="AF693" s="96">
        <f t="shared" si="140"/>
        <v>4670</v>
      </c>
      <c r="AG693" s="18">
        <f t="shared" si="141"/>
        <v>102</v>
      </c>
      <c r="AH693" s="97">
        <f t="shared" si="142"/>
        <v>2.2329246935201441E-2</v>
      </c>
      <c r="AI693" s="20">
        <v>13.6</v>
      </c>
      <c r="AJ693" s="20">
        <v>450</v>
      </c>
      <c r="AK693" s="20"/>
      <c r="AL693" s="20">
        <v>688</v>
      </c>
      <c r="AM693" s="20">
        <f t="shared" si="143"/>
        <v>69600</v>
      </c>
      <c r="AN693" s="7" t="s">
        <v>176</v>
      </c>
      <c r="AO693" s="20"/>
      <c r="AP693" s="21" t="s">
        <v>1056</v>
      </c>
      <c r="AQ693" s="21"/>
      <c r="AR693" s="5" t="s">
        <v>68</v>
      </c>
      <c r="AS693" s="5" t="s">
        <v>69</v>
      </c>
      <c r="AT693" s="5" t="s">
        <v>59</v>
      </c>
    </row>
    <row r="694" spans="1:46">
      <c r="A694" s="86" t="s">
        <v>318</v>
      </c>
      <c r="B694" s="5">
        <v>15013168</v>
      </c>
      <c r="C694" s="5" t="s">
        <v>1075</v>
      </c>
      <c r="D694" s="5" t="s">
        <v>321</v>
      </c>
      <c r="E694" s="5" t="s">
        <v>52</v>
      </c>
      <c r="F694" s="5" t="s">
        <v>62</v>
      </c>
      <c r="G694" s="5" t="s">
        <v>64</v>
      </c>
      <c r="H694" s="5" t="s">
        <v>1047</v>
      </c>
      <c r="I694" s="6">
        <v>41974</v>
      </c>
      <c r="J694" s="5" t="s">
        <v>336</v>
      </c>
      <c r="K694" s="5" t="s">
        <v>336</v>
      </c>
      <c r="L694" s="5" t="s">
        <v>324</v>
      </c>
      <c r="M694" s="7">
        <v>6</v>
      </c>
      <c r="N694" s="7" t="s">
        <v>176</v>
      </c>
      <c r="O694" s="87">
        <v>5010</v>
      </c>
      <c r="P694" s="88">
        <v>0.02</v>
      </c>
      <c r="Q694" s="89">
        <f t="shared" si="131"/>
        <v>100</v>
      </c>
      <c r="R694" s="88">
        <v>5.0000000000000001E-3</v>
      </c>
      <c r="S694" s="89">
        <f t="shared" si="132"/>
        <v>25</v>
      </c>
      <c r="T694" s="88">
        <f t="shared" si="133"/>
        <v>2.4950099800399202E-2</v>
      </c>
      <c r="U694" s="89">
        <f t="shared" si="134"/>
        <v>125</v>
      </c>
      <c r="V694" s="89">
        <f t="shared" si="135"/>
        <v>5135</v>
      </c>
      <c r="W694" s="90">
        <v>5120</v>
      </c>
      <c r="X694" s="91">
        <f t="shared" si="136"/>
        <v>110</v>
      </c>
      <c r="Y694" s="92">
        <f t="shared" si="137"/>
        <v>2.1999999999999999E-2</v>
      </c>
      <c r="Z694" s="93" t="str">
        <f t="shared" si="144"/>
        <v>0.00%-8.40%</v>
      </c>
      <c r="AA694" s="94"/>
      <c r="AB694" s="94"/>
      <c r="AC694" s="94"/>
      <c r="AD694" s="95"/>
      <c r="AE694" s="87">
        <f t="shared" si="139"/>
        <v>0</v>
      </c>
      <c r="AF694" s="96">
        <f t="shared" si="140"/>
        <v>5120</v>
      </c>
      <c r="AG694" s="18">
        <f t="shared" si="141"/>
        <v>110</v>
      </c>
      <c r="AH694" s="97">
        <f t="shared" si="142"/>
        <v>2.1956087824351211E-2</v>
      </c>
      <c r="AI694" s="20">
        <v>13.6</v>
      </c>
      <c r="AJ694" s="20">
        <v>700</v>
      </c>
      <c r="AK694" s="20"/>
      <c r="AL694" s="20">
        <v>688</v>
      </c>
      <c r="AM694" s="20">
        <f t="shared" si="143"/>
        <v>78720</v>
      </c>
      <c r="AN694" s="7" t="s">
        <v>176</v>
      </c>
      <c r="AO694" s="20"/>
      <c r="AP694" s="21" t="s">
        <v>1056</v>
      </c>
      <c r="AQ694" s="21"/>
      <c r="AR694" s="5" t="s">
        <v>68</v>
      </c>
      <c r="AS694" s="5" t="s">
        <v>69</v>
      </c>
      <c r="AT694" s="5" t="s">
        <v>59</v>
      </c>
    </row>
    <row r="695" spans="1:46">
      <c r="A695" s="86" t="s">
        <v>318</v>
      </c>
      <c r="B695" s="5">
        <v>15000668</v>
      </c>
      <c r="C695" s="5" t="s">
        <v>1076</v>
      </c>
      <c r="D695" s="5" t="s">
        <v>360</v>
      </c>
      <c r="E695" s="5" t="s">
        <v>52</v>
      </c>
      <c r="F695" s="5" t="s">
        <v>62</v>
      </c>
      <c r="G695" s="5" t="s">
        <v>79</v>
      </c>
      <c r="H695" s="5" t="s">
        <v>80</v>
      </c>
      <c r="I695" s="6">
        <v>38978</v>
      </c>
      <c r="J695" s="5" t="s">
        <v>377</v>
      </c>
      <c r="K695" s="5" t="s">
        <v>1077</v>
      </c>
      <c r="L695" s="5" t="s">
        <v>324</v>
      </c>
      <c r="M695" s="7">
        <v>6</v>
      </c>
      <c r="N695" s="7" t="s">
        <v>176</v>
      </c>
      <c r="O695" s="87">
        <v>10300</v>
      </c>
      <c r="P695" s="88">
        <v>0.02</v>
      </c>
      <c r="Q695" s="89">
        <f t="shared" si="131"/>
        <v>206</v>
      </c>
      <c r="R695" s="88">
        <v>5.0000000000000001E-3</v>
      </c>
      <c r="S695" s="89">
        <f t="shared" si="132"/>
        <v>52</v>
      </c>
      <c r="T695" s="88">
        <f t="shared" si="133"/>
        <v>2.5048543689320388E-2</v>
      </c>
      <c r="U695" s="89">
        <f t="shared" si="134"/>
        <v>258</v>
      </c>
      <c r="V695" s="89">
        <f t="shared" si="135"/>
        <v>10558</v>
      </c>
      <c r="W695" s="90">
        <v>10516</v>
      </c>
      <c r="X695" s="91">
        <f t="shared" si="136"/>
        <v>216</v>
      </c>
      <c r="Y695" s="92">
        <f t="shared" si="137"/>
        <v>2.1000000000000001E-2</v>
      </c>
      <c r="Z695" s="93" t="str">
        <f t="shared" si="144"/>
        <v>0.00%-8.40%</v>
      </c>
      <c r="AA695" s="94"/>
      <c r="AB695" s="94"/>
      <c r="AC695" s="94"/>
      <c r="AD695" s="95"/>
      <c r="AE695" s="87">
        <f t="shared" si="139"/>
        <v>0</v>
      </c>
      <c r="AF695" s="96">
        <f t="shared" si="140"/>
        <v>10516</v>
      </c>
      <c r="AG695" s="18">
        <f t="shared" si="141"/>
        <v>216</v>
      </c>
      <c r="AH695" s="97">
        <f t="shared" si="142"/>
        <v>2.0970873786407829E-2</v>
      </c>
      <c r="AI695" s="20">
        <v>13.6</v>
      </c>
      <c r="AJ695" s="20">
        <v>500</v>
      </c>
      <c r="AK695" s="20"/>
      <c r="AL695" s="20">
        <v>688</v>
      </c>
      <c r="AM695" s="20">
        <f t="shared" si="143"/>
        <v>149705.60000000001</v>
      </c>
      <c r="AN695" s="7" t="s">
        <v>176</v>
      </c>
      <c r="AO695" s="20"/>
      <c r="AP695" s="21" t="s">
        <v>1056</v>
      </c>
      <c r="AQ695" s="21"/>
      <c r="AR695" s="5" t="s">
        <v>68</v>
      </c>
      <c r="AS695" s="5" t="s">
        <v>69</v>
      </c>
      <c r="AT695" s="5" t="s">
        <v>59</v>
      </c>
    </row>
    <row r="696" spans="1:46">
      <c r="A696" s="86" t="s">
        <v>318</v>
      </c>
      <c r="B696" s="5">
        <v>15001829</v>
      </c>
      <c r="C696" s="5" t="s">
        <v>1078</v>
      </c>
      <c r="D696" s="5" t="s">
        <v>321</v>
      </c>
      <c r="E696" s="5" t="s">
        <v>52</v>
      </c>
      <c r="F696" s="5" t="s">
        <v>62</v>
      </c>
      <c r="G696" s="5" t="s">
        <v>64</v>
      </c>
      <c r="H696" s="5" t="s">
        <v>1050</v>
      </c>
      <c r="I696" s="6">
        <v>39651</v>
      </c>
      <c r="J696" s="5" t="s">
        <v>336</v>
      </c>
      <c r="K696" s="5" t="s">
        <v>336</v>
      </c>
      <c r="L696" s="5" t="s">
        <v>324</v>
      </c>
      <c r="M696" s="7">
        <v>6</v>
      </c>
      <c r="N696" s="7" t="s">
        <v>176</v>
      </c>
      <c r="O696" s="87">
        <v>6538</v>
      </c>
      <c r="P696" s="88">
        <v>0.02</v>
      </c>
      <c r="Q696" s="89">
        <f t="shared" si="131"/>
        <v>131</v>
      </c>
      <c r="R696" s="88">
        <v>5.0000000000000001E-3</v>
      </c>
      <c r="S696" s="89">
        <f t="shared" si="132"/>
        <v>33</v>
      </c>
      <c r="T696" s="88">
        <f t="shared" si="133"/>
        <v>2.5084123585194251E-2</v>
      </c>
      <c r="U696" s="89">
        <f t="shared" si="134"/>
        <v>164</v>
      </c>
      <c r="V696" s="89">
        <f t="shared" si="135"/>
        <v>6702</v>
      </c>
      <c r="W696" s="90">
        <v>6685</v>
      </c>
      <c r="X696" s="91">
        <f t="shared" si="136"/>
        <v>147</v>
      </c>
      <c r="Y696" s="92">
        <f t="shared" si="137"/>
        <v>2.2499999999999999E-2</v>
      </c>
      <c r="Z696" s="93" t="str">
        <f t="shared" si="144"/>
        <v>0.00%-8.40%</v>
      </c>
      <c r="AA696" s="94"/>
      <c r="AB696" s="94"/>
      <c r="AC696" s="94"/>
      <c r="AD696" s="95"/>
      <c r="AE696" s="87">
        <f t="shared" si="139"/>
        <v>0</v>
      </c>
      <c r="AF696" s="96">
        <f t="shared" si="140"/>
        <v>6685</v>
      </c>
      <c r="AG696" s="18">
        <f t="shared" si="141"/>
        <v>147</v>
      </c>
      <c r="AH696" s="97">
        <f t="shared" si="142"/>
        <v>2.24839400428265E-2</v>
      </c>
      <c r="AI696" s="20">
        <v>13.6</v>
      </c>
      <c r="AJ696" s="20">
        <v>800</v>
      </c>
      <c r="AK696" s="20"/>
      <c r="AL696" s="20">
        <v>688</v>
      </c>
      <c r="AM696" s="20">
        <f t="shared" si="143"/>
        <v>101204</v>
      </c>
      <c r="AN696" s="7" t="s">
        <v>176</v>
      </c>
      <c r="AO696" s="20"/>
      <c r="AP696" s="21" t="s">
        <v>1056</v>
      </c>
      <c r="AQ696" s="21"/>
      <c r="AR696" s="5" t="s">
        <v>68</v>
      </c>
      <c r="AS696" s="5" t="s">
        <v>69</v>
      </c>
      <c r="AT696" s="5" t="s">
        <v>59</v>
      </c>
    </row>
    <row r="697" spans="1:46">
      <c r="A697" s="86" t="s">
        <v>318</v>
      </c>
      <c r="B697" s="5">
        <v>15015077</v>
      </c>
      <c r="C697" s="5" t="s">
        <v>1079</v>
      </c>
      <c r="D697" s="5" t="s">
        <v>321</v>
      </c>
      <c r="E697" s="5" t="s">
        <v>52</v>
      </c>
      <c r="F697" s="5" t="s">
        <v>62</v>
      </c>
      <c r="G697" s="5" t="s">
        <v>64</v>
      </c>
      <c r="H697" s="5" t="s">
        <v>1053</v>
      </c>
      <c r="I697" s="6">
        <v>42644</v>
      </c>
      <c r="J697" s="5" t="s">
        <v>336</v>
      </c>
      <c r="K697" s="5" t="s">
        <v>336</v>
      </c>
      <c r="L697" s="5" t="s">
        <v>324</v>
      </c>
      <c r="M697" s="7">
        <v>6</v>
      </c>
      <c r="N697" s="7" t="s">
        <v>176</v>
      </c>
      <c r="O697" s="87">
        <v>4613</v>
      </c>
      <c r="P697" s="88">
        <v>0.02</v>
      </c>
      <c r="Q697" s="89">
        <f t="shared" si="131"/>
        <v>92</v>
      </c>
      <c r="R697" s="88">
        <v>5.0000000000000001E-3</v>
      </c>
      <c r="S697" s="89">
        <f t="shared" si="132"/>
        <v>23</v>
      </c>
      <c r="T697" s="88">
        <f t="shared" si="133"/>
        <v>2.4929546932581835E-2</v>
      </c>
      <c r="U697" s="89">
        <f t="shared" si="134"/>
        <v>115</v>
      </c>
      <c r="V697" s="89">
        <f t="shared" si="135"/>
        <v>4728</v>
      </c>
      <c r="W697" s="90">
        <v>4716</v>
      </c>
      <c r="X697" s="91">
        <f t="shared" si="136"/>
        <v>103</v>
      </c>
      <c r="Y697" s="92">
        <f t="shared" si="137"/>
        <v>2.23E-2</v>
      </c>
      <c r="Z697" s="93" t="str">
        <f t="shared" si="144"/>
        <v>0.00%-8.40%</v>
      </c>
      <c r="AA697" s="94"/>
      <c r="AB697" s="94"/>
      <c r="AC697" s="94"/>
      <c r="AD697" s="95"/>
      <c r="AE697" s="87">
        <f t="shared" si="139"/>
        <v>0</v>
      </c>
      <c r="AF697" s="96">
        <f t="shared" si="140"/>
        <v>4716</v>
      </c>
      <c r="AG697" s="18">
        <f t="shared" si="141"/>
        <v>103</v>
      </c>
      <c r="AH697" s="97">
        <f t="shared" si="142"/>
        <v>2.2328202904834171E-2</v>
      </c>
      <c r="AI697" s="20">
        <v>13.6</v>
      </c>
      <c r="AJ697" s="20">
        <v>500</v>
      </c>
      <c r="AK697" s="20"/>
      <c r="AL697" s="20">
        <v>688</v>
      </c>
      <c r="AM697" s="20">
        <f t="shared" si="143"/>
        <v>70825.600000000006</v>
      </c>
      <c r="AN697" s="7" t="s">
        <v>176</v>
      </c>
      <c r="AO697" s="20"/>
      <c r="AP697" s="21" t="s">
        <v>1056</v>
      </c>
      <c r="AQ697" s="21"/>
      <c r="AR697" s="5" t="s">
        <v>68</v>
      </c>
      <c r="AS697" s="5" t="s">
        <v>69</v>
      </c>
      <c r="AT697" s="5" t="s">
        <v>59</v>
      </c>
    </row>
    <row r="698" spans="1:46">
      <c r="A698" s="86" t="s">
        <v>318</v>
      </c>
      <c r="B698" s="5">
        <v>15016025</v>
      </c>
      <c r="C698" s="5" t="s">
        <v>940</v>
      </c>
      <c r="D698" s="5" t="s">
        <v>321</v>
      </c>
      <c r="E698" s="5" t="s">
        <v>52</v>
      </c>
      <c r="F698" s="5" t="s">
        <v>62</v>
      </c>
      <c r="G698" s="5" t="s">
        <v>64</v>
      </c>
      <c r="H698" s="5" t="s">
        <v>1053</v>
      </c>
      <c r="I698" s="6">
        <v>42690</v>
      </c>
      <c r="J698" s="5" t="s">
        <v>336</v>
      </c>
      <c r="K698" s="5" t="s">
        <v>336</v>
      </c>
      <c r="L698" s="5" t="s">
        <v>324</v>
      </c>
      <c r="M698" s="7">
        <v>6</v>
      </c>
      <c r="N698" s="7" t="s">
        <v>176</v>
      </c>
      <c r="O698" s="87">
        <v>4898</v>
      </c>
      <c r="P698" s="88">
        <v>0.02</v>
      </c>
      <c r="Q698" s="89">
        <f t="shared" si="131"/>
        <v>98</v>
      </c>
      <c r="R698" s="88">
        <v>5.0000000000000001E-3</v>
      </c>
      <c r="S698" s="89">
        <f t="shared" si="132"/>
        <v>24</v>
      </c>
      <c r="T698" s="88">
        <f t="shared" si="133"/>
        <v>2.490812576561862E-2</v>
      </c>
      <c r="U698" s="89">
        <f t="shared" si="134"/>
        <v>122</v>
      </c>
      <c r="V698" s="89">
        <f t="shared" si="135"/>
        <v>5020</v>
      </c>
      <c r="W698" s="90">
        <v>5000</v>
      </c>
      <c r="X698" s="91">
        <f t="shared" si="136"/>
        <v>102</v>
      </c>
      <c r="Y698" s="92">
        <f t="shared" si="137"/>
        <v>2.0799999999999999E-2</v>
      </c>
      <c r="Z698" s="93" t="str">
        <f t="shared" si="144"/>
        <v>0.00%-8.40%</v>
      </c>
      <c r="AA698" s="94"/>
      <c r="AB698" s="94"/>
      <c r="AC698" s="94"/>
      <c r="AD698" s="95"/>
      <c r="AE698" s="87">
        <f t="shared" si="139"/>
        <v>0</v>
      </c>
      <c r="AF698" s="96">
        <f t="shared" si="140"/>
        <v>5000</v>
      </c>
      <c r="AG698" s="18">
        <f t="shared" si="141"/>
        <v>102</v>
      </c>
      <c r="AH698" s="97">
        <f t="shared" si="142"/>
        <v>2.0824826459779455E-2</v>
      </c>
      <c r="AI698" s="20">
        <v>13.6</v>
      </c>
      <c r="AJ698" s="20">
        <v>800</v>
      </c>
      <c r="AK698" s="20"/>
      <c r="AL698" s="20">
        <v>688</v>
      </c>
      <c r="AM698" s="20">
        <f t="shared" si="143"/>
        <v>78288</v>
      </c>
      <c r="AN698" s="7" t="s">
        <v>176</v>
      </c>
      <c r="AO698" s="20"/>
      <c r="AP698" s="21" t="s">
        <v>1056</v>
      </c>
      <c r="AQ698" s="21"/>
      <c r="AR698" s="5" t="s">
        <v>68</v>
      </c>
      <c r="AS698" s="5" t="s">
        <v>69</v>
      </c>
      <c r="AT698" s="5" t="s">
        <v>59</v>
      </c>
    </row>
    <row r="699" spans="1:46">
      <c r="A699" s="86" t="s">
        <v>318</v>
      </c>
      <c r="B699" s="5">
        <v>15013243</v>
      </c>
      <c r="C699" s="5" t="s">
        <v>1080</v>
      </c>
      <c r="D699" s="5" t="s">
        <v>321</v>
      </c>
      <c r="E699" s="5" t="s">
        <v>52</v>
      </c>
      <c r="F699" s="5" t="s">
        <v>62</v>
      </c>
      <c r="G699" s="5" t="s">
        <v>64</v>
      </c>
      <c r="H699" s="5" t="s">
        <v>1050</v>
      </c>
      <c r="I699" s="6">
        <v>41883</v>
      </c>
      <c r="J699" s="5" t="s">
        <v>336</v>
      </c>
      <c r="K699" s="5" t="s">
        <v>336</v>
      </c>
      <c r="L699" s="5" t="s">
        <v>324</v>
      </c>
      <c r="M699" s="7">
        <v>6</v>
      </c>
      <c r="N699" s="7" t="s">
        <v>176</v>
      </c>
      <c r="O699" s="87">
        <v>4445</v>
      </c>
      <c r="P699" s="88">
        <v>0.02</v>
      </c>
      <c r="Q699" s="89">
        <f t="shared" si="131"/>
        <v>89</v>
      </c>
      <c r="R699" s="88">
        <v>5.0000000000000001E-3</v>
      </c>
      <c r="S699" s="89">
        <f t="shared" si="132"/>
        <v>22</v>
      </c>
      <c r="T699" s="88">
        <f t="shared" si="133"/>
        <v>2.4971878515185602E-2</v>
      </c>
      <c r="U699" s="89">
        <f t="shared" si="134"/>
        <v>111</v>
      </c>
      <c r="V699" s="89">
        <f t="shared" si="135"/>
        <v>4556</v>
      </c>
      <c r="W699" s="90">
        <v>4600</v>
      </c>
      <c r="X699" s="91">
        <f t="shared" si="136"/>
        <v>155</v>
      </c>
      <c r="Y699" s="92">
        <f t="shared" si="137"/>
        <v>3.49E-2</v>
      </c>
      <c r="Z699" s="93" t="str">
        <f t="shared" si="144"/>
        <v>0.00%-8.40%</v>
      </c>
      <c r="AA699" s="94"/>
      <c r="AB699" s="94"/>
      <c r="AC699" s="94"/>
      <c r="AD699" s="95"/>
      <c r="AE699" s="87">
        <f t="shared" si="139"/>
        <v>0</v>
      </c>
      <c r="AF699" s="96">
        <f t="shared" si="140"/>
        <v>4600</v>
      </c>
      <c r="AG699" s="18">
        <f t="shared" si="141"/>
        <v>155</v>
      </c>
      <c r="AH699" s="97">
        <f t="shared" si="142"/>
        <v>3.4870641169853833E-2</v>
      </c>
      <c r="AI699" s="20">
        <v>13.6</v>
      </c>
      <c r="AJ699" s="20">
        <v>800</v>
      </c>
      <c r="AK699" s="20"/>
      <c r="AL699" s="20">
        <v>688</v>
      </c>
      <c r="AM699" s="20">
        <f t="shared" si="143"/>
        <v>72848</v>
      </c>
      <c r="AN699" s="7" t="s">
        <v>176</v>
      </c>
      <c r="AO699" s="20"/>
      <c r="AP699" s="21" t="s">
        <v>1055</v>
      </c>
      <c r="AQ699" s="21"/>
      <c r="AR699" s="5" t="s">
        <v>68</v>
      </c>
      <c r="AS699" s="5" t="s">
        <v>69</v>
      </c>
      <c r="AT699" s="5" t="s">
        <v>59</v>
      </c>
    </row>
    <row r="700" spans="1:46">
      <c r="A700" s="86" t="s">
        <v>318</v>
      </c>
      <c r="B700" s="5">
        <v>15014329</v>
      </c>
      <c r="C700" s="5" t="s">
        <v>1081</v>
      </c>
      <c r="D700" s="5" t="s">
        <v>321</v>
      </c>
      <c r="E700" s="5" t="s">
        <v>52</v>
      </c>
      <c r="F700" s="5" t="s">
        <v>62</v>
      </c>
      <c r="G700" s="5" t="s">
        <v>64</v>
      </c>
      <c r="H700" s="5" t="s">
        <v>1050</v>
      </c>
      <c r="I700" s="6">
        <v>42217</v>
      </c>
      <c r="J700" s="5" t="s">
        <v>336</v>
      </c>
      <c r="K700" s="5" t="s">
        <v>336</v>
      </c>
      <c r="L700" s="5" t="s">
        <v>324</v>
      </c>
      <c r="M700" s="7">
        <v>6</v>
      </c>
      <c r="N700" s="7" t="s">
        <v>176</v>
      </c>
      <c r="O700" s="87">
        <v>4672</v>
      </c>
      <c r="P700" s="88">
        <v>0.02</v>
      </c>
      <c r="Q700" s="89">
        <f t="shared" si="131"/>
        <v>93</v>
      </c>
      <c r="R700" s="88">
        <v>5.0000000000000001E-3</v>
      </c>
      <c r="S700" s="89">
        <f t="shared" si="132"/>
        <v>23</v>
      </c>
      <c r="T700" s="88">
        <f t="shared" si="133"/>
        <v>2.482876712328767E-2</v>
      </c>
      <c r="U700" s="89">
        <f t="shared" si="134"/>
        <v>116</v>
      </c>
      <c r="V700" s="89">
        <f t="shared" si="135"/>
        <v>4788</v>
      </c>
      <c r="W700" s="90">
        <v>4778</v>
      </c>
      <c r="X700" s="91">
        <f t="shared" si="136"/>
        <v>106</v>
      </c>
      <c r="Y700" s="92">
        <f t="shared" si="137"/>
        <v>2.2700000000000001E-2</v>
      </c>
      <c r="Z700" s="93" t="str">
        <f t="shared" si="144"/>
        <v>0.00%-8.40%</v>
      </c>
      <c r="AA700" s="94"/>
      <c r="AB700" s="94"/>
      <c r="AC700" s="94"/>
      <c r="AD700" s="95"/>
      <c r="AE700" s="87">
        <f t="shared" si="139"/>
        <v>0</v>
      </c>
      <c r="AF700" s="96">
        <f t="shared" si="140"/>
        <v>4778</v>
      </c>
      <c r="AG700" s="18">
        <f t="shared" si="141"/>
        <v>106</v>
      </c>
      <c r="AH700" s="97">
        <f t="shared" si="142"/>
        <v>2.2688356164383583E-2</v>
      </c>
      <c r="AI700" s="20">
        <v>13.6</v>
      </c>
      <c r="AJ700" s="20">
        <v>700</v>
      </c>
      <c r="AK700" s="20"/>
      <c r="AL700" s="20">
        <v>688</v>
      </c>
      <c r="AM700" s="20">
        <f t="shared" si="143"/>
        <v>74068.799999999988</v>
      </c>
      <c r="AN700" s="7" t="s">
        <v>176</v>
      </c>
      <c r="AO700" s="20"/>
      <c r="AP700" s="21" t="s">
        <v>1056</v>
      </c>
      <c r="AQ700" s="21"/>
      <c r="AR700" s="5" t="s">
        <v>68</v>
      </c>
      <c r="AS700" s="5" t="s">
        <v>69</v>
      </c>
      <c r="AT700" s="5" t="s">
        <v>59</v>
      </c>
    </row>
    <row r="701" spans="1:46">
      <c r="A701" s="86" t="s">
        <v>318</v>
      </c>
      <c r="B701" s="5">
        <v>15017584</v>
      </c>
      <c r="C701" s="5" t="s">
        <v>1082</v>
      </c>
      <c r="D701" s="5" t="s">
        <v>321</v>
      </c>
      <c r="E701" s="5" t="s">
        <v>52</v>
      </c>
      <c r="F701" s="5" t="s">
        <v>62</v>
      </c>
      <c r="G701" s="5" t="s">
        <v>64</v>
      </c>
      <c r="H701" s="5" t="s">
        <v>1047</v>
      </c>
      <c r="I701" s="6">
        <v>43132</v>
      </c>
      <c r="J701" s="5" t="s">
        <v>336</v>
      </c>
      <c r="K701" s="5" t="s">
        <v>336</v>
      </c>
      <c r="L701" s="5" t="s">
        <v>324</v>
      </c>
      <c r="M701" s="7">
        <v>6</v>
      </c>
      <c r="N701" s="7" t="s">
        <v>176</v>
      </c>
      <c r="O701" s="87">
        <v>4402</v>
      </c>
      <c r="P701" s="88">
        <v>0.02</v>
      </c>
      <c r="Q701" s="89">
        <f t="shared" si="131"/>
        <v>88</v>
      </c>
      <c r="R701" s="88">
        <v>5.0000000000000001E-3</v>
      </c>
      <c r="S701" s="89">
        <f t="shared" si="132"/>
        <v>22</v>
      </c>
      <c r="T701" s="88">
        <f t="shared" si="133"/>
        <v>2.4988641526578828E-2</v>
      </c>
      <c r="U701" s="89">
        <f t="shared" si="134"/>
        <v>110</v>
      </c>
      <c r="V701" s="89">
        <f t="shared" si="135"/>
        <v>4512</v>
      </c>
      <c r="W701" s="90">
        <v>4500</v>
      </c>
      <c r="X701" s="91">
        <f t="shared" si="136"/>
        <v>98</v>
      </c>
      <c r="Y701" s="92">
        <f t="shared" si="137"/>
        <v>2.23E-2</v>
      </c>
      <c r="Z701" s="93" t="str">
        <f t="shared" si="144"/>
        <v>0.00%-8.40%</v>
      </c>
      <c r="AA701" s="94"/>
      <c r="AB701" s="94"/>
      <c r="AC701" s="94"/>
      <c r="AD701" s="95"/>
      <c r="AE701" s="87">
        <f t="shared" si="139"/>
        <v>0</v>
      </c>
      <c r="AF701" s="96">
        <f t="shared" si="140"/>
        <v>4500</v>
      </c>
      <c r="AG701" s="18">
        <f t="shared" si="141"/>
        <v>98</v>
      </c>
      <c r="AH701" s="97">
        <f t="shared" si="142"/>
        <v>2.22626079054975E-2</v>
      </c>
      <c r="AI701" s="20">
        <v>13.6</v>
      </c>
      <c r="AJ701" s="20">
        <v>700</v>
      </c>
      <c r="AK701" s="20"/>
      <c r="AL701" s="20">
        <v>688</v>
      </c>
      <c r="AM701" s="20">
        <f t="shared" si="143"/>
        <v>70288</v>
      </c>
      <c r="AN701" s="7" t="s">
        <v>176</v>
      </c>
      <c r="AO701" s="20"/>
      <c r="AP701" s="21" t="s">
        <v>1056</v>
      </c>
      <c r="AQ701" s="21"/>
      <c r="AR701" s="5" t="s">
        <v>68</v>
      </c>
      <c r="AS701" s="5" t="s">
        <v>69</v>
      </c>
      <c r="AT701" s="5" t="s">
        <v>59</v>
      </c>
    </row>
    <row r="702" spans="1:46">
      <c r="A702" s="86" t="s">
        <v>318</v>
      </c>
      <c r="B702" s="5">
        <v>15006286</v>
      </c>
      <c r="C702" s="5" t="s">
        <v>1083</v>
      </c>
      <c r="D702" s="5" t="s">
        <v>321</v>
      </c>
      <c r="E702" s="5" t="s">
        <v>52</v>
      </c>
      <c r="F702" s="5" t="s">
        <v>62</v>
      </c>
      <c r="G702" s="5" t="s">
        <v>64</v>
      </c>
      <c r="H702" s="5" t="s">
        <v>1053</v>
      </c>
      <c r="I702" s="6">
        <v>40817</v>
      </c>
      <c r="J702" s="5" t="s">
        <v>336</v>
      </c>
      <c r="K702" s="5" t="s">
        <v>336</v>
      </c>
      <c r="L702" s="5" t="s">
        <v>324</v>
      </c>
      <c r="M702" s="7">
        <v>6</v>
      </c>
      <c r="N702" s="7" t="s">
        <v>176</v>
      </c>
      <c r="O702" s="87">
        <v>4674</v>
      </c>
      <c r="P702" s="88">
        <v>0.02</v>
      </c>
      <c r="Q702" s="89">
        <f t="shared" si="131"/>
        <v>93</v>
      </c>
      <c r="R702" s="88">
        <v>5.0000000000000001E-3</v>
      </c>
      <c r="S702" s="89">
        <f t="shared" si="132"/>
        <v>23</v>
      </c>
      <c r="T702" s="88">
        <f t="shared" si="133"/>
        <v>2.4818142918271287E-2</v>
      </c>
      <c r="U702" s="89">
        <f t="shared" si="134"/>
        <v>116</v>
      </c>
      <c r="V702" s="89">
        <f t="shared" si="135"/>
        <v>4790</v>
      </c>
      <c r="W702" s="90">
        <v>4766</v>
      </c>
      <c r="X702" s="91">
        <f t="shared" si="136"/>
        <v>92</v>
      </c>
      <c r="Y702" s="92">
        <f t="shared" si="137"/>
        <v>1.9699999999999999E-2</v>
      </c>
      <c r="Z702" s="93" t="str">
        <f t="shared" si="144"/>
        <v>0.00%-8.40%</v>
      </c>
      <c r="AA702" s="94"/>
      <c r="AB702" s="94"/>
      <c r="AC702" s="94"/>
      <c r="AD702" s="95"/>
      <c r="AE702" s="87">
        <f t="shared" si="139"/>
        <v>0</v>
      </c>
      <c r="AF702" s="96">
        <f t="shared" si="140"/>
        <v>4766</v>
      </c>
      <c r="AG702" s="18">
        <f t="shared" si="141"/>
        <v>92</v>
      </c>
      <c r="AH702" s="97">
        <f t="shared" si="142"/>
        <v>1.9683354728284197E-2</v>
      </c>
      <c r="AI702" s="20">
        <v>13.6</v>
      </c>
      <c r="AJ702" s="20">
        <v>500</v>
      </c>
      <c r="AK702" s="20"/>
      <c r="AL702" s="20">
        <v>688</v>
      </c>
      <c r="AM702" s="20">
        <f t="shared" si="143"/>
        <v>71505.600000000006</v>
      </c>
      <c r="AN702" s="7" t="s">
        <v>176</v>
      </c>
      <c r="AO702" s="20"/>
      <c r="AP702" s="21" t="s">
        <v>1051</v>
      </c>
      <c r="AQ702" s="21"/>
      <c r="AR702" s="5" t="s">
        <v>68</v>
      </c>
      <c r="AS702" s="5" t="s">
        <v>69</v>
      </c>
      <c r="AT702" s="5" t="s">
        <v>59</v>
      </c>
    </row>
    <row r="703" spans="1:46">
      <c r="A703" s="86" t="s">
        <v>318</v>
      </c>
      <c r="B703" s="5">
        <v>15015113</v>
      </c>
      <c r="C703" s="5" t="s">
        <v>1084</v>
      </c>
      <c r="D703" s="5" t="s">
        <v>321</v>
      </c>
      <c r="E703" s="5" t="s">
        <v>52</v>
      </c>
      <c r="F703" s="5" t="s">
        <v>62</v>
      </c>
      <c r="G703" s="5" t="s">
        <v>64</v>
      </c>
      <c r="H703" s="5" t="s">
        <v>1047</v>
      </c>
      <c r="I703" s="6">
        <v>42552</v>
      </c>
      <c r="J703" s="5" t="s">
        <v>336</v>
      </c>
      <c r="K703" s="5" t="s">
        <v>336</v>
      </c>
      <c r="L703" s="5" t="s">
        <v>324</v>
      </c>
      <c r="M703" s="7">
        <v>6</v>
      </c>
      <c r="N703" s="7" t="s">
        <v>176</v>
      </c>
      <c r="O703" s="87">
        <v>5301</v>
      </c>
      <c r="P703" s="88">
        <v>0.02</v>
      </c>
      <c r="Q703" s="89">
        <f t="shared" si="131"/>
        <v>106</v>
      </c>
      <c r="R703" s="88">
        <v>5.0000000000000001E-3</v>
      </c>
      <c r="S703" s="89">
        <f t="shared" si="132"/>
        <v>27</v>
      </c>
      <c r="T703" s="88">
        <f t="shared" si="133"/>
        <v>2.5089605734767026E-2</v>
      </c>
      <c r="U703" s="89">
        <f t="shared" si="134"/>
        <v>133</v>
      </c>
      <c r="V703" s="89">
        <f t="shared" si="135"/>
        <v>5434</v>
      </c>
      <c r="W703" s="90">
        <v>5380</v>
      </c>
      <c r="X703" s="91">
        <f t="shared" si="136"/>
        <v>79</v>
      </c>
      <c r="Y703" s="92">
        <f t="shared" si="137"/>
        <v>1.49E-2</v>
      </c>
      <c r="Z703" s="93" t="str">
        <f t="shared" si="144"/>
        <v>0.00%-8.40%</v>
      </c>
      <c r="AA703" s="94"/>
      <c r="AB703" s="94"/>
      <c r="AC703" s="94"/>
      <c r="AD703" s="95"/>
      <c r="AE703" s="87">
        <f t="shared" si="139"/>
        <v>0</v>
      </c>
      <c r="AF703" s="96">
        <f t="shared" si="140"/>
        <v>5380</v>
      </c>
      <c r="AG703" s="18">
        <f t="shared" si="141"/>
        <v>79</v>
      </c>
      <c r="AH703" s="97">
        <f t="shared" si="142"/>
        <v>1.490284851914736E-2</v>
      </c>
      <c r="AI703" s="20">
        <v>13.6</v>
      </c>
      <c r="AJ703" s="20">
        <v>450</v>
      </c>
      <c r="AK703" s="20"/>
      <c r="AL703" s="20">
        <v>688</v>
      </c>
      <c r="AM703" s="20">
        <f t="shared" si="143"/>
        <v>79256</v>
      </c>
      <c r="AN703" s="7" t="s">
        <v>176</v>
      </c>
      <c r="AO703" s="20"/>
      <c r="AP703" s="21" t="s">
        <v>1051</v>
      </c>
      <c r="AQ703" s="21"/>
      <c r="AR703" s="5" t="s">
        <v>68</v>
      </c>
      <c r="AS703" s="5" t="s">
        <v>69</v>
      </c>
      <c r="AT703" s="5" t="s">
        <v>59</v>
      </c>
    </row>
    <row r="704" spans="1:46">
      <c r="A704" s="86" t="s">
        <v>318</v>
      </c>
      <c r="B704" s="5">
        <v>15000217</v>
      </c>
      <c r="C704" s="5" t="s">
        <v>1085</v>
      </c>
      <c r="D704" s="5" t="s">
        <v>321</v>
      </c>
      <c r="E704" s="5" t="s">
        <v>52</v>
      </c>
      <c r="F704" s="5" t="s">
        <v>62</v>
      </c>
      <c r="G704" s="5" t="s">
        <v>64</v>
      </c>
      <c r="H704" s="5" t="s">
        <v>1050</v>
      </c>
      <c r="I704" s="6">
        <v>38608</v>
      </c>
      <c r="J704" s="5" t="s">
        <v>336</v>
      </c>
      <c r="K704" s="5" t="s">
        <v>336</v>
      </c>
      <c r="L704" s="5" t="s">
        <v>324</v>
      </c>
      <c r="M704" s="7">
        <v>6</v>
      </c>
      <c r="N704" s="7" t="s">
        <v>176</v>
      </c>
      <c r="O704" s="87">
        <v>5100</v>
      </c>
      <c r="P704" s="88">
        <v>0.02</v>
      </c>
      <c r="Q704" s="89">
        <f t="shared" si="131"/>
        <v>102</v>
      </c>
      <c r="R704" s="88">
        <v>5.0000000000000001E-3</v>
      </c>
      <c r="S704" s="89">
        <f t="shared" si="132"/>
        <v>26</v>
      </c>
      <c r="T704" s="88">
        <f t="shared" si="133"/>
        <v>2.5098039215686273E-2</v>
      </c>
      <c r="U704" s="89">
        <f t="shared" si="134"/>
        <v>128</v>
      </c>
      <c r="V704" s="89">
        <f t="shared" si="135"/>
        <v>5228</v>
      </c>
      <c r="W704" s="90">
        <v>5200</v>
      </c>
      <c r="X704" s="91">
        <f t="shared" si="136"/>
        <v>100</v>
      </c>
      <c r="Y704" s="92">
        <f t="shared" si="137"/>
        <v>1.9599999999999999E-2</v>
      </c>
      <c r="Z704" s="93" t="str">
        <f t="shared" si="144"/>
        <v>0.00%-8.40%</v>
      </c>
      <c r="AA704" s="94"/>
      <c r="AB704" s="94"/>
      <c r="AC704" s="94"/>
      <c r="AD704" s="95"/>
      <c r="AE704" s="87">
        <f t="shared" si="139"/>
        <v>0</v>
      </c>
      <c r="AF704" s="96">
        <f t="shared" si="140"/>
        <v>5200</v>
      </c>
      <c r="AG704" s="18">
        <f t="shared" si="141"/>
        <v>100</v>
      </c>
      <c r="AH704" s="97">
        <f t="shared" si="142"/>
        <v>1.9607843137254832E-2</v>
      </c>
      <c r="AI704" s="20">
        <v>13.6</v>
      </c>
      <c r="AJ704" s="20">
        <v>700</v>
      </c>
      <c r="AK704" s="20"/>
      <c r="AL704" s="20">
        <v>688</v>
      </c>
      <c r="AM704" s="20">
        <f t="shared" si="143"/>
        <v>79808</v>
      </c>
      <c r="AN704" s="7" t="s">
        <v>176</v>
      </c>
      <c r="AO704" s="20"/>
      <c r="AP704" s="21" t="s">
        <v>1051</v>
      </c>
      <c r="AQ704" s="21"/>
      <c r="AR704" s="5" t="s">
        <v>68</v>
      </c>
      <c r="AS704" s="5" t="s">
        <v>69</v>
      </c>
      <c r="AT704" s="5" t="s">
        <v>59</v>
      </c>
    </row>
    <row r="705" spans="1:46">
      <c r="A705" s="86" t="s">
        <v>318</v>
      </c>
      <c r="B705" s="5">
        <v>15013244</v>
      </c>
      <c r="C705" s="5" t="s">
        <v>1086</v>
      </c>
      <c r="D705" s="5" t="s">
        <v>321</v>
      </c>
      <c r="E705" s="5" t="s">
        <v>52</v>
      </c>
      <c r="F705" s="5" t="s">
        <v>62</v>
      </c>
      <c r="G705" s="5" t="s">
        <v>64</v>
      </c>
      <c r="H705" s="5" t="s">
        <v>1050</v>
      </c>
      <c r="I705" s="6">
        <v>41883</v>
      </c>
      <c r="J705" s="5" t="s">
        <v>336</v>
      </c>
      <c r="K705" s="5" t="s">
        <v>336</v>
      </c>
      <c r="L705" s="5" t="s">
        <v>324</v>
      </c>
      <c r="M705" s="7">
        <v>6</v>
      </c>
      <c r="N705" s="7" t="s">
        <v>176</v>
      </c>
      <c r="O705" s="87">
        <v>4608</v>
      </c>
      <c r="P705" s="88">
        <v>0.02</v>
      </c>
      <c r="Q705" s="89">
        <f t="shared" si="131"/>
        <v>92</v>
      </c>
      <c r="R705" s="88">
        <v>5.0000000000000001E-3</v>
      </c>
      <c r="S705" s="89">
        <f t="shared" si="132"/>
        <v>23</v>
      </c>
      <c r="T705" s="88">
        <f t="shared" si="133"/>
        <v>2.4956597222222224E-2</v>
      </c>
      <c r="U705" s="89">
        <f t="shared" si="134"/>
        <v>115</v>
      </c>
      <c r="V705" s="89">
        <f t="shared" si="135"/>
        <v>4723</v>
      </c>
      <c r="W705" s="90">
        <v>4720</v>
      </c>
      <c r="X705" s="91">
        <f t="shared" si="136"/>
        <v>112</v>
      </c>
      <c r="Y705" s="92">
        <f t="shared" si="137"/>
        <v>2.4299999999999999E-2</v>
      </c>
      <c r="Z705" s="93" t="str">
        <f t="shared" si="144"/>
        <v>0.00%-8.40%</v>
      </c>
      <c r="AA705" s="94"/>
      <c r="AB705" s="94"/>
      <c r="AC705" s="94"/>
      <c r="AD705" s="95"/>
      <c r="AE705" s="87">
        <f t="shared" si="139"/>
        <v>0</v>
      </c>
      <c r="AF705" s="96">
        <f t="shared" si="140"/>
        <v>4720</v>
      </c>
      <c r="AG705" s="18">
        <f t="shared" si="141"/>
        <v>112</v>
      </c>
      <c r="AH705" s="97">
        <f t="shared" si="142"/>
        <v>2.430555555555558E-2</v>
      </c>
      <c r="AI705" s="20">
        <v>13.6</v>
      </c>
      <c r="AJ705" s="20">
        <v>800</v>
      </c>
      <c r="AK705" s="20"/>
      <c r="AL705" s="20">
        <v>688</v>
      </c>
      <c r="AM705" s="20">
        <f t="shared" si="143"/>
        <v>74480</v>
      </c>
      <c r="AN705" s="7" t="s">
        <v>176</v>
      </c>
      <c r="AO705" s="20"/>
      <c r="AP705" s="21" t="s">
        <v>1056</v>
      </c>
      <c r="AQ705" s="21"/>
      <c r="AR705" s="5" t="s">
        <v>68</v>
      </c>
      <c r="AS705" s="5" t="s">
        <v>69</v>
      </c>
      <c r="AT705" s="5" t="s">
        <v>59</v>
      </c>
    </row>
    <row r="706" spans="1:46">
      <c r="A706" s="86" t="s">
        <v>318</v>
      </c>
      <c r="B706" s="5">
        <v>15012677</v>
      </c>
      <c r="C706" s="5" t="s">
        <v>1087</v>
      </c>
      <c r="D706" s="5" t="s">
        <v>321</v>
      </c>
      <c r="E706" s="5" t="s">
        <v>52</v>
      </c>
      <c r="F706" s="5" t="s">
        <v>62</v>
      </c>
      <c r="G706" s="5" t="s">
        <v>64</v>
      </c>
      <c r="H706" s="5" t="s">
        <v>1053</v>
      </c>
      <c r="I706" s="6">
        <v>41791</v>
      </c>
      <c r="J706" s="5" t="s">
        <v>336</v>
      </c>
      <c r="K706" s="5" t="s">
        <v>336</v>
      </c>
      <c r="L706" s="5" t="s">
        <v>324</v>
      </c>
      <c r="M706" s="7">
        <v>6</v>
      </c>
      <c r="N706" s="7" t="s">
        <v>176</v>
      </c>
      <c r="O706" s="87">
        <v>4929</v>
      </c>
      <c r="P706" s="88">
        <v>0.02</v>
      </c>
      <c r="Q706" s="89">
        <f t="shared" si="131"/>
        <v>99</v>
      </c>
      <c r="R706" s="88">
        <v>5.0000000000000001E-3</v>
      </c>
      <c r="S706" s="89">
        <f t="shared" si="132"/>
        <v>25</v>
      </c>
      <c r="T706" s="88">
        <f t="shared" si="133"/>
        <v>2.5157232704402517E-2</v>
      </c>
      <c r="U706" s="89">
        <f t="shared" si="134"/>
        <v>124</v>
      </c>
      <c r="V706" s="89">
        <f t="shared" si="135"/>
        <v>5053</v>
      </c>
      <c r="W706" s="90">
        <v>5010</v>
      </c>
      <c r="X706" s="91">
        <f t="shared" si="136"/>
        <v>81</v>
      </c>
      <c r="Y706" s="92">
        <f t="shared" si="137"/>
        <v>1.6400000000000001E-2</v>
      </c>
      <c r="Z706" s="93" t="str">
        <f t="shared" si="144"/>
        <v>0.00%-8.40%</v>
      </c>
      <c r="AA706" s="94"/>
      <c r="AB706" s="94"/>
      <c r="AC706" s="94"/>
      <c r="AD706" s="95"/>
      <c r="AE706" s="87">
        <f t="shared" si="139"/>
        <v>0</v>
      </c>
      <c r="AF706" s="96">
        <f t="shared" si="140"/>
        <v>5010</v>
      </c>
      <c r="AG706" s="18">
        <f t="shared" si="141"/>
        <v>81</v>
      </c>
      <c r="AH706" s="97">
        <f t="shared" si="142"/>
        <v>1.6433353621424285E-2</v>
      </c>
      <c r="AI706" s="20">
        <v>13.6</v>
      </c>
      <c r="AJ706" s="20">
        <v>450</v>
      </c>
      <c r="AK706" s="20"/>
      <c r="AL706" s="20">
        <v>688</v>
      </c>
      <c r="AM706" s="20">
        <f t="shared" si="143"/>
        <v>74224</v>
      </c>
      <c r="AN706" s="7" t="s">
        <v>176</v>
      </c>
      <c r="AO706" s="20"/>
      <c r="AP706" s="21" t="s">
        <v>1051</v>
      </c>
      <c r="AQ706" s="21"/>
      <c r="AR706" s="5" t="s">
        <v>68</v>
      </c>
      <c r="AS706" s="5" t="s">
        <v>69</v>
      </c>
      <c r="AT706" s="5" t="s">
        <v>59</v>
      </c>
    </row>
    <row r="707" spans="1:46">
      <c r="A707" s="86" t="s">
        <v>318</v>
      </c>
      <c r="B707" s="5">
        <v>15011541</v>
      </c>
      <c r="C707" s="5" t="s">
        <v>1088</v>
      </c>
      <c r="D707" s="5" t="s">
        <v>321</v>
      </c>
      <c r="E707" s="5" t="s">
        <v>52</v>
      </c>
      <c r="F707" s="5" t="s">
        <v>62</v>
      </c>
      <c r="G707" s="5" t="s">
        <v>64</v>
      </c>
      <c r="H707" s="5" t="s">
        <v>1047</v>
      </c>
      <c r="I707" s="6">
        <v>41640</v>
      </c>
      <c r="J707" s="5" t="s">
        <v>336</v>
      </c>
      <c r="K707" s="5" t="s">
        <v>336</v>
      </c>
      <c r="L707" s="5" t="s">
        <v>324</v>
      </c>
      <c r="M707" s="7">
        <v>6</v>
      </c>
      <c r="N707" s="7" t="s">
        <v>176</v>
      </c>
      <c r="O707" s="87">
        <v>4722</v>
      </c>
      <c r="P707" s="88">
        <v>0.02</v>
      </c>
      <c r="Q707" s="89">
        <f t="shared" si="131"/>
        <v>94</v>
      </c>
      <c r="R707" s="88">
        <v>5.0000000000000001E-3</v>
      </c>
      <c r="S707" s="89">
        <f t="shared" si="132"/>
        <v>24</v>
      </c>
      <c r="T707" s="88">
        <f t="shared" si="133"/>
        <v>2.4989411266412537E-2</v>
      </c>
      <c r="U707" s="89">
        <f t="shared" si="134"/>
        <v>118</v>
      </c>
      <c r="V707" s="89">
        <f t="shared" si="135"/>
        <v>4840</v>
      </c>
      <c r="W707" s="90">
        <v>4830</v>
      </c>
      <c r="X707" s="91">
        <f t="shared" si="136"/>
        <v>108</v>
      </c>
      <c r="Y707" s="92">
        <f t="shared" si="137"/>
        <v>2.29E-2</v>
      </c>
      <c r="Z707" s="93" t="str">
        <f t="shared" si="144"/>
        <v>0.00%-8.40%</v>
      </c>
      <c r="AA707" s="94"/>
      <c r="AB707" s="94"/>
      <c r="AC707" s="94"/>
      <c r="AD707" s="95"/>
      <c r="AE707" s="87">
        <f t="shared" si="139"/>
        <v>0</v>
      </c>
      <c r="AF707" s="96">
        <f t="shared" si="140"/>
        <v>4830</v>
      </c>
      <c r="AG707" s="18">
        <f t="shared" si="141"/>
        <v>108</v>
      </c>
      <c r="AH707" s="97">
        <f t="shared" si="142"/>
        <v>2.2871664548919979E-2</v>
      </c>
      <c r="AI707" s="20">
        <v>13.6</v>
      </c>
      <c r="AJ707" s="20">
        <v>450</v>
      </c>
      <c r="AK707" s="20"/>
      <c r="AL707" s="20">
        <v>688</v>
      </c>
      <c r="AM707" s="20">
        <f t="shared" si="143"/>
        <v>71776</v>
      </c>
      <c r="AN707" s="7" t="s">
        <v>176</v>
      </c>
      <c r="AO707" s="20"/>
      <c r="AP707" s="21" t="s">
        <v>1056</v>
      </c>
      <c r="AQ707" s="21"/>
      <c r="AR707" s="5" t="s">
        <v>68</v>
      </c>
      <c r="AS707" s="5" t="s">
        <v>69</v>
      </c>
      <c r="AT707" s="5" t="s">
        <v>59</v>
      </c>
    </row>
    <row r="708" spans="1:46">
      <c r="A708" s="86" t="s">
        <v>318</v>
      </c>
      <c r="B708" s="5">
        <v>15004227</v>
      </c>
      <c r="C708" s="5" t="s">
        <v>1089</v>
      </c>
      <c r="D708" s="5" t="s">
        <v>321</v>
      </c>
      <c r="E708" s="5" t="s">
        <v>52</v>
      </c>
      <c r="F708" s="5" t="s">
        <v>62</v>
      </c>
      <c r="G708" s="5" t="s">
        <v>64</v>
      </c>
      <c r="H708" s="5" t="s">
        <v>1050</v>
      </c>
      <c r="I708" s="6">
        <v>40380</v>
      </c>
      <c r="J708" s="5" t="s">
        <v>336</v>
      </c>
      <c r="K708" s="5" t="s">
        <v>336</v>
      </c>
      <c r="L708" s="5" t="s">
        <v>324</v>
      </c>
      <c r="M708" s="7">
        <v>6</v>
      </c>
      <c r="N708" s="7" t="s">
        <v>176</v>
      </c>
      <c r="O708" s="87">
        <v>4812</v>
      </c>
      <c r="P708" s="88">
        <v>0.02</v>
      </c>
      <c r="Q708" s="89">
        <f t="shared" si="131"/>
        <v>96</v>
      </c>
      <c r="R708" s="88">
        <v>5.0000000000000001E-3</v>
      </c>
      <c r="S708" s="89">
        <f t="shared" si="132"/>
        <v>24</v>
      </c>
      <c r="T708" s="88">
        <f t="shared" si="133"/>
        <v>2.4937655860349128E-2</v>
      </c>
      <c r="U708" s="89">
        <f t="shared" si="134"/>
        <v>120</v>
      </c>
      <c r="V708" s="89">
        <f t="shared" si="135"/>
        <v>4932</v>
      </c>
      <c r="W708" s="90">
        <v>4920</v>
      </c>
      <c r="X708" s="91">
        <f t="shared" si="136"/>
        <v>108</v>
      </c>
      <c r="Y708" s="92">
        <f t="shared" si="137"/>
        <v>2.24E-2</v>
      </c>
      <c r="Z708" s="93" t="str">
        <f t="shared" si="144"/>
        <v>0.00%-8.40%</v>
      </c>
      <c r="AA708" s="94"/>
      <c r="AB708" s="94"/>
      <c r="AC708" s="94"/>
      <c r="AD708" s="95"/>
      <c r="AE708" s="87">
        <f t="shared" si="139"/>
        <v>0</v>
      </c>
      <c r="AF708" s="96">
        <f t="shared" si="140"/>
        <v>4920</v>
      </c>
      <c r="AG708" s="18">
        <f t="shared" si="141"/>
        <v>108</v>
      </c>
      <c r="AH708" s="97">
        <f t="shared" si="142"/>
        <v>2.244389027431426E-2</v>
      </c>
      <c r="AI708" s="20">
        <v>13.6</v>
      </c>
      <c r="AJ708" s="20">
        <v>800</v>
      </c>
      <c r="AK708" s="20"/>
      <c r="AL708" s="20">
        <v>688</v>
      </c>
      <c r="AM708" s="20">
        <f t="shared" si="143"/>
        <v>77200</v>
      </c>
      <c r="AN708" s="7" t="s">
        <v>176</v>
      </c>
      <c r="AO708" s="20"/>
      <c r="AP708" s="21" t="s">
        <v>1056</v>
      </c>
      <c r="AQ708" s="21"/>
      <c r="AR708" s="5" t="s">
        <v>68</v>
      </c>
      <c r="AS708" s="5" t="s">
        <v>69</v>
      </c>
      <c r="AT708" s="5" t="s">
        <v>59</v>
      </c>
    </row>
    <row r="709" spans="1:46">
      <c r="A709" s="86" t="s">
        <v>318</v>
      </c>
      <c r="B709" s="5">
        <v>15010657</v>
      </c>
      <c r="C709" s="5" t="s">
        <v>1090</v>
      </c>
      <c r="D709" s="5" t="s">
        <v>321</v>
      </c>
      <c r="E709" s="5" t="s">
        <v>52</v>
      </c>
      <c r="F709" s="5" t="s">
        <v>62</v>
      </c>
      <c r="G709" s="5" t="s">
        <v>64</v>
      </c>
      <c r="H709" s="5" t="s">
        <v>1047</v>
      </c>
      <c r="I709" s="6">
        <v>41548</v>
      </c>
      <c r="J709" s="5" t="s">
        <v>336</v>
      </c>
      <c r="K709" s="5" t="s">
        <v>336</v>
      </c>
      <c r="L709" s="5" t="s">
        <v>324</v>
      </c>
      <c r="M709" s="7">
        <v>6</v>
      </c>
      <c r="N709" s="7" t="s">
        <v>176</v>
      </c>
      <c r="O709" s="87">
        <v>4571</v>
      </c>
      <c r="P709" s="88">
        <v>0.02</v>
      </c>
      <c r="Q709" s="89">
        <f t="shared" si="131"/>
        <v>91</v>
      </c>
      <c r="R709" s="88">
        <v>5.0000000000000001E-3</v>
      </c>
      <c r="S709" s="89">
        <f t="shared" si="132"/>
        <v>23</v>
      </c>
      <c r="T709" s="88">
        <f t="shared" si="133"/>
        <v>2.4939838109822796E-2</v>
      </c>
      <c r="U709" s="89">
        <f t="shared" si="134"/>
        <v>114</v>
      </c>
      <c r="V709" s="89">
        <f t="shared" si="135"/>
        <v>4685</v>
      </c>
      <c r="W709" s="90">
        <v>4675</v>
      </c>
      <c r="X709" s="91">
        <f t="shared" si="136"/>
        <v>104</v>
      </c>
      <c r="Y709" s="92">
        <f t="shared" si="137"/>
        <v>2.2800000000000001E-2</v>
      </c>
      <c r="Z709" s="93" t="str">
        <f t="shared" si="144"/>
        <v>0.00%-8.40%</v>
      </c>
      <c r="AA709" s="94"/>
      <c r="AB709" s="94"/>
      <c r="AC709" s="94"/>
      <c r="AD709" s="95"/>
      <c r="AE709" s="87">
        <f t="shared" si="139"/>
        <v>0</v>
      </c>
      <c r="AF709" s="96">
        <f t="shared" si="140"/>
        <v>4675</v>
      </c>
      <c r="AG709" s="18">
        <f t="shared" si="141"/>
        <v>104</v>
      </c>
      <c r="AH709" s="97">
        <f t="shared" si="142"/>
        <v>2.2752133012469811E-2</v>
      </c>
      <c r="AI709" s="20">
        <v>13.6</v>
      </c>
      <c r="AJ709" s="20">
        <v>450</v>
      </c>
      <c r="AK709" s="20"/>
      <c r="AL709" s="20">
        <v>688</v>
      </c>
      <c r="AM709" s="20">
        <f t="shared" si="143"/>
        <v>69668</v>
      </c>
      <c r="AN709" s="7" t="s">
        <v>176</v>
      </c>
      <c r="AO709" s="20"/>
      <c r="AP709" s="21" t="s">
        <v>1056</v>
      </c>
      <c r="AQ709" s="21"/>
      <c r="AR709" s="5" t="s">
        <v>68</v>
      </c>
      <c r="AS709" s="5" t="s">
        <v>69</v>
      </c>
      <c r="AT709" s="5" t="s">
        <v>59</v>
      </c>
    </row>
    <row r="710" spans="1:46">
      <c r="A710" s="86" t="s">
        <v>318</v>
      </c>
      <c r="B710" s="5">
        <v>15012911</v>
      </c>
      <c r="C710" s="5" t="s">
        <v>1091</v>
      </c>
      <c r="D710" s="5" t="s">
        <v>321</v>
      </c>
      <c r="E710" s="5" t="s">
        <v>52</v>
      </c>
      <c r="F710" s="5" t="s">
        <v>62</v>
      </c>
      <c r="G710" s="5" t="s">
        <v>64</v>
      </c>
      <c r="H710" s="5" t="s">
        <v>1047</v>
      </c>
      <c r="I710" s="6">
        <v>41821</v>
      </c>
      <c r="J710" s="5" t="s">
        <v>336</v>
      </c>
      <c r="K710" s="5" t="s">
        <v>336</v>
      </c>
      <c r="L710" s="5" t="s">
        <v>324</v>
      </c>
      <c r="M710" s="7">
        <v>6</v>
      </c>
      <c r="N710" s="7" t="s">
        <v>176</v>
      </c>
      <c r="O710" s="87">
        <v>4566</v>
      </c>
      <c r="P710" s="88">
        <v>0.02</v>
      </c>
      <c r="Q710" s="89">
        <f t="shared" si="131"/>
        <v>91</v>
      </c>
      <c r="R710" s="88">
        <v>5.0000000000000001E-3</v>
      </c>
      <c r="S710" s="89">
        <f t="shared" si="132"/>
        <v>23</v>
      </c>
      <c r="T710" s="88">
        <f t="shared" si="133"/>
        <v>2.4967148488830485E-2</v>
      </c>
      <c r="U710" s="89">
        <f t="shared" si="134"/>
        <v>114</v>
      </c>
      <c r="V710" s="89">
        <f t="shared" si="135"/>
        <v>4680</v>
      </c>
      <c r="W710" s="90">
        <v>4670</v>
      </c>
      <c r="X710" s="91">
        <f t="shared" si="136"/>
        <v>104</v>
      </c>
      <c r="Y710" s="92">
        <f t="shared" si="137"/>
        <v>2.2800000000000001E-2</v>
      </c>
      <c r="Z710" s="93" t="str">
        <f t="shared" si="144"/>
        <v>0.00%-8.40%</v>
      </c>
      <c r="AA710" s="94"/>
      <c r="AB710" s="94"/>
      <c r="AC710" s="94"/>
      <c r="AD710" s="95"/>
      <c r="AE710" s="87">
        <f t="shared" si="139"/>
        <v>0</v>
      </c>
      <c r="AF710" s="96">
        <f t="shared" si="140"/>
        <v>4670</v>
      </c>
      <c r="AG710" s="18">
        <f t="shared" si="141"/>
        <v>104</v>
      </c>
      <c r="AH710" s="97">
        <f t="shared" si="142"/>
        <v>2.2777047744196199E-2</v>
      </c>
      <c r="AI710" s="20">
        <v>13.6</v>
      </c>
      <c r="AJ710" s="20">
        <v>700</v>
      </c>
      <c r="AK710" s="20"/>
      <c r="AL710" s="20">
        <v>688</v>
      </c>
      <c r="AM710" s="20">
        <f t="shared" si="143"/>
        <v>72600</v>
      </c>
      <c r="AN710" s="7" t="s">
        <v>176</v>
      </c>
      <c r="AO710" s="20"/>
      <c r="AP710" s="21" t="s">
        <v>1056</v>
      </c>
      <c r="AQ710" s="21"/>
      <c r="AR710" s="5" t="s">
        <v>68</v>
      </c>
      <c r="AS710" s="5" t="s">
        <v>69</v>
      </c>
      <c r="AT710" s="5" t="s">
        <v>59</v>
      </c>
    </row>
    <row r="711" spans="1:46">
      <c r="A711" s="86" t="s">
        <v>318</v>
      </c>
      <c r="B711" s="5">
        <v>15011926</v>
      </c>
      <c r="C711" s="5" t="s">
        <v>1092</v>
      </c>
      <c r="D711" s="5" t="s">
        <v>321</v>
      </c>
      <c r="E711" s="5" t="s">
        <v>52</v>
      </c>
      <c r="F711" s="5" t="s">
        <v>62</v>
      </c>
      <c r="G711" s="5" t="s">
        <v>64</v>
      </c>
      <c r="H711" s="5" t="s">
        <v>1047</v>
      </c>
      <c r="I711" s="6">
        <v>41730</v>
      </c>
      <c r="J711" s="5" t="s">
        <v>336</v>
      </c>
      <c r="K711" s="5" t="s">
        <v>336</v>
      </c>
      <c r="L711" s="5" t="s">
        <v>324</v>
      </c>
      <c r="M711" s="7">
        <v>6</v>
      </c>
      <c r="N711" s="7" t="s">
        <v>176</v>
      </c>
      <c r="O711" s="87">
        <v>4764</v>
      </c>
      <c r="P711" s="88">
        <v>0.02</v>
      </c>
      <c r="Q711" s="89">
        <f t="shared" si="131"/>
        <v>95</v>
      </c>
      <c r="R711" s="88">
        <v>5.0000000000000001E-3</v>
      </c>
      <c r="S711" s="89">
        <f t="shared" si="132"/>
        <v>24</v>
      </c>
      <c r="T711" s="88">
        <f t="shared" si="133"/>
        <v>2.4979009235936187E-2</v>
      </c>
      <c r="U711" s="89">
        <f t="shared" si="134"/>
        <v>119</v>
      </c>
      <c r="V711" s="89">
        <f t="shared" si="135"/>
        <v>4883</v>
      </c>
      <c r="W711" s="90">
        <v>4873</v>
      </c>
      <c r="X711" s="91">
        <f t="shared" si="136"/>
        <v>109</v>
      </c>
      <c r="Y711" s="92">
        <f t="shared" si="137"/>
        <v>2.29E-2</v>
      </c>
      <c r="Z711" s="93" t="str">
        <f t="shared" si="144"/>
        <v>0.00%-8.40%</v>
      </c>
      <c r="AA711" s="94"/>
      <c r="AB711" s="94"/>
      <c r="AC711" s="94"/>
      <c r="AD711" s="95"/>
      <c r="AE711" s="87">
        <f t="shared" si="139"/>
        <v>0</v>
      </c>
      <c r="AF711" s="96">
        <f t="shared" si="140"/>
        <v>4873</v>
      </c>
      <c r="AG711" s="18">
        <f t="shared" si="141"/>
        <v>109</v>
      </c>
      <c r="AH711" s="97">
        <f t="shared" si="142"/>
        <v>2.2879932829555027E-2</v>
      </c>
      <c r="AI711" s="20">
        <v>13.6</v>
      </c>
      <c r="AJ711" s="20">
        <v>500</v>
      </c>
      <c r="AK711" s="20"/>
      <c r="AL711" s="20">
        <v>688</v>
      </c>
      <c r="AM711" s="20">
        <f t="shared" si="143"/>
        <v>72960.800000000003</v>
      </c>
      <c r="AN711" s="7" t="s">
        <v>176</v>
      </c>
      <c r="AO711" s="20"/>
      <c r="AP711" s="21" t="s">
        <v>1056</v>
      </c>
      <c r="AQ711" s="21"/>
      <c r="AR711" s="5" t="s">
        <v>68</v>
      </c>
      <c r="AS711" s="5" t="s">
        <v>69</v>
      </c>
      <c r="AT711" s="5" t="s">
        <v>59</v>
      </c>
    </row>
    <row r="712" spans="1:46">
      <c r="A712" s="86" t="s">
        <v>318</v>
      </c>
      <c r="B712" s="5">
        <v>15001590</v>
      </c>
      <c r="C712" s="5" t="s">
        <v>590</v>
      </c>
      <c r="D712" s="5" t="s">
        <v>321</v>
      </c>
      <c r="E712" s="5" t="s">
        <v>52</v>
      </c>
      <c r="F712" s="5" t="s">
        <v>62</v>
      </c>
      <c r="G712" s="5" t="s">
        <v>64</v>
      </c>
      <c r="H712" s="5" t="s">
        <v>1050</v>
      </c>
      <c r="I712" s="6">
        <v>39582</v>
      </c>
      <c r="J712" s="5" t="s">
        <v>336</v>
      </c>
      <c r="K712" s="5" t="s">
        <v>336</v>
      </c>
      <c r="L712" s="5" t="s">
        <v>324</v>
      </c>
      <c r="M712" s="7">
        <v>6</v>
      </c>
      <c r="N712" s="7" t="s">
        <v>176</v>
      </c>
      <c r="O712" s="87">
        <v>5586</v>
      </c>
      <c r="P712" s="88">
        <v>0.02</v>
      </c>
      <c r="Q712" s="89">
        <f t="shared" si="131"/>
        <v>112</v>
      </c>
      <c r="R712" s="88">
        <v>5.0000000000000001E-3</v>
      </c>
      <c r="S712" s="89">
        <f t="shared" si="132"/>
        <v>28</v>
      </c>
      <c r="T712" s="88">
        <f t="shared" si="133"/>
        <v>2.5062656641604009E-2</v>
      </c>
      <c r="U712" s="89">
        <f t="shared" si="134"/>
        <v>140</v>
      </c>
      <c r="V712" s="89">
        <f t="shared" si="135"/>
        <v>5726</v>
      </c>
      <c r="W712" s="90">
        <v>5710</v>
      </c>
      <c r="X712" s="91">
        <f t="shared" si="136"/>
        <v>124</v>
      </c>
      <c r="Y712" s="92">
        <f t="shared" si="137"/>
        <v>2.2200000000000001E-2</v>
      </c>
      <c r="Z712" s="93" t="str">
        <f t="shared" si="144"/>
        <v>0.00%-8.40%</v>
      </c>
      <c r="AA712" s="94"/>
      <c r="AB712" s="94"/>
      <c r="AC712" s="94"/>
      <c r="AD712" s="95"/>
      <c r="AE712" s="87">
        <f t="shared" si="139"/>
        <v>0</v>
      </c>
      <c r="AF712" s="96">
        <f t="shared" si="140"/>
        <v>5710</v>
      </c>
      <c r="AG712" s="18">
        <f t="shared" si="141"/>
        <v>124</v>
      </c>
      <c r="AH712" s="97">
        <f t="shared" si="142"/>
        <v>2.2198353025420614E-2</v>
      </c>
      <c r="AI712" s="20">
        <v>13.6</v>
      </c>
      <c r="AJ712" s="20">
        <v>700</v>
      </c>
      <c r="AK712" s="20"/>
      <c r="AL712" s="20">
        <v>688</v>
      </c>
      <c r="AM712" s="20">
        <f t="shared" si="143"/>
        <v>86744</v>
      </c>
      <c r="AN712" s="7" t="s">
        <v>176</v>
      </c>
      <c r="AO712" s="20"/>
      <c r="AP712" s="21" t="s">
        <v>1056</v>
      </c>
      <c r="AQ712" s="21"/>
      <c r="AR712" s="5" t="s">
        <v>68</v>
      </c>
      <c r="AS712" s="5" t="s">
        <v>69</v>
      </c>
      <c r="AT712" s="5" t="s">
        <v>59</v>
      </c>
    </row>
    <row r="713" spans="1:46">
      <c r="A713" s="86" t="s">
        <v>318</v>
      </c>
      <c r="B713" s="5">
        <v>15012557</v>
      </c>
      <c r="C713" s="5" t="s">
        <v>1093</v>
      </c>
      <c r="D713" s="5" t="s">
        <v>321</v>
      </c>
      <c r="E713" s="5" t="s">
        <v>52</v>
      </c>
      <c r="F713" s="5" t="s">
        <v>62</v>
      </c>
      <c r="G713" s="5" t="s">
        <v>64</v>
      </c>
      <c r="H713" s="5" t="s">
        <v>1047</v>
      </c>
      <c r="I713" s="6">
        <v>41760</v>
      </c>
      <c r="J713" s="5" t="s">
        <v>336</v>
      </c>
      <c r="K713" s="5" t="s">
        <v>336</v>
      </c>
      <c r="L713" s="5" t="s">
        <v>324</v>
      </c>
      <c r="M713" s="7">
        <v>6</v>
      </c>
      <c r="N713" s="7" t="s">
        <v>176</v>
      </c>
      <c r="O713" s="87">
        <v>4498</v>
      </c>
      <c r="P713" s="88">
        <v>0.02</v>
      </c>
      <c r="Q713" s="89">
        <f t="shared" ref="Q713:Q776" si="145">ROUND(O713*P713,0)</f>
        <v>90</v>
      </c>
      <c r="R713" s="88">
        <v>5.0000000000000001E-3</v>
      </c>
      <c r="S713" s="89">
        <f t="shared" ref="S713:S776" si="146">ROUND(O713*R713,0)</f>
        <v>22</v>
      </c>
      <c r="T713" s="88">
        <f t="shared" ref="T713:T776" si="147">U713/O713</f>
        <v>2.4899955535793685E-2</v>
      </c>
      <c r="U713" s="89">
        <f t="shared" ref="U713:U776" si="148">Q713+S713</f>
        <v>112</v>
      </c>
      <c r="V713" s="89">
        <f t="shared" ref="V713:V776" si="149">O713+U713</f>
        <v>4610</v>
      </c>
      <c r="W713" s="90">
        <v>4600</v>
      </c>
      <c r="X713" s="91">
        <f t="shared" ref="X713:X776" si="150">W713-O713</f>
        <v>102</v>
      </c>
      <c r="Y713" s="92">
        <f t="shared" ref="Y713:Y776" si="151">ROUND(W713/O713-1,4)</f>
        <v>2.2700000000000001E-2</v>
      </c>
      <c r="Z713" s="93" t="str">
        <f t="shared" si="144"/>
        <v>0.00%-8.40%</v>
      </c>
      <c r="AA713" s="94"/>
      <c r="AB713" s="94"/>
      <c r="AC713" s="94"/>
      <c r="AD713" s="95"/>
      <c r="AE713" s="87">
        <f t="shared" ref="AE713:AE776" si="152">ROUND(O713*AD713,0)</f>
        <v>0</v>
      </c>
      <c r="AF713" s="96">
        <f t="shared" ref="AF713:AF776" si="153">W713+AE713</f>
        <v>4600</v>
      </c>
      <c r="AG713" s="18">
        <f t="shared" ref="AG713:AG776" si="154">AF713-O713</f>
        <v>102</v>
      </c>
      <c r="AH713" s="97">
        <f t="shared" ref="AH713:AH776" si="155">AF713/O713-1</f>
        <v>2.2676745220097771E-2</v>
      </c>
      <c r="AI713" s="20">
        <v>13.6</v>
      </c>
      <c r="AJ713" s="20">
        <v>650</v>
      </c>
      <c r="AK713" s="20"/>
      <c r="AL713" s="20">
        <v>688</v>
      </c>
      <c r="AM713" s="20">
        <f t="shared" ref="AM713:AM776" si="156">AF713*AI713+AJ713*12+AL713+IF(AC713="",AK713,IF(AC713="D",5000,IF(AC713="C",1000,0)))*12</f>
        <v>71048</v>
      </c>
      <c r="AN713" s="7" t="s">
        <v>176</v>
      </c>
      <c r="AO713" s="20"/>
      <c r="AP713" s="21" t="s">
        <v>1056</v>
      </c>
      <c r="AQ713" s="21"/>
      <c r="AR713" s="5" t="s">
        <v>68</v>
      </c>
      <c r="AS713" s="5" t="s">
        <v>69</v>
      </c>
      <c r="AT713" s="5" t="s">
        <v>59</v>
      </c>
    </row>
    <row r="714" spans="1:46">
      <c r="A714" s="86" t="s">
        <v>318</v>
      </c>
      <c r="B714" s="5">
        <v>15000850</v>
      </c>
      <c r="C714" s="5" t="s">
        <v>1094</v>
      </c>
      <c r="D714" s="5" t="s">
        <v>321</v>
      </c>
      <c r="E714" s="5" t="s">
        <v>52</v>
      </c>
      <c r="F714" s="5" t="s">
        <v>62</v>
      </c>
      <c r="G714" s="5" t="s">
        <v>64</v>
      </c>
      <c r="H714" s="5" t="s">
        <v>1050</v>
      </c>
      <c r="I714" s="6">
        <v>39126</v>
      </c>
      <c r="J714" s="5" t="s">
        <v>336</v>
      </c>
      <c r="K714" s="5" t="s">
        <v>336</v>
      </c>
      <c r="L714" s="5" t="s">
        <v>324</v>
      </c>
      <c r="M714" s="7">
        <v>6</v>
      </c>
      <c r="N714" s="7" t="s">
        <v>176</v>
      </c>
      <c r="O714" s="87">
        <v>6112</v>
      </c>
      <c r="P714" s="88">
        <v>0.02</v>
      </c>
      <c r="Q714" s="89">
        <f t="shared" si="145"/>
        <v>122</v>
      </c>
      <c r="R714" s="88">
        <v>5.0000000000000001E-3</v>
      </c>
      <c r="S714" s="89">
        <f t="shared" si="146"/>
        <v>31</v>
      </c>
      <c r="T714" s="88">
        <f t="shared" si="147"/>
        <v>2.5032722513089006E-2</v>
      </c>
      <c r="U714" s="89">
        <f t="shared" si="148"/>
        <v>153</v>
      </c>
      <c r="V714" s="89">
        <f t="shared" si="149"/>
        <v>6265</v>
      </c>
      <c r="W714" s="90">
        <v>6250</v>
      </c>
      <c r="X714" s="91">
        <f t="shared" si="150"/>
        <v>138</v>
      </c>
      <c r="Y714" s="92">
        <f t="shared" si="151"/>
        <v>2.2599999999999999E-2</v>
      </c>
      <c r="Z714" s="93" t="str">
        <f t="shared" si="144"/>
        <v>0.00%-8.40%</v>
      </c>
      <c r="AA714" s="94"/>
      <c r="AB714" s="94"/>
      <c r="AC714" s="94"/>
      <c r="AD714" s="95"/>
      <c r="AE714" s="87">
        <f t="shared" si="152"/>
        <v>0</v>
      </c>
      <c r="AF714" s="96">
        <f t="shared" si="153"/>
        <v>6250</v>
      </c>
      <c r="AG714" s="18">
        <f t="shared" si="154"/>
        <v>138</v>
      </c>
      <c r="AH714" s="97">
        <f t="shared" si="155"/>
        <v>2.2578534031413522E-2</v>
      </c>
      <c r="AI714" s="20">
        <v>13.6</v>
      </c>
      <c r="AJ714" s="20">
        <v>700</v>
      </c>
      <c r="AK714" s="20"/>
      <c r="AL714" s="20">
        <v>688</v>
      </c>
      <c r="AM714" s="20">
        <f t="shared" si="156"/>
        <v>94088</v>
      </c>
      <c r="AN714" s="7" t="s">
        <v>176</v>
      </c>
      <c r="AO714" s="20"/>
      <c r="AP714" s="21" t="s">
        <v>1056</v>
      </c>
      <c r="AQ714" s="21"/>
      <c r="AR714" s="5" t="s">
        <v>68</v>
      </c>
      <c r="AS714" s="5" t="s">
        <v>69</v>
      </c>
      <c r="AT714" s="5" t="s">
        <v>59</v>
      </c>
    </row>
    <row r="715" spans="1:46">
      <c r="A715" s="86" t="s">
        <v>318</v>
      </c>
      <c r="B715" s="5">
        <v>15021131</v>
      </c>
      <c r="C715" s="5" t="s">
        <v>1095</v>
      </c>
      <c r="D715" s="5" t="s">
        <v>321</v>
      </c>
      <c r="E715" s="5" t="s">
        <v>52</v>
      </c>
      <c r="F715" s="5" t="s">
        <v>62</v>
      </c>
      <c r="G715" s="5" t="s">
        <v>64</v>
      </c>
      <c r="H715" s="5" t="s">
        <v>1047</v>
      </c>
      <c r="I715" s="6">
        <v>44409</v>
      </c>
      <c r="J715" s="5" t="s">
        <v>336</v>
      </c>
      <c r="K715" s="5" t="s">
        <v>336</v>
      </c>
      <c r="L715" s="5" t="s">
        <v>324</v>
      </c>
      <c r="M715" s="7">
        <v>6</v>
      </c>
      <c r="N715" s="7" t="s">
        <v>176</v>
      </c>
      <c r="O715" s="87">
        <v>4701</v>
      </c>
      <c r="P715" s="88">
        <v>0.02</v>
      </c>
      <c r="Q715" s="89">
        <f t="shared" si="145"/>
        <v>94</v>
      </c>
      <c r="R715" s="88">
        <v>5.0000000000000001E-3</v>
      </c>
      <c r="S715" s="89">
        <f t="shared" si="146"/>
        <v>24</v>
      </c>
      <c r="T715" s="88">
        <f t="shared" si="147"/>
        <v>2.5101042331418848E-2</v>
      </c>
      <c r="U715" s="89">
        <f t="shared" si="148"/>
        <v>118</v>
      </c>
      <c r="V715" s="89">
        <f t="shared" si="149"/>
        <v>4819</v>
      </c>
      <c r="W715" s="90">
        <v>4806</v>
      </c>
      <c r="X715" s="91">
        <f t="shared" si="150"/>
        <v>105</v>
      </c>
      <c r="Y715" s="92">
        <f t="shared" si="151"/>
        <v>2.23E-2</v>
      </c>
      <c r="Z715" s="93" t="str">
        <f t="shared" si="144"/>
        <v>0.00%-8.40%</v>
      </c>
      <c r="AA715" s="94"/>
      <c r="AB715" s="94"/>
      <c r="AC715" s="94"/>
      <c r="AD715" s="95"/>
      <c r="AE715" s="87">
        <f t="shared" si="152"/>
        <v>0</v>
      </c>
      <c r="AF715" s="96">
        <f t="shared" si="153"/>
        <v>4806</v>
      </c>
      <c r="AG715" s="18">
        <f t="shared" si="154"/>
        <v>105</v>
      </c>
      <c r="AH715" s="97">
        <f t="shared" si="155"/>
        <v>2.2335673261008271E-2</v>
      </c>
      <c r="AI715" s="20">
        <v>13.6</v>
      </c>
      <c r="AJ715" s="20">
        <v>700</v>
      </c>
      <c r="AK715" s="20"/>
      <c r="AL715" s="20">
        <v>688</v>
      </c>
      <c r="AM715" s="20">
        <f t="shared" si="156"/>
        <v>74449.600000000006</v>
      </c>
      <c r="AN715" s="7" t="s">
        <v>176</v>
      </c>
      <c r="AO715" s="20"/>
      <c r="AP715" s="21" t="s">
        <v>1056</v>
      </c>
      <c r="AQ715" s="21"/>
      <c r="AR715" s="5" t="s">
        <v>68</v>
      </c>
      <c r="AS715" s="5" t="s">
        <v>69</v>
      </c>
      <c r="AT715" s="5" t="s">
        <v>59</v>
      </c>
    </row>
    <row r="716" spans="1:46">
      <c r="A716" s="86" t="s">
        <v>318</v>
      </c>
      <c r="B716" s="5">
        <v>15016731</v>
      </c>
      <c r="C716" s="5" t="s">
        <v>1096</v>
      </c>
      <c r="D716" s="5" t="s">
        <v>321</v>
      </c>
      <c r="E716" s="5" t="s">
        <v>52</v>
      </c>
      <c r="F716" s="5" t="s">
        <v>62</v>
      </c>
      <c r="G716" s="5" t="s">
        <v>64</v>
      </c>
      <c r="H716" s="5" t="s">
        <v>1047</v>
      </c>
      <c r="I716" s="6">
        <v>42948</v>
      </c>
      <c r="J716" s="5" t="s">
        <v>336</v>
      </c>
      <c r="K716" s="5" t="s">
        <v>336</v>
      </c>
      <c r="L716" s="5" t="s">
        <v>324</v>
      </c>
      <c r="M716" s="7">
        <v>6</v>
      </c>
      <c r="N716" s="7" t="s">
        <v>176</v>
      </c>
      <c r="O716" s="87">
        <v>4624</v>
      </c>
      <c r="P716" s="88">
        <v>0.02</v>
      </c>
      <c r="Q716" s="89">
        <f t="shared" si="145"/>
        <v>92</v>
      </c>
      <c r="R716" s="88">
        <v>5.0000000000000001E-3</v>
      </c>
      <c r="S716" s="89">
        <f t="shared" si="146"/>
        <v>23</v>
      </c>
      <c r="T716" s="88">
        <f t="shared" si="147"/>
        <v>2.4870242214532871E-2</v>
      </c>
      <c r="U716" s="89">
        <f t="shared" si="148"/>
        <v>115</v>
      </c>
      <c r="V716" s="89">
        <f t="shared" si="149"/>
        <v>4739</v>
      </c>
      <c r="W716" s="90">
        <v>4624</v>
      </c>
      <c r="X716" s="91">
        <f t="shared" si="150"/>
        <v>0</v>
      </c>
      <c r="Y716" s="92">
        <f t="shared" si="151"/>
        <v>0</v>
      </c>
      <c r="Z716" s="93" t="str">
        <f t="shared" si="144"/>
        <v>0.00%-8.40%</v>
      </c>
      <c r="AA716" s="94"/>
      <c r="AB716" s="94"/>
      <c r="AC716" s="94"/>
      <c r="AD716" s="95"/>
      <c r="AE716" s="87">
        <f t="shared" si="152"/>
        <v>0</v>
      </c>
      <c r="AF716" s="96">
        <f t="shared" si="153"/>
        <v>4624</v>
      </c>
      <c r="AG716" s="18">
        <f t="shared" si="154"/>
        <v>0</v>
      </c>
      <c r="AH716" s="97">
        <f t="shared" si="155"/>
        <v>0</v>
      </c>
      <c r="AI716" s="20">
        <v>13.6</v>
      </c>
      <c r="AJ716" s="20">
        <v>450</v>
      </c>
      <c r="AK716" s="20"/>
      <c r="AL716" s="20">
        <v>688</v>
      </c>
      <c r="AM716" s="20">
        <f t="shared" si="156"/>
        <v>68974.399999999994</v>
      </c>
      <c r="AN716" s="7" t="s">
        <v>176</v>
      </c>
      <c r="AO716" s="20"/>
      <c r="AP716" s="21" t="s">
        <v>1097</v>
      </c>
      <c r="AQ716" s="21" t="s">
        <v>107</v>
      </c>
      <c r="AR716" s="5" t="s">
        <v>68</v>
      </c>
      <c r="AS716" s="5" t="s">
        <v>69</v>
      </c>
      <c r="AT716" s="5" t="s">
        <v>59</v>
      </c>
    </row>
    <row r="717" spans="1:46">
      <c r="A717" s="86" t="s">
        <v>318</v>
      </c>
      <c r="B717" s="5">
        <v>15021300</v>
      </c>
      <c r="C717" s="5" t="s">
        <v>1098</v>
      </c>
      <c r="D717" s="5" t="s">
        <v>321</v>
      </c>
      <c r="E717" s="5" t="s">
        <v>52</v>
      </c>
      <c r="F717" s="5" t="s">
        <v>62</v>
      </c>
      <c r="G717" s="5" t="s">
        <v>64</v>
      </c>
      <c r="H717" s="5" t="s">
        <v>1050</v>
      </c>
      <c r="I717" s="6">
        <v>44440</v>
      </c>
      <c r="J717" s="5" t="s">
        <v>336</v>
      </c>
      <c r="K717" s="5" t="s">
        <v>336</v>
      </c>
      <c r="L717" s="5" t="s">
        <v>324</v>
      </c>
      <c r="M717" s="7">
        <v>6</v>
      </c>
      <c r="N717" s="7" t="s">
        <v>176</v>
      </c>
      <c r="O717" s="87">
        <v>4678</v>
      </c>
      <c r="P717" s="88">
        <v>0.02</v>
      </c>
      <c r="Q717" s="89">
        <f t="shared" si="145"/>
        <v>94</v>
      </c>
      <c r="R717" s="88">
        <v>5.0000000000000001E-3</v>
      </c>
      <c r="S717" s="89">
        <f t="shared" si="146"/>
        <v>23</v>
      </c>
      <c r="T717" s="88">
        <f t="shared" si="147"/>
        <v>2.5010688328345448E-2</v>
      </c>
      <c r="U717" s="89">
        <f t="shared" si="148"/>
        <v>117</v>
      </c>
      <c r="V717" s="89">
        <f t="shared" si="149"/>
        <v>4795</v>
      </c>
      <c r="W717" s="90">
        <v>4782</v>
      </c>
      <c r="X717" s="91">
        <f t="shared" si="150"/>
        <v>104</v>
      </c>
      <c r="Y717" s="92">
        <f t="shared" si="151"/>
        <v>2.2200000000000001E-2</v>
      </c>
      <c r="Z717" s="93" t="str">
        <f t="shared" si="144"/>
        <v>0.00%-8.40%</v>
      </c>
      <c r="AA717" s="94"/>
      <c r="AB717" s="94"/>
      <c r="AC717" s="94"/>
      <c r="AD717" s="95"/>
      <c r="AE717" s="87">
        <f t="shared" si="152"/>
        <v>0</v>
      </c>
      <c r="AF717" s="96">
        <f t="shared" si="153"/>
        <v>4782</v>
      </c>
      <c r="AG717" s="18">
        <f t="shared" si="154"/>
        <v>104</v>
      </c>
      <c r="AH717" s="97">
        <f t="shared" si="155"/>
        <v>2.2231722958529376E-2</v>
      </c>
      <c r="AI717" s="20">
        <v>13.6</v>
      </c>
      <c r="AJ717" s="20">
        <v>450</v>
      </c>
      <c r="AK717" s="20"/>
      <c r="AL717" s="20">
        <v>688</v>
      </c>
      <c r="AM717" s="20">
        <f t="shared" si="156"/>
        <v>71123.199999999997</v>
      </c>
      <c r="AN717" s="7" t="s">
        <v>176</v>
      </c>
      <c r="AO717" s="20"/>
      <c r="AP717" s="21" t="s">
        <v>1056</v>
      </c>
      <c r="AQ717" s="21"/>
      <c r="AR717" s="5" t="s">
        <v>68</v>
      </c>
      <c r="AS717" s="5" t="s">
        <v>69</v>
      </c>
      <c r="AT717" s="5" t="s">
        <v>59</v>
      </c>
    </row>
    <row r="718" spans="1:46">
      <c r="A718" s="86" t="s">
        <v>318</v>
      </c>
      <c r="B718" s="5">
        <v>15003763</v>
      </c>
      <c r="C718" s="5" t="s">
        <v>1099</v>
      </c>
      <c r="D718" s="5" t="s">
        <v>321</v>
      </c>
      <c r="E718" s="5" t="s">
        <v>52</v>
      </c>
      <c r="F718" s="5" t="s">
        <v>62</v>
      </c>
      <c r="G718" s="5" t="s">
        <v>64</v>
      </c>
      <c r="H718" s="5" t="s">
        <v>1047</v>
      </c>
      <c r="I718" s="6">
        <v>40422</v>
      </c>
      <c r="J718" s="5" t="s">
        <v>336</v>
      </c>
      <c r="K718" s="5" t="s">
        <v>336</v>
      </c>
      <c r="L718" s="5" t="s">
        <v>324</v>
      </c>
      <c r="M718" s="7">
        <v>6</v>
      </c>
      <c r="N718" s="7" t="s">
        <v>176</v>
      </c>
      <c r="O718" s="87">
        <v>4838</v>
      </c>
      <c r="P718" s="88">
        <v>0.02</v>
      </c>
      <c r="Q718" s="89">
        <f t="shared" si="145"/>
        <v>97</v>
      </c>
      <c r="R718" s="88">
        <v>5.0000000000000001E-3</v>
      </c>
      <c r="S718" s="89">
        <f t="shared" si="146"/>
        <v>24</v>
      </c>
      <c r="T718" s="88">
        <f t="shared" si="147"/>
        <v>2.5010334849111204E-2</v>
      </c>
      <c r="U718" s="89">
        <f t="shared" si="148"/>
        <v>121</v>
      </c>
      <c r="V718" s="89">
        <f t="shared" si="149"/>
        <v>4959</v>
      </c>
      <c r="W718" s="90">
        <v>4940</v>
      </c>
      <c r="X718" s="91">
        <f t="shared" si="150"/>
        <v>102</v>
      </c>
      <c r="Y718" s="92">
        <f t="shared" si="151"/>
        <v>2.1100000000000001E-2</v>
      </c>
      <c r="Z718" s="93" t="str">
        <f t="shared" si="144"/>
        <v>0.00%-8.40%</v>
      </c>
      <c r="AA718" s="94"/>
      <c r="AB718" s="94"/>
      <c r="AC718" s="94"/>
      <c r="AD718" s="95"/>
      <c r="AE718" s="87">
        <f t="shared" si="152"/>
        <v>0</v>
      </c>
      <c r="AF718" s="96">
        <f t="shared" si="153"/>
        <v>4940</v>
      </c>
      <c r="AG718" s="18">
        <f t="shared" si="154"/>
        <v>102</v>
      </c>
      <c r="AH718" s="97">
        <f t="shared" si="155"/>
        <v>2.1083092186854113E-2</v>
      </c>
      <c r="AI718" s="20">
        <v>13.6</v>
      </c>
      <c r="AJ718" s="20">
        <v>450</v>
      </c>
      <c r="AK718" s="20"/>
      <c r="AL718" s="20">
        <v>688</v>
      </c>
      <c r="AM718" s="20">
        <f t="shared" si="156"/>
        <v>73272</v>
      </c>
      <c r="AN718" s="7" t="s">
        <v>176</v>
      </c>
      <c r="AO718" s="20"/>
      <c r="AP718" s="21" t="s">
        <v>1056</v>
      </c>
      <c r="AQ718" s="21"/>
      <c r="AR718" s="5" t="s">
        <v>68</v>
      </c>
      <c r="AS718" s="5" t="s">
        <v>69</v>
      </c>
      <c r="AT718" s="5" t="s">
        <v>59</v>
      </c>
    </row>
    <row r="719" spans="1:46">
      <c r="A719" s="86" t="s">
        <v>318</v>
      </c>
      <c r="B719" s="5">
        <v>15001403</v>
      </c>
      <c r="C719" s="5" t="s">
        <v>1100</v>
      </c>
      <c r="D719" s="5" t="s">
        <v>321</v>
      </c>
      <c r="E719" s="5" t="s">
        <v>52</v>
      </c>
      <c r="F719" s="5" t="s">
        <v>62</v>
      </c>
      <c r="G719" s="5" t="s">
        <v>64</v>
      </c>
      <c r="H719" s="5" t="s">
        <v>1047</v>
      </c>
      <c r="I719" s="6">
        <v>39511</v>
      </c>
      <c r="J719" s="5" t="s">
        <v>336</v>
      </c>
      <c r="K719" s="5" t="s">
        <v>336</v>
      </c>
      <c r="L719" s="5" t="s">
        <v>324</v>
      </c>
      <c r="M719" s="7">
        <v>6</v>
      </c>
      <c r="N719" s="7" t="s">
        <v>176</v>
      </c>
      <c r="O719" s="87">
        <v>6492</v>
      </c>
      <c r="P719" s="88">
        <v>0.02</v>
      </c>
      <c r="Q719" s="89">
        <f t="shared" si="145"/>
        <v>130</v>
      </c>
      <c r="R719" s="88">
        <v>5.0000000000000001E-3</v>
      </c>
      <c r="S719" s="89">
        <f t="shared" si="146"/>
        <v>32</v>
      </c>
      <c r="T719" s="88">
        <f t="shared" si="147"/>
        <v>2.4953789279112754E-2</v>
      </c>
      <c r="U719" s="89">
        <f t="shared" si="148"/>
        <v>162</v>
      </c>
      <c r="V719" s="89">
        <f t="shared" si="149"/>
        <v>6654</v>
      </c>
      <c r="W719" s="90">
        <v>6630</v>
      </c>
      <c r="X719" s="91">
        <f t="shared" si="150"/>
        <v>138</v>
      </c>
      <c r="Y719" s="92">
        <f t="shared" si="151"/>
        <v>2.1299999999999999E-2</v>
      </c>
      <c r="Z719" s="93" t="str">
        <f t="shared" si="144"/>
        <v>0.00%-8.40%</v>
      </c>
      <c r="AA719" s="94"/>
      <c r="AB719" s="94"/>
      <c r="AC719" s="94"/>
      <c r="AD719" s="95"/>
      <c r="AE719" s="87">
        <f t="shared" si="152"/>
        <v>0</v>
      </c>
      <c r="AF719" s="96">
        <f t="shared" si="153"/>
        <v>6630</v>
      </c>
      <c r="AG719" s="18">
        <f t="shared" si="154"/>
        <v>138</v>
      </c>
      <c r="AH719" s="97">
        <f t="shared" si="155"/>
        <v>2.1256931608133023E-2</v>
      </c>
      <c r="AI719" s="20">
        <v>13.6</v>
      </c>
      <c r="AJ719" s="20">
        <v>450</v>
      </c>
      <c r="AK719" s="20"/>
      <c r="AL719" s="20">
        <v>688</v>
      </c>
      <c r="AM719" s="20">
        <f t="shared" si="156"/>
        <v>96256</v>
      </c>
      <c r="AN719" s="7" t="s">
        <v>176</v>
      </c>
      <c r="AO719" s="20"/>
      <c r="AP719" s="21" t="s">
        <v>1056</v>
      </c>
      <c r="AQ719" s="21"/>
      <c r="AR719" s="5" t="s">
        <v>68</v>
      </c>
      <c r="AS719" s="5" t="s">
        <v>69</v>
      </c>
      <c r="AT719" s="5" t="s">
        <v>59</v>
      </c>
    </row>
    <row r="720" spans="1:46">
      <c r="A720" s="86" t="s">
        <v>318</v>
      </c>
      <c r="B720" s="5">
        <v>15004465</v>
      </c>
      <c r="C720" s="5" t="s">
        <v>1101</v>
      </c>
      <c r="D720" s="5" t="s">
        <v>321</v>
      </c>
      <c r="E720" s="5" t="s">
        <v>52</v>
      </c>
      <c r="F720" s="5" t="s">
        <v>62</v>
      </c>
      <c r="G720" s="5" t="s">
        <v>64</v>
      </c>
      <c r="H720" s="5" t="s">
        <v>1047</v>
      </c>
      <c r="I720" s="6">
        <v>40575</v>
      </c>
      <c r="J720" s="5" t="s">
        <v>336</v>
      </c>
      <c r="K720" s="5" t="s">
        <v>336</v>
      </c>
      <c r="L720" s="5" t="s">
        <v>324</v>
      </c>
      <c r="M720" s="7">
        <v>6</v>
      </c>
      <c r="N720" s="7" t="s">
        <v>176</v>
      </c>
      <c r="O720" s="87">
        <v>4626</v>
      </c>
      <c r="P720" s="88">
        <v>0.02</v>
      </c>
      <c r="Q720" s="89">
        <f t="shared" si="145"/>
        <v>93</v>
      </c>
      <c r="R720" s="88">
        <v>5.0000000000000001E-3</v>
      </c>
      <c r="S720" s="89">
        <f t="shared" si="146"/>
        <v>23</v>
      </c>
      <c r="T720" s="88">
        <f t="shared" si="147"/>
        <v>2.5075659316904454E-2</v>
      </c>
      <c r="U720" s="89">
        <f t="shared" si="148"/>
        <v>116</v>
      </c>
      <c r="V720" s="89">
        <f t="shared" si="149"/>
        <v>4742</v>
      </c>
      <c r="W720" s="90">
        <v>4710</v>
      </c>
      <c r="X720" s="91">
        <f t="shared" si="150"/>
        <v>84</v>
      </c>
      <c r="Y720" s="92">
        <f t="shared" si="151"/>
        <v>1.8200000000000001E-2</v>
      </c>
      <c r="Z720" s="93" t="str">
        <f t="shared" si="144"/>
        <v>0.00%-8.40%</v>
      </c>
      <c r="AA720" s="94"/>
      <c r="AB720" s="94"/>
      <c r="AC720" s="94"/>
      <c r="AD720" s="95"/>
      <c r="AE720" s="87">
        <f t="shared" si="152"/>
        <v>0</v>
      </c>
      <c r="AF720" s="96">
        <f t="shared" si="153"/>
        <v>4710</v>
      </c>
      <c r="AG720" s="18">
        <f t="shared" si="154"/>
        <v>84</v>
      </c>
      <c r="AH720" s="97">
        <f t="shared" si="155"/>
        <v>1.8158236057068677E-2</v>
      </c>
      <c r="AI720" s="20">
        <v>13.6</v>
      </c>
      <c r="AJ720" s="20">
        <v>700</v>
      </c>
      <c r="AK720" s="20"/>
      <c r="AL720" s="20">
        <v>688</v>
      </c>
      <c r="AM720" s="20">
        <f t="shared" si="156"/>
        <v>73144</v>
      </c>
      <c r="AN720" s="7" t="s">
        <v>176</v>
      </c>
      <c r="AO720" s="20"/>
      <c r="AP720" s="21" t="s">
        <v>1051</v>
      </c>
      <c r="AQ720" s="21"/>
      <c r="AR720" s="5" t="s">
        <v>68</v>
      </c>
      <c r="AS720" s="5" t="s">
        <v>69</v>
      </c>
      <c r="AT720" s="5" t="s">
        <v>59</v>
      </c>
    </row>
    <row r="721" spans="1:46">
      <c r="A721" s="86" t="s">
        <v>318</v>
      </c>
      <c r="B721" s="5">
        <v>15021088</v>
      </c>
      <c r="C721" s="5" t="s">
        <v>1102</v>
      </c>
      <c r="D721" s="5" t="s">
        <v>321</v>
      </c>
      <c r="E721" s="5" t="s">
        <v>52</v>
      </c>
      <c r="F721" s="5" t="s">
        <v>62</v>
      </c>
      <c r="G721" s="5" t="s">
        <v>64</v>
      </c>
      <c r="H721" s="5" t="s">
        <v>1047</v>
      </c>
      <c r="I721" s="6">
        <v>44470</v>
      </c>
      <c r="J721" s="5" t="s">
        <v>336</v>
      </c>
      <c r="K721" s="5" t="s">
        <v>336</v>
      </c>
      <c r="L721" s="5" t="s">
        <v>324</v>
      </c>
      <c r="M721" s="7">
        <v>6</v>
      </c>
      <c r="N721" s="7" t="s">
        <v>176</v>
      </c>
      <c r="O721" s="87">
        <v>4561</v>
      </c>
      <c r="P721" s="88">
        <v>0.02</v>
      </c>
      <c r="Q721" s="89">
        <f t="shared" si="145"/>
        <v>91</v>
      </c>
      <c r="R721" s="88">
        <v>5.0000000000000001E-3</v>
      </c>
      <c r="S721" s="89">
        <f t="shared" si="146"/>
        <v>23</v>
      </c>
      <c r="T721" s="88">
        <f t="shared" si="147"/>
        <v>2.4994518745889059E-2</v>
      </c>
      <c r="U721" s="89">
        <f t="shared" si="148"/>
        <v>114</v>
      </c>
      <c r="V721" s="89">
        <f t="shared" si="149"/>
        <v>4675</v>
      </c>
      <c r="W721" s="90">
        <v>4662</v>
      </c>
      <c r="X721" s="91">
        <f t="shared" si="150"/>
        <v>101</v>
      </c>
      <c r="Y721" s="92">
        <f t="shared" si="151"/>
        <v>2.2100000000000002E-2</v>
      </c>
      <c r="Z721" s="93" t="str">
        <f t="shared" si="144"/>
        <v>0.00%-8.40%</v>
      </c>
      <c r="AA721" s="94"/>
      <c r="AB721" s="94"/>
      <c r="AC721" s="94"/>
      <c r="AD721" s="95"/>
      <c r="AE721" s="87">
        <f t="shared" si="152"/>
        <v>0</v>
      </c>
      <c r="AF721" s="96">
        <f t="shared" si="153"/>
        <v>4662</v>
      </c>
      <c r="AG721" s="18">
        <f t="shared" si="154"/>
        <v>101</v>
      </c>
      <c r="AH721" s="97">
        <f t="shared" si="155"/>
        <v>2.2144266608199903E-2</v>
      </c>
      <c r="AI721" s="20">
        <v>13.6</v>
      </c>
      <c r="AJ721" s="20">
        <v>450</v>
      </c>
      <c r="AK721" s="20"/>
      <c r="AL721" s="20">
        <v>688</v>
      </c>
      <c r="AM721" s="20">
        <f t="shared" si="156"/>
        <v>69491.199999999997</v>
      </c>
      <c r="AN721" s="7" t="s">
        <v>176</v>
      </c>
      <c r="AO721" s="20"/>
      <c r="AP721" s="21" t="s">
        <v>1056</v>
      </c>
      <c r="AQ721" s="21"/>
      <c r="AR721" s="5" t="s">
        <v>68</v>
      </c>
      <c r="AS721" s="5" t="s">
        <v>69</v>
      </c>
      <c r="AT721" s="5" t="s">
        <v>59</v>
      </c>
    </row>
    <row r="722" spans="1:46">
      <c r="A722" s="86" t="s">
        <v>318</v>
      </c>
      <c r="B722" s="5">
        <v>15000885</v>
      </c>
      <c r="C722" s="5" t="s">
        <v>1103</v>
      </c>
      <c r="D722" s="5" t="s">
        <v>321</v>
      </c>
      <c r="E722" s="5" t="s">
        <v>52</v>
      </c>
      <c r="F722" s="5" t="s">
        <v>62</v>
      </c>
      <c r="G722" s="5" t="s">
        <v>64</v>
      </c>
      <c r="H722" s="5" t="s">
        <v>1053</v>
      </c>
      <c r="I722" s="6">
        <v>39142</v>
      </c>
      <c r="J722" s="5" t="s">
        <v>336</v>
      </c>
      <c r="K722" s="5" t="s">
        <v>336</v>
      </c>
      <c r="L722" s="5" t="s">
        <v>324</v>
      </c>
      <c r="M722" s="7">
        <v>6</v>
      </c>
      <c r="N722" s="7" t="s">
        <v>176</v>
      </c>
      <c r="O722" s="87">
        <v>6400</v>
      </c>
      <c r="P722" s="88">
        <v>0.02</v>
      </c>
      <c r="Q722" s="89">
        <f t="shared" si="145"/>
        <v>128</v>
      </c>
      <c r="R722" s="88">
        <v>5.0000000000000001E-3</v>
      </c>
      <c r="S722" s="89">
        <f t="shared" si="146"/>
        <v>32</v>
      </c>
      <c r="T722" s="88">
        <f t="shared" si="147"/>
        <v>2.5000000000000001E-2</v>
      </c>
      <c r="U722" s="89">
        <f t="shared" si="148"/>
        <v>160</v>
      </c>
      <c r="V722" s="89">
        <f t="shared" si="149"/>
        <v>6560</v>
      </c>
      <c r="W722" s="90">
        <v>6600</v>
      </c>
      <c r="X722" s="91">
        <f t="shared" si="150"/>
        <v>200</v>
      </c>
      <c r="Y722" s="92">
        <f t="shared" si="151"/>
        <v>3.1300000000000001E-2</v>
      </c>
      <c r="Z722" s="93" t="str">
        <f t="shared" si="144"/>
        <v>0.00%-8.40%</v>
      </c>
      <c r="AA722" s="94"/>
      <c r="AB722" s="94"/>
      <c r="AC722" s="94"/>
      <c r="AD722" s="95"/>
      <c r="AE722" s="87">
        <f t="shared" si="152"/>
        <v>0</v>
      </c>
      <c r="AF722" s="96">
        <f t="shared" si="153"/>
        <v>6600</v>
      </c>
      <c r="AG722" s="18">
        <f t="shared" si="154"/>
        <v>200</v>
      </c>
      <c r="AH722" s="97">
        <f t="shared" si="155"/>
        <v>3.125E-2</v>
      </c>
      <c r="AI722" s="20">
        <v>13.6</v>
      </c>
      <c r="AJ722" s="20">
        <v>800</v>
      </c>
      <c r="AK722" s="20"/>
      <c r="AL722" s="20">
        <v>688</v>
      </c>
      <c r="AM722" s="20">
        <f t="shared" si="156"/>
        <v>100048</v>
      </c>
      <c r="AN722" s="7" t="s">
        <v>176</v>
      </c>
      <c r="AO722" s="20"/>
      <c r="AP722" s="21" t="s">
        <v>1055</v>
      </c>
      <c r="AQ722" s="21"/>
      <c r="AR722" s="5" t="s">
        <v>68</v>
      </c>
      <c r="AS722" s="5" t="s">
        <v>69</v>
      </c>
      <c r="AT722" s="5" t="s">
        <v>59</v>
      </c>
    </row>
    <row r="723" spans="1:46">
      <c r="A723" s="86" t="s">
        <v>318</v>
      </c>
      <c r="B723" s="5">
        <v>15017525</v>
      </c>
      <c r="C723" s="5" t="s">
        <v>1104</v>
      </c>
      <c r="D723" s="5" t="s">
        <v>321</v>
      </c>
      <c r="E723" s="5" t="s">
        <v>52</v>
      </c>
      <c r="F723" s="5" t="s">
        <v>62</v>
      </c>
      <c r="G723" s="5" t="s">
        <v>64</v>
      </c>
      <c r="H723" s="5" t="s">
        <v>1047</v>
      </c>
      <c r="I723" s="6">
        <v>43070</v>
      </c>
      <c r="J723" s="5" t="s">
        <v>336</v>
      </c>
      <c r="K723" s="5" t="s">
        <v>336</v>
      </c>
      <c r="L723" s="5" t="s">
        <v>324</v>
      </c>
      <c r="M723" s="7">
        <v>6</v>
      </c>
      <c r="N723" s="7" t="s">
        <v>176</v>
      </c>
      <c r="O723" s="87">
        <v>4928</v>
      </c>
      <c r="P723" s="88">
        <v>0.02</v>
      </c>
      <c r="Q723" s="89">
        <f t="shared" si="145"/>
        <v>99</v>
      </c>
      <c r="R723" s="88">
        <v>5.0000000000000001E-3</v>
      </c>
      <c r="S723" s="89">
        <f t="shared" si="146"/>
        <v>25</v>
      </c>
      <c r="T723" s="88">
        <f t="shared" si="147"/>
        <v>2.5162337662337664E-2</v>
      </c>
      <c r="U723" s="89">
        <f t="shared" si="148"/>
        <v>124</v>
      </c>
      <c r="V723" s="89">
        <f t="shared" si="149"/>
        <v>5052</v>
      </c>
      <c r="W723" s="90">
        <v>5040</v>
      </c>
      <c r="X723" s="91">
        <f t="shared" si="150"/>
        <v>112</v>
      </c>
      <c r="Y723" s="92">
        <f t="shared" si="151"/>
        <v>2.2700000000000001E-2</v>
      </c>
      <c r="Z723" s="93" t="str">
        <f t="shared" si="144"/>
        <v>0.00%-8.40%</v>
      </c>
      <c r="AA723" s="94"/>
      <c r="AB723" s="94"/>
      <c r="AC723" s="94"/>
      <c r="AD723" s="95"/>
      <c r="AE723" s="87">
        <f t="shared" si="152"/>
        <v>0</v>
      </c>
      <c r="AF723" s="96">
        <f t="shared" si="153"/>
        <v>5040</v>
      </c>
      <c r="AG723" s="18">
        <f t="shared" si="154"/>
        <v>112</v>
      </c>
      <c r="AH723" s="97">
        <f t="shared" si="155"/>
        <v>2.2727272727272707E-2</v>
      </c>
      <c r="AI723" s="20">
        <v>13.6</v>
      </c>
      <c r="AJ723" s="20">
        <v>500</v>
      </c>
      <c r="AK723" s="20"/>
      <c r="AL723" s="20">
        <v>688</v>
      </c>
      <c r="AM723" s="20">
        <f t="shared" si="156"/>
        <v>75232</v>
      </c>
      <c r="AN723" s="7" t="s">
        <v>176</v>
      </c>
      <c r="AO723" s="20"/>
      <c r="AP723" s="21" t="s">
        <v>1056</v>
      </c>
      <c r="AQ723" s="21"/>
      <c r="AR723" s="5" t="s">
        <v>68</v>
      </c>
      <c r="AS723" s="5" t="s">
        <v>69</v>
      </c>
      <c r="AT723" s="5" t="s">
        <v>59</v>
      </c>
    </row>
    <row r="724" spans="1:46">
      <c r="A724" s="86" t="s">
        <v>318</v>
      </c>
      <c r="B724" s="5">
        <v>15006027</v>
      </c>
      <c r="C724" s="5" t="s">
        <v>1105</v>
      </c>
      <c r="D724" s="5" t="s">
        <v>321</v>
      </c>
      <c r="E724" s="5" t="s">
        <v>52</v>
      </c>
      <c r="F724" s="5" t="s">
        <v>62</v>
      </c>
      <c r="G724" s="5" t="s">
        <v>64</v>
      </c>
      <c r="H724" s="5" t="s">
        <v>1047</v>
      </c>
      <c r="I724" s="6">
        <v>40817</v>
      </c>
      <c r="J724" s="5" t="s">
        <v>336</v>
      </c>
      <c r="K724" s="5" t="s">
        <v>336</v>
      </c>
      <c r="L724" s="5" t="s">
        <v>324</v>
      </c>
      <c r="M724" s="7">
        <v>6</v>
      </c>
      <c r="N724" s="7" t="s">
        <v>176</v>
      </c>
      <c r="O724" s="87">
        <v>4837</v>
      </c>
      <c r="P724" s="88">
        <v>0.02</v>
      </c>
      <c r="Q724" s="89">
        <f t="shared" si="145"/>
        <v>97</v>
      </c>
      <c r="R724" s="88">
        <v>5.0000000000000001E-3</v>
      </c>
      <c r="S724" s="89">
        <f t="shared" si="146"/>
        <v>24</v>
      </c>
      <c r="T724" s="88">
        <f t="shared" si="147"/>
        <v>2.5015505478602439E-2</v>
      </c>
      <c r="U724" s="89">
        <f t="shared" si="148"/>
        <v>121</v>
      </c>
      <c r="V724" s="89">
        <f t="shared" si="149"/>
        <v>4958</v>
      </c>
      <c r="W724" s="90">
        <v>4946</v>
      </c>
      <c r="X724" s="91">
        <f t="shared" si="150"/>
        <v>109</v>
      </c>
      <c r="Y724" s="92">
        <f t="shared" si="151"/>
        <v>2.2499999999999999E-2</v>
      </c>
      <c r="Z724" s="93" t="str">
        <f t="shared" si="144"/>
        <v>0.00%-8.40%</v>
      </c>
      <c r="AA724" s="94"/>
      <c r="AB724" s="94"/>
      <c r="AC724" s="94"/>
      <c r="AD724" s="95"/>
      <c r="AE724" s="87">
        <f t="shared" si="152"/>
        <v>0</v>
      </c>
      <c r="AF724" s="96">
        <f t="shared" si="153"/>
        <v>4946</v>
      </c>
      <c r="AG724" s="18">
        <f t="shared" si="154"/>
        <v>109</v>
      </c>
      <c r="AH724" s="97">
        <f t="shared" si="155"/>
        <v>2.2534628902212139E-2</v>
      </c>
      <c r="AI724" s="20">
        <v>13.6</v>
      </c>
      <c r="AJ724" s="20">
        <v>500</v>
      </c>
      <c r="AK724" s="20"/>
      <c r="AL724" s="20">
        <v>688</v>
      </c>
      <c r="AM724" s="20">
        <f t="shared" si="156"/>
        <v>73953.599999999991</v>
      </c>
      <c r="AN724" s="7" t="s">
        <v>176</v>
      </c>
      <c r="AO724" s="20"/>
      <c r="AP724" s="21" t="s">
        <v>1056</v>
      </c>
      <c r="AQ724" s="21"/>
      <c r="AR724" s="5" t="s">
        <v>68</v>
      </c>
      <c r="AS724" s="5" t="s">
        <v>69</v>
      </c>
      <c r="AT724" s="5" t="s">
        <v>59</v>
      </c>
    </row>
    <row r="725" spans="1:46">
      <c r="A725" s="86" t="s">
        <v>318</v>
      </c>
      <c r="B725" s="5">
        <v>15010633</v>
      </c>
      <c r="C725" s="5" t="s">
        <v>1106</v>
      </c>
      <c r="D725" s="5" t="s">
        <v>321</v>
      </c>
      <c r="E725" s="5" t="s">
        <v>52</v>
      </c>
      <c r="F725" s="5" t="s">
        <v>62</v>
      </c>
      <c r="G725" s="5" t="s">
        <v>64</v>
      </c>
      <c r="H725" s="5" t="s">
        <v>1053</v>
      </c>
      <c r="I725" s="6">
        <v>41821</v>
      </c>
      <c r="J725" s="5" t="s">
        <v>336</v>
      </c>
      <c r="K725" s="5" t="s">
        <v>336</v>
      </c>
      <c r="L725" s="5" t="s">
        <v>324</v>
      </c>
      <c r="M725" s="7">
        <v>6</v>
      </c>
      <c r="N725" s="7" t="s">
        <v>176</v>
      </c>
      <c r="O725" s="87">
        <v>5453</v>
      </c>
      <c r="P725" s="88">
        <v>0.02</v>
      </c>
      <c r="Q725" s="89">
        <f t="shared" si="145"/>
        <v>109</v>
      </c>
      <c r="R725" s="88">
        <v>5.0000000000000001E-3</v>
      </c>
      <c r="S725" s="89">
        <f t="shared" si="146"/>
        <v>27</v>
      </c>
      <c r="T725" s="88">
        <f t="shared" si="147"/>
        <v>2.4940399779937648E-2</v>
      </c>
      <c r="U725" s="89">
        <f t="shared" si="148"/>
        <v>136</v>
      </c>
      <c r="V725" s="89">
        <f t="shared" si="149"/>
        <v>5589</v>
      </c>
      <c r="W725" s="90">
        <v>5570</v>
      </c>
      <c r="X725" s="91">
        <f t="shared" si="150"/>
        <v>117</v>
      </c>
      <c r="Y725" s="92">
        <f t="shared" si="151"/>
        <v>2.1499999999999998E-2</v>
      </c>
      <c r="Z725" s="93" t="str">
        <f t="shared" si="144"/>
        <v>0.00%-8.40%</v>
      </c>
      <c r="AA725" s="94"/>
      <c r="AB725" s="94"/>
      <c r="AC725" s="94"/>
      <c r="AD725" s="95"/>
      <c r="AE725" s="87">
        <f t="shared" si="152"/>
        <v>0</v>
      </c>
      <c r="AF725" s="96">
        <f t="shared" si="153"/>
        <v>5570</v>
      </c>
      <c r="AG725" s="18">
        <f t="shared" si="154"/>
        <v>117</v>
      </c>
      <c r="AH725" s="97">
        <f t="shared" si="155"/>
        <v>2.14560792224463E-2</v>
      </c>
      <c r="AI725" s="20">
        <v>13.6</v>
      </c>
      <c r="AJ725" s="20">
        <v>700</v>
      </c>
      <c r="AK725" s="20"/>
      <c r="AL725" s="20">
        <v>688</v>
      </c>
      <c r="AM725" s="20">
        <f t="shared" si="156"/>
        <v>84840</v>
      </c>
      <c r="AN725" s="7" t="s">
        <v>176</v>
      </c>
      <c r="AO725" s="20"/>
      <c r="AP725" s="21" t="s">
        <v>1056</v>
      </c>
      <c r="AQ725" s="21"/>
      <c r="AR725" s="5" t="s">
        <v>68</v>
      </c>
      <c r="AS725" s="5" t="s">
        <v>69</v>
      </c>
      <c r="AT725" s="5" t="s">
        <v>59</v>
      </c>
    </row>
    <row r="726" spans="1:46">
      <c r="A726" s="86" t="s">
        <v>318</v>
      </c>
      <c r="B726" s="5">
        <v>15000849</v>
      </c>
      <c r="C726" s="5" t="s">
        <v>1107</v>
      </c>
      <c r="D726" s="5" t="s">
        <v>321</v>
      </c>
      <c r="E726" s="5" t="s">
        <v>52</v>
      </c>
      <c r="F726" s="5" t="s">
        <v>62</v>
      </c>
      <c r="G726" s="5" t="s">
        <v>64</v>
      </c>
      <c r="H726" s="5" t="s">
        <v>1050</v>
      </c>
      <c r="I726" s="6">
        <v>39126</v>
      </c>
      <c r="J726" s="5" t="s">
        <v>336</v>
      </c>
      <c r="K726" s="5" t="s">
        <v>336</v>
      </c>
      <c r="L726" s="5" t="s">
        <v>324</v>
      </c>
      <c r="M726" s="7">
        <v>6</v>
      </c>
      <c r="N726" s="7" t="s">
        <v>176</v>
      </c>
      <c r="O726" s="87">
        <v>6192</v>
      </c>
      <c r="P726" s="88">
        <v>0.02</v>
      </c>
      <c r="Q726" s="89">
        <f t="shared" si="145"/>
        <v>124</v>
      </c>
      <c r="R726" s="88">
        <v>5.0000000000000001E-3</v>
      </c>
      <c r="S726" s="89">
        <f t="shared" si="146"/>
        <v>31</v>
      </c>
      <c r="T726" s="88">
        <f t="shared" si="147"/>
        <v>2.5032299741602069E-2</v>
      </c>
      <c r="U726" s="89">
        <f t="shared" si="148"/>
        <v>155</v>
      </c>
      <c r="V726" s="89">
        <f t="shared" si="149"/>
        <v>6347</v>
      </c>
      <c r="W726" s="90">
        <v>6380</v>
      </c>
      <c r="X726" s="91">
        <f t="shared" si="150"/>
        <v>188</v>
      </c>
      <c r="Y726" s="92">
        <f t="shared" si="151"/>
        <v>3.04E-2</v>
      </c>
      <c r="Z726" s="93" t="str">
        <f t="shared" si="144"/>
        <v>0.00%-8.40%</v>
      </c>
      <c r="AA726" s="94"/>
      <c r="AB726" s="94"/>
      <c r="AC726" s="94"/>
      <c r="AD726" s="95"/>
      <c r="AE726" s="87">
        <f t="shared" si="152"/>
        <v>0</v>
      </c>
      <c r="AF726" s="96">
        <f t="shared" si="153"/>
        <v>6380</v>
      </c>
      <c r="AG726" s="18">
        <f t="shared" si="154"/>
        <v>188</v>
      </c>
      <c r="AH726" s="97">
        <f t="shared" si="155"/>
        <v>3.0361757105943132E-2</v>
      </c>
      <c r="AI726" s="20">
        <v>13.6</v>
      </c>
      <c r="AJ726" s="20">
        <v>700</v>
      </c>
      <c r="AK726" s="20"/>
      <c r="AL726" s="20">
        <v>688</v>
      </c>
      <c r="AM726" s="20">
        <f t="shared" si="156"/>
        <v>95856</v>
      </c>
      <c r="AN726" s="7" t="s">
        <v>176</v>
      </c>
      <c r="AO726" s="20"/>
      <c r="AP726" s="21" t="s">
        <v>1055</v>
      </c>
      <c r="AQ726" s="21"/>
      <c r="AR726" s="5" t="s">
        <v>68</v>
      </c>
      <c r="AS726" s="5" t="s">
        <v>69</v>
      </c>
      <c r="AT726" s="5" t="s">
        <v>59</v>
      </c>
    </row>
    <row r="727" spans="1:46">
      <c r="A727" s="86" t="s">
        <v>318</v>
      </c>
      <c r="B727" s="5">
        <v>15001132</v>
      </c>
      <c r="C727" s="5" t="s">
        <v>1108</v>
      </c>
      <c r="D727" s="5" t="s">
        <v>321</v>
      </c>
      <c r="E727" s="5" t="s">
        <v>52</v>
      </c>
      <c r="F727" s="5" t="s">
        <v>62</v>
      </c>
      <c r="G727" s="5" t="s">
        <v>64</v>
      </c>
      <c r="H727" s="5" t="s">
        <v>1053</v>
      </c>
      <c r="I727" s="6">
        <v>39448</v>
      </c>
      <c r="J727" s="5" t="s">
        <v>336</v>
      </c>
      <c r="K727" s="5" t="s">
        <v>336</v>
      </c>
      <c r="L727" s="5" t="s">
        <v>324</v>
      </c>
      <c r="M727" s="7">
        <v>6</v>
      </c>
      <c r="N727" s="7" t="s">
        <v>176</v>
      </c>
      <c r="O727" s="87">
        <v>4440</v>
      </c>
      <c r="P727" s="88">
        <v>0.02</v>
      </c>
      <c r="Q727" s="89">
        <f t="shared" si="145"/>
        <v>89</v>
      </c>
      <c r="R727" s="88">
        <v>5.0000000000000001E-3</v>
      </c>
      <c r="S727" s="89">
        <f t="shared" si="146"/>
        <v>22</v>
      </c>
      <c r="T727" s="88">
        <f t="shared" si="147"/>
        <v>2.5000000000000001E-2</v>
      </c>
      <c r="U727" s="89">
        <f t="shared" si="148"/>
        <v>111</v>
      </c>
      <c r="V727" s="89">
        <f t="shared" si="149"/>
        <v>4551</v>
      </c>
      <c r="W727" s="90">
        <v>4540</v>
      </c>
      <c r="X727" s="91">
        <f t="shared" si="150"/>
        <v>100</v>
      </c>
      <c r="Y727" s="92">
        <f t="shared" si="151"/>
        <v>2.2499999999999999E-2</v>
      </c>
      <c r="Z727" s="93" t="str">
        <f t="shared" si="144"/>
        <v>0.00%-8.40%</v>
      </c>
      <c r="AA727" s="94"/>
      <c r="AB727" s="94"/>
      <c r="AC727" s="94"/>
      <c r="AD727" s="95"/>
      <c r="AE727" s="87">
        <f t="shared" si="152"/>
        <v>0</v>
      </c>
      <c r="AF727" s="96">
        <f t="shared" si="153"/>
        <v>4540</v>
      </c>
      <c r="AG727" s="18">
        <f t="shared" si="154"/>
        <v>100</v>
      </c>
      <c r="AH727" s="97">
        <f t="shared" si="155"/>
        <v>2.2522522522522515E-2</v>
      </c>
      <c r="AI727" s="20">
        <v>13.6</v>
      </c>
      <c r="AJ727" s="20">
        <v>700</v>
      </c>
      <c r="AK727" s="20"/>
      <c r="AL727" s="20">
        <v>688</v>
      </c>
      <c r="AM727" s="20">
        <f t="shared" si="156"/>
        <v>70832</v>
      </c>
      <c r="AN727" s="7" t="s">
        <v>176</v>
      </c>
      <c r="AO727" s="20"/>
      <c r="AP727" s="21" t="s">
        <v>1056</v>
      </c>
      <c r="AQ727" s="21"/>
      <c r="AR727" s="5" t="s">
        <v>68</v>
      </c>
      <c r="AS727" s="5" t="s">
        <v>69</v>
      </c>
      <c r="AT727" s="5" t="s">
        <v>59</v>
      </c>
    </row>
    <row r="728" spans="1:46">
      <c r="A728" s="86" t="s">
        <v>318</v>
      </c>
      <c r="B728" s="5">
        <v>15008460</v>
      </c>
      <c r="C728" s="5" t="s">
        <v>1109</v>
      </c>
      <c r="D728" s="5" t="s">
        <v>321</v>
      </c>
      <c r="E728" s="5" t="s">
        <v>52</v>
      </c>
      <c r="F728" s="5" t="s">
        <v>62</v>
      </c>
      <c r="G728" s="5" t="s">
        <v>64</v>
      </c>
      <c r="H728" s="5" t="s">
        <v>1050</v>
      </c>
      <c r="I728" s="6">
        <v>41426</v>
      </c>
      <c r="J728" s="5" t="s">
        <v>336</v>
      </c>
      <c r="K728" s="5" t="s">
        <v>336</v>
      </c>
      <c r="L728" s="5" t="s">
        <v>324</v>
      </c>
      <c r="M728" s="7">
        <v>6</v>
      </c>
      <c r="N728" s="7" t="s">
        <v>176</v>
      </c>
      <c r="O728" s="87">
        <v>4675</v>
      </c>
      <c r="P728" s="88">
        <v>0.02</v>
      </c>
      <c r="Q728" s="89">
        <f t="shared" si="145"/>
        <v>94</v>
      </c>
      <c r="R728" s="88">
        <v>5.0000000000000001E-3</v>
      </c>
      <c r="S728" s="89">
        <f t="shared" si="146"/>
        <v>23</v>
      </c>
      <c r="T728" s="88">
        <f t="shared" si="147"/>
        <v>2.502673796791444E-2</v>
      </c>
      <c r="U728" s="89">
        <f t="shared" si="148"/>
        <v>117</v>
      </c>
      <c r="V728" s="89">
        <f t="shared" si="149"/>
        <v>4792</v>
      </c>
      <c r="W728" s="90">
        <v>4778</v>
      </c>
      <c r="X728" s="91">
        <f t="shared" si="150"/>
        <v>103</v>
      </c>
      <c r="Y728" s="92">
        <f t="shared" si="151"/>
        <v>2.1999999999999999E-2</v>
      </c>
      <c r="Z728" s="93" t="str">
        <f t="shared" si="144"/>
        <v>0.00%-8.40%</v>
      </c>
      <c r="AA728" s="94"/>
      <c r="AB728" s="94"/>
      <c r="AC728" s="94"/>
      <c r="AD728" s="95"/>
      <c r="AE728" s="87">
        <f t="shared" si="152"/>
        <v>0</v>
      </c>
      <c r="AF728" s="96">
        <f t="shared" si="153"/>
        <v>4778</v>
      </c>
      <c r="AG728" s="18">
        <f t="shared" si="154"/>
        <v>103</v>
      </c>
      <c r="AH728" s="97">
        <f t="shared" si="155"/>
        <v>2.2032085561497272E-2</v>
      </c>
      <c r="AI728" s="20">
        <v>13.6</v>
      </c>
      <c r="AJ728" s="20">
        <v>500</v>
      </c>
      <c r="AK728" s="20"/>
      <c r="AL728" s="20">
        <v>688</v>
      </c>
      <c r="AM728" s="20">
        <f t="shared" si="156"/>
        <v>71668.799999999988</v>
      </c>
      <c r="AN728" s="7" t="s">
        <v>176</v>
      </c>
      <c r="AO728" s="20"/>
      <c r="AP728" s="21" t="s">
        <v>1056</v>
      </c>
      <c r="AQ728" s="21"/>
      <c r="AR728" s="5" t="s">
        <v>68</v>
      </c>
      <c r="AS728" s="5" t="s">
        <v>69</v>
      </c>
      <c r="AT728" s="5" t="s">
        <v>59</v>
      </c>
    </row>
    <row r="729" spans="1:46">
      <c r="A729" s="86" t="s">
        <v>318</v>
      </c>
      <c r="B729" s="5">
        <v>15015602</v>
      </c>
      <c r="C729" s="5" t="s">
        <v>1110</v>
      </c>
      <c r="D729" s="5" t="s">
        <v>321</v>
      </c>
      <c r="E729" s="5" t="s">
        <v>52</v>
      </c>
      <c r="F729" s="5" t="s">
        <v>62</v>
      </c>
      <c r="G729" s="5" t="s">
        <v>64</v>
      </c>
      <c r="H729" s="5" t="s">
        <v>1050</v>
      </c>
      <c r="I729" s="6">
        <v>42620</v>
      </c>
      <c r="J729" s="5" t="s">
        <v>336</v>
      </c>
      <c r="K729" s="5" t="s">
        <v>336</v>
      </c>
      <c r="L729" s="5" t="s">
        <v>324</v>
      </c>
      <c r="M729" s="7">
        <v>6</v>
      </c>
      <c r="N729" s="7" t="s">
        <v>176</v>
      </c>
      <c r="O729" s="87">
        <v>4982</v>
      </c>
      <c r="P729" s="88">
        <v>0.02</v>
      </c>
      <c r="Q729" s="89">
        <f t="shared" si="145"/>
        <v>100</v>
      </c>
      <c r="R729" s="88">
        <v>5.0000000000000001E-3</v>
      </c>
      <c r="S729" s="89">
        <f t="shared" si="146"/>
        <v>25</v>
      </c>
      <c r="T729" s="88">
        <f t="shared" si="147"/>
        <v>2.509032517061421E-2</v>
      </c>
      <c r="U729" s="89">
        <f t="shared" si="148"/>
        <v>125</v>
      </c>
      <c r="V729" s="89">
        <f t="shared" si="149"/>
        <v>5107</v>
      </c>
      <c r="W729" s="90">
        <v>5100</v>
      </c>
      <c r="X729" s="91">
        <f t="shared" si="150"/>
        <v>118</v>
      </c>
      <c r="Y729" s="92">
        <f t="shared" si="151"/>
        <v>2.3699999999999999E-2</v>
      </c>
      <c r="Z729" s="93" t="str">
        <f t="shared" si="144"/>
        <v>0.00%-8.40%</v>
      </c>
      <c r="AA729" s="94"/>
      <c r="AB729" s="94"/>
      <c r="AC729" s="94"/>
      <c r="AD729" s="95"/>
      <c r="AE729" s="87">
        <f t="shared" si="152"/>
        <v>0</v>
      </c>
      <c r="AF729" s="96">
        <f t="shared" si="153"/>
        <v>5100</v>
      </c>
      <c r="AG729" s="18">
        <f t="shared" si="154"/>
        <v>118</v>
      </c>
      <c r="AH729" s="97">
        <f t="shared" si="155"/>
        <v>2.3685266961059881E-2</v>
      </c>
      <c r="AI729" s="20">
        <v>13.6</v>
      </c>
      <c r="AJ729" s="20">
        <v>700</v>
      </c>
      <c r="AK729" s="20"/>
      <c r="AL729" s="20">
        <v>688</v>
      </c>
      <c r="AM729" s="20">
        <f t="shared" si="156"/>
        <v>78448</v>
      </c>
      <c r="AN729" s="7" t="s">
        <v>176</v>
      </c>
      <c r="AO729" s="20"/>
      <c r="AP729" s="21" t="s">
        <v>1056</v>
      </c>
      <c r="AQ729" s="21"/>
      <c r="AR729" s="5" t="s">
        <v>68</v>
      </c>
      <c r="AS729" s="5" t="s">
        <v>69</v>
      </c>
      <c r="AT729" s="5" t="s">
        <v>59</v>
      </c>
    </row>
    <row r="730" spans="1:46">
      <c r="A730" s="86" t="s">
        <v>318</v>
      </c>
      <c r="B730" s="5">
        <v>15018921</v>
      </c>
      <c r="C730" s="5" t="s">
        <v>1111</v>
      </c>
      <c r="D730" s="5" t="s">
        <v>321</v>
      </c>
      <c r="E730" s="5" t="s">
        <v>52</v>
      </c>
      <c r="F730" s="5" t="s">
        <v>62</v>
      </c>
      <c r="G730" s="5" t="s">
        <v>64</v>
      </c>
      <c r="H730" s="5" t="s">
        <v>1047</v>
      </c>
      <c r="I730" s="6">
        <v>43166</v>
      </c>
      <c r="J730" s="5" t="s">
        <v>336</v>
      </c>
      <c r="K730" s="5" t="s">
        <v>336</v>
      </c>
      <c r="L730" s="5" t="s">
        <v>324</v>
      </c>
      <c r="M730" s="7">
        <v>6</v>
      </c>
      <c r="N730" s="7" t="s">
        <v>176</v>
      </c>
      <c r="O730" s="87">
        <v>4882</v>
      </c>
      <c r="P730" s="88">
        <v>0.02</v>
      </c>
      <c r="Q730" s="89">
        <f t="shared" si="145"/>
        <v>98</v>
      </c>
      <c r="R730" s="88">
        <v>5.0000000000000001E-3</v>
      </c>
      <c r="S730" s="89">
        <f t="shared" si="146"/>
        <v>24</v>
      </c>
      <c r="T730" s="88">
        <f t="shared" si="147"/>
        <v>2.4989758295780418E-2</v>
      </c>
      <c r="U730" s="89">
        <f t="shared" si="148"/>
        <v>122</v>
      </c>
      <c r="V730" s="89">
        <f t="shared" si="149"/>
        <v>5004</v>
      </c>
      <c r="W730" s="90">
        <v>4990</v>
      </c>
      <c r="X730" s="91">
        <f t="shared" si="150"/>
        <v>108</v>
      </c>
      <c r="Y730" s="92">
        <f t="shared" si="151"/>
        <v>2.2100000000000002E-2</v>
      </c>
      <c r="Z730" s="93" t="str">
        <f t="shared" si="144"/>
        <v>0.00%-8.40%</v>
      </c>
      <c r="AA730" s="94"/>
      <c r="AB730" s="94"/>
      <c r="AC730" s="94"/>
      <c r="AD730" s="95"/>
      <c r="AE730" s="87">
        <f t="shared" si="152"/>
        <v>0</v>
      </c>
      <c r="AF730" s="96">
        <f t="shared" si="153"/>
        <v>4990</v>
      </c>
      <c r="AG730" s="18">
        <f t="shared" si="154"/>
        <v>108</v>
      </c>
      <c r="AH730" s="97">
        <f t="shared" si="155"/>
        <v>2.2122081114297476E-2</v>
      </c>
      <c r="AI730" s="20">
        <v>13.6</v>
      </c>
      <c r="AJ730" s="20">
        <v>450</v>
      </c>
      <c r="AK730" s="20"/>
      <c r="AL730" s="20">
        <v>688</v>
      </c>
      <c r="AM730" s="20">
        <f t="shared" si="156"/>
        <v>73952</v>
      </c>
      <c r="AN730" s="7" t="s">
        <v>176</v>
      </c>
      <c r="AO730" s="20"/>
      <c r="AP730" s="21" t="s">
        <v>1056</v>
      </c>
      <c r="AQ730" s="21"/>
      <c r="AR730" s="5" t="s">
        <v>68</v>
      </c>
      <c r="AS730" s="5" t="s">
        <v>69</v>
      </c>
      <c r="AT730" s="5" t="s">
        <v>59</v>
      </c>
    </row>
    <row r="731" spans="1:46">
      <c r="A731" s="86" t="s">
        <v>318</v>
      </c>
      <c r="B731" s="5">
        <v>15012216</v>
      </c>
      <c r="C731" s="5" t="s">
        <v>1112</v>
      </c>
      <c r="D731" s="5" t="s">
        <v>321</v>
      </c>
      <c r="E731" s="5" t="s">
        <v>52</v>
      </c>
      <c r="F731" s="5" t="s">
        <v>62</v>
      </c>
      <c r="G731" s="5" t="s">
        <v>64</v>
      </c>
      <c r="H731" s="5" t="s">
        <v>1050</v>
      </c>
      <c r="I731" s="6">
        <v>41760</v>
      </c>
      <c r="J731" s="5" t="s">
        <v>336</v>
      </c>
      <c r="K731" s="5" t="s">
        <v>336</v>
      </c>
      <c r="L731" s="5" t="s">
        <v>324</v>
      </c>
      <c r="M731" s="7">
        <v>6</v>
      </c>
      <c r="N731" s="7" t="s">
        <v>176</v>
      </c>
      <c r="O731" s="87">
        <v>5118</v>
      </c>
      <c r="P731" s="88">
        <v>0.02</v>
      </c>
      <c r="Q731" s="89">
        <f t="shared" si="145"/>
        <v>102</v>
      </c>
      <c r="R731" s="88">
        <v>5.0000000000000001E-3</v>
      </c>
      <c r="S731" s="89">
        <f t="shared" si="146"/>
        <v>26</v>
      </c>
      <c r="T731" s="88">
        <f t="shared" si="147"/>
        <v>2.5009769441187966E-2</v>
      </c>
      <c r="U731" s="89">
        <f t="shared" si="148"/>
        <v>128</v>
      </c>
      <c r="V731" s="89">
        <f t="shared" si="149"/>
        <v>5246</v>
      </c>
      <c r="W731" s="90">
        <f t="shared" ref="W731" si="157">V731</f>
        <v>5246</v>
      </c>
      <c r="X731" s="91">
        <f t="shared" si="150"/>
        <v>128</v>
      </c>
      <c r="Y731" s="92">
        <f t="shared" si="151"/>
        <v>2.5000000000000001E-2</v>
      </c>
      <c r="Z731" s="93" t="str">
        <f t="shared" si="144"/>
        <v>0.00%-8.40%</v>
      </c>
      <c r="AA731" s="94"/>
      <c r="AB731" s="94"/>
      <c r="AC731" s="94"/>
      <c r="AD731" s="95"/>
      <c r="AE731" s="87">
        <f t="shared" si="152"/>
        <v>0</v>
      </c>
      <c r="AF731" s="96">
        <f t="shared" si="153"/>
        <v>5246</v>
      </c>
      <c r="AG731" s="18">
        <f t="shared" si="154"/>
        <v>128</v>
      </c>
      <c r="AH731" s="97">
        <f t="shared" si="155"/>
        <v>2.5009769441187935E-2</v>
      </c>
      <c r="AI731" s="20">
        <v>13.6</v>
      </c>
      <c r="AJ731" s="20">
        <v>700</v>
      </c>
      <c r="AK731" s="20"/>
      <c r="AL731" s="20">
        <v>688</v>
      </c>
      <c r="AM731" s="20">
        <f t="shared" si="156"/>
        <v>80433.599999999991</v>
      </c>
      <c r="AN731" s="7" t="s">
        <v>176</v>
      </c>
      <c r="AO731" s="20"/>
      <c r="AP731" s="21" t="s">
        <v>1056</v>
      </c>
      <c r="AQ731" s="21"/>
      <c r="AR731" s="5" t="s">
        <v>68</v>
      </c>
      <c r="AS731" s="5" t="s">
        <v>69</v>
      </c>
      <c r="AT731" s="5" t="s">
        <v>59</v>
      </c>
    </row>
    <row r="732" spans="1:46">
      <c r="A732" s="86" t="s">
        <v>318</v>
      </c>
      <c r="B732" s="5">
        <v>15008530</v>
      </c>
      <c r="C732" s="5" t="s">
        <v>1113</v>
      </c>
      <c r="D732" s="5" t="s">
        <v>321</v>
      </c>
      <c r="E732" s="5" t="s">
        <v>52</v>
      </c>
      <c r="F732" s="5" t="s">
        <v>62</v>
      </c>
      <c r="G732" s="5" t="s">
        <v>64</v>
      </c>
      <c r="H732" s="5" t="s">
        <v>1053</v>
      </c>
      <c r="I732" s="6">
        <v>41244</v>
      </c>
      <c r="J732" s="5" t="s">
        <v>336</v>
      </c>
      <c r="K732" s="5" t="s">
        <v>336</v>
      </c>
      <c r="L732" s="5" t="s">
        <v>324</v>
      </c>
      <c r="M732" s="7">
        <v>6</v>
      </c>
      <c r="N732" s="7" t="s">
        <v>176</v>
      </c>
      <c r="O732" s="87">
        <v>6300</v>
      </c>
      <c r="P732" s="88">
        <v>0.02</v>
      </c>
      <c r="Q732" s="89">
        <f t="shared" si="145"/>
        <v>126</v>
      </c>
      <c r="R732" s="88">
        <v>5.0000000000000001E-3</v>
      </c>
      <c r="S732" s="89">
        <f t="shared" si="146"/>
        <v>32</v>
      </c>
      <c r="T732" s="88">
        <f t="shared" si="147"/>
        <v>2.507936507936508E-2</v>
      </c>
      <c r="U732" s="89">
        <f t="shared" si="148"/>
        <v>158</v>
      </c>
      <c r="V732" s="89">
        <f t="shared" si="149"/>
        <v>6458</v>
      </c>
      <c r="W732" s="90">
        <v>6500</v>
      </c>
      <c r="X732" s="91">
        <f t="shared" si="150"/>
        <v>200</v>
      </c>
      <c r="Y732" s="92">
        <f t="shared" si="151"/>
        <v>3.1699999999999999E-2</v>
      </c>
      <c r="Z732" s="93" t="str">
        <f t="shared" si="144"/>
        <v>0.00%-8.40%</v>
      </c>
      <c r="AA732" s="94"/>
      <c r="AB732" s="94"/>
      <c r="AC732" s="94"/>
      <c r="AD732" s="95"/>
      <c r="AE732" s="87">
        <f t="shared" si="152"/>
        <v>0</v>
      </c>
      <c r="AF732" s="96">
        <f t="shared" si="153"/>
        <v>6500</v>
      </c>
      <c r="AG732" s="18">
        <f t="shared" si="154"/>
        <v>200</v>
      </c>
      <c r="AH732" s="97">
        <f t="shared" si="155"/>
        <v>3.1746031746031855E-2</v>
      </c>
      <c r="AI732" s="20">
        <v>13.6</v>
      </c>
      <c r="AJ732" s="20">
        <v>700</v>
      </c>
      <c r="AK732" s="20"/>
      <c r="AL732" s="20">
        <v>688</v>
      </c>
      <c r="AM732" s="20">
        <f t="shared" si="156"/>
        <v>97488</v>
      </c>
      <c r="AN732" s="7" t="s">
        <v>176</v>
      </c>
      <c r="AO732" s="20"/>
      <c r="AP732" s="21" t="s">
        <v>1055</v>
      </c>
      <c r="AQ732" s="21"/>
      <c r="AR732" s="5" t="s">
        <v>68</v>
      </c>
      <c r="AS732" s="5" t="s">
        <v>69</v>
      </c>
      <c r="AT732" s="5" t="s">
        <v>59</v>
      </c>
    </row>
    <row r="733" spans="1:46">
      <c r="A733" s="86" t="s">
        <v>318</v>
      </c>
      <c r="B733" s="5">
        <v>15006424</v>
      </c>
      <c r="C733" s="5" t="s">
        <v>1114</v>
      </c>
      <c r="D733" s="5" t="s">
        <v>321</v>
      </c>
      <c r="E733" s="5" t="s">
        <v>52</v>
      </c>
      <c r="F733" s="5" t="s">
        <v>62</v>
      </c>
      <c r="G733" s="5" t="s">
        <v>64</v>
      </c>
      <c r="H733" s="5" t="s">
        <v>1050</v>
      </c>
      <c r="I733" s="6">
        <v>40909</v>
      </c>
      <c r="J733" s="5" t="s">
        <v>336</v>
      </c>
      <c r="K733" s="5" t="s">
        <v>336</v>
      </c>
      <c r="L733" s="5" t="s">
        <v>324</v>
      </c>
      <c r="M733" s="7">
        <v>6</v>
      </c>
      <c r="N733" s="7" t="s">
        <v>176</v>
      </c>
      <c r="O733" s="87">
        <v>5003</v>
      </c>
      <c r="P733" s="88">
        <v>0.02</v>
      </c>
      <c r="Q733" s="89">
        <f t="shared" si="145"/>
        <v>100</v>
      </c>
      <c r="R733" s="88">
        <v>5.0000000000000001E-3</v>
      </c>
      <c r="S733" s="89">
        <f t="shared" si="146"/>
        <v>25</v>
      </c>
      <c r="T733" s="88">
        <f t="shared" si="147"/>
        <v>2.498500899460324E-2</v>
      </c>
      <c r="U733" s="89">
        <f t="shared" si="148"/>
        <v>125</v>
      </c>
      <c r="V733" s="89">
        <f t="shared" si="149"/>
        <v>5128</v>
      </c>
      <c r="W733" s="90">
        <v>5115</v>
      </c>
      <c r="X733" s="91">
        <f t="shared" si="150"/>
        <v>112</v>
      </c>
      <c r="Y733" s="92">
        <f t="shared" si="151"/>
        <v>2.24E-2</v>
      </c>
      <c r="Z733" s="93" t="str">
        <f t="shared" si="144"/>
        <v>0.00%-8.40%</v>
      </c>
      <c r="AA733" s="94"/>
      <c r="AB733" s="94"/>
      <c r="AC733" s="94"/>
      <c r="AD733" s="95"/>
      <c r="AE733" s="87">
        <f t="shared" si="152"/>
        <v>0</v>
      </c>
      <c r="AF733" s="96">
        <f t="shared" si="153"/>
        <v>5115</v>
      </c>
      <c r="AG733" s="18">
        <f t="shared" si="154"/>
        <v>112</v>
      </c>
      <c r="AH733" s="97">
        <f t="shared" si="155"/>
        <v>2.2386568059164391E-2</v>
      </c>
      <c r="AI733" s="20">
        <v>13.6</v>
      </c>
      <c r="AJ733" s="20">
        <v>800</v>
      </c>
      <c r="AK733" s="20"/>
      <c r="AL733" s="20">
        <v>688</v>
      </c>
      <c r="AM733" s="20">
        <f t="shared" si="156"/>
        <v>79852</v>
      </c>
      <c r="AN733" s="7" t="s">
        <v>176</v>
      </c>
      <c r="AO733" s="20"/>
      <c r="AP733" s="21" t="s">
        <v>1056</v>
      </c>
      <c r="AQ733" s="21"/>
      <c r="AR733" s="5" t="s">
        <v>68</v>
      </c>
      <c r="AS733" s="5" t="s">
        <v>69</v>
      </c>
      <c r="AT733" s="5" t="s">
        <v>59</v>
      </c>
    </row>
    <row r="734" spans="1:46">
      <c r="A734" s="86" t="s">
        <v>318</v>
      </c>
      <c r="B734" s="5">
        <v>15010837</v>
      </c>
      <c r="C734" s="5" t="s">
        <v>1115</v>
      </c>
      <c r="D734" s="5" t="s">
        <v>321</v>
      </c>
      <c r="E734" s="5" t="s">
        <v>52</v>
      </c>
      <c r="F734" s="5" t="s">
        <v>62</v>
      </c>
      <c r="G734" s="5" t="s">
        <v>64</v>
      </c>
      <c r="H734" s="5" t="s">
        <v>1050</v>
      </c>
      <c r="I734" s="6">
        <v>41821</v>
      </c>
      <c r="J734" s="5" t="s">
        <v>336</v>
      </c>
      <c r="K734" s="5" t="s">
        <v>336</v>
      </c>
      <c r="L734" s="5" t="s">
        <v>324</v>
      </c>
      <c r="M734" s="7">
        <v>6</v>
      </c>
      <c r="N734" s="7" t="s">
        <v>176</v>
      </c>
      <c r="O734" s="87">
        <v>5228</v>
      </c>
      <c r="P734" s="88">
        <v>0.02</v>
      </c>
      <c r="Q734" s="89">
        <f t="shared" si="145"/>
        <v>105</v>
      </c>
      <c r="R734" s="88">
        <v>5.0000000000000001E-3</v>
      </c>
      <c r="S734" s="89">
        <f t="shared" si="146"/>
        <v>26</v>
      </c>
      <c r="T734" s="88">
        <f t="shared" si="147"/>
        <v>2.5057383320581484E-2</v>
      </c>
      <c r="U734" s="89">
        <f t="shared" si="148"/>
        <v>131</v>
      </c>
      <c r="V734" s="89">
        <f t="shared" si="149"/>
        <v>5359</v>
      </c>
      <c r="W734" s="90">
        <v>5340</v>
      </c>
      <c r="X734" s="91">
        <f t="shared" si="150"/>
        <v>112</v>
      </c>
      <c r="Y734" s="92">
        <f t="shared" si="151"/>
        <v>2.1399999999999999E-2</v>
      </c>
      <c r="Z734" s="93" t="str">
        <f t="shared" si="144"/>
        <v>0.00%-8.40%</v>
      </c>
      <c r="AA734" s="94"/>
      <c r="AB734" s="94"/>
      <c r="AC734" s="94"/>
      <c r="AD734" s="95"/>
      <c r="AE734" s="87">
        <f t="shared" si="152"/>
        <v>0</v>
      </c>
      <c r="AF734" s="96">
        <f t="shared" si="153"/>
        <v>5340</v>
      </c>
      <c r="AG734" s="18">
        <f t="shared" si="154"/>
        <v>112</v>
      </c>
      <c r="AH734" s="97">
        <f t="shared" si="155"/>
        <v>2.1423106350420884E-2</v>
      </c>
      <c r="AI734" s="20">
        <v>13.6</v>
      </c>
      <c r="AJ734" s="20">
        <v>700</v>
      </c>
      <c r="AK734" s="20"/>
      <c r="AL734" s="20">
        <v>688</v>
      </c>
      <c r="AM734" s="20">
        <f t="shared" si="156"/>
        <v>81712</v>
      </c>
      <c r="AN734" s="7" t="s">
        <v>176</v>
      </c>
      <c r="AO734" s="20"/>
      <c r="AP734" s="21" t="s">
        <v>1056</v>
      </c>
      <c r="AQ734" s="21"/>
      <c r="AR734" s="5" t="s">
        <v>68</v>
      </c>
      <c r="AS734" s="5" t="s">
        <v>69</v>
      </c>
      <c r="AT734" s="5" t="s">
        <v>59</v>
      </c>
    </row>
    <row r="735" spans="1:46">
      <c r="A735" s="86" t="s">
        <v>318</v>
      </c>
      <c r="B735" s="5">
        <v>15008986</v>
      </c>
      <c r="C735" s="5" t="s">
        <v>1116</v>
      </c>
      <c r="D735" s="5" t="s">
        <v>321</v>
      </c>
      <c r="E735" s="5" t="s">
        <v>52</v>
      </c>
      <c r="F735" s="5" t="s">
        <v>62</v>
      </c>
      <c r="G735" s="5" t="s">
        <v>64</v>
      </c>
      <c r="H735" s="5" t="s">
        <v>1050</v>
      </c>
      <c r="I735" s="6">
        <v>41395</v>
      </c>
      <c r="J735" s="5" t="s">
        <v>336</v>
      </c>
      <c r="K735" s="5" t="s">
        <v>336</v>
      </c>
      <c r="L735" s="5" t="s">
        <v>324</v>
      </c>
      <c r="M735" s="7">
        <v>6</v>
      </c>
      <c r="N735" s="7" t="s">
        <v>176</v>
      </c>
      <c r="O735" s="87">
        <v>5190</v>
      </c>
      <c r="P735" s="88">
        <v>0.02</v>
      </c>
      <c r="Q735" s="89">
        <f t="shared" si="145"/>
        <v>104</v>
      </c>
      <c r="R735" s="88">
        <v>5.0000000000000001E-3</v>
      </c>
      <c r="S735" s="89">
        <f t="shared" si="146"/>
        <v>26</v>
      </c>
      <c r="T735" s="88">
        <f t="shared" si="147"/>
        <v>2.5048169556840076E-2</v>
      </c>
      <c r="U735" s="89">
        <f t="shared" si="148"/>
        <v>130</v>
      </c>
      <c r="V735" s="89">
        <f t="shared" si="149"/>
        <v>5320</v>
      </c>
      <c r="W735" s="90">
        <v>5400</v>
      </c>
      <c r="X735" s="91">
        <f t="shared" si="150"/>
        <v>210</v>
      </c>
      <c r="Y735" s="92">
        <f t="shared" si="151"/>
        <v>4.0500000000000001E-2</v>
      </c>
      <c r="Z735" s="93" t="str">
        <f t="shared" ref="Z735:Z798" si="158">IF(OR(M735=1,M735=2,M735=4),
    TEXT(T735*0.8,"0.00%") &amp; "-" &amp; TEXT(T735*1.2,"0.00%"),
    IF(OR(M735=3,M735=6),
        TEXT(0,"0.00%") &amp; "-" &amp; TEXT(7%*1.2,"0.00%"),
        IF(OR(M735=5,M735=7),
            TEXT((S735/O735),"0.00%") &amp; "-" &amp; TEXT((S735/O735)+7%,"0.00%"),
            ""
        )
    )
)</f>
        <v>0.00%-8.40%</v>
      </c>
      <c r="AA735" s="94"/>
      <c r="AB735" s="94"/>
      <c r="AC735" s="94"/>
      <c r="AD735" s="95"/>
      <c r="AE735" s="87">
        <f t="shared" si="152"/>
        <v>0</v>
      </c>
      <c r="AF735" s="96">
        <f t="shared" si="153"/>
        <v>5400</v>
      </c>
      <c r="AG735" s="18">
        <f t="shared" si="154"/>
        <v>210</v>
      </c>
      <c r="AH735" s="97">
        <f t="shared" si="155"/>
        <v>4.0462427745664664E-2</v>
      </c>
      <c r="AI735" s="20">
        <v>13.6</v>
      </c>
      <c r="AJ735" s="20">
        <v>700</v>
      </c>
      <c r="AK735" s="20"/>
      <c r="AL735" s="20">
        <v>688</v>
      </c>
      <c r="AM735" s="20">
        <f t="shared" si="156"/>
        <v>82528</v>
      </c>
      <c r="AN735" s="7" t="s">
        <v>176</v>
      </c>
      <c r="AO735" s="20"/>
      <c r="AP735" s="21" t="s">
        <v>1048</v>
      </c>
      <c r="AQ735" s="21"/>
      <c r="AR735" s="5" t="s">
        <v>68</v>
      </c>
      <c r="AS735" s="5" t="s">
        <v>69</v>
      </c>
      <c r="AT735" s="5" t="s">
        <v>59</v>
      </c>
    </row>
    <row r="736" spans="1:46">
      <c r="A736" s="86" t="s">
        <v>318</v>
      </c>
      <c r="B736" s="5">
        <v>15008545</v>
      </c>
      <c r="C736" s="5" t="s">
        <v>1117</v>
      </c>
      <c r="D736" s="5" t="s">
        <v>321</v>
      </c>
      <c r="E736" s="5" t="s">
        <v>52</v>
      </c>
      <c r="F736" s="5" t="s">
        <v>62</v>
      </c>
      <c r="G736" s="5" t="s">
        <v>64</v>
      </c>
      <c r="H736" s="5" t="s">
        <v>1050</v>
      </c>
      <c r="I736" s="6">
        <v>41244</v>
      </c>
      <c r="J736" s="5" t="s">
        <v>336</v>
      </c>
      <c r="K736" s="5" t="s">
        <v>336</v>
      </c>
      <c r="L736" s="5" t="s">
        <v>324</v>
      </c>
      <c r="M736" s="7">
        <v>6</v>
      </c>
      <c r="N736" s="7" t="s">
        <v>176</v>
      </c>
      <c r="O736" s="87">
        <v>4958</v>
      </c>
      <c r="P736" s="88">
        <v>0.02</v>
      </c>
      <c r="Q736" s="89">
        <f t="shared" si="145"/>
        <v>99</v>
      </c>
      <c r="R736" s="88">
        <v>5.0000000000000001E-3</v>
      </c>
      <c r="S736" s="89">
        <f t="shared" si="146"/>
        <v>25</v>
      </c>
      <c r="T736" s="88">
        <f t="shared" si="147"/>
        <v>2.501008471157725E-2</v>
      </c>
      <c r="U736" s="89">
        <f t="shared" si="148"/>
        <v>124</v>
      </c>
      <c r="V736" s="89">
        <f t="shared" si="149"/>
        <v>5082</v>
      </c>
      <c r="W736" s="90">
        <v>5076</v>
      </c>
      <c r="X736" s="91">
        <f t="shared" si="150"/>
        <v>118</v>
      </c>
      <c r="Y736" s="92">
        <f t="shared" si="151"/>
        <v>2.3800000000000002E-2</v>
      </c>
      <c r="Z736" s="93" t="str">
        <f t="shared" si="158"/>
        <v>0.00%-8.40%</v>
      </c>
      <c r="AA736" s="94"/>
      <c r="AB736" s="94"/>
      <c r="AC736" s="94"/>
      <c r="AD736" s="95"/>
      <c r="AE736" s="87">
        <f t="shared" si="152"/>
        <v>0</v>
      </c>
      <c r="AF736" s="96">
        <f t="shared" si="153"/>
        <v>5076</v>
      </c>
      <c r="AG736" s="18">
        <f t="shared" si="154"/>
        <v>118</v>
      </c>
      <c r="AH736" s="97">
        <f t="shared" si="155"/>
        <v>2.3799919322307295E-2</v>
      </c>
      <c r="AI736" s="20">
        <v>13.6</v>
      </c>
      <c r="AJ736" s="20">
        <v>800</v>
      </c>
      <c r="AK736" s="20"/>
      <c r="AL736" s="20">
        <v>688</v>
      </c>
      <c r="AM736" s="20">
        <f t="shared" si="156"/>
        <v>79321.599999999991</v>
      </c>
      <c r="AN736" s="7" t="s">
        <v>176</v>
      </c>
      <c r="AO736" s="20"/>
      <c r="AP736" s="21" t="s">
        <v>1056</v>
      </c>
      <c r="AQ736" s="21"/>
      <c r="AR736" s="5" t="s">
        <v>68</v>
      </c>
      <c r="AS736" s="5" t="s">
        <v>69</v>
      </c>
      <c r="AT736" s="5" t="s">
        <v>59</v>
      </c>
    </row>
    <row r="737" spans="1:46">
      <c r="A737" s="86" t="s">
        <v>318</v>
      </c>
      <c r="B737" s="5">
        <v>15010209</v>
      </c>
      <c r="C737" s="5" t="s">
        <v>1118</v>
      </c>
      <c r="D737" s="5" t="s">
        <v>321</v>
      </c>
      <c r="E737" s="5" t="s">
        <v>52</v>
      </c>
      <c r="F737" s="5" t="s">
        <v>62</v>
      </c>
      <c r="G737" s="5" t="s">
        <v>64</v>
      </c>
      <c r="H737" s="5" t="s">
        <v>1053</v>
      </c>
      <c r="I737" s="6">
        <v>41518</v>
      </c>
      <c r="J737" s="5" t="s">
        <v>336</v>
      </c>
      <c r="K737" s="5" t="s">
        <v>336</v>
      </c>
      <c r="L737" s="5" t="s">
        <v>324</v>
      </c>
      <c r="M737" s="7">
        <v>6</v>
      </c>
      <c r="N737" s="7" t="s">
        <v>176</v>
      </c>
      <c r="O737" s="87">
        <v>4626</v>
      </c>
      <c r="P737" s="88">
        <v>0.02</v>
      </c>
      <c r="Q737" s="89">
        <f t="shared" si="145"/>
        <v>93</v>
      </c>
      <c r="R737" s="88">
        <v>5.0000000000000001E-3</v>
      </c>
      <c r="S737" s="89">
        <f t="shared" si="146"/>
        <v>23</v>
      </c>
      <c r="T737" s="88">
        <f t="shared" si="147"/>
        <v>2.5075659316904454E-2</v>
      </c>
      <c r="U737" s="89">
        <f t="shared" si="148"/>
        <v>116</v>
      </c>
      <c r="V737" s="89">
        <f t="shared" si="149"/>
        <v>4742</v>
      </c>
      <c r="W737" s="90">
        <v>4730</v>
      </c>
      <c r="X737" s="91">
        <f t="shared" si="150"/>
        <v>104</v>
      </c>
      <c r="Y737" s="92">
        <f t="shared" si="151"/>
        <v>2.2499999999999999E-2</v>
      </c>
      <c r="Z737" s="93" t="str">
        <f t="shared" si="158"/>
        <v>0.00%-8.40%</v>
      </c>
      <c r="AA737" s="94"/>
      <c r="AB737" s="94"/>
      <c r="AC737" s="94"/>
      <c r="AD737" s="95"/>
      <c r="AE737" s="87">
        <f t="shared" si="152"/>
        <v>0</v>
      </c>
      <c r="AF737" s="96">
        <f t="shared" si="153"/>
        <v>4730</v>
      </c>
      <c r="AG737" s="18">
        <f t="shared" si="154"/>
        <v>104</v>
      </c>
      <c r="AH737" s="97">
        <f t="shared" si="155"/>
        <v>2.2481625594465982E-2</v>
      </c>
      <c r="AI737" s="20">
        <v>13.6</v>
      </c>
      <c r="AJ737" s="20">
        <v>800</v>
      </c>
      <c r="AK737" s="20"/>
      <c r="AL737" s="20">
        <v>688</v>
      </c>
      <c r="AM737" s="20">
        <f t="shared" si="156"/>
        <v>74616</v>
      </c>
      <c r="AN737" s="7" t="s">
        <v>176</v>
      </c>
      <c r="AO737" s="20"/>
      <c r="AP737" s="21" t="s">
        <v>1056</v>
      </c>
      <c r="AQ737" s="21"/>
      <c r="AR737" s="5" t="s">
        <v>68</v>
      </c>
      <c r="AS737" s="5" t="s">
        <v>69</v>
      </c>
      <c r="AT737" s="5" t="s">
        <v>59</v>
      </c>
    </row>
    <row r="738" spans="1:46">
      <c r="A738" s="86" t="s">
        <v>318</v>
      </c>
      <c r="B738" s="5">
        <v>15010025</v>
      </c>
      <c r="C738" s="5" t="s">
        <v>1119</v>
      </c>
      <c r="D738" s="5" t="s">
        <v>321</v>
      </c>
      <c r="E738" s="5" t="s">
        <v>52</v>
      </c>
      <c r="F738" s="5" t="s">
        <v>62</v>
      </c>
      <c r="G738" s="5" t="s">
        <v>64</v>
      </c>
      <c r="H738" s="5" t="s">
        <v>1047</v>
      </c>
      <c r="I738" s="6">
        <v>41487</v>
      </c>
      <c r="J738" s="5" t="s">
        <v>336</v>
      </c>
      <c r="K738" s="5" t="s">
        <v>336</v>
      </c>
      <c r="L738" s="5" t="s">
        <v>324</v>
      </c>
      <c r="M738" s="7">
        <v>6</v>
      </c>
      <c r="N738" s="7" t="s">
        <v>176</v>
      </c>
      <c r="O738" s="87">
        <v>4444</v>
      </c>
      <c r="P738" s="88">
        <v>0.02</v>
      </c>
      <c r="Q738" s="89">
        <f t="shared" si="145"/>
        <v>89</v>
      </c>
      <c r="R738" s="88">
        <v>5.0000000000000001E-3</v>
      </c>
      <c r="S738" s="89">
        <f t="shared" si="146"/>
        <v>22</v>
      </c>
      <c r="T738" s="88">
        <f t="shared" si="147"/>
        <v>2.4977497749774976E-2</v>
      </c>
      <c r="U738" s="89">
        <f t="shared" si="148"/>
        <v>111</v>
      </c>
      <c r="V738" s="89">
        <f t="shared" si="149"/>
        <v>4555</v>
      </c>
      <c r="W738" s="90">
        <v>4542</v>
      </c>
      <c r="X738" s="91">
        <f t="shared" si="150"/>
        <v>98</v>
      </c>
      <c r="Y738" s="92">
        <f t="shared" si="151"/>
        <v>2.2100000000000002E-2</v>
      </c>
      <c r="Z738" s="93" t="str">
        <f t="shared" si="158"/>
        <v>0.00%-8.40%</v>
      </c>
      <c r="AA738" s="94"/>
      <c r="AB738" s="94"/>
      <c r="AC738" s="94"/>
      <c r="AD738" s="95"/>
      <c r="AE738" s="87">
        <f t="shared" si="152"/>
        <v>0</v>
      </c>
      <c r="AF738" s="96">
        <f t="shared" si="153"/>
        <v>4542</v>
      </c>
      <c r="AG738" s="18">
        <f t="shared" si="154"/>
        <v>98</v>
      </c>
      <c r="AH738" s="97">
        <f t="shared" si="155"/>
        <v>2.2052205220522092E-2</v>
      </c>
      <c r="AI738" s="20">
        <v>13.6</v>
      </c>
      <c r="AJ738" s="20">
        <v>650</v>
      </c>
      <c r="AK738" s="20"/>
      <c r="AL738" s="20">
        <v>688</v>
      </c>
      <c r="AM738" s="20">
        <f t="shared" si="156"/>
        <v>70259.199999999997</v>
      </c>
      <c r="AN738" s="7" t="s">
        <v>176</v>
      </c>
      <c r="AO738" s="20"/>
      <c r="AP738" s="21" t="s">
        <v>1056</v>
      </c>
      <c r="AQ738" s="21"/>
      <c r="AR738" s="5" t="s">
        <v>68</v>
      </c>
      <c r="AS738" s="5" t="s">
        <v>69</v>
      </c>
      <c r="AT738" s="5" t="s">
        <v>59</v>
      </c>
    </row>
    <row r="739" spans="1:46">
      <c r="A739" s="86" t="s">
        <v>318</v>
      </c>
      <c r="B739" s="5">
        <v>15007832</v>
      </c>
      <c r="C739" s="5" t="s">
        <v>1120</v>
      </c>
      <c r="D739" s="5" t="s">
        <v>321</v>
      </c>
      <c r="E739" s="5" t="s">
        <v>52</v>
      </c>
      <c r="F739" s="5" t="s">
        <v>62</v>
      </c>
      <c r="G739" s="5" t="s">
        <v>64</v>
      </c>
      <c r="H739" s="5" t="s">
        <v>1047</v>
      </c>
      <c r="I739" s="6">
        <v>41275</v>
      </c>
      <c r="J739" s="5" t="s">
        <v>336</v>
      </c>
      <c r="K739" s="5" t="s">
        <v>336</v>
      </c>
      <c r="L739" s="5" t="s">
        <v>324</v>
      </c>
      <c r="M739" s="7">
        <v>6</v>
      </c>
      <c r="N739" s="7" t="s">
        <v>176</v>
      </c>
      <c r="O739" s="87">
        <v>4927</v>
      </c>
      <c r="P739" s="88">
        <v>0.02</v>
      </c>
      <c r="Q739" s="89">
        <f t="shared" si="145"/>
        <v>99</v>
      </c>
      <c r="R739" s="88">
        <v>5.0000000000000001E-3</v>
      </c>
      <c r="S739" s="89">
        <f t="shared" si="146"/>
        <v>25</v>
      </c>
      <c r="T739" s="88">
        <f t="shared" si="147"/>
        <v>2.5167444692510657E-2</v>
      </c>
      <c r="U739" s="89">
        <f t="shared" si="148"/>
        <v>124</v>
      </c>
      <c r="V739" s="89">
        <f t="shared" si="149"/>
        <v>5051</v>
      </c>
      <c r="W739" s="90">
        <v>5050</v>
      </c>
      <c r="X739" s="91">
        <f t="shared" si="150"/>
        <v>123</v>
      </c>
      <c r="Y739" s="92">
        <f t="shared" si="151"/>
        <v>2.5000000000000001E-2</v>
      </c>
      <c r="Z739" s="93" t="str">
        <f t="shared" si="158"/>
        <v>0.00%-8.40%</v>
      </c>
      <c r="AA739" s="94"/>
      <c r="AB739" s="94"/>
      <c r="AC739" s="94"/>
      <c r="AD739" s="95"/>
      <c r="AE739" s="87">
        <f t="shared" si="152"/>
        <v>0</v>
      </c>
      <c r="AF739" s="96">
        <f t="shared" si="153"/>
        <v>5050</v>
      </c>
      <c r="AG739" s="18">
        <f t="shared" si="154"/>
        <v>123</v>
      </c>
      <c r="AH739" s="97">
        <f t="shared" si="155"/>
        <v>2.4964481428861429E-2</v>
      </c>
      <c r="AI739" s="20">
        <v>13.6</v>
      </c>
      <c r="AJ739" s="20">
        <v>450</v>
      </c>
      <c r="AK739" s="20"/>
      <c r="AL739" s="20">
        <v>688</v>
      </c>
      <c r="AM739" s="20">
        <f t="shared" si="156"/>
        <v>74768</v>
      </c>
      <c r="AN739" s="7" t="s">
        <v>176</v>
      </c>
      <c r="AO739" s="20"/>
      <c r="AP739" s="21" t="s">
        <v>1056</v>
      </c>
      <c r="AQ739" s="21"/>
      <c r="AR739" s="5" t="s">
        <v>68</v>
      </c>
      <c r="AS739" s="5" t="s">
        <v>69</v>
      </c>
      <c r="AT739" s="5" t="s">
        <v>59</v>
      </c>
    </row>
    <row r="740" spans="1:46">
      <c r="A740" s="86" t="s">
        <v>318</v>
      </c>
      <c r="B740" s="5">
        <v>15006292</v>
      </c>
      <c r="C740" s="5" t="s">
        <v>367</v>
      </c>
      <c r="D740" s="5" t="s">
        <v>321</v>
      </c>
      <c r="E740" s="5" t="s">
        <v>52</v>
      </c>
      <c r="F740" s="5" t="s">
        <v>62</v>
      </c>
      <c r="G740" s="5" t="s">
        <v>64</v>
      </c>
      <c r="H740" s="5" t="s">
        <v>1050</v>
      </c>
      <c r="I740" s="6">
        <v>40817</v>
      </c>
      <c r="J740" s="5" t="s">
        <v>336</v>
      </c>
      <c r="K740" s="5" t="s">
        <v>336</v>
      </c>
      <c r="L740" s="5" t="s">
        <v>324</v>
      </c>
      <c r="M740" s="7">
        <v>6</v>
      </c>
      <c r="N740" s="7" t="s">
        <v>176</v>
      </c>
      <c r="O740" s="87">
        <v>6180</v>
      </c>
      <c r="P740" s="88">
        <v>0.02</v>
      </c>
      <c r="Q740" s="89">
        <f t="shared" si="145"/>
        <v>124</v>
      </c>
      <c r="R740" s="88">
        <v>5.0000000000000001E-3</v>
      </c>
      <c r="S740" s="89">
        <f t="shared" si="146"/>
        <v>31</v>
      </c>
      <c r="T740" s="88">
        <f t="shared" si="147"/>
        <v>2.5080906148867314E-2</v>
      </c>
      <c r="U740" s="89">
        <f t="shared" si="148"/>
        <v>155</v>
      </c>
      <c r="V740" s="89">
        <f t="shared" si="149"/>
        <v>6335</v>
      </c>
      <c r="W740" s="90">
        <v>6310</v>
      </c>
      <c r="X740" s="91">
        <f t="shared" si="150"/>
        <v>130</v>
      </c>
      <c r="Y740" s="92">
        <f t="shared" si="151"/>
        <v>2.1000000000000001E-2</v>
      </c>
      <c r="Z740" s="93" t="str">
        <f t="shared" si="158"/>
        <v>0.00%-8.40%</v>
      </c>
      <c r="AA740" s="94"/>
      <c r="AB740" s="94"/>
      <c r="AC740" s="94"/>
      <c r="AD740" s="95"/>
      <c r="AE740" s="87">
        <f t="shared" si="152"/>
        <v>0</v>
      </c>
      <c r="AF740" s="96">
        <f t="shared" si="153"/>
        <v>6310</v>
      </c>
      <c r="AG740" s="18">
        <f t="shared" si="154"/>
        <v>130</v>
      </c>
      <c r="AH740" s="97">
        <f t="shared" si="155"/>
        <v>2.1035598705501535E-2</v>
      </c>
      <c r="AI740" s="20">
        <v>13.6</v>
      </c>
      <c r="AJ740" s="20">
        <v>700</v>
      </c>
      <c r="AK740" s="20"/>
      <c r="AL740" s="20">
        <v>688</v>
      </c>
      <c r="AM740" s="20">
        <f t="shared" si="156"/>
        <v>94904</v>
      </c>
      <c r="AN740" s="7" t="s">
        <v>176</v>
      </c>
      <c r="AO740" s="20"/>
      <c r="AP740" s="21" t="s">
        <v>1056</v>
      </c>
      <c r="AQ740" s="21"/>
      <c r="AR740" s="5" t="s">
        <v>68</v>
      </c>
      <c r="AS740" s="5" t="s">
        <v>69</v>
      </c>
      <c r="AT740" s="5" t="s">
        <v>59</v>
      </c>
    </row>
    <row r="741" spans="1:46">
      <c r="A741" s="86" t="s">
        <v>318</v>
      </c>
      <c r="B741" s="5">
        <v>15005755</v>
      </c>
      <c r="C741" s="5" t="s">
        <v>410</v>
      </c>
      <c r="D741" s="5" t="s">
        <v>321</v>
      </c>
      <c r="E741" s="5" t="s">
        <v>52</v>
      </c>
      <c r="F741" s="5" t="s">
        <v>62</v>
      </c>
      <c r="G741" s="5" t="s">
        <v>64</v>
      </c>
      <c r="H741" s="5" t="s">
        <v>1047</v>
      </c>
      <c r="I741" s="6">
        <v>40817</v>
      </c>
      <c r="J741" s="5" t="s">
        <v>336</v>
      </c>
      <c r="K741" s="5" t="s">
        <v>336</v>
      </c>
      <c r="L741" s="5" t="s">
        <v>324</v>
      </c>
      <c r="M741" s="7">
        <v>6</v>
      </c>
      <c r="N741" s="7" t="s">
        <v>176</v>
      </c>
      <c r="O741" s="87">
        <v>4480</v>
      </c>
      <c r="P741" s="88">
        <v>0.02</v>
      </c>
      <c r="Q741" s="89">
        <f t="shared" si="145"/>
        <v>90</v>
      </c>
      <c r="R741" s="88">
        <v>5.0000000000000001E-3</v>
      </c>
      <c r="S741" s="89">
        <f t="shared" si="146"/>
        <v>22</v>
      </c>
      <c r="T741" s="88">
        <f t="shared" si="147"/>
        <v>2.5000000000000001E-2</v>
      </c>
      <c r="U741" s="89">
        <f t="shared" si="148"/>
        <v>112</v>
      </c>
      <c r="V741" s="89">
        <f t="shared" si="149"/>
        <v>4592</v>
      </c>
      <c r="W741" s="90">
        <v>4580</v>
      </c>
      <c r="X741" s="91">
        <f t="shared" si="150"/>
        <v>100</v>
      </c>
      <c r="Y741" s="92">
        <f t="shared" si="151"/>
        <v>2.23E-2</v>
      </c>
      <c r="Z741" s="93" t="str">
        <f t="shared" si="158"/>
        <v>0.00%-8.40%</v>
      </c>
      <c r="AA741" s="94"/>
      <c r="AB741" s="94"/>
      <c r="AC741" s="94"/>
      <c r="AD741" s="95"/>
      <c r="AE741" s="87">
        <f t="shared" si="152"/>
        <v>0</v>
      </c>
      <c r="AF741" s="96">
        <f t="shared" si="153"/>
        <v>4580</v>
      </c>
      <c r="AG741" s="18">
        <f t="shared" si="154"/>
        <v>100</v>
      </c>
      <c r="AH741" s="97">
        <f t="shared" si="155"/>
        <v>2.2321428571428603E-2</v>
      </c>
      <c r="AI741" s="20">
        <v>13.6</v>
      </c>
      <c r="AJ741" s="20">
        <v>650</v>
      </c>
      <c r="AK741" s="20"/>
      <c r="AL741" s="20">
        <v>688</v>
      </c>
      <c r="AM741" s="20">
        <f t="shared" si="156"/>
        <v>70776</v>
      </c>
      <c r="AN741" s="7" t="s">
        <v>176</v>
      </c>
      <c r="AO741" s="20"/>
      <c r="AP741" s="21" t="s">
        <v>1056</v>
      </c>
      <c r="AQ741" s="21"/>
      <c r="AR741" s="5" t="s">
        <v>68</v>
      </c>
      <c r="AS741" s="5" t="s">
        <v>69</v>
      </c>
      <c r="AT741" s="5" t="s">
        <v>59</v>
      </c>
    </row>
    <row r="742" spans="1:46">
      <c r="A742" s="86" t="s">
        <v>318</v>
      </c>
      <c r="B742" s="5">
        <v>15000264</v>
      </c>
      <c r="C742" s="5" t="s">
        <v>1121</v>
      </c>
      <c r="D742" s="5" t="s">
        <v>321</v>
      </c>
      <c r="E742" s="5" t="s">
        <v>52</v>
      </c>
      <c r="F742" s="5" t="s">
        <v>62</v>
      </c>
      <c r="G742" s="5" t="s">
        <v>64</v>
      </c>
      <c r="H742" s="5" t="s">
        <v>1050</v>
      </c>
      <c r="I742" s="6">
        <v>38656</v>
      </c>
      <c r="J742" s="5" t="s">
        <v>336</v>
      </c>
      <c r="K742" s="5" t="s">
        <v>336</v>
      </c>
      <c r="L742" s="5" t="s">
        <v>324</v>
      </c>
      <c r="M742" s="7">
        <v>6</v>
      </c>
      <c r="N742" s="7" t="s">
        <v>176</v>
      </c>
      <c r="O742" s="87">
        <v>6700</v>
      </c>
      <c r="P742" s="88">
        <v>0.02</v>
      </c>
      <c r="Q742" s="89">
        <f t="shared" si="145"/>
        <v>134</v>
      </c>
      <c r="R742" s="88">
        <v>5.0000000000000001E-3</v>
      </c>
      <c r="S742" s="89">
        <f t="shared" si="146"/>
        <v>34</v>
      </c>
      <c r="T742" s="88">
        <f t="shared" si="147"/>
        <v>2.5074626865671641E-2</v>
      </c>
      <c r="U742" s="89">
        <f t="shared" si="148"/>
        <v>168</v>
      </c>
      <c r="V742" s="89">
        <f t="shared" si="149"/>
        <v>6868</v>
      </c>
      <c r="W742" s="90">
        <v>6855</v>
      </c>
      <c r="X742" s="91">
        <f t="shared" si="150"/>
        <v>155</v>
      </c>
      <c r="Y742" s="92">
        <f t="shared" si="151"/>
        <v>2.3099999999999999E-2</v>
      </c>
      <c r="Z742" s="93" t="str">
        <f t="shared" si="158"/>
        <v>0.00%-8.40%</v>
      </c>
      <c r="AA742" s="94"/>
      <c r="AB742" s="94"/>
      <c r="AC742" s="94"/>
      <c r="AD742" s="95"/>
      <c r="AE742" s="87">
        <f t="shared" si="152"/>
        <v>0</v>
      </c>
      <c r="AF742" s="96">
        <f t="shared" si="153"/>
        <v>6855</v>
      </c>
      <c r="AG742" s="18">
        <f t="shared" si="154"/>
        <v>155</v>
      </c>
      <c r="AH742" s="97">
        <f t="shared" si="155"/>
        <v>2.3134328358209055E-2</v>
      </c>
      <c r="AI742" s="20">
        <v>13.6</v>
      </c>
      <c r="AJ742" s="20">
        <v>500</v>
      </c>
      <c r="AK742" s="20"/>
      <c r="AL742" s="20">
        <v>688</v>
      </c>
      <c r="AM742" s="20">
        <f t="shared" si="156"/>
        <v>99916</v>
      </c>
      <c r="AN742" s="7" t="s">
        <v>176</v>
      </c>
      <c r="AO742" s="20"/>
      <c r="AP742" s="21" t="s">
        <v>1056</v>
      </c>
      <c r="AQ742" s="21"/>
      <c r="AR742" s="5" t="s">
        <v>68</v>
      </c>
      <c r="AS742" s="5" t="s">
        <v>69</v>
      </c>
      <c r="AT742" s="5" t="s">
        <v>59</v>
      </c>
    </row>
    <row r="743" spans="1:46">
      <c r="A743" s="86" t="s">
        <v>318</v>
      </c>
      <c r="B743" s="5">
        <v>15006654</v>
      </c>
      <c r="C743" s="5" t="s">
        <v>1122</v>
      </c>
      <c r="D743" s="5" t="s">
        <v>321</v>
      </c>
      <c r="E743" s="5" t="s">
        <v>52</v>
      </c>
      <c r="F743" s="5" t="s">
        <v>62</v>
      </c>
      <c r="G743" s="5" t="s">
        <v>64</v>
      </c>
      <c r="H743" s="5" t="s">
        <v>1047</v>
      </c>
      <c r="I743" s="6">
        <v>40940</v>
      </c>
      <c r="J743" s="5" t="s">
        <v>336</v>
      </c>
      <c r="K743" s="5" t="s">
        <v>336</v>
      </c>
      <c r="L743" s="5" t="s">
        <v>324</v>
      </c>
      <c r="M743" s="7">
        <v>6</v>
      </c>
      <c r="N743" s="7" t="s">
        <v>176</v>
      </c>
      <c r="O743" s="87">
        <v>4780</v>
      </c>
      <c r="P743" s="88">
        <v>0.02</v>
      </c>
      <c r="Q743" s="89">
        <f t="shared" si="145"/>
        <v>96</v>
      </c>
      <c r="R743" s="88">
        <v>5.0000000000000001E-3</v>
      </c>
      <c r="S743" s="89">
        <f t="shared" si="146"/>
        <v>24</v>
      </c>
      <c r="T743" s="88">
        <f t="shared" si="147"/>
        <v>2.5104602510460251E-2</v>
      </c>
      <c r="U743" s="89">
        <f t="shared" si="148"/>
        <v>120</v>
      </c>
      <c r="V743" s="89">
        <f t="shared" si="149"/>
        <v>4900</v>
      </c>
      <c r="W743" s="90">
        <v>4890</v>
      </c>
      <c r="X743" s="91">
        <f t="shared" si="150"/>
        <v>110</v>
      </c>
      <c r="Y743" s="92">
        <f t="shared" si="151"/>
        <v>2.3E-2</v>
      </c>
      <c r="Z743" s="93" t="str">
        <f t="shared" si="158"/>
        <v>0.00%-8.40%</v>
      </c>
      <c r="AA743" s="94"/>
      <c r="AB743" s="94"/>
      <c r="AC743" s="94"/>
      <c r="AD743" s="95"/>
      <c r="AE743" s="87">
        <f t="shared" si="152"/>
        <v>0</v>
      </c>
      <c r="AF743" s="96">
        <f t="shared" si="153"/>
        <v>4890</v>
      </c>
      <c r="AG743" s="18">
        <f t="shared" si="154"/>
        <v>110</v>
      </c>
      <c r="AH743" s="97">
        <f t="shared" si="155"/>
        <v>2.3012552301255207E-2</v>
      </c>
      <c r="AI743" s="20">
        <v>13.6</v>
      </c>
      <c r="AJ743" s="20">
        <v>500</v>
      </c>
      <c r="AK743" s="20"/>
      <c r="AL743" s="20">
        <v>688</v>
      </c>
      <c r="AM743" s="20">
        <f t="shared" si="156"/>
        <v>73192</v>
      </c>
      <c r="AN743" s="7" t="s">
        <v>176</v>
      </c>
      <c r="AO743" s="20"/>
      <c r="AP743" s="21" t="s">
        <v>1056</v>
      </c>
      <c r="AQ743" s="21"/>
      <c r="AR743" s="5" t="s">
        <v>68</v>
      </c>
      <c r="AS743" s="5" t="s">
        <v>69</v>
      </c>
      <c r="AT743" s="5" t="s">
        <v>59</v>
      </c>
    </row>
    <row r="744" spans="1:46">
      <c r="A744" s="86" t="s">
        <v>318</v>
      </c>
      <c r="B744" s="5">
        <v>15010250</v>
      </c>
      <c r="C744" s="5" t="s">
        <v>1123</v>
      </c>
      <c r="D744" s="5" t="s">
        <v>321</v>
      </c>
      <c r="E744" s="5" t="s">
        <v>52</v>
      </c>
      <c r="F744" s="5" t="s">
        <v>62</v>
      </c>
      <c r="G744" s="5" t="s">
        <v>64</v>
      </c>
      <c r="H744" s="5" t="s">
        <v>1047</v>
      </c>
      <c r="I744" s="6">
        <v>41548</v>
      </c>
      <c r="J744" s="5" t="s">
        <v>336</v>
      </c>
      <c r="K744" s="5" t="s">
        <v>336</v>
      </c>
      <c r="L744" s="5" t="s">
        <v>324</v>
      </c>
      <c r="M744" s="7">
        <v>6</v>
      </c>
      <c r="N744" s="7" t="s">
        <v>176</v>
      </c>
      <c r="O744" s="87">
        <v>4402</v>
      </c>
      <c r="P744" s="88">
        <v>0.02</v>
      </c>
      <c r="Q744" s="89">
        <f t="shared" si="145"/>
        <v>88</v>
      </c>
      <c r="R744" s="88">
        <v>5.0000000000000001E-3</v>
      </c>
      <c r="S744" s="89">
        <f t="shared" si="146"/>
        <v>22</v>
      </c>
      <c r="T744" s="88">
        <f t="shared" si="147"/>
        <v>2.4988641526578828E-2</v>
      </c>
      <c r="U744" s="89">
        <f t="shared" si="148"/>
        <v>110</v>
      </c>
      <c r="V744" s="89">
        <f t="shared" si="149"/>
        <v>4512</v>
      </c>
      <c r="W744" s="90">
        <v>4500</v>
      </c>
      <c r="X744" s="91">
        <f t="shared" si="150"/>
        <v>98</v>
      </c>
      <c r="Y744" s="92">
        <f t="shared" si="151"/>
        <v>2.23E-2</v>
      </c>
      <c r="Z744" s="93" t="str">
        <f t="shared" si="158"/>
        <v>0.00%-8.40%</v>
      </c>
      <c r="AA744" s="94"/>
      <c r="AB744" s="94"/>
      <c r="AC744" s="94"/>
      <c r="AD744" s="95"/>
      <c r="AE744" s="87">
        <f t="shared" si="152"/>
        <v>0</v>
      </c>
      <c r="AF744" s="96">
        <f t="shared" si="153"/>
        <v>4500</v>
      </c>
      <c r="AG744" s="18">
        <f t="shared" si="154"/>
        <v>98</v>
      </c>
      <c r="AH744" s="97">
        <f t="shared" si="155"/>
        <v>2.22626079054975E-2</v>
      </c>
      <c r="AI744" s="20">
        <v>13.6</v>
      </c>
      <c r="AJ744" s="20">
        <v>650</v>
      </c>
      <c r="AK744" s="20"/>
      <c r="AL744" s="20">
        <v>688</v>
      </c>
      <c r="AM744" s="20">
        <f t="shared" si="156"/>
        <v>69688</v>
      </c>
      <c r="AN744" s="7" t="s">
        <v>176</v>
      </c>
      <c r="AO744" s="20"/>
      <c r="AP744" s="21" t="s">
        <v>1056</v>
      </c>
      <c r="AQ744" s="21"/>
      <c r="AR744" s="5" t="s">
        <v>68</v>
      </c>
      <c r="AS744" s="5" t="s">
        <v>69</v>
      </c>
      <c r="AT744" s="5" t="s">
        <v>59</v>
      </c>
    </row>
    <row r="745" spans="1:46">
      <c r="A745" s="86" t="s">
        <v>318</v>
      </c>
      <c r="B745" s="5">
        <v>15015742</v>
      </c>
      <c r="C745" s="5" t="s">
        <v>1124</v>
      </c>
      <c r="D745" s="5" t="s">
        <v>321</v>
      </c>
      <c r="E745" s="5" t="s">
        <v>52</v>
      </c>
      <c r="F745" s="5" t="s">
        <v>62</v>
      </c>
      <c r="G745" s="5" t="s">
        <v>64</v>
      </c>
      <c r="H745" s="5" t="s">
        <v>1047</v>
      </c>
      <c r="I745" s="6">
        <v>42887</v>
      </c>
      <c r="J745" s="5" t="s">
        <v>336</v>
      </c>
      <c r="K745" s="5" t="s">
        <v>336</v>
      </c>
      <c r="L745" s="5" t="s">
        <v>324</v>
      </c>
      <c r="M745" s="7">
        <v>6</v>
      </c>
      <c r="N745" s="7" t="s">
        <v>176</v>
      </c>
      <c r="O745" s="87">
        <v>4840</v>
      </c>
      <c r="P745" s="88">
        <v>0.02</v>
      </c>
      <c r="Q745" s="89">
        <f t="shared" si="145"/>
        <v>97</v>
      </c>
      <c r="R745" s="88">
        <v>5.0000000000000001E-3</v>
      </c>
      <c r="S745" s="89">
        <f t="shared" si="146"/>
        <v>24</v>
      </c>
      <c r="T745" s="88">
        <f t="shared" si="147"/>
        <v>2.5000000000000001E-2</v>
      </c>
      <c r="U745" s="89">
        <f t="shared" si="148"/>
        <v>121</v>
      </c>
      <c r="V745" s="89">
        <f t="shared" si="149"/>
        <v>4961</v>
      </c>
      <c r="W745" s="90">
        <v>4950</v>
      </c>
      <c r="X745" s="91">
        <f t="shared" si="150"/>
        <v>110</v>
      </c>
      <c r="Y745" s="92">
        <f t="shared" si="151"/>
        <v>2.2700000000000001E-2</v>
      </c>
      <c r="Z745" s="93" t="str">
        <f t="shared" si="158"/>
        <v>0.00%-8.40%</v>
      </c>
      <c r="AA745" s="94"/>
      <c r="AB745" s="94"/>
      <c r="AC745" s="94"/>
      <c r="AD745" s="95"/>
      <c r="AE745" s="87">
        <f t="shared" si="152"/>
        <v>0</v>
      </c>
      <c r="AF745" s="96">
        <f t="shared" si="153"/>
        <v>4950</v>
      </c>
      <c r="AG745" s="18">
        <f t="shared" si="154"/>
        <v>110</v>
      </c>
      <c r="AH745" s="97">
        <f t="shared" si="155"/>
        <v>2.2727272727272707E-2</v>
      </c>
      <c r="AI745" s="20">
        <v>13.6</v>
      </c>
      <c r="AJ745" s="20">
        <v>800</v>
      </c>
      <c r="AK745" s="20"/>
      <c r="AL745" s="20">
        <v>688</v>
      </c>
      <c r="AM745" s="20">
        <f t="shared" si="156"/>
        <v>77608</v>
      </c>
      <c r="AN745" s="7" t="s">
        <v>176</v>
      </c>
      <c r="AO745" s="20"/>
      <c r="AP745" s="21" t="s">
        <v>1056</v>
      </c>
      <c r="AQ745" s="21"/>
      <c r="AR745" s="5" t="s">
        <v>68</v>
      </c>
      <c r="AS745" s="5" t="s">
        <v>69</v>
      </c>
      <c r="AT745" s="5" t="s">
        <v>59</v>
      </c>
    </row>
    <row r="746" spans="1:46">
      <c r="A746" s="86" t="s">
        <v>318</v>
      </c>
      <c r="B746" s="5">
        <v>15001393</v>
      </c>
      <c r="C746" s="5" t="s">
        <v>1125</v>
      </c>
      <c r="D746" s="5" t="s">
        <v>321</v>
      </c>
      <c r="E746" s="5" t="s">
        <v>52</v>
      </c>
      <c r="F746" s="5" t="s">
        <v>62</v>
      </c>
      <c r="G746" s="5" t="s">
        <v>64</v>
      </c>
      <c r="H746" s="5" t="s">
        <v>1050</v>
      </c>
      <c r="I746" s="6">
        <v>39497</v>
      </c>
      <c r="J746" s="5" t="s">
        <v>336</v>
      </c>
      <c r="K746" s="5" t="s">
        <v>336</v>
      </c>
      <c r="L746" s="5" t="s">
        <v>324</v>
      </c>
      <c r="M746" s="7">
        <v>6</v>
      </c>
      <c r="N746" s="7" t="s">
        <v>176</v>
      </c>
      <c r="O746" s="87">
        <v>5500</v>
      </c>
      <c r="P746" s="88">
        <v>0.02</v>
      </c>
      <c r="Q746" s="89">
        <f t="shared" si="145"/>
        <v>110</v>
      </c>
      <c r="R746" s="88">
        <v>5.0000000000000001E-3</v>
      </c>
      <c r="S746" s="89">
        <f t="shared" si="146"/>
        <v>28</v>
      </c>
      <c r="T746" s="88">
        <f t="shared" si="147"/>
        <v>2.5090909090909091E-2</v>
      </c>
      <c r="U746" s="89">
        <f t="shared" si="148"/>
        <v>138</v>
      </c>
      <c r="V746" s="89">
        <f t="shared" si="149"/>
        <v>5638</v>
      </c>
      <c r="W746" s="90">
        <v>5720</v>
      </c>
      <c r="X746" s="91">
        <f t="shared" si="150"/>
        <v>220</v>
      </c>
      <c r="Y746" s="92">
        <f t="shared" si="151"/>
        <v>0.04</v>
      </c>
      <c r="Z746" s="93" t="str">
        <f t="shared" si="158"/>
        <v>0.00%-8.40%</v>
      </c>
      <c r="AA746" s="94"/>
      <c r="AB746" s="94"/>
      <c r="AC746" s="94"/>
      <c r="AD746" s="95"/>
      <c r="AE746" s="87">
        <f t="shared" si="152"/>
        <v>0</v>
      </c>
      <c r="AF746" s="96">
        <f t="shared" si="153"/>
        <v>5720</v>
      </c>
      <c r="AG746" s="18">
        <f t="shared" si="154"/>
        <v>220</v>
      </c>
      <c r="AH746" s="97">
        <f t="shared" si="155"/>
        <v>4.0000000000000036E-2</v>
      </c>
      <c r="AI746" s="20">
        <v>13.6</v>
      </c>
      <c r="AJ746" s="20">
        <v>700</v>
      </c>
      <c r="AK746" s="20"/>
      <c r="AL746" s="20">
        <v>688</v>
      </c>
      <c r="AM746" s="20">
        <f t="shared" si="156"/>
        <v>86880</v>
      </c>
      <c r="AN746" s="7" t="s">
        <v>176</v>
      </c>
      <c r="AO746" s="20"/>
      <c r="AP746" s="21" t="s">
        <v>1048</v>
      </c>
      <c r="AQ746" s="21"/>
      <c r="AR746" s="5" t="s">
        <v>68</v>
      </c>
      <c r="AS746" s="5" t="s">
        <v>69</v>
      </c>
      <c r="AT746" s="5" t="s">
        <v>59</v>
      </c>
    </row>
    <row r="747" spans="1:46">
      <c r="A747" s="86" t="s">
        <v>318</v>
      </c>
      <c r="B747" s="5">
        <v>15000649</v>
      </c>
      <c r="C747" s="5" t="s">
        <v>1126</v>
      </c>
      <c r="D747" s="5" t="s">
        <v>321</v>
      </c>
      <c r="E747" s="5" t="s">
        <v>52</v>
      </c>
      <c r="F747" s="5" t="s">
        <v>62</v>
      </c>
      <c r="G747" s="5" t="s">
        <v>64</v>
      </c>
      <c r="H747" s="5" t="s">
        <v>1050</v>
      </c>
      <c r="I747" s="6">
        <v>38971</v>
      </c>
      <c r="J747" s="5" t="s">
        <v>336</v>
      </c>
      <c r="K747" s="5" t="s">
        <v>336</v>
      </c>
      <c r="L747" s="5" t="s">
        <v>324</v>
      </c>
      <c r="M747" s="7">
        <v>6</v>
      </c>
      <c r="N747" s="7" t="s">
        <v>176</v>
      </c>
      <c r="O747" s="87">
        <v>6340</v>
      </c>
      <c r="P747" s="88">
        <v>0.02</v>
      </c>
      <c r="Q747" s="89">
        <f t="shared" si="145"/>
        <v>127</v>
      </c>
      <c r="R747" s="88">
        <v>5.0000000000000001E-3</v>
      </c>
      <c r="S747" s="89">
        <f t="shared" si="146"/>
        <v>32</v>
      </c>
      <c r="T747" s="88">
        <f t="shared" si="147"/>
        <v>2.5078864353312302E-2</v>
      </c>
      <c r="U747" s="89">
        <f t="shared" si="148"/>
        <v>159</v>
      </c>
      <c r="V747" s="89">
        <f t="shared" si="149"/>
        <v>6499</v>
      </c>
      <c r="W747" s="90">
        <v>6485</v>
      </c>
      <c r="X747" s="91">
        <f t="shared" si="150"/>
        <v>145</v>
      </c>
      <c r="Y747" s="92">
        <f t="shared" si="151"/>
        <v>2.29E-2</v>
      </c>
      <c r="Z747" s="93" t="str">
        <f t="shared" si="158"/>
        <v>0.00%-8.40%</v>
      </c>
      <c r="AA747" s="94"/>
      <c r="AB747" s="94"/>
      <c r="AC747" s="94"/>
      <c r="AD747" s="95"/>
      <c r="AE747" s="87">
        <f t="shared" si="152"/>
        <v>0</v>
      </c>
      <c r="AF747" s="96">
        <f t="shared" si="153"/>
        <v>6485</v>
      </c>
      <c r="AG747" s="18">
        <f t="shared" si="154"/>
        <v>145</v>
      </c>
      <c r="AH747" s="97">
        <f t="shared" si="155"/>
        <v>2.2870662460567903E-2</v>
      </c>
      <c r="AI747" s="20">
        <v>13.6</v>
      </c>
      <c r="AJ747" s="20">
        <v>800</v>
      </c>
      <c r="AK747" s="20"/>
      <c r="AL747" s="20">
        <v>688</v>
      </c>
      <c r="AM747" s="20">
        <f t="shared" si="156"/>
        <v>98484</v>
      </c>
      <c r="AN747" s="7" t="s">
        <v>176</v>
      </c>
      <c r="AO747" s="20"/>
      <c r="AP747" s="21" t="s">
        <v>1056</v>
      </c>
      <c r="AQ747" s="21"/>
      <c r="AR747" s="5" t="s">
        <v>68</v>
      </c>
      <c r="AS747" s="5" t="s">
        <v>69</v>
      </c>
      <c r="AT747" s="5" t="s">
        <v>59</v>
      </c>
    </row>
    <row r="748" spans="1:46">
      <c r="A748" s="86" t="s">
        <v>318</v>
      </c>
      <c r="B748" s="5">
        <v>15011650</v>
      </c>
      <c r="C748" s="5" t="s">
        <v>1127</v>
      </c>
      <c r="D748" s="5" t="s">
        <v>321</v>
      </c>
      <c r="E748" s="5" t="s">
        <v>52</v>
      </c>
      <c r="F748" s="5" t="s">
        <v>62</v>
      </c>
      <c r="G748" s="5" t="s">
        <v>64</v>
      </c>
      <c r="H748" s="5" t="s">
        <v>1053</v>
      </c>
      <c r="I748" s="6">
        <v>41640</v>
      </c>
      <c r="J748" s="5" t="s">
        <v>336</v>
      </c>
      <c r="K748" s="5" t="s">
        <v>336</v>
      </c>
      <c r="L748" s="5" t="s">
        <v>324</v>
      </c>
      <c r="M748" s="7">
        <v>6</v>
      </c>
      <c r="N748" s="7" t="s">
        <v>176</v>
      </c>
      <c r="O748" s="87">
        <v>4948</v>
      </c>
      <c r="P748" s="88">
        <v>0.02</v>
      </c>
      <c r="Q748" s="89">
        <f t="shared" si="145"/>
        <v>99</v>
      </c>
      <c r="R748" s="88">
        <v>5.0000000000000001E-3</v>
      </c>
      <c r="S748" s="89">
        <f t="shared" si="146"/>
        <v>25</v>
      </c>
      <c r="T748" s="88">
        <f t="shared" si="147"/>
        <v>2.5060630557801132E-2</v>
      </c>
      <c r="U748" s="89">
        <f t="shared" si="148"/>
        <v>124</v>
      </c>
      <c r="V748" s="89">
        <f t="shared" si="149"/>
        <v>5072</v>
      </c>
      <c r="W748" s="90">
        <v>5055</v>
      </c>
      <c r="X748" s="91">
        <f t="shared" si="150"/>
        <v>107</v>
      </c>
      <c r="Y748" s="92">
        <f t="shared" si="151"/>
        <v>2.1600000000000001E-2</v>
      </c>
      <c r="Z748" s="93" t="str">
        <f t="shared" si="158"/>
        <v>0.00%-8.40%</v>
      </c>
      <c r="AA748" s="94"/>
      <c r="AB748" s="94"/>
      <c r="AC748" s="94"/>
      <c r="AD748" s="95"/>
      <c r="AE748" s="87">
        <f t="shared" si="152"/>
        <v>0</v>
      </c>
      <c r="AF748" s="96">
        <f t="shared" si="153"/>
        <v>5055</v>
      </c>
      <c r="AG748" s="18">
        <f t="shared" si="154"/>
        <v>107</v>
      </c>
      <c r="AH748" s="97">
        <f t="shared" si="155"/>
        <v>2.1624898949070381E-2</v>
      </c>
      <c r="AI748" s="20">
        <v>13.6</v>
      </c>
      <c r="AJ748" s="20">
        <v>450</v>
      </c>
      <c r="AK748" s="20"/>
      <c r="AL748" s="20">
        <v>688</v>
      </c>
      <c r="AM748" s="20">
        <f t="shared" si="156"/>
        <v>74836</v>
      </c>
      <c r="AN748" s="7" t="s">
        <v>176</v>
      </c>
      <c r="AO748" s="20"/>
      <c r="AP748" s="21" t="s">
        <v>1056</v>
      </c>
      <c r="AQ748" s="21"/>
      <c r="AR748" s="5" t="s">
        <v>68</v>
      </c>
      <c r="AS748" s="5" t="s">
        <v>69</v>
      </c>
      <c r="AT748" s="5" t="s">
        <v>59</v>
      </c>
    </row>
    <row r="749" spans="1:46">
      <c r="A749" s="86" t="s">
        <v>318</v>
      </c>
      <c r="B749" s="5">
        <v>15016368</v>
      </c>
      <c r="C749" s="5" t="s">
        <v>1128</v>
      </c>
      <c r="D749" s="5" t="s">
        <v>321</v>
      </c>
      <c r="E749" s="5" t="s">
        <v>52</v>
      </c>
      <c r="F749" s="5" t="s">
        <v>62</v>
      </c>
      <c r="G749" s="5" t="s">
        <v>64</v>
      </c>
      <c r="H749" s="5" t="s">
        <v>1047</v>
      </c>
      <c r="I749" s="6">
        <v>42917</v>
      </c>
      <c r="J749" s="5" t="s">
        <v>336</v>
      </c>
      <c r="K749" s="5" t="s">
        <v>336</v>
      </c>
      <c r="L749" s="5" t="s">
        <v>324</v>
      </c>
      <c r="M749" s="7">
        <v>6</v>
      </c>
      <c r="N749" s="7" t="s">
        <v>176</v>
      </c>
      <c r="O749" s="87">
        <v>4605</v>
      </c>
      <c r="P749" s="88">
        <v>0.02</v>
      </c>
      <c r="Q749" s="89">
        <f t="shared" si="145"/>
        <v>92</v>
      </c>
      <c r="R749" s="88">
        <v>5.0000000000000001E-3</v>
      </c>
      <c r="S749" s="89">
        <f t="shared" si="146"/>
        <v>23</v>
      </c>
      <c r="T749" s="88">
        <f t="shared" si="147"/>
        <v>2.4972855591748101E-2</v>
      </c>
      <c r="U749" s="89">
        <f t="shared" si="148"/>
        <v>115</v>
      </c>
      <c r="V749" s="89">
        <f t="shared" si="149"/>
        <v>4720</v>
      </c>
      <c r="W749" s="90">
        <v>4710</v>
      </c>
      <c r="X749" s="91">
        <f t="shared" si="150"/>
        <v>105</v>
      </c>
      <c r="Y749" s="92">
        <f t="shared" si="151"/>
        <v>2.2800000000000001E-2</v>
      </c>
      <c r="Z749" s="93" t="str">
        <f t="shared" si="158"/>
        <v>0.00%-8.40%</v>
      </c>
      <c r="AA749" s="94"/>
      <c r="AB749" s="94"/>
      <c r="AC749" s="94"/>
      <c r="AD749" s="95"/>
      <c r="AE749" s="87">
        <f t="shared" si="152"/>
        <v>0</v>
      </c>
      <c r="AF749" s="96">
        <f t="shared" si="153"/>
        <v>4710</v>
      </c>
      <c r="AG749" s="18">
        <f t="shared" si="154"/>
        <v>105</v>
      </c>
      <c r="AH749" s="97">
        <f t="shared" si="155"/>
        <v>2.2801302931596101E-2</v>
      </c>
      <c r="AI749" s="20">
        <v>13.6</v>
      </c>
      <c r="AJ749" s="20">
        <v>650</v>
      </c>
      <c r="AK749" s="20"/>
      <c r="AL749" s="20">
        <v>688</v>
      </c>
      <c r="AM749" s="20">
        <f t="shared" si="156"/>
        <v>72544</v>
      </c>
      <c r="AN749" s="7" t="s">
        <v>176</v>
      </c>
      <c r="AO749" s="20"/>
      <c r="AP749" s="21" t="s">
        <v>1056</v>
      </c>
      <c r="AQ749" s="21"/>
      <c r="AR749" s="5" t="s">
        <v>68</v>
      </c>
      <c r="AS749" s="5" t="s">
        <v>69</v>
      </c>
      <c r="AT749" s="5" t="s">
        <v>59</v>
      </c>
    </row>
    <row r="750" spans="1:46">
      <c r="A750" s="86" t="s">
        <v>318</v>
      </c>
      <c r="B750" s="5">
        <v>15015556</v>
      </c>
      <c r="C750" s="5" t="s">
        <v>1129</v>
      </c>
      <c r="D750" s="5" t="s">
        <v>321</v>
      </c>
      <c r="E750" s="5" t="s">
        <v>52</v>
      </c>
      <c r="F750" s="5" t="s">
        <v>62</v>
      </c>
      <c r="G750" s="5" t="s">
        <v>64</v>
      </c>
      <c r="H750" s="5" t="s">
        <v>1047</v>
      </c>
      <c r="I750" s="6">
        <v>42705</v>
      </c>
      <c r="J750" s="5" t="s">
        <v>336</v>
      </c>
      <c r="K750" s="5" t="s">
        <v>336</v>
      </c>
      <c r="L750" s="5" t="s">
        <v>324</v>
      </c>
      <c r="M750" s="7">
        <v>6</v>
      </c>
      <c r="N750" s="7" t="s">
        <v>176</v>
      </c>
      <c r="O750" s="87">
        <v>4725</v>
      </c>
      <c r="P750" s="88">
        <v>0.02</v>
      </c>
      <c r="Q750" s="89">
        <f t="shared" si="145"/>
        <v>95</v>
      </c>
      <c r="R750" s="88">
        <v>5.0000000000000001E-3</v>
      </c>
      <c r="S750" s="89">
        <f t="shared" si="146"/>
        <v>24</v>
      </c>
      <c r="T750" s="88">
        <f t="shared" si="147"/>
        <v>2.5185185185185185E-2</v>
      </c>
      <c r="U750" s="89">
        <f t="shared" si="148"/>
        <v>119</v>
      </c>
      <c r="V750" s="89">
        <f t="shared" si="149"/>
        <v>4844</v>
      </c>
      <c r="W750" s="90">
        <v>4917</v>
      </c>
      <c r="X750" s="91">
        <f t="shared" si="150"/>
        <v>192</v>
      </c>
      <c r="Y750" s="92">
        <f t="shared" si="151"/>
        <v>4.0599999999999997E-2</v>
      </c>
      <c r="Z750" s="93" t="str">
        <f t="shared" si="158"/>
        <v>0.00%-8.40%</v>
      </c>
      <c r="AA750" s="94"/>
      <c r="AB750" s="94"/>
      <c r="AC750" s="94"/>
      <c r="AD750" s="95"/>
      <c r="AE750" s="87">
        <f t="shared" si="152"/>
        <v>0</v>
      </c>
      <c r="AF750" s="96">
        <f t="shared" si="153"/>
        <v>4917</v>
      </c>
      <c r="AG750" s="18">
        <f t="shared" si="154"/>
        <v>192</v>
      </c>
      <c r="AH750" s="97">
        <f t="shared" si="155"/>
        <v>4.0634920634920579E-2</v>
      </c>
      <c r="AI750" s="20">
        <v>13.6</v>
      </c>
      <c r="AJ750" s="20">
        <v>650</v>
      </c>
      <c r="AK750" s="20"/>
      <c r="AL750" s="20">
        <v>688</v>
      </c>
      <c r="AM750" s="20">
        <f t="shared" si="156"/>
        <v>75359.199999999997</v>
      </c>
      <c r="AN750" s="7" t="s">
        <v>176</v>
      </c>
      <c r="AO750" s="20"/>
      <c r="AP750" s="21" t="s">
        <v>1048</v>
      </c>
      <c r="AQ750" s="21"/>
      <c r="AR750" s="5" t="s">
        <v>68</v>
      </c>
      <c r="AS750" s="5" t="s">
        <v>69</v>
      </c>
      <c r="AT750" s="5" t="s">
        <v>59</v>
      </c>
    </row>
    <row r="751" spans="1:46">
      <c r="A751" s="86" t="s">
        <v>318</v>
      </c>
      <c r="B751" s="5">
        <v>15016597</v>
      </c>
      <c r="C751" s="5" t="s">
        <v>1130</v>
      </c>
      <c r="D751" s="5" t="s">
        <v>321</v>
      </c>
      <c r="E751" s="5" t="s">
        <v>52</v>
      </c>
      <c r="F751" s="5" t="s">
        <v>62</v>
      </c>
      <c r="G751" s="5" t="s">
        <v>64</v>
      </c>
      <c r="H751" s="5" t="s">
        <v>1047</v>
      </c>
      <c r="I751" s="6">
        <v>43040</v>
      </c>
      <c r="J751" s="5" t="s">
        <v>336</v>
      </c>
      <c r="K751" s="5" t="s">
        <v>336</v>
      </c>
      <c r="L751" s="5" t="s">
        <v>324</v>
      </c>
      <c r="M751" s="7">
        <v>6</v>
      </c>
      <c r="N751" s="7" t="s">
        <v>176</v>
      </c>
      <c r="O751" s="87">
        <v>4440</v>
      </c>
      <c r="P751" s="88">
        <v>0.02</v>
      </c>
      <c r="Q751" s="89">
        <f t="shared" si="145"/>
        <v>89</v>
      </c>
      <c r="R751" s="88">
        <v>5.0000000000000001E-3</v>
      </c>
      <c r="S751" s="89">
        <f t="shared" si="146"/>
        <v>22</v>
      </c>
      <c r="T751" s="88">
        <f t="shared" si="147"/>
        <v>2.5000000000000001E-2</v>
      </c>
      <c r="U751" s="89">
        <f t="shared" si="148"/>
        <v>111</v>
      </c>
      <c r="V751" s="89">
        <f t="shared" si="149"/>
        <v>4551</v>
      </c>
      <c r="W751" s="90">
        <v>4540</v>
      </c>
      <c r="X751" s="91">
        <f t="shared" si="150"/>
        <v>100</v>
      </c>
      <c r="Y751" s="92">
        <f t="shared" si="151"/>
        <v>2.2499999999999999E-2</v>
      </c>
      <c r="Z751" s="93" t="str">
        <f t="shared" si="158"/>
        <v>0.00%-8.40%</v>
      </c>
      <c r="AA751" s="94"/>
      <c r="AB751" s="94"/>
      <c r="AC751" s="94"/>
      <c r="AD751" s="95"/>
      <c r="AE751" s="87">
        <f t="shared" si="152"/>
        <v>0</v>
      </c>
      <c r="AF751" s="96">
        <f t="shared" si="153"/>
        <v>4540</v>
      </c>
      <c r="AG751" s="18">
        <f t="shared" si="154"/>
        <v>100</v>
      </c>
      <c r="AH751" s="97">
        <f t="shared" si="155"/>
        <v>2.2522522522522515E-2</v>
      </c>
      <c r="AI751" s="20">
        <v>13.6</v>
      </c>
      <c r="AJ751" s="20">
        <v>650</v>
      </c>
      <c r="AK751" s="20"/>
      <c r="AL751" s="20">
        <v>688</v>
      </c>
      <c r="AM751" s="20">
        <f t="shared" si="156"/>
        <v>70232</v>
      </c>
      <c r="AN751" s="7" t="s">
        <v>176</v>
      </c>
      <c r="AO751" s="20"/>
      <c r="AP751" s="21" t="s">
        <v>1056</v>
      </c>
      <c r="AQ751" s="21"/>
      <c r="AR751" s="5" t="s">
        <v>68</v>
      </c>
      <c r="AS751" s="5" t="s">
        <v>69</v>
      </c>
      <c r="AT751" s="5" t="s">
        <v>59</v>
      </c>
    </row>
    <row r="752" spans="1:46">
      <c r="A752" s="86" t="s">
        <v>318</v>
      </c>
      <c r="B752" s="5">
        <v>15009882</v>
      </c>
      <c r="C752" s="5" t="s">
        <v>1131</v>
      </c>
      <c r="D752" s="5" t="s">
        <v>321</v>
      </c>
      <c r="E752" s="5" t="s">
        <v>52</v>
      </c>
      <c r="F752" s="5" t="s">
        <v>62</v>
      </c>
      <c r="G752" s="5" t="s">
        <v>64</v>
      </c>
      <c r="H752" s="5" t="s">
        <v>1050</v>
      </c>
      <c r="I752" s="6">
        <v>41487</v>
      </c>
      <c r="J752" s="5" t="s">
        <v>336</v>
      </c>
      <c r="K752" s="5" t="s">
        <v>336</v>
      </c>
      <c r="L752" s="5" t="s">
        <v>324</v>
      </c>
      <c r="M752" s="7">
        <v>6</v>
      </c>
      <c r="N752" s="7" t="s">
        <v>176</v>
      </c>
      <c r="O752" s="87">
        <v>4781</v>
      </c>
      <c r="P752" s="88">
        <v>0.02</v>
      </c>
      <c r="Q752" s="89">
        <f t="shared" si="145"/>
        <v>96</v>
      </c>
      <c r="R752" s="88">
        <v>5.0000000000000001E-3</v>
      </c>
      <c r="S752" s="89">
        <f t="shared" si="146"/>
        <v>24</v>
      </c>
      <c r="T752" s="88">
        <f t="shared" si="147"/>
        <v>2.5099351600083666E-2</v>
      </c>
      <c r="U752" s="89">
        <f t="shared" si="148"/>
        <v>120</v>
      </c>
      <c r="V752" s="89">
        <f t="shared" si="149"/>
        <v>4901</v>
      </c>
      <c r="W752" s="90">
        <v>4930</v>
      </c>
      <c r="X752" s="91">
        <f t="shared" si="150"/>
        <v>149</v>
      </c>
      <c r="Y752" s="92">
        <f t="shared" si="151"/>
        <v>3.1199999999999999E-2</v>
      </c>
      <c r="Z752" s="93" t="str">
        <f t="shared" si="158"/>
        <v>0.00%-8.40%</v>
      </c>
      <c r="AA752" s="94"/>
      <c r="AB752" s="94"/>
      <c r="AC752" s="94"/>
      <c r="AD752" s="95"/>
      <c r="AE752" s="87">
        <f t="shared" si="152"/>
        <v>0</v>
      </c>
      <c r="AF752" s="96">
        <f t="shared" si="153"/>
        <v>4930</v>
      </c>
      <c r="AG752" s="18">
        <f t="shared" si="154"/>
        <v>149</v>
      </c>
      <c r="AH752" s="97">
        <f t="shared" si="155"/>
        <v>3.1165028236770587E-2</v>
      </c>
      <c r="AI752" s="20">
        <v>13.6</v>
      </c>
      <c r="AJ752" s="20">
        <v>500</v>
      </c>
      <c r="AK752" s="20"/>
      <c r="AL752" s="20">
        <v>688</v>
      </c>
      <c r="AM752" s="20">
        <f t="shared" si="156"/>
        <v>73736</v>
      </c>
      <c r="AN752" s="7" t="s">
        <v>176</v>
      </c>
      <c r="AO752" s="20"/>
      <c r="AP752" s="21" t="s">
        <v>1055</v>
      </c>
      <c r="AQ752" s="21"/>
      <c r="AR752" s="5" t="s">
        <v>68</v>
      </c>
      <c r="AS752" s="5" t="s">
        <v>69</v>
      </c>
      <c r="AT752" s="5" t="s">
        <v>59</v>
      </c>
    </row>
    <row r="753" spans="1:46">
      <c r="A753" s="86" t="s">
        <v>318</v>
      </c>
      <c r="B753" s="5">
        <v>15017174</v>
      </c>
      <c r="C753" s="5" t="s">
        <v>1132</v>
      </c>
      <c r="D753" s="5" t="s">
        <v>321</v>
      </c>
      <c r="E753" s="5" t="s">
        <v>52</v>
      </c>
      <c r="F753" s="5" t="s">
        <v>62</v>
      </c>
      <c r="G753" s="5" t="s">
        <v>64</v>
      </c>
      <c r="H753" s="5" t="s">
        <v>1047</v>
      </c>
      <c r="I753" s="6">
        <v>43040</v>
      </c>
      <c r="J753" s="5" t="s">
        <v>336</v>
      </c>
      <c r="K753" s="5" t="s">
        <v>336</v>
      </c>
      <c r="L753" s="5" t="s">
        <v>324</v>
      </c>
      <c r="M753" s="7">
        <v>6</v>
      </c>
      <c r="N753" s="7" t="s">
        <v>176</v>
      </c>
      <c r="O753" s="87">
        <v>4766</v>
      </c>
      <c r="P753" s="88">
        <v>0.02</v>
      </c>
      <c r="Q753" s="89">
        <f t="shared" si="145"/>
        <v>95</v>
      </c>
      <c r="R753" s="88">
        <v>5.0000000000000001E-3</v>
      </c>
      <c r="S753" s="89">
        <f t="shared" si="146"/>
        <v>24</v>
      </c>
      <c r="T753" s="88">
        <f t="shared" si="147"/>
        <v>2.4968527066722618E-2</v>
      </c>
      <c r="U753" s="89">
        <f t="shared" si="148"/>
        <v>119</v>
      </c>
      <c r="V753" s="89">
        <f t="shared" si="149"/>
        <v>4885</v>
      </c>
      <c r="W753" s="90">
        <v>4870</v>
      </c>
      <c r="X753" s="91">
        <f t="shared" si="150"/>
        <v>104</v>
      </c>
      <c r="Y753" s="92">
        <f t="shared" si="151"/>
        <v>2.18E-2</v>
      </c>
      <c r="Z753" s="93" t="str">
        <f t="shared" si="158"/>
        <v>0.00%-8.40%</v>
      </c>
      <c r="AA753" s="94"/>
      <c r="AB753" s="94"/>
      <c r="AC753" s="94"/>
      <c r="AD753" s="95"/>
      <c r="AE753" s="87">
        <f t="shared" si="152"/>
        <v>0</v>
      </c>
      <c r="AF753" s="96">
        <f t="shared" si="153"/>
        <v>4870</v>
      </c>
      <c r="AG753" s="18">
        <f t="shared" si="154"/>
        <v>104</v>
      </c>
      <c r="AH753" s="97">
        <f t="shared" si="155"/>
        <v>2.182123373898448E-2</v>
      </c>
      <c r="AI753" s="20">
        <v>13.6</v>
      </c>
      <c r="AJ753" s="20">
        <v>450</v>
      </c>
      <c r="AK753" s="20"/>
      <c r="AL753" s="20">
        <v>688</v>
      </c>
      <c r="AM753" s="20">
        <f t="shared" si="156"/>
        <v>72320</v>
      </c>
      <c r="AN753" s="7" t="s">
        <v>176</v>
      </c>
      <c r="AO753" s="20"/>
      <c r="AP753" s="21" t="s">
        <v>1056</v>
      </c>
      <c r="AQ753" s="21"/>
      <c r="AR753" s="5" t="s">
        <v>68</v>
      </c>
      <c r="AS753" s="5" t="s">
        <v>69</v>
      </c>
      <c r="AT753" s="5" t="s">
        <v>59</v>
      </c>
    </row>
    <row r="754" spans="1:46">
      <c r="A754" s="86" t="s">
        <v>318</v>
      </c>
      <c r="B754" s="5">
        <v>15010967</v>
      </c>
      <c r="C754" s="5" t="s">
        <v>1133</v>
      </c>
      <c r="D754" s="5" t="s">
        <v>321</v>
      </c>
      <c r="E754" s="5" t="s">
        <v>52</v>
      </c>
      <c r="F754" s="5" t="s">
        <v>62</v>
      </c>
      <c r="G754" s="5" t="s">
        <v>64</v>
      </c>
      <c r="H754" s="5" t="s">
        <v>1047</v>
      </c>
      <c r="I754" s="6">
        <v>41548</v>
      </c>
      <c r="J754" s="5" t="s">
        <v>336</v>
      </c>
      <c r="K754" s="5" t="s">
        <v>336</v>
      </c>
      <c r="L754" s="5" t="s">
        <v>324</v>
      </c>
      <c r="M754" s="7">
        <v>6</v>
      </c>
      <c r="N754" s="7" t="s">
        <v>176</v>
      </c>
      <c r="O754" s="87">
        <v>4792</v>
      </c>
      <c r="P754" s="88">
        <v>0.02</v>
      </c>
      <c r="Q754" s="89">
        <f t="shared" si="145"/>
        <v>96</v>
      </c>
      <c r="R754" s="88">
        <v>5.0000000000000001E-3</v>
      </c>
      <c r="S754" s="89">
        <f t="shared" si="146"/>
        <v>24</v>
      </c>
      <c r="T754" s="88">
        <f t="shared" si="147"/>
        <v>2.5041736227045076E-2</v>
      </c>
      <c r="U754" s="89">
        <f t="shared" si="148"/>
        <v>120</v>
      </c>
      <c r="V754" s="89">
        <f t="shared" si="149"/>
        <v>4912</v>
      </c>
      <c r="W754" s="90">
        <v>4900</v>
      </c>
      <c r="X754" s="91">
        <f t="shared" si="150"/>
        <v>108</v>
      </c>
      <c r="Y754" s="92">
        <f t="shared" si="151"/>
        <v>2.2499999999999999E-2</v>
      </c>
      <c r="Z754" s="93" t="str">
        <f t="shared" si="158"/>
        <v>0.00%-8.40%</v>
      </c>
      <c r="AA754" s="94"/>
      <c r="AB754" s="94"/>
      <c r="AC754" s="94"/>
      <c r="AD754" s="95"/>
      <c r="AE754" s="87">
        <f t="shared" si="152"/>
        <v>0</v>
      </c>
      <c r="AF754" s="96">
        <f t="shared" si="153"/>
        <v>4900</v>
      </c>
      <c r="AG754" s="18">
        <f t="shared" si="154"/>
        <v>108</v>
      </c>
      <c r="AH754" s="97">
        <f t="shared" si="155"/>
        <v>2.2537562604340478E-2</v>
      </c>
      <c r="AI754" s="20">
        <v>13.6</v>
      </c>
      <c r="AJ754" s="20">
        <v>650</v>
      </c>
      <c r="AK754" s="20"/>
      <c r="AL754" s="20">
        <v>688</v>
      </c>
      <c r="AM754" s="20">
        <f t="shared" si="156"/>
        <v>75128</v>
      </c>
      <c r="AN754" s="7" t="s">
        <v>176</v>
      </c>
      <c r="AO754" s="20"/>
      <c r="AP754" s="21" t="s">
        <v>1056</v>
      </c>
      <c r="AQ754" s="21"/>
      <c r="AR754" s="5" t="s">
        <v>68</v>
      </c>
      <c r="AS754" s="5" t="s">
        <v>69</v>
      </c>
      <c r="AT754" s="5" t="s">
        <v>59</v>
      </c>
    </row>
    <row r="755" spans="1:46">
      <c r="A755" s="86" t="s">
        <v>318</v>
      </c>
      <c r="B755" s="5">
        <v>15015934</v>
      </c>
      <c r="C755" s="5" t="s">
        <v>1019</v>
      </c>
      <c r="D755" s="5" t="s">
        <v>321</v>
      </c>
      <c r="E755" s="5" t="s">
        <v>52</v>
      </c>
      <c r="F755" s="5" t="s">
        <v>62</v>
      </c>
      <c r="G755" s="5" t="s">
        <v>64</v>
      </c>
      <c r="H755" s="5" t="s">
        <v>1047</v>
      </c>
      <c r="I755" s="6">
        <v>42856</v>
      </c>
      <c r="J755" s="5" t="s">
        <v>336</v>
      </c>
      <c r="K755" s="5" t="s">
        <v>336</v>
      </c>
      <c r="L755" s="5" t="s">
        <v>324</v>
      </c>
      <c r="M755" s="7">
        <v>6</v>
      </c>
      <c r="N755" s="7" t="s">
        <v>176</v>
      </c>
      <c r="O755" s="87">
        <v>4730</v>
      </c>
      <c r="P755" s="88">
        <v>0.02</v>
      </c>
      <c r="Q755" s="89">
        <f t="shared" si="145"/>
        <v>95</v>
      </c>
      <c r="R755" s="88">
        <v>5.0000000000000001E-3</v>
      </c>
      <c r="S755" s="89">
        <f t="shared" si="146"/>
        <v>24</v>
      </c>
      <c r="T755" s="88">
        <f t="shared" si="147"/>
        <v>2.5158562367864692E-2</v>
      </c>
      <c r="U755" s="89">
        <f t="shared" si="148"/>
        <v>119</v>
      </c>
      <c r="V755" s="89">
        <f t="shared" si="149"/>
        <v>4849</v>
      </c>
      <c r="W755" s="90">
        <v>4832</v>
      </c>
      <c r="X755" s="91">
        <f t="shared" si="150"/>
        <v>102</v>
      </c>
      <c r="Y755" s="92">
        <f t="shared" si="151"/>
        <v>2.1600000000000001E-2</v>
      </c>
      <c r="Z755" s="93" t="str">
        <f t="shared" si="158"/>
        <v>0.00%-8.40%</v>
      </c>
      <c r="AA755" s="94"/>
      <c r="AB755" s="94"/>
      <c r="AC755" s="94"/>
      <c r="AD755" s="95"/>
      <c r="AE755" s="87">
        <f t="shared" si="152"/>
        <v>0</v>
      </c>
      <c r="AF755" s="96">
        <f t="shared" si="153"/>
        <v>4832</v>
      </c>
      <c r="AG755" s="18">
        <f t="shared" si="154"/>
        <v>102</v>
      </c>
      <c r="AH755" s="97">
        <f t="shared" si="155"/>
        <v>2.1564482029598375E-2</v>
      </c>
      <c r="AI755" s="20">
        <v>13.6</v>
      </c>
      <c r="AJ755" s="20">
        <v>450</v>
      </c>
      <c r="AK755" s="20"/>
      <c r="AL755" s="20">
        <v>688</v>
      </c>
      <c r="AM755" s="20">
        <f t="shared" si="156"/>
        <v>71803.199999999997</v>
      </c>
      <c r="AN755" s="7" t="s">
        <v>176</v>
      </c>
      <c r="AO755" s="20"/>
      <c r="AP755" s="21" t="s">
        <v>1056</v>
      </c>
      <c r="AQ755" s="21"/>
      <c r="AR755" s="5" t="s">
        <v>68</v>
      </c>
      <c r="AS755" s="5" t="s">
        <v>69</v>
      </c>
      <c r="AT755" s="5" t="s">
        <v>59</v>
      </c>
    </row>
    <row r="756" spans="1:46">
      <c r="A756" s="86" t="s">
        <v>318</v>
      </c>
      <c r="B756" s="5">
        <v>15013443</v>
      </c>
      <c r="C756" s="5" t="s">
        <v>1134</v>
      </c>
      <c r="D756" s="5" t="s">
        <v>321</v>
      </c>
      <c r="E756" s="5" t="s">
        <v>52</v>
      </c>
      <c r="F756" s="5" t="s">
        <v>62</v>
      </c>
      <c r="G756" s="5" t="s">
        <v>64</v>
      </c>
      <c r="H756" s="5" t="s">
        <v>1047</v>
      </c>
      <c r="I756" s="6">
        <v>41974</v>
      </c>
      <c r="J756" s="5" t="s">
        <v>336</v>
      </c>
      <c r="K756" s="5" t="s">
        <v>336</v>
      </c>
      <c r="L756" s="5" t="s">
        <v>324</v>
      </c>
      <c r="M756" s="7">
        <v>6</v>
      </c>
      <c r="N756" s="7" t="s">
        <v>176</v>
      </c>
      <c r="O756" s="87">
        <v>4578</v>
      </c>
      <c r="P756" s="88">
        <v>0.02</v>
      </c>
      <c r="Q756" s="89">
        <f t="shared" si="145"/>
        <v>92</v>
      </c>
      <c r="R756" s="88">
        <v>5.0000000000000001E-3</v>
      </c>
      <c r="S756" s="89">
        <f t="shared" si="146"/>
        <v>23</v>
      </c>
      <c r="T756" s="88">
        <f t="shared" si="147"/>
        <v>2.5120139799038883E-2</v>
      </c>
      <c r="U756" s="89">
        <f t="shared" si="148"/>
        <v>115</v>
      </c>
      <c r="V756" s="89">
        <f t="shared" si="149"/>
        <v>4693</v>
      </c>
      <c r="W756" s="90">
        <v>4678</v>
      </c>
      <c r="X756" s="91">
        <f t="shared" si="150"/>
        <v>100</v>
      </c>
      <c r="Y756" s="92">
        <f t="shared" si="151"/>
        <v>2.18E-2</v>
      </c>
      <c r="Z756" s="93" t="str">
        <f t="shared" si="158"/>
        <v>0.00%-8.40%</v>
      </c>
      <c r="AA756" s="94"/>
      <c r="AB756" s="94"/>
      <c r="AC756" s="94"/>
      <c r="AD756" s="95"/>
      <c r="AE756" s="87">
        <f t="shared" si="152"/>
        <v>0</v>
      </c>
      <c r="AF756" s="96">
        <f t="shared" si="153"/>
        <v>4678</v>
      </c>
      <c r="AG756" s="18">
        <f t="shared" si="154"/>
        <v>100</v>
      </c>
      <c r="AH756" s="97">
        <f t="shared" si="155"/>
        <v>2.1843599825251303E-2</v>
      </c>
      <c r="AI756" s="20">
        <v>13.6</v>
      </c>
      <c r="AJ756" s="20">
        <v>650</v>
      </c>
      <c r="AK756" s="20"/>
      <c r="AL756" s="20">
        <v>688</v>
      </c>
      <c r="AM756" s="20">
        <f t="shared" si="156"/>
        <v>72108.799999999988</v>
      </c>
      <c r="AN756" s="7" t="s">
        <v>176</v>
      </c>
      <c r="AO756" s="20"/>
      <c r="AP756" s="21" t="s">
        <v>1056</v>
      </c>
      <c r="AQ756" s="21"/>
      <c r="AR756" s="5" t="s">
        <v>68</v>
      </c>
      <c r="AS756" s="5" t="s">
        <v>69</v>
      </c>
      <c r="AT756" s="5" t="s">
        <v>59</v>
      </c>
    </row>
    <row r="757" spans="1:46">
      <c r="A757" s="86" t="s">
        <v>318</v>
      </c>
      <c r="B757" s="5">
        <v>15018052</v>
      </c>
      <c r="C757" s="5" t="s">
        <v>1135</v>
      </c>
      <c r="D757" s="5" t="s">
        <v>321</v>
      </c>
      <c r="E757" s="5" t="s">
        <v>52</v>
      </c>
      <c r="F757" s="5" t="s">
        <v>62</v>
      </c>
      <c r="G757" s="5" t="s">
        <v>64</v>
      </c>
      <c r="H757" s="5" t="s">
        <v>1047</v>
      </c>
      <c r="I757" s="6">
        <v>43132</v>
      </c>
      <c r="J757" s="5" t="s">
        <v>336</v>
      </c>
      <c r="K757" s="5" t="s">
        <v>336</v>
      </c>
      <c r="L757" s="5" t="s">
        <v>324</v>
      </c>
      <c r="M757" s="7">
        <v>6</v>
      </c>
      <c r="N757" s="7" t="s">
        <v>176</v>
      </c>
      <c r="O757" s="87">
        <v>4518</v>
      </c>
      <c r="P757" s="88">
        <v>0.02</v>
      </c>
      <c r="Q757" s="89">
        <f t="shared" si="145"/>
        <v>90</v>
      </c>
      <c r="R757" s="88">
        <v>5.0000000000000001E-3</v>
      </c>
      <c r="S757" s="89">
        <f t="shared" si="146"/>
        <v>23</v>
      </c>
      <c r="T757" s="88">
        <f t="shared" si="147"/>
        <v>2.5011066843736166E-2</v>
      </c>
      <c r="U757" s="89">
        <f t="shared" si="148"/>
        <v>113</v>
      </c>
      <c r="V757" s="89">
        <f t="shared" si="149"/>
        <v>4631</v>
      </c>
      <c r="W757" s="90">
        <v>4518</v>
      </c>
      <c r="X757" s="91">
        <f t="shared" si="150"/>
        <v>0</v>
      </c>
      <c r="Y757" s="92">
        <f t="shared" si="151"/>
        <v>0</v>
      </c>
      <c r="Z757" s="93" t="str">
        <f t="shared" si="158"/>
        <v>0.00%-8.40%</v>
      </c>
      <c r="AA757" s="94"/>
      <c r="AB757" s="94"/>
      <c r="AC757" s="94"/>
      <c r="AD757" s="95"/>
      <c r="AE757" s="87">
        <f t="shared" si="152"/>
        <v>0</v>
      </c>
      <c r="AF757" s="96">
        <f t="shared" si="153"/>
        <v>4518</v>
      </c>
      <c r="AG757" s="18">
        <f t="shared" si="154"/>
        <v>0</v>
      </c>
      <c r="AH757" s="97">
        <f t="shared" si="155"/>
        <v>0</v>
      </c>
      <c r="AI757" s="20">
        <v>13.6</v>
      </c>
      <c r="AJ757" s="20">
        <v>450</v>
      </c>
      <c r="AK757" s="20"/>
      <c r="AL757" s="20">
        <v>688</v>
      </c>
      <c r="AM757" s="20">
        <f t="shared" si="156"/>
        <v>67532.799999999988</v>
      </c>
      <c r="AN757" s="7" t="s">
        <v>176</v>
      </c>
      <c r="AO757" s="20"/>
      <c r="AP757" s="21" t="s">
        <v>1097</v>
      </c>
      <c r="AQ757" s="21" t="s">
        <v>107</v>
      </c>
      <c r="AR757" s="5" t="s">
        <v>68</v>
      </c>
      <c r="AS757" s="5" t="s">
        <v>69</v>
      </c>
      <c r="AT757" s="5" t="s">
        <v>59</v>
      </c>
    </row>
    <row r="758" spans="1:46">
      <c r="A758" s="86" t="s">
        <v>318</v>
      </c>
      <c r="B758" s="5">
        <v>15016315</v>
      </c>
      <c r="C758" s="5" t="s">
        <v>1136</v>
      </c>
      <c r="D758" s="5" t="s">
        <v>321</v>
      </c>
      <c r="E758" s="5" t="s">
        <v>52</v>
      </c>
      <c r="F758" s="5" t="s">
        <v>62</v>
      </c>
      <c r="G758" s="5" t="s">
        <v>64</v>
      </c>
      <c r="H758" s="5" t="s">
        <v>1047</v>
      </c>
      <c r="I758" s="6">
        <v>42948</v>
      </c>
      <c r="J758" s="5" t="s">
        <v>336</v>
      </c>
      <c r="K758" s="5" t="s">
        <v>336</v>
      </c>
      <c r="L758" s="5" t="s">
        <v>324</v>
      </c>
      <c r="M758" s="7">
        <v>6</v>
      </c>
      <c r="N758" s="7" t="s">
        <v>176</v>
      </c>
      <c r="O758" s="87">
        <v>4661</v>
      </c>
      <c r="P758" s="88">
        <v>0.02</v>
      </c>
      <c r="Q758" s="89">
        <f t="shared" si="145"/>
        <v>93</v>
      </c>
      <c r="R758" s="88">
        <v>5.0000000000000001E-3</v>
      </c>
      <c r="S758" s="89">
        <f t="shared" si="146"/>
        <v>23</v>
      </c>
      <c r="T758" s="88">
        <f t="shared" si="147"/>
        <v>2.4887363226775368E-2</v>
      </c>
      <c r="U758" s="89">
        <f t="shared" si="148"/>
        <v>116</v>
      </c>
      <c r="V758" s="89">
        <f t="shared" si="149"/>
        <v>4777</v>
      </c>
      <c r="W758" s="90">
        <v>4765</v>
      </c>
      <c r="X758" s="91">
        <f t="shared" si="150"/>
        <v>104</v>
      </c>
      <c r="Y758" s="92">
        <f t="shared" si="151"/>
        <v>2.23E-2</v>
      </c>
      <c r="Z758" s="93" t="str">
        <f t="shared" si="158"/>
        <v>0.00%-8.40%</v>
      </c>
      <c r="AA758" s="94"/>
      <c r="AB758" s="94"/>
      <c r="AC758" s="94"/>
      <c r="AD758" s="95"/>
      <c r="AE758" s="87">
        <f t="shared" si="152"/>
        <v>0</v>
      </c>
      <c r="AF758" s="96">
        <f t="shared" si="153"/>
        <v>4765</v>
      </c>
      <c r="AG758" s="18">
        <f t="shared" si="154"/>
        <v>104</v>
      </c>
      <c r="AH758" s="97">
        <f t="shared" si="155"/>
        <v>2.2312808410212437E-2</v>
      </c>
      <c r="AI758" s="20">
        <v>13.6</v>
      </c>
      <c r="AJ758" s="20">
        <v>450</v>
      </c>
      <c r="AK758" s="20"/>
      <c r="AL758" s="20">
        <v>688</v>
      </c>
      <c r="AM758" s="20">
        <f t="shared" si="156"/>
        <v>70892</v>
      </c>
      <c r="AN758" s="7" t="s">
        <v>176</v>
      </c>
      <c r="AO758" s="20"/>
      <c r="AP758" s="21" t="s">
        <v>1056</v>
      </c>
      <c r="AQ758" s="21"/>
      <c r="AR758" s="5" t="s">
        <v>68</v>
      </c>
      <c r="AS758" s="5" t="s">
        <v>69</v>
      </c>
      <c r="AT758" s="5" t="s">
        <v>59</v>
      </c>
    </row>
    <row r="759" spans="1:46">
      <c r="A759" s="86" t="s">
        <v>318</v>
      </c>
      <c r="B759" s="5">
        <v>15011432</v>
      </c>
      <c r="C759" s="5" t="s">
        <v>1137</v>
      </c>
      <c r="D759" s="5" t="s">
        <v>321</v>
      </c>
      <c r="E759" s="5" t="s">
        <v>52</v>
      </c>
      <c r="F759" s="5" t="s">
        <v>62</v>
      </c>
      <c r="G759" s="5" t="s">
        <v>64</v>
      </c>
      <c r="H759" s="5" t="s">
        <v>1047</v>
      </c>
      <c r="I759" s="6">
        <v>41609</v>
      </c>
      <c r="J759" s="5" t="s">
        <v>336</v>
      </c>
      <c r="K759" s="5" t="s">
        <v>336</v>
      </c>
      <c r="L759" s="5" t="s">
        <v>324</v>
      </c>
      <c r="M759" s="7">
        <v>6</v>
      </c>
      <c r="N759" s="7" t="s">
        <v>176</v>
      </c>
      <c r="O759" s="87">
        <v>4561</v>
      </c>
      <c r="P759" s="88">
        <v>0.02</v>
      </c>
      <c r="Q759" s="89">
        <f t="shared" si="145"/>
        <v>91</v>
      </c>
      <c r="R759" s="88">
        <v>5.0000000000000001E-3</v>
      </c>
      <c r="S759" s="89">
        <f t="shared" si="146"/>
        <v>23</v>
      </c>
      <c r="T759" s="88">
        <f t="shared" si="147"/>
        <v>2.4994518745889059E-2</v>
      </c>
      <c r="U759" s="89">
        <f t="shared" si="148"/>
        <v>114</v>
      </c>
      <c r="V759" s="89">
        <f t="shared" si="149"/>
        <v>4675</v>
      </c>
      <c r="W759" s="90">
        <v>4660</v>
      </c>
      <c r="X759" s="91">
        <f t="shared" si="150"/>
        <v>99</v>
      </c>
      <c r="Y759" s="92">
        <f t="shared" si="151"/>
        <v>2.1700000000000001E-2</v>
      </c>
      <c r="Z759" s="93" t="str">
        <f t="shared" si="158"/>
        <v>0.00%-8.40%</v>
      </c>
      <c r="AA759" s="94"/>
      <c r="AB759" s="94"/>
      <c r="AC759" s="94"/>
      <c r="AD759" s="95"/>
      <c r="AE759" s="87">
        <f t="shared" si="152"/>
        <v>0</v>
      </c>
      <c r="AF759" s="96">
        <f t="shared" si="153"/>
        <v>4660</v>
      </c>
      <c r="AG759" s="18">
        <f t="shared" si="154"/>
        <v>99</v>
      </c>
      <c r="AH759" s="97">
        <f t="shared" si="155"/>
        <v>2.1705766279324745E-2</v>
      </c>
      <c r="AI759" s="20">
        <v>13.6</v>
      </c>
      <c r="AJ759" s="20">
        <v>450</v>
      </c>
      <c r="AK759" s="20"/>
      <c r="AL759" s="20">
        <v>688</v>
      </c>
      <c r="AM759" s="20">
        <f t="shared" si="156"/>
        <v>69464</v>
      </c>
      <c r="AN759" s="7" t="s">
        <v>176</v>
      </c>
      <c r="AO759" s="20"/>
      <c r="AP759" s="21" t="s">
        <v>1056</v>
      </c>
      <c r="AQ759" s="21"/>
      <c r="AR759" s="5" t="s">
        <v>68</v>
      </c>
      <c r="AS759" s="5" t="s">
        <v>69</v>
      </c>
      <c r="AT759" s="5" t="s">
        <v>59</v>
      </c>
    </row>
    <row r="760" spans="1:46">
      <c r="A760" s="86" t="s">
        <v>318</v>
      </c>
      <c r="B760" s="5">
        <v>15010240</v>
      </c>
      <c r="C760" s="5" t="s">
        <v>1138</v>
      </c>
      <c r="D760" s="5" t="s">
        <v>321</v>
      </c>
      <c r="E760" s="5" t="s">
        <v>52</v>
      </c>
      <c r="F760" s="5" t="s">
        <v>62</v>
      </c>
      <c r="G760" s="5" t="s">
        <v>64</v>
      </c>
      <c r="H760" s="5" t="s">
        <v>1047</v>
      </c>
      <c r="I760" s="6">
        <v>41548</v>
      </c>
      <c r="J760" s="5" t="s">
        <v>336</v>
      </c>
      <c r="K760" s="5" t="s">
        <v>336</v>
      </c>
      <c r="L760" s="5" t="s">
        <v>324</v>
      </c>
      <c r="M760" s="7">
        <v>6</v>
      </c>
      <c r="N760" s="7" t="s">
        <v>176</v>
      </c>
      <c r="O760" s="87">
        <v>4802</v>
      </c>
      <c r="P760" s="88">
        <v>0.02</v>
      </c>
      <c r="Q760" s="89">
        <f t="shared" si="145"/>
        <v>96</v>
      </c>
      <c r="R760" s="88">
        <v>5.0000000000000001E-3</v>
      </c>
      <c r="S760" s="89">
        <f t="shared" si="146"/>
        <v>24</v>
      </c>
      <c r="T760" s="88">
        <f t="shared" si="147"/>
        <v>2.4989587671803416E-2</v>
      </c>
      <c r="U760" s="89">
        <f t="shared" si="148"/>
        <v>120</v>
      </c>
      <c r="V760" s="89">
        <f t="shared" si="149"/>
        <v>4922</v>
      </c>
      <c r="W760" s="90">
        <v>4910</v>
      </c>
      <c r="X760" s="91">
        <f t="shared" si="150"/>
        <v>108</v>
      </c>
      <c r="Y760" s="92">
        <f t="shared" si="151"/>
        <v>2.2499999999999999E-2</v>
      </c>
      <c r="Z760" s="93" t="str">
        <f t="shared" si="158"/>
        <v>0.00%-8.40%</v>
      </c>
      <c r="AA760" s="94"/>
      <c r="AB760" s="94"/>
      <c r="AC760" s="94"/>
      <c r="AD760" s="95"/>
      <c r="AE760" s="87">
        <f t="shared" si="152"/>
        <v>0</v>
      </c>
      <c r="AF760" s="96">
        <f t="shared" si="153"/>
        <v>4910</v>
      </c>
      <c r="AG760" s="18">
        <f t="shared" si="154"/>
        <v>108</v>
      </c>
      <c r="AH760" s="97">
        <f t="shared" si="155"/>
        <v>2.2490628904623167E-2</v>
      </c>
      <c r="AI760" s="20">
        <v>13.6</v>
      </c>
      <c r="AJ760" s="20">
        <v>450</v>
      </c>
      <c r="AK760" s="20"/>
      <c r="AL760" s="20">
        <v>688</v>
      </c>
      <c r="AM760" s="20">
        <f t="shared" si="156"/>
        <v>72864</v>
      </c>
      <c r="AN760" s="7" t="s">
        <v>176</v>
      </c>
      <c r="AO760" s="20"/>
      <c r="AP760" s="21" t="s">
        <v>1056</v>
      </c>
      <c r="AQ760" s="21"/>
      <c r="AR760" s="5" t="s">
        <v>68</v>
      </c>
      <c r="AS760" s="5" t="s">
        <v>69</v>
      </c>
      <c r="AT760" s="5" t="s">
        <v>59</v>
      </c>
    </row>
    <row r="761" spans="1:46">
      <c r="A761" s="86" t="s">
        <v>318</v>
      </c>
      <c r="B761" s="5">
        <v>15006457</v>
      </c>
      <c r="C761" s="5" t="s">
        <v>1139</v>
      </c>
      <c r="D761" s="5" t="s">
        <v>321</v>
      </c>
      <c r="E761" s="5" t="s">
        <v>52</v>
      </c>
      <c r="F761" s="5" t="s">
        <v>62</v>
      </c>
      <c r="G761" s="5" t="s">
        <v>64</v>
      </c>
      <c r="H761" s="5" t="s">
        <v>1047</v>
      </c>
      <c r="I761" s="6">
        <v>40817</v>
      </c>
      <c r="J761" s="5" t="s">
        <v>336</v>
      </c>
      <c r="K761" s="5" t="s">
        <v>336</v>
      </c>
      <c r="L761" s="5" t="s">
        <v>324</v>
      </c>
      <c r="M761" s="7">
        <v>6</v>
      </c>
      <c r="N761" s="7" t="s">
        <v>176</v>
      </c>
      <c r="O761" s="87">
        <v>4100</v>
      </c>
      <c r="P761" s="88">
        <v>0.02</v>
      </c>
      <c r="Q761" s="89">
        <f t="shared" si="145"/>
        <v>82</v>
      </c>
      <c r="R761" s="88">
        <v>5.0000000000000001E-3</v>
      </c>
      <c r="S761" s="89">
        <f t="shared" si="146"/>
        <v>21</v>
      </c>
      <c r="T761" s="88">
        <f t="shared" si="147"/>
        <v>2.5121951219512197E-2</v>
      </c>
      <c r="U761" s="89">
        <f t="shared" si="148"/>
        <v>103</v>
      </c>
      <c r="V761" s="89">
        <f t="shared" si="149"/>
        <v>4203</v>
      </c>
      <c r="W761" s="90">
        <v>4100</v>
      </c>
      <c r="X761" s="91">
        <f t="shared" si="150"/>
        <v>0</v>
      </c>
      <c r="Y761" s="92">
        <f t="shared" si="151"/>
        <v>0</v>
      </c>
      <c r="Z761" s="93" t="str">
        <f t="shared" si="158"/>
        <v>0.00%-8.40%</v>
      </c>
      <c r="AA761" s="94"/>
      <c r="AB761" s="94"/>
      <c r="AC761" s="94"/>
      <c r="AD761" s="95"/>
      <c r="AE761" s="87">
        <f t="shared" si="152"/>
        <v>0</v>
      </c>
      <c r="AF761" s="96">
        <f t="shared" si="153"/>
        <v>4100</v>
      </c>
      <c r="AG761" s="18">
        <f t="shared" si="154"/>
        <v>0</v>
      </c>
      <c r="AH761" s="97">
        <f t="shared" si="155"/>
        <v>0</v>
      </c>
      <c r="AI761" s="20">
        <v>13.6</v>
      </c>
      <c r="AJ761" s="20">
        <v>450</v>
      </c>
      <c r="AK761" s="20"/>
      <c r="AL761" s="20">
        <v>688</v>
      </c>
      <c r="AM761" s="20">
        <f t="shared" si="156"/>
        <v>61848</v>
      </c>
      <c r="AN761" s="7" t="s">
        <v>176</v>
      </c>
      <c r="AO761" s="20"/>
      <c r="AP761" s="21" t="s">
        <v>1140</v>
      </c>
      <c r="AQ761" s="21" t="s">
        <v>496</v>
      </c>
      <c r="AR761" s="5" t="s">
        <v>68</v>
      </c>
      <c r="AS761" s="5" t="s">
        <v>69</v>
      </c>
      <c r="AT761" s="5" t="s">
        <v>59</v>
      </c>
    </row>
    <row r="762" spans="1:46">
      <c r="A762" s="86" t="s">
        <v>318</v>
      </c>
      <c r="B762" s="5">
        <v>15010009</v>
      </c>
      <c r="C762" s="5" t="s">
        <v>1141</v>
      </c>
      <c r="D762" s="5" t="s">
        <v>321</v>
      </c>
      <c r="E762" s="5" t="s">
        <v>52</v>
      </c>
      <c r="F762" s="5" t="s">
        <v>62</v>
      </c>
      <c r="G762" s="5" t="s">
        <v>64</v>
      </c>
      <c r="H762" s="5" t="s">
        <v>1047</v>
      </c>
      <c r="I762" s="6">
        <v>41487</v>
      </c>
      <c r="J762" s="5" t="s">
        <v>336</v>
      </c>
      <c r="K762" s="5" t="s">
        <v>336</v>
      </c>
      <c r="L762" s="5" t="s">
        <v>324</v>
      </c>
      <c r="M762" s="7">
        <v>6</v>
      </c>
      <c r="N762" s="7" t="s">
        <v>176</v>
      </c>
      <c r="O762" s="87">
        <v>5110</v>
      </c>
      <c r="P762" s="88">
        <v>0.02</v>
      </c>
      <c r="Q762" s="89">
        <f t="shared" si="145"/>
        <v>102</v>
      </c>
      <c r="R762" s="88">
        <v>5.0000000000000001E-3</v>
      </c>
      <c r="S762" s="89">
        <f t="shared" si="146"/>
        <v>26</v>
      </c>
      <c r="T762" s="88">
        <f t="shared" si="147"/>
        <v>2.5048923679060666E-2</v>
      </c>
      <c r="U762" s="89">
        <f t="shared" si="148"/>
        <v>128</v>
      </c>
      <c r="V762" s="89">
        <f t="shared" si="149"/>
        <v>5238</v>
      </c>
      <c r="W762" s="90">
        <v>5260</v>
      </c>
      <c r="X762" s="91">
        <f t="shared" si="150"/>
        <v>150</v>
      </c>
      <c r="Y762" s="92">
        <f t="shared" si="151"/>
        <v>2.9399999999999999E-2</v>
      </c>
      <c r="Z762" s="93" t="str">
        <f t="shared" si="158"/>
        <v>0.00%-8.40%</v>
      </c>
      <c r="AA762" s="94"/>
      <c r="AB762" s="94"/>
      <c r="AC762" s="94"/>
      <c r="AD762" s="95"/>
      <c r="AE762" s="87">
        <f t="shared" si="152"/>
        <v>0</v>
      </c>
      <c r="AF762" s="96">
        <f t="shared" si="153"/>
        <v>5260</v>
      </c>
      <c r="AG762" s="18">
        <f t="shared" si="154"/>
        <v>150</v>
      </c>
      <c r="AH762" s="97">
        <f t="shared" si="155"/>
        <v>2.9354207436399271E-2</v>
      </c>
      <c r="AI762" s="20">
        <v>13.6</v>
      </c>
      <c r="AJ762" s="20">
        <v>700</v>
      </c>
      <c r="AK762" s="20"/>
      <c r="AL762" s="20">
        <v>688</v>
      </c>
      <c r="AM762" s="20">
        <f t="shared" si="156"/>
        <v>80624</v>
      </c>
      <c r="AN762" s="7" t="s">
        <v>176</v>
      </c>
      <c r="AO762" s="20"/>
      <c r="AP762" s="21" t="s">
        <v>1056</v>
      </c>
      <c r="AQ762" s="21"/>
      <c r="AR762" s="5" t="s">
        <v>68</v>
      </c>
      <c r="AS762" s="5" t="s">
        <v>69</v>
      </c>
      <c r="AT762" s="5" t="s">
        <v>59</v>
      </c>
    </row>
    <row r="763" spans="1:46">
      <c r="A763" s="86" t="s">
        <v>318</v>
      </c>
      <c r="B763" s="5">
        <v>15015542</v>
      </c>
      <c r="C763" s="5" t="s">
        <v>1142</v>
      </c>
      <c r="D763" s="5" t="s">
        <v>321</v>
      </c>
      <c r="E763" s="5" t="s">
        <v>52</v>
      </c>
      <c r="F763" s="5" t="s">
        <v>62</v>
      </c>
      <c r="G763" s="5" t="s">
        <v>64</v>
      </c>
      <c r="H763" s="5" t="s">
        <v>1047</v>
      </c>
      <c r="I763" s="6">
        <v>42736</v>
      </c>
      <c r="J763" s="5" t="s">
        <v>336</v>
      </c>
      <c r="K763" s="5" t="s">
        <v>336</v>
      </c>
      <c r="L763" s="5" t="s">
        <v>324</v>
      </c>
      <c r="M763" s="7">
        <v>6</v>
      </c>
      <c r="N763" s="7" t="s">
        <v>176</v>
      </c>
      <c r="O763" s="87">
        <v>5100</v>
      </c>
      <c r="P763" s="88">
        <v>0.02</v>
      </c>
      <c r="Q763" s="89">
        <f t="shared" si="145"/>
        <v>102</v>
      </c>
      <c r="R763" s="88">
        <v>5.0000000000000001E-3</v>
      </c>
      <c r="S763" s="89">
        <f t="shared" si="146"/>
        <v>26</v>
      </c>
      <c r="T763" s="88">
        <f t="shared" si="147"/>
        <v>2.5098039215686273E-2</v>
      </c>
      <c r="U763" s="89">
        <f t="shared" si="148"/>
        <v>128</v>
      </c>
      <c r="V763" s="89">
        <f t="shared" si="149"/>
        <v>5228</v>
      </c>
      <c r="W763" s="90">
        <v>5300</v>
      </c>
      <c r="X763" s="91">
        <f t="shared" si="150"/>
        <v>200</v>
      </c>
      <c r="Y763" s="92">
        <f t="shared" si="151"/>
        <v>3.9199999999999999E-2</v>
      </c>
      <c r="Z763" s="93" t="str">
        <f t="shared" si="158"/>
        <v>0.00%-8.40%</v>
      </c>
      <c r="AA763" s="94"/>
      <c r="AB763" s="94"/>
      <c r="AC763" s="94"/>
      <c r="AD763" s="95"/>
      <c r="AE763" s="87">
        <f t="shared" si="152"/>
        <v>0</v>
      </c>
      <c r="AF763" s="96">
        <f t="shared" si="153"/>
        <v>5300</v>
      </c>
      <c r="AG763" s="18">
        <f t="shared" si="154"/>
        <v>200</v>
      </c>
      <c r="AH763" s="97">
        <f t="shared" si="155"/>
        <v>3.9215686274509887E-2</v>
      </c>
      <c r="AI763" s="20">
        <v>13.6</v>
      </c>
      <c r="AJ763" s="20">
        <v>700</v>
      </c>
      <c r="AK763" s="20"/>
      <c r="AL763" s="20">
        <v>688</v>
      </c>
      <c r="AM763" s="20">
        <f t="shared" si="156"/>
        <v>81168</v>
      </c>
      <c r="AN763" s="7" t="s">
        <v>176</v>
      </c>
      <c r="AO763" s="20"/>
      <c r="AP763" s="21" t="s">
        <v>1048</v>
      </c>
      <c r="AQ763" s="21"/>
      <c r="AR763" s="5" t="s">
        <v>68</v>
      </c>
      <c r="AS763" s="5" t="s">
        <v>69</v>
      </c>
      <c r="AT763" s="5" t="s">
        <v>59</v>
      </c>
    </row>
    <row r="764" spans="1:46">
      <c r="A764" s="86" t="s">
        <v>318</v>
      </c>
      <c r="B764" s="5">
        <v>15001501</v>
      </c>
      <c r="C764" s="5" t="s">
        <v>1143</v>
      </c>
      <c r="D764" s="5" t="s">
        <v>321</v>
      </c>
      <c r="E764" s="5" t="s">
        <v>52</v>
      </c>
      <c r="F764" s="5" t="s">
        <v>62</v>
      </c>
      <c r="G764" s="5" t="s">
        <v>64</v>
      </c>
      <c r="H764" s="5" t="s">
        <v>1050</v>
      </c>
      <c r="I764" s="6">
        <v>39552</v>
      </c>
      <c r="J764" s="5" t="s">
        <v>336</v>
      </c>
      <c r="K764" s="5" t="s">
        <v>336</v>
      </c>
      <c r="L764" s="5" t="s">
        <v>324</v>
      </c>
      <c r="M764" s="7">
        <v>6</v>
      </c>
      <c r="N764" s="7" t="s">
        <v>176</v>
      </c>
      <c r="O764" s="87">
        <v>4850</v>
      </c>
      <c r="P764" s="88">
        <v>0.02</v>
      </c>
      <c r="Q764" s="89">
        <f t="shared" si="145"/>
        <v>97</v>
      </c>
      <c r="R764" s="88">
        <v>5.0000000000000001E-3</v>
      </c>
      <c r="S764" s="89">
        <f t="shared" si="146"/>
        <v>24</v>
      </c>
      <c r="T764" s="88">
        <f t="shared" si="147"/>
        <v>2.4948453608247424E-2</v>
      </c>
      <c r="U764" s="89">
        <f t="shared" si="148"/>
        <v>121</v>
      </c>
      <c r="V764" s="89">
        <f t="shared" si="149"/>
        <v>4971</v>
      </c>
      <c r="W764" s="90">
        <v>5000</v>
      </c>
      <c r="X764" s="91">
        <f t="shared" si="150"/>
        <v>150</v>
      </c>
      <c r="Y764" s="92">
        <f t="shared" si="151"/>
        <v>3.09E-2</v>
      </c>
      <c r="Z764" s="93" t="str">
        <f t="shared" si="158"/>
        <v>0.00%-8.40%</v>
      </c>
      <c r="AA764" s="94"/>
      <c r="AB764" s="94"/>
      <c r="AC764" s="94"/>
      <c r="AD764" s="95"/>
      <c r="AE764" s="87">
        <f t="shared" si="152"/>
        <v>0</v>
      </c>
      <c r="AF764" s="96">
        <f t="shared" si="153"/>
        <v>5000</v>
      </c>
      <c r="AG764" s="18">
        <f t="shared" si="154"/>
        <v>150</v>
      </c>
      <c r="AH764" s="97">
        <f t="shared" si="155"/>
        <v>3.0927835051546282E-2</v>
      </c>
      <c r="AI764" s="20">
        <v>13.6</v>
      </c>
      <c r="AJ764" s="20">
        <v>800</v>
      </c>
      <c r="AK764" s="20"/>
      <c r="AL764" s="20">
        <v>688</v>
      </c>
      <c r="AM764" s="20">
        <f t="shared" si="156"/>
        <v>78288</v>
      </c>
      <c r="AN764" s="7" t="s">
        <v>176</v>
      </c>
      <c r="AO764" s="20"/>
      <c r="AP764" s="21" t="s">
        <v>1055</v>
      </c>
      <c r="AQ764" s="21"/>
      <c r="AR764" s="5" t="s">
        <v>68</v>
      </c>
      <c r="AS764" s="5" t="s">
        <v>69</v>
      </c>
      <c r="AT764" s="5" t="s">
        <v>59</v>
      </c>
    </row>
    <row r="765" spans="1:46">
      <c r="A765" s="86" t="s">
        <v>318</v>
      </c>
      <c r="B765" s="5">
        <v>15001385</v>
      </c>
      <c r="C765" s="5" t="s">
        <v>1144</v>
      </c>
      <c r="D765" s="5" t="s">
        <v>321</v>
      </c>
      <c r="E765" s="5" t="s">
        <v>52</v>
      </c>
      <c r="F765" s="5" t="s">
        <v>62</v>
      </c>
      <c r="G765" s="5" t="s">
        <v>64</v>
      </c>
      <c r="H765" s="5" t="s">
        <v>1050</v>
      </c>
      <c r="I765" s="6">
        <v>39503</v>
      </c>
      <c r="J765" s="5" t="s">
        <v>336</v>
      </c>
      <c r="K765" s="5" t="s">
        <v>336</v>
      </c>
      <c r="L765" s="5" t="s">
        <v>324</v>
      </c>
      <c r="M765" s="7">
        <v>6</v>
      </c>
      <c r="N765" s="7" t="s">
        <v>176</v>
      </c>
      <c r="O765" s="87">
        <v>4884</v>
      </c>
      <c r="P765" s="88">
        <v>0.02</v>
      </c>
      <c r="Q765" s="89">
        <f t="shared" si="145"/>
        <v>98</v>
      </c>
      <c r="R765" s="88">
        <v>5.0000000000000001E-3</v>
      </c>
      <c r="S765" s="89">
        <f t="shared" si="146"/>
        <v>24</v>
      </c>
      <c r="T765" s="88">
        <f t="shared" si="147"/>
        <v>2.4979524979524978E-2</v>
      </c>
      <c r="U765" s="89">
        <f t="shared" si="148"/>
        <v>122</v>
      </c>
      <c r="V765" s="89">
        <f t="shared" si="149"/>
        <v>5006</v>
      </c>
      <c r="W765" s="90">
        <v>5000</v>
      </c>
      <c r="X765" s="91">
        <f t="shared" si="150"/>
        <v>116</v>
      </c>
      <c r="Y765" s="92">
        <f t="shared" si="151"/>
        <v>2.3800000000000002E-2</v>
      </c>
      <c r="Z765" s="93" t="str">
        <f t="shared" si="158"/>
        <v>0.00%-8.40%</v>
      </c>
      <c r="AA765" s="94"/>
      <c r="AB765" s="94"/>
      <c r="AC765" s="94"/>
      <c r="AD765" s="95"/>
      <c r="AE765" s="87">
        <f t="shared" si="152"/>
        <v>0</v>
      </c>
      <c r="AF765" s="96">
        <f t="shared" si="153"/>
        <v>5000</v>
      </c>
      <c r="AG765" s="18">
        <f t="shared" si="154"/>
        <v>116</v>
      </c>
      <c r="AH765" s="97">
        <f t="shared" si="155"/>
        <v>2.375102375102367E-2</v>
      </c>
      <c r="AI765" s="20">
        <v>13.6</v>
      </c>
      <c r="AJ765" s="20">
        <v>700</v>
      </c>
      <c r="AK765" s="20"/>
      <c r="AL765" s="20">
        <v>688</v>
      </c>
      <c r="AM765" s="20">
        <f t="shared" si="156"/>
        <v>77088</v>
      </c>
      <c r="AN765" s="7" t="s">
        <v>176</v>
      </c>
      <c r="AO765" s="20"/>
      <c r="AP765" s="21" t="s">
        <v>1056</v>
      </c>
      <c r="AQ765" s="21"/>
      <c r="AR765" s="5" t="s">
        <v>68</v>
      </c>
      <c r="AS765" s="5" t="s">
        <v>69</v>
      </c>
      <c r="AT765" s="5" t="s">
        <v>59</v>
      </c>
    </row>
    <row r="766" spans="1:46">
      <c r="A766" s="86" t="s">
        <v>318</v>
      </c>
      <c r="B766" s="5">
        <v>15000154</v>
      </c>
      <c r="C766" s="5" t="s">
        <v>1145</v>
      </c>
      <c r="D766" s="5" t="s">
        <v>321</v>
      </c>
      <c r="E766" s="5" t="s">
        <v>52</v>
      </c>
      <c r="F766" s="5" t="s">
        <v>62</v>
      </c>
      <c r="G766" s="5" t="s">
        <v>64</v>
      </c>
      <c r="H766" s="5" t="s">
        <v>1053</v>
      </c>
      <c r="I766" s="6">
        <v>38572</v>
      </c>
      <c r="J766" s="5" t="s">
        <v>336</v>
      </c>
      <c r="K766" s="5" t="s">
        <v>336</v>
      </c>
      <c r="L766" s="5" t="s">
        <v>324</v>
      </c>
      <c r="M766" s="7">
        <v>6</v>
      </c>
      <c r="N766" s="7" t="s">
        <v>176</v>
      </c>
      <c r="O766" s="87">
        <v>7580</v>
      </c>
      <c r="P766" s="88">
        <v>0.02</v>
      </c>
      <c r="Q766" s="89">
        <f t="shared" si="145"/>
        <v>152</v>
      </c>
      <c r="R766" s="88">
        <v>5.0000000000000001E-3</v>
      </c>
      <c r="S766" s="89">
        <f t="shared" si="146"/>
        <v>38</v>
      </c>
      <c r="T766" s="88">
        <f t="shared" si="147"/>
        <v>2.5065963060686015E-2</v>
      </c>
      <c r="U766" s="89">
        <f t="shared" si="148"/>
        <v>190</v>
      </c>
      <c r="V766" s="89">
        <f t="shared" si="149"/>
        <v>7770</v>
      </c>
      <c r="W766" s="90">
        <v>7750</v>
      </c>
      <c r="X766" s="91">
        <f t="shared" si="150"/>
        <v>170</v>
      </c>
      <c r="Y766" s="92">
        <f t="shared" si="151"/>
        <v>2.24E-2</v>
      </c>
      <c r="Z766" s="93" t="str">
        <f t="shared" si="158"/>
        <v>0.00%-8.40%</v>
      </c>
      <c r="AA766" s="94"/>
      <c r="AB766" s="94"/>
      <c r="AC766" s="94"/>
      <c r="AD766" s="95"/>
      <c r="AE766" s="87">
        <f t="shared" si="152"/>
        <v>0</v>
      </c>
      <c r="AF766" s="96">
        <f t="shared" si="153"/>
        <v>7750</v>
      </c>
      <c r="AG766" s="18">
        <f t="shared" si="154"/>
        <v>170</v>
      </c>
      <c r="AH766" s="97">
        <f t="shared" si="155"/>
        <v>2.2427440633245421E-2</v>
      </c>
      <c r="AI766" s="20">
        <v>13.6</v>
      </c>
      <c r="AJ766" s="20">
        <v>500</v>
      </c>
      <c r="AK766" s="20"/>
      <c r="AL766" s="20">
        <v>688</v>
      </c>
      <c r="AM766" s="20">
        <f t="shared" si="156"/>
        <v>112088</v>
      </c>
      <c r="AN766" s="7" t="s">
        <v>176</v>
      </c>
      <c r="AO766" s="20"/>
      <c r="AP766" s="21" t="s">
        <v>1056</v>
      </c>
      <c r="AQ766" s="21"/>
      <c r="AR766" s="5" t="s">
        <v>68</v>
      </c>
      <c r="AS766" s="5" t="s">
        <v>69</v>
      </c>
      <c r="AT766" s="5" t="s">
        <v>59</v>
      </c>
    </row>
    <row r="767" spans="1:46">
      <c r="A767" s="86" t="s">
        <v>318</v>
      </c>
      <c r="B767" s="5">
        <v>15014771</v>
      </c>
      <c r="C767" s="5" t="s">
        <v>1146</v>
      </c>
      <c r="D767" s="5" t="s">
        <v>321</v>
      </c>
      <c r="E767" s="5" t="s">
        <v>52</v>
      </c>
      <c r="F767" s="5" t="s">
        <v>62</v>
      </c>
      <c r="G767" s="5" t="s">
        <v>64</v>
      </c>
      <c r="H767" s="5" t="s">
        <v>1053</v>
      </c>
      <c r="I767" s="6">
        <v>42401</v>
      </c>
      <c r="J767" s="5" t="s">
        <v>336</v>
      </c>
      <c r="K767" s="5" t="s">
        <v>336</v>
      </c>
      <c r="L767" s="5" t="s">
        <v>324</v>
      </c>
      <c r="M767" s="7">
        <v>6</v>
      </c>
      <c r="N767" s="7" t="s">
        <v>176</v>
      </c>
      <c r="O767" s="87">
        <v>4804</v>
      </c>
      <c r="P767" s="88">
        <v>0.02</v>
      </c>
      <c r="Q767" s="89">
        <f t="shared" si="145"/>
        <v>96</v>
      </c>
      <c r="R767" s="88">
        <v>5.0000000000000001E-3</v>
      </c>
      <c r="S767" s="89">
        <f t="shared" si="146"/>
        <v>24</v>
      </c>
      <c r="T767" s="88">
        <f t="shared" si="147"/>
        <v>2.497918401332223E-2</v>
      </c>
      <c r="U767" s="89">
        <f t="shared" si="148"/>
        <v>120</v>
      </c>
      <c r="V767" s="89">
        <f t="shared" si="149"/>
        <v>4924</v>
      </c>
      <c r="W767" s="90">
        <f t="shared" ref="W767" si="159">V767</f>
        <v>4924</v>
      </c>
      <c r="X767" s="91">
        <f t="shared" si="150"/>
        <v>120</v>
      </c>
      <c r="Y767" s="92">
        <f t="shared" si="151"/>
        <v>2.5000000000000001E-2</v>
      </c>
      <c r="Z767" s="93" t="str">
        <f t="shared" si="158"/>
        <v>0.00%-8.40%</v>
      </c>
      <c r="AA767" s="94"/>
      <c r="AB767" s="94"/>
      <c r="AC767" s="94"/>
      <c r="AD767" s="95"/>
      <c r="AE767" s="87">
        <f t="shared" si="152"/>
        <v>0</v>
      </c>
      <c r="AF767" s="96">
        <f t="shared" si="153"/>
        <v>4924</v>
      </c>
      <c r="AG767" s="18">
        <f t="shared" si="154"/>
        <v>120</v>
      </c>
      <c r="AH767" s="97">
        <f t="shared" si="155"/>
        <v>2.497918401332222E-2</v>
      </c>
      <c r="AI767" s="20">
        <v>13.6</v>
      </c>
      <c r="AJ767" s="20">
        <v>500</v>
      </c>
      <c r="AK767" s="20"/>
      <c r="AL767" s="20">
        <v>688</v>
      </c>
      <c r="AM767" s="20">
        <f t="shared" si="156"/>
        <v>73654.399999999994</v>
      </c>
      <c r="AN767" s="7" t="s">
        <v>176</v>
      </c>
      <c r="AO767" s="20"/>
      <c r="AP767" s="21" t="s">
        <v>1056</v>
      </c>
      <c r="AQ767" s="21"/>
      <c r="AR767" s="5" t="s">
        <v>68</v>
      </c>
      <c r="AS767" s="5" t="s">
        <v>69</v>
      </c>
      <c r="AT767" s="5" t="s">
        <v>59</v>
      </c>
    </row>
    <row r="768" spans="1:46">
      <c r="A768" s="86" t="s">
        <v>318</v>
      </c>
      <c r="B768" s="5">
        <v>15002846</v>
      </c>
      <c r="C768" s="5" t="s">
        <v>1147</v>
      </c>
      <c r="D768" s="5" t="s">
        <v>321</v>
      </c>
      <c r="E768" s="5" t="s">
        <v>52</v>
      </c>
      <c r="F768" s="5" t="s">
        <v>62</v>
      </c>
      <c r="G768" s="5" t="s">
        <v>64</v>
      </c>
      <c r="H768" s="5" t="s">
        <v>1050</v>
      </c>
      <c r="I768" s="6">
        <v>40148</v>
      </c>
      <c r="J768" s="5" t="s">
        <v>336</v>
      </c>
      <c r="K768" s="5" t="s">
        <v>336</v>
      </c>
      <c r="L768" s="5" t="s">
        <v>324</v>
      </c>
      <c r="M768" s="7">
        <v>6</v>
      </c>
      <c r="N768" s="7" t="s">
        <v>176</v>
      </c>
      <c r="O768" s="87">
        <v>6406</v>
      </c>
      <c r="P768" s="88">
        <v>0.02</v>
      </c>
      <c r="Q768" s="89">
        <f t="shared" si="145"/>
        <v>128</v>
      </c>
      <c r="R768" s="88">
        <v>5.0000000000000001E-3</v>
      </c>
      <c r="S768" s="89">
        <f t="shared" si="146"/>
        <v>32</v>
      </c>
      <c r="T768" s="88">
        <f t="shared" si="147"/>
        <v>2.4976584452076178E-2</v>
      </c>
      <c r="U768" s="89">
        <f t="shared" si="148"/>
        <v>160</v>
      </c>
      <c r="V768" s="89">
        <f t="shared" si="149"/>
        <v>6566</v>
      </c>
      <c r="W768" s="90">
        <v>6550</v>
      </c>
      <c r="X768" s="91">
        <f t="shared" si="150"/>
        <v>144</v>
      </c>
      <c r="Y768" s="92">
        <f t="shared" si="151"/>
        <v>2.2499999999999999E-2</v>
      </c>
      <c r="Z768" s="93" t="str">
        <f t="shared" si="158"/>
        <v>0.00%-8.40%</v>
      </c>
      <c r="AA768" s="94"/>
      <c r="AB768" s="94"/>
      <c r="AC768" s="94"/>
      <c r="AD768" s="95"/>
      <c r="AE768" s="87">
        <f t="shared" si="152"/>
        <v>0</v>
      </c>
      <c r="AF768" s="96">
        <f t="shared" si="153"/>
        <v>6550</v>
      </c>
      <c r="AG768" s="18">
        <f t="shared" si="154"/>
        <v>144</v>
      </c>
      <c r="AH768" s="97">
        <f t="shared" si="155"/>
        <v>2.2478926006868516E-2</v>
      </c>
      <c r="AI768" s="20">
        <v>13.6</v>
      </c>
      <c r="AJ768" s="20">
        <v>700</v>
      </c>
      <c r="AK768" s="20"/>
      <c r="AL768" s="20">
        <v>688</v>
      </c>
      <c r="AM768" s="20">
        <f t="shared" si="156"/>
        <v>98168</v>
      </c>
      <c r="AN768" s="7" t="s">
        <v>176</v>
      </c>
      <c r="AO768" s="20"/>
      <c r="AP768" s="21" t="s">
        <v>1056</v>
      </c>
      <c r="AQ768" s="21"/>
      <c r="AR768" s="5" t="s">
        <v>68</v>
      </c>
      <c r="AS768" s="5" t="s">
        <v>69</v>
      </c>
      <c r="AT768" s="5" t="s">
        <v>59</v>
      </c>
    </row>
    <row r="769" spans="1:46">
      <c r="A769" s="86" t="s">
        <v>318</v>
      </c>
      <c r="B769" s="5">
        <v>15003369</v>
      </c>
      <c r="C769" s="5" t="s">
        <v>1148</v>
      </c>
      <c r="D769" s="5" t="s">
        <v>321</v>
      </c>
      <c r="E769" s="5" t="s">
        <v>52</v>
      </c>
      <c r="F769" s="5" t="s">
        <v>62</v>
      </c>
      <c r="G769" s="5" t="s">
        <v>64</v>
      </c>
      <c r="H769" s="5" t="s">
        <v>1050</v>
      </c>
      <c r="I769" s="6">
        <v>40299</v>
      </c>
      <c r="J769" s="5" t="s">
        <v>336</v>
      </c>
      <c r="K769" s="5" t="s">
        <v>336</v>
      </c>
      <c r="L769" s="5" t="s">
        <v>324</v>
      </c>
      <c r="M769" s="7">
        <v>6</v>
      </c>
      <c r="N769" s="7" t="s">
        <v>176</v>
      </c>
      <c r="O769" s="87">
        <v>4678</v>
      </c>
      <c r="P769" s="88">
        <v>0.02</v>
      </c>
      <c r="Q769" s="89">
        <f t="shared" si="145"/>
        <v>94</v>
      </c>
      <c r="R769" s="88">
        <v>5.0000000000000001E-3</v>
      </c>
      <c r="S769" s="89">
        <f t="shared" si="146"/>
        <v>23</v>
      </c>
      <c r="T769" s="88">
        <f t="shared" si="147"/>
        <v>2.5010688328345448E-2</v>
      </c>
      <c r="U769" s="89">
        <f t="shared" si="148"/>
        <v>117</v>
      </c>
      <c r="V769" s="89">
        <f t="shared" si="149"/>
        <v>4795</v>
      </c>
      <c r="W769" s="90">
        <v>4790</v>
      </c>
      <c r="X769" s="91">
        <f t="shared" si="150"/>
        <v>112</v>
      </c>
      <c r="Y769" s="92">
        <f t="shared" si="151"/>
        <v>2.3900000000000001E-2</v>
      </c>
      <c r="Z769" s="93" t="str">
        <f t="shared" si="158"/>
        <v>0.00%-8.40%</v>
      </c>
      <c r="AA769" s="94"/>
      <c r="AB769" s="94"/>
      <c r="AC769" s="94"/>
      <c r="AD769" s="95"/>
      <c r="AE769" s="87">
        <f t="shared" si="152"/>
        <v>0</v>
      </c>
      <c r="AF769" s="96">
        <f t="shared" si="153"/>
        <v>4790</v>
      </c>
      <c r="AG769" s="18">
        <f t="shared" si="154"/>
        <v>112</v>
      </c>
      <c r="AH769" s="97">
        <f t="shared" si="155"/>
        <v>2.3941855493800679E-2</v>
      </c>
      <c r="AI769" s="20">
        <v>13.6</v>
      </c>
      <c r="AJ769" s="20">
        <v>700</v>
      </c>
      <c r="AK769" s="20"/>
      <c r="AL769" s="20">
        <v>688</v>
      </c>
      <c r="AM769" s="20">
        <f t="shared" si="156"/>
        <v>74232</v>
      </c>
      <c r="AN769" s="7" t="s">
        <v>176</v>
      </c>
      <c r="AO769" s="20"/>
      <c r="AP769" s="21" t="s">
        <v>1056</v>
      </c>
      <c r="AQ769" s="21"/>
      <c r="AR769" s="5" t="s">
        <v>68</v>
      </c>
      <c r="AS769" s="5" t="s">
        <v>69</v>
      </c>
      <c r="AT769" s="5" t="s">
        <v>59</v>
      </c>
    </row>
    <row r="770" spans="1:46">
      <c r="A770" s="86" t="s">
        <v>318</v>
      </c>
      <c r="B770" s="5">
        <v>15002567</v>
      </c>
      <c r="C770" s="5" t="s">
        <v>1149</v>
      </c>
      <c r="D770" s="5" t="s">
        <v>321</v>
      </c>
      <c r="E770" s="5" t="s">
        <v>52</v>
      </c>
      <c r="F770" s="5" t="s">
        <v>62</v>
      </c>
      <c r="G770" s="5" t="s">
        <v>64</v>
      </c>
      <c r="H770" s="5" t="s">
        <v>1047</v>
      </c>
      <c r="I770" s="6">
        <v>40057</v>
      </c>
      <c r="J770" s="5" t="s">
        <v>336</v>
      </c>
      <c r="K770" s="5" t="s">
        <v>336</v>
      </c>
      <c r="L770" s="5" t="s">
        <v>324</v>
      </c>
      <c r="M770" s="7">
        <v>6</v>
      </c>
      <c r="N770" s="7" t="s">
        <v>176</v>
      </c>
      <c r="O770" s="87">
        <v>4438</v>
      </c>
      <c r="P770" s="88">
        <v>0.02</v>
      </c>
      <c r="Q770" s="89">
        <f t="shared" si="145"/>
        <v>89</v>
      </c>
      <c r="R770" s="88">
        <v>5.0000000000000001E-3</v>
      </c>
      <c r="S770" s="89">
        <f t="shared" si="146"/>
        <v>22</v>
      </c>
      <c r="T770" s="88">
        <f t="shared" si="147"/>
        <v>2.5011266336187471E-2</v>
      </c>
      <c r="U770" s="89">
        <f t="shared" si="148"/>
        <v>111</v>
      </c>
      <c r="V770" s="89">
        <f t="shared" si="149"/>
        <v>4549</v>
      </c>
      <c r="W770" s="90">
        <v>4538</v>
      </c>
      <c r="X770" s="91">
        <f t="shared" si="150"/>
        <v>100</v>
      </c>
      <c r="Y770" s="92">
        <f t="shared" si="151"/>
        <v>2.2499999999999999E-2</v>
      </c>
      <c r="Z770" s="93" t="str">
        <f t="shared" si="158"/>
        <v>0.00%-8.40%</v>
      </c>
      <c r="AA770" s="94"/>
      <c r="AB770" s="94"/>
      <c r="AC770" s="94"/>
      <c r="AD770" s="95"/>
      <c r="AE770" s="87">
        <f t="shared" si="152"/>
        <v>0</v>
      </c>
      <c r="AF770" s="96">
        <f t="shared" si="153"/>
        <v>4538</v>
      </c>
      <c r="AG770" s="18">
        <f t="shared" si="154"/>
        <v>100</v>
      </c>
      <c r="AH770" s="97">
        <f t="shared" si="155"/>
        <v>2.2532672374943719E-2</v>
      </c>
      <c r="AI770" s="20">
        <v>13.6</v>
      </c>
      <c r="AJ770" s="20">
        <v>650</v>
      </c>
      <c r="AK770" s="20"/>
      <c r="AL770" s="20">
        <v>688</v>
      </c>
      <c r="AM770" s="20">
        <f t="shared" si="156"/>
        <v>70204.799999999988</v>
      </c>
      <c r="AN770" s="7" t="s">
        <v>176</v>
      </c>
      <c r="AO770" s="20"/>
      <c r="AP770" s="21" t="s">
        <v>1056</v>
      </c>
      <c r="AQ770" s="21"/>
      <c r="AR770" s="5" t="s">
        <v>68</v>
      </c>
      <c r="AS770" s="5" t="s">
        <v>69</v>
      </c>
      <c r="AT770" s="5" t="s">
        <v>59</v>
      </c>
    </row>
    <row r="771" spans="1:46">
      <c r="A771" s="86" t="s">
        <v>318</v>
      </c>
      <c r="B771" s="5">
        <v>15007129</v>
      </c>
      <c r="C771" s="5" t="s">
        <v>1150</v>
      </c>
      <c r="D771" s="5" t="s">
        <v>321</v>
      </c>
      <c r="E771" s="5" t="s">
        <v>52</v>
      </c>
      <c r="F771" s="5" t="s">
        <v>62</v>
      </c>
      <c r="G771" s="5" t="s">
        <v>64</v>
      </c>
      <c r="H771" s="5" t="s">
        <v>1047</v>
      </c>
      <c r="I771" s="6">
        <v>41030</v>
      </c>
      <c r="J771" s="5" t="s">
        <v>336</v>
      </c>
      <c r="K771" s="5" t="s">
        <v>336</v>
      </c>
      <c r="L771" s="5" t="s">
        <v>324</v>
      </c>
      <c r="M771" s="7">
        <v>6</v>
      </c>
      <c r="N771" s="7" t="s">
        <v>176</v>
      </c>
      <c r="O771" s="87">
        <v>4560</v>
      </c>
      <c r="P771" s="88">
        <v>0.02</v>
      </c>
      <c r="Q771" s="89">
        <f t="shared" si="145"/>
        <v>91</v>
      </c>
      <c r="R771" s="88">
        <v>5.0000000000000001E-3</v>
      </c>
      <c r="S771" s="89">
        <f t="shared" si="146"/>
        <v>23</v>
      </c>
      <c r="T771" s="88">
        <f t="shared" si="147"/>
        <v>2.5000000000000001E-2</v>
      </c>
      <c r="U771" s="89">
        <f t="shared" si="148"/>
        <v>114</v>
      </c>
      <c r="V771" s="89">
        <f t="shared" si="149"/>
        <v>4674</v>
      </c>
      <c r="W771" s="90">
        <v>4660</v>
      </c>
      <c r="X771" s="91">
        <f t="shared" si="150"/>
        <v>100</v>
      </c>
      <c r="Y771" s="92">
        <f t="shared" si="151"/>
        <v>2.1899999999999999E-2</v>
      </c>
      <c r="Z771" s="93" t="str">
        <f t="shared" si="158"/>
        <v>0.00%-8.40%</v>
      </c>
      <c r="AA771" s="94"/>
      <c r="AB771" s="94"/>
      <c r="AC771" s="94"/>
      <c r="AD771" s="95"/>
      <c r="AE771" s="87">
        <f t="shared" si="152"/>
        <v>0</v>
      </c>
      <c r="AF771" s="96">
        <f t="shared" si="153"/>
        <v>4660</v>
      </c>
      <c r="AG771" s="18">
        <f t="shared" si="154"/>
        <v>100</v>
      </c>
      <c r="AH771" s="97">
        <f t="shared" si="155"/>
        <v>2.1929824561403466E-2</v>
      </c>
      <c r="AI771" s="20">
        <v>13.6</v>
      </c>
      <c r="AJ771" s="20">
        <v>450</v>
      </c>
      <c r="AK771" s="20"/>
      <c r="AL771" s="20">
        <v>688</v>
      </c>
      <c r="AM771" s="20">
        <f t="shared" si="156"/>
        <v>69464</v>
      </c>
      <c r="AN771" s="7" t="s">
        <v>176</v>
      </c>
      <c r="AO771" s="20"/>
      <c r="AP771" s="21" t="s">
        <v>1056</v>
      </c>
      <c r="AQ771" s="21"/>
      <c r="AR771" s="5" t="s">
        <v>68</v>
      </c>
      <c r="AS771" s="5" t="s">
        <v>69</v>
      </c>
      <c r="AT771" s="5" t="s">
        <v>59</v>
      </c>
    </row>
    <row r="772" spans="1:46">
      <c r="A772" s="86" t="s">
        <v>318</v>
      </c>
      <c r="B772" s="5">
        <v>15010867</v>
      </c>
      <c r="C772" s="5" t="s">
        <v>1151</v>
      </c>
      <c r="D772" s="5" t="s">
        <v>321</v>
      </c>
      <c r="E772" s="5" t="s">
        <v>52</v>
      </c>
      <c r="F772" s="5" t="s">
        <v>62</v>
      </c>
      <c r="G772" s="5" t="s">
        <v>64</v>
      </c>
      <c r="H772" s="5" t="s">
        <v>1047</v>
      </c>
      <c r="I772" s="6">
        <v>41518</v>
      </c>
      <c r="J772" s="5" t="s">
        <v>336</v>
      </c>
      <c r="K772" s="5" t="s">
        <v>336</v>
      </c>
      <c r="L772" s="5" t="s">
        <v>324</v>
      </c>
      <c r="M772" s="7">
        <v>6</v>
      </c>
      <c r="N772" s="7" t="s">
        <v>176</v>
      </c>
      <c r="O772" s="87">
        <v>4782</v>
      </c>
      <c r="P772" s="88">
        <v>0.02</v>
      </c>
      <c r="Q772" s="89">
        <f t="shared" si="145"/>
        <v>96</v>
      </c>
      <c r="R772" s="88">
        <v>5.0000000000000001E-3</v>
      </c>
      <c r="S772" s="89">
        <f t="shared" si="146"/>
        <v>24</v>
      </c>
      <c r="T772" s="88">
        <f t="shared" si="147"/>
        <v>2.5094102885821833E-2</v>
      </c>
      <c r="U772" s="89">
        <f t="shared" si="148"/>
        <v>120</v>
      </c>
      <c r="V772" s="89">
        <f t="shared" si="149"/>
        <v>4902</v>
      </c>
      <c r="W772" s="90">
        <v>4885</v>
      </c>
      <c r="X772" s="91">
        <f t="shared" si="150"/>
        <v>103</v>
      </c>
      <c r="Y772" s="92">
        <f t="shared" si="151"/>
        <v>2.1499999999999998E-2</v>
      </c>
      <c r="Z772" s="93" t="str">
        <f t="shared" si="158"/>
        <v>0.00%-8.40%</v>
      </c>
      <c r="AA772" s="94"/>
      <c r="AB772" s="94"/>
      <c r="AC772" s="94"/>
      <c r="AD772" s="95"/>
      <c r="AE772" s="87">
        <f t="shared" si="152"/>
        <v>0</v>
      </c>
      <c r="AF772" s="96">
        <f t="shared" si="153"/>
        <v>4885</v>
      </c>
      <c r="AG772" s="18">
        <f t="shared" si="154"/>
        <v>103</v>
      </c>
      <c r="AH772" s="97">
        <f t="shared" si="155"/>
        <v>2.153910497699707E-2</v>
      </c>
      <c r="AI772" s="20">
        <v>13.6</v>
      </c>
      <c r="AJ772" s="20">
        <v>450</v>
      </c>
      <c r="AK772" s="20"/>
      <c r="AL772" s="20">
        <v>688</v>
      </c>
      <c r="AM772" s="20">
        <f t="shared" si="156"/>
        <v>72524</v>
      </c>
      <c r="AN772" s="7" t="s">
        <v>176</v>
      </c>
      <c r="AO772" s="20"/>
      <c r="AP772" s="21" t="s">
        <v>1056</v>
      </c>
      <c r="AQ772" s="21"/>
      <c r="AR772" s="5" t="s">
        <v>68</v>
      </c>
      <c r="AS772" s="5" t="s">
        <v>69</v>
      </c>
      <c r="AT772" s="5" t="s">
        <v>59</v>
      </c>
    </row>
    <row r="773" spans="1:46">
      <c r="A773" s="86" t="s">
        <v>318</v>
      </c>
      <c r="B773" s="5">
        <v>15001126</v>
      </c>
      <c r="C773" s="5" t="s">
        <v>1152</v>
      </c>
      <c r="D773" s="5" t="s">
        <v>321</v>
      </c>
      <c r="E773" s="5" t="s">
        <v>52</v>
      </c>
      <c r="F773" s="5" t="s">
        <v>62</v>
      </c>
      <c r="G773" s="5" t="s">
        <v>64</v>
      </c>
      <c r="H773" s="5" t="s">
        <v>1053</v>
      </c>
      <c r="I773" s="6">
        <v>39356</v>
      </c>
      <c r="J773" s="5" t="s">
        <v>336</v>
      </c>
      <c r="K773" s="5" t="s">
        <v>336</v>
      </c>
      <c r="L773" s="5" t="s">
        <v>324</v>
      </c>
      <c r="M773" s="7">
        <v>6</v>
      </c>
      <c r="N773" s="7" t="s">
        <v>176</v>
      </c>
      <c r="O773" s="87">
        <v>7020</v>
      </c>
      <c r="P773" s="88">
        <v>0.02</v>
      </c>
      <c r="Q773" s="89">
        <f t="shared" si="145"/>
        <v>140</v>
      </c>
      <c r="R773" s="88">
        <v>5.0000000000000001E-3</v>
      </c>
      <c r="S773" s="89">
        <f t="shared" si="146"/>
        <v>35</v>
      </c>
      <c r="T773" s="88">
        <f t="shared" si="147"/>
        <v>2.4928774928774929E-2</v>
      </c>
      <c r="U773" s="89">
        <f t="shared" si="148"/>
        <v>175</v>
      </c>
      <c r="V773" s="89">
        <f t="shared" si="149"/>
        <v>7195</v>
      </c>
      <c r="W773" s="90">
        <v>7250</v>
      </c>
      <c r="X773" s="91">
        <f t="shared" si="150"/>
        <v>230</v>
      </c>
      <c r="Y773" s="92">
        <f t="shared" si="151"/>
        <v>3.2800000000000003E-2</v>
      </c>
      <c r="Z773" s="93" t="str">
        <f t="shared" si="158"/>
        <v>0.00%-8.40%</v>
      </c>
      <c r="AA773" s="94"/>
      <c r="AB773" s="94"/>
      <c r="AC773" s="94"/>
      <c r="AD773" s="95"/>
      <c r="AE773" s="87">
        <f t="shared" si="152"/>
        <v>0</v>
      </c>
      <c r="AF773" s="96">
        <f t="shared" si="153"/>
        <v>7250</v>
      </c>
      <c r="AG773" s="18">
        <f t="shared" si="154"/>
        <v>230</v>
      </c>
      <c r="AH773" s="97">
        <f t="shared" si="155"/>
        <v>3.2763532763532721E-2</v>
      </c>
      <c r="AI773" s="20">
        <v>13.6</v>
      </c>
      <c r="AJ773" s="20">
        <v>800</v>
      </c>
      <c r="AK773" s="20"/>
      <c r="AL773" s="20">
        <v>688</v>
      </c>
      <c r="AM773" s="20">
        <f t="shared" si="156"/>
        <v>108888</v>
      </c>
      <c r="AN773" s="7" t="s">
        <v>176</v>
      </c>
      <c r="AO773" s="20"/>
      <c r="AP773" s="21" t="s">
        <v>1055</v>
      </c>
      <c r="AQ773" s="21"/>
      <c r="AR773" s="5" t="s">
        <v>68</v>
      </c>
      <c r="AS773" s="5" t="s">
        <v>69</v>
      </c>
      <c r="AT773" s="5" t="s">
        <v>59</v>
      </c>
    </row>
    <row r="774" spans="1:46">
      <c r="A774" s="86" t="s">
        <v>318</v>
      </c>
      <c r="B774" s="5">
        <v>15014200</v>
      </c>
      <c r="C774" s="5" t="s">
        <v>1153</v>
      </c>
      <c r="D774" s="5" t="s">
        <v>321</v>
      </c>
      <c r="E774" s="5" t="s">
        <v>52</v>
      </c>
      <c r="F774" s="5" t="s">
        <v>62</v>
      </c>
      <c r="G774" s="5" t="s">
        <v>64</v>
      </c>
      <c r="H774" s="5" t="s">
        <v>1047</v>
      </c>
      <c r="I774" s="6">
        <v>42217</v>
      </c>
      <c r="J774" s="5" t="s">
        <v>336</v>
      </c>
      <c r="K774" s="5" t="s">
        <v>336</v>
      </c>
      <c r="L774" s="5" t="s">
        <v>324</v>
      </c>
      <c r="M774" s="7">
        <v>6</v>
      </c>
      <c r="N774" s="7" t="s">
        <v>176</v>
      </c>
      <c r="O774" s="87">
        <v>4752</v>
      </c>
      <c r="P774" s="88">
        <v>0.02</v>
      </c>
      <c r="Q774" s="89">
        <f t="shared" si="145"/>
        <v>95</v>
      </c>
      <c r="R774" s="88">
        <v>5.0000000000000001E-3</v>
      </c>
      <c r="S774" s="89">
        <f t="shared" si="146"/>
        <v>24</v>
      </c>
      <c r="T774" s="88">
        <f t="shared" si="147"/>
        <v>2.5042087542087543E-2</v>
      </c>
      <c r="U774" s="89">
        <f t="shared" si="148"/>
        <v>119</v>
      </c>
      <c r="V774" s="89">
        <f t="shared" si="149"/>
        <v>4871</v>
      </c>
      <c r="W774" s="90">
        <v>4856</v>
      </c>
      <c r="X774" s="91">
        <f t="shared" si="150"/>
        <v>104</v>
      </c>
      <c r="Y774" s="92">
        <f t="shared" si="151"/>
        <v>2.1899999999999999E-2</v>
      </c>
      <c r="Z774" s="93" t="str">
        <f t="shared" si="158"/>
        <v>0.00%-8.40%</v>
      </c>
      <c r="AA774" s="94"/>
      <c r="AB774" s="94"/>
      <c r="AC774" s="94"/>
      <c r="AD774" s="95"/>
      <c r="AE774" s="87">
        <f t="shared" si="152"/>
        <v>0</v>
      </c>
      <c r="AF774" s="96">
        <f t="shared" si="153"/>
        <v>4856</v>
      </c>
      <c r="AG774" s="18">
        <f t="shared" si="154"/>
        <v>104</v>
      </c>
      <c r="AH774" s="97">
        <f t="shared" si="155"/>
        <v>2.1885521885521841E-2</v>
      </c>
      <c r="AI774" s="20">
        <v>13.6</v>
      </c>
      <c r="AJ774" s="20">
        <v>450</v>
      </c>
      <c r="AK774" s="20"/>
      <c r="AL774" s="20">
        <v>688</v>
      </c>
      <c r="AM774" s="20">
        <f t="shared" si="156"/>
        <v>72129.599999999991</v>
      </c>
      <c r="AN774" s="7" t="s">
        <v>176</v>
      </c>
      <c r="AO774" s="20"/>
      <c r="AP774" s="21" t="s">
        <v>1056</v>
      </c>
      <c r="AQ774" s="21"/>
      <c r="AR774" s="5" t="s">
        <v>68</v>
      </c>
      <c r="AS774" s="5" t="s">
        <v>69</v>
      </c>
      <c r="AT774" s="5" t="s">
        <v>59</v>
      </c>
    </row>
    <row r="775" spans="1:46">
      <c r="A775" s="86" t="s">
        <v>318</v>
      </c>
      <c r="B775" s="5">
        <v>15000807</v>
      </c>
      <c r="C775" s="5" t="s">
        <v>1154</v>
      </c>
      <c r="D775" s="5" t="s">
        <v>321</v>
      </c>
      <c r="E775" s="5" t="s">
        <v>52</v>
      </c>
      <c r="F775" s="5" t="s">
        <v>62</v>
      </c>
      <c r="G775" s="5" t="s">
        <v>91</v>
      </c>
      <c r="H775" s="5" t="s">
        <v>1155</v>
      </c>
      <c r="I775" s="6">
        <v>39076</v>
      </c>
      <c r="J775" s="5" t="s">
        <v>323</v>
      </c>
      <c r="K775" s="5" t="s">
        <v>323</v>
      </c>
      <c r="L775" s="5" t="s">
        <v>324</v>
      </c>
      <c r="M775" s="7">
        <v>6</v>
      </c>
      <c r="N775" s="7" t="s">
        <v>176</v>
      </c>
      <c r="O775" s="87">
        <v>8076</v>
      </c>
      <c r="P775" s="88">
        <v>0.02</v>
      </c>
      <c r="Q775" s="89">
        <f t="shared" si="145"/>
        <v>162</v>
      </c>
      <c r="R775" s="88">
        <v>5.0000000000000001E-3</v>
      </c>
      <c r="S775" s="89">
        <f t="shared" si="146"/>
        <v>40</v>
      </c>
      <c r="T775" s="88">
        <f t="shared" si="147"/>
        <v>2.5012382367508669E-2</v>
      </c>
      <c r="U775" s="89">
        <f t="shared" si="148"/>
        <v>202</v>
      </c>
      <c r="V775" s="89">
        <f t="shared" si="149"/>
        <v>8278</v>
      </c>
      <c r="W775" s="90">
        <v>8500</v>
      </c>
      <c r="X775" s="91">
        <f t="shared" si="150"/>
        <v>424</v>
      </c>
      <c r="Y775" s="92">
        <f t="shared" si="151"/>
        <v>5.2499999999999998E-2</v>
      </c>
      <c r="Z775" s="93" t="str">
        <f t="shared" si="158"/>
        <v>0.00%-8.40%</v>
      </c>
      <c r="AA775" s="94"/>
      <c r="AB775" s="94"/>
      <c r="AC775" s="94"/>
      <c r="AD775" s="95"/>
      <c r="AE775" s="87">
        <f t="shared" si="152"/>
        <v>0</v>
      </c>
      <c r="AF775" s="96">
        <f t="shared" si="153"/>
        <v>8500</v>
      </c>
      <c r="AG775" s="18">
        <f t="shared" si="154"/>
        <v>424</v>
      </c>
      <c r="AH775" s="97">
        <f t="shared" si="155"/>
        <v>5.2501238236750902E-2</v>
      </c>
      <c r="AI775" s="20">
        <v>13.6</v>
      </c>
      <c r="AJ775" s="20">
        <v>500</v>
      </c>
      <c r="AK775" s="20"/>
      <c r="AL775" s="20">
        <v>688</v>
      </c>
      <c r="AM775" s="20">
        <f t="shared" si="156"/>
        <v>122288</v>
      </c>
      <c r="AN775" s="7" t="s">
        <v>176</v>
      </c>
      <c r="AO775" s="20"/>
      <c r="AP775" s="21" t="s">
        <v>1048</v>
      </c>
      <c r="AQ775" s="21"/>
      <c r="AR775" s="5" t="s">
        <v>94</v>
      </c>
      <c r="AS775" s="5" t="s">
        <v>69</v>
      </c>
      <c r="AT775" s="5" t="s">
        <v>59</v>
      </c>
    </row>
    <row r="776" spans="1:46">
      <c r="A776" s="86" t="s">
        <v>318</v>
      </c>
      <c r="B776" s="5">
        <v>15000588</v>
      </c>
      <c r="C776" s="5" t="s">
        <v>1156</v>
      </c>
      <c r="D776" s="5" t="s">
        <v>321</v>
      </c>
      <c r="E776" s="5" t="s">
        <v>52</v>
      </c>
      <c r="F776" s="5" t="s">
        <v>62</v>
      </c>
      <c r="G776" s="5" t="s">
        <v>91</v>
      </c>
      <c r="H776" s="5" t="s">
        <v>1157</v>
      </c>
      <c r="I776" s="6">
        <v>38922</v>
      </c>
      <c r="J776" s="5" t="s">
        <v>323</v>
      </c>
      <c r="K776" s="5" t="s">
        <v>323</v>
      </c>
      <c r="L776" s="5" t="s">
        <v>324</v>
      </c>
      <c r="M776" s="7">
        <v>6</v>
      </c>
      <c r="N776" s="7" t="s">
        <v>176</v>
      </c>
      <c r="O776" s="87">
        <v>8930</v>
      </c>
      <c r="P776" s="88">
        <v>0.02</v>
      </c>
      <c r="Q776" s="89">
        <f t="shared" si="145"/>
        <v>179</v>
      </c>
      <c r="R776" s="88">
        <v>5.0000000000000001E-3</v>
      </c>
      <c r="S776" s="89">
        <f t="shared" si="146"/>
        <v>45</v>
      </c>
      <c r="T776" s="88">
        <f t="shared" si="147"/>
        <v>2.5083986562150055E-2</v>
      </c>
      <c r="U776" s="89">
        <f t="shared" si="148"/>
        <v>224</v>
      </c>
      <c r="V776" s="89">
        <f t="shared" si="149"/>
        <v>9154</v>
      </c>
      <c r="W776" s="90">
        <v>9100</v>
      </c>
      <c r="X776" s="91">
        <f t="shared" si="150"/>
        <v>170</v>
      </c>
      <c r="Y776" s="92">
        <f t="shared" si="151"/>
        <v>1.9E-2</v>
      </c>
      <c r="Z776" s="93" t="str">
        <f t="shared" si="158"/>
        <v>0.00%-8.40%</v>
      </c>
      <c r="AA776" s="94"/>
      <c r="AB776" s="94"/>
      <c r="AC776" s="94"/>
      <c r="AD776" s="95"/>
      <c r="AE776" s="87">
        <f t="shared" si="152"/>
        <v>0</v>
      </c>
      <c r="AF776" s="96">
        <f t="shared" si="153"/>
        <v>9100</v>
      </c>
      <c r="AG776" s="18">
        <f t="shared" si="154"/>
        <v>170</v>
      </c>
      <c r="AH776" s="97">
        <f t="shared" si="155"/>
        <v>1.903695408734607E-2</v>
      </c>
      <c r="AI776" s="20">
        <v>13.6</v>
      </c>
      <c r="AJ776" s="20">
        <v>450</v>
      </c>
      <c r="AK776" s="20"/>
      <c r="AL776" s="20">
        <v>688</v>
      </c>
      <c r="AM776" s="20">
        <f t="shared" si="156"/>
        <v>129848</v>
      </c>
      <c r="AN776" s="7" t="s">
        <v>176</v>
      </c>
      <c r="AO776" s="20"/>
      <c r="AP776" s="21" t="s">
        <v>1056</v>
      </c>
      <c r="AQ776" s="21"/>
      <c r="AR776" s="5" t="s">
        <v>94</v>
      </c>
      <c r="AS776" s="5" t="s">
        <v>69</v>
      </c>
      <c r="AT776" s="5" t="s">
        <v>59</v>
      </c>
    </row>
    <row r="777" spans="1:46">
      <c r="A777" s="86" t="s">
        <v>318</v>
      </c>
      <c r="B777" s="5">
        <v>15000291</v>
      </c>
      <c r="C777" s="5" t="s">
        <v>1158</v>
      </c>
      <c r="D777" s="5" t="s">
        <v>321</v>
      </c>
      <c r="E777" s="5" t="s">
        <v>52</v>
      </c>
      <c r="F777" s="5" t="s">
        <v>62</v>
      </c>
      <c r="G777" s="5" t="s">
        <v>91</v>
      </c>
      <c r="H777" s="5" t="s">
        <v>1157</v>
      </c>
      <c r="I777" s="6">
        <v>38695</v>
      </c>
      <c r="J777" s="5" t="s">
        <v>279</v>
      </c>
      <c r="K777" s="5" t="s">
        <v>279</v>
      </c>
      <c r="L777" s="5" t="s">
        <v>324</v>
      </c>
      <c r="M777" s="7">
        <v>6</v>
      </c>
      <c r="N777" s="7" t="s">
        <v>176</v>
      </c>
      <c r="O777" s="87">
        <v>6580</v>
      </c>
      <c r="P777" s="88">
        <v>0.02</v>
      </c>
      <c r="Q777" s="89">
        <f t="shared" ref="Q777:Q840" si="160">ROUND(O777*P777,0)</f>
        <v>132</v>
      </c>
      <c r="R777" s="88">
        <v>5.0000000000000001E-3</v>
      </c>
      <c r="S777" s="89">
        <f t="shared" ref="S777:S840" si="161">ROUND(O777*R777,0)</f>
        <v>33</v>
      </c>
      <c r="T777" s="88">
        <f t="shared" ref="T777:T840" si="162">U777/O777</f>
        <v>2.5075987841945289E-2</v>
      </c>
      <c r="U777" s="89">
        <f t="shared" ref="U777:U840" si="163">Q777+S777</f>
        <v>165</v>
      </c>
      <c r="V777" s="89">
        <f t="shared" ref="V777:V840" si="164">O777+U777</f>
        <v>6745</v>
      </c>
      <c r="W777" s="90">
        <v>6740</v>
      </c>
      <c r="X777" s="91">
        <f t="shared" ref="X777:X840" si="165">W777-O777</f>
        <v>160</v>
      </c>
      <c r="Y777" s="92">
        <f t="shared" ref="Y777:Y840" si="166">ROUND(W777/O777-1,4)</f>
        <v>2.4299999999999999E-2</v>
      </c>
      <c r="Z777" s="93" t="str">
        <f t="shared" si="158"/>
        <v>0.00%-8.40%</v>
      </c>
      <c r="AA777" s="94"/>
      <c r="AB777" s="94"/>
      <c r="AC777" s="94"/>
      <c r="AD777" s="95"/>
      <c r="AE777" s="87">
        <f t="shared" ref="AE777:AE840" si="167">ROUND(O777*AD777,0)</f>
        <v>0</v>
      </c>
      <c r="AF777" s="96">
        <f t="shared" ref="AF777:AF840" si="168">W777+AE777</f>
        <v>6740</v>
      </c>
      <c r="AG777" s="18">
        <f t="shared" ref="AG777:AG840" si="169">AF777-O777</f>
        <v>160</v>
      </c>
      <c r="AH777" s="97">
        <f t="shared" ref="AH777:AH840" si="170">AF777/O777-1</f>
        <v>2.4316109422492405E-2</v>
      </c>
      <c r="AI777" s="20">
        <v>13.6</v>
      </c>
      <c r="AJ777" s="20">
        <v>450</v>
      </c>
      <c r="AK777" s="20"/>
      <c r="AL777" s="20">
        <v>688</v>
      </c>
      <c r="AM777" s="20">
        <f t="shared" ref="AM777:AM840" si="171">AF777*AI777+AJ777*12+AL777+IF(AC777="",AK777,IF(AC777="D",5000,IF(AC777="C",1000,0)))*12</f>
        <v>97752</v>
      </c>
      <c r="AN777" s="7" t="s">
        <v>176</v>
      </c>
      <c r="AO777" s="20"/>
      <c r="AP777" s="21" t="s">
        <v>1056</v>
      </c>
      <c r="AQ777" s="21"/>
      <c r="AR777" s="5" t="s">
        <v>94</v>
      </c>
      <c r="AS777" s="5" t="s">
        <v>69</v>
      </c>
      <c r="AT777" s="5" t="s">
        <v>59</v>
      </c>
    </row>
    <row r="778" spans="1:46">
      <c r="A778" s="86" t="s">
        <v>318</v>
      </c>
      <c r="B778" s="5">
        <v>15015206</v>
      </c>
      <c r="C778" s="5" t="s">
        <v>1159</v>
      </c>
      <c r="D778" s="5" t="s">
        <v>360</v>
      </c>
      <c r="E778" s="5" t="s">
        <v>52</v>
      </c>
      <c r="F778" s="5" t="s">
        <v>62</v>
      </c>
      <c r="G778" s="5" t="s">
        <v>104</v>
      </c>
      <c r="H778" s="5" t="s">
        <v>1160</v>
      </c>
      <c r="I778" s="6">
        <v>42466</v>
      </c>
      <c r="J778" s="5" t="s">
        <v>434</v>
      </c>
      <c r="K778" s="5" t="s">
        <v>435</v>
      </c>
      <c r="L778" s="5" t="s">
        <v>324</v>
      </c>
      <c r="M778" s="7">
        <v>6</v>
      </c>
      <c r="N778" s="7" t="s">
        <v>176</v>
      </c>
      <c r="O778" s="87">
        <v>7239</v>
      </c>
      <c r="P778" s="88">
        <v>0.02</v>
      </c>
      <c r="Q778" s="89">
        <f t="shared" si="160"/>
        <v>145</v>
      </c>
      <c r="R778" s="88">
        <v>5.0000000000000001E-3</v>
      </c>
      <c r="S778" s="89">
        <f t="shared" si="161"/>
        <v>36</v>
      </c>
      <c r="T778" s="88">
        <f t="shared" si="162"/>
        <v>2.500345351567896E-2</v>
      </c>
      <c r="U778" s="89">
        <f t="shared" si="163"/>
        <v>181</v>
      </c>
      <c r="V778" s="89">
        <f t="shared" si="164"/>
        <v>7420</v>
      </c>
      <c r="W778" s="90">
        <v>7600</v>
      </c>
      <c r="X778" s="91">
        <f t="shared" si="165"/>
        <v>361</v>
      </c>
      <c r="Y778" s="92">
        <f t="shared" si="166"/>
        <v>4.99E-2</v>
      </c>
      <c r="Z778" s="93" t="str">
        <f t="shared" si="158"/>
        <v>0.00%-8.40%</v>
      </c>
      <c r="AA778" s="94"/>
      <c r="AB778" s="94"/>
      <c r="AC778" s="94"/>
      <c r="AD778" s="95"/>
      <c r="AE778" s="87">
        <f t="shared" si="167"/>
        <v>0</v>
      </c>
      <c r="AF778" s="96">
        <f t="shared" si="168"/>
        <v>7600</v>
      </c>
      <c r="AG778" s="18">
        <f t="shared" si="169"/>
        <v>361</v>
      </c>
      <c r="AH778" s="97">
        <f t="shared" si="170"/>
        <v>4.986876640419946E-2</v>
      </c>
      <c r="AI778" s="20">
        <v>13.6</v>
      </c>
      <c r="AJ778" s="20">
        <v>500</v>
      </c>
      <c r="AK778" s="20"/>
      <c r="AL778" s="20">
        <v>688</v>
      </c>
      <c r="AM778" s="20">
        <f t="shared" si="171"/>
        <v>110048</v>
      </c>
      <c r="AN778" s="7" t="s">
        <v>176</v>
      </c>
      <c r="AO778" s="20"/>
      <c r="AP778" s="21" t="s">
        <v>1048</v>
      </c>
      <c r="AQ778" s="21"/>
      <c r="AR778" s="5" t="s">
        <v>94</v>
      </c>
      <c r="AS778" s="5" t="s">
        <v>69</v>
      </c>
      <c r="AT778" s="5" t="s">
        <v>59</v>
      </c>
    </row>
    <row r="779" spans="1:46">
      <c r="A779" s="86" t="s">
        <v>318</v>
      </c>
      <c r="B779" s="5">
        <v>15006693</v>
      </c>
      <c r="C779" s="5" t="s">
        <v>1161</v>
      </c>
      <c r="D779" s="5" t="s">
        <v>360</v>
      </c>
      <c r="E779" s="5" t="s">
        <v>52</v>
      </c>
      <c r="F779" s="5" t="s">
        <v>62</v>
      </c>
      <c r="G779" s="5" t="s">
        <v>104</v>
      </c>
      <c r="H779" s="5" t="s">
        <v>1162</v>
      </c>
      <c r="I779" s="6">
        <v>40737</v>
      </c>
      <c r="J779" s="5" t="s">
        <v>434</v>
      </c>
      <c r="K779" s="5" t="s">
        <v>435</v>
      </c>
      <c r="L779" s="5" t="s">
        <v>324</v>
      </c>
      <c r="M779" s="7">
        <v>6</v>
      </c>
      <c r="N779" s="7" t="s">
        <v>176</v>
      </c>
      <c r="O779" s="87">
        <v>6850</v>
      </c>
      <c r="P779" s="88">
        <v>0.02</v>
      </c>
      <c r="Q779" s="89">
        <f t="shared" si="160"/>
        <v>137</v>
      </c>
      <c r="R779" s="88">
        <v>5.0000000000000001E-3</v>
      </c>
      <c r="S779" s="89">
        <f t="shared" si="161"/>
        <v>34</v>
      </c>
      <c r="T779" s="88">
        <f t="shared" si="162"/>
        <v>2.4963503649635038E-2</v>
      </c>
      <c r="U779" s="89">
        <f t="shared" si="163"/>
        <v>171</v>
      </c>
      <c r="V779" s="89">
        <f t="shared" si="164"/>
        <v>7021</v>
      </c>
      <c r="W779" s="90">
        <v>7300</v>
      </c>
      <c r="X779" s="91">
        <f t="shared" si="165"/>
        <v>450</v>
      </c>
      <c r="Y779" s="92">
        <f t="shared" si="166"/>
        <v>6.5699999999999995E-2</v>
      </c>
      <c r="Z779" s="93" t="str">
        <f t="shared" si="158"/>
        <v>0.00%-8.40%</v>
      </c>
      <c r="AA779" s="94"/>
      <c r="AB779" s="94"/>
      <c r="AC779" s="94"/>
      <c r="AD779" s="95"/>
      <c r="AE779" s="87">
        <f t="shared" si="167"/>
        <v>0</v>
      </c>
      <c r="AF779" s="96">
        <f t="shared" si="168"/>
        <v>7300</v>
      </c>
      <c r="AG779" s="18">
        <f t="shared" si="169"/>
        <v>450</v>
      </c>
      <c r="AH779" s="97">
        <f t="shared" si="170"/>
        <v>6.5693430656934337E-2</v>
      </c>
      <c r="AI779" s="20">
        <v>13.6</v>
      </c>
      <c r="AJ779" s="20">
        <v>500</v>
      </c>
      <c r="AK779" s="20"/>
      <c r="AL779" s="20">
        <v>688</v>
      </c>
      <c r="AM779" s="20">
        <f t="shared" si="171"/>
        <v>105968</v>
      </c>
      <c r="AN779" s="7" t="s">
        <v>176</v>
      </c>
      <c r="AO779" s="20"/>
      <c r="AP779" s="21" t="s">
        <v>1048</v>
      </c>
      <c r="AQ779" s="21"/>
      <c r="AR779" s="5" t="s">
        <v>94</v>
      </c>
      <c r="AS779" s="5" t="s">
        <v>69</v>
      </c>
      <c r="AT779" s="5" t="s">
        <v>59</v>
      </c>
    </row>
    <row r="780" spans="1:46">
      <c r="A780" s="86" t="s">
        <v>318</v>
      </c>
      <c r="B780" s="5">
        <v>15000843</v>
      </c>
      <c r="C780" s="5" t="s">
        <v>1163</v>
      </c>
      <c r="D780" s="5" t="s">
        <v>321</v>
      </c>
      <c r="E780" s="5" t="s">
        <v>52</v>
      </c>
      <c r="F780" s="5" t="s">
        <v>62</v>
      </c>
      <c r="G780" s="5" t="s">
        <v>91</v>
      </c>
      <c r="H780" s="5" t="s">
        <v>1157</v>
      </c>
      <c r="I780" s="6">
        <v>39114</v>
      </c>
      <c r="J780" s="5" t="s">
        <v>279</v>
      </c>
      <c r="K780" s="5" t="s">
        <v>279</v>
      </c>
      <c r="L780" s="5" t="s">
        <v>324</v>
      </c>
      <c r="M780" s="7">
        <v>6</v>
      </c>
      <c r="N780" s="7" t="s">
        <v>176</v>
      </c>
      <c r="O780" s="87">
        <v>6300</v>
      </c>
      <c r="P780" s="88">
        <v>0.02</v>
      </c>
      <c r="Q780" s="89">
        <f t="shared" si="160"/>
        <v>126</v>
      </c>
      <c r="R780" s="88">
        <v>5.0000000000000001E-3</v>
      </c>
      <c r="S780" s="89">
        <f t="shared" si="161"/>
        <v>32</v>
      </c>
      <c r="T780" s="88">
        <f t="shared" si="162"/>
        <v>2.507936507936508E-2</v>
      </c>
      <c r="U780" s="89">
        <f t="shared" si="163"/>
        <v>158</v>
      </c>
      <c r="V780" s="89">
        <f t="shared" si="164"/>
        <v>6458</v>
      </c>
      <c r="W780" s="90">
        <v>6458</v>
      </c>
      <c r="X780" s="91">
        <f t="shared" si="165"/>
        <v>158</v>
      </c>
      <c r="Y780" s="92">
        <f t="shared" si="166"/>
        <v>2.5100000000000001E-2</v>
      </c>
      <c r="Z780" s="93" t="str">
        <f t="shared" si="158"/>
        <v>0.00%-8.40%</v>
      </c>
      <c r="AA780" s="94"/>
      <c r="AB780" s="94"/>
      <c r="AC780" s="94"/>
      <c r="AD780" s="95"/>
      <c r="AE780" s="87">
        <f t="shared" si="167"/>
        <v>0</v>
      </c>
      <c r="AF780" s="96">
        <f t="shared" si="168"/>
        <v>6458</v>
      </c>
      <c r="AG780" s="18">
        <f t="shared" si="169"/>
        <v>158</v>
      </c>
      <c r="AH780" s="97">
        <f t="shared" si="170"/>
        <v>2.5079365079365035E-2</v>
      </c>
      <c r="AI780" s="20">
        <v>13.6</v>
      </c>
      <c r="AJ780" s="20">
        <v>450</v>
      </c>
      <c r="AK780" s="20"/>
      <c r="AL780" s="20">
        <v>688</v>
      </c>
      <c r="AM780" s="20">
        <f t="shared" si="171"/>
        <v>93916.800000000003</v>
      </c>
      <c r="AN780" s="7" t="s">
        <v>176</v>
      </c>
      <c r="AO780" s="20"/>
      <c r="AP780" s="21" t="s">
        <v>1056</v>
      </c>
      <c r="AQ780" s="21"/>
      <c r="AR780" s="5" t="s">
        <v>94</v>
      </c>
      <c r="AS780" s="5" t="s">
        <v>69</v>
      </c>
      <c r="AT780" s="5" t="s">
        <v>59</v>
      </c>
    </row>
    <row r="781" spans="1:46">
      <c r="A781" s="86" t="s">
        <v>318</v>
      </c>
      <c r="B781" s="5">
        <v>15009950</v>
      </c>
      <c r="C781" s="5" t="s">
        <v>1164</v>
      </c>
      <c r="D781" s="5" t="s">
        <v>360</v>
      </c>
      <c r="E781" s="5" t="s">
        <v>52</v>
      </c>
      <c r="F781" s="5" t="s">
        <v>62</v>
      </c>
      <c r="G781" s="5" t="s">
        <v>104</v>
      </c>
      <c r="H781" s="5" t="s">
        <v>1160</v>
      </c>
      <c r="I781" s="6">
        <v>41365</v>
      </c>
      <c r="J781" s="5" t="s">
        <v>373</v>
      </c>
      <c r="K781" s="5" t="s">
        <v>373</v>
      </c>
      <c r="L781" s="5" t="s">
        <v>324</v>
      </c>
      <c r="M781" s="7">
        <v>6</v>
      </c>
      <c r="N781" s="7" t="s">
        <v>176</v>
      </c>
      <c r="O781" s="87">
        <v>8395</v>
      </c>
      <c r="P781" s="88">
        <v>0.02</v>
      </c>
      <c r="Q781" s="89">
        <f t="shared" si="160"/>
        <v>168</v>
      </c>
      <c r="R781" s="88">
        <v>5.0000000000000001E-3</v>
      </c>
      <c r="S781" s="89">
        <f t="shared" si="161"/>
        <v>42</v>
      </c>
      <c r="T781" s="88">
        <f t="shared" si="162"/>
        <v>2.501488981536629E-2</v>
      </c>
      <c r="U781" s="89">
        <f t="shared" si="163"/>
        <v>210</v>
      </c>
      <c r="V781" s="89">
        <f t="shared" si="164"/>
        <v>8605</v>
      </c>
      <c r="W781" s="90">
        <v>8605</v>
      </c>
      <c r="X781" s="91">
        <f t="shared" si="165"/>
        <v>210</v>
      </c>
      <c r="Y781" s="92">
        <f t="shared" si="166"/>
        <v>2.5000000000000001E-2</v>
      </c>
      <c r="Z781" s="93" t="str">
        <f t="shared" si="158"/>
        <v>0.00%-8.40%</v>
      </c>
      <c r="AA781" s="94"/>
      <c r="AB781" s="94"/>
      <c r="AC781" s="94"/>
      <c r="AD781" s="95"/>
      <c r="AE781" s="87">
        <f t="shared" si="167"/>
        <v>0</v>
      </c>
      <c r="AF781" s="96">
        <f t="shared" si="168"/>
        <v>8605</v>
      </c>
      <c r="AG781" s="18">
        <f t="shared" si="169"/>
        <v>210</v>
      </c>
      <c r="AH781" s="97">
        <f t="shared" si="170"/>
        <v>2.501488981536637E-2</v>
      </c>
      <c r="AI781" s="20">
        <v>13.6</v>
      </c>
      <c r="AJ781" s="20">
        <v>500</v>
      </c>
      <c r="AK781" s="20"/>
      <c r="AL781" s="20">
        <v>688</v>
      </c>
      <c r="AM781" s="20">
        <f t="shared" si="171"/>
        <v>123716</v>
      </c>
      <c r="AN781" s="7" t="s">
        <v>176</v>
      </c>
      <c r="AO781" s="20"/>
      <c r="AP781" s="21" t="s">
        <v>1056</v>
      </c>
      <c r="AQ781" s="21"/>
      <c r="AR781" s="5" t="s">
        <v>94</v>
      </c>
      <c r="AS781" s="5" t="s">
        <v>69</v>
      </c>
      <c r="AT781" s="5" t="s">
        <v>59</v>
      </c>
    </row>
    <row r="782" spans="1:46">
      <c r="A782" s="86" t="s">
        <v>318</v>
      </c>
      <c r="B782" s="5">
        <v>15000958</v>
      </c>
      <c r="C782" s="5" t="s">
        <v>1165</v>
      </c>
      <c r="D782" s="5" t="s">
        <v>321</v>
      </c>
      <c r="E782" s="5" t="s">
        <v>52</v>
      </c>
      <c r="F782" s="5" t="s">
        <v>62</v>
      </c>
      <c r="G782" s="5" t="s">
        <v>91</v>
      </c>
      <c r="H782" s="5" t="s">
        <v>1157</v>
      </c>
      <c r="I782" s="6">
        <v>39173</v>
      </c>
      <c r="J782" s="5" t="s">
        <v>279</v>
      </c>
      <c r="K782" s="5" t="s">
        <v>279</v>
      </c>
      <c r="L782" s="5" t="s">
        <v>324</v>
      </c>
      <c r="M782" s="7">
        <v>6</v>
      </c>
      <c r="N782" s="7" t="s">
        <v>176</v>
      </c>
      <c r="O782" s="87">
        <v>6220</v>
      </c>
      <c r="P782" s="88">
        <v>0.02</v>
      </c>
      <c r="Q782" s="89">
        <f t="shared" si="160"/>
        <v>124</v>
      </c>
      <c r="R782" s="88">
        <v>5.0000000000000001E-3</v>
      </c>
      <c r="S782" s="89">
        <f t="shared" si="161"/>
        <v>31</v>
      </c>
      <c r="T782" s="88">
        <f t="shared" si="162"/>
        <v>2.4919614147909969E-2</v>
      </c>
      <c r="U782" s="89">
        <f t="shared" si="163"/>
        <v>155</v>
      </c>
      <c r="V782" s="89">
        <f t="shared" si="164"/>
        <v>6375</v>
      </c>
      <c r="W782" s="90">
        <v>6375</v>
      </c>
      <c r="X782" s="91">
        <f t="shared" si="165"/>
        <v>155</v>
      </c>
      <c r="Y782" s="92">
        <f t="shared" si="166"/>
        <v>2.4899999999999999E-2</v>
      </c>
      <c r="Z782" s="93" t="str">
        <f t="shared" si="158"/>
        <v>0.00%-8.40%</v>
      </c>
      <c r="AA782" s="94"/>
      <c r="AB782" s="94"/>
      <c r="AC782" s="94"/>
      <c r="AD782" s="95"/>
      <c r="AE782" s="87">
        <f t="shared" si="167"/>
        <v>0</v>
      </c>
      <c r="AF782" s="96">
        <f t="shared" si="168"/>
        <v>6375</v>
      </c>
      <c r="AG782" s="18">
        <f t="shared" si="169"/>
        <v>155</v>
      </c>
      <c r="AH782" s="97">
        <f t="shared" si="170"/>
        <v>2.4919614147909996E-2</v>
      </c>
      <c r="AI782" s="20">
        <v>13.6</v>
      </c>
      <c r="AJ782" s="20">
        <v>450</v>
      </c>
      <c r="AK782" s="20"/>
      <c r="AL782" s="20">
        <v>688</v>
      </c>
      <c r="AM782" s="20">
        <f t="shared" si="171"/>
        <v>92788</v>
      </c>
      <c r="AN782" s="7" t="s">
        <v>176</v>
      </c>
      <c r="AO782" s="20"/>
      <c r="AP782" s="21" t="s">
        <v>1056</v>
      </c>
      <c r="AQ782" s="21"/>
      <c r="AR782" s="5" t="s">
        <v>94</v>
      </c>
      <c r="AS782" s="5" t="s">
        <v>69</v>
      </c>
      <c r="AT782" s="5" t="s">
        <v>59</v>
      </c>
    </row>
    <row r="783" spans="1:46">
      <c r="A783" s="86" t="s">
        <v>318</v>
      </c>
      <c r="B783" s="5">
        <v>15008671</v>
      </c>
      <c r="C783" s="5" t="s">
        <v>1166</v>
      </c>
      <c r="D783" s="5" t="s">
        <v>360</v>
      </c>
      <c r="E783" s="5" t="s">
        <v>52</v>
      </c>
      <c r="F783" s="5" t="s">
        <v>62</v>
      </c>
      <c r="G783" s="5" t="s">
        <v>104</v>
      </c>
      <c r="H783" s="5" t="s">
        <v>1160</v>
      </c>
      <c r="I783" s="6">
        <v>41165</v>
      </c>
      <c r="J783" s="5" t="s">
        <v>373</v>
      </c>
      <c r="K783" s="5" t="s">
        <v>373</v>
      </c>
      <c r="L783" s="5" t="s">
        <v>324</v>
      </c>
      <c r="M783" s="7">
        <v>6</v>
      </c>
      <c r="N783" s="7" t="s">
        <v>176</v>
      </c>
      <c r="O783" s="87">
        <v>7926</v>
      </c>
      <c r="P783" s="88">
        <v>0.02</v>
      </c>
      <c r="Q783" s="89">
        <f t="shared" si="160"/>
        <v>159</v>
      </c>
      <c r="R783" s="88">
        <v>5.0000000000000001E-3</v>
      </c>
      <c r="S783" s="89">
        <f t="shared" si="161"/>
        <v>40</v>
      </c>
      <c r="T783" s="88">
        <f t="shared" si="162"/>
        <v>2.5107241988392631E-2</v>
      </c>
      <c r="U783" s="89">
        <f t="shared" si="163"/>
        <v>199</v>
      </c>
      <c r="V783" s="89">
        <f t="shared" si="164"/>
        <v>8125</v>
      </c>
      <c r="W783" s="90">
        <v>7926</v>
      </c>
      <c r="X783" s="91">
        <f t="shared" si="165"/>
        <v>0</v>
      </c>
      <c r="Y783" s="92">
        <f t="shared" si="166"/>
        <v>0</v>
      </c>
      <c r="Z783" s="93" t="str">
        <f t="shared" si="158"/>
        <v>0.00%-8.40%</v>
      </c>
      <c r="AA783" s="94"/>
      <c r="AB783" s="94"/>
      <c r="AC783" s="94"/>
      <c r="AD783" s="95"/>
      <c r="AE783" s="87">
        <f t="shared" si="167"/>
        <v>0</v>
      </c>
      <c r="AF783" s="96">
        <f t="shared" si="168"/>
        <v>7926</v>
      </c>
      <c r="AG783" s="18">
        <f t="shared" si="169"/>
        <v>0</v>
      </c>
      <c r="AH783" s="97">
        <f t="shared" si="170"/>
        <v>0</v>
      </c>
      <c r="AI783" s="20">
        <v>13.6</v>
      </c>
      <c r="AJ783" s="20">
        <v>500</v>
      </c>
      <c r="AK783" s="20"/>
      <c r="AL783" s="20">
        <v>688</v>
      </c>
      <c r="AM783" s="20">
        <f t="shared" si="171"/>
        <v>114481.59999999999</v>
      </c>
      <c r="AN783" s="7" t="s">
        <v>176</v>
      </c>
      <c r="AO783" s="20"/>
      <c r="AP783" s="21" t="s">
        <v>1140</v>
      </c>
      <c r="AQ783" s="21" t="s">
        <v>496</v>
      </c>
      <c r="AR783" s="5" t="s">
        <v>94</v>
      </c>
      <c r="AS783" s="5" t="s">
        <v>69</v>
      </c>
      <c r="AT783" s="5" t="s">
        <v>59</v>
      </c>
    </row>
    <row r="784" spans="1:46">
      <c r="A784" s="86" t="s">
        <v>318</v>
      </c>
      <c r="B784" s="5">
        <v>15000842</v>
      </c>
      <c r="C784" s="5" t="s">
        <v>1167</v>
      </c>
      <c r="D784" s="5" t="s">
        <v>321</v>
      </c>
      <c r="E784" s="5" t="s">
        <v>52</v>
      </c>
      <c r="F784" s="5" t="s">
        <v>62</v>
      </c>
      <c r="G784" s="5" t="s">
        <v>91</v>
      </c>
      <c r="H784" s="5" t="s">
        <v>1157</v>
      </c>
      <c r="I784" s="6">
        <v>39114</v>
      </c>
      <c r="J784" s="5" t="s">
        <v>279</v>
      </c>
      <c r="K784" s="5" t="s">
        <v>279</v>
      </c>
      <c r="L784" s="5" t="s">
        <v>324</v>
      </c>
      <c r="M784" s="7">
        <v>6</v>
      </c>
      <c r="N784" s="7" t="s">
        <v>176</v>
      </c>
      <c r="O784" s="87">
        <v>7810</v>
      </c>
      <c r="P784" s="88">
        <v>0.02</v>
      </c>
      <c r="Q784" s="89">
        <f t="shared" si="160"/>
        <v>156</v>
      </c>
      <c r="R784" s="88">
        <v>5.0000000000000001E-3</v>
      </c>
      <c r="S784" s="89">
        <f t="shared" si="161"/>
        <v>39</v>
      </c>
      <c r="T784" s="88">
        <f t="shared" si="162"/>
        <v>2.496798975672215E-2</v>
      </c>
      <c r="U784" s="89">
        <f t="shared" si="163"/>
        <v>195</v>
      </c>
      <c r="V784" s="89">
        <f t="shared" si="164"/>
        <v>8005</v>
      </c>
      <c r="W784" s="90">
        <v>8100</v>
      </c>
      <c r="X784" s="91">
        <f t="shared" si="165"/>
        <v>290</v>
      </c>
      <c r="Y784" s="92">
        <f t="shared" si="166"/>
        <v>3.7100000000000001E-2</v>
      </c>
      <c r="Z784" s="93" t="str">
        <f t="shared" si="158"/>
        <v>0.00%-8.40%</v>
      </c>
      <c r="AA784" s="94"/>
      <c r="AB784" s="94"/>
      <c r="AC784" s="94"/>
      <c r="AD784" s="95"/>
      <c r="AE784" s="87">
        <f t="shared" si="167"/>
        <v>0</v>
      </c>
      <c r="AF784" s="96">
        <f t="shared" si="168"/>
        <v>8100</v>
      </c>
      <c r="AG784" s="18">
        <f t="shared" si="169"/>
        <v>290</v>
      </c>
      <c r="AH784" s="97">
        <f t="shared" si="170"/>
        <v>3.7131882202304789E-2</v>
      </c>
      <c r="AI784" s="20">
        <v>13.6</v>
      </c>
      <c r="AJ784" s="20">
        <v>450</v>
      </c>
      <c r="AK784" s="20"/>
      <c r="AL784" s="20">
        <v>688</v>
      </c>
      <c r="AM784" s="20">
        <f t="shared" si="171"/>
        <v>116248</v>
      </c>
      <c r="AN784" s="7" t="s">
        <v>176</v>
      </c>
      <c r="AO784" s="20"/>
      <c r="AP784" s="21" t="s">
        <v>1055</v>
      </c>
      <c r="AQ784" s="21"/>
      <c r="AR784" s="5" t="s">
        <v>94</v>
      </c>
      <c r="AS784" s="5" t="s">
        <v>69</v>
      </c>
      <c r="AT784" s="5" t="s">
        <v>59</v>
      </c>
    </row>
    <row r="785" spans="1:46">
      <c r="A785" s="86" t="s">
        <v>318</v>
      </c>
      <c r="B785" s="5">
        <v>15011312</v>
      </c>
      <c r="C785" s="5" t="s">
        <v>1168</v>
      </c>
      <c r="D785" s="5" t="s">
        <v>360</v>
      </c>
      <c r="E785" s="5" t="s">
        <v>52</v>
      </c>
      <c r="F785" s="5" t="s">
        <v>62</v>
      </c>
      <c r="G785" s="5" t="s">
        <v>104</v>
      </c>
      <c r="H785" s="5" t="s">
        <v>1160</v>
      </c>
      <c r="I785" s="6">
        <v>41471</v>
      </c>
      <c r="J785" s="5" t="s">
        <v>377</v>
      </c>
      <c r="K785" s="5" t="s">
        <v>1169</v>
      </c>
      <c r="L785" s="5" t="s">
        <v>324</v>
      </c>
      <c r="M785" s="7">
        <v>6</v>
      </c>
      <c r="N785" s="7" t="s">
        <v>176</v>
      </c>
      <c r="O785" s="87">
        <v>5846</v>
      </c>
      <c r="P785" s="88">
        <v>0.02</v>
      </c>
      <c r="Q785" s="89">
        <f t="shared" si="160"/>
        <v>117</v>
      </c>
      <c r="R785" s="88">
        <v>5.0000000000000001E-3</v>
      </c>
      <c r="S785" s="89">
        <f t="shared" si="161"/>
        <v>29</v>
      </c>
      <c r="T785" s="88">
        <f t="shared" si="162"/>
        <v>2.4974341430037631E-2</v>
      </c>
      <c r="U785" s="89">
        <f t="shared" si="163"/>
        <v>146</v>
      </c>
      <c r="V785" s="89">
        <f t="shared" si="164"/>
        <v>5992</v>
      </c>
      <c r="W785" s="90">
        <v>5846</v>
      </c>
      <c r="X785" s="91">
        <f t="shared" si="165"/>
        <v>0</v>
      </c>
      <c r="Y785" s="92">
        <f t="shared" si="166"/>
        <v>0</v>
      </c>
      <c r="Z785" s="93" t="str">
        <f t="shared" si="158"/>
        <v>0.00%-8.40%</v>
      </c>
      <c r="AA785" s="94"/>
      <c r="AB785" s="94"/>
      <c r="AC785" s="94"/>
      <c r="AD785" s="95"/>
      <c r="AE785" s="87">
        <f t="shared" si="167"/>
        <v>0</v>
      </c>
      <c r="AF785" s="96">
        <f t="shared" si="168"/>
        <v>5846</v>
      </c>
      <c r="AG785" s="18">
        <f t="shared" si="169"/>
        <v>0</v>
      </c>
      <c r="AH785" s="97">
        <f t="shared" si="170"/>
        <v>0</v>
      </c>
      <c r="AI785" s="20">
        <v>13.6</v>
      </c>
      <c r="AJ785" s="20">
        <v>500</v>
      </c>
      <c r="AK785" s="20"/>
      <c r="AL785" s="20">
        <v>688</v>
      </c>
      <c r="AM785" s="20">
        <f t="shared" si="171"/>
        <v>86193.599999999991</v>
      </c>
      <c r="AN785" s="7" t="s">
        <v>176</v>
      </c>
      <c r="AO785" s="20"/>
      <c r="AP785" s="21" t="s">
        <v>1170</v>
      </c>
      <c r="AQ785" s="21" t="s">
        <v>107</v>
      </c>
      <c r="AR785" s="5" t="s">
        <v>94</v>
      </c>
      <c r="AS785" s="5" t="s">
        <v>69</v>
      </c>
      <c r="AT785" s="5" t="s">
        <v>59</v>
      </c>
    </row>
    <row r="786" spans="1:46">
      <c r="A786" s="86" t="s">
        <v>318</v>
      </c>
      <c r="B786" s="5">
        <v>15001382</v>
      </c>
      <c r="C786" s="5" t="s">
        <v>1171</v>
      </c>
      <c r="D786" s="5" t="s">
        <v>321</v>
      </c>
      <c r="E786" s="5" t="s">
        <v>52</v>
      </c>
      <c r="F786" s="5" t="s">
        <v>62</v>
      </c>
      <c r="G786" s="5" t="s">
        <v>91</v>
      </c>
      <c r="H786" s="5" t="s">
        <v>1157</v>
      </c>
      <c r="I786" s="6">
        <v>39503</v>
      </c>
      <c r="J786" s="5" t="s">
        <v>279</v>
      </c>
      <c r="K786" s="5" t="s">
        <v>279</v>
      </c>
      <c r="L786" s="5" t="s">
        <v>324</v>
      </c>
      <c r="M786" s="7">
        <v>6</v>
      </c>
      <c r="N786" s="7" t="s">
        <v>176</v>
      </c>
      <c r="O786" s="87">
        <v>6680</v>
      </c>
      <c r="P786" s="88">
        <v>0.02</v>
      </c>
      <c r="Q786" s="89">
        <f t="shared" si="160"/>
        <v>134</v>
      </c>
      <c r="R786" s="88">
        <v>5.0000000000000001E-3</v>
      </c>
      <c r="S786" s="89">
        <f t="shared" si="161"/>
        <v>33</v>
      </c>
      <c r="T786" s="88">
        <f t="shared" si="162"/>
        <v>2.5000000000000001E-2</v>
      </c>
      <c r="U786" s="89">
        <f t="shared" si="163"/>
        <v>167</v>
      </c>
      <c r="V786" s="89">
        <f t="shared" si="164"/>
        <v>6847</v>
      </c>
      <c r="W786" s="90">
        <v>6821</v>
      </c>
      <c r="X786" s="91">
        <f t="shared" si="165"/>
        <v>141</v>
      </c>
      <c r="Y786" s="92">
        <f t="shared" si="166"/>
        <v>2.1100000000000001E-2</v>
      </c>
      <c r="Z786" s="93" t="str">
        <f t="shared" si="158"/>
        <v>0.00%-8.40%</v>
      </c>
      <c r="AA786" s="94"/>
      <c r="AB786" s="94"/>
      <c r="AC786" s="94"/>
      <c r="AD786" s="95"/>
      <c r="AE786" s="87">
        <f t="shared" si="167"/>
        <v>0</v>
      </c>
      <c r="AF786" s="96">
        <f t="shared" si="168"/>
        <v>6821</v>
      </c>
      <c r="AG786" s="18">
        <f t="shared" si="169"/>
        <v>141</v>
      </c>
      <c r="AH786" s="97">
        <f t="shared" si="170"/>
        <v>2.110778443113781E-2</v>
      </c>
      <c r="AI786" s="20">
        <v>13.6</v>
      </c>
      <c r="AJ786" s="20">
        <v>500</v>
      </c>
      <c r="AK786" s="20"/>
      <c r="AL786" s="20">
        <v>688</v>
      </c>
      <c r="AM786" s="20">
        <f t="shared" si="171"/>
        <v>99453.599999999991</v>
      </c>
      <c r="AN786" s="7" t="s">
        <v>176</v>
      </c>
      <c r="AO786" s="20"/>
      <c r="AP786" s="21" t="s">
        <v>1056</v>
      </c>
      <c r="AQ786" s="21"/>
      <c r="AR786" s="5" t="s">
        <v>94</v>
      </c>
      <c r="AS786" s="5" t="s">
        <v>69</v>
      </c>
      <c r="AT786" s="5" t="s">
        <v>59</v>
      </c>
    </row>
    <row r="787" spans="1:46">
      <c r="A787" s="86" t="s">
        <v>318</v>
      </c>
      <c r="B787" s="5">
        <v>15008255</v>
      </c>
      <c r="C787" s="5" t="s">
        <v>1172</v>
      </c>
      <c r="D787" s="5" t="s">
        <v>321</v>
      </c>
      <c r="E787" s="5" t="s">
        <v>52</v>
      </c>
      <c r="F787" s="5" t="s">
        <v>62</v>
      </c>
      <c r="G787" s="5" t="s">
        <v>91</v>
      </c>
      <c r="H787" s="5" t="s">
        <v>1157</v>
      </c>
      <c r="I787" s="6">
        <v>42125</v>
      </c>
      <c r="J787" s="5" t="s">
        <v>279</v>
      </c>
      <c r="K787" s="5" t="s">
        <v>279</v>
      </c>
      <c r="L787" s="5" t="s">
        <v>324</v>
      </c>
      <c r="M787" s="7">
        <v>6</v>
      </c>
      <c r="N787" s="7" t="s">
        <v>176</v>
      </c>
      <c r="O787" s="87">
        <v>6000</v>
      </c>
      <c r="P787" s="88">
        <v>0.02</v>
      </c>
      <c r="Q787" s="89">
        <f t="shared" si="160"/>
        <v>120</v>
      </c>
      <c r="R787" s="88">
        <v>5.0000000000000001E-3</v>
      </c>
      <c r="S787" s="89">
        <f t="shared" si="161"/>
        <v>30</v>
      </c>
      <c r="T787" s="88">
        <f t="shared" si="162"/>
        <v>2.5000000000000001E-2</v>
      </c>
      <c r="U787" s="89">
        <f t="shared" si="163"/>
        <v>150</v>
      </c>
      <c r="V787" s="89">
        <f t="shared" si="164"/>
        <v>6150</v>
      </c>
      <c r="W787" s="90">
        <v>6095</v>
      </c>
      <c r="X787" s="91">
        <f t="shared" si="165"/>
        <v>95</v>
      </c>
      <c r="Y787" s="92">
        <f t="shared" si="166"/>
        <v>1.5800000000000002E-2</v>
      </c>
      <c r="Z787" s="93" t="str">
        <f t="shared" si="158"/>
        <v>0.00%-8.40%</v>
      </c>
      <c r="AA787" s="94"/>
      <c r="AB787" s="94"/>
      <c r="AC787" s="94"/>
      <c r="AD787" s="95"/>
      <c r="AE787" s="87">
        <f t="shared" si="167"/>
        <v>0</v>
      </c>
      <c r="AF787" s="96">
        <f t="shared" si="168"/>
        <v>6095</v>
      </c>
      <c r="AG787" s="18">
        <f t="shared" si="169"/>
        <v>95</v>
      </c>
      <c r="AH787" s="97">
        <f t="shared" si="170"/>
        <v>1.5833333333333366E-2</v>
      </c>
      <c r="AI787" s="20">
        <v>13.6</v>
      </c>
      <c r="AJ787" s="20">
        <v>450</v>
      </c>
      <c r="AK787" s="20"/>
      <c r="AL787" s="20">
        <v>688</v>
      </c>
      <c r="AM787" s="20">
        <f t="shared" si="171"/>
        <v>88980</v>
      </c>
      <c r="AN787" s="7" t="s">
        <v>176</v>
      </c>
      <c r="AO787" s="20"/>
      <c r="AP787" s="21" t="s">
        <v>1051</v>
      </c>
      <c r="AQ787" s="21"/>
      <c r="AR787" s="5" t="s">
        <v>94</v>
      </c>
      <c r="AS787" s="5" t="s">
        <v>69</v>
      </c>
      <c r="AT787" s="5" t="s">
        <v>59</v>
      </c>
    </row>
    <row r="788" spans="1:46">
      <c r="A788" s="86" t="s">
        <v>318</v>
      </c>
      <c r="B788" s="5">
        <v>15020447</v>
      </c>
      <c r="C788" s="5" t="s">
        <v>1173</v>
      </c>
      <c r="D788" s="5" t="s">
        <v>360</v>
      </c>
      <c r="E788" s="5" t="s">
        <v>52</v>
      </c>
      <c r="F788" s="5" t="s">
        <v>62</v>
      </c>
      <c r="G788" s="5" t="s">
        <v>104</v>
      </c>
      <c r="H788" s="5" t="s">
        <v>1162</v>
      </c>
      <c r="I788" s="6">
        <v>44378</v>
      </c>
      <c r="J788" s="5" t="s">
        <v>377</v>
      </c>
      <c r="K788" s="5" t="s">
        <v>377</v>
      </c>
      <c r="L788" s="5" t="s">
        <v>324</v>
      </c>
      <c r="M788" s="7">
        <v>6</v>
      </c>
      <c r="N788" s="7" t="s">
        <v>176</v>
      </c>
      <c r="O788" s="87">
        <v>5810</v>
      </c>
      <c r="P788" s="88">
        <v>0.02</v>
      </c>
      <c r="Q788" s="89">
        <f t="shared" si="160"/>
        <v>116</v>
      </c>
      <c r="R788" s="88">
        <v>5.0000000000000001E-3</v>
      </c>
      <c r="S788" s="89">
        <f t="shared" si="161"/>
        <v>29</v>
      </c>
      <c r="T788" s="88">
        <f t="shared" si="162"/>
        <v>2.4956970740103269E-2</v>
      </c>
      <c r="U788" s="89">
        <f t="shared" si="163"/>
        <v>145</v>
      </c>
      <c r="V788" s="89">
        <f t="shared" si="164"/>
        <v>5955</v>
      </c>
      <c r="W788" s="90">
        <v>5955</v>
      </c>
      <c r="X788" s="91">
        <f t="shared" si="165"/>
        <v>145</v>
      </c>
      <c r="Y788" s="92">
        <f t="shared" si="166"/>
        <v>2.5000000000000001E-2</v>
      </c>
      <c r="Z788" s="93" t="str">
        <f t="shared" si="158"/>
        <v>0.00%-8.40%</v>
      </c>
      <c r="AA788" s="94"/>
      <c r="AB788" s="94"/>
      <c r="AC788" s="94"/>
      <c r="AD788" s="95"/>
      <c r="AE788" s="87">
        <f t="shared" si="167"/>
        <v>0</v>
      </c>
      <c r="AF788" s="96">
        <f t="shared" si="168"/>
        <v>5955</v>
      </c>
      <c r="AG788" s="18">
        <f t="shared" si="169"/>
        <v>145</v>
      </c>
      <c r="AH788" s="97">
        <f t="shared" si="170"/>
        <v>2.4956970740103168E-2</v>
      </c>
      <c r="AI788" s="20">
        <v>13.6</v>
      </c>
      <c r="AJ788" s="20">
        <v>500</v>
      </c>
      <c r="AK788" s="20"/>
      <c r="AL788" s="20">
        <v>688</v>
      </c>
      <c r="AM788" s="20">
        <f t="shared" si="171"/>
        <v>87676</v>
      </c>
      <c r="AN788" s="7" t="s">
        <v>176</v>
      </c>
      <c r="AO788" s="20"/>
      <c r="AP788" s="21" t="s">
        <v>1056</v>
      </c>
      <c r="AQ788" s="21"/>
      <c r="AR788" s="5" t="s">
        <v>94</v>
      </c>
      <c r="AS788" s="5" t="s">
        <v>69</v>
      </c>
      <c r="AT788" s="5" t="s">
        <v>59</v>
      </c>
    </row>
    <row r="789" spans="1:46">
      <c r="A789" s="86" t="s">
        <v>318</v>
      </c>
      <c r="B789" s="5">
        <v>15000631</v>
      </c>
      <c r="C789" s="5" t="s">
        <v>1174</v>
      </c>
      <c r="D789" s="5" t="s">
        <v>360</v>
      </c>
      <c r="E789" s="5" t="s">
        <v>52</v>
      </c>
      <c r="F789" s="5" t="s">
        <v>62</v>
      </c>
      <c r="G789" s="5" t="s">
        <v>104</v>
      </c>
      <c r="H789" s="5" t="s">
        <v>1160</v>
      </c>
      <c r="I789" s="6">
        <v>38964</v>
      </c>
      <c r="J789" s="5" t="s">
        <v>377</v>
      </c>
      <c r="K789" s="5" t="s">
        <v>1169</v>
      </c>
      <c r="L789" s="5" t="s">
        <v>324</v>
      </c>
      <c r="M789" s="7">
        <v>6</v>
      </c>
      <c r="N789" s="7" t="s">
        <v>176</v>
      </c>
      <c r="O789" s="87">
        <v>6606</v>
      </c>
      <c r="P789" s="88">
        <v>0.02</v>
      </c>
      <c r="Q789" s="89">
        <f t="shared" si="160"/>
        <v>132</v>
      </c>
      <c r="R789" s="88">
        <v>5.0000000000000001E-3</v>
      </c>
      <c r="S789" s="89">
        <f t="shared" si="161"/>
        <v>33</v>
      </c>
      <c r="T789" s="88">
        <f t="shared" si="162"/>
        <v>2.4977293369663943E-2</v>
      </c>
      <c r="U789" s="89">
        <f t="shared" si="163"/>
        <v>165</v>
      </c>
      <c r="V789" s="89">
        <f t="shared" si="164"/>
        <v>6771</v>
      </c>
      <c r="W789" s="90">
        <v>6771</v>
      </c>
      <c r="X789" s="91">
        <f t="shared" si="165"/>
        <v>165</v>
      </c>
      <c r="Y789" s="92">
        <f t="shared" si="166"/>
        <v>2.5000000000000001E-2</v>
      </c>
      <c r="Z789" s="93" t="str">
        <f t="shared" si="158"/>
        <v>0.00%-8.40%</v>
      </c>
      <c r="AA789" s="94"/>
      <c r="AB789" s="94"/>
      <c r="AC789" s="94"/>
      <c r="AD789" s="95"/>
      <c r="AE789" s="87">
        <f t="shared" si="167"/>
        <v>0</v>
      </c>
      <c r="AF789" s="96">
        <f t="shared" si="168"/>
        <v>6771</v>
      </c>
      <c r="AG789" s="18">
        <f t="shared" si="169"/>
        <v>165</v>
      </c>
      <c r="AH789" s="97">
        <f t="shared" si="170"/>
        <v>2.4977293369663922E-2</v>
      </c>
      <c r="AI789" s="20">
        <v>13.6</v>
      </c>
      <c r="AJ789" s="20">
        <v>500</v>
      </c>
      <c r="AK789" s="20"/>
      <c r="AL789" s="20">
        <v>688</v>
      </c>
      <c r="AM789" s="20">
        <f t="shared" si="171"/>
        <v>98773.599999999991</v>
      </c>
      <c r="AN789" s="7" t="s">
        <v>176</v>
      </c>
      <c r="AO789" s="20"/>
      <c r="AP789" s="21" t="s">
        <v>1056</v>
      </c>
      <c r="AQ789" s="21"/>
      <c r="AR789" s="5" t="s">
        <v>94</v>
      </c>
      <c r="AS789" s="5" t="s">
        <v>69</v>
      </c>
      <c r="AT789" s="5" t="s">
        <v>59</v>
      </c>
    </row>
    <row r="790" spans="1:46">
      <c r="A790" s="86" t="s">
        <v>318</v>
      </c>
      <c r="B790" s="5">
        <v>15000202</v>
      </c>
      <c r="C790" s="5" t="s">
        <v>1175</v>
      </c>
      <c r="D790" s="5" t="s">
        <v>360</v>
      </c>
      <c r="E790" s="5" t="s">
        <v>52</v>
      </c>
      <c r="F790" s="5" t="s">
        <v>62</v>
      </c>
      <c r="G790" s="5" t="s">
        <v>104</v>
      </c>
      <c r="H790" s="5" t="s">
        <v>1160</v>
      </c>
      <c r="I790" s="6">
        <v>38608</v>
      </c>
      <c r="J790" s="5" t="s">
        <v>377</v>
      </c>
      <c r="K790" s="5" t="s">
        <v>377</v>
      </c>
      <c r="L790" s="5" t="s">
        <v>324</v>
      </c>
      <c r="M790" s="7">
        <v>6</v>
      </c>
      <c r="N790" s="7" t="s">
        <v>176</v>
      </c>
      <c r="O790" s="87">
        <v>5400</v>
      </c>
      <c r="P790" s="88">
        <v>0.02</v>
      </c>
      <c r="Q790" s="89">
        <f t="shared" si="160"/>
        <v>108</v>
      </c>
      <c r="R790" s="88">
        <v>5.0000000000000001E-3</v>
      </c>
      <c r="S790" s="89">
        <f t="shared" si="161"/>
        <v>27</v>
      </c>
      <c r="T790" s="88">
        <f t="shared" si="162"/>
        <v>2.5000000000000001E-2</v>
      </c>
      <c r="U790" s="89">
        <f t="shared" si="163"/>
        <v>135</v>
      </c>
      <c r="V790" s="89">
        <f t="shared" si="164"/>
        <v>5535</v>
      </c>
      <c r="W790" s="90">
        <v>5470</v>
      </c>
      <c r="X790" s="91">
        <f t="shared" si="165"/>
        <v>70</v>
      </c>
      <c r="Y790" s="92">
        <f t="shared" si="166"/>
        <v>1.2999999999999999E-2</v>
      </c>
      <c r="Z790" s="93" t="str">
        <f t="shared" si="158"/>
        <v>0.00%-8.40%</v>
      </c>
      <c r="AA790" s="94"/>
      <c r="AB790" s="94"/>
      <c r="AC790" s="94"/>
      <c r="AD790" s="95"/>
      <c r="AE790" s="87">
        <f t="shared" si="167"/>
        <v>0</v>
      </c>
      <c r="AF790" s="96">
        <f t="shared" si="168"/>
        <v>5470</v>
      </c>
      <c r="AG790" s="18">
        <f t="shared" si="169"/>
        <v>70</v>
      </c>
      <c r="AH790" s="97">
        <f t="shared" si="170"/>
        <v>1.2962962962963065E-2</v>
      </c>
      <c r="AI790" s="20">
        <v>13.6</v>
      </c>
      <c r="AJ790" s="20">
        <v>500</v>
      </c>
      <c r="AK790" s="20"/>
      <c r="AL790" s="20">
        <v>688</v>
      </c>
      <c r="AM790" s="20">
        <f t="shared" si="171"/>
        <v>81080</v>
      </c>
      <c r="AN790" s="7" t="s">
        <v>176</v>
      </c>
      <c r="AO790" s="20"/>
      <c r="AP790" s="21" t="s">
        <v>1051</v>
      </c>
      <c r="AQ790" s="21"/>
      <c r="AR790" s="5" t="s">
        <v>94</v>
      </c>
      <c r="AS790" s="5" t="s">
        <v>69</v>
      </c>
      <c r="AT790" s="5" t="s">
        <v>59</v>
      </c>
    </row>
    <row r="791" spans="1:46">
      <c r="A791" s="86" t="s">
        <v>318</v>
      </c>
      <c r="B791" s="5">
        <v>15000963</v>
      </c>
      <c r="C791" s="5" t="s">
        <v>1176</v>
      </c>
      <c r="D791" s="5" t="s">
        <v>321</v>
      </c>
      <c r="E791" s="5" t="s">
        <v>52</v>
      </c>
      <c r="F791" s="5" t="s">
        <v>62</v>
      </c>
      <c r="G791" s="5" t="s">
        <v>91</v>
      </c>
      <c r="H791" s="5" t="s">
        <v>1157</v>
      </c>
      <c r="I791" s="6">
        <v>39203</v>
      </c>
      <c r="J791" s="5" t="s">
        <v>279</v>
      </c>
      <c r="K791" s="5" t="s">
        <v>279</v>
      </c>
      <c r="L791" s="5" t="s">
        <v>324</v>
      </c>
      <c r="M791" s="7">
        <v>6</v>
      </c>
      <c r="N791" s="7" t="s">
        <v>176</v>
      </c>
      <c r="O791" s="87">
        <v>6000</v>
      </c>
      <c r="P791" s="88">
        <v>0.02</v>
      </c>
      <c r="Q791" s="89">
        <f t="shared" si="160"/>
        <v>120</v>
      </c>
      <c r="R791" s="88">
        <v>5.0000000000000001E-3</v>
      </c>
      <c r="S791" s="89">
        <f t="shared" si="161"/>
        <v>30</v>
      </c>
      <c r="T791" s="88">
        <f t="shared" si="162"/>
        <v>2.5000000000000001E-2</v>
      </c>
      <c r="U791" s="89">
        <f t="shared" si="163"/>
        <v>150</v>
      </c>
      <c r="V791" s="89">
        <f t="shared" si="164"/>
        <v>6150</v>
      </c>
      <c r="W791" s="90">
        <v>6090</v>
      </c>
      <c r="X791" s="91">
        <f t="shared" si="165"/>
        <v>90</v>
      </c>
      <c r="Y791" s="92">
        <f t="shared" si="166"/>
        <v>1.4999999999999999E-2</v>
      </c>
      <c r="Z791" s="93" t="str">
        <f t="shared" si="158"/>
        <v>0.00%-8.40%</v>
      </c>
      <c r="AA791" s="94"/>
      <c r="AB791" s="94"/>
      <c r="AC791" s="94"/>
      <c r="AD791" s="95"/>
      <c r="AE791" s="87">
        <f t="shared" si="167"/>
        <v>0</v>
      </c>
      <c r="AF791" s="96">
        <f t="shared" si="168"/>
        <v>6090</v>
      </c>
      <c r="AG791" s="18">
        <f t="shared" si="169"/>
        <v>90</v>
      </c>
      <c r="AH791" s="97">
        <f t="shared" si="170"/>
        <v>1.4999999999999902E-2</v>
      </c>
      <c r="AI791" s="20">
        <v>13.6</v>
      </c>
      <c r="AJ791" s="20">
        <v>500</v>
      </c>
      <c r="AK791" s="20"/>
      <c r="AL791" s="20">
        <v>688</v>
      </c>
      <c r="AM791" s="20">
        <f t="shared" si="171"/>
        <v>89512</v>
      </c>
      <c r="AN791" s="7" t="s">
        <v>176</v>
      </c>
      <c r="AO791" s="20"/>
      <c r="AP791" s="21" t="s">
        <v>1051</v>
      </c>
      <c r="AQ791" s="21"/>
      <c r="AR791" s="5" t="s">
        <v>94</v>
      </c>
      <c r="AS791" s="5" t="s">
        <v>69</v>
      </c>
      <c r="AT791" s="5" t="s">
        <v>59</v>
      </c>
    </row>
    <row r="792" spans="1:46">
      <c r="A792" s="86" t="s">
        <v>318</v>
      </c>
      <c r="B792" s="5">
        <v>15000967</v>
      </c>
      <c r="C792" s="5" t="s">
        <v>1177</v>
      </c>
      <c r="D792" s="5" t="s">
        <v>360</v>
      </c>
      <c r="E792" s="5" t="s">
        <v>52</v>
      </c>
      <c r="F792" s="5" t="s">
        <v>62</v>
      </c>
      <c r="G792" s="5" t="s">
        <v>104</v>
      </c>
      <c r="H792" s="5" t="s">
        <v>92</v>
      </c>
      <c r="I792" s="6">
        <v>39203</v>
      </c>
      <c r="J792" s="5" t="s">
        <v>377</v>
      </c>
      <c r="K792" s="5" t="s">
        <v>1178</v>
      </c>
      <c r="L792" s="5" t="s">
        <v>324</v>
      </c>
      <c r="M792" s="7">
        <v>6</v>
      </c>
      <c r="N792" s="7" t="s">
        <v>176</v>
      </c>
      <c r="O792" s="87">
        <v>5535</v>
      </c>
      <c r="P792" s="88">
        <v>0.02</v>
      </c>
      <c r="Q792" s="89">
        <f t="shared" si="160"/>
        <v>111</v>
      </c>
      <c r="R792" s="88">
        <v>5.0000000000000001E-3</v>
      </c>
      <c r="S792" s="89">
        <f t="shared" si="161"/>
        <v>28</v>
      </c>
      <c r="T792" s="88">
        <f t="shared" si="162"/>
        <v>2.5112917795844625E-2</v>
      </c>
      <c r="U792" s="89">
        <f t="shared" si="163"/>
        <v>139</v>
      </c>
      <c r="V792" s="89">
        <f t="shared" si="164"/>
        <v>5674</v>
      </c>
      <c r="W792" s="90">
        <v>5700</v>
      </c>
      <c r="X792" s="91">
        <f t="shared" si="165"/>
        <v>165</v>
      </c>
      <c r="Y792" s="92">
        <f t="shared" si="166"/>
        <v>2.98E-2</v>
      </c>
      <c r="Z792" s="93" t="str">
        <f t="shared" si="158"/>
        <v>0.00%-8.40%</v>
      </c>
      <c r="AA792" s="94"/>
      <c r="AB792" s="94"/>
      <c r="AC792" s="94"/>
      <c r="AD792" s="95"/>
      <c r="AE792" s="87">
        <f t="shared" si="167"/>
        <v>0</v>
      </c>
      <c r="AF792" s="96">
        <f t="shared" si="168"/>
        <v>5700</v>
      </c>
      <c r="AG792" s="18">
        <f t="shared" si="169"/>
        <v>165</v>
      </c>
      <c r="AH792" s="97">
        <f t="shared" si="170"/>
        <v>2.9810298102981081E-2</v>
      </c>
      <c r="AI792" s="20">
        <v>13.6</v>
      </c>
      <c r="AJ792" s="20">
        <v>500</v>
      </c>
      <c r="AK792" s="20"/>
      <c r="AL792" s="20">
        <v>688</v>
      </c>
      <c r="AM792" s="20">
        <f t="shared" si="171"/>
        <v>84208</v>
      </c>
      <c r="AN792" s="7" t="s">
        <v>176</v>
      </c>
      <c r="AO792" s="20"/>
      <c r="AP792" s="21" t="s">
        <v>1056</v>
      </c>
      <c r="AQ792" s="21"/>
      <c r="AR792" s="5" t="s">
        <v>94</v>
      </c>
      <c r="AS792" s="5" t="s">
        <v>69</v>
      </c>
      <c r="AT792" s="5" t="s">
        <v>59</v>
      </c>
    </row>
    <row r="793" spans="1:46">
      <c r="A793" s="86" t="s">
        <v>318</v>
      </c>
      <c r="B793" s="5">
        <v>15001384</v>
      </c>
      <c r="C793" s="5" t="s">
        <v>1179</v>
      </c>
      <c r="D793" s="5" t="s">
        <v>321</v>
      </c>
      <c r="E793" s="5" t="s">
        <v>52</v>
      </c>
      <c r="F793" s="5" t="s">
        <v>62</v>
      </c>
      <c r="G793" s="5" t="s">
        <v>91</v>
      </c>
      <c r="H793" s="5" t="s">
        <v>1155</v>
      </c>
      <c r="I793" s="6">
        <v>39503</v>
      </c>
      <c r="J793" s="5" t="s">
        <v>336</v>
      </c>
      <c r="K793" s="5" t="s">
        <v>336</v>
      </c>
      <c r="L793" s="5" t="s">
        <v>324</v>
      </c>
      <c r="M793" s="7">
        <v>6</v>
      </c>
      <c r="N793" s="7" t="s">
        <v>176</v>
      </c>
      <c r="O793" s="87">
        <v>5750</v>
      </c>
      <c r="P793" s="88">
        <v>0.02</v>
      </c>
      <c r="Q793" s="89">
        <f t="shared" si="160"/>
        <v>115</v>
      </c>
      <c r="R793" s="88">
        <v>5.0000000000000001E-3</v>
      </c>
      <c r="S793" s="89">
        <f t="shared" si="161"/>
        <v>29</v>
      </c>
      <c r="T793" s="88">
        <f t="shared" si="162"/>
        <v>2.5043478260869566E-2</v>
      </c>
      <c r="U793" s="89">
        <f t="shared" si="163"/>
        <v>144</v>
      </c>
      <c r="V793" s="89">
        <f t="shared" si="164"/>
        <v>5894</v>
      </c>
      <c r="W793" s="90">
        <v>5894</v>
      </c>
      <c r="X793" s="91">
        <f t="shared" si="165"/>
        <v>144</v>
      </c>
      <c r="Y793" s="92">
        <f t="shared" si="166"/>
        <v>2.5000000000000001E-2</v>
      </c>
      <c r="Z793" s="93" t="str">
        <f t="shared" si="158"/>
        <v>0.00%-8.40%</v>
      </c>
      <c r="AA793" s="94"/>
      <c r="AB793" s="94"/>
      <c r="AC793" s="94"/>
      <c r="AD793" s="95"/>
      <c r="AE793" s="87">
        <f t="shared" si="167"/>
        <v>0</v>
      </c>
      <c r="AF793" s="96">
        <f t="shared" si="168"/>
        <v>5894</v>
      </c>
      <c r="AG793" s="18">
        <f t="shared" si="169"/>
        <v>144</v>
      </c>
      <c r="AH793" s="97">
        <f t="shared" si="170"/>
        <v>2.5043478260869501E-2</v>
      </c>
      <c r="AI793" s="20">
        <v>13.6</v>
      </c>
      <c r="AJ793" s="20">
        <v>500</v>
      </c>
      <c r="AK793" s="20"/>
      <c r="AL793" s="20">
        <v>688</v>
      </c>
      <c r="AM793" s="20">
        <f t="shared" si="171"/>
        <v>86846.399999999994</v>
      </c>
      <c r="AN793" s="7" t="s">
        <v>176</v>
      </c>
      <c r="AO793" s="20"/>
      <c r="AP793" s="21" t="s">
        <v>1056</v>
      </c>
      <c r="AQ793" s="21"/>
      <c r="AR793" s="5" t="s">
        <v>94</v>
      </c>
      <c r="AS793" s="5" t="s">
        <v>69</v>
      </c>
      <c r="AT793" s="5" t="s">
        <v>59</v>
      </c>
    </row>
    <row r="794" spans="1:46">
      <c r="A794" s="86" t="s">
        <v>318</v>
      </c>
      <c r="B794" s="5">
        <v>15009868</v>
      </c>
      <c r="C794" s="5" t="s">
        <v>1180</v>
      </c>
      <c r="D794" s="5" t="s">
        <v>321</v>
      </c>
      <c r="E794" s="5" t="s">
        <v>52</v>
      </c>
      <c r="F794" s="5" t="s">
        <v>62</v>
      </c>
      <c r="G794" s="5" t="s">
        <v>91</v>
      </c>
      <c r="H794" s="5" t="s">
        <v>1155</v>
      </c>
      <c r="I794" s="6">
        <v>41360</v>
      </c>
      <c r="J794" s="5" t="s">
        <v>336</v>
      </c>
      <c r="K794" s="5" t="s">
        <v>336</v>
      </c>
      <c r="L794" s="5" t="s">
        <v>324</v>
      </c>
      <c r="M794" s="7">
        <v>6</v>
      </c>
      <c r="N794" s="7" t="s">
        <v>176</v>
      </c>
      <c r="O794" s="87">
        <v>4695</v>
      </c>
      <c r="P794" s="88">
        <v>0.02</v>
      </c>
      <c r="Q794" s="89">
        <f t="shared" si="160"/>
        <v>94</v>
      </c>
      <c r="R794" s="88">
        <v>5.0000000000000001E-3</v>
      </c>
      <c r="S794" s="89">
        <f t="shared" si="161"/>
        <v>23</v>
      </c>
      <c r="T794" s="88">
        <f t="shared" si="162"/>
        <v>2.4920127795527155E-2</v>
      </c>
      <c r="U794" s="89">
        <f t="shared" si="163"/>
        <v>117</v>
      </c>
      <c r="V794" s="89">
        <f t="shared" si="164"/>
        <v>4812</v>
      </c>
      <c r="W794" s="90">
        <v>4812</v>
      </c>
      <c r="X794" s="91">
        <f t="shared" si="165"/>
        <v>117</v>
      </c>
      <c r="Y794" s="92">
        <f t="shared" si="166"/>
        <v>2.4899999999999999E-2</v>
      </c>
      <c r="Z794" s="93" t="str">
        <f t="shared" si="158"/>
        <v>0.00%-8.40%</v>
      </c>
      <c r="AA794" s="94"/>
      <c r="AB794" s="94"/>
      <c r="AC794" s="94"/>
      <c r="AD794" s="95"/>
      <c r="AE794" s="87">
        <f t="shared" si="167"/>
        <v>0</v>
      </c>
      <c r="AF794" s="96">
        <f t="shared" si="168"/>
        <v>4812</v>
      </c>
      <c r="AG794" s="18">
        <f t="shared" si="169"/>
        <v>117</v>
      </c>
      <c r="AH794" s="97">
        <f t="shared" si="170"/>
        <v>2.4920127795527103E-2</v>
      </c>
      <c r="AI794" s="20">
        <v>13.6</v>
      </c>
      <c r="AJ794" s="20">
        <v>500</v>
      </c>
      <c r="AK794" s="20"/>
      <c r="AL794" s="20">
        <v>688</v>
      </c>
      <c r="AM794" s="20">
        <f t="shared" si="171"/>
        <v>72131.199999999997</v>
      </c>
      <c r="AN794" s="7" t="s">
        <v>176</v>
      </c>
      <c r="AO794" s="20"/>
      <c r="AP794" s="21" t="s">
        <v>1056</v>
      </c>
      <c r="AQ794" s="21"/>
      <c r="AR794" s="5" t="s">
        <v>94</v>
      </c>
      <c r="AS794" s="5" t="s">
        <v>69</v>
      </c>
      <c r="AT794" s="5" t="s">
        <v>59</v>
      </c>
    </row>
    <row r="795" spans="1:46">
      <c r="A795" s="86" t="s">
        <v>318</v>
      </c>
      <c r="B795" s="5">
        <v>15011513</v>
      </c>
      <c r="C795" s="5" t="s">
        <v>1181</v>
      </c>
      <c r="D795" s="5" t="s">
        <v>321</v>
      </c>
      <c r="E795" s="5" t="s">
        <v>52</v>
      </c>
      <c r="F795" s="5" t="s">
        <v>62</v>
      </c>
      <c r="G795" s="5" t="s">
        <v>91</v>
      </c>
      <c r="H795" s="5" t="s">
        <v>1182</v>
      </c>
      <c r="I795" s="6">
        <v>41579</v>
      </c>
      <c r="J795" s="5" t="s">
        <v>336</v>
      </c>
      <c r="K795" s="5" t="s">
        <v>336</v>
      </c>
      <c r="L795" s="5" t="s">
        <v>324</v>
      </c>
      <c r="M795" s="7">
        <v>6</v>
      </c>
      <c r="N795" s="7" t="s">
        <v>176</v>
      </c>
      <c r="O795" s="87">
        <v>4807</v>
      </c>
      <c r="P795" s="88">
        <v>0.02</v>
      </c>
      <c r="Q795" s="89">
        <f t="shared" si="160"/>
        <v>96</v>
      </c>
      <c r="R795" s="88">
        <v>5.0000000000000001E-3</v>
      </c>
      <c r="S795" s="89">
        <f t="shared" si="161"/>
        <v>24</v>
      </c>
      <c r="T795" s="88">
        <f t="shared" si="162"/>
        <v>2.4963594757645102E-2</v>
      </c>
      <c r="U795" s="89">
        <f t="shared" si="163"/>
        <v>120</v>
      </c>
      <c r="V795" s="89">
        <f t="shared" si="164"/>
        <v>4927</v>
      </c>
      <c r="W795" s="90">
        <v>4927</v>
      </c>
      <c r="X795" s="91">
        <f t="shared" si="165"/>
        <v>120</v>
      </c>
      <c r="Y795" s="92">
        <f t="shared" si="166"/>
        <v>2.5000000000000001E-2</v>
      </c>
      <c r="Z795" s="93" t="str">
        <f t="shared" si="158"/>
        <v>0.00%-8.40%</v>
      </c>
      <c r="AA795" s="94"/>
      <c r="AB795" s="94"/>
      <c r="AC795" s="94"/>
      <c r="AD795" s="95"/>
      <c r="AE795" s="87">
        <f t="shared" si="167"/>
        <v>0</v>
      </c>
      <c r="AF795" s="96">
        <f t="shared" si="168"/>
        <v>4927</v>
      </c>
      <c r="AG795" s="18">
        <f t="shared" si="169"/>
        <v>120</v>
      </c>
      <c r="AH795" s="97">
        <f t="shared" si="170"/>
        <v>2.4963594757645202E-2</v>
      </c>
      <c r="AI795" s="20">
        <v>13.6</v>
      </c>
      <c r="AJ795" s="20">
        <v>450</v>
      </c>
      <c r="AK795" s="20"/>
      <c r="AL795" s="20">
        <v>688</v>
      </c>
      <c r="AM795" s="20">
        <f t="shared" si="171"/>
        <v>73095.199999999997</v>
      </c>
      <c r="AN795" s="7" t="s">
        <v>176</v>
      </c>
      <c r="AO795" s="20"/>
      <c r="AP795" s="21" t="s">
        <v>1056</v>
      </c>
      <c r="AQ795" s="21"/>
      <c r="AR795" s="5" t="s">
        <v>94</v>
      </c>
      <c r="AS795" s="5" t="s">
        <v>69</v>
      </c>
      <c r="AT795" s="5" t="s">
        <v>59</v>
      </c>
    </row>
    <row r="796" spans="1:46">
      <c r="A796" s="86" t="s">
        <v>318</v>
      </c>
      <c r="B796" s="5">
        <v>15014072</v>
      </c>
      <c r="C796" s="5" t="s">
        <v>1183</v>
      </c>
      <c r="D796" s="5" t="s">
        <v>321</v>
      </c>
      <c r="E796" s="5" t="s">
        <v>52</v>
      </c>
      <c r="F796" s="5" t="s">
        <v>62</v>
      </c>
      <c r="G796" s="5" t="s">
        <v>91</v>
      </c>
      <c r="H796" s="5" t="s">
        <v>1157</v>
      </c>
      <c r="I796" s="6">
        <v>42125</v>
      </c>
      <c r="J796" s="5" t="s">
        <v>336</v>
      </c>
      <c r="K796" s="5" t="s">
        <v>336</v>
      </c>
      <c r="L796" s="5" t="s">
        <v>324</v>
      </c>
      <c r="M796" s="7">
        <v>6</v>
      </c>
      <c r="N796" s="7" t="s">
        <v>176</v>
      </c>
      <c r="O796" s="87">
        <v>4875</v>
      </c>
      <c r="P796" s="88">
        <v>0.02</v>
      </c>
      <c r="Q796" s="89">
        <f t="shared" si="160"/>
        <v>98</v>
      </c>
      <c r="R796" s="88">
        <v>5.0000000000000001E-3</v>
      </c>
      <c r="S796" s="89">
        <f t="shared" si="161"/>
        <v>24</v>
      </c>
      <c r="T796" s="88">
        <f t="shared" si="162"/>
        <v>2.5025641025641025E-2</v>
      </c>
      <c r="U796" s="89">
        <f t="shared" si="163"/>
        <v>122</v>
      </c>
      <c r="V796" s="89">
        <f t="shared" si="164"/>
        <v>4997</v>
      </c>
      <c r="W796" s="90">
        <v>5130</v>
      </c>
      <c r="X796" s="91">
        <f t="shared" si="165"/>
        <v>255</v>
      </c>
      <c r="Y796" s="92">
        <f t="shared" si="166"/>
        <v>5.2299999999999999E-2</v>
      </c>
      <c r="Z796" s="93" t="str">
        <f t="shared" si="158"/>
        <v>0.00%-8.40%</v>
      </c>
      <c r="AA796" s="94"/>
      <c r="AB796" s="94"/>
      <c r="AC796" s="94"/>
      <c r="AD796" s="95"/>
      <c r="AE796" s="87">
        <f t="shared" si="167"/>
        <v>0</v>
      </c>
      <c r="AF796" s="96">
        <f t="shared" si="168"/>
        <v>5130</v>
      </c>
      <c r="AG796" s="18">
        <f t="shared" si="169"/>
        <v>255</v>
      </c>
      <c r="AH796" s="97">
        <f t="shared" si="170"/>
        <v>5.2307692307692388E-2</v>
      </c>
      <c r="AI796" s="20">
        <v>13.6</v>
      </c>
      <c r="AJ796" s="20">
        <v>500</v>
      </c>
      <c r="AK796" s="20"/>
      <c r="AL796" s="20">
        <v>688</v>
      </c>
      <c r="AM796" s="20">
        <f t="shared" si="171"/>
        <v>76456</v>
      </c>
      <c r="AN796" s="7" t="s">
        <v>176</v>
      </c>
      <c r="AO796" s="20"/>
      <c r="AP796" s="21" t="s">
        <v>1048</v>
      </c>
      <c r="AQ796" s="21"/>
      <c r="AR796" s="5" t="s">
        <v>94</v>
      </c>
      <c r="AS796" s="5" t="s">
        <v>69</v>
      </c>
      <c r="AT796" s="5" t="s">
        <v>59</v>
      </c>
    </row>
    <row r="797" spans="1:46">
      <c r="A797" s="86" t="s">
        <v>318</v>
      </c>
      <c r="B797" s="5">
        <v>15016968</v>
      </c>
      <c r="C797" s="5" t="s">
        <v>1184</v>
      </c>
      <c r="D797" s="5" t="s">
        <v>321</v>
      </c>
      <c r="E797" s="5" t="s">
        <v>52</v>
      </c>
      <c r="F797" s="5" t="s">
        <v>62</v>
      </c>
      <c r="G797" s="5" t="s">
        <v>91</v>
      </c>
      <c r="H797" s="5" t="s">
        <v>1182</v>
      </c>
      <c r="I797" s="6">
        <v>42979</v>
      </c>
      <c r="J797" s="5" t="s">
        <v>336</v>
      </c>
      <c r="K797" s="5" t="s">
        <v>336</v>
      </c>
      <c r="L797" s="5" t="s">
        <v>324</v>
      </c>
      <c r="M797" s="7">
        <v>6</v>
      </c>
      <c r="N797" s="7" t="s">
        <v>176</v>
      </c>
      <c r="O797" s="87">
        <v>4740</v>
      </c>
      <c r="P797" s="88">
        <v>0.02</v>
      </c>
      <c r="Q797" s="89">
        <f t="shared" si="160"/>
        <v>95</v>
      </c>
      <c r="R797" s="88">
        <v>5.0000000000000001E-3</v>
      </c>
      <c r="S797" s="89">
        <f t="shared" si="161"/>
        <v>24</v>
      </c>
      <c r="T797" s="88">
        <f t="shared" si="162"/>
        <v>2.5105485232067511E-2</v>
      </c>
      <c r="U797" s="89">
        <f t="shared" si="163"/>
        <v>119</v>
      </c>
      <c r="V797" s="89">
        <f t="shared" si="164"/>
        <v>4859</v>
      </c>
      <c r="W797" s="90">
        <v>4859</v>
      </c>
      <c r="X797" s="91">
        <f t="shared" si="165"/>
        <v>119</v>
      </c>
      <c r="Y797" s="92">
        <f t="shared" si="166"/>
        <v>2.5100000000000001E-2</v>
      </c>
      <c r="Z797" s="93" t="str">
        <f t="shared" si="158"/>
        <v>0.00%-8.40%</v>
      </c>
      <c r="AA797" s="94"/>
      <c r="AB797" s="94"/>
      <c r="AC797" s="94"/>
      <c r="AD797" s="95"/>
      <c r="AE797" s="87">
        <f t="shared" si="167"/>
        <v>0</v>
      </c>
      <c r="AF797" s="96">
        <f t="shared" si="168"/>
        <v>4859</v>
      </c>
      <c r="AG797" s="18">
        <f t="shared" si="169"/>
        <v>119</v>
      </c>
      <c r="AH797" s="97">
        <f t="shared" si="170"/>
        <v>2.510548523206757E-2</v>
      </c>
      <c r="AI797" s="20">
        <v>13.6</v>
      </c>
      <c r="AJ797" s="20">
        <v>500</v>
      </c>
      <c r="AK797" s="20"/>
      <c r="AL797" s="20">
        <v>688</v>
      </c>
      <c r="AM797" s="20">
        <f t="shared" si="171"/>
        <v>72770.399999999994</v>
      </c>
      <c r="AN797" s="7" t="s">
        <v>176</v>
      </c>
      <c r="AO797" s="20"/>
      <c r="AP797" s="21" t="s">
        <v>1056</v>
      </c>
      <c r="AQ797" s="21"/>
      <c r="AR797" s="5" t="s">
        <v>94</v>
      </c>
      <c r="AS797" s="5" t="s">
        <v>69</v>
      </c>
      <c r="AT797" s="5" t="s">
        <v>59</v>
      </c>
    </row>
    <row r="798" spans="1:46">
      <c r="A798" s="86" t="s">
        <v>318</v>
      </c>
      <c r="B798" s="5">
        <v>15019854</v>
      </c>
      <c r="C798" s="5" t="s">
        <v>1185</v>
      </c>
      <c r="D798" s="5" t="s">
        <v>321</v>
      </c>
      <c r="E798" s="5" t="s">
        <v>52</v>
      </c>
      <c r="F798" s="5" t="s">
        <v>62</v>
      </c>
      <c r="G798" s="5" t="s">
        <v>91</v>
      </c>
      <c r="H798" s="5" t="s">
        <v>1157</v>
      </c>
      <c r="I798" s="6">
        <v>44378</v>
      </c>
      <c r="J798" s="5" t="s">
        <v>336</v>
      </c>
      <c r="K798" s="5" t="s">
        <v>336</v>
      </c>
      <c r="L798" s="5" t="s">
        <v>324</v>
      </c>
      <c r="M798" s="7">
        <v>6</v>
      </c>
      <c r="N798" s="7" t="s">
        <v>176</v>
      </c>
      <c r="O798" s="87">
        <v>4621</v>
      </c>
      <c r="P798" s="88">
        <v>0.02</v>
      </c>
      <c r="Q798" s="89">
        <f t="shared" si="160"/>
        <v>92</v>
      </c>
      <c r="R798" s="88">
        <v>5.0000000000000001E-3</v>
      </c>
      <c r="S798" s="89">
        <f t="shared" si="161"/>
        <v>23</v>
      </c>
      <c r="T798" s="88">
        <f t="shared" si="162"/>
        <v>2.4886388227656351E-2</v>
      </c>
      <c r="U798" s="89">
        <f t="shared" si="163"/>
        <v>115</v>
      </c>
      <c r="V798" s="89">
        <f t="shared" si="164"/>
        <v>4736</v>
      </c>
      <c r="W798" s="90">
        <v>4736</v>
      </c>
      <c r="X798" s="91">
        <f t="shared" si="165"/>
        <v>115</v>
      </c>
      <c r="Y798" s="92">
        <f t="shared" si="166"/>
        <v>2.4899999999999999E-2</v>
      </c>
      <c r="Z798" s="93" t="str">
        <f t="shared" si="158"/>
        <v>0.00%-8.40%</v>
      </c>
      <c r="AA798" s="94"/>
      <c r="AB798" s="94"/>
      <c r="AC798" s="94"/>
      <c r="AD798" s="95"/>
      <c r="AE798" s="87">
        <f t="shared" si="167"/>
        <v>0</v>
      </c>
      <c r="AF798" s="96">
        <f t="shared" si="168"/>
        <v>4736</v>
      </c>
      <c r="AG798" s="18">
        <f t="shared" si="169"/>
        <v>115</v>
      </c>
      <c r="AH798" s="97">
        <f t="shared" si="170"/>
        <v>2.4886388227656431E-2</v>
      </c>
      <c r="AI798" s="20">
        <v>13.6</v>
      </c>
      <c r="AJ798" s="20">
        <v>450</v>
      </c>
      <c r="AK798" s="20"/>
      <c r="AL798" s="20">
        <v>688</v>
      </c>
      <c r="AM798" s="20">
        <f t="shared" si="171"/>
        <v>70497.600000000006</v>
      </c>
      <c r="AN798" s="7" t="s">
        <v>176</v>
      </c>
      <c r="AO798" s="20"/>
      <c r="AP798" s="21" t="s">
        <v>1056</v>
      </c>
      <c r="AQ798" s="21"/>
      <c r="AR798" s="5" t="s">
        <v>94</v>
      </c>
      <c r="AS798" s="5" t="s">
        <v>69</v>
      </c>
      <c r="AT798" s="5" t="s">
        <v>59</v>
      </c>
    </row>
    <row r="799" spans="1:46">
      <c r="A799" s="86" t="s">
        <v>318</v>
      </c>
      <c r="B799" s="5">
        <v>15015386</v>
      </c>
      <c r="C799" s="5" t="s">
        <v>1186</v>
      </c>
      <c r="D799" s="5" t="s">
        <v>321</v>
      </c>
      <c r="E799" s="5" t="s">
        <v>52</v>
      </c>
      <c r="F799" s="5" t="s">
        <v>62</v>
      </c>
      <c r="G799" s="5" t="s">
        <v>91</v>
      </c>
      <c r="H799" s="5" t="s">
        <v>1182</v>
      </c>
      <c r="I799" s="6">
        <v>42705</v>
      </c>
      <c r="J799" s="5" t="s">
        <v>336</v>
      </c>
      <c r="K799" s="5" t="s">
        <v>336</v>
      </c>
      <c r="L799" s="5" t="s">
        <v>324</v>
      </c>
      <c r="M799" s="7">
        <v>6</v>
      </c>
      <c r="N799" s="7" t="s">
        <v>176</v>
      </c>
      <c r="O799" s="87">
        <v>4621</v>
      </c>
      <c r="P799" s="88">
        <v>0.02</v>
      </c>
      <c r="Q799" s="89">
        <f t="shared" si="160"/>
        <v>92</v>
      </c>
      <c r="R799" s="88">
        <v>5.0000000000000001E-3</v>
      </c>
      <c r="S799" s="89">
        <f t="shared" si="161"/>
        <v>23</v>
      </c>
      <c r="T799" s="88">
        <f t="shared" si="162"/>
        <v>2.4886388227656351E-2</v>
      </c>
      <c r="U799" s="89">
        <f t="shared" si="163"/>
        <v>115</v>
      </c>
      <c r="V799" s="89">
        <f t="shared" si="164"/>
        <v>4736</v>
      </c>
      <c r="W799" s="90">
        <v>4736</v>
      </c>
      <c r="X799" s="91">
        <f t="shared" si="165"/>
        <v>115</v>
      </c>
      <c r="Y799" s="92">
        <f t="shared" si="166"/>
        <v>2.4899999999999999E-2</v>
      </c>
      <c r="Z799" s="93" t="str">
        <f t="shared" ref="Z799:Z853" si="172">IF(OR(M799=1,M799=2,M799=4),
    TEXT(T799*0.8,"0.00%") &amp; "-" &amp; TEXT(T799*1.2,"0.00%"),
    IF(OR(M799=3,M799=6),
        TEXT(0,"0.00%") &amp; "-" &amp; TEXT(7%*1.2,"0.00%"),
        IF(OR(M799=5,M799=7),
            TEXT((S799/O799),"0.00%") &amp; "-" &amp; TEXT((S799/O799)+7%,"0.00%"),
            ""
        )
    )
)</f>
        <v>0.00%-8.40%</v>
      </c>
      <c r="AA799" s="94"/>
      <c r="AB799" s="94"/>
      <c r="AC799" s="94"/>
      <c r="AD799" s="95"/>
      <c r="AE799" s="87">
        <f t="shared" si="167"/>
        <v>0</v>
      </c>
      <c r="AF799" s="96">
        <f t="shared" si="168"/>
        <v>4736</v>
      </c>
      <c r="AG799" s="18">
        <f t="shared" si="169"/>
        <v>115</v>
      </c>
      <c r="AH799" s="97">
        <f t="shared" si="170"/>
        <v>2.4886388227656431E-2</v>
      </c>
      <c r="AI799" s="20">
        <v>13.6</v>
      </c>
      <c r="AJ799" s="20">
        <v>450</v>
      </c>
      <c r="AK799" s="20"/>
      <c r="AL799" s="20">
        <v>688</v>
      </c>
      <c r="AM799" s="20">
        <f t="shared" si="171"/>
        <v>70497.600000000006</v>
      </c>
      <c r="AN799" s="7" t="s">
        <v>176</v>
      </c>
      <c r="AO799" s="20"/>
      <c r="AP799" s="21" t="s">
        <v>1056</v>
      </c>
      <c r="AQ799" s="21"/>
      <c r="AR799" s="5" t="s">
        <v>94</v>
      </c>
      <c r="AS799" s="5" t="s">
        <v>69</v>
      </c>
      <c r="AT799" s="5" t="s">
        <v>59</v>
      </c>
    </row>
    <row r="800" spans="1:46">
      <c r="A800" s="86" t="s">
        <v>318</v>
      </c>
      <c r="B800" s="5">
        <v>15008656</v>
      </c>
      <c r="C800" s="5" t="s">
        <v>1187</v>
      </c>
      <c r="D800" s="5" t="s">
        <v>321</v>
      </c>
      <c r="E800" s="5" t="s">
        <v>52</v>
      </c>
      <c r="F800" s="5" t="s">
        <v>62</v>
      </c>
      <c r="G800" s="5" t="s">
        <v>91</v>
      </c>
      <c r="H800" s="5" t="s">
        <v>1157</v>
      </c>
      <c r="I800" s="6">
        <v>41244</v>
      </c>
      <c r="J800" s="5" t="s">
        <v>336</v>
      </c>
      <c r="K800" s="5" t="s">
        <v>336</v>
      </c>
      <c r="L800" s="5" t="s">
        <v>324</v>
      </c>
      <c r="M800" s="7">
        <v>6</v>
      </c>
      <c r="N800" s="7" t="s">
        <v>176</v>
      </c>
      <c r="O800" s="87">
        <v>5050</v>
      </c>
      <c r="P800" s="88">
        <v>0.02</v>
      </c>
      <c r="Q800" s="89">
        <f t="shared" si="160"/>
        <v>101</v>
      </c>
      <c r="R800" s="88">
        <v>5.0000000000000001E-3</v>
      </c>
      <c r="S800" s="89">
        <f t="shared" si="161"/>
        <v>25</v>
      </c>
      <c r="T800" s="88">
        <f t="shared" si="162"/>
        <v>2.4950495049504952E-2</v>
      </c>
      <c r="U800" s="89">
        <f t="shared" si="163"/>
        <v>126</v>
      </c>
      <c r="V800" s="89">
        <f t="shared" si="164"/>
        <v>5176</v>
      </c>
      <c r="W800" s="90">
        <v>5176</v>
      </c>
      <c r="X800" s="91">
        <f t="shared" si="165"/>
        <v>126</v>
      </c>
      <c r="Y800" s="92">
        <f t="shared" si="166"/>
        <v>2.5000000000000001E-2</v>
      </c>
      <c r="Z800" s="93" t="str">
        <f t="shared" si="172"/>
        <v>0.00%-8.40%</v>
      </c>
      <c r="AA800" s="94"/>
      <c r="AB800" s="94"/>
      <c r="AC800" s="94"/>
      <c r="AD800" s="95"/>
      <c r="AE800" s="87">
        <f t="shared" si="167"/>
        <v>0</v>
      </c>
      <c r="AF800" s="96">
        <f t="shared" si="168"/>
        <v>5176</v>
      </c>
      <c r="AG800" s="18">
        <f t="shared" si="169"/>
        <v>126</v>
      </c>
      <c r="AH800" s="97">
        <f t="shared" si="170"/>
        <v>2.4950495049504973E-2</v>
      </c>
      <c r="AI800" s="20">
        <v>13.6</v>
      </c>
      <c r="AJ800" s="20">
        <v>450</v>
      </c>
      <c r="AK800" s="20"/>
      <c r="AL800" s="20">
        <v>688</v>
      </c>
      <c r="AM800" s="20">
        <f t="shared" si="171"/>
        <v>76481.599999999991</v>
      </c>
      <c r="AN800" s="7" t="s">
        <v>176</v>
      </c>
      <c r="AO800" s="20"/>
      <c r="AP800" s="21" t="s">
        <v>1056</v>
      </c>
      <c r="AQ800" s="21"/>
      <c r="AR800" s="5" t="s">
        <v>94</v>
      </c>
      <c r="AS800" s="5" t="s">
        <v>69</v>
      </c>
      <c r="AT800" s="5" t="s">
        <v>59</v>
      </c>
    </row>
    <row r="801" spans="1:46">
      <c r="A801" s="86" t="s">
        <v>318</v>
      </c>
      <c r="B801" s="5">
        <v>15022027</v>
      </c>
      <c r="C801" s="5" t="s">
        <v>1188</v>
      </c>
      <c r="D801" s="5" t="s">
        <v>321</v>
      </c>
      <c r="E801" s="5" t="s">
        <v>52</v>
      </c>
      <c r="F801" s="5" t="s">
        <v>62</v>
      </c>
      <c r="G801" s="5" t="s">
        <v>91</v>
      </c>
      <c r="H801" s="5" t="s">
        <v>1157</v>
      </c>
      <c r="I801" s="6">
        <v>44682</v>
      </c>
      <c r="J801" s="5" t="s">
        <v>336</v>
      </c>
      <c r="K801" s="5" t="s">
        <v>336</v>
      </c>
      <c r="L801" s="5" t="s">
        <v>324</v>
      </c>
      <c r="M801" s="7">
        <v>6</v>
      </c>
      <c r="N801" s="7" t="s">
        <v>176</v>
      </c>
      <c r="O801" s="87">
        <v>4715</v>
      </c>
      <c r="P801" s="88">
        <v>0.02</v>
      </c>
      <c r="Q801" s="89">
        <f t="shared" si="160"/>
        <v>94</v>
      </c>
      <c r="R801" s="88">
        <v>5.0000000000000001E-3</v>
      </c>
      <c r="S801" s="89">
        <f t="shared" si="161"/>
        <v>24</v>
      </c>
      <c r="T801" s="88">
        <f t="shared" si="162"/>
        <v>2.5026511134676563E-2</v>
      </c>
      <c r="U801" s="89">
        <f t="shared" si="163"/>
        <v>118</v>
      </c>
      <c r="V801" s="89">
        <f t="shared" si="164"/>
        <v>4833</v>
      </c>
      <c r="W801" s="90">
        <v>4833</v>
      </c>
      <c r="X801" s="91">
        <f t="shared" si="165"/>
        <v>118</v>
      </c>
      <c r="Y801" s="92">
        <f t="shared" si="166"/>
        <v>2.5000000000000001E-2</v>
      </c>
      <c r="Z801" s="93" t="str">
        <f t="shared" si="172"/>
        <v>0.00%-8.40%</v>
      </c>
      <c r="AA801" s="94"/>
      <c r="AB801" s="94"/>
      <c r="AC801" s="94"/>
      <c r="AD801" s="95"/>
      <c r="AE801" s="87">
        <f t="shared" si="167"/>
        <v>0</v>
      </c>
      <c r="AF801" s="96">
        <f t="shared" si="168"/>
        <v>4833</v>
      </c>
      <c r="AG801" s="18">
        <f t="shared" si="169"/>
        <v>118</v>
      </c>
      <c r="AH801" s="97">
        <f t="shared" si="170"/>
        <v>2.5026511134676577E-2</v>
      </c>
      <c r="AI801" s="20">
        <v>13.6</v>
      </c>
      <c r="AJ801" s="20">
        <v>650</v>
      </c>
      <c r="AK801" s="20"/>
      <c r="AL801" s="20">
        <v>688</v>
      </c>
      <c r="AM801" s="20">
        <f t="shared" si="171"/>
        <v>74216.800000000003</v>
      </c>
      <c r="AN801" s="7" t="s">
        <v>176</v>
      </c>
      <c r="AO801" s="20"/>
      <c r="AP801" s="21" t="s">
        <v>1056</v>
      </c>
      <c r="AQ801" s="21"/>
      <c r="AR801" s="5" t="s">
        <v>94</v>
      </c>
      <c r="AS801" s="5" t="s">
        <v>69</v>
      </c>
      <c r="AT801" s="5" t="s">
        <v>59</v>
      </c>
    </row>
    <row r="802" spans="1:46">
      <c r="A802" s="86" t="s">
        <v>318</v>
      </c>
      <c r="B802" s="5">
        <v>15006428</v>
      </c>
      <c r="C802" s="5" t="s">
        <v>1189</v>
      </c>
      <c r="D802" s="5" t="s">
        <v>321</v>
      </c>
      <c r="E802" s="5" t="s">
        <v>52</v>
      </c>
      <c r="F802" s="5" t="s">
        <v>62</v>
      </c>
      <c r="G802" s="5" t="s">
        <v>91</v>
      </c>
      <c r="H802" s="5" t="s">
        <v>1155</v>
      </c>
      <c r="I802" s="6">
        <v>40909</v>
      </c>
      <c r="J802" s="5" t="s">
        <v>336</v>
      </c>
      <c r="K802" s="5" t="s">
        <v>336</v>
      </c>
      <c r="L802" s="5" t="s">
        <v>324</v>
      </c>
      <c r="M802" s="7">
        <v>6</v>
      </c>
      <c r="N802" s="7" t="s">
        <v>176</v>
      </c>
      <c r="O802" s="87">
        <v>4766</v>
      </c>
      <c r="P802" s="88">
        <v>0.02</v>
      </c>
      <c r="Q802" s="89">
        <f t="shared" si="160"/>
        <v>95</v>
      </c>
      <c r="R802" s="88">
        <v>5.0000000000000001E-3</v>
      </c>
      <c r="S802" s="89">
        <f t="shared" si="161"/>
        <v>24</v>
      </c>
      <c r="T802" s="88">
        <f t="shared" si="162"/>
        <v>2.4968527066722618E-2</v>
      </c>
      <c r="U802" s="89">
        <f t="shared" si="163"/>
        <v>119</v>
      </c>
      <c r="V802" s="89">
        <f t="shared" si="164"/>
        <v>4885</v>
      </c>
      <c r="W802" s="90">
        <v>4850</v>
      </c>
      <c r="X802" s="91">
        <f t="shared" si="165"/>
        <v>84</v>
      </c>
      <c r="Y802" s="92">
        <f t="shared" si="166"/>
        <v>1.7600000000000001E-2</v>
      </c>
      <c r="Z802" s="93" t="str">
        <f t="shared" si="172"/>
        <v>0.00%-8.40%</v>
      </c>
      <c r="AA802" s="94"/>
      <c r="AB802" s="94"/>
      <c r="AC802" s="94"/>
      <c r="AD802" s="95"/>
      <c r="AE802" s="87">
        <f t="shared" si="167"/>
        <v>0</v>
      </c>
      <c r="AF802" s="96">
        <f t="shared" si="168"/>
        <v>4850</v>
      </c>
      <c r="AG802" s="18">
        <f t="shared" si="169"/>
        <v>84</v>
      </c>
      <c r="AH802" s="97">
        <f t="shared" si="170"/>
        <v>1.7624842635333593E-2</v>
      </c>
      <c r="AI802" s="20">
        <v>13.6</v>
      </c>
      <c r="AJ802" s="20">
        <v>500</v>
      </c>
      <c r="AK802" s="20"/>
      <c r="AL802" s="20">
        <v>688</v>
      </c>
      <c r="AM802" s="20">
        <f t="shared" si="171"/>
        <v>72648</v>
      </c>
      <c r="AN802" s="7" t="s">
        <v>176</v>
      </c>
      <c r="AO802" s="20"/>
      <c r="AP802" s="21" t="s">
        <v>1051</v>
      </c>
      <c r="AQ802" s="21"/>
      <c r="AR802" s="5" t="s">
        <v>94</v>
      </c>
      <c r="AS802" s="5" t="s">
        <v>69</v>
      </c>
      <c r="AT802" s="5" t="s">
        <v>59</v>
      </c>
    </row>
    <row r="803" spans="1:46">
      <c r="A803" s="86" t="s">
        <v>318</v>
      </c>
      <c r="B803" s="5">
        <v>15021951</v>
      </c>
      <c r="C803" s="5" t="s">
        <v>1190</v>
      </c>
      <c r="D803" s="5" t="s">
        <v>321</v>
      </c>
      <c r="E803" s="5" t="s">
        <v>52</v>
      </c>
      <c r="F803" s="5" t="s">
        <v>62</v>
      </c>
      <c r="G803" s="5" t="s">
        <v>91</v>
      </c>
      <c r="H803" s="5" t="s">
        <v>1182</v>
      </c>
      <c r="I803" s="6">
        <v>44652</v>
      </c>
      <c r="J803" s="5" t="s">
        <v>336</v>
      </c>
      <c r="K803" s="5" t="s">
        <v>336</v>
      </c>
      <c r="L803" s="5" t="s">
        <v>324</v>
      </c>
      <c r="M803" s="7">
        <v>6</v>
      </c>
      <c r="N803" s="7" t="s">
        <v>176</v>
      </c>
      <c r="O803" s="87">
        <v>4570</v>
      </c>
      <c r="P803" s="88">
        <v>0.02</v>
      </c>
      <c r="Q803" s="89">
        <f t="shared" si="160"/>
        <v>91</v>
      </c>
      <c r="R803" s="88">
        <v>5.0000000000000001E-3</v>
      </c>
      <c r="S803" s="89">
        <f t="shared" si="161"/>
        <v>23</v>
      </c>
      <c r="T803" s="88">
        <f t="shared" si="162"/>
        <v>2.4945295404814005E-2</v>
      </c>
      <c r="U803" s="89">
        <f t="shared" si="163"/>
        <v>114</v>
      </c>
      <c r="V803" s="89">
        <f t="shared" si="164"/>
        <v>4684</v>
      </c>
      <c r="W803" s="90">
        <v>4684</v>
      </c>
      <c r="X803" s="91">
        <f t="shared" si="165"/>
        <v>114</v>
      </c>
      <c r="Y803" s="92">
        <f t="shared" si="166"/>
        <v>2.4899999999999999E-2</v>
      </c>
      <c r="Z803" s="93" t="str">
        <f t="shared" si="172"/>
        <v>0.00%-8.40%</v>
      </c>
      <c r="AA803" s="94"/>
      <c r="AB803" s="94"/>
      <c r="AC803" s="94"/>
      <c r="AD803" s="95"/>
      <c r="AE803" s="87">
        <f t="shared" si="167"/>
        <v>0</v>
      </c>
      <c r="AF803" s="96">
        <f t="shared" si="168"/>
        <v>4684</v>
      </c>
      <c r="AG803" s="18">
        <f t="shared" si="169"/>
        <v>114</v>
      </c>
      <c r="AH803" s="97">
        <f t="shared" si="170"/>
        <v>2.4945295404813939E-2</v>
      </c>
      <c r="AI803" s="20">
        <v>13.6</v>
      </c>
      <c r="AJ803" s="20">
        <v>500</v>
      </c>
      <c r="AK803" s="20"/>
      <c r="AL803" s="20">
        <v>688</v>
      </c>
      <c r="AM803" s="20">
        <f t="shared" si="171"/>
        <v>70390.399999999994</v>
      </c>
      <c r="AN803" s="7" t="s">
        <v>176</v>
      </c>
      <c r="AO803" s="20"/>
      <c r="AP803" s="21" t="s">
        <v>1056</v>
      </c>
      <c r="AQ803" s="21"/>
      <c r="AR803" s="5" t="s">
        <v>94</v>
      </c>
      <c r="AS803" s="5" t="s">
        <v>69</v>
      </c>
      <c r="AT803" s="5" t="s">
        <v>59</v>
      </c>
    </row>
    <row r="804" spans="1:46">
      <c r="A804" s="86" t="s">
        <v>318</v>
      </c>
      <c r="B804" s="5">
        <v>15007122</v>
      </c>
      <c r="C804" s="5" t="s">
        <v>1191</v>
      </c>
      <c r="D804" s="5" t="s">
        <v>321</v>
      </c>
      <c r="E804" s="5" t="s">
        <v>52</v>
      </c>
      <c r="F804" s="5" t="s">
        <v>62</v>
      </c>
      <c r="G804" s="5" t="s">
        <v>91</v>
      </c>
      <c r="H804" s="5" t="s">
        <v>1157</v>
      </c>
      <c r="I804" s="6">
        <v>41030</v>
      </c>
      <c r="J804" s="5" t="s">
        <v>336</v>
      </c>
      <c r="K804" s="5" t="s">
        <v>336</v>
      </c>
      <c r="L804" s="5" t="s">
        <v>324</v>
      </c>
      <c r="M804" s="7">
        <v>6</v>
      </c>
      <c r="N804" s="7" t="s">
        <v>176</v>
      </c>
      <c r="O804" s="87">
        <v>5490</v>
      </c>
      <c r="P804" s="88">
        <v>0.02</v>
      </c>
      <c r="Q804" s="89">
        <f t="shared" si="160"/>
        <v>110</v>
      </c>
      <c r="R804" s="88">
        <v>5.0000000000000001E-3</v>
      </c>
      <c r="S804" s="89">
        <f t="shared" si="161"/>
        <v>27</v>
      </c>
      <c r="T804" s="88">
        <f t="shared" si="162"/>
        <v>2.4954462659380693E-2</v>
      </c>
      <c r="U804" s="89">
        <f t="shared" si="163"/>
        <v>137</v>
      </c>
      <c r="V804" s="89">
        <f t="shared" si="164"/>
        <v>5627</v>
      </c>
      <c r="W804" s="90">
        <v>5650</v>
      </c>
      <c r="X804" s="91">
        <f t="shared" si="165"/>
        <v>160</v>
      </c>
      <c r="Y804" s="92">
        <f t="shared" si="166"/>
        <v>2.9100000000000001E-2</v>
      </c>
      <c r="Z804" s="93" t="str">
        <f t="shared" si="172"/>
        <v>0.00%-8.40%</v>
      </c>
      <c r="AA804" s="94"/>
      <c r="AB804" s="94"/>
      <c r="AC804" s="94"/>
      <c r="AD804" s="95"/>
      <c r="AE804" s="87">
        <f t="shared" si="167"/>
        <v>0</v>
      </c>
      <c r="AF804" s="96">
        <f t="shared" si="168"/>
        <v>5650</v>
      </c>
      <c r="AG804" s="18">
        <f t="shared" si="169"/>
        <v>160</v>
      </c>
      <c r="AH804" s="97">
        <f t="shared" si="170"/>
        <v>2.9143897996356971E-2</v>
      </c>
      <c r="AI804" s="20">
        <v>13.6</v>
      </c>
      <c r="AJ804" s="20">
        <v>450</v>
      </c>
      <c r="AK804" s="20"/>
      <c r="AL804" s="20">
        <v>688</v>
      </c>
      <c r="AM804" s="20">
        <f t="shared" si="171"/>
        <v>82928</v>
      </c>
      <c r="AN804" s="7" t="s">
        <v>176</v>
      </c>
      <c r="AO804" s="20"/>
      <c r="AP804" s="21" t="s">
        <v>1056</v>
      </c>
      <c r="AQ804" s="21"/>
      <c r="AR804" s="5" t="s">
        <v>94</v>
      </c>
      <c r="AS804" s="5" t="s">
        <v>69</v>
      </c>
      <c r="AT804" s="5" t="s">
        <v>59</v>
      </c>
    </row>
    <row r="805" spans="1:46">
      <c r="A805" s="86" t="s">
        <v>318</v>
      </c>
      <c r="B805" s="5">
        <v>15008724</v>
      </c>
      <c r="C805" s="5" t="s">
        <v>1192</v>
      </c>
      <c r="D805" s="5" t="s">
        <v>321</v>
      </c>
      <c r="E805" s="5" t="s">
        <v>52</v>
      </c>
      <c r="F805" s="5" t="s">
        <v>62</v>
      </c>
      <c r="G805" s="5" t="s">
        <v>91</v>
      </c>
      <c r="H805" s="5" t="s">
        <v>1157</v>
      </c>
      <c r="I805" s="6">
        <v>41244</v>
      </c>
      <c r="J805" s="5" t="s">
        <v>336</v>
      </c>
      <c r="K805" s="5" t="s">
        <v>336</v>
      </c>
      <c r="L805" s="5" t="s">
        <v>324</v>
      </c>
      <c r="M805" s="7">
        <v>6</v>
      </c>
      <c r="N805" s="7" t="s">
        <v>176</v>
      </c>
      <c r="O805" s="87">
        <v>5699</v>
      </c>
      <c r="P805" s="88">
        <v>0.02</v>
      </c>
      <c r="Q805" s="89">
        <f t="shared" si="160"/>
        <v>114</v>
      </c>
      <c r="R805" s="88">
        <v>5.0000000000000001E-3</v>
      </c>
      <c r="S805" s="89">
        <f t="shared" si="161"/>
        <v>28</v>
      </c>
      <c r="T805" s="88">
        <f t="shared" si="162"/>
        <v>2.4916652044218283E-2</v>
      </c>
      <c r="U805" s="89">
        <f t="shared" si="163"/>
        <v>142</v>
      </c>
      <c r="V805" s="89">
        <f t="shared" si="164"/>
        <v>5841</v>
      </c>
      <c r="W805" s="90">
        <v>5841</v>
      </c>
      <c r="X805" s="91">
        <f t="shared" si="165"/>
        <v>142</v>
      </c>
      <c r="Y805" s="92">
        <f t="shared" si="166"/>
        <v>2.4899999999999999E-2</v>
      </c>
      <c r="Z805" s="93" t="str">
        <f t="shared" si="172"/>
        <v>0.00%-8.40%</v>
      </c>
      <c r="AA805" s="94"/>
      <c r="AB805" s="94"/>
      <c r="AC805" s="94"/>
      <c r="AD805" s="95"/>
      <c r="AE805" s="87">
        <f t="shared" si="167"/>
        <v>0</v>
      </c>
      <c r="AF805" s="96">
        <f t="shared" si="168"/>
        <v>5841</v>
      </c>
      <c r="AG805" s="18">
        <f t="shared" si="169"/>
        <v>142</v>
      </c>
      <c r="AH805" s="97">
        <f t="shared" si="170"/>
        <v>2.4916652044218335E-2</v>
      </c>
      <c r="AI805" s="20">
        <v>13.6</v>
      </c>
      <c r="AJ805" s="20">
        <v>450</v>
      </c>
      <c r="AK805" s="20"/>
      <c r="AL805" s="20">
        <v>688</v>
      </c>
      <c r="AM805" s="20">
        <f t="shared" si="171"/>
        <v>85525.599999999991</v>
      </c>
      <c r="AN805" s="7" t="s">
        <v>176</v>
      </c>
      <c r="AO805" s="20"/>
      <c r="AP805" s="21" t="s">
        <v>1056</v>
      </c>
      <c r="AQ805" s="21"/>
      <c r="AR805" s="5" t="s">
        <v>94</v>
      </c>
      <c r="AS805" s="5" t="s">
        <v>69</v>
      </c>
      <c r="AT805" s="5" t="s">
        <v>59</v>
      </c>
    </row>
    <row r="806" spans="1:46">
      <c r="A806" s="86" t="s">
        <v>318</v>
      </c>
      <c r="B806" s="5">
        <v>15017175</v>
      </c>
      <c r="C806" s="5" t="s">
        <v>1193</v>
      </c>
      <c r="D806" s="5" t="s">
        <v>321</v>
      </c>
      <c r="E806" s="5" t="s">
        <v>52</v>
      </c>
      <c r="F806" s="5" t="s">
        <v>62</v>
      </c>
      <c r="G806" s="5" t="s">
        <v>91</v>
      </c>
      <c r="H806" s="5" t="s">
        <v>1157</v>
      </c>
      <c r="I806" s="6">
        <v>42979</v>
      </c>
      <c r="J806" s="5" t="s">
        <v>336</v>
      </c>
      <c r="K806" s="5" t="s">
        <v>336</v>
      </c>
      <c r="L806" s="5" t="s">
        <v>324</v>
      </c>
      <c r="M806" s="7">
        <v>6</v>
      </c>
      <c r="N806" s="7" t="s">
        <v>176</v>
      </c>
      <c r="O806" s="87">
        <v>5023</v>
      </c>
      <c r="P806" s="88">
        <v>0.02</v>
      </c>
      <c r="Q806" s="89">
        <f t="shared" si="160"/>
        <v>100</v>
      </c>
      <c r="R806" s="88">
        <v>5.0000000000000001E-3</v>
      </c>
      <c r="S806" s="89">
        <f t="shared" si="161"/>
        <v>25</v>
      </c>
      <c r="T806" s="88">
        <f t="shared" si="162"/>
        <v>2.4885526577742387E-2</v>
      </c>
      <c r="U806" s="89">
        <f t="shared" si="163"/>
        <v>125</v>
      </c>
      <c r="V806" s="89">
        <f t="shared" si="164"/>
        <v>5148</v>
      </c>
      <c r="W806" s="90">
        <v>5148</v>
      </c>
      <c r="X806" s="91">
        <f t="shared" si="165"/>
        <v>125</v>
      </c>
      <c r="Y806" s="92">
        <f t="shared" si="166"/>
        <v>2.4899999999999999E-2</v>
      </c>
      <c r="Z806" s="93" t="str">
        <f t="shared" si="172"/>
        <v>0.00%-8.40%</v>
      </c>
      <c r="AA806" s="94"/>
      <c r="AB806" s="94"/>
      <c r="AC806" s="94"/>
      <c r="AD806" s="95"/>
      <c r="AE806" s="87">
        <f t="shared" si="167"/>
        <v>0</v>
      </c>
      <c r="AF806" s="96">
        <f t="shared" si="168"/>
        <v>5148</v>
      </c>
      <c r="AG806" s="18">
        <f t="shared" si="169"/>
        <v>125</v>
      </c>
      <c r="AH806" s="97">
        <f t="shared" si="170"/>
        <v>2.4885526577742345E-2</v>
      </c>
      <c r="AI806" s="20">
        <v>13.6</v>
      </c>
      <c r="AJ806" s="20">
        <v>500</v>
      </c>
      <c r="AK806" s="20"/>
      <c r="AL806" s="20">
        <v>688</v>
      </c>
      <c r="AM806" s="20">
        <f t="shared" si="171"/>
        <v>76700.800000000003</v>
      </c>
      <c r="AN806" s="7" t="s">
        <v>176</v>
      </c>
      <c r="AO806" s="20"/>
      <c r="AP806" s="21" t="s">
        <v>1056</v>
      </c>
      <c r="AQ806" s="21"/>
      <c r="AR806" s="5" t="s">
        <v>94</v>
      </c>
      <c r="AS806" s="5" t="s">
        <v>69</v>
      </c>
      <c r="AT806" s="5" t="s">
        <v>59</v>
      </c>
    </row>
    <row r="807" spans="1:46">
      <c r="A807" s="86" t="s">
        <v>318</v>
      </c>
      <c r="B807" s="5">
        <v>15013456</v>
      </c>
      <c r="C807" s="5" t="s">
        <v>1194</v>
      </c>
      <c r="D807" s="5" t="s">
        <v>321</v>
      </c>
      <c r="E807" s="5" t="s">
        <v>52</v>
      </c>
      <c r="F807" s="5" t="s">
        <v>62</v>
      </c>
      <c r="G807" s="5" t="s">
        <v>91</v>
      </c>
      <c r="H807" s="5" t="s">
        <v>1157</v>
      </c>
      <c r="I807" s="6">
        <v>41944</v>
      </c>
      <c r="J807" s="5" t="s">
        <v>336</v>
      </c>
      <c r="K807" s="5" t="s">
        <v>336</v>
      </c>
      <c r="L807" s="5" t="s">
        <v>324</v>
      </c>
      <c r="M807" s="7">
        <v>6</v>
      </c>
      <c r="N807" s="7" t="s">
        <v>176</v>
      </c>
      <c r="O807" s="87">
        <v>5140</v>
      </c>
      <c r="P807" s="88">
        <v>0.02</v>
      </c>
      <c r="Q807" s="89">
        <f t="shared" si="160"/>
        <v>103</v>
      </c>
      <c r="R807" s="88">
        <v>5.0000000000000001E-3</v>
      </c>
      <c r="S807" s="89">
        <f t="shared" si="161"/>
        <v>26</v>
      </c>
      <c r="T807" s="88">
        <f t="shared" si="162"/>
        <v>2.5097276264591441E-2</v>
      </c>
      <c r="U807" s="89">
        <f t="shared" si="163"/>
        <v>129</v>
      </c>
      <c r="V807" s="89">
        <f t="shared" si="164"/>
        <v>5269</v>
      </c>
      <c r="W807" s="90">
        <v>5350</v>
      </c>
      <c r="X807" s="91">
        <f t="shared" si="165"/>
        <v>210</v>
      </c>
      <c r="Y807" s="92">
        <f t="shared" si="166"/>
        <v>4.0899999999999999E-2</v>
      </c>
      <c r="Z807" s="93" t="str">
        <f t="shared" si="172"/>
        <v>0.00%-8.40%</v>
      </c>
      <c r="AA807" s="94"/>
      <c r="AB807" s="94"/>
      <c r="AC807" s="94"/>
      <c r="AD807" s="95"/>
      <c r="AE807" s="87">
        <f t="shared" si="167"/>
        <v>0</v>
      </c>
      <c r="AF807" s="96">
        <f t="shared" si="168"/>
        <v>5350</v>
      </c>
      <c r="AG807" s="18">
        <f t="shared" si="169"/>
        <v>210</v>
      </c>
      <c r="AH807" s="97">
        <f t="shared" si="170"/>
        <v>4.0856031128404746E-2</v>
      </c>
      <c r="AI807" s="20">
        <v>13.6</v>
      </c>
      <c r="AJ807" s="20">
        <v>500</v>
      </c>
      <c r="AK807" s="20"/>
      <c r="AL807" s="20">
        <v>688</v>
      </c>
      <c r="AM807" s="20">
        <f t="shared" si="171"/>
        <v>79448</v>
      </c>
      <c r="AN807" s="7" t="s">
        <v>176</v>
      </c>
      <c r="AO807" s="20"/>
      <c r="AP807" s="21" t="s">
        <v>1055</v>
      </c>
      <c r="AQ807" s="21"/>
      <c r="AR807" s="5" t="s">
        <v>94</v>
      </c>
      <c r="AS807" s="5" t="s">
        <v>69</v>
      </c>
      <c r="AT807" s="5" t="s">
        <v>59</v>
      </c>
    </row>
    <row r="808" spans="1:46">
      <c r="A808" s="86" t="s">
        <v>318</v>
      </c>
      <c r="B808" s="5">
        <v>15000819</v>
      </c>
      <c r="C808" s="5" t="s">
        <v>1195</v>
      </c>
      <c r="D808" s="5" t="s">
        <v>321</v>
      </c>
      <c r="E808" s="5" t="s">
        <v>52</v>
      </c>
      <c r="F808" s="5" t="s">
        <v>62</v>
      </c>
      <c r="G808" s="5" t="s">
        <v>91</v>
      </c>
      <c r="H808" s="5" t="s">
        <v>1155</v>
      </c>
      <c r="I808" s="6">
        <v>39086</v>
      </c>
      <c r="J808" s="5" t="s">
        <v>336</v>
      </c>
      <c r="K808" s="5" t="s">
        <v>336</v>
      </c>
      <c r="L808" s="5" t="s">
        <v>324</v>
      </c>
      <c r="M808" s="7">
        <v>6</v>
      </c>
      <c r="N808" s="7" t="s">
        <v>176</v>
      </c>
      <c r="O808" s="87">
        <v>5532</v>
      </c>
      <c r="P808" s="88">
        <v>0.02</v>
      </c>
      <c r="Q808" s="89">
        <f t="shared" si="160"/>
        <v>111</v>
      </c>
      <c r="R808" s="88">
        <v>5.0000000000000001E-3</v>
      </c>
      <c r="S808" s="89">
        <f t="shared" si="161"/>
        <v>28</v>
      </c>
      <c r="T808" s="88">
        <f t="shared" si="162"/>
        <v>2.5126536514822849E-2</v>
      </c>
      <c r="U808" s="89">
        <f t="shared" si="163"/>
        <v>139</v>
      </c>
      <c r="V808" s="89">
        <f t="shared" si="164"/>
        <v>5671</v>
      </c>
      <c r="W808" s="90">
        <v>5700</v>
      </c>
      <c r="X808" s="91">
        <f t="shared" si="165"/>
        <v>168</v>
      </c>
      <c r="Y808" s="92">
        <f t="shared" si="166"/>
        <v>3.04E-2</v>
      </c>
      <c r="Z808" s="93" t="str">
        <f t="shared" si="172"/>
        <v>0.00%-8.40%</v>
      </c>
      <c r="AA808" s="94"/>
      <c r="AB808" s="94"/>
      <c r="AC808" s="94"/>
      <c r="AD808" s="95"/>
      <c r="AE808" s="87">
        <f t="shared" si="167"/>
        <v>0</v>
      </c>
      <c r="AF808" s="96">
        <f t="shared" si="168"/>
        <v>5700</v>
      </c>
      <c r="AG808" s="18">
        <f t="shared" si="169"/>
        <v>168</v>
      </c>
      <c r="AH808" s="97">
        <f t="shared" si="170"/>
        <v>3.0368763557483636E-2</v>
      </c>
      <c r="AI808" s="20">
        <v>13.6</v>
      </c>
      <c r="AJ808" s="20">
        <v>500</v>
      </c>
      <c r="AK808" s="20"/>
      <c r="AL808" s="20">
        <v>688</v>
      </c>
      <c r="AM808" s="20">
        <f t="shared" si="171"/>
        <v>84208</v>
      </c>
      <c r="AN808" s="7" t="s">
        <v>176</v>
      </c>
      <c r="AO808" s="20"/>
      <c r="AP808" s="21" t="s">
        <v>1055</v>
      </c>
      <c r="AQ808" s="21"/>
      <c r="AR808" s="5" t="s">
        <v>94</v>
      </c>
      <c r="AS808" s="5" t="s">
        <v>69</v>
      </c>
      <c r="AT808" s="5" t="s">
        <v>59</v>
      </c>
    </row>
    <row r="809" spans="1:46">
      <c r="A809" s="86" t="s">
        <v>318</v>
      </c>
      <c r="B809" s="5">
        <v>15003546</v>
      </c>
      <c r="C809" s="5" t="s">
        <v>1196</v>
      </c>
      <c r="D809" s="5" t="s">
        <v>321</v>
      </c>
      <c r="E809" s="5" t="s">
        <v>52</v>
      </c>
      <c r="F809" s="5" t="s">
        <v>62</v>
      </c>
      <c r="G809" s="5" t="s">
        <v>91</v>
      </c>
      <c r="H809" s="5" t="s">
        <v>1155</v>
      </c>
      <c r="I809" s="6">
        <v>40391</v>
      </c>
      <c r="J809" s="5" t="s">
        <v>336</v>
      </c>
      <c r="K809" s="5" t="s">
        <v>336</v>
      </c>
      <c r="L809" s="5" t="s">
        <v>324</v>
      </c>
      <c r="M809" s="7">
        <v>6</v>
      </c>
      <c r="N809" s="7" t="s">
        <v>176</v>
      </c>
      <c r="O809" s="87">
        <v>5176</v>
      </c>
      <c r="P809" s="88">
        <v>0.02</v>
      </c>
      <c r="Q809" s="89">
        <f t="shared" si="160"/>
        <v>104</v>
      </c>
      <c r="R809" s="88">
        <v>5.0000000000000001E-3</v>
      </c>
      <c r="S809" s="89">
        <f t="shared" si="161"/>
        <v>26</v>
      </c>
      <c r="T809" s="88">
        <f t="shared" si="162"/>
        <v>2.5115919629057189E-2</v>
      </c>
      <c r="U809" s="89">
        <f t="shared" si="163"/>
        <v>130</v>
      </c>
      <c r="V809" s="89">
        <f t="shared" si="164"/>
        <v>5306</v>
      </c>
      <c r="W809" s="90">
        <v>5350</v>
      </c>
      <c r="X809" s="91">
        <f t="shared" si="165"/>
        <v>174</v>
      </c>
      <c r="Y809" s="92">
        <f t="shared" si="166"/>
        <v>3.3599999999999998E-2</v>
      </c>
      <c r="Z809" s="93" t="str">
        <f t="shared" si="172"/>
        <v>0.00%-8.40%</v>
      </c>
      <c r="AA809" s="94"/>
      <c r="AB809" s="94"/>
      <c r="AC809" s="94"/>
      <c r="AD809" s="95"/>
      <c r="AE809" s="87">
        <f t="shared" si="167"/>
        <v>0</v>
      </c>
      <c r="AF809" s="96">
        <f t="shared" si="168"/>
        <v>5350</v>
      </c>
      <c r="AG809" s="18">
        <f t="shared" si="169"/>
        <v>174</v>
      </c>
      <c r="AH809" s="97">
        <f t="shared" si="170"/>
        <v>3.361669242658416E-2</v>
      </c>
      <c r="AI809" s="20">
        <v>13.6</v>
      </c>
      <c r="AJ809" s="20">
        <v>500</v>
      </c>
      <c r="AK809" s="20"/>
      <c r="AL809" s="20">
        <v>688</v>
      </c>
      <c r="AM809" s="20">
        <f t="shared" si="171"/>
        <v>79448</v>
      </c>
      <c r="AN809" s="7" t="s">
        <v>176</v>
      </c>
      <c r="AO809" s="20"/>
      <c r="AP809" s="21" t="s">
        <v>1055</v>
      </c>
      <c r="AQ809" s="21"/>
      <c r="AR809" s="5" t="s">
        <v>94</v>
      </c>
      <c r="AS809" s="5" t="s">
        <v>69</v>
      </c>
      <c r="AT809" s="5" t="s">
        <v>59</v>
      </c>
    </row>
    <row r="810" spans="1:46">
      <c r="A810" s="86" t="s">
        <v>318</v>
      </c>
      <c r="B810" s="5">
        <v>15012094</v>
      </c>
      <c r="C810" s="5" t="s">
        <v>1197</v>
      </c>
      <c r="D810" s="5" t="s">
        <v>321</v>
      </c>
      <c r="E810" s="5" t="s">
        <v>52</v>
      </c>
      <c r="F810" s="5" t="s">
        <v>62</v>
      </c>
      <c r="G810" s="5" t="s">
        <v>91</v>
      </c>
      <c r="H810" s="5" t="s">
        <v>1155</v>
      </c>
      <c r="I810" s="6">
        <v>42583</v>
      </c>
      <c r="J810" s="5" t="s">
        <v>336</v>
      </c>
      <c r="K810" s="5" t="s">
        <v>336</v>
      </c>
      <c r="L810" s="5" t="s">
        <v>324</v>
      </c>
      <c r="M810" s="7">
        <v>6</v>
      </c>
      <c r="N810" s="7" t="s">
        <v>176</v>
      </c>
      <c r="O810" s="87">
        <v>4700</v>
      </c>
      <c r="P810" s="88">
        <v>0.02</v>
      </c>
      <c r="Q810" s="89">
        <f t="shared" si="160"/>
        <v>94</v>
      </c>
      <c r="R810" s="88">
        <v>5.0000000000000001E-3</v>
      </c>
      <c r="S810" s="89">
        <f t="shared" si="161"/>
        <v>24</v>
      </c>
      <c r="T810" s="88">
        <f t="shared" si="162"/>
        <v>2.5106382978723404E-2</v>
      </c>
      <c r="U810" s="89">
        <f t="shared" si="163"/>
        <v>118</v>
      </c>
      <c r="V810" s="89">
        <f t="shared" si="164"/>
        <v>4818</v>
      </c>
      <c r="W810" s="90">
        <v>4760</v>
      </c>
      <c r="X810" s="91">
        <f t="shared" si="165"/>
        <v>60</v>
      </c>
      <c r="Y810" s="92">
        <f t="shared" si="166"/>
        <v>1.2800000000000001E-2</v>
      </c>
      <c r="Z810" s="93" t="str">
        <f t="shared" si="172"/>
        <v>0.00%-8.40%</v>
      </c>
      <c r="AA810" s="94"/>
      <c r="AB810" s="94"/>
      <c r="AC810" s="94"/>
      <c r="AD810" s="95"/>
      <c r="AE810" s="87">
        <f t="shared" si="167"/>
        <v>0</v>
      </c>
      <c r="AF810" s="96">
        <f t="shared" si="168"/>
        <v>4760</v>
      </c>
      <c r="AG810" s="18">
        <f t="shared" si="169"/>
        <v>60</v>
      </c>
      <c r="AH810" s="97">
        <f t="shared" si="170"/>
        <v>1.2765957446808418E-2</v>
      </c>
      <c r="AI810" s="20">
        <v>13.6</v>
      </c>
      <c r="AJ810" s="20">
        <v>500</v>
      </c>
      <c r="AK810" s="20"/>
      <c r="AL810" s="20">
        <v>688</v>
      </c>
      <c r="AM810" s="20">
        <f t="shared" si="171"/>
        <v>71424</v>
      </c>
      <c r="AN810" s="7" t="s">
        <v>176</v>
      </c>
      <c r="AO810" s="20"/>
      <c r="AP810" s="21" t="s">
        <v>1051</v>
      </c>
      <c r="AQ810" s="21"/>
      <c r="AR810" s="5" t="s">
        <v>94</v>
      </c>
      <c r="AS810" s="5" t="s">
        <v>69</v>
      </c>
      <c r="AT810" s="5" t="s">
        <v>59</v>
      </c>
    </row>
    <row r="811" spans="1:46">
      <c r="A811" s="86" t="s">
        <v>318</v>
      </c>
      <c r="B811" s="5">
        <v>15017526</v>
      </c>
      <c r="C811" s="5" t="s">
        <v>1198</v>
      </c>
      <c r="D811" s="5" t="s">
        <v>321</v>
      </c>
      <c r="E811" s="5" t="s">
        <v>52</v>
      </c>
      <c r="F811" s="5" t="s">
        <v>62</v>
      </c>
      <c r="G811" s="5" t="s">
        <v>91</v>
      </c>
      <c r="H811" s="5" t="s">
        <v>1157</v>
      </c>
      <c r="I811" s="6">
        <v>42979</v>
      </c>
      <c r="J811" s="5" t="s">
        <v>336</v>
      </c>
      <c r="K811" s="5" t="s">
        <v>336</v>
      </c>
      <c r="L811" s="5" t="s">
        <v>324</v>
      </c>
      <c r="M811" s="7">
        <v>6</v>
      </c>
      <c r="N811" s="7" t="s">
        <v>176</v>
      </c>
      <c r="O811" s="87">
        <v>4490</v>
      </c>
      <c r="P811" s="88">
        <v>0.02</v>
      </c>
      <c r="Q811" s="89">
        <f t="shared" si="160"/>
        <v>90</v>
      </c>
      <c r="R811" s="88">
        <v>5.0000000000000001E-3</v>
      </c>
      <c r="S811" s="89">
        <f t="shared" si="161"/>
        <v>22</v>
      </c>
      <c r="T811" s="88">
        <f t="shared" si="162"/>
        <v>2.4944320712694878E-2</v>
      </c>
      <c r="U811" s="89">
        <f t="shared" si="163"/>
        <v>112</v>
      </c>
      <c r="V811" s="89">
        <f t="shared" si="164"/>
        <v>4602</v>
      </c>
      <c r="W811" s="90">
        <v>4602</v>
      </c>
      <c r="X811" s="91">
        <f t="shared" si="165"/>
        <v>112</v>
      </c>
      <c r="Y811" s="92">
        <f t="shared" si="166"/>
        <v>2.4899999999999999E-2</v>
      </c>
      <c r="Z811" s="93" t="str">
        <f t="shared" si="172"/>
        <v>0.00%-8.40%</v>
      </c>
      <c r="AA811" s="94"/>
      <c r="AB811" s="94"/>
      <c r="AC811" s="94"/>
      <c r="AD811" s="95"/>
      <c r="AE811" s="87">
        <f t="shared" si="167"/>
        <v>0</v>
      </c>
      <c r="AF811" s="96">
        <f t="shared" si="168"/>
        <v>4602</v>
      </c>
      <c r="AG811" s="18">
        <f t="shared" si="169"/>
        <v>112</v>
      </c>
      <c r="AH811" s="97">
        <f t="shared" si="170"/>
        <v>2.4944320712694923E-2</v>
      </c>
      <c r="AI811" s="20">
        <v>13.6</v>
      </c>
      <c r="AJ811" s="20">
        <v>450</v>
      </c>
      <c r="AK811" s="20"/>
      <c r="AL811" s="20">
        <v>688</v>
      </c>
      <c r="AM811" s="20">
        <f t="shared" si="171"/>
        <v>68675.199999999997</v>
      </c>
      <c r="AN811" s="7" t="s">
        <v>176</v>
      </c>
      <c r="AO811" s="20"/>
      <c r="AP811" s="21" t="s">
        <v>1056</v>
      </c>
      <c r="AQ811" s="21"/>
      <c r="AR811" s="5" t="s">
        <v>94</v>
      </c>
      <c r="AS811" s="5" t="s">
        <v>69</v>
      </c>
      <c r="AT811" s="5" t="s">
        <v>59</v>
      </c>
    </row>
    <row r="812" spans="1:46">
      <c r="A812" s="86" t="s">
        <v>318</v>
      </c>
      <c r="B812" s="5">
        <v>15015568</v>
      </c>
      <c r="C812" s="5" t="s">
        <v>1199</v>
      </c>
      <c r="D812" s="5" t="s">
        <v>321</v>
      </c>
      <c r="E812" s="5" t="s">
        <v>52</v>
      </c>
      <c r="F812" s="5" t="s">
        <v>62</v>
      </c>
      <c r="G812" s="5" t="s">
        <v>91</v>
      </c>
      <c r="H812" s="5" t="s">
        <v>1157</v>
      </c>
      <c r="I812" s="6">
        <v>42736</v>
      </c>
      <c r="J812" s="5" t="s">
        <v>336</v>
      </c>
      <c r="K812" s="5" t="s">
        <v>336</v>
      </c>
      <c r="L812" s="5" t="s">
        <v>324</v>
      </c>
      <c r="M812" s="7">
        <v>6</v>
      </c>
      <c r="N812" s="7" t="s">
        <v>176</v>
      </c>
      <c r="O812" s="87">
        <v>4635</v>
      </c>
      <c r="P812" s="88">
        <v>0.02</v>
      </c>
      <c r="Q812" s="89">
        <f t="shared" si="160"/>
        <v>93</v>
      </c>
      <c r="R812" s="88">
        <v>5.0000000000000001E-3</v>
      </c>
      <c r="S812" s="89">
        <f t="shared" si="161"/>
        <v>23</v>
      </c>
      <c r="T812" s="88">
        <f t="shared" si="162"/>
        <v>2.5026968716289105E-2</v>
      </c>
      <c r="U812" s="89">
        <f t="shared" si="163"/>
        <v>116</v>
      </c>
      <c r="V812" s="89">
        <f t="shared" si="164"/>
        <v>4751</v>
      </c>
      <c r="W812" s="90">
        <v>4700</v>
      </c>
      <c r="X812" s="91">
        <f t="shared" si="165"/>
        <v>65</v>
      </c>
      <c r="Y812" s="92">
        <f t="shared" si="166"/>
        <v>1.4E-2</v>
      </c>
      <c r="Z812" s="93" t="str">
        <f t="shared" si="172"/>
        <v>0.00%-8.40%</v>
      </c>
      <c r="AA812" s="94"/>
      <c r="AB812" s="94"/>
      <c r="AC812" s="94"/>
      <c r="AD812" s="95"/>
      <c r="AE812" s="87">
        <f t="shared" si="167"/>
        <v>0</v>
      </c>
      <c r="AF812" s="96">
        <f t="shared" si="168"/>
        <v>4700</v>
      </c>
      <c r="AG812" s="18">
        <f t="shared" si="169"/>
        <v>65</v>
      </c>
      <c r="AH812" s="97">
        <f t="shared" si="170"/>
        <v>1.4023732470334505E-2</v>
      </c>
      <c r="AI812" s="20">
        <v>13.6</v>
      </c>
      <c r="AJ812" s="20">
        <v>650</v>
      </c>
      <c r="AK812" s="20"/>
      <c r="AL812" s="20">
        <v>688</v>
      </c>
      <c r="AM812" s="20">
        <f t="shared" si="171"/>
        <v>72408</v>
      </c>
      <c r="AN812" s="7" t="s">
        <v>176</v>
      </c>
      <c r="AO812" s="20"/>
      <c r="AP812" s="21" t="s">
        <v>1051</v>
      </c>
      <c r="AQ812" s="21"/>
      <c r="AR812" s="5" t="s">
        <v>94</v>
      </c>
      <c r="AS812" s="5" t="s">
        <v>69</v>
      </c>
      <c r="AT812" s="5" t="s">
        <v>59</v>
      </c>
    </row>
    <row r="813" spans="1:46">
      <c r="A813" s="86" t="s">
        <v>318</v>
      </c>
      <c r="B813" s="5">
        <v>15018064</v>
      </c>
      <c r="C813" s="5" t="s">
        <v>1200</v>
      </c>
      <c r="D813" s="5" t="s">
        <v>321</v>
      </c>
      <c r="E813" s="5" t="s">
        <v>52</v>
      </c>
      <c r="F813" s="5" t="s">
        <v>62</v>
      </c>
      <c r="G813" s="5" t="s">
        <v>91</v>
      </c>
      <c r="H813" s="5" t="s">
        <v>1182</v>
      </c>
      <c r="I813" s="6">
        <v>43132</v>
      </c>
      <c r="J813" s="5" t="s">
        <v>336</v>
      </c>
      <c r="K813" s="5" t="s">
        <v>336</v>
      </c>
      <c r="L813" s="5" t="s">
        <v>324</v>
      </c>
      <c r="M813" s="7">
        <v>6</v>
      </c>
      <c r="N813" s="7" t="s">
        <v>176</v>
      </c>
      <c r="O813" s="87">
        <v>4654</v>
      </c>
      <c r="P813" s="88">
        <v>0.02</v>
      </c>
      <c r="Q813" s="89">
        <f t="shared" si="160"/>
        <v>93</v>
      </c>
      <c r="R813" s="88">
        <v>5.0000000000000001E-3</v>
      </c>
      <c r="S813" s="89">
        <f t="shared" si="161"/>
        <v>23</v>
      </c>
      <c r="T813" s="88">
        <f t="shared" si="162"/>
        <v>2.4924795874516546E-2</v>
      </c>
      <c r="U813" s="89">
        <f t="shared" si="163"/>
        <v>116</v>
      </c>
      <c r="V813" s="89">
        <f t="shared" si="164"/>
        <v>4770</v>
      </c>
      <c r="W813" s="90">
        <v>4720</v>
      </c>
      <c r="X813" s="91">
        <f t="shared" si="165"/>
        <v>66</v>
      </c>
      <c r="Y813" s="92">
        <f t="shared" si="166"/>
        <v>1.4200000000000001E-2</v>
      </c>
      <c r="Z813" s="93" t="str">
        <f t="shared" si="172"/>
        <v>0.00%-8.40%</v>
      </c>
      <c r="AA813" s="94"/>
      <c r="AB813" s="94"/>
      <c r="AC813" s="94"/>
      <c r="AD813" s="95"/>
      <c r="AE813" s="87">
        <f t="shared" si="167"/>
        <v>0</v>
      </c>
      <c r="AF813" s="96">
        <f t="shared" si="168"/>
        <v>4720</v>
      </c>
      <c r="AG813" s="18">
        <f t="shared" si="169"/>
        <v>66</v>
      </c>
      <c r="AH813" s="97">
        <f t="shared" si="170"/>
        <v>1.4181349376880092E-2</v>
      </c>
      <c r="AI813" s="20">
        <v>13.6</v>
      </c>
      <c r="AJ813" s="20">
        <v>500</v>
      </c>
      <c r="AK813" s="20"/>
      <c r="AL813" s="20">
        <v>688</v>
      </c>
      <c r="AM813" s="20">
        <f t="shared" si="171"/>
        <v>70880</v>
      </c>
      <c r="AN813" s="7" t="s">
        <v>176</v>
      </c>
      <c r="AO813" s="20"/>
      <c r="AP813" s="21" t="s">
        <v>1051</v>
      </c>
      <c r="AQ813" s="21"/>
      <c r="AR813" s="5" t="s">
        <v>94</v>
      </c>
      <c r="AS813" s="5" t="s">
        <v>69</v>
      </c>
      <c r="AT813" s="5" t="s">
        <v>59</v>
      </c>
    </row>
    <row r="814" spans="1:46">
      <c r="A814" s="86" t="s">
        <v>318</v>
      </c>
      <c r="B814" s="5">
        <v>15010269</v>
      </c>
      <c r="C814" s="5" t="s">
        <v>1201</v>
      </c>
      <c r="D814" s="5" t="s">
        <v>321</v>
      </c>
      <c r="E814" s="5" t="s">
        <v>52</v>
      </c>
      <c r="F814" s="5" t="s">
        <v>62</v>
      </c>
      <c r="G814" s="5" t="s">
        <v>91</v>
      </c>
      <c r="H814" s="5" t="s">
        <v>1157</v>
      </c>
      <c r="I814" s="6">
        <v>41548</v>
      </c>
      <c r="J814" s="5" t="s">
        <v>336</v>
      </c>
      <c r="K814" s="5" t="s">
        <v>336</v>
      </c>
      <c r="L814" s="5" t="s">
        <v>324</v>
      </c>
      <c r="M814" s="7">
        <v>6</v>
      </c>
      <c r="N814" s="7" t="s">
        <v>176</v>
      </c>
      <c r="O814" s="87">
        <v>4889</v>
      </c>
      <c r="P814" s="88">
        <v>0.02</v>
      </c>
      <c r="Q814" s="89">
        <f t="shared" si="160"/>
        <v>98</v>
      </c>
      <c r="R814" s="88">
        <v>5.0000000000000001E-3</v>
      </c>
      <c r="S814" s="89">
        <f t="shared" si="161"/>
        <v>24</v>
      </c>
      <c r="T814" s="88">
        <f t="shared" si="162"/>
        <v>2.4953978318674574E-2</v>
      </c>
      <c r="U814" s="89">
        <f t="shared" si="163"/>
        <v>122</v>
      </c>
      <c r="V814" s="89">
        <f t="shared" si="164"/>
        <v>5011</v>
      </c>
      <c r="W814" s="90">
        <v>5011</v>
      </c>
      <c r="X814" s="91">
        <f t="shared" si="165"/>
        <v>122</v>
      </c>
      <c r="Y814" s="92">
        <f t="shared" si="166"/>
        <v>2.5000000000000001E-2</v>
      </c>
      <c r="Z814" s="93" t="str">
        <f t="shared" si="172"/>
        <v>0.00%-8.40%</v>
      </c>
      <c r="AA814" s="94"/>
      <c r="AB814" s="94"/>
      <c r="AC814" s="94"/>
      <c r="AD814" s="95"/>
      <c r="AE814" s="87">
        <f t="shared" si="167"/>
        <v>0</v>
      </c>
      <c r="AF814" s="96">
        <f t="shared" si="168"/>
        <v>5011</v>
      </c>
      <c r="AG814" s="18">
        <f t="shared" si="169"/>
        <v>122</v>
      </c>
      <c r="AH814" s="97">
        <f t="shared" si="170"/>
        <v>2.4953978318674519E-2</v>
      </c>
      <c r="AI814" s="20">
        <v>13.6</v>
      </c>
      <c r="AJ814" s="20">
        <v>450</v>
      </c>
      <c r="AK814" s="20"/>
      <c r="AL814" s="20">
        <v>688</v>
      </c>
      <c r="AM814" s="20">
        <f t="shared" si="171"/>
        <v>74237.599999999991</v>
      </c>
      <c r="AN814" s="7" t="s">
        <v>176</v>
      </c>
      <c r="AO814" s="20"/>
      <c r="AP814" s="21" t="s">
        <v>1056</v>
      </c>
      <c r="AQ814" s="21"/>
      <c r="AR814" s="5" t="s">
        <v>94</v>
      </c>
      <c r="AS814" s="5" t="s">
        <v>69</v>
      </c>
      <c r="AT814" s="5" t="s">
        <v>59</v>
      </c>
    </row>
    <row r="815" spans="1:46">
      <c r="A815" s="86" t="s">
        <v>318</v>
      </c>
      <c r="B815" s="5">
        <v>15002523</v>
      </c>
      <c r="C815" s="5" t="s">
        <v>1202</v>
      </c>
      <c r="D815" s="5" t="s">
        <v>321</v>
      </c>
      <c r="E815" s="5" t="s">
        <v>52</v>
      </c>
      <c r="F815" s="5" t="s">
        <v>62</v>
      </c>
      <c r="G815" s="5" t="s">
        <v>91</v>
      </c>
      <c r="H815" s="5" t="s">
        <v>1157</v>
      </c>
      <c r="I815" s="6">
        <v>40118</v>
      </c>
      <c r="J815" s="5" t="s">
        <v>336</v>
      </c>
      <c r="K815" s="5" t="s">
        <v>336</v>
      </c>
      <c r="L815" s="5" t="s">
        <v>324</v>
      </c>
      <c r="M815" s="7">
        <v>6</v>
      </c>
      <c r="N815" s="7" t="s">
        <v>176</v>
      </c>
      <c r="O815" s="87">
        <v>5223</v>
      </c>
      <c r="P815" s="88">
        <v>0.02</v>
      </c>
      <c r="Q815" s="89">
        <f t="shared" si="160"/>
        <v>104</v>
      </c>
      <c r="R815" s="88">
        <v>5.0000000000000001E-3</v>
      </c>
      <c r="S815" s="89">
        <f t="shared" si="161"/>
        <v>26</v>
      </c>
      <c r="T815" s="88">
        <f t="shared" si="162"/>
        <v>2.488991001340226E-2</v>
      </c>
      <c r="U815" s="89">
        <f t="shared" si="163"/>
        <v>130</v>
      </c>
      <c r="V815" s="89">
        <f t="shared" si="164"/>
        <v>5353</v>
      </c>
      <c r="W815" s="90">
        <v>5450</v>
      </c>
      <c r="X815" s="91">
        <f t="shared" si="165"/>
        <v>227</v>
      </c>
      <c r="Y815" s="92">
        <f t="shared" si="166"/>
        <v>4.3499999999999997E-2</v>
      </c>
      <c r="Z815" s="93" t="str">
        <f t="shared" si="172"/>
        <v>0.00%-8.40%</v>
      </c>
      <c r="AA815" s="94"/>
      <c r="AB815" s="94"/>
      <c r="AC815" s="94"/>
      <c r="AD815" s="95"/>
      <c r="AE815" s="87">
        <f t="shared" si="167"/>
        <v>0</v>
      </c>
      <c r="AF815" s="96">
        <f t="shared" si="168"/>
        <v>5450</v>
      </c>
      <c r="AG815" s="18">
        <f t="shared" si="169"/>
        <v>227</v>
      </c>
      <c r="AH815" s="97">
        <f t="shared" si="170"/>
        <v>4.3461612100325508E-2</v>
      </c>
      <c r="AI815" s="20">
        <v>13.6</v>
      </c>
      <c r="AJ815" s="20">
        <v>500</v>
      </c>
      <c r="AK815" s="20"/>
      <c r="AL815" s="20">
        <v>688</v>
      </c>
      <c r="AM815" s="20">
        <f t="shared" si="171"/>
        <v>80808</v>
      </c>
      <c r="AN815" s="7" t="s">
        <v>176</v>
      </c>
      <c r="AO815" s="20"/>
      <c r="AP815" s="21" t="s">
        <v>1055</v>
      </c>
      <c r="AQ815" s="21"/>
      <c r="AR815" s="5" t="s">
        <v>94</v>
      </c>
      <c r="AS815" s="5" t="s">
        <v>69</v>
      </c>
      <c r="AT815" s="5" t="s">
        <v>59</v>
      </c>
    </row>
    <row r="816" spans="1:46">
      <c r="A816" s="86" t="s">
        <v>318</v>
      </c>
      <c r="B816" s="5">
        <v>15021129</v>
      </c>
      <c r="C816" s="5" t="s">
        <v>1203</v>
      </c>
      <c r="D816" s="5" t="s">
        <v>321</v>
      </c>
      <c r="E816" s="5" t="s">
        <v>52</v>
      </c>
      <c r="F816" s="5" t="s">
        <v>62</v>
      </c>
      <c r="G816" s="5" t="s">
        <v>91</v>
      </c>
      <c r="H816" s="5" t="s">
        <v>1182</v>
      </c>
      <c r="I816" s="6">
        <v>44409</v>
      </c>
      <c r="J816" s="5" t="s">
        <v>336</v>
      </c>
      <c r="K816" s="5" t="s">
        <v>336</v>
      </c>
      <c r="L816" s="5" t="s">
        <v>324</v>
      </c>
      <c r="M816" s="7">
        <v>6</v>
      </c>
      <c r="N816" s="7" t="s">
        <v>176</v>
      </c>
      <c r="O816" s="87">
        <v>4869</v>
      </c>
      <c r="P816" s="88">
        <v>0.02</v>
      </c>
      <c r="Q816" s="89">
        <f t="shared" si="160"/>
        <v>97</v>
      </c>
      <c r="R816" s="88">
        <v>5.0000000000000001E-3</v>
      </c>
      <c r="S816" s="89">
        <f t="shared" si="161"/>
        <v>24</v>
      </c>
      <c r="T816" s="88">
        <f t="shared" si="162"/>
        <v>2.4851098788252209E-2</v>
      </c>
      <c r="U816" s="89">
        <f t="shared" si="163"/>
        <v>121</v>
      </c>
      <c r="V816" s="89">
        <f t="shared" si="164"/>
        <v>4990</v>
      </c>
      <c r="W816" s="90">
        <v>5000</v>
      </c>
      <c r="X816" s="91">
        <f t="shared" si="165"/>
        <v>131</v>
      </c>
      <c r="Y816" s="92">
        <f t="shared" si="166"/>
        <v>2.69E-2</v>
      </c>
      <c r="Z816" s="93" t="str">
        <f t="shared" si="172"/>
        <v>0.00%-8.40%</v>
      </c>
      <c r="AA816" s="94"/>
      <c r="AB816" s="94"/>
      <c r="AC816" s="94"/>
      <c r="AD816" s="95"/>
      <c r="AE816" s="87">
        <f t="shared" si="167"/>
        <v>0</v>
      </c>
      <c r="AF816" s="96">
        <f t="shared" si="168"/>
        <v>5000</v>
      </c>
      <c r="AG816" s="18">
        <f t="shared" si="169"/>
        <v>131</v>
      </c>
      <c r="AH816" s="97">
        <f t="shared" si="170"/>
        <v>2.6904908605463129E-2</v>
      </c>
      <c r="AI816" s="20">
        <v>13.6</v>
      </c>
      <c r="AJ816" s="20">
        <v>450</v>
      </c>
      <c r="AK816" s="20"/>
      <c r="AL816" s="20">
        <v>688</v>
      </c>
      <c r="AM816" s="20">
        <f t="shared" si="171"/>
        <v>74088</v>
      </c>
      <c r="AN816" s="7" t="s">
        <v>176</v>
      </c>
      <c r="AO816" s="20"/>
      <c r="AP816" s="21" t="s">
        <v>1204</v>
      </c>
      <c r="AQ816" s="21"/>
      <c r="AR816" s="5" t="s">
        <v>94</v>
      </c>
      <c r="AS816" s="5" t="s">
        <v>69</v>
      </c>
      <c r="AT816" s="5" t="s">
        <v>59</v>
      </c>
    </row>
    <row r="817" spans="1:46">
      <c r="A817" s="86" t="s">
        <v>318</v>
      </c>
      <c r="B817" s="5">
        <v>15016600</v>
      </c>
      <c r="C817" s="5" t="s">
        <v>1205</v>
      </c>
      <c r="D817" s="5" t="s">
        <v>321</v>
      </c>
      <c r="E817" s="5" t="s">
        <v>52</v>
      </c>
      <c r="F817" s="5" t="s">
        <v>62</v>
      </c>
      <c r="G817" s="5" t="s">
        <v>91</v>
      </c>
      <c r="H817" s="5" t="s">
        <v>1157</v>
      </c>
      <c r="I817" s="6">
        <v>42917</v>
      </c>
      <c r="J817" s="5" t="s">
        <v>336</v>
      </c>
      <c r="K817" s="5" t="s">
        <v>336</v>
      </c>
      <c r="L817" s="5" t="s">
        <v>324</v>
      </c>
      <c r="M817" s="7">
        <v>6</v>
      </c>
      <c r="N817" s="7" t="s">
        <v>176</v>
      </c>
      <c r="O817" s="87">
        <v>4380</v>
      </c>
      <c r="P817" s="88">
        <v>0.02</v>
      </c>
      <c r="Q817" s="89">
        <f t="shared" si="160"/>
        <v>88</v>
      </c>
      <c r="R817" s="88">
        <v>5.0000000000000001E-3</v>
      </c>
      <c r="S817" s="89">
        <f t="shared" si="161"/>
        <v>22</v>
      </c>
      <c r="T817" s="88">
        <f t="shared" si="162"/>
        <v>2.5114155251141551E-2</v>
      </c>
      <c r="U817" s="89">
        <f t="shared" si="163"/>
        <v>110</v>
      </c>
      <c r="V817" s="89">
        <f t="shared" si="164"/>
        <v>4490</v>
      </c>
      <c r="W817" s="90">
        <v>4430</v>
      </c>
      <c r="X817" s="91">
        <f t="shared" si="165"/>
        <v>50</v>
      </c>
      <c r="Y817" s="92">
        <f t="shared" si="166"/>
        <v>1.14E-2</v>
      </c>
      <c r="Z817" s="93" t="str">
        <f t="shared" si="172"/>
        <v>0.00%-8.40%</v>
      </c>
      <c r="AA817" s="94"/>
      <c r="AB817" s="94"/>
      <c r="AC817" s="94"/>
      <c r="AD817" s="95"/>
      <c r="AE817" s="87">
        <f t="shared" si="167"/>
        <v>0</v>
      </c>
      <c r="AF817" s="96">
        <f t="shared" si="168"/>
        <v>4430</v>
      </c>
      <c r="AG817" s="18">
        <f t="shared" si="169"/>
        <v>50</v>
      </c>
      <c r="AH817" s="97">
        <f t="shared" si="170"/>
        <v>1.1415525114155223E-2</v>
      </c>
      <c r="AI817" s="20">
        <v>13.6</v>
      </c>
      <c r="AJ817" s="20">
        <v>650</v>
      </c>
      <c r="AK817" s="20"/>
      <c r="AL817" s="20">
        <v>688</v>
      </c>
      <c r="AM817" s="20">
        <f t="shared" si="171"/>
        <v>68736</v>
      </c>
      <c r="AN817" s="7" t="s">
        <v>176</v>
      </c>
      <c r="AO817" s="20"/>
      <c r="AP817" s="21" t="s">
        <v>1051</v>
      </c>
      <c r="AQ817" s="21"/>
      <c r="AR817" s="5" t="s">
        <v>94</v>
      </c>
      <c r="AS817" s="5" t="s">
        <v>69</v>
      </c>
      <c r="AT817" s="5" t="s">
        <v>59</v>
      </c>
    </row>
    <row r="818" spans="1:46">
      <c r="A818" s="86" t="s">
        <v>318</v>
      </c>
      <c r="B818" s="5">
        <v>15006881</v>
      </c>
      <c r="C818" s="5" t="s">
        <v>1206</v>
      </c>
      <c r="D818" s="5" t="s">
        <v>321</v>
      </c>
      <c r="E818" s="5" t="s">
        <v>52</v>
      </c>
      <c r="F818" s="5" t="s">
        <v>62</v>
      </c>
      <c r="G818" s="5" t="s">
        <v>91</v>
      </c>
      <c r="H818" s="5" t="s">
        <v>1155</v>
      </c>
      <c r="I818" s="6">
        <v>40749</v>
      </c>
      <c r="J818" s="5" t="s">
        <v>336</v>
      </c>
      <c r="K818" s="5" t="s">
        <v>336</v>
      </c>
      <c r="L818" s="5" t="s">
        <v>324</v>
      </c>
      <c r="M818" s="7">
        <v>6</v>
      </c>
      <c r="N818" s="7" t="s">
        <v>176</v>
      </c>
      <c r="O818" s="87">
        <v>5271</v>
      </c>
      <c r="P818" s="88">
        <v>0.02</v>
      </c>
      <c r="Q818" s="89">
        <f t="shared" si="160"/>
        <v>105</v>
      </c>
      <c r="R818" s="88">
        <v>5.0000000000000001E-3</v>
      </c>
      <c r="S818" s="89">
        <f t="shared" si="161"/>
        <v>26</v>
      </c>
      <c r="T818" s="88">
        <f t="shared" si="162"/>
        <v>2.4852969076076648E-2</v>
      </c>
      <c r="U818" s="89">
        <f t="shared" si="163"/>
        <v>131</v>
      </c>
      <c r="V818" s="89">
        <f t="shared" si="164"/>
        <v>5402</v>
      </c>
      <c r="W818" s="90">
        <v>5350</v>
      </c>
      <c r="X818" s="91">
        <f t="shared" si="165"/>
        <v>79</v>
      </c>
      <c r="Y818" s="92">
        <f t="shared" si="166"/>
        <v>1.4999999999999999E-2</v>
      </c>
      <c r="Z818" s="93" t="str">
        <f t="shared" si="172"/>
        <v>0.00%-8.40%</v>
      </c>
      <c r="AA818" s="94"/>
      <c r="AB818" s="94"/>
      <c r="AC818" s="94"/>
      <c r="AD818" s="95"/>
      <c r="AE818" s="87">
        <f t="shared" si="167"/>
        <v>0</v>
      </c>
      <c r="AF818" s="96">
        <f t="shared" si="168"/>
        <v>5350</v>
      </c>
      <c r="AG818" s="18">
        <f t="shared" si="169"/>
        <v>79</v>
      </c>
      <c r="AH818" s="97">
        <f t="shared" si="170"/>
        <v>1.4987668374122576E-2</v>
      </c>
      <c r="AI818" s="20">
        <v>13.6</v>
      </c>
      <c r="AJ818" s="20">
        <v>500</v>
      </c>
      <c r="AK818" s="20"/>
      <c r="AL818" s="20">
        <v>688</v>
      </c>
      <c r="AM818" s="20">
        <f t="shared" si="171"/>
        <v>79448</v>
      </c>
      <c r="AN818" s="7" t="s">
        <v>176</v>
      </c>
      <c r="AO818" s="20"/>
      <c r="AP818" s="21" t="s">
        <v>1051</v>
      </c>
      <c r="AQ818" s="21"/>
      <c r="AR818" s="5" t="s">
        <v>94</v>
      </c>
      <c r="AS818" s="5" t="s">
        <v>69</v>
      </c>
      <c r="AT818" s="5" t="s">
        <v>59</v>
      </c>
    </row>
    <row r="819" spans="1:46">
      <c r="A819" s="86" t="s">
        <v>318</v>
      </c>
      <c r="B819" s="5">
        <v>15000413</v>
      </c>
      <c r="C819" s="5" t="s">
        <v>1207</v>
      </c>
      <c r="D819" s="5" t="s">
        <v>321</v>
      </c>
      <c r="E819" s="5" t="s">
        <v>52</v>
      </c>
      <c r="F819" s="5" t="s">
        <v>62</v>
      </c>
      <c r="G819" s="5" t="s">
        <v>91</v>
      </c>
      <c r="H819" s="5" t="s">
        <v>1155</v>
      </c>
      <c r="I819" s="6">
        <v>38786</v>
      </c>
      <c r="J819" s="5" t="s">
        <v>336</v>
      </c>
      <c r="K819" s="5" t="s">
        <v>336</v>
      </c>
      <c r="L819" s="5" t="s">
        <v>324</v>
      </c>
      <c r="M819" s="7">
        <v>6</v>
      </c>
      <c r="N819" s="7" t="s">
        <v>176</v>
      </c>
      <c r="O819" s="87">
        <v>7362</v>
      </c>
      <c r="P819" s="88">
        <v>0.02</v>
      </c>
      <c r="Q819" s="89">
        <f t="shared" si="160"/>
        <v>147</v>
      </c>
      <c r="R819" s="88">
        <v>5.0000000000000001E-3</v>
      </c>
      <c r="S819" s="89">
        <f t="shared" si="161"/>
        <v>37</v>
      </c>
      <c r="T819" s="88">
        <f t="shared" si="162"/>
        <v>2.4993208367291495E-2</v>
      </c>
      <c r="U819" s="89">
        <f t="shared" si="163"/>
        <v>184</v>
      </c>
      <c r="V819" s="89">
        <f t="shared" si="164"/>
        <v>7546</v>
      </c>
      <c r="W819" s="90">
        <v>7450</v>
      </c>
      <c r="X819" s="91">
        <f t="shared" si="165"/>
        <v>88</v>
      </c>
      <c r="Y819" s="92">
        <f t="shared" si="166"/>
        <v>1.2E-2</v>
      </c>
      <c r="Z819" s="93" t="str">
        <f t="shared" si="172"/>
        <v>0.00%-8.40%</v>
      </c>
      <c r="AA819" s="94"/>
      <c r="AB819" s="94"/>
      <c r="AC819" s="94"/>
      <c r="AD819" s="95"/>
      <c r="AE819" s="87">
        <f t="shared" si="167"/>
        <v>0</v>
      </c>
      <c r="AF819" s="96">
        <f t="shared" si="168"/>
        <v>7450</v>
      </c>
      <c r="AG819" s="18">
        <f t="shared" si="169"/>
        <v>88</v>
      </c>
      <c r="AH819" s="97">
        <f t="shared" si="170"/>
        <v>1.1953273566965406E-2</v>
      </c>
      <c r="AI819" s="20">
        <v>13.6</v>
      </c>
      <c r="AJ819" s="20">
        <v>500</v>
      </c>
      <c r="AK819" s="20"/>
      <c r="AL819" s="20">
        <v>688</v>
      </c>
      <c r="AM819" s="20">
        <f t="shared" si="171"/>
        <v>108008</v>
      </c>
      <c r="AN819" s="7" t="s">
        <v>176</v>
      </c>
      <c r="AO819" s="20"/>
      <c r="AP819" s="21" t="s">
        <v>1051</v>
      </c>
      <c r="AQ819" s="21"/>
      <c r="AR819" s="5" t="s">
        <v>94</v>
      </c>
      <c r="AS819" s="5" t="s">
        <v>69</v>
      </c>
      <c r="AT819" s="5" t="s">
        <v>59</v>
      </c>
    </row>
    <row r="820" spans="1:46">
      <c r="A820" s="86" t="s">
        <v>318</v>
      </c>
      <c r="B820" s="5">
        <v>15000462</v>
      </c>
      <c r="C820" s="5" t="s">
        <v>1208</v>
      </c>
      <c r="D820" s="5" t="s">
        <v>321</v>
      </c>
      <c r="E820" s="5" t="s">
        <v>52</v>
      </c>
      <c r="F820" s="5" t="s">
        <v>62</v>
      </c>
      <c r="G820" s="5" t="s">
        <v>91</v>
      </c>
      <c r="H820" s="5" t="s">
        <v>1157</v>
      </c>
      <c r="I820" s="6">
        <v>38808</v>
      </c>
      <c r="J820" s="5" t="s">
        <v>336</v>
      </c>
      <c r="K820" s="5" t="s">
        <v>336</v>
      </c>
      <c r="L820" s="5" t="s">
        <v>324</v>
      </c>
      <c r="M820" s="7">
        <v>6</v>
      </c>
      <c r="N820" s="7" t="s">
        <v>176</v>
      </c>
      <c r="O820" s="87">
        <v>5075</v>
      </c>
      <c r="P820" s="88">
        <v>0.02</v>
      </c>
      <c r="Q820" s="89">
        <f t="shared" si="160"/>
        <v>102</v>
      </c>
      <c r="R820" s="88">
        <v>5.0000000000000001E-3</v>
      </c>
      <c r="S820" s="89">
        <f t="shared" si="161"/>
        <v>25</v>
      </c>
      <c r="T820" s="88">
        <f t="shared" si="162"/>
        <v>2.5024630541871921E-2</v>
      </c>
      <c r="U820" s="89">
        <f t="shared" si="163"/>
        <v>127</v>
      </c>
      <c r="V820" s="89">
        <f t="shared" si="164"/>
        <v>5202</v>
      </c>
      <c r="W820" s="90">
        <v>5075</v>
      </c>
      <c r="X820" s="91">
        <f t="shared" si="165"/>
        <v>0</v>
      </c>
      <c r="Y820" s="92">
        <f t="shared" si="166"/>
        <v>0</v>
      </c>
      <c r="Z820" s="93" t="str">
        <f t="shared" si="172"/>
        <v>0.00%-8.40%</v>
      </c>
      <c r="AA820" s="94"/>
      <c r="AB820" s="94"/>
      <c r="AC820" s="94"/>
      <c r="AD820" s="95"/>
      <c r="AE820" s="87">
        <f t="shared" si="167"/>
        <v>0</v>
      </c>
      <c r="AF820" s="96">
        <f t="shared" si="168"/>
        <v>5075</v>
      </c>
      <c r="AG820" s="18">
        <f t="shared" si="169"/>
        <v>0</v>
      </c>
      <c r="AH820" s="97">
        <f t="shared" si="170"/>
        <v>0</v>
      </c>
      <c r="AI820" s="20">
        <v>13.6</v>
      </c>
      <c r="AJ820" s="20">
        <v>450</v>
      </c>
      <c r="AK820" s="20"/>
      <c r="AL820" s="20">
        <v>688</v>
      </c>
      <c r="AM820" s="20">
        <f t="shared" si="171"/>
        <v>75108</v>
      </c>
      <c r="AN820" s="7" t="s">
        <v>176</v>
      </c>
      <c r="AO820" s="20"/>
      <c r="AP820" s="21" t="s">
        <v>1140</v>
      </c>
      <c r="AQ820" s="21" t="s">
        <v>496</v>
      </c>
      <c r="AR820" s="5" t="s">
        <v>94</v>
      </c>
      <c r="AS820" s="5" t="s">
        <v>69</v>
      </c>
      <c r="AT820" s="5" t="s">
        <v>59</v>
      </c>
    </row>
    <row r="821" spans="1:46">
      <c r="A821" s="86" t="s">
        <v>318</v>
      </c>
      <c r="B821" s="5">
        <v>15006891</v>
      </c>
      <c r="C821" s="5" t="s">
        <v>1209</v>
      </c>
      <c r="D821" s="5" t="s">
        <v>321</v>
      </c>
      <c r="E821" s="5" t="s">
        <v>52</v>
      </c>
      <c r="F821" s="5" t="s">
        <v>62</v>
      </c>
      <c r="G821" s="5" t="s">
        <v>91</v>
      </c>
      <c r="H821" s="5" t="s">
        <v>1155</v>
      </c>
      <c r="I821" s="6">
        <v>40758</v>
      </c>
      <c r="J821" s="5" t="s">
        <v>336</v>
      </c>
      <c r="K821" s="5" t="s">
        <v>336</v>
      </c>
      <c r="L821" s="5" t="s">
        <v>324</v>
      </c>
      <c r="M821" s="7">
        <v>6</v>
      </c>
      <c r="N821" s="7" t="s">
        <v>176</v>
      </c>
      <c r="O821" s="87">
        <v>4948</v>
      </c>
      <c r="P821" s="88">
        <v>0.02</v>
      </c>
      <c r="Q821" s="89">
        <f t="shared" si="160"/>
        <v>99</v>
      </c>
      <c r="R821" s="88">
        <v>5.0000000000000001E-3</v>
      </c>
      <c r="S821" s="89">
        <f t="shared" si="161"/>
        <v>25</v>
      </c>
      <c r="T821" s="88">
        <f t="shared" si="162"/>
        <v>2.5060630557801132E-2</v>
      </c>
      <c r="U821" s="89">
        <f t="shared" si="163"/>
        <v>124</v>
      </c>
      <c r="V821" s="89">
        <f t="shared" si="164"/>
        <v>5072</v>
      </c>
      <c r="W821" s="90">
        <v>5072</v>
      </c>
      <c r="X821" s="91">
        <f t="shared" si="165"/>
        <v>124</v>
      </c>
      <c r="Y821" s="92">
        <f t="shared" si="166"/>
        <v>2.5100000000000001E-2</v>
      </c>
      <c r="Z821" s="93" t="str">
        <f t="shared" si="172"/>
        <v>0.00%-8.40%</v>
      </c>
      <c r="AA821" s="94"/>
      <c r="AB821" s="94"/>
      <c r="AC821" s="94"/>
      <c r="AD821" s="95"/>
      <c r="AE821" s="87">
        <f t="shared" si="167"/>
        <v>0</v>
      </c>
      <c r="AF821" s="96">
        <f t="shared" si="168"/>
        <v>5072</v>
      </c>
      <c r="AG821" s="18">
        <f t="shared" si="169"/>
        <v>124</v>
      </c>
      <c r="AH821" s="97">
        <f t="shared" si="170"/>
        <v>2.5060630557801167E-2</v>
      </c>
      <c r="AI821" s="20">
        <v>13.6</v>
      </c>
      <c r="AJ821" s="20">
        <v>800</v>
      </c>
      <c r="AK821" s="20"/>
      <c r="AL821" s="20">
        <v>688</v>
      </c>
      <c r="AM821" s="20">
        <f t="shared" si="171"/>
        <v>79267.199999999997</v>
      </c>
      <c r="AN821" s="7" t="s">
        <v>176</v>
      </c>
      <c r="AO821" s="20"/>
      <c r="AP821" s="21" t="s">
        <v>1056</v>
      </c>
      <c r="AQ821" s="21"/>
      <c r="AR821" s="5" t="s">
        <v>94</v>
      </c>
      <c r="AS821" s="5" t="s">
        <v>69</v>
      </c>
      <c r="AT821" s="5" t="s">
        <v>59</v>
      </c>
    </row>
    <row r="822" spans="1:46">
      <c r="A822" s="86" t="s">
        <v>318</v>
      </c>
      <c r="B822" s="5">
        <v>15007849</v>
      </c>
      <c r="C822" s="5" t="s">
        <v>1210</v>
      </c>
      <c r="D822" s="5" t="s">
        <v>321</v>
      </c>
      <c r="E822" s="5" t="s">
        <v>52</v>
      </c>
      <c r="F822" s="5" t="s">
        <v>62</v>
      </c>
      <c r="G822" s="5" t="s">
        <v>91</v>
      </c>
      <c r="H822" s="5" t="s">
        <v>1157</v>
      </c>
      <c r="I822" s="6">
        <v>44501</v>
      </c>
      <c r="J822" s="5" t="s">
        <v>336</v>
      </c>
      <c r="K822" s="5" t="s">
        <v>336</v>
      </c>
      <c r="L822" s="5" t="s">
        <v>324</v>
      </c>
      <c r="M822" s="7">
        <v>6</v>
      </c>
      <c r="N822" s="7" t="s">
        <v>176</v>
      </c>
      <c r="O822" s="87">
        <v>4756</v>
      </c>
      <c r="P822" s="88">
        <v>0.02</v>
      </c>
      <c r="Q822" s="89">
        <f t="shared" si="160"/>
        <v>95</v>
      </c>
      <c r="R822" s="88">
        <v>5.0000000000000001E-3</v>
      </c>
      <c r="S822" s="89">
        <f t="shared" si="161"/>
        <v>24</v>
      </c>
      <c r="T822" s="88">
        <f t="shared" si="162"/>
        <v>2.5021026072329689E-2</v>
      </c>
      <c r="U822" s="89">
        <f t="shared" si="163"/>
        <v>119</v>
      </c>
      <c r="V822" s="89">
        <f t="shared" si="164"/>
        <v>4875</v>
      </c>
      <c r="W822" s="90">
        <v>4875</v>
      </c>
      <c r="X822" s="91">
        <f t="shared" si="165"/>
        <v>119</v>
      </c>
      <c r="Y822" s="92">
        <f t="shared" si="166"/>
        <v>2.5000000000000001E-2</v>
      </c>
      <c r="Z822" s="93" t="str">
        <f t="shared" si="172"/>
        <v>0.00%-8.40%</v>
      </c>
      <c r="AA822" s="94"/>
      <c r="AB822" s="94"/>
      <c r="AC822" s="94"/>
      <c r="AD822" s="95"/>
      <c r="AE822" s="87">
        <f t="shared" si="167"/>
        <v>0</v>
      </c>
      <c r="AF822" s="96">
        <f t="shared" si="168"/>
        <v>4875</v>
      </c>
      <c r="AG822" s="18">
        <f t="shared" si="169"/>
        <v>119</v>
      </c>
      <c r="AH822" s="97">
        <f t="shared" si="170"/>
        <v>2.5021026072329589E-2</v>
      </c>
      <c r="AI822" s="20">
        <v>13.6</v>
      </c>
      <c r="AJ822" s="20">
        <v>450</v>
      </c>
      <c r="AK822" s="20"/>
      <c r="AL822" s="20">
        <v>688</v>
      </c>
      <c r="AM822" s="20">
        <f t="shared" si="171"/>
        <v>72388</v>
      </c>
      <c r="AN822" s="7" t="s">
        <v>176</v>
      </c>
      <c r="AO822" s="20"/>
      <c r="AP822" s="21" t="s">
        <v>1056</v>
      </c>
      <c r="AQ822" s="21"/>
      <c r="AR822" s="5" t="s">
        <v>94</v>
      </c>
      <c r="AS822" s="5" t="s">
        <v>69</v>
      </c>
      <c r="AT822" s="5" t="s">
        <v>59</v>
      </c>
    </row>
    <row r="823" spans="1:46">
      <c r="A823" s="86" t="s">
        <v>318</v>
      </c>
      <c r="B823" s="5">
        <v>15013844</v>
      </c>
      <c r="C823" s="5" t="s">
        <v>1211</v>
      </c>
      <c r="D823" s="5" t="s">
        <v>321</v>
      </c>
      <c r="E823" s="5" t="s">
        <v>52</v>
      </c>
      <c r="F823" s="5" t="s">
        <v>62</v>
      </c>
      <c r="G823" s="5" t="s">
        <v>91</v>
      </c>
      <c r="H823" s="5" t="s">
        <v>1157</v>
      </c>
      <c r="I823" s="6">
        <v>42095</v>
      </c>
      <c r="J823" s="5" t="s">
        <v>336</v>
      </c>
      <c r="K823" s="5" t="s">
        <v>336</v>
      </c>
      <c r="L823" s="5" t="s">
        <v>324</v>
      </c>
      <c r="M823" s="7">
        <v>6</v>
      </c>
      <c r="N823" s="7" t="s">
        <v>176</v>
      </c>
      <c r="O823" s="87">
        <v>4710</v>
      </c>
      <c r="P823" s="88">
        <v>0.02</v>
      </c>
      <c r="Q823" s="89">
        <f t="shared" si="160"/>
        <v>94</v>
      </c>
      <c r="R823" s="88">
        <v>5.0000000000000001E-3</v>
      </c>
      <c r="S823" s="89">
        <f t="shared" si="161"/>
        <v>24</v>
      </c>
      <c r="T823" s="88">
        <f t="shared" si="162"/>
        <v>2.5053078556263271E-2</v>
      </c>
      <c r="U823" s="89">
        <f t="shared" si="163"/>
        <v>118</v>
      </c>
      <c r="V823" s="89">
        <f t="shared" si="164"/>
        <v>4828</v>
      </c>
      <c r="W823" s="90">
        <v>4828</v>
      </c>
      <c r="X823" s="91">
        <f t="shared" si="165"/>
        <v>118</v>
      </c>
      <c r="Y823" s="92">
        <f t="shared" si="166"/>
        <v>2.5100000000000001E-2</v>
      </c>
      <c r="Z823" s="93" t="str">
        <f t="shared" si="172"/>
        <v>0.00%-8.40%</v>
      </c>
      <c r="AA823" s="94"/>
      <c r="AB823" s="94"/>
      <c r="AC823" s="94"/>
      <c r="AD823" s="95"/>
      <c r="AE823" s="87">
        <f t="shared" si="167"/>
        <v>0</v>
      </c>
      <c r="AF823" s="96">
        <f t="shared" si="168"/>
        <v>4828</v>
      </c>
      <c r="AG823" s="18">
        <f t="shared" si="169"/>
        <v>118</v>
      </c>
      <c r="AH823" s="97">
        <f t="shared" si="170"/>
        <v>2.5053078556263264E-2</v>
      </c>
      <c r="AI823" s="20">
        <v>13.6</v>
      </c>
      <c r="AJ823" s="20">
        <v>650</v>
      </c>
      <c r="AK823" s="20"/>
      <c r="AL823" s="20">
        <v>688</v>
      </c>
      <c r="AM823" s="20">
        <f t="shared" si="171"/>
        <v>74148.800000000003</v>
      </c>
      <c r="AN823" s="7" t="s">
        <v>176</v>
      </c>
      <c r="AO823" s="20"/>
      <c r="AP823" s="21" t="s">
        <v>1056</v>
      </c>
      <c r="AQ823" s="21"/>
      <c r="AR823" s="5" t="s">
        <v>94</v>
      </c>
      <c r="AS823" s="5" t="s">
        <v>69</v>
      </c>
      <c r="AT823" s="5" t="s">
        <v>59</v>
      </c>
    </row>
    <row r="824" spans="1:46">
      <c r="A824" s="86" t="s">
        <v>318</v>
      </c>
      <c r="B824" s="5">
        <v>15011575</v>
      </c>
      <c r="C824" s="5" t="s">
        <v>1212</v>
      </c>
      <c r="D824" s="5" t="s">
        <v>321</v>
      </c>
      <c r="E824" s="5" t="s">
        <v>52</v>
      </c>
      <c r="F824" s="5" t="s">
        <v>62</v>
      </c>
      <c r="G824" s="5" t="s">
        <v>91</v>
      </c>
      <c r="H824" s="5" t="s">
        <v>1157</v>
      </c>
      <c r="I824" s="6">
        <v>41609</v>
      </c>
      <c r="J824" s="5" t="s">
        <v>336</v>
      </c>
      <c r="K824" s="5" t="s">
        <v>336</v>
      </c>
      <c r="L824" s="5" t="s">
        <v>324</v>
      </c>
      <c r="M824" s="7">
        <v>6</v>
      </c>
      <c r="N824" s="7" t="s">
        <v>176</v>
      </c>
      <c r="O824" s="87">
        <v>5400</v>
      </c>
      <c r="P824" s="88">
        <v>0.02</v>
      </c>
      <c r="Q824" s="89">
        <f t="shared" si="160"/>
        <v>108</v>
      </c>
      <c r="R824" s="88">
        <v>5.0000000000000001E-3</v>
      </c>
      <c r="S824" s="89">
        <f t="shared" si="161"/>
        <v>27</v>
      </c>
      <c r="T824" s="88">
        <f t="shared" si="162"/>
        <v>2.5000000000000001E-2</v>
      </c>
      <c r="U824" s="89">
        <f t="shared" si="163"/>
        <v>135</v>
      </c>
      <c r="V824" s="89">
        <f t="shared" si="164"/>
        <v>5535</v>
      </c>
      <c r="W824" s="90">
        <v>5650</v>
      </c>
      <c r="X824" s="91">
        <f t="shared" si="165"/>
        <v>250</v>
      </c>
      <c r="Y824" s="92">
        <f t="shared" si="166"/>
        <v>4.6300000000000001E-2</v>
      </c>
      <c r="Z824" s="93" t="str">
        <f t="shared" si="172"/>
        <v>0.00%-8.40%</v>
      </c>
      <c r="AA824" s="94"/>
      <c r="AB824" s="94"/>
      <c r="AC824" s="94"/>
      <c r="AD824" s="95"/>
      <c r="AE824" s="87">
        <f t="shared" si="167"/>
        <v>0</v>
      </c>
      <c r="AF824" s="96">
        <f t="shared" si="168"/>
        <v>5650</v>
      </c>
      <c r="AG824" s="18">
        <f t="shared" si="169"/>
        <v>250</v>
      </c>
      <c r="AH824" s="97">
        <f t="shared" si="170"/>
        <v>4.629629629629628E-2</v>
      </c>
      <c r="AI824" s="20">
        <v>13.6</v>
      </c>
      <c r="AJ824" s="20">
        <v>500</v>
      </c>
      <c r="AK824" s="20"/>
      <c r="AL824" s="20">
        <v>688</v>
      </c>
      <c r="AM824" s="20">
        <f t="shared" si="171"/>
        <v>83528</v>
      </c>
      <c r="AN824" s="7" t="s">
        <v>176</v>
      </c>
      <c r="AO824" s="20"/>
      <c r="AP824" s="21" t="s">
        <v>1048</v>
      </c>
      <c r="AQ824" s="21"/>
      <c r="AR824" s="5" t="s">
        <v>94</v>
      </c>
      <c r="AS824" s="5" t="s">
        <v>69</v>
      </c>
      <c r="AT824" s="5" t="s">
        <v>59</v>
      </c>
    </row>
    <row r="825" spans="1:46">
      <c r="A825" s="86" t="s">
        <v>318</v>
      </c>
      <c r="B825" s="5">
        <v>15005253</v>
      </c>
      <c r="C825" s="5" t="s">
        <v>1213</v>
      </c>
      <c r="D825" s="5" t="s">
        <v>321</v>
      </c>
      <c r="E825" s="5" t="s">
        <v>52</v>
      </c>
      <c r="F825" s="5" t="s">
        <v>62</v>
      </c>
      <c r="G825" s="5" t="s">
        <v>91</v>
      </c>
      <c r="H825" s="5" t="s">
        <v>1157</v>
      </c>
      <c r="I825" s="6">
        <v>40787</v>
      </c>
      <c r="J825" s="5" t="s">
        <v>336</v>
      </c>
      <c r="K825" s="5" t="s">
        <v>336</v>
      </c>
      <c r="L825" s="5" t="s">
        <v>324</v>
      </c>
      <c r="M825" s="7">
        <v>6</v>
      </c>
      <c r="N825" s="7" t="s">
        <v>176</v>
      </c>
      <c r="O825" s="87">
        <v>4996</v>
      </c>
      <c r="P825" s="88">
        <v>0.02</v>
      </c>
      <c r="Q825" s="89">
        <f t="shared" si="160"/>
        <v>100</v>
      </c>
      <c r="R825" s="88">
        <v>5.0000000000000001E-3</v>
      </c>
      <c r="S825" s="89">
        <f t="shared" si="161"/>
        <v>25</v>
      </c>
      <c r="T825" s="88">
        <f t="shared" si="162"/>
        <v>2.5020016012810248E-2</v>
      </c>
      <c r="U825" s="89">
        <f t="shared" si="163"/>
        <v>125</v>
      </c>
      <c r="V825" s="89">
        <f t="shared" si="164"/>
        <v>5121</v>
      </c>
      <c r="W825" s="90">
        <v>5121</v>
      </c>
      <c r="X825" s="91">
        <f t="shared" si="165"/>
        <v>125</v>
      </c>
      <c r="Y825" s="92">
        <f t="shared" si="166"/>
        <v>2.5000000000000001E-2</v>
      </c>
      <c r="Z825" s="93" t="str">
        <f t="shared" si="172"/>
        <v>0.00%-8.40%</v>
      </c>
      <c r="AA825" s="94"/>
      <c r="AB825" s="94"/>
      <c r="AC825" s="94"/>
      <c r="AD825" s="95"/>
      <c r="AE825" s="87">
        <f t="shared" si="167"/>
        <v>0</v>
      </c>
      <c r="AF825" s="96">
        <f t="shared" si="168"/>
        <v>5121</v>
      </c>
      <c r="AG825" s="18">
        <f t="shared" si="169"/>
        <v>125</v>
      </c>
      <c r="AH825" s="97">
        <f t="shared" si="170"/>
        <v>2.5020016012810231E-2</v>
      </c>
      <c r="AI825" s="20">
        <v>13.6</v>
      </c>
      <c r="AJ825" s="20">
        <v>450</v>
      </c>
      <c r="AK825" s="20"/>
      <c r="AL825" s="20">
        <v>688</v>
      </c>
      <c r="AM825" s="20">
        <f t="shared" si="171"/>
        <v>75733.599999999991</v>
      </c>
      <c r="AN825" s="7" t="s">
        <v>176</v>
      </c>
      <c r="AO825" s="20"/>
      <c r="AP825" s="21" t="s">
        <v>1056</v>
      </c>
      <c r="AQ825" s="21"/>
      <c r="AR825" s="5" t="s">
        <v>94</v>
      </c>
      <c r="AS825" s="5" t="s">
        <v>69</v>
      </c>
      <c r="AT825" s="5" t="s">
        <v>59</v>
      </c>
    </row>
    <row r="826" spans="1:46">
      <c r="A826" s="86" t="s">
        <v>318</v>
      </c>
      <c r="B826" s="5">
        <v>15006249</v>
      </c>
      <c r="C826" s="5" t="s">
        <v>647</v>
      </c>
      <c r="D826" s="5" t="s">
        <v>321</v>
      </c>
      <c r="E826" s="5" t="s">
        <v>52</v>
      </c>
      <c r="F826" s="5" t="s">
        <v>62</v>
      </c>
      <c r="G826" s="5" t="s">
        <v>91</v>
      </c>
      <c r="H826" s="5" t="s">
        <v>1157</v>
      </c>
      <c r="I826" s="6">
        <v>40817</v>
      </c>
      <c r="J826" s="5" t="s">
        <v>336</v>
      </c>
      <c r="K826" s="5" t="s">
        <v>336</v>
      </c>
      <c r="L826" s="5" t="s">
        <v>324</v>
      </c>
      <c r="M826" s="7">
        <v>6</v>
      </c>
      <c r="N826" s="7" t="s">
        <v>176</v>
      </c>
      <c r="O826" s="87">
        <v>6210</v>
      </c>
      <c r="P826" s="88">
        <v>0.02</v>
      </c>
      <c r="Q826" s="89">
        <f t="shared" si="160"/>
        <v>124</v>
      </c>
      <c r="R826" s="88">
        <v>5.0000000000000001E-3</v>
      </c>
      <c r="S826" s="89">
        <f t="shared" si="161"/>
        <v>31</v>
      </c>
      <c r="T826" s="88">
        <f t="shared" si="162"/>
        <v>2.4959742351046699E-2</v>
      </c>
      <c r="U826" s="89">
        <f t="shared" si="163"/>
        <v>155</v>
      </c>
      <c r="V826" s="89">
        <f t="shared" si="164"/>
        <v>6365</v>
      </c>
      <c r="W826" s="90">
        <v>6210</v>
      </c>
      <c r="X826" s="91">
        <f t="shared" si="165"/>
        <v>0</v>
      </c>
      <c r="Y826" s="92">
        <f t="shared" si="166"/>
        <v>0</v>
      </c>
      <c r="Z826" s="93" t="str">
        <f t="shared" si="172"/>
        <v>0.00%-8.40%</v>
      </c>
      <c r="AA826" s="94"/>
      <c r="AB826" s="94"/>
      <c r="AC826" s="94"/>
      <c r="AD826" s="95"/>
      <c r="AE826" s="87">
        <f t="shared" si="167"/>
        <v>0</v>
      </c>
      <c r="AF826" s="96">
        <f t="shared" si="168"/>
        <v>6210</v>
      </c>
      <c r="AG826" s="18">
        <f t="shared" si="169"/>
        <v>0</v>
      </c>
      <c r="AH826" s="97">
        <f t="shared" si="170"/>
        <v>0</v>
      </c>
      <c r="AI826" s="20">
        <v>13.6</v>
      </c>
      <c r="AJ826" s="20">
        <v>700</v>
      </c>
      <c r="AK826" s="20"/>
      <c r="AL826" s="20">
        <v>688</v>
      </c>
      <c r="AM826" s="20">
        <f t="shared" si="171"/>
        <v>93544</v>
      </c>
      <c r="AN826" s="7" t="s">
        <v>176</v>
      </c>
      <c r="AO826" s="20"/>
      <c r="AP826" s="21" t="s">
        <v>1097</v>
      </c>
      <c r="AQ826" s="21" t="s">
        <v>107</v>
      </c>
      <c r="AR826" s="5" t="s">
        <v>94</v>
      </c>
      <c r="AS826" s="5" t="s">
        <v>69</v>
      </c>
      <c r="AT826" s="5" t="s">
        <v>59</v>
      </c>
    </row>
    <row r="827" spans="1:46">
      <c r="A827" s="86" t="s">
        <v>318</v>
      </c>
      <c r="B827" s="5">
        <v>15002604</v>
      </c>
      <c r="C827" s="5" t="s">
        <v>1214</v>
      </c>
      <c r="D827" s="5" t="s">
        <v>321</v>
      </c>
      <c r="E827" s="5" t="s">
        <v>52</v>
      </c>
      <c r="F827" s="5" t="s">
        <v>62</v>
      </c>
      <c r="G827" s="5" t="s">
        <v>91</v>
      </c>
      <c r="H827" s="5" t="s">
        <v>1155</v>
      </c>
      <c r="I827" s="6">
        <v>40087</v>
      </c>
      <c r="J827" s="5" t="s">
        <v>336</v>
      </c>
      <c r="K827" s="5" t="s">
        <v>336</v>
      </c>
      <c r="L827" s="5" t="s">
        <v>324</v>
      </c>
      <c r="M827" s="7">
        <v>6</v>
      </c>
      <c r="N827" s="7" t="s">
        <v>176</v>
      </c>
      <c r="O827" s="87">
        <v>4530</v>
      </c>
      <c r="P827" s="88">
        <v>0.02</v>
      </c>
      <c r="Q827" s="89">
        <f t="shared" si="160"/>
        <v>91</v>
      </c>
      <c r="R827" s="88">
        <v>5.0000000000000001E-3</v>
      </c>
      <c r="S827" s="89">
        <f t="shared" si="161"/>
        <v>23</v>
      </c>
      <c r="T827" s="88">
        <f t="shared" si="162"/>
        <v>2.5165562913907286E-2</v>
      </c>
      <c r="U827" s="89">
        <f t="shared" si="163"/>
        <v>114</v>
      </c>
      <c r="V827" s="89">
        <f t="shared" si="164"/>
        <v>4644</v>
      </c>
      <c r="W827" s="90">
        <v>4800</v>
      </c>
      <c r="X827" s="91">
        <f t="shared" si="165"/>
        <v>270</v>
      </c>
      <c r="Y827" s="92">
        <f t="shared" si="166"/>
        <v>5.96E-2</v>
      </c>
      <c r="Z827" s="93" t="str">
        <f t="shared" si="172"/>
        <v>0.00%-8.40%</v>
      </c>
      <c r="AA827" s="94"/>
      <c r="AB827" s="94"/>
      <c r="AC827" s="94"/>
      <c r="AD827" s="95"/>
      <c r="AE827" s="87">
        <f t="shared" si="167"/>
        <v>0</v>
      </c>
      <c r="AF827" s="96">
        <f t="shared" si="168"/>
        <v>4800</v>
      </c>
      <c r="AG827" s="18">
        <f t="shared" si="169"/>
        <v>270</v>
      </c>
      <c r="AH827" s="97">
        <f t="shared" si="170"/>
        <v>5.9602649006622599E-2</v>
      </c>
      <c r="AI827" s="20">
        <v>13.6</v>
      </c>
      <c r="AJ827" s="20">
        <v>800</v>
      </c>
      <c r="AK827" s="20"/>
      <c r="AL827" s="20">
        <v>688</v>
      </c>
      <c r="AM827" s="20">
        <f t="shared" si="171"/>
        <v>75568</v>
      </c>
      <c r="AN827" s="7" t="s">
        <v>176</v>
      </c>
      <c r="AO827" s="20"/>
      <c r="AP827" s="21" t="s">
        <v>1048</v>
      </c>
      <c r="AQ827" s="21"/>
      <c r="AR827" s="5" t="s">
        <v>94</v>
      </c>
      <c r="AS827" s="5" t="s">
        <v>69</v>
      </c>
      <c r="AT827" s="5" t="s">
        <v>59</v>
      </c>
    </row>
    <row r="828" spans="1:46">
      <c r="A828" s="86" t="s">
        <v>318</v>
      </c>
      <c r="B828" s="5">
        <v>15002698</v>
      </c>
      <c r="C828" s="5" t="s">
        <v>1215</v>
      </c>
      <c r="D828" s="5" t="s">
        <v>321</v>
      </c>
      <c r="E828" s="5" t="s">
        <v>52</v>
      </c>
      <c r="F828" s="5" t="s">
        <v>62</v>
      </c>
      <c r="G828" s="5" t="s">
        <v>91</v>
      </c>
      <c r="H828" s="5" t="s">
        <v>1155</v>
      </c>
      <c r="I828" s="6">
        <v>40148</v>
      </c>
      <c r="J828" s="5" t="s">
        <v>336</v>
      </c>
      <c r="K828" s="5" t="s">
        <v>336</v>
      </c>
      <c r="L828" s="5" t="s">
        <v>324</v>
      </c>
      <c r="M828" s="7">
        <v>6</v>
      </c>
      <c r="N828" s="7" t="s">
        <v>176</v>
      </c>
      <c r="O828" s="87">
        <v>6150</v>
      </c>
      <c r="P828" s="88">
        <v>0.02</v>
      </c>
      <c r="Q828" s="89">
        <f t="shared" si="160"/>
        <v>123</v>
      </c>
      <c r="R828" s="88">
        <v>5.0000000000000001E-3</v>
      </c>
      <c r="S828" s="89">
        <f t="shared" si="161"/>
        <v>31</v>
      </c>
      <c r="T828" s="88">
        <f t="shared" si="162"/>
        <v>2.5040650406504064E-2</v>
      </c>
      <c r="U828" s="89">
        <f t="shared" si="163"/>
        <v>154</v>
      </c>
      <c r="V828" s="89">
        <f t="shared" si="164"/>
        <v>6304</v>
      </c>
      <c r="W828" s="90">
        <v>6150</v>
      </c>
      <c r="X828" s="91">
        <f t="shared" si="165"/>
        <v>0</v>
      </c>
      <c r="Y828" s="92">
        <f t="shared" si="166"/>
        <v>0</v>
      </c>
      <c r="Z828" s="93" t="str">
        <f t="shared" si="172"/>
        <v>0.00%-8.40%</v>
      </c>
      <c r="AA828" s="94"/>
      <c r="AB828" s="94"/>
      <c r="AC828" s="94"/>
      <c r="AD828" s="95"/>
      <c r="AE828" s="87">
        <f t="shared" si="167"/>
        <v>0</v>
      </c>
      <c r="AF828" s="96">
        <f t="shared" si="168"/>
        <v>6150</v>
      </c>
      <c r="AG828" s="18">
        <f t="shared" si="169"/>
        <v>0</v>
      </c>
      <c r="AH828" s="97">
        <f t="shared" si="170"/>
        <v>0</v>
      </c>
      <c r="AI828" s="20">
        <v>13.6</v>
      </c>
      <c r="AJ828" s="20">
        <v>800</v>
      </c>
      <c r="AK828" s="20"/>
      <c r="AL828" s="20">
        <v>688</v>
      </c>
      <c r="AM828" s="20">
        <f t="shared" si="171"/>
        <v>93928</v>
      </c>
      <c r="AN828" s="7" t="s">
        <v>176</v>
      </c>
      <c r="AO828" s="20" t="s">
        <v>490</v>
      </c>
      <c r="AP828" s="21" t="s">
        <v>1216</v>
      </c>
      <c r="AQ828" s="21" t="s">
        <v>281</v>
      </c>
      <c r="AR828" s="5" t="s">
        <v>94</v>
      </c>
      <c r="AS828" s="5" t="s">
        <v>69</v>
      </c>
      <c r="AT828" s="5" t="s">
        <v>59</v>
      </c>
    </row>
    <row r="829" spans="1:46">
      <c r="A829" s="86" t="s">
        <v>318</v>
      </c>
      <c r="B829" s="5">
        <v>15005020</v>
      </c>
      <c r="C829" s="5" t="s">
        <v>1217</v>
      </c>
      <c r="D829" s="5" t="s">
        <v>321</v>
      </c>
      <c r="E829" s="5" t="s">
        <v>52</v>
      </c>
      <c r="F829" s="5" t="s">
        <v>62</v>
      </c>
      <c r="G829" s="5" t="s">
        <v>91</v>
      </c>
      <c r="H829" s="5" t="s">
        <v>1157</v>
      </c>
      <c r="I829" s="6">
        <v>40664</v>
      </c>
      <c r="J829" s="5" t="s">
        <v>336</v>
      </c>
      <c r="K829" s="5" t="s">
        <v>336</v>
      </c>
      <c r="L829" s="5" t="s">
        <v>324</v>
      </c>
      <c r="M829" s="7">
        <v>6</v>
      </c>
      <c r="N829" s="7" t="s">
        <v>176</v>
      </c>
      <c r="O829" s="87">
        <v>4630</v>
      </c>
      <c r="P829" s="88">
        <v>0.02</v>
      </c>
      <c r="Q829" s="89">
        <f t="shared" si="160"/>
        <v>93</v>
      </c>
      <c r="R829" s="88">
        <v>5.0000000000000001E-3</v>
      </c>
      <c r="S829" s="89">
        <f t="shared" si="161"/>
        <v>23</v>
      </c>
      <c r="T829" s="88">
        <f t="shared" si="162"/>
        <v>2.5053995680345574E-2</v>
      </c>
      <c r="U829" s="89">
        <f t="shared" si="163"/>
        <v>116</v>
      </c>
      <c r="V829" s="89">
        <f t="shared" si="164"/>
        <v>4746</v>
      </c>
      <c r="W829" s="90">
        <v>4700</v>
      </c>
      <c r="X829" s="91">
        <f t="shared" si="165"/>
        <v>70</v>
      </c>
      <c r="Y829" s="92">
        <f t="shared" si="166"/>
        <v>1.5100000000000001E-2</v>
      </c>
      <c r="Z829" s="93" t="str">
        <f t="shared" si="172"/>
        <v>0.00%-8.40%</v>
      </c>
      <c r="AA829" s="94"/>
      <c r="AB829" s="94"/>
      <c r="AC829" s="94"/>
      <c r="AD829" s="95"/>
      <c r="AE829" s="87">
        <f t="shared" si="167"/>
        <v>0</v>
      </c>
      <c r="AF829" s="96">
        <f t="shared" si="168"/>
        <v>4700</v>
      </c>
      <c r="AG829" s="18">
        <f t="shared" si="169"/>
        <v>70</v>
      </c>
      <c r="AH829" s="97">
        <f t="shared" si="170"/>
        <v>1.5118790496760237E-2</v>
      </c>
      <c r="AI829" s="20">
        <v>13.6</v>
      </c>
      <c r="AJ829" s="20">
        <v>650</v>
      </c>
      <c r="AK829" s="20"/>
      <c r="AL829" s="20">
        <v>688</v>
      </c>
      <c r="AM829" s="20">
        <f t="shared" si="171"/>
        <v>72408</v>
      </c>
      <c r="AN829" s="7" t="s">
        <v>176</v>
      </c>
      <c r="AO829" s="20"/>
      <c r="AP829" s="21" t="s">
        <v>1051</v>
      </c>
      <c r="AQ829" s="21"/>
      <c r="AR829" s="5" t="s">
        <v>94</v>
      </c>
      <c r="AS829" s="5" t="s">
        <v>69</v>
      </c>
      <c r="AT829" s="5" t="s">
        <v>59</v>
      </c>
    </row>
    <row r="830" spans="1:46">
      <c r="A830" s="86" t="s">
        <v>318</v>
      </c>
      <c r="B830" s="5">
        <v>15016888</v>
      </c>
      <c r="C830" s="5" t="s">
        <v>1218</v>
      </c>
      <c r="D830" s="5" t="s">
        <v>321</v>
      </c>
      <c r="E830" s="5" t="s">
        <v>52</v>
      </c>
      <c r="F830" s="5" t="s">
        <v>62</v>
      </c>
      <c r="G830" s="5" t="s">
        <v>91</v>
      </c>
      <c r="H830" s="5" t="s">
        <v>1157</v>
      </c>
      <c r="I830" s="6">
        <v>42979</v>
      </c>
      <c r="J830" s="5" t="s">
        <v>336</v>
      </c>
      <c r="K830" s="5" t="s">
        <v>336</v>
      </c>
      <c r="L830" s="5" t="s">
        <v>324</v>
      </c>
      <c r="M830" s="7">
        <v>6</v>
      </c>
      <c r="N830" s="7" t="s">
        <v>176</v>
      </c>
      <c r="O830" s="87">
        <v>4679</v>
      </c>
      <c r="P830" s="88">
        <v>0.02</v>
      </c>
      <c r="Q830" s="89">
        <f t="shared" si="160"/>
        <v>94</v>
      </c>
      <c r="R830" s="88">
        <v>5.0000000000000001E-3</v>
      </c>
      <c r="S830" s="89">
        <f t="shared" si="161"/>
        <v>23</v>
      </c>
      <c r="T830" s="88">
        <f t="shared" si="162"/>
        <v>2.5005343022013252E-2</v>
      </c>
      <c r="U830" s="89">
        <f t="shared" si="163"/>
        <v>117</v>
      </c>
      <c r="V830" s="89">
        <f t="shared" si="164"/>
        <v>4796</v>
      </c>
      <c r="W830" s="90">
        <v>4796</v>
      </c>
      <c r="X830" s="91">
        <f t="shared" si="165"/>
        <v>117</v>
      </c>
      <c r="Y830" s="92">
        <f t="shared" si="166"/>
        <v>2.5000000000000001E-2</v>
      </c>
      <c r="Z830" s="93" t="str">
        <f t="shared" si="172"/>
        <v>0.00%-8.40%</v>
      </c>
      <c r="AA830" s="94"/>
      <c r="AB830" s="94"/>
      <c r="AC830" s="94"/>
      <c r="AD830" s="95"/>
      <c r="AE830" s="87">
        <f t="shared" si="167"/>
        <v>0</v>
      </c>
      <c r="AF830" s="96">
        <f t="shared" si="168"/>
        <v>4796</v>
      </c>
      <c r="AG830" s="18">
        <f t="shared" si="169"/>
        <v>117</v>
      </c>
      <c r="AH830" s="97">
        <f t="shared" si="170"/>
        <v>2.5005343022013182E-2</v>
      </c>
      <c r="AI830" s="20">
        <v>13.6</v>
      </c>
      <c r="AJ830" s="20">
        <v>450</v>
      </c>
      <c r="AK830" s="20"/>
      <c r="AL830" s="20">
        <v>688</v>
      </c>
      <c r="AM830" s="20">
        <f t="shared" si="171"/>
        <v>71313.600000000006</v>
      </c>
      <c r="AN830" s="7" t="s">
        <v>176</v>
      </c>
      <c r="AO830" s="20"/>
      <c r="AP830" s="21" t="s">
        <v>1056</v>
      </c>
      <c r="AQ830" s="21"/>
      <c r="AR830" s="5" t="s">
        <v>94</v>
      </c>
      <c r="AS830" s="5" t="s">
        <v>69</v>
      </c>
      <c r="AT830" s="5" t="s">
        <v>59</v>
      </c>
    </row>
    <row r="831" spans="1:46">
      <c r="A831" s="86" t="s">
        <v>318</v>
      </c>
      <c r="B831" s="5">
        <v>15011928</v>
      </c>
      <c r="C831" s="5" t="s">
        <v>1219</v>
      </c>
      <c r="D831" s="5" t="s">
        <v>321</v>
      </c>
      <c r="E831" s="5" t="s">
        <v>52</v>
      </c>
      <c r="F831" s="5" t="s">
        <v>62</v>
      </c>
      <c r="G831" s="5" t="s">
        <v>91</v>
      </c>
      <c r="H831" s="5" t="s">
        <v>1157</v>
      </c>
      <c r="I831" s="6">
        <v>41640</v>
      </c>
      <c r="J831" s="5" t="s">
        <v>336</v>
      </c>
      <c r="K831" s="5" t="s">
        <v>336</v>
      </c>
      <c r="L831" s="5" t="s">
        <v>324</v>
      </c>
      <c r="M831" s="7">
        <v>6</v>
      </c>
      <c r="N831" s="7" t="s">
        <v>176</v>
      </c>
      <c r="O831" s="87">
        <v>5115</v>
      </c>
      <c r="P831" s="88">
        <v>0.02</v>
      </c>
      <c r="Q831" s="89">
        <f t="shared" si="160"/>
        <v>102</v>
      </c>
      <c r="R831" s="88">
        <v>5.0000000000000001E-3</v>
      </c>
      <c r="S831" s="89">
        <f t="shared" si="161"/>
        <v>26</v>
      </c>
      <c r="T831" s="88">
        <f t="shared" si="162"/>
        <v>2.5024437927663734E-2</v>
      </c>
      <c r="U831" s="89">
        <f t="shared" si="163"/>
        <v>128</v>
      </c>
      <c r="V831" s="89">
        <f t="shared" si="164"/>
        <v>5243</v>
      </c>
      <c r="W831" s="90">
        <v>5380</v>
      </c>
      <c r="X831" s="91">
        <f t="shared" si="165"/>
        <v>265</v>
      </c>
      <c r="Y831" s="92">
        <f t="shared" si="166"/>
        <v>5.1799999999999999E-2</v>
      </c>
      <c r="Z831" s="93" t="str">
        <f t="shared" si="172"/>
        <v>0.00%-8.40%</v>
      </c>
      <c r="AA831" s="94"/>
      <c r="AB831" s="94"/>
      <c r="AC831" s="94"/>
      <c r="AD831" s="95"/>
      <c r="AE831" s="87">
        <f t="shared" si="167"/>
        <v>0</v>
      </c>
      <c r="AF831" s="96">
        <f t="shared" si="168"/>
        <v>5380</v>
      </c>
      <c r="AG831" s="18">
        <f t="shared" si="169"/>
        <v>265</v>
      </c>
      <c r="AH831" s="97">
        <f t="shared" si="170"/>
        <v>5.1808406647116279E-2</v>
      </c>
      <c r="AI831" s="20">
        <v>13.6</v>
      </c>
      <c r="AJ831" s="20">
        <v>500</v>
      </c>
      <c r="AK831" s="20"/>
      <c r="AL831" s="20">
        <v>688</v>
      </c>
      <c r="AM831" s="20">
        <f t="shared" si="171"/>
        <v>79856</v>
      </c>
      <c r="AN831" s="7" t="s">
        <v>176</v>
      </c>
      <c r="AO831" s="20"/>
      <c r="AP831" s="21" t="s">
        <v>1048</v>
      </c>
      <c r="AQ831" s="21"/>
      <c r="AR831" s="5" t="s">
        <v>94</v>
      </c>
      <c r="AS831" s="5" t="s">
        <v>69</v>
      </c>
      <c r="AT831" s="5" t="s">
        <v>59</v>
      </c>
    </row>
    <row r="832" spans="1:46">
      <c r="A832" s="86" t="s">
        <v>318</v>
      </c>
      <c r="B832" s="5">
        <v>15020924</v>
      </c>
      <c r="C832" s="5" t="s">
        <v>1220</v>
      </c>
      <c r="D832" s="5" t="s">
        <v>321</v>
      </c>
      <c r="E832" s="5" t="s">
        <v>52</v>
      </c>
      <c r="F832" s="5" t="s">
        <v>62</v>
      </c>
      <c r="G832" s="5" t="s">
        <v>91</v>
      </c>
      <c r="H832" s="5" t="s">
        <v>1157</v>
      </c>
      <c r="I832" s="6">
        <v>44409</v>
      </c>
      <c r="J832" s="5" t="s">
        <v>336</v>
      </c>
      <c r="K832" s="5" t="s">
        <v>336</v>
      </c>
      <c r="L832" s="5" t="s">
        <v>324</v>
      </c>
      <c r="M832" s="7">
        <v>6</v>
      </c>
      <c r="N832" s="7" t="s">
        <v>176</v>
      </c>
      <c r="O832" s="87">
        <v>4715</v>
      </c>
      <c r="P832" s="88">
        <v>0.02</v>
      </c>
      <c r="Q832" s="89">
        <f t="shared" si="160"/>
        <v>94</v>
      </c>
      <c r="R832" s="88">
        <v>5.0000000000000001E-3</v>
      </c>
      <c r="S832" s="89">
        <f t="shared" si="161"/>
        <v>24</v>
      </c>
      <c r="T832" s="88">
        <f t="shared" si="162"/>
        <v>2.5026511134676563E-2</v>
      </c>
      <c r="U832" s="89">
        <f t="shared" si="163"/>
        <v>118</v>
      </c>
      <c r="V832" s="89">
        <f t="shared" si="164"/>
        <v>4833</v>
      </c>
      <c r="W832" s="90">
        <v>4833</v>
      </c>
      <c r="X832" s="91">
        <f t="shared" si="165"/>
        <v>118</v>
      </c>
      <c r="Y832" s="92">
        <f t="shared" si="166"/>
        <v>2.5000000000000001E-2</v>
      </c>
      <c r="Z832" s="93" t="str">
        <f t="shared" si="172"/>
        <v>0.00%-8.40%</v>
      </c>
      <c r="AA832" s="94"/>
      <c r="AB832" s="94"/>
      <c r="AC832" s="94"/>
      <c r="AD832" s="95"/>
      <c r="AE832" s="87">
        <f t="shared" si="167"/>
        <v>0</v>
      </c>
      <c r="AF832" s="96">
        <f t="shared" si="168"/>
        <v>4833</v>
      </c>
      <c r="AG832" s="18">
        <f t="shared" si="169"/>
        <v>118</v>
      </c>
      <c r="AH832" s="97">
        <f t="shared" si="170"/>
        <v>2.5026511134676577E-2</v>
      </c>
      <c r="AI832" s="20">
        <v>13.6</v>
      </c>
      <c r="AJ832" s="20">
        <v>450</v>
      </c>
      <c r="AK832" s="20"/>
      <c r="AL832" s="20">
        <v>688</v>
      </c>
      <c r="AM832" s="20">
        <f t="shared" si="171"/>
        <v>71816.800000000003</v>
      </c>
      <c r="AN832" s="7" t="s">
        <v>176</v>
      </c>
      <c r="AO832" s="20"/>
      <c r="AP832" s="21" t="s">
        <v>1056</v>
      </c>
      <c r="AQ832" s="21"/>
      <c r="AR832" s="5" t="s">
        <v>94</v>
      </c>
      <c r="AS832" s="5" t="s">
        <v>69</v>
      </c>
      <c r="AT832" s="5" t="s">
        <v>59</v>
      </c>
    </row>
    <row r="833" spans="1:46">
      <c r="A833" s="86" t="s">
        <v>318</v>
      </c>
      <c r="B833" s="5">
        <v>15007099</v>
      </c>
      <c r="C833" s="5" t="s">
        <v>1221</v>
      </c>
      <c r="D833" s="5" t="s">
        <v>321</v>
      </c>
      <c r="E833" s="5" t="s">
        <v>52</v>
      </c>
      <c r="F833" s="5" t="s">
        <v>62</v>
      </c>
      <c r="G833" s="5" t="s">
        <v>91</v>
      </c>
      <c r="H833" s="5" t="s">
        <v>1157</v>
      </c>
      <c r="I833" s="6">
        <v>40848</v>
      </c>
      <c r="J833" s="5" t="s">
        <v>336</v>
      </c>
      <c r="K833" s="5" t="s">
        <v>336</v>
      </c>
      <c r="L833" s="5" t="s">
        <v>324</v>
      </c>
      <c r="M833" s="7">
        <v>6</v>
      </c>
      <c r="N833" s="7" t="s">
        <v>176</v>
      </c>
      <c r="O833" s="87">
        <v>5034</v>
      </c>
      <c r="P833" s="88">
        <v>0.02</v>
      </c>
      <c r="Q833" s="89">
        <f t="shared" si="160"/>
        <v>101</v>
      </c>
      <c r="R833" s="88">
        <v>5.0000000000000001E-3</v>
      </c>
      <c r="S833" s="89">
        <f t="shared" si="161"/>
        <v>25</v>
      </c>
      <c r="T833" s="88">
        <f t="shared" si="162"/>
        <v>2.5029797377830752E-2</v>
      </c>
      <c r="U833" s="89">
        <f t="shared" si="163"/>
        <v>126</v>
      </c>
      <c r="V833" s="89">
        <f t="shared" si="164"/>
        <v>5160</v>
      </c>
      <c r="W833" s="90">
        <v>5180</v>
      </c>
      <c r="X833" s="91">
        <f t="shared" si="165"/>
        <v>146</v>
      </c>
      <c r="Y833" s="92">
        <f t="shared" si="166"/>
        <v>2.9000000000000001E-2</v>
      </c>
      <c r="Z833" s="93" t="str">
        <f t="shared" si="172"/>
        <v>0.00%-8.40%</v>
      </c>
      <c r="AA833" s="94"/>
      <c r="AB833" s="94"/>
      <c r="AC833" s="94"/>
      <c r="AD833" s="95"/>
      <c r="AE833" s="87">
        <f t="shared" si="167"/>
        <v>0</v>
      </c>
      <c r="AF833" s="96">
        <f t="shared" si="168"/>
        <v>5180</v>
      </c>
      <c r="AG833" s="18">
        <f t="shared" si="169"/>
        <v>146</v>
      </c>
      <c r="AH833" s="97">
        <f t="shared" si="170"/>
        <v>2.9002781088597551E-2</v>
      </c>
      <c r="AI833" s="20">
        <v>13.6</v>
      </c>
      <c r="AJ833" s="20">
        <v>450</v>
      </c>
      <c r="AK833" s="20"/>
      <c r="AL833" s="20">
        <v>688</v>
      </c>
      <c r="AM833" s="20">
        <f t="shared" si="171"/>
        <v>76536</v>
      </c>
      <c r="AN833" s="7" t="s">
        <v>176</v>
      </c>
      <c r="AO833" s="20"/>
      <c r="AP833" s="21" t="s">
        <v>1204</v>
      </c>
      <c r="AQ833" s="21"/>
      <c r="AR833" s="5" t="s">
        <v>94</v>
      </c>
      <c r="AS833" s="5" t="s">
        <v>69</v>
      </c>
      <c r="AT833" s="5" t="s">
        <v>59</v>
      </c>
    </row>
    <row r="834" spans="1:46">
      <c r="A834" s="86" t="s">
        <v>318</v>
      </c>
      <c r="B834" s="5">
        <v>15020258</v>
      </c>
      <c r="C834" s="5" t="s">
        <v>1222</v>
      </c>
      <c r="D834" s="5" t="s">
        <v>321</v>
      </c>
      <c r="E834" s="5" t="s">
        <v>52</v>
      </c>
      <c r="F834" s="5" t="s">
        <v>62</v>
      </c>
      <c r="G834" s="5" t="s">
        <v>91</v>
      </c>
      <c r="H834" s="5" t="s">
        <v>1155</v>
      </c>
      <c r="I834" s="6">
        <v>44317</v>
      </c>
      <c r="J834" s="5" t="s">
        <v>336</v>
      </c>
      <c r="K834" s="5" t="s">
        <v>336</v>
      </c>
      <c r="L834" s="5" t="s">
        <v>324</v>
      </c>
      <c r="M834" s="7">
        <v>6</v>
      </c>
      <c r="N834" s="7" t="s">
        <v>176</v>
      </c>
      <c r="O834" s="87">
        <v>4620</v>
      </c>
      <c r="P834" s="88">
        <v>0.02</v>
      </c>
      <c r="Q834" s="89">
        <f t="shared" si="160"/>
        <v>92</v>
      </c>
      <c r="R834" s="88">
        <v>5.0000000000000001E-3</v>
      </c>
      <c r="S834" s="89">
        <f t="shared" si="161"/>
        <v>23</v>
      </c>
      <c r="T834" s="88">
        <f t="shared" si="162"/>
        <v>2.4891774891774892E-2</v>
      </c>
      <c r="U834" s="89">
        <f t="shared" si="163"/>
        <v>115</v>
      </c>
      <c r="V834" s="89">
        <f t="shared" si="164"/>
        <v>4735</v>
      </c>
      <c r="W834" s="90">
        <v>4700</v>
      </c>
      <c r="X834" s="91">
        <f t="shared" si="165"/>
        <v>80</v>
      </c>
      <c r="Y834" s="92">
        <f t="shared" si="166"/>
        <v>1.7299999999999999E-2</v>
      </c>
      <c r="Z834" s="93" t="str">
        <f t="shared" si="172"/>
        <v>0.00%-8.40%</v>
      </c>
      <c r="AA834" s="94"/>
      <c r="AB834" s="94"/>
      <c r="AC834" s="94"/>
      <c r="AD834" s="95"/>
      <c r="AE834" s="87">
        <f t="shared" si="167"/>
        <v>0</v>
      </c>
      <c r="AF834" s="96">
        <f t="shared" si="168"/>
        <v>4700</v>
      </c>
      <c r="AG834" s="18">
        <f t="shared" si="169"/>
        <v>80</v>
      </c>
      <c r="AH834" s="97">
        <f t="shared" si="170"/>
        <v>1.7316017316017396E-2</v>
      </c>
      <c r="AI834" s="20">
        <v>13.6</v>
      </c>
      <c r="AJ834" s="20">
        <v>500</v>
      </c>
      <c r="AK834" s="20"/>
      <c r="AL834" s="20">
        <v>688</v>
      </c>
      <c r="AM834" s="20">
        <f t="shared" si="171"/>
        <v>70608</v>
      </c>
      <c r="AN834" s="7" t="s">
        <v>176</v>
      </c>
      <c r="AO834" s="20"/>
      <c r="AP834" s="21" t="s">
        <v>1051</v>
      </c>
      <c r="AQ834" s="21"/>
      <c r="AR834" s="5" t="s">
        <v>94</v>
      </c>
      <c r="AS834" s="5" t="s">
        <v>69</v>
      </c>
      <c r="AT834" s="5" t="s">
        <v>59</v>
      </c>
    </row>
    <row r="835" spans="1:46">
      <c r="A835" s="86" t="s">
        <v>318</v>
      </c>
      <c r="B835" s="5">
        <v>15020895</v>
      </c>
      <c r="C835" s="5" t="s">
        <v>1223</v>
      </c>
      <c r="D835" s="5" t="s">
        <v>321</v>
      </c>
      <c r="E835" s="5" t="s">
        <v>52</v>
      </c>
      <c r="F835" s="5" t="s">
        <v>62</v>
      </c>
      <c r="G835" s="5" t="s">
        <v>91</v>
      </c>
      <c r="H835" s="5" t="s">
        <v>1157</v>
      </c>
      <c r="I835" s="6">
        <v>44409</v>
      </c>
      <c r="J835" s="5" t="s">
        <v>336</v>
      </c>
      <c r="K835" s="5" t="s">
        <v>336</v>
      </c>
      <c r="L835" s="5" t="s">
        <v>324</v>
      </c>
      <c r="M835" s="7">
        <v>6</v>
      </c>
      <c r="N835" s="7" t="s">
        <v>176</v>
      </c>
      <c r="O835" s="87">
        <v>4652</v>
      </c>
      <c r="P835" s="88">
        <v>0.02</v>
      </c>
      <c r="Q835" s="89">
        <f t="shared" si="160"/>
        <v>93</v>
      </c>
      <c r="R835" s="88">
        <v>5.0000000000000001E-3</v>
      </c>
      <c r="S835" s="89">
        <f t="shared" si="161"/>
        <v>23</v>
      </c>
      <c r="T835" s="88">
        <f t="shared" si="162"/>
        <v>2.4935511607910577E-2</v>
      </c>
      <c r="U835" s="89">
        <f t="shared" si="163"/>
        <v>116</v>
      </c>
      <c r="V835" s="89">
        <f t="shared" si="164"/>
        <v>4768</v>
      </c>
      <c r="W835" s="90">
        <v>4768</v>
      </c>
      <c r="X835" s="91">
        <f t="shared" si="165"/>
        <v>116</v>
      </c>
      <c r="Y835" s="92">
        <f t="shared" si="166"/>
        <v>2.4899999999999999E-2</v>
      </c>
      <c r="Z835" s="93" t="str">
        <f t="shared" si="172"/>
        <v>0.00%-8.40%</v>
      </c>
      <c r="AA835" s="94"/>
      <c r="AB835" s="94"/>
      <c r="AC835" s="94"/>
      <c r="AD835" s="95"/>
      <c r="AE835" s="87">
        <f t="shared" si="167"/>
        <v>0</v>
      </c>
      <c r="AF835" s="96">
        <f t="shared" si="168"/>
        <v>4768</v>
      </c>
      <c r="AG835" s="18">
        <f t="shared" si="169"/>
        <v>116</v>
      </c>
      <c r="AH835" s="97">
        <f t="shared" si="170"/>
        <v>2.4935511607910632E-2</v>
      </c>
      <c r="AI835" s="20">
        <v>13.6</v>
      </c>
      <c r="AJ835" s="20">
        <v>500</v>
      </c>
      <c r="AK835" s="20"/>
      <c r="AL835" s="20">
        <v>688</v>
      </c>
      <c r="AM835" s="20">
        <f t="shared" si="171"/>
        <v>71532.799999999988</v>
      </c>
      <c r="AN835" s="7" t="s">
        <v>176</v>
      </c>
      <c r="AO835" s="20"/>
      <c r="AP835" s="21" t="s">
        <v>1056</v>
      </c>
      <c r="AQ835" s="21"/>
      <c r="AR835" s="5" t="s">
        <v>94</v>
      </c>
      <c r="AS835" s="5" t="s">
        <v>69</v>
      </c>
      <c r="AT835" s="5" t="s">
        <v>59</v>
      </c>
    </row>
    <row r="836" spans="1:46">
      <c r="A836" s="86" t="s">
        <v>318</v>
      </c>
      <c r="B836" s="5">
        <v>15000577</v>
      </c>
      <c r="C836" s="5" t="s">
        <v>1224</v>
      </c>
      <c r="D836" s="5" t="s">
        <v>321</v>
      </c>
      <c r="E836" s="5" t="s">
        <v>52</v>
      </c>
      <c r="F836" s="5" t="s">
        <v>62</v>
      </c>
      <c r="G836" s="5" t="s">
        <v>91</v>
      </c>
      <c r="H836" s="5" t="s">
        <v>1155</v>
      </c>
      <c r="I836" s="6">
        <v>38899</v>
      </c>
      <c r="J836" s="5" t="s">
        <v>336</v>
      </c>
      <c r="K836" s="5" t="s">
        <v>336</v>
      </c>
      <c r="L836" s="5" t="s">
        <v>324</v>
      </c>
      <c r="M836" s="7">
        <v>6</v>
      </c>
      <c r="N836" s="7" t="s">
        <v>176</v>
      </c>
      <c r="O836" s="87">
        <v>6472</v>
      </c>
      <c r="P836" s="88">
        <v>0.02</v>
      </c>
      <c r="Q836" s="89">
        <f t="shared" si="160"/>
        <v>129</v>
      </c>
      <c r="R836" s="88">
        <v>5.0000000000000001E-3</v>
      </c>
      <c r="S836" s="89">
        <f t="shared" si="161"/>
        <v>32</v>
      </c>
      <c r="T836" s="88">
        <f t="shared" si="162"/>
        <v>2.4876390605686031E-2</v>
      </c>
      <c r="U836" s="89">
        <f t="shared" si="163"/>
        <v>161</v>
      </c>
      <c r="V836" s="89">
        <f t="shared" si="164"/>
        <v>6633</v>
      </c>
      <c r="W836" s="90">
        <v>6540</v>
      </c>
      <c r="X836" s="91">
        <f t="shared" si="165"/>
        <v>68</v>
      </c>
      <c r="Y836" s="92">
        <f t="shared" si="166"/>
        <v>1.0500000000000001E-2</v>
      </c>
      <c r="Z836" s="93" t="str">
        <f t="shared" si="172"/>
        <v>0.00%-8.40%</v>
      </c>
      <c r="AA836" s="94"/>
      <c r="AB836" s="94"/>
      <c r="AC836" s="94"/>
      <c r="AD836" s="95"/>
      <c r="AE836" s="87">
        <f t="shared" si="167"/>
        <v>0</v>
      </c>
      <c r="AF836" s="96">
        <f t="shared" si="168"/>
        <v>6540</v>
      </c>
      <c r="AG836" s="18">
        <f t="shared" si="169"/>
        <v>68</v>
      </c>
      <c r="AH836" s="97">
        <f t="shared" si="170"/>
        <v>1.0506798516687343E-2</v>
      </c>
      <c r="AI836" s="20">
        <v>13.6</v>
      </c>
      <c r="AJ836" s="20">
        <v>800</v>
      </c>
      <c r="AK836" s="20"/>
      <c r="AL836" s="20">
        <v>688</v>
      </c>
      <c r="AM836" s="20">
        <f t="shared" si="171"/>
        <v>99232</v>
      </c>
      <c r="AN836" s="7" t="s">
        <v>176</v>
      </c>
      <c r="AO836" s="20"/>
      <c r="AP836" s="21" t="s">
        <v>1051</v>
      </c>
      <c r="AQ836" s="21"/>
      <c r="AR836" s="5" t="s">
        <v>94</v>
      </c>
      <c r="AS836" s="5" t="s">
        <v>69</v>
      </c>
      <c r="AT836" s="5" t="s">
        <v>59</v>
      </c>
    </row>
    <row r="837" spans="1:46">
      <c r="A837" s="86" t="s">
        <v>318</v>
      </c>
      <c r="B837" s="5">
        <v>15004792</v>
      </c>
      <c r="C837" s="5" t="s">
        <v>1225</v>
      </c>
      <c r="D837" s="5" t="s">
        <v>321</v>
      </c>
      <c r="E837" s="5" t="s">
        <v>52</v>
      </c>
      <c r="F837" s="5" t="s">
        <v>62</v>
      </c>
      <c r="G837" s="5" t="s">
        <v>91</v>
      </c>
      <c r="H837" s="5" t="s">
        <v>1182</v>
      </c>
      <c r="I837" s="6">
        <v>40483</v>
      </c>
      <c r="J837" s="5" t="s">
        <v>336</v>
      </c>
      <c r="K837" s="5" t="s">
        <v>336</v>
      </c>
      <c r="L837" s="5" t="s">
        <v>324</v>
      </c>
      <c r="M837" s="7">
        <v>6</v>
      </c>
      <c r="N837" s="7" t="s">
        <v>176</v>
      </c>
      <c r="O837" s="87">
        <v>5675</v>
      </c>
      <c r="P837" s="88">
        <v>0.02</v>
      </c>
      <c r="Q837" s="89">
        <f t="shared" si="160"/>
        <v>114</v>
      </c>
      <c r="R837" s="88">
        <v>5.0000000000000001E-3</v>
      </c>
      <c r="S837" s="89">
        <f t="shared" si="161"/>
        <v>28</v>
      </c>
      <c r="T837" s="88">
        <f t="shared" si="162"/>
        <v>2.5022026431718063E-2</v>
      </c>
      <c r="U837" s="89">
        <f t="shared" si="163"/>
        <v>142</v>
      </c>
      <c r="V837" s="89">
        <f t="shared" si="164"/>
        <v>5817</v>
      </c>
      <c r="W837" s="90">
        <v>5850</v>
      </c>
      <c r="X837" s="91">
        <f t="shared" si="165"/>
        <v>175</v>
      </c>
      <c r="Y837" s="92">
        <f t="shared" si="166"/>
        <v>3.0800000000000001E-2</v>
      </c>
      <c r="Z837" s="93" t="str">
        <f t="shared" si="172"/>
        <v>0.00%-8.40%</v>
      </c>
      <c r="AA837" s="94"/>
      <c r="AB837" s="94"/>
      <c r="AC837" s="94"/>
      <c r="AD837" s="95"/>
      <c r="AE837" s="87">
        <f t="shared" si="167"/>
        <v>0</v>
      </c>
      <c r="AF837" s="96">
        <f t="shared" si="168"/>
        <v>5850</v>
      </c>
      <c r="AG837" s="18">
        <f t="shared" si="169"/>
        <v>175</v>
      </c>
      <c r="AH837" s="97">
        <f t="shared" si="170"/>
        <v>3.0837004405286361E-2</v>
      </c>
      <c r="AI837" s="20">
        <v>13.6</v>
      </c>
      <c r="AJ837" s="20">
        <v>500</v>
      </c>
      <c r="AK837" s="20"/>
      <c r="AL837" s="20">
        <v>688</v>
      </c>
      <c r="AM837" s="20">
        <f t="shared" si="171"/>
        <v>86248</v>
      </c>
      <c r="AN837" s="7" t="s">
        <v>176</v>
      </c>
      <c r="AO837" s="20"/>
      <c r="AP837" s="21" t="s">
        <v>1055</v>
      </c>
      <c r="AQ837" s="21"/>
      <c r="AR837" s="5" t="s">
        <v>94</v>
      </c>
      <c r="AS837" s="5" t="s">
        <v>69</v>
      </c>
      <c r="AT837" s="5" t="s">
        <v>59</v>
      </c>
    </row>
    <row r="838" spans="1:46">
      <c r="A838" s="86" t="s">
        <v>318</v>
      </c>
      <c r="B838" s="5">
        <v>15015244</v>
      </c>
      <c r="C838" s="5" t="s">
        <v>1226</v>
      </c>
      <c r="D838" s="5" t="s">
        <v>321</v>
      </c>
      <c r="E838" s="5" t="s">
        <v>52</v>
      </c>
      <c r="F838" s="5" t="s">
        <v>62</v>
      </c>
      <c r="G838" s="5" t="s">
        <v>91</v>
      </c>
      <c r="H838" s="5" t="s">
        <v>1157</v>
      </c>
      <c r="I838" s="6">
        <v>42583</v>
      </c>
      <c r="J838" s="5" t="s">
        <v>336</v>
      </c>
      <c r="K838" s="5" t="s">
        <v>336</v>
      </c>
      <c r="L838" s="5" t="s">
        <v>324</v>
      </c>
      <c r="M838" s="7">
        <v>6</v>
      </c>
      <c r="N838" s="7" t="s">
        <v>176</v>
      </c>
      <c r="O838" s="87">
        <v>5125</v>
      </c>
      <c r="P838" s="88">
        <v>0.02</v>
      </c>
      <c r="Q838" s="89">
        <f t="shared" si="160"/>
        <v>103</v>
      </c>
      <c r="R838" s="88">
        <v>5.0000000000000001E-3</v>
      </c>
      <c r="S838" s="89">
        <f t="shared" si="161"/>
        <v>26</v>
      </c>
      <c r="T838" s="88">
        <f t="shared" si="162"/>
        <v>2.5170731707317075E-2</v>
      </c>
      <c r="U838" s="89">
        <f t="shared" si="163"/>
        <v>129</v>
      </c>
      <c r="V838" s="89">
        <f t="shared" si="164"/>
        <v>5254</v>
      </c>
      <c r="W838" s="90">
        <v>5250</v>
      </c>
      <c r="X838" s="91">
        <f t="shared" si="165"/>
        <v>125</v>
      </c>
      <c r="Y838" s="92">
        <f t="shared" si="166"/>
        <v>2.4400000000000002E-2</v>
      </c>
      <c r="Z838" s="93" t="str">
        <f t="shared" si="172"/>
        <v>0.00%-8.40%</v>
      </c>
      <c r="AA838" s="94"/>
      <c r="AB838" s="94"/>
      <c r="AC838" s="94"/>
      <c r="AD838" s="95"/>
      <c r="AE838" s="87">
        <f t="shared" si="167"/>
        <v>0</v>
      </c>
      <c r="AF838" s="96">
        <f t="shared" si="168"/>
        <v>5250</v>
      </c>
      <c r="AG838" s="18">
        <f t="shared" si="169"/>
        <v>125</v>
      </c>
      <c r="AH838" s="97">
        <f t="shared" si="170"/>
        <v>2.4390243902439046E-2</v>
      </c>
      <c r="AI838" s="20">
        <v>13.6</v>
      </c>
      <c r="AJ838" s="20">
        <v>500</v>
      </c>
      <c r="AK838" s="20"/>
      <c r="AL838" s="20">
        <v>688</v>
      </c>
      <c r="AM838" s="20">
        <f t="shared" si="171"/>
        <v>78088</v>
      </c>
      <c r="AN838" s="7" t="s">
        <v>176</v>
      </c>
      <c r="AO838" s="20"/>
      <c r="AP838" s="21" t="s">
        <v>1056</v>
      </c>
      <c r="AQ838" s="21"/>
      <c r="AR838" s="5" t="s">
        <v>94</v>
      </c>
      <c r="AS838" s="5" t="s">
        <v>69</v>
      </c>
      <c r="AT838" s="5" t="s">
        <v>59</v>
      </c>
    </row>
    <row r="839" spans="1:46">
      <c r="A839" s="86" t="s">
        <v>318</v>
      </c>
      <c r="B839" s="5">
        <v>15011977</v>
      </c>
      <c r="C839" s="5" t="s">
        <v>1227</v>
      </c>
      <c r="D839" s="5" t="s">
        <v>360</v>
      </c>
      <c r="E839" s="5" t="s">
        <v>52</v>
      </c>
      <c r="F839" s="5" t="s">
        <v>62</v>
      </c>
      <c r="G839" s="5" t="s">
        <v>104</v>
      </c>
      <c r="H839" s="5" t="s">
        <v>1160</v>
      </c>
      <c r="I839" s="6">
        <v>41558</v>
      </c>
      <c r="J839" s="5" t="s">
        <v>377</v>
      </c>
      <c r="K839" s="5" t="s">
        <v>446</v>
      </c>
      <c r="L839" s="5" t="s">
        <v>324</v>
      </c>
      <c r="M839" s="7">
        <v>6</v>
      </c>
      <c r="N839" s="7" t="s">
        <v>176</v>
      </c>
      <c r="O839" s="87">
        <v>6815</v>
      </c>
      <c r="P839" s="88">
        <v>0.02</v>
      </c>
      <c r="Q839" s="89">
        <f t="shared" si="160"/>
        <v>136</v>
      </c>
      <c r="R839" s="88">
        <v>5.0000000000000001E-3</v>
      </c>
      <c r="S839" s="89">
        <f t="shared" si="161"/>
        <v>34</v>
      </c>
      <c r="T839" s="88">
        <f t="shared" si="162"/>
        <v>2.4944974321349962E-2</v>
      </c>
      <c r="U839" s="89">
        <f t="shared" si="163"/>
        <v>170</v>
      </c>
      <c r="V839" s="89">
        <f t="shared" si="164"/>
        <v>6985</v>
      </c>
      <c r="W839" s="90">
        <v>6985</v>
      </c>
      <c r="X839" s="91">
        <f t="shared" si="165"/>
        <v>170</v>
      </c>
      <c r="Y839" s="92">
        <f t="shared" si="166"/>
        <v>2.4899999999999999E-2</v>
      </c>
      <c r="Z839" s="93" t="str">
        <f t="shared" si="172"/>
        <v>0.00%-8.40%</v>
      </c>
      <c r="AA839" s="94"/>
      <c r="AB839" s="94"/>
      <c r="AC839" s="94"/>
      <c r="AD839" s="95"/>
      <c r="AE839" s="87">
        <f t="shared" si="167"/>
        <v>0</v>
      </c>
      <c r="AF839" s="96">
        <f t="shared" si="168"/>
        <v>6985</v>
      </c>
      <c r="AG839" s="18">
        <f t="shared" si="169"/>
        <v>170</v>
      </c>
      <c r="AH839" s="97">
        <f t="shared" si="170"/>
        <v>2.49449743213499E-2</v>
      </c>
      <c r="AI839" s="20">
        <v>13.6</v>
      </c>
      <c r="AJ839" s="20">
        <v>500</v>
      </c>
      <c r="AK839" s="20"/>
      <c r="AL839" s="20">
        <v>688</v>
      </c>
      <c r="AM839" s="20">
        <f t="shared" si="171"/>
        <v>101684</v>
      </c>
      <c r="AN839" s="7" t="s">
        <v>176</v>
      </c>
      <c r="AO839" s="20"/>
      <c r="AP839" s="21" t="s">
        <v>1056</v>
      </c>
      <c r="AQ839" s="21"/>
      <c r="AR839" s="5" t="s">
        <v>94</v>
      </c>
      <c r="AS839" s="5" t="s">
        <v>69</v>
      </c>
      <c r="AT839" s="5" t="s">
        <v>59</v>
      </c>
    </row>
    <row r="840" spans="1:46">
      <c r="A840" s="86" t="s">
        <v>318</v>
      </c>
      <c r="B840" s="5">
        <v>15010663</v>
      </c>
      <c r="C840" s="5" t="s">
        <v>1228</v>
      </c>
      <c r="D840" s="5" t="s">
        <v>321</v>
      </c>
      <c r="E840" s="5" t="s">
        <v>52</v>
      </c>
      <c r="F840" s="5" t="s">
        <v>62</v>
      </c>
      <c r="G840" s="5" t="s">
        <v>91</v>
      </c>
      <c r="H840" s="5" t="s">
        <v>1157</v>
      </c>
      <c r="I840" s="6">
        <v>41548</v>
      </c>
      <c r="J840" s="5" t="s">
        <v>336</v>
      </c>
      <c r="K840" s="5" t="s">
        <v>336</v>
      </c>
      <c r="L840" s="5" t="s">
        <v>324</v>
      </c>
      <c r="M840" s="7">
        <v>6</v>
      </c>
      <c r="N840" s="7" t="s">
        <v>176</v>
      </c>
      <c r="O840" s="87">
        <v>5074</v>
      </c>
      <c r="P840" s="88">
        <v>0.02</v>
      </c>
      <c r="Q840" s="89">
        <f t="shared" si="160"/>
        <v>101</v>
      </c>
      <c r="R840" s="88">
        <v>5.0000000000000001E-3</v>
      </c>
      <c r="S840" s="89">
        <f t="shared" si="161"/>
        <v>25</v>
      </c>
      <c r="T840" s="88">
        <f t="shared" si="162"/>
        <v>2.4832479306267245E-2</v>
      </c>
      <c r="U840" s="89">
        <f t="shared" si="163"/>
        <v>126</v>
      </c>
      <c r="V840" s="89">
        <f t="shared" si="164"/>
        <v>5200</v>
      </c>
      <c r="W840" s="90">
        <v>5200</v>
      </c>
      <c r="X840" s="91">
        <f t="shared" si="165"/>
        <v>126</v>
      </c>
      <c r="Y840" s="92">
        <f t="shared" si="166"/>
        <v>2.4799999999999999E-2</v>
      </c>
      <c r="Z840" s="93" t="str">
        <f t="shared" si="172"/>
        <v>0.00%-8.40%</v>
      </c>
      <c r="AA840" s="94"/>
      <c r="AB840" s="94"/>
      <c r="AC840" s="94"/>
      <c r="AD840" s="95"/>
      <c r="AE840" s="87">
        <f t="shared" si="167"/>
        <v>0</v>
      </c>
      <c r="AF840" s="96">
        <f t="shared" si="168"/>
        <v>5200</v>
      </c>
      <c r="AG840" s="18">
        <f t="shared" si="169"/>
        <v>126</v>
      </c>
      <c r="AH840" s="97">
        <f t="shared" si="170"/>
        <v>2.4832479306267308E-2</v>
      </c>
      <c r="AI840" s="20">
        <v>13.6</v>
      </c>
      <c r="AJ840" s="20">
        <v>450</v>
      </c>
      <c r="AK840" s="20"/>
      <c r="AL840" s="20">
        <v>688</v>
      </c>
      <c r="AM840" s="20">
        <f t="shared" si="171"/>
        <v>76808</v>
      </c>
      <c r="AN840" s="7" t="s">
        <v>176</v>
      </c>
      <c r="AO840" s="20"/>
      <c r="AP840" s="21" t="s">
        <v>1056</v>
      </c>
      <c r="AQ840" s="21"/>
      <c r="AR840" s="5" t="s">
        <v>94</v>
      </c>
      <c r="AS840" s="5" t="s">
        <v>69</v>
      </c>
      <c r="AT840" s="5" t="s">
        <v>59</v>
      </c>
    </row>
    <row r="841" spans="1:46">
      <c r="A841" s="86" t="s">
        <v>318</v>
      </c>
      <c r="B841" s="5">
        <v>15014524</v>
      </c>
      <c r="C841" s="5" t="s">
        <v>1229</v>
      </c>
      <c r="D841" s="5" t="s">
        <v>321</v>
      </c>
      <c r="E841" s="5" t="s">
        <v>52</v>
      </c>
      <c r="F841" s="5" t="s">
        <v>62</v>
      </c>
      <c r="G841" s="5" t="s">
        <v>91</v>
      </c>
      <c r="H841" s="5" t="s">
        <v>1157</v>
      </c>
      <c r="I841" s="6">
        <v>42339</v>
      </c>
      <c r="J841" s="5" t="s">
        <v>336</v>
      </c>
      <c r="K841" s="5" t="s">
        <v>336</v>
      </c>
      <c r="L841" s="5" t="s">
        <v>324</v>
      </c>
      <c r="M841" s="7">
        <v>6</v>
      </c>
      <c r="N841" s="7" t="s">
        <v>176</v>
      </c>
      <c r="O841" s="87">
        <v>4560</v>
      </c>
      <c r="P841" s="88">
        <v>0.02</v>
      </c>
      <c r="Q841" s="89">
        <f t="shared" ref="Q841:Q853" si="173">ROUND(O841*P841,0)</f>
        <v>91</v>
      </c>
      <c r="R841" s="88">
        <v>5.0000000000000001E-3</v>
      </c>
      <c r="S841" s="89">
        <f t="shared" ref="S841:S853" si="174">ROUND(O841*R841,0)</f>
        <v>23</v>
      </c>
      <c r="T841" s="88">
        <f t="shared" ref="T841:T853" si="175">U841/O841</f>
        <v>2.5000000000000001E-2</v>
      </c>
      <c r="U841" s="89">
        <f t="shared" ref="U841:U853" si="176">Q841+S841</f>
        <v>114</v>
      </c>
      <c r="V841" s="89">
        <f t="shared" ref="V841:V853" si="177">O841+U841</f>
        <v>4674</v>
      </c>
      <c r="W841" s="90">
        <v>4560</v>
      </c>
      <c r="X841" s="91">
        <f t="shared" ref="X841:X853" si="178">W841-O841</f>
        <v>0</v>
      </c>
      <c r="Y841" s="92">
        <f t="shared" ref="Y841:Y853" si="179">ROUND(W841/O841-1,4)</f>
        <v>0</v>
      </c>
      <c r="Z841" s="93" t="str">
        <f t="shared" si="172"/>
        <v>0.00%-8.40%</v>
      </c>
      <c r="AA841" s="94"/>
      <c r="AB841" s="94"/>
      <c r="AC841" s="94"/>
      <c r="AD841" s="95"/>
      <c r="AE841" s="87">
        <f t="shared" ref="AE841:AE853" si="180">ROUND(O841*AD841,0)</f>
        <v>0</v>
      </c>
      <c r="AF841" s="96">
        <f t="shared" ref="AF841:AF853" si="181">W841+AE841</f>
        <v>4560</v>
      </c>
      <c r="AG841" s="18">
        <f t="shared" ref="AG841:AG853" si="182">AF841-O841</f>
        <v>0</v>
      </c>
      <c r="AH841" s="97">
        <f t="shared" ref="AH841:AH853" si="183">AF841/O841-1</f>
        <v>0</v>
      </c>
      <c r="AI841" s="20">
        <v>13.6</v>
      </c>
      <c r="AJ841" s="20">
        <v>450</v>
      </c>
      <c r="AK841" s="20"/>
      <c r="AL841" s="20">
        <v>688</v>
      </c>
      <c r="AM841" s="20">
        <f t="shared" ref="AM841:AM853" si="184">AF841*AI841+AJ841*12+AL841+IF(AC841="",AK841,IF(AC841="D",5000,IF(AC841="C",1000,0)))*12</f>
        <v>68104</v>
      </c>
      <c r="AN841" s="7" t="s">
        <v>176</v>
      </c>
      <c r="AO841" s="20"/>
      <c r="AP841" s="21" t="s">
        <v>1097</v>
      </c>
      <c r="AQ841" s="21" t="s">
        <v>107</v>
      </c>
      <c r="AR841" s="5" t="s">
        <v>94</v>
      </c>
      <c r="AS841" s="5" t="s">
        <v>69</v>
      </c>
      <c r="AT841" s="5" t="s">
        <v>59</v>
      </c>
    </row>
    <row r="842" spans="1:46">
      <c r="A842" s="86" t="s">
        <v>318</v>
      </c>
      <c r="B842" s="5">
        <v>15005599</v>
      </c>
      <c r="C842" s="5" t="s">
        <v>1230</v>
      </c>
      <c r="D842" s="5" t="s">
        <v>321</v>
      </c>
      <c r="E842" s="5" t="s">
        <v>52</v>
      </c>
      <c r="F842" s="5" t="s">
        <v>62</v>
      </c>
      <c r="G842" s="5" t="s">
        <v>91</v>
      </c>
      <c r="H842" s="5" t="s">
        <v>1155</v>
      </c>
      <c r="I842" s="6">
        <v>40625</v>
      </c>
      <c r="J842" s="5" t="s">
        <v>336</v>
      </c>
      <c r="K842" s="5" t="s">
        <v>336</v>
      </c>
      <c r="L842" s="5" t="s">
        <v>324</v>
      </c>
      <c r="M842" s="7">
        <v>6</v>
      </c>
      <c r="N842" s="7" t="s">
        <v>176</v>
      </c>
      <c r="O842" s="87">
        <v>6014</v>
      </c>
      <c r="P842" s="88">
        <v>0.02</v>
      </c>
      <c r="Q842" s="89">
        <f t="shared" si="173"/>
        <v>120</v>
      </c>
      <c r="R842" s="88">
        <v>5.0000000000000001E-3</v>
      </c>
      <c r="S842" s="89">
        <f t="shared" si="174"/>
        <v>30</v>
      </c>
      <c r="T842" s="88">
        <f t="shared" si="175"/>
        <v>2.4941802460924509E-2</v>
      </c>
      <c r="U842" s="89">
        <f t="shared" si="176"/>
        <v>150</v>
      </c>
      <c r="V842" s="89">
        <f t="shared" si="177"/>
        <v>6164</v>
      </c>
      <c r="W842" s="90">
        <v>6014</v>
      </c>
      <c r="X842" s="91">
        <f t="shared" si="178"/>
        <v>0</v>
      </c>
      <c r="Y842" s="92">
        <f t="shared" si="179"/>
        <v>0</v>
      </c>
      <c r="Z842" s="93" t="str">
        <f t="shared" si="172"/>
        <v>0.00%-8.40%</v>
      </c>
      <c r="AA842" s="94"/>
      <c r="AB842" s="94"/>
      <c r="AC842" s="94"/>
      <c r="AD842" s="95"/>
      <c r="AE842" s="87">
        <f t="shared" si="180"/>
        <v>0</v>
      </c>
      <c r="AF842" s="96">
        <f t="shared" si="181"/>
        <v>6014</v>
      </c>
      <c r="AG842" s="18">
        <f t="shared" si="182"/>
        <v>0</v>
      </c>
      <c r="AH842" s="97">
        <f t="shared" si="183"/>
        <v>0</v>
      </c>
      <c r="AI842" s="20">
        <v>13.6</v>
      </c>
      <c r="AJ842" s="20">
        <v>500</v>
      </c>
      <c r="AK842" s="20"/>
      <c r="AL842" s="20">
        <v>688</v>
      </c>
      <c r="AM842" s="20">
        <f t="shared" si="184"/>
        <v>88478.399999999994</v>
      </c>
      <c r="AN842" s="7" t="s">
        <v>176</v>
      </c>
      <c r="AO842" s="20"/>
      <c r="AP842" s="21" t="s">
        <v>1097</v>
      </c>
      <c r="AQ842" s="21" t="s">
        <v>107</v>
      </c>
      <c r="AR842" s="5" t="s">
        <v>94</v>
      </c>
      <c r="AS842" s="5" t="s">
        <v>69</v>
      </c>
      <c r="AT842" s="5" t="s">
        <v>59</v>
      </c>
    </row>
    <row r="843" spans="1:46">
      <c r="A843" s="86" t="s">
        <v>318</v>
      </c>
      <c r="B843" s="5">
        <v>15004176</v>
      </c>
      <c r="C843" s="5" t="s">
        <v>1231</v>
      </c>
      <c r="D843" s="5" t="s">
        <v>360</v>
      </c>
      <c r="E843" s="5" t="s">
        <v>52</v>
      </c>
      <c r="F843" s="5" t="s">
        <v>62</v>
      </c>
      <c r="G843" s="5" t="s">
        <v>104</v>
      </c>
      <c r="H843" s="5" t="s">
        <v>1162</v>
      </c>
      <c r="I843" s="6">
        <v>40373</v>
      </c>
      <c r="J843" s="5" t="s">
        <v>377</v>
      </c>
      <c r="K843" s="5" t="s">
        <v>377</v>
      </c>
      <c r="L843" s="5" t="s">
        <v>324</v>
      </c>
      <c r="M843" s="7">
        <v>6</v>
      </c>
      <c r="N843" s="7" t="s">
        <v>176</v>
      </c>
      <c r="O843" s="87">
        <v>6319</v>
      </c>
      <c r="P843" s="88">
        <v>0.02</v>
      </c>
      <c r="Q843" s="89">
        <f t="shared" si="173"/>
        <v>126</v>
      </c>
      <c r="R843" s="88">
        <v>5.0000000000000001E-3</v>
      </c>
      <c r="S843" s="89">
        <f t="shared" si="174"/>
        <v>32</v>
      </c>
      <c r="T843" s="88">
        <f t="shared" si="175"/>
        <v>2.500395632220288E-2</v>
      </c>
      <c r="U843" s="89">
        <f t="shared" si="176"/>
        <v>158</v>
      </c>
      <c r="V843" s="89">
        <f t="shared" si="177"/>
        <v>6477</v>
      </c>
      <c r="W843" s="90">
        <v>6477</v>
      </c>
      <c r="X843" s="91">
        <f t="shared" si="178"/>
        <v>158</v>
      </c>
      <c r="Y843" s="92">
        <f t="shared" si="179"/>
        <v>2.5000000000000001E-2</v>
      </c>
      <c r="Z843" s="93" t="str">
        <f t="shared" si="172"/>
        <v>0.00%-8.40%</v>
      </c>
      <c r="AA843" s="94"/>
      <c r="AB843" s="94"/>
      <c r="AC843" s="94"/>
      <c r="AD843" s="95"/>
      <c r="AE843" s="87">
        <f t="shared" si="180"/>
        <v>0</v>
      </c>
      <c r="AF843" s="96">
        <f t="shared" si="181"/>
        <v>6477</v>
      </c>
      <c r="AG843" s="18">
        <f t="shared" si="182"/>
        <v>158</v>
      </c>
      <c r="AH843" s="97">
        <f t="shared" si="183"/>
        <v>2.5003956322202869E-2</v>
      </c>
      <c r="AI843" s="20">
        <v>13.6</v>
      </c>
      <c r="AJ843" s="20">
        <v>450</v>
      </c>
      <c r="AK843" s="20"/>
      <c r="AL843" s="20">
        <v>688</v>
      </c>
      <c r="AM843" s="20">
        <f t="shared" si="184"/>
        <v>94175.2</v>
      </c>
      <c r="AN843" s="7" t="s">
        <v>176</v>
      </c>
      <c r="AO843" s="20"/>
      <c r="AP843" s="21" t="s">
        <v>1056</v>
      </c>
      <c r="AQ843" s="21"/>
      <c r="AR843" s="5" t="s">
        <v>94</v>
      </c>
      <c r="AS843" s="5" t="s">
        <v>69</v>
      </c>
      <c r="AT843" s="5" t="s">
        <v>59</v>
      </c>
    </row>
    <row r="844" spans="1:46">
      <c r="A844" s="86" t="s">
        <v>318</v>
      </c>
      <c r="B844" s="5">
        <v>15021510</v>
      </c>
      <c r="C844" s="5" t="s">
        <v>1232</v>
      </c>
      <c r="D844" s="5" t="s">
        <v>321</v>
      </c>
      <c r="E844" s="5" t="s">
        <v>52</v>
      </c>
      <c r="F844" s="5" t="s">
        <v>62</v>
      </c>
      <c r="G844" s="5" t="s">
        <v>91</v>
      </c>
      <c r="H844" s="5" t="s">
        <v>1157</v>
      </c>
      <c r="I844" s="6">
        <v>44501</v>
      </c>
      <c r="J844" s="5" t="s">
        <v>336</v>
      </c>
      <c r="K844" s="5" t="s">
        <v>336</v>
      </c>
      <c r="L844" s="5" t="s">
        <v>324</v>
      </c>
      <c r="M844" s="7">
        <v>6</v>
      </c>
      <c r="N844" s="7" t="s">
        <v>176</v>
      </c>
      <c r="O844" s="87">
        <v>4920</v>
      </c>
      <c r="P844" s="88">
        <v>0.02</v>
      </c>
      <c r="Q844" s="89">
        <f t="shared" si="173"/>
        <v>98</v>
      </c>
      <c r="R844" s="88">
        <v>5.0000000000000001E-3</v>
      </c>
      <c r="S844" s="89">
        <f t="shared" si="174"/>
        <v>25</v>
      </c>
      <c r="T844" s="88">
        <f t="shared" si="175"/>
        <v>2.5000000000000001E-2</v>
      </c>
      <c r="U844" s="89">
        <f t="shared" si="176"/>
        <v>123</v>
      </c>
      <c r="V844" s="89">
        <f t="shared" si="177"/>
        <v>5043</v>
      </c>
      <c r="W844" s="90">
        <v>5043</v>
      </c>
      <c r="X844" s="91">
        <f t="shared" si="178"/>
        <v>123</v>
      </c>
      <c r="Y844" s="92">
        <f t="shared" si="179"/>
        <v>2.5000000000000001E-2</v>
      </c>
      <c r="Z844" s="93" t="str">
        <f t="shared" si="172"/>
        <v>0.00%-8.40%</v>
      </c>
      <c r="AA844" s="94"/>
      <c r="AB844" s="94"/>
      <c r="AC844" s="94"/>
      <c r="AD844" s="95"/>
      <c r="AE844" s="87">
        <f t="shared" si="180"/>
        <v>0</v>
      </c>
      <c r="AF844" s="96">
        <f t="shared" si="181"/>
        <v>5043</v>
      </c>
      <c r="AG844" s="18">
        <f t="shared" si="182"/>
        <v>123</v>
      </c>
      <c r="AH844" s="97">
        <f t="shared" si="183"/>
        <v>2.4999999999999911E-2</v>
      </c>
      <c r="AI844" s="20">
        <v>13.6</v>
      </c>
      <c r="AJ844" s="20">
        <v>500</v>
      </c>
      <c r="AK844" s="20"/>
      <c r="AL844" s="20">
        <v>688</v>
      </c>
      <c r="AM844" s="20">
        <f t="shared" si="184"/>
        <v>75272.800000000003</v>
      </c>
      <c r="AN844" s="7" t="s">
        <v>176</v>
      </c>
      <c r="AO844" s="20"/>
      <c r="AP844" s="21" t="s">
        <v>1056</v>
      </c>
      <c r="AQ844" s="21"/>
      <c r="AR844" s="5" t="s">
        <v>94</v>
      </c>
      <c r="AS844" s="5" t="s">
        <v>69</v>
      </c>
      <c r="AT844" s="5" t="s">
        <v>59</v>
      </c>
    </row>
    <row r="845" spans="1:46">
      <c r="A845" s="86" t="s">
        <v>318</v>
      </c>
      <c r="B845" s="5">
        <v>15021112</v>
      </c>
      <c r="C845" s="5" t="s">
        <v>1233</v>
      </c>
      <c r="D845" s="5" t="s">
        <v>321</v>
      </c>
      <c r="E845" s="5" t="s">
        <v>52</v>
      </c>
      <c r="F845" s="5" t="s">
        <v>62</v>
      </c>
      <c r="G845" s="5" t="s">
        <v>91</v>
      </c>
      <c r="H845" s="5" t="s">
        <v>1182</v>
      </c>
      <c r="I845" s="6">
        <v>44409</v>
      </c>
      <c r="J845" s="5" t="s">
        <v>336</v>
      </c>
      <c r="K845" s="5" t="s">
        <v>336</v>
      </c>
      <c r="L845" s="5" t="s">
        <v>324</v>
      </c>
      <c r="M845" s="7">
        <v>6</v>
      </c>
      <c r="N845" s="7" t="s">
        <v>176</v>
      </c>
      <c r="O845" s="87">
        <v>4690</v>
      </c>
      <c r="P845" s="88">
        <v>0.02</v>
      </c>
      <c r="Q845" s="89">
        <f t="shared" si="173"/>
        <v>94</v>
      </c>
      <c r="R845" s="88">
        <v>5.0000000000000001E-3</v>
      </c>
      <c r="S845" s="89">
        <f t="shared" si="174"/>
        <v>23</v>
      </c>
      <c r="T845" s="88">
        <f t="shared" si="175"/>
        <v>2.4946695095948827E-2</v>
      </c>
      <c r="U845" s="89">
        <f t="shared" si="176"/>
        <v>117</v>
      </c>
      <c r="V845" s="89">
        <f t="shared" si="177"/>
        <v>4807</v>
      </c>
      <c r="W845" s="90">
        <v>4950</v>
      </c>
      <c r="X845" s="91">
        <f t="shared" si="178"/>
        <v>260</v>
      </c>
      <c r="Y845" s="92">
        <f t="shared" si="179"/>
        <v>5.5399999999999998E-2</v>
      </c>
      <c r="Z845" s="93" t="str">
        <f t="shared" si="172"/>
        <v>0.00%-8.40%</v>
      </c>
      <c r="AA845" s="94"/>
      <c r="AB845" s="94"/>
      <c r="AC845" s="94"/>
      <c r="AD845" s="95"/>
      <c r="AE845" s="87">
        <f t="shared" si="180"/>
        <v>0</v>
      </c>
      <c r="AF845" s="96">
        <f t="shared" si="181"/>
        <v>4950</v>
      </c>
      <c r="AG845" s="18">
        <f t="shared" si="182"/>
        <v>260</v>
      </c>
      <c r="AH845" s="97">
        <f t="shared" si="183"/>
        <v>5.5437100213219681E-2</v>
      </c>
      <c r="AI845" s="20">
        <v>13.6</v>
      </c>
      <c r="AJ845" s="20">
        <v>500</v>
      </c>
      <c r="AK845" s="20"/>
      <c r="AL845" s="20">
        <v>688</v>
      </c>
      <c r="AM845" s="20">
        <f t="shared" si="184"/>
        <v>74008</v>
      </c>
      <c r="AN845" s="7" t="s">
        <v>176</v>
      </c>
      <c r="AO845" s="20"/>
      <c r="AP845" s="21" t="s">
        <v>1048</v>
      </c>
      <c r="AQ845" s="21"/>
      <c r="AR845" s="5" t="s">
        <v>94</v>
      </c>
      <c r="AS845" s="5" t="s">
        <v>69</v>
      </c>
      <c r="AT845" s="5" t="s">
        <v>59</v>
      </c>
    </row>
    <row r="846" spans="1:46">
      <c r="A846" s="86" t="s">
        <v>318</v>
      </c>
      <c r="B846" s="5">
        <v>15022080</v>
      </c>
      <c r="C846" s="5" t="s">
        <v>1234</v>
      </c>
      <c r="D846" s="5" t="s">
        <v>321</v>
      </c>
      <c r="E846" s="5" t="s">
        <v>52</v>
      </c>
      <c r="F846" s="5" t="s">
        <v>62</v>
      </c>
      <c r="G846" s="5" t="s">
        <v>91</v>
      </c>
      <c r="H846" s="5" t="s">
        <v>1157</v>
      </c>
      <c r="I846" s="6">
        <v>44682</v>
      </c>
      <c r="J846" s="5" t="s">
        <v>336</v>
      </c>
      <c r="K846" s="5" t="s">
        <v>336</v>
      </c>
      <c r="L846" s="5" t="s">
        <v>324</v>
      </c>
      <c r="M846" s="7">
        <v>6</v>
      </c>
      <c r="N846" s="7" t="s">
        <v>176</v>
      </c>
      <c r="O846" s="87">
        <v>4633</v>
      </c>
      <c r="P846" s="88">
        <v>0.02</v>
      </c>
      <c r="Q846" s="89">
        <f t="shared" si="173"/>
        <v>93</v>
      </c>
      <c r="R846" s="88">
        <v>5.0000000000000001E-3</v>
      </c>
      <c r="S846" s="89">
        <f t="shared" si="174"/>
        <v>23</v>
      </c>
      <c r="T846" s="88">
        <f t="shared" si="175"/>
        <v>2.5037772501618823E-2</v>
      </c>
      <c r="U846" s="89">
        <f t="shared" si="176"/>
        <v>116</v>
      </c>
      <c r="V846" s="89">
        <f t="shared" si="177"/>
        <v>4749</v>
      </c>
      <c r="W846" s="90">
        <v>4700</v>
      </c>
      <c r="X846" s="91">
        <f t="shared" si="178"/>
        <v>67</v>
      </c>
      <c r="Y846" s="92">
        <f t="shared" si="179"/>
        <v>1.4500000000000001E-2</v>
      </c>
      <c r="Z846" s="93" t="str">
        <f t="shared" si="172"/>
        <v>0.00%-8.40%</v>
      </c>
      <c r="AA846" s="94"/>
      <c r="AB846" s="94"/>
      <c r="AC846" s="94"/>
      <c r="AD846" s="95"/>
      <c r="AE846" s="87">
        <f t="shared" si="180"/>
        <v>0</v>
      </c>
      <c r="AF846" s="96">
        <f t="shared" si="181"/>
        <v>4700</v>
      </c>
      <c r="AG846" s="18">
        <f t="shared" si="182"/>
        <v>67</v>
      </c>
      <c r="AH846" s="97">
        <f t="shared" si="183"/>
        <v>1.4461472048348911E-2</v>
      </c>
      <c r="AI846" s="20">
        <v>13.6</v>
      </c>
      <c r="AJ846" s="20">
        <v>650</v>
      </c>
      <c r="AK846" s="20"/>
      <c r="AL846" s="20">
        <v>688</v>
      </c>
      <c r="AM846" s="20">
        <f t="shared" si="184"/>
        <v>72408</v>
      </c>
      <c r="AN846" s="7" t="s">
        <v>176</v>
      </c>
      <c r="AO846" s="20"/>
      <c r="AP846" s="21" t="s">
        <v>1051</v>
      </c>
      <c r="AQ846" s="21"/>
      <c r="AR846" s="5" t="s">
        <v>94</v>
      </c>
      <c r="AS846" s="5" t="s">
        <v>69</v>
      </c>
      <c r="AT846" s="5" t="s">
        <v>59</v>
      </c>
    </row>
    <row r="847" spans="1:46">
      <c r="A847" s="86" t="s">
        <v>318</v>
      </c>
      <c r="B847" s="5">
        <v>15016565</v>
      </c>
      <c r="C847" s="5" t="s">
        <v>1235</v>
      </c>
      <c r="D847" s="5" t="s">
        <v>321</v>
      </c>
      <c r="E847" s="5" t="s">
        <v>52</v>
      </c>
      <c r="F847" s="5" t="s">
        <v>62</v>
      </c>
      <c r="G847" s="5" t="s">
        <v>91</v>
      </c>
      <c r="H847" s="5" t="s">
        <v>1157</v>
      </c>
      <c r="I847" s="6">
        <v>42979</v>
      </c>
      <c r="J847" s="5" t="s">
        <v>336</v>
      </c>
      <c r="K847" s="5" t="s">
        <v>336</v>
      </c>
      <c r="L847" s="5" t="s">
        <v>324</v>
      </c>
      <c r="M847" s="7">
        <v>6</v>
      </c>
      <c r="N847" s="7" t="s">
        <v>176</v>
      </c>
      <c r="O847" s="87">
        <v>4730</v>
      </c>
      <c r="P847" s="88">
        <v>0.02</v>
      </c>
      <c r="Q847" s="89">
        <f t="shared" si="173"/>
        <v>95</v>
      </c>
      <c r="R847" s="88">
        <v>5.0000000000000001E-3</v>
      </c>
      <c r="S847" s="89">
        <f t="shared" si="174"/>
        <v>24</v>
      </c>
      <c r="T847" s="88">
        <f t="shared" si="175"/>
        <v>2.5158562367864692E-2</v>
      </c>
      <c r="U847" s="89">
        <f t="shared" si="176"/>
        <v>119</v>
      </c>
      <c r="V847" s="89">
        <f t="shared" si="177"/>
        <v>4849</v>
      </c>
      <c r="W847" s="90">
        <v>4900</v>
      </c>
      <c r="X847" s="91">
        <f t="shared" si="178"/>
        <v>170</v>
      </c>
      <c r="Y847" s="92">
        <f t="shared" si="179"/>
        <v>3.5900000000000001E-2</v>
      </c>
      <c r="Z847" s="93" t="str">
        <f t="shared" si="172"/>
        <v>0.00%-8.40%</v>
      </c>
      <c r="AA847" s="94"/>
      <c r="AB847" s="94"/>
      <c r="AC847" s="94"/>
      <c r="AD847" s="95"/>
      <c r="AE847" s="87">
        <f t="shared" si="180"/>
        <v>0</v>
      </c>
      <c r="AF847" s="96">
        <f t="shared" si="181"/>
        <v>4900</v>
      </c>
      <c r="AG847" s="18">
        <f t="shared" si="182"/>
        <v>170</v>
      </c>
      <c r="AH847" s="97">
        <f t="shared" si="183"/>
        <v>3.5940803382663811E-2</v>
      </c>
      <c r="AI847" s="20">
        <v>13.6</v>
      </c>
      <c r="AJ847" s="20">
        <v>500</v>
      </c>
      <c r="AK847" s="20"/>
      <c r="AL847" s="20">
        <v>688</v>
      </c>
      <c r="AM847" s="20">
        <f t="shared" si="184"/>
        <v>73328</v>
      </c>
      <c r="AN847" s="7" t="s">
        <v>176</v>
      </c>
      <c r="AO847" s="20"/>
      <c r="AP847" s="21" t="s">
        <v>1055</v>
      </c>
      <c r="AQ847" s="21"/>
      <c r="AR847" s="5" t="s">
        <v>94</v>
      </c>
      <c r="AS847" s="5" t="s">
        <v>69</v>
      </c>
      <c r="AT847" s="5" t="s">
        <v>59</v>
      </c>
    </row>
    <row r="848" spans="1:46">
      <c r="A848" s="86" t="s">
        <v>318</v>
      </c>
      <c r="B848" s="5">
        <v>15000962</v>
      </c>
      <c r="C848" s="5" t="s">
        <v>1236</v>
      </c>
      <c r="D848" s="5" t="s">
        <v>321</v>
      </c>
      <c r="E848" s="5" t="s">
        <v>52</v>
      </c>
      <c r="F848" s="5" t="s">
        <v>62</v>
      </c>
      <c r="G848" s="5" t="s">
        <v>91</v>
      </c>
      <c r="H848" s="5" t="s">
        <v>1157</v>
      </c>
      <c r="I848" s="6">
        <v>39203</v>
      </c>
      <c r="J848" s="5" t="s">
        <v>336</v>
      </c>
      <c r="K848" s="5" t="s">
        <v>336</v>
      </c>
      <c r="L848" s="5" t="s">
        <v>324</v>
      </c>
      <c r="M848" s="7">
        <v>6</v>
      </c>
      <c r="N848" s="7" t="s">
        <v>176</v>
      </c>
      <c r="O848" s="87">
        <v>5360</v>
      </c>
      <c r="P848" s="88">
        <v>0.02</v>
      </c>
      <c r="Q848" s="89">
        <f t="shared" si="173"/>
        <v>107</v>
      </c>
      <c r="R848" s="88">
        <v>5.0000000000000001E-3</v>
      </c>
      <c r="S848" s="89">
        <f t="shared" si="174"/>
        <v>27</v>
      </c>
      <c r="T848" s="88">
        <f t="shared" si="175"/>
        <v>2.5000000000000001E-2</v>
      </c>
      <c r="U848" s="89">
        <f t="shared" si="176"/>
        <v>134</v>
      </c>
      <c r="V848" s="89">
        <f t="shared" si="177"/>
        <v>5494</v>
      </c>
      <c r="W848" s="90">
        <v>5360</v>
      </c>
      <c r="X848" s="91">
        <f t="shared" si="178"/>
        <v>0</v>
      </c>
      <c r="Y848" s="92">
        <f t="shared" si="179"/>
        <v>0</v>
      </c>
      <c r="Z848" s="93" t="str">
        <f t="shared" si="172"/>
        <v>0.00%-8.40%</v>
      </c>
      <c r="AA848" s="94"/>
      <c r="AB848" s="94"/>
      <c r="AC848" s="94"/>
      <c r="AD848" s="95"/>
      <c r="AE848" s="87">
        <f t="shared" si="180"/>
        <v>0</v>
      </c>
      <c r="AF848" s="96">
        <f t="shared" si="181"/>
        <v>5360</v>
      </c>
      <c r="AG848" s="18">
        <f t="shared" si="182"/>
        <v>0</v>
      </c>
      <c r="AH848" s="97">
        <f t="shared" si="183"/>
        <v>0</v>
      </c>
      <c r="AI848" s="20">
        <v>13.6</v>
      </c>
      <c r="AJ848" s="20">
        <v>500</v>
      </c>
      <c r="AK848" s="20"/>
      <c r="AL848" s="20">
        <v>688</v>
      </c>
      <c r="AM848" s="20">
        <f t="shared" si="184"/>
        <v>79584</v>
      </c>
      <c r="AN848" s="7" t="s">
        <v>176</v>
      </c>
      <c r="AO848" s="20"/>
      <c r="AP848" s="21" t="s">
        <v>1097</v>
      </c>
      <c r="AQ848" s="21" t="s">
        <v>107</v>
      </c>
      <c r="AR848" s="5" t="s">
        <v>94</v>
      </c>
      <c r="AS848" s="5" t="s">
        <v>69</v>
      </c>
      <c r="AT848" s="5" t="s">
        <v>59</v>
      </c>
    </row>
    <row r="849" spans="1:46">
      <c r="A849" s="86" t="s">
        <v>318</v>
      </c>
      <c r="B849" s="5">
        <v>15021203</v>
      </c>
      <c r="C849" s="5" t="s">
        <v>1237</v>
      </c>
      <c r="D849" s="5" t="s">
        <v>321</v>
      </c>
      <c r="E849" s="5" t="s">
        <v>52</v>
      </c>
      <c r="F849" s="5" t="s">
        <v>62</v>
      </c>
      <c r="G849" s="5" t="s">
        <v>91</v>
      </c>
      <c r="H849" s="5" t="s">
        <v>1157</v>
      </c>
      <c r="I849" s="6">
        <v>44470</v>
      </c>
      <c r="J849" s="5" t="s">
        <v>336</v>
      </c>
      <c r="K849" s="5" t="s">
        <v>336</v>
      </c>
      <c r="L849" s="5" t="s">
        <v>324</v>
      </c>
      <c r="M849" s="7">
        <v>6</v>
      </c>
      <c r="N849" s="7" t="s">
        <v>176</v>
      </c>
      <c r="O849" s="87">
        <v>4672</v>
      </c>
      <c r="P849" s="88">
        <v>0.02</v>
      </c>
      <c r="Q849" s="89">
        <f t="shared" si="173"/>
        <v>93</v>
      </c>
      <c r="R849" s="88">
        <v>5.0000000000000001E-3</v>
      </c>
      <c r="S849" s="89">
        <f t="shared" si="174"/>
        <v>23</v>
      </c>
      <c r="T849" s="88">
        <f t="shared" si="175"/>
        <v>2.482876712328767E-2</v>
      </c>
      <c r="U849" s="89">
        <f t="shared" si="176"/>
        <v>116</v>
      </c>
      <c r="V849" s="89">
        <f t="shared" si="177"/>
        <v>4788</v>
      </c>
      <c r="W849" s="90">
        <v>4788</v>
      </c>
      <c r="X849" s="91">
        <f t="shared" si="178"/>
        <v>116</v>
      </c>
      <c r="Y849" s="92">
        <f t="shared" si="179"/>
        <v>2.4799999999999999E-2</v>
      </c>
      <c r="Z849" s="93" t="str">
        <f t="shared" si="172"/>
        <v>0.00%-8.40%</v>
      </c>
      <c r="AA849" s="94"/>
      <c r="AB849" s="94"/>
      <c r="AC849" s="94"/>
      <c r="AD849" s="95"/>
      <c r="AE849" s="87">
        <f t="shared" si="180"/>
        <v>0</v>
      </c>
      <c r="AF849" s="96">
        <f t="shared" si="181"/>
        <v>4788</v>
      </c>
      <c r="AG849" s="18">
        <f t="shared" si="182"/>
        <v>116</v>
      </c>
      <c r="AH849" s="97">
        <f t="shared" si="183"/>
        <v>2.4828767123287632E-2</v>
      </c>
      <c r="AI849" s="20">
        <v>13.6</v>
      </c>
      <c r="AJ849" s="20">
        <v>450</v>
      </c>
      <c r="AK849" s="20"/>
      <c r="AL849" s="20">
        <v>688</v>
      </c>
      <c r="AM849" s="20">
        <f t="shared" si="184"/>
        <v>71204.799999999988</v>
      </c>
      <c r="AN849" s="7" t="s">
        <v>176</v>
      </c>
      <c r="AO849" s="20"/>
      <c r="AP849" s="21" t="s">
        <v>1056</v>
      </c>
      <c r="AQ849" s="21"/>
      <c r="AR849" s="5" t="s">
        <v>94</v>
      </c>
      <c r="AS849" s="5" t="s">
        <v>69</v>
      </c>
      <c r="AT849" s="5" t="s">
        <v>59</v>
      </c>
    </row>
    <row r="850" spans="1:46">
      <c r="A850" s="86" t="s">
        <v>318</v>
      </c>
      <c r="B850" s="5">
        <v>15000523</v>
      </c>
      <c r="C850" s="5" t="s">
        <v>1238</v>
      </c>
      <c r="D850" s="5" t="s">
        <v>321</v>
      </c>
      <c r="E850" s="5" t="s">
        <v>52</v>
      </c>
      <c r="F850" s="5" t="s">
        <v>62</v>
      </c>
      <c r="G850" s="5" t="s">
        <v>91</v>
      </c>
      <c r="H850" s="5" t="s">
        <v>1155</v>
      </c>
      <c r="I850" s="6">
        <v>38869</v>
      </c>
      <c r="J850" s="5" t="s">
        <v>336</v>
      </c>
      <c r="K850" s="5" t="s">
        <v>336</v>
      </c>
      <c r="L850" s="5" t="s">
        <v>324</v>
      </c>
      <c r="M850" s="7">
        <v>6</v>
      </c>
      <c r="N850" s="7" t="s">
        <v>176</v>
      </c>
      <c r="O850" s="87">
        <v>5471</v>
      </c>
      <c r="P850" s="88">
        <v>0.02</v>
      </c>
      <c r="Q850" s="89">
        <f t="shared" si="173"/>
        <v>109</v>
      </c>
      <c r="R850" s="88">
        <v>5.0000000000000001E-3</v>
      </c>
      <c r="S850" s="89">
        <f t="shared" si="174"/>
        <v>27</v>
      </c>
      <c r="T850" s="88">
        <f t="shared" si="175"/>
        <v>2.4858343995613232E-2</v>
      </c>
      <c r="U850" s="89">
        <f t="shared" si="176"/>
        <v>136</v>
      </c>
      <c r="V850" s="89">
        <f t="shared" si="177"/>
        <v>5607</v>
      </c>
      <c r="W850" s="90">
        <v>5750</v>
      </c>
      <c r="X850" s="91">
        <f t="shared" si="178"/>
        <v>279</v>
      </c>
      <c r="Y850" s="92">
        <f t="shared" si="179"/>
        <v>5.0999999999999997E-2</v>
      </c>
      <c r="Z850" s="93" t="str">
        <f t="shared" si="172"/>
        <v>0.00%-8.40%</v>
      </c>
      <c r="AA850" s="94"/>
      <c r="AB850" s="94"/>
      <c r="AC850" s="94"/>
      <c r="AD850" s="95"/>
      <c r="AE850" s="87">
        <f t="shared" si="180"/>
        <v>0</v>
      </c>
      <c r="AF850" s="96">
        <f t="shared" si="181"/>
        <v>5750</v>
      </c>
      <c r="AG850" s="18">
        <f t="shared" si="182"/>
        <v>279</v>
      </c>
      <c r="AH850" s="97">
        <f t="shared" si="183"/>
        <v>5.0996161579236032E-2</v>
      </c>
      <c r="AI850" s="20">
        <v>13.6</v>
      </c>
      <c r="AJ850" s="20">
        <v>800</v>
      </c>
      <c r="AK850" s="20"/>
      <c r="AL850" s="20">
        <v>688</v>
      </c>
      <c r="AM850" s="20">
        <f t="shared" si="184"/>
        <v>88488</v>
      </c>
      <c r="AN850" s="7" t="s">
        <v>176</v>
      </c>
      <c r="AO850" s="20"/>
      <c r="AP850" s="21" t="s">
        <v>1048</v>
      </c>
      <c r="AQ850" s="21"/>
      <c r="AR850" s="5" t="s">
        <v>94</v>
      </c>
      <c r="AS850" s="5" t="s">
        <v>69</v>
      </c>
      <c r="AT850" s="5" t="s">
        <v>59</v>
      </c>
    </row>
    <row r="851" spans="1:46">
      <c r="A851" s="86" t="s">
        <v>318</v>
      </c>
      <c r="B851" s="5">
        <v>15000735</v>
      </c>
      <c r="C851" s="5" t="s">
        <v>1239</v>
      </c>
      <c r="D851" s="5" t="s">
        <v>321</v>
      </c>
      <c r="E851" s="5" t="s">
        <v>52</v>
      </c>
      <c r="F851" s="5" t="s">
        <v>62</v>
      </c>
      <c r="G851" s="5" t="s">
        <v>91</v>
      </c>
      <c r="H851" s="5" t="s">
        <v>1182</v>
      </c>
      <c r="I851" s="6">
        <v>39031</v>
      </c>
      <c r="J851" s="5" t="s">
        <v>336</v>
      </c>
      <c r="K851" s="5" t="s">
        <v>336</v>
      </c>
      <c r="L851" s="5" t="s">
        <v>324</v>
      </c>
      <c r="M851" s="7">
        <v>6</v>
      </c>
      <c r="N851" s="7" t="s">
        <v>176</v>
      </c>
      <c r="O851" s="87">
        <v>6306</v>
      </c>
      <c r="P851" s="88">
        <v>0.02</v>
      </c>
      <c r="Q851" s="89">
        <f t="shared" si="173"/>
        <v>126</v>
      </c>
      <c r="R851" s="88">
        <v>5.0000000000000001E-3</v>
      </c>
      <c r="S851" s="89">
        <f t="shared" si="174"/>
        <v>32</v>
      </c>
      <c r="T851" s="88">
        <f t="shared" si="175"/>
        <v>2.5055502695845226E-2</v>
      </c>
      <c r="U851" s="89">
        <f t="shared" si="176"/>
        <v>158</v>
      </c>
      <c r="V851" s="89">
        <f t="shared" si="177"/>
        <v>6464</v>
      </c>
      <c r="W851" s="90">
        <v>6450</v>
      </c>
      <c r="X851" s="91">
        <f t="shared" si="178"/>
        <v>144</v>
      </c>
      <c r="Y851" s="92">
        <f t="shared" si="179"/>
        <v>2.2800000000000001E-2</v>
      </c>
      <c r="Z851" s="93" t="str">
        <f t="shared" si="172"/>
        <v>0.00%-8.40%</v>
      </c>
      <c r="AA851" s="94"/>
      <c r="AB851" s="94"/>
      <c r="AC851" s="94"/>
      <c r="AD851" s="95"/>
      <c r="AE851" s="87">
        <f t="shared" si="180"/>
        <v>0</v>
      </c>
      <c r="AF851" s="96">
        <f t="shared" si="181"/>
        <v>6450</v>
      </c>
      <c r="AG851" s="18">
        <f t="shared" si="182"/>
        <v>144</v>
      </c>
      <c r="AH851" s="97">
        <f t="shared" si="183"/>
        <v>2.2835394862036118E-2</v>
      </c>
      <c r="AI851" s="20">
        <v>13.6</v>
      </c>
      <c r="AJ851" s="20">
        <v>500</v>
      </c>
      <c r="AK851" s="20"/>
      <c r="AL851" s="20">
        <v>688</v>
      </c>
      <c r="AM851" s="20">
        <f t="shared" si="184"/>
        <v>94408</v>
      </c>
      <c r="AN851" s="7" t="s">
        <v>176</v>
      </c>
      <c r="AO851" s="20"/>
      <c r="AP851" s="21" t="s">
        <v>1240</v>
      </c>
      <c r="AQ851" s="21"/>
      <c r="AR851" s="5" t="s">
        <v>94</v>
      </c>
      <c r="AS851" s="5" t="s">
        <v>69</v>
      </c>
      <c r="AT851" s="5" t="s">
        <v>59</v>
      </c>
    </row>
    <row r="852" spans="1:46">
      <c r="A852" s="86" t="s">
        <v>318</v>
      </c>
      <c r="B852" s="5">
        <v>15021528</v>
      </c>
      <c r="C852" s="5" t="s">
        <v>1241</v>
      </c>
      <c r="D852" s="5" t="s">
        <v>321</v>
      </c>
      <c r="E852" s="5" t="s">
        <v>52</v>
      </c>
      <c r="F852" s="5" t="s">
        <v>62</v>
      </c>
      <c r="G852" s="5" t="s">
        <v>91</v>
      </c>
      <c r="H852" s="5" t="s">
        <v>1157</v>
      </c>
      <c r="I852" s="6">
        <v>44501</v>
      </c>
      <c r="J852" s="5" t="s">
        <v>336</v>
      </c>
      <c r="K852" s="5" t="s">
        <v>336</v>
      </c>
      <c r="L852" s="5" t="s">
        <v>324</v>
      </c>
      <c r="M852" s="7">
        <v>6</v>
      </c>
      <c r="N852" s="7" t="s">
        <v>176</v>
      </c>
      <c r="O852" s="87">
        <v>4507</v>
      </c>
      <c r="P852" s="88">
        <v>0.02</v>
      </c>
      <c r="Q852" s="89">
        <f t="shared" si="173"/>
        <v>90</v>
      </c>
      <c r="R852" s="88">
        <v>5.0000000000000001E-3</v>
      </c>
      <c r="S852" s="89">
        <f t="shared" si="174"/>
        <v>23</v>
      </c>
      <c r="T852" s="88">
        <f t="shared" si="175"/>
        <v>2.5072110051031729E-2</v>
      </c>
      <c r="U852" s="89">
        <f t="shared" si="176"/>
        <v>113</v>
      </c>
      <c r="V852" s="89">
        <f t="shared" si="177"/>
        <v>4620</v>
      </c>
      <c r="W852" s="90">
        <v>4640</v>
      </c>
      <c r="X852" s="91">
        <f t="shared" si="178"/>
        <v>133</v>
      </c>
      <c r="Y852" s="92">
        <f t="shared" si="179"/>
        <v>2.9499999999999998E-2</v>
      </c>
      <c r="Z852" s="93" t="str">
        <f t="shared" si="172"/>
        <v>0.00%-8.40%</v>
      </c>
      <c r="AA852" s="94"/>
      <c r="AB852" s="94"/>
      <c r="AC852" s="94"/>
      <c r="AD852" s="95"/>
      <c r="AE852" s="87">
        <f t="shared" si="180"/>
        <v>0</v>
      </c>
      <c r="AF852" s="96">
        <f t="shared" si="181"/>
        <v>4640</v>
      </c>
      <c r="AG852" s="18">
        <f t="shared" si="182"/>
        <v>133</v>
      </c>
      <c r="AH852" s="97">
        <f t="shared" si="183"/>
        <v>2.9509651652984248E-2</v>
      </c>
      <c r="AI852" s="20">
        <v>13.6</v>
      </c>
      <c r="AJ852" s="20">
        <v>500</v>
      </c>
      <c r="AK852" s="20"/>
      <c r="AL852" s="20">
        <v>688</v>
      </c>
      <c r="AM852" s="20">
        <f t="shared" si="184"/>
        <v>69792</v>
      </c>
      <c r="AN852" s="7" t="s">
        <v>176</v>
      </c>
      <c r="AO852" s="20"/>
      <c r="AP852" s="21" t="s">
        <v>1240</v>
      </c>
      <c r="AQ852" s="21"/>
      <c r="AR852" s="5" t="s">
        <v>94</v>
      </c>
      <c r="AS852" s="5" t="s">
        <v>69</v>
      </c>
      <c r="AT852" s="5" t="s">
        <v>59</v>
      </c>
    </row>
    <row r="853" spans="1:46">
      <c r="A853" s="86" t="s">
        <v>318</v>
      </c>
      <c r="B853" s="5">
        <v>15012309</v>
      </c>
      <c r="C853" s="5" t="s">
        <v>1242</v>
      </c>
      <c r="D853" s="5" t="s">
        <v>321</v>
      </c>
      <c r="E853" s="5" t="s">
        <v>52</v>
      </c>
      <c r="F853" s="5" t="s">
        <v>62</v>
      </c>
      <c r="G853" s="5" t="s">
        <v>91</v>
      </c>
      <c r="H853" s="5" t="s">
        <v>1157</v>
      </c>
      <c r="I853" s="6">
        <v>41699</v>
      </c>
      <c r="J853" s="5" t="s">
        <v>336</v>
      </c>
      <c r="K853" s="5" t="s">
        <v>336</v>
      </c>
      <c r="L853" s="5" t="s">
        <v>324</v>
      </c>
      <c r="M853" s="7">
        <v>6</v>
      </c>
      <c r="N853" s="7" t="s">
        <v>176</v>
      </c>
      <c r="O853" s="87">
        <v>5267</v>
      </c>
      <c r="P853" s="88">
        <v>0.02</v>
      </c>
      <c r="Q853" s="89">
        <f t="shared" si="173"/>
        <v>105</v>
      </c>
      <c r="R853" s="88">
        <v>5.0000000000000001E-3</v>
      </c>
      <c r="S853" s="89">
        <f t="shared" si="174"/>
        <v>26</v>
      </c>
      <c r="T853" s="88">
        <f t="shared" si="175"/>
        <v>2.4871843554205429E-2</v>
      </c>
      <c r="U853" s="89">
        <f t="shared" si="176"/>
        <v>131</v>
      </c>
      <c r="V853" s="89">
        <f t="shared" si="177"/>
        <v>5398</v>
      </c>
      <c r="W853" s="90">
        <v>5398</v>
      </c>
      <c r="X853" s="91">
        <f t="shared" si="178"/>
        <v>131</v>
      </c>
      <c r="Y853" s="92">
        <f t="shared" si="179"/>
        <v>2.4899999999999999E-2</v>
      </c>
      <c r="Z853" s="93" t="str">
        <f t="shared" si="172"/>
        <v>0.00%-8.40%</v>
      </c>
      <c r="AA853" s="94"/>
      <c r="AB853" s="94"/>
      <c r="AC853" s="94"/>
      <c r="AD853" s="95"/>
      <c r="AE853" s="87">
        <f t="shared" si="180"/>
        <v>0</v>
      </c>
      <c r="AF853" s="96">
        <f t="shared" si="181"/>
        <v>5398</v>
      </c>
      <c r="AG853" s="18">
        <f t="shared" si="182"/>
        <v>131</v>
      </c>
      <c r="AH853" s="97">
        <f t="shared" si="183"/>
        <v>2.4871843554205464E-2</v>
      </c>
      <c r="AI853" s="20">
        <v>13.6</v>
      </c>
      <c r="AJ853" s="20">
        <v>450</v>
      </c>
      <c r="AK853" s="20"/>
      <c r="AL853" s="20">
        <v>688</v>
      </c>
      <c r="AM853" s="20">
        <f t="shared" si="184"/>
        <v>79500.800000000003</v>
      </c>
      <c r="AN853" s="7" t="s">
        <v>176</v>
      </c>
      <c r="AO853" s="20"/>
      <c r="AP853" s="21" t="s">
        <v>1056</v>
      </c>
      <c r="AQ853" s="21"/>
      <c r="AR853" s="5" t="s">
        <v>94</v>
      </c>
      <c r="AS853" s="5" t="s">
        <v>69</v>
      </c>
      <c r="AT853" s="5" t="s">
        <v>59</v>
      </c>
    </row>
    <row r="854" spans="1:46">
      <c r="A854" s="86" t="s">
        <v>318</v>
      </c>
      <c r="B854">
        <v>15004520</v>
      </c>
      <c r="C854" t="s">
        <v>1243</v>
      </c>
      <c r="D854" t="s">
        <v>321</v>
      </c>
      <c r="E854" t="s">
        <v>52</v>
      </c>
      <c r="F854" t="s">
        <v>319</v>
      </c>
      <c r="G854" t="s">
        <v>274</v>
      </c>
      <c r="H854" t="s">
        <v>1244</v>
      </c>
      <c r="I854">
        <v>40664</v>
      </c>
      <c r="J854" t="s">
        <v>361</v>
      </c>
      <c r="K854" t="s">
        <v>361</v>
      </c>
      <c r="L854" t="s">
        <v>324</v>
      </c>
      <c r="M854">
        <v>6</v>
      </c>
      <c r="N854" t="s">
        <v>176</v>
      </c>
      <c r="O854">
        <v>5390</v>
      </c>
      <c r="P854">
        <v>0.02</v>
      </c>
      <c r="Q854">
        <v>108</v>
      </c>
      <c r="R854">
        <v>5.0000000000000001E-3</v>
      </c>
      <c r="S854">
        <v>27</v>
      </c>
      <c r="T854">
        <v>2.5046382189239332E-2</v>
      </c>
      <c r="U854">
        <v>135</v>
      </c>
      <c r="V854">
        <v>5525</v>
      </c>
      <c r="W854">
        <v>5779.8549999999996</v>
      </c>
      <c r="X854">
        <v>389.85499999999956</v>
      </c>
      <c r="Y854">
        <v>7.2300000000000003E-2</v>
      </c>
      <c r="Z854" t="s">
        <v>1245</v>
      </c>
      <c r="AE854">
        <v>0</v>
      </c>
      <c r="AF854">
        <v>5779.8549999999996</v>
      </c>
      <c r="AG854">
        <v>389.85499999999956</v>
      </c>
      <c r="AH854" s="143">
        <v>7.2329313543599172E-2</v>
      </c>
      <c r="AI854">
        <v>13.6</v>
      </c>
      <c r="AJ854">
        <v>450</v>
      </c>
      <c r="AL854">
        <v>688</v>
      </c>
      <c r="AM854">
        <v>84694.027999999991</v>
      </c>
      <c r="AN854" t="s">
        <v>176</v>
      </c>
      <c r="AR854" t="s">
        <v>276</v>
      </c>
      <c r="AS854" t="s">
        <v>246</v>
      </c>
    </row>
    <row r="855" spans="1:46">
      <c r="A855" s="86" t="s">
        <v>318</v>
      </c>
      <c r="B855">
        <v>15003049</v>
      </c>
      <c r="C855" t="s">
        <v>1246</v>
      </c>
      <c r="D855" t="s">
        <v>321</v>
      </c>
      <c r="E855" t="s">
        <v>52</v>
      </c>
      <c r="F855" t="s">
        <v>319</v>
      </c>
      <c r="G855" t="s">
        <v>1247</v>
      </c>
      <c r="H855" t="s">
        <v>1248</v>
      </c>
      <c r="I855">
        <v>40126</v>
      </c>
      <c r="J855" t="s">
        <v>361</v>
      </c>
      <c r="K855" t="s">
        <v>361</v>
      </c>
      <c r="L855" t="s">
        <v>324</v>
      </c>
      <c r="M855">
        <v>6</v>
      </c>
      <c r="N855" t="s">
        <v>176</v>
      </c>
      <c r="O855">
        <v>6155</v>
      </c>
      <c r="P855">
        <v>0.02</v>
      </c>
      <c r="Q855">
        <v>123</v>
      </c>
      <c r="R855">
        <v>5.0000000000000001E-3</v>
      </c>
      <c r="S855">
        <v>31</v>
      </c>
      <c r="T855">
        <v>2.5020308692120227E-2</v>
      </c>
      <c r="U855">
        <v>154</v>
      </c>
      <c r="V855">
        <v>6309</v>
      </c>
      <c r="W855">
        <v>6421</v>
      </c>
      <c r="X855">
        <v>266</v>
      </c>
      <c r="Y855">
        <v>4.3200000000000002E-2</v>
      </c>
      <c r="Z855" t="s">
        <v>1245</v>
      </c>
      <c r="AE855">
        <v>0</v>
      </c>
      <c r="AF855">
        <v>6421</v>
      </c>
      <c r="AG855">
        <v>266</v>
      </c>
      <c r="AH855" s="143">
        <v>4.3216896831844043E-2</v>
      </c>
      <c r="AI855">
        <v>13.6</v>
      </c>
      <c r="AJ855">
        <v>450</v>
      </c>
      <c r="AL855">
        <v>688</v>
      </c>
      <c r="AM855">
        <v>93413.599999999991</v>
      </c>
      <c r="AN855" t="s">
        <v>176</v>
      </c>
      <c r="AR855" t="s">
        <v>276</v>
      </c>
      <c r="AS855" t="s">
        <v>246</v>
      </c>
    </row>
    <row r="856" spans="1:46">
      <c r="A856" s="86" t="s">
        <v>318</v>
      </c>
      <c r="B856">
        <v>15005059</v>
      </c>
      <c r="C856" t="s">
        <v>1249</v>
      </c>
      <c r="D856" t="s">
        <v>321</v>
      </c>
      <c r="E856" t="s">
        <v>52</v>
      </c>
      <c r="F856" t="s">
        <v>319</v>
      </c>
      <c r="G856" t="s">
        <v>282</v>
      </c>
      <c r="H856" t="s">
        <v>1250</v>
      </c>
      <c r="I856">
        <v>40526</v>
      </c>
      <c r="J856" t="s">
        <v>361</v>
      </c>
      <c r="K856" t="s">
        <v>361</v>
      </c>
      <c r="L856" t="s">
        <v>324</v>
      </c>
      <c r="M856">
        <v>6</v>
      </c>
      <c r="N856" t="s">
        <v>176</v>
      </c>
      <c r="O856">
        <v>6253</v>
      </c>
      <c r="P856">
        <v>0.02</v>
      </c>
      <c r="Q856">
        <v>125</v>
      </c>
      <c r="R856">
        <v>5.0000000000000001E-3</v>
      </c>
      <c r="S856">
        <v>31</v>
      </c>
      <c r="T856">
        <v>2.4948024948024949E-2</v>
      </c>
      <c r="U856">
        <v>156</v>
      </c>
      <c r="V856">
        <v>6409</v>
      </c>
      <c r="W856">
        <v>6410</v>
      </c>
      <c r="X856">
        <v>157</v>
      </c>
      <c r="Y856">
        <v>2.5100000000000001E-2</v>
      </c>
      <c r="Z856" t="s">
        <v>1245</v>
      </c>
      <c r="AE856">
        <v>0</v>
      </c>
      <c r="AF856">
        <v>6410</v>
      </c>
      <c r="AG856">
        <v>157</v>
      </c>
      <c r="AH856" s="143">
        <v>2.5107948184871276E-2</v>
      </c>
      <c r="AI856">
        <v>13.6</v>
      </c>
      <c r="AJ856">
        <v>450</v>
      </c>
      <c r="AL856">
        <v>688</v>
      </c>
      <c r="AM856">
        <v>93264</v>
      </c>
      <c r="AN856" t="s">
        <v>176</v>
      </c>
      <c r="AR856" t="s">
        <v>276</v>
      </c>
      <c r="AS856" t="s">
        <v>246</v>
      </c>
    </row>
    <row r="857" spans="1:46">
      <c r="A857" s="86" t="s">
        <v>318</v>
      </c>
      <c r="B857">
        <v>15006044</v>
      </c>
      <c r="C857" t="s">
        <v>1251</v>
      </c>
      <c r="D857" t="s">
        <v>321</v>
      </c>
      <c r="E857" t="s">
        <v>52</v>
      </c>
      <c r="F857" t="s">
        <v>319</v>
      </c>
      <c r="G857" t="s">
        <v>277</v>
      </c>
      <c r="H857" t="s">
        <v>1252</v>
      </c>
      <c r="I857">
        <v>40909</v>
      </c>
      <c r="J857" t="s">
        <v>323</v>
      </c>
      <c r="K857" t="s">
        <v>323</v>
      </c>
      <c r="L857" t="s">
        <v>324</v>
      </c>
      <c r="M857">
        <v>6</v>
      </c>
      <c r="N857" t="s">
        <v>176</v>
      </c>
      <c r="O857">
        <v>5710</v>
      </c>
      <c r="P857">
        <v>0.02</v>
      </c>
      <c r="Q857">
        <v>114</v>
      </c>
      <c r="R857">
        <v>5.0000000000000001E-3</v>
      </c>
      <c r="S857">
        <v>29</v>
      </c>
      <c r="T857">
        <v>2.5043782837127847E-2</v>
      </c>
      <c r="U857">
        <v>143</v>
      </c>
      <c r="V857">
        <v>5853</v>
      </c>
      <c r="W857">
        <v>5996</v>
      </c>
      <c r="X857">
        <v>286</v>
      </c>
      <c r="Y857">
        <v>5.0099999999999999E-2</v>
      </c>
      <c r="Z857" t="s">
        <v>1245</v>
      </c>
      <c r="AE857">
        <v>0</v>
      </c>
      <c r="AF857">
        <v>5996</v>
      </c>
      <c r="AG857">
        <v>286</v>
      </c>
      <c r="AH857" s="143">
        <v>5.0087565674255652E-2</v>
      </c>
      <c r="AI857">
        <v>13.6</v>
      </c>
      <c r="AJ857">
        <v>450</v>
      </c>
      <c r="AL857">
        <v>688</v>
      </c>
      <c r="AM857">
        <v>87633.599999999991</v>
      </c>
      <c r="AN857" t="s">
        <v>176</v>
      </c>
      <c r="AR857" t="s">
        <v>276</v>
      </c>
      <c r="AS857" t="s">
        <v>246</v>
      </c>
    </row>
    <row r="858" spans="1:46">
      <c r="A858" s="86" t="s">
        <v>318</v>
      </c>
      <c r="B858">
        <v>11005551</v>
      </c>
      <c r="C858" t="s">
        <v>1253</v>
      </c>
      <c r="D858" t="s">
        <v>321</v>
      </c>
      <c r="E858" t="s">
        <v>52</v>
      </c>
      <c r="F858" t="s">
        <v>319</v>
      </c>
      <c r="G858" t="s">
        <v>268</v>
      </c>
      <c r="H858" t="s">
        <v>1254</v>
      </c>
      <c r="I858">
        <v>40003</v>
      </c>
      <c r="J858" t="s">
        <v>361</v>
      </c>
      <c r="K858" t="s">
        <v>361</v>
      </c>
      <c r="L858" t="s">
        <v>324</v>
      </c>
      <c r="M858">
        <v>6</v>
      </c>
      <c r="N858" t="s">
        <v>176</v>
      </c>
      <c r="O858">
        <v>6773</v>
      </c>
      <c r="P858">
        <v>0.02</v>
      </c>
      <c r="Q858">
        <v>135</v>
      </c>
      <c r="R858">
        <v>5.0000000000000001E-3</v>
      </c>
      <c r="S858">
        <v>34</v>
      </c>
      <c r="T858">
        <v>2.4952015355086371E-2</v>
      </c>
      <c r="U858">
        <v>169</v>
      </c>
      <c r="V858">
        <v>6942</v>
      </c>
      <c r="W858">
        <v>7080</v>
      </c>
      <c r="X858">
        <v>307</v>
      </c>
      <c r="Y858">
        <v>4.53E-2</v>
      </c>
      <c r="Z858" t="s">
        <v>1245</v>
      </c>
      <c r="AE858">
        <v>0</v>
      </c>
      <c r="AF858">
        <v>7080</v>
      </c>
      <c r="AG858">
        <v>307</v>
      </c>
      <c r="AH858" s="143">
        <v>4.5327033810719008E-2</v>
      </c>
      <c r="AI858">
        <v>13.6</v>
      </c>
      <c r="AJ858">
        <v>450</v>
      </c>
      <c r="AL858">
        <v>688</v>
      </c>
      <c r="AM858">
        <v>102376</v>
      </c>
      <c r="AN858" t="s">
        <v>176</v>
      </c>
      <c r="AR858" t="s">
        <v>276</v>
      </c>
      <c r="AS858" t="s">
        <v>246</v>
      </c>
    </row>
    <row r="859" spans="1:46">
      <c r="A859" s="86" t="s">
        <v>318</v>
      </c>
      <c r="B859">
        <v>15002242</v>
      </c>
      <c r="C859" t="s">
        <v>1255</v>
      </c>
      <c r="D859" t="s">
        <v>321</v>
      </c>
      <c r="E859" t="s">
        <v>52</v>
      </c>
      <c r="F859" t="s">
        <v>319</v>
      </c>
      <c r="G859" t="s">
        <v>282</v>
      </c>
      <c r="H859" t="s">
        <v>1250</v>
      </c>
      <c r="I859">
        <v>40391</v>
      </c>
      <c r="J859" t="s">
        <v>279</v>
      </c>
      <c r="K859" t="s">
        <v>279</v>
      </c>
      <c r="L859" t="s">
        <v>324</v>
      </c>
      <c r="M859">
        <v>6</v>
      </c>
      <c r="N859" t="s">
        <v>176</v>
      </c>
      <c r="O859">
        <v>8230</v>
      </c>
      <c r="P859">
        <v>0.02</v>
      </c>
      <c r="Q859">
        <v>165</v>
      </c>
      <c r="R859">
        <v>5.0000000000000001E-3</v>
      </c>
      <c r="S859">
        <v>41</v>
      </c>
      <c r="T859">
        <v>2.5030376670716888E-2</v>
      </c>
      <c r="U859">
        <v>206</v>
      </c>
      <c r="V859">
        <v>8436</v>
      </c>
      <c r="W859">
        <v>8436</v>
      </c>
      <c r="X859">
        <v>206</v>
      </c>
      <c r="Y859">
        <v>2.5000000000000001E-2</v>
      </c>
      <c r="Z859" t="s">
        <v>1245</v>
      </c>
      <c r="AE859">
        <v>0</v>
      </c>
      <c r="AF859">
        <v>8436</v>
      </c>
      <c r="AG859">
        <v>206</v>
      </c>
      <c r="AH859" s="143">
        <v>2.5030376670716947E-2</v>
      </c>
      <c r="AI859">
        <v>13.6</v>
      </c>
      <c r="AJ859">
        <v>450</v>
      </c>
      <c r="AL859">
        <v>688</v>
      </c>
      <c r="AM859">
        <v>120817.59999999999</v>
      </c>
      <c r="AN859" t="s">
        <v>176</v>
      </c>
      <c r="AR859" t="s">
        <v>276</v>
      </c>
      <c r="AS859" t="s">
        <v>246</v>
      </c>
    </row>
    <row r="860" spans="1:46">
      <c r="A860" s="86" t="s">
        <v>318</v>
      </c>
      <c r="B860">
        <v>15001065</v>
      </c>
      <c r="C860" t="s">
        <v>1256</v>
      </c>
      <c r="D860" t="s">
        <v>321</v>
      </c>
      <c r="E860" t="s">
        <v>52</v>
      </c>
      <c r="F860" t="s">
        <v>319</v>
      </c>
      <c r="G860" t="s">
        <v>277</v>
      </c>
      <c r="H860" t="s">
        <v>1252</v>
      </c>
      <c r="I860">
        <v>39448</v>
      </c>
      <c r="J860" t="s">
        <v>323</v>
      </c>
      <c r="K860" t="s">
        <v>323</v>
      </c>
      <c r="L860" t="s">
        <v>324</v>
      </c>
      <c r="M860">
        <v>6</v>
      </c>
      <c r="N860" t="s">
        <v>176</v>
      </c>
      <c r="O860">
        <v>8324</v>
      </c>
      <c r="P860">
        <v>0.02</v>
      </c>
      <c r="Q860">
        <v>166</v>
      </c>
      <c r="R860">
        <v>5.0000000000000001E-3</v>
      </c>
      <c r="S860">
        <v>42</v>
      </c>
      <c r="T860">
        <v>2.4987986544930323E-2</v>
      </c>
      <c r="U860">
        <v>208</v>
      </c>
      <c r="V860">
        <v>8532</v>
      </c>
      <c r="W860">
        <v>8532</v>
      </c>
      <c r="X860">
        <v>208</v>
      </c>
      <c r="Y860">
        <v>2.5000000000000001E-2</v>
      </c>
      <c r="Z860" t="s">
        <v>1245</v>
      </c>
      <c r="AE860">
        <v>0</v>
      </c>
      <c r="AF860">
        <v>8532</v>
      </c>
      <c r="AG860">
        <v>208</v>
      </c>
      <c r="AH860" s="143">
        <v>2.4987986544930285E-2</v>
      </c>
      <c r="AI860">
        <v>13.6</v>
      </c>
      <c r="AJ860">
        <v>550</v>
      </c>
      <c r="AL860">
        <v>688</v>
      </c>
      <c r="AM860">
        <v>123323.2</v>
      </c>
      <c r="AN860" t="s">
        <v>176</v>
      </c>
      <c r="AR860" t="s">
        <v>276</v>
      </c>
      <c r="AS860" t="s">
        <v>246</v>
      </c>
    </row>
    <row r="861" spans="1:46">
      <c r="A861" s="86" t="s">
        <v>318</v>
      </c>
      <c r="B861">
        <v>15002880</v>
      </c>
      <c r="C861" t="s">
        <v>1257</v>
      </c>
      <c r="D861" t="s">
        <v>321</v>
      </c>
      <c r="E861" t="s">
        <v>52</v>
      </c>
      <c r="F861" t="s">
        <v>319</v>
      </c>
      <c r="G861" t="s">
        <v>282</v>
      </c>
      <c r="H861" t="s">
        <v>1250</v>
      </c>
      <c r="I861">
        <v>40071</v>
      </c>
      <c r="J861" t="s">
        <v>480</v>
      </c>
      <c r="K861" t="s">
        <v>480</v>
      </c>
      <c r="L861" t="s">
        <v>324</v>
      </c>
      <c r="M861">
        <v>6</v>
      </c>
      <c r="N861" t="s">
        <v>176</v>
      </c>
      <c r="O861">
        <v>9151</v>
      </c>
      <c r="P861">
        <v>0.02</v>
      </c>
      <c r="Q861">
        <v>183</v>
      </c>
      <c r="R861">
        <v>5.0000000000000001E-3</v>
      </c>
      <c r="S861">
        <v>46</v>
      </c>
      <c r="T861">
        <v>2.5024587476778493E-2</v>
      </c>
      <c r="U861">
        <v>229</v>
      </c>
      <c r="V861">
        <v>9380</v>
      </c>
      <c r="W861">
        <v>9451</v>
      </c>
      <c r="X861">
        <v>300</v>
      </c>
      <c r="Y861">
        <v>3.2800000000000003E-2</v>
      </c>
      <c r="Z861" t="s">
        <v>1245</v>
      </c>
      <c r="AE861">
        <v>0</v>
      </c>
      <c r="AF861">
        <v>9451</v>
      </c>
      <c r="AG861">
        <v>300</v>
      </c>
      <c r="AH861" s="143">
        <v>3.278330237132554E-2</v>
      </c>
      <c r="AI861">
        <v>13.6</v>
      </c>
      <c r="AJ861">
        <v>450</v>
      </c>
      <c r="AL861">
        <v>688</v>
      </c>
      <c r="AM861">
        <v>134621.59999999998</v>
      </c>
      <c r="AN861" t="s">
        <v>176</v>
      </c>
      <c r="AR861" t="s">
        <v>276</v>
      </c>
      <c r="AS861" t="s">
        <v>246</v>
      </c>
    </row>
    <row r="862" spans="1:46">
      <c r="A862" s="86" t="s">
        <v>318</v>
      </c>
      <c r="B862">
        <v>15000909</v>
      </c>
      <c r="C862" t="s">
        <v>1258</v>
      </c>
      <c r="D862" t="s">
        <v>321</v>
      </c>
      <c r="E862" t="s">
        <v>52</v>
      </c>
      <c r="F862" t="s">
        <v>319</v>
      </c>
      <c r="G862" t="s">
        <v>282</v>
      </c>
      <c r="H862" t="s">
        <v>1250</v>
      </c>
      <c r="I862">
        <v>39173</v>
      </c>
      <c r="J862" t="s">
        <v>480</v>
      </c>
      <c r="K862" t="s">
        <v>480</v>
      </c>
      <c r="L862" t="s">
        <v>324</v>
      </c>
      <c r="M862">
        <v>6</v>
      </c>
      <c r="N862" t="s">
        <v>176</v>
      </c>
      <c r="O862">
        <v>8060</v>
      </c>
      <c r="P862">
        <v>0.02</v>
      </c>
      <c r="Q862">
        <v>161</v>
      </c>
      <c r="R862">
        <v>5.0000000000000001E-3</v>
      </c>
      <c r="S862">
        <v>40</v>
      </c>
      <c r="T862">
        <v>2.4937965260545907E-2</v>
      </c>
      <c r="U862">
        <v>201</v>
      </c>
      <c r="V862">
        <v>8261</v>
      </c>
      <c r="W862">
        <v>8446</v>
      </c>
      <c r="X862">
        <v>386</v>
      </c>
      <c r="Y862">
        <v>4.7899999999999998E-2</v>
      </c>
      <c r="Z862" t="s">
        <v>1245</v>
      </c>
      <c r="AE862">
        <v>0</v>
      </c>
      <c r="AF862">
        <v>8446</v>
      </c>
      <c r="AG862">
        <v>386</v>
      </c>
      <c r="AH862" s="143">
        <v>4.7890818858560724E-2</v>
      </c>
      <c r="AI862">
        <v>13.6</v>
      </c>
      <c r="AJ862">
        <v>450</v>
      </c>
      <c r="AL862">
        <v>688</v>
      </c>
      <c r="AM862">
        <v>120953.59999999999</v>
      </c>
      <c r="AN862" t="s">
        <v>176</v>
      </c>
      <c r="AR862" t="s">
        <v>276</v>
      </c>
      <c r="AS862" t="s">
        <v>246</v>
      </c>
    </row>
    <row r="863" spans="1:46">
      <c r="A863" s="86" t="s">
        <v>318</v>
      </c>
      <c r="B863">
        <v>15002174</v>
      </c>
      <c r="C863" t="s">
        <v>1259</v>
      </c>
      <c r="D863" t="s">
        <v>321</v>
      </c>
      <c r="E863" t="s">
        <v>52</v>
      </c>
      <c r="F863" t="s">
        <v>319</v>
      </c>
      <c r="G863" t="s">
        <v>282</v>
      </c>
      <c r="H863" t="s">
        <v>1250</v>
      </c>
      <c r="I863">
        <v>39771</v>
      </c>
      <c r="J863" t="s">
        <v>480</v>
      </c>
      <c r="K863" t="s">
        <v>480</v>
      </c>
      <c r="L863" t="s">
        <v>324</v>
      </c>
      <c r="M863">
        <v>6</v>
      </c>
      <c r="N863" t="s">
        <v>176</v>
      </c>
      <c r="O863">
        <v>8411</v>
      </c>
      <c r="P863">
        <v>0.02</v>
      </c>
      <c r="Q863">
        <v>168</v>
      </c>
      <c r="R863">
        <v>5.0000000000000001E-3</v>
      </c>
      <c r="S863">
        <v>42</v>
      </c>
      <c r="T863">
        <v>2.4967304720009513E-2</v>
      </c>
      <c r="U863">
        <v>210</v>
      </c>
      <c r="V863">
        <v>8621</v>
      </c>
      <c r="W863">
        <v>8621</v>
      </c>
      <c r="X863">
        <v>210</v>
      </c>
      <c r="Y863">
        <v>2.5000000000000001E-2</v>
      </c>
      <c r="Z863" t="s">
        <v>1245</v>
      </c>
      <c r="AE863">
        <v>0</v>
      </c>
      <c r="AF863">
        <v>8621</v>
      </c>
      <c r="AG863">
        <v>210</v>
      </c>
      <c r="AH863" s="143">
        <v>2.4967304720009409E-2</v>
      </c>
      <c r="AI863">
        <v>13.6</v>
      </c>
      <c r="AJ863">
        <v>450</v>
      </c>
      <c r="AL863">
        <v>688</v>
      </c>
      <c r="AM863">
        <v>123333.59999999999</v>
      </c>
      <c r="AN863" t="s">
        <v>176</v>
      </c>
      <c r="AR863" t="s">
        <v>276</v>
      </c>
      <c r="AS863" t="s">
        <v>246</v>
      </c>
    </row>
    <row r="864" spans="1:46">
      <c r="A864" s="86" t="s">
        <v>318</v>
      </c>
      <c r="B864">
        <v>15004526</v>
      </c>
      <c r="C864" t="s">
        <v>1260</v>
      </c>
      <c r="D864" t="s">
        <v>321</v>
      </c>
      <c r="E864" t="s">
        <v>52</v>
      </c>
      <c r="F864" t="s">
        <v>319</v>
      </c>
      <c r="G864" t="s">
        <v>282</v>
      </c>
      <c r="H864" t="s">
        <v>1250</v>
      </c>
      <c r="I864">
        <v>40436</v>
      </c>
      <c r="J864" t="s">
        <v>279</v>
      </c>
      <c r="K864" t="s">
        <v>279</v>
      </c>
      <c r="L864" t="s">
        <v>324</v>
      </c>
      <c r="M864">
        <v>6</v>
      </c>
      <c r="N864" t="s">
        <v>176</v>
      </c>
      <c r="O864">
        <v>6700</v>
      </c>
      <c r="P864">
        <v>0.02</v>
      </c>
      <c r="Q864">
        <v>134</v>
      </c>
      <c r="R864">
        <v>5.0000000000000001E-3</v>
      </c>
      <c r="S864">
        <v>34</v>
      </c>
      <c r="T864">
        <v>2.5074626865671641E-2</v>
      </c>
      <c r="U864">
        <v>168</v>
      </c>
      <c r="V864">
        <v>6868</v>
      </c>
      <c r="W864">
        <v>6868</v>
      </c>
      <c r="X864">
        <v>168</v>
      </c>
      <c r="Y864">
        <v>2.5100000000000001E-2</v>
      </c>
      <c r="Z864" t="s">
        <v>1245</v>
      </c>
      <c r="AE864">
        <v>0</v>
      </c>
      <c r="AF864">
        <v>6868</v>
      </c>
      <c r="AG864">
        <v>168</v>
      </c>
      <c r="AH864" s="143">
        <v>2.5074626865671634E-2</v>
      </c>
      <c r="AI864">
        <v>13.6</v>
      </c>
      <c r="AJ864">
        <v>450</v>
      </c>
      <c r="AL864">
        <v>688</v>
      </c>
      <c r="AM864">
        <v>99492.800000000003</v>
      </c>
      <c r="AN864" t="s">
        <v>176</v>
      </c>
      <c r="AR864" t="s">
        <v>276</v>
      </c>
      <c r="AS864" t="s">
        <v>246</v>
      </c>
    </row>
    <row r="865" spans="1:45">
      <c r="A865" s="86" t="s">
        <v>318</v>
      </c>
      <c r="B865">
        <v>15000578</v>
      </c>
      <c r="C865" t="s">
        <v>1261</v>
      </c>
      <c r="D865" t="s">
        <v>321</v>
      </c>
      <c r="E865" t="s">
        <v>52</v>
      </c>
      <c r="F865" t="s">
        <v>319</v>
      </c>
      <c r="G865" t="s">
        <v>274</v>
      </c>
      <c r="H865" t="s">
        <v>1244</v>
      </c>
      <c r="I865">
        <v>38899</v>
      </c>
      <c r="J865" t="s">
        <v>279</v>
      </c>
      <c r="K865" t="s">
        <v>279</v>
      </c>
      <c r="L865" t="s">
        <v>324</v>
      </c>
      <c r="M865">
        <v>6</v>
      </c>
      <c r="N865" t="s">
        <v>176</v>
      </c>
      <c r="O865">
        <v>7483</v>
      </c>
      <c r="P865">
        <v>0.02</v>
      </c>
      <c r="Q865">
        <v>150</v>
      </c>
      <c r="R865">
        <v>5.0000000000000001E-3</v>
      </c>
      <c r="S865">
        <v>37</v>
      </c>
      <c r="T865">
        <v>2.4989977281838834E-2</v>
      </c>
      <c r="U865">
        <v>187</v>
      </c>
      <c r="V865">
        <v>7670</v>
      </c>
      <c r="W865">
        <v>7520.415</v>
      </c>
      <c r="X865">
        <v>37.414999999999964</v>
      </c>
      <c r="Y865">
        <v>5.0000000000000001E-3</v>
      </c>
      <c r="Z865" t="s">
        <v>1245</v>
      </c>
      <c r="AE865">
        <v>0</v>
      </c>
      <c r="AF865">
        <v>7520.415</v>
      </c>
      <c r="AG865">
        <v>37.414999999999964</v>
      </c>
      <c r="AH865" s="143">
        <v>4.9999999999998934E-3</v>
      </c>
      <c r="AI865">
        <v>13.6</v>
      </c>
      <c r="AJ865">
        <v>450</v>
      </c>
      <c r="AL865">
        <v>688</v>
      </c>
      <c r="AM865">
        <v>108365.644</v>
      </c>
      <c r="AN865" t="s">
        <v>176</v>
      </c>
      <c r="AO865" t="s">
        <v>490</v>
      </c>
      <c r="AR865" t="s">
        <v>276</v>
      </c>
      <c r="AS865" t="s">
        <v>246</v>
      </c>
    </row>
    <row r="866" spans="1:45">
      <c r="A866" s="86" t="s">
        <v>318</v>
      </c>
      <c r="B866">
        <v>15002269</v>
      </c>
      <c r="C866" t="s">
        <v>1262</v>
      </c>
      <c r="D866" t="s">
        <v>321</v>
      </c>
      <c r="E866" t="s">
        <v>52</v>
      </c>
      <c r="F866" t="s">
        <v>319</v>
      </c>
      <c r="G866" t="s">
        <v>274</v>
      </c>
      <c r="H866" t="s">
        <v>1244</v>
      </c>
      <c r="I866">
        <v>39933</v>
      </c>
      <c r="J866" t="s">
        <v>279</v>
      </c>
      <c r="K866" t="s">
        <v>279</v>
      </c>
      <c r="L866" t="s">
        <v>324</v>
      </c>
      <c r="M866">
        <v>6</v>
      </c>
      <c r="N866" t="s">
        <v>176</v>
      </c>
      <c r="O866">
        <v>6541</v>
      </c>
      <c r="P866">
        <v>0.02</v>
      </c>
      <c r="Q866">
        <v>131</v>
      </c>
      <c r="R866">
        <v>5.0000000000000001E-3</v>
      </c>
      <c r="S866">
        <v>33</v>
      </c>
      <c r="T866">
        <v>2.5072618865616878E-2</v>
      </c>
      <c r="U866">
        <v>164</v>
      </c>
      <c r="V866">
        <v>6705</v>
      </c>
      <c r="W866">
        <v>6940</v>
      </c>
      <c r="X866">
        <v>399</v>
      </c>
      <c r="Y866">
        <v>6.0999999999999999E-2</v>
      </c>
      <c r="Z866" t="s">
        <v>1245</v>
      </c>
      <c r="AE866">
        <v>0</v>
      </c>
      <c r="AF866">
        <v>6940</v>
      </c>
      <c r="AG866">
        <v>399</v>
      </c>
      <c r="AH866" s="143">
        <v>6.099984711817763E-2</v>
      </c>
      <c r="AI866">
        <v>13.6</v>
      </c>
      <c r="AJ866">
        <v>450</v>
      </c>
      <c r="AL866">
        <v>688</v>
      </c>
      <c r="AM866">
        <v>100472</v>
      </c>
      <c r="AN866" t="s">
        <v>176</v>
      </c>
      <c r="AR866" t="s">
        <v>276</v>
      </c>
      <c r="AS866" t="s">
        <v>246</v>
      </c>
    </row>
    <row r="867" spans="1:45">
      <c r="A867" s="86" t="s">
        <v>318</v>
      </c>
      <c r="B867">
        <v>15019410</v>
      </c>
      <c r="C867" t="s">
        <v>1263</v>
      </c>
      <c r="D867" t="s">
        <v>321</v>
      </c>
      <c r="E867" t="s">
        <v>52</v>
      </c>
      <c r="F867" t="s">
        <v>319</v>
      </c>
      <c r="G867" t="s">
        <v>1247</v>
      </c>
      <c r="H867" t="s">
        <v>1248</v>
      </c>
      <c r="I867">
        <v>43208</v>
      </c>
      <c r="J867" t="s">
        <v>279</v>
      </c>
      <c r="K867" t="s">
        <v>279</v>
      </c>
      <c r="L867" t="s">
        <v>324</v>
      </c>
      <c r="M867">
        <v>6</v>
      </c>
      <c r="N867" t="s">
        <v>176</v>
      </c>
      <c r="O867">
        <v>5600</v>
      </c>
      <c r="P867">
        <v>0.02</v>
      </c>
      <c r="Q867">
        <v>112</v>
      </c>
      <c r="R867">
        <v>5.0000000000000001E-3</v>
      </c>
      <c r="S867">
        <v>28</v>
      </c>
      <c r="T867">
        <v>2.5000000000000001E-2</v>
      </c>
      <c r="U867">
        <v>140</v>
      </c>
      <c r="V867">
        <v>5740</v>
      </c>
      <c r="W867">
        <v>5930</v>
      </c>
      <c r="X867">
        <v>330</v>
      </c>
      <c r="Y867">
        <v>5.8900000000000001E-2</v>
      </c>
      <c r="Z867" t="s">
        <v>1245</v>
      </c>
      <c r="AE867">
        <v>0</v>
      </c>
      <c r="AF867">
        <v>5930</v>
      </c>
      <c r="AG867">
        <v>330</v>
      </c>
      <c r="AH867" s="143">
        <v>5.8928571428571441E-2</v>
      </c>
      <c r="AI867">
        <v>13.6</v>
      </c>
      <c r="AJ867">
        <v>450</v>
      </c>
      <c r="AL867">
        <v>688</v>
      </c>
      <c r="AM867">
        <v>86736</v>
      </c>
      <c r="AN867" t="s">
        <v>176</v>
      </c>
      <c r="AR867" t="s">
        <v>276</v>
      </c>
      <c r="AS867" t="s">
        <v>246</v>
      </c>
    </row>
    <row r="868" spans="1:45">
      <c r="A868" s="86" t="s">
        <v>318</v>
      </c>
      <c r="B868">
        <v>15003287</v>
      </c>
      <c r="C868" t="s">
        <v>1264</v>
      </c>
      <c r="D868" t="s">
        <v>321</v>
      </c>
      <c r="E868" t="s">
        <v>52</v>
      </c>
      <c r="F868" t="s">
        <v>319</v>
      </c>
      <c r="G868" t="s">
        <v>282</v>
      </c>
      <c r="H868" t="s">
        <v>1250</v>
      </c>
      <c r="I868">
        <v>40212</v>
      </c>
      <c r="J868" t="s">
        <v>279</v>
      </c>
      <c r="K868" t="s">
        <v>279</v>
      </c>
      <c r="L868" t="s">
        <v>324</v>
      </c>
      <c r="M868">
        <v>6</v>
      </c>
      <c r="N868" t="s">
        <v>176</v>
      </c>
      <c r="O868">
        <v>6800</v>
      </c>
      <c r="P868">
        <v>0.02</v>
      </c>
      <c r="Q868">
        <v>136</v>
      </c>
      <c r="R868">
        <v>5.0000000000000001E-3</v>
      </c>
      <c r="S868">
        <v>34</v>
      </c>
      <c r="T868">
        <v>2.5000000000000001E-2</v>
      </c>
      <c r="U868">
        <v>170</v>
      </c>
      <c r="V868">
        <v>6970</v>
      </c>
      <c r="W868">
        <v>7126</v>
      </c>
      <c r="X868">
        <v>326</v>
      </c>
      <c r="Y868">
        <v>4.7899999999999998E-2</v>
      </c>
      <c r="Z868" t="s">
        <v>1245</v>
      </c>
      <c r="AE868">
        <v>0</v>
      </c>
      <c r="AF868">
        <v>7126</v>
      </c>
      <c r="AG868">
        <v>326</v>
      </c>
      <c r="AH868" s="143">
        <v>4.7941176470588154E-2</v>
      </c>
      <c r="AI868">
        <v>13.6</v>
      </c>
      <c r="AJ868">
        <v>450</v>
      </c>
      <c r="AL868">
        <v>688</v>
      </c>
      <c r="AM868">
        <v>103001.59999999999</v>
      </c>
      <c r="AN868" t="s">
        <v>176</v>
      </c>
      <c r="AR868" t="s">
        <v>276</v>
      </c>
      <c r="AS868" t="s">
        <v>246</v>
      </c>
    </row>
    <row r="869" spans="1:45">
      <c r="A869" s="86" t="s">
        <v>318</v>
      </c>
      <c r="B869">
        <v>15000917</v>
      </c>
      <c r="C869" t="s">
        <v>1265</v>
      </c>
      <c r="D869" t="s">
        <v>321</v>
      </c>
      <c r="E869" t="s">
        <v>52</v>
      </c>
      <c r="F869" t="s">
        <v>319</v>
      </c>
      <c r="G869" t="s">
        <v>282</v>
      </c>
      <c r="H869" t="s">
        <v>1250</v>
      </c>
      <c r="I869">
        <v>39173</v>
      </c>
      <c r="J869" t="s">
        <v>279</v>
      </c>
      <c r="K869" t="s">
        <v>279</v>
      </c>
      <c r="L869" t="s">
        <v>324</v>
      </c>
      <c r="M869">
        <v>6</v>
      </c>
      <c r="N869" t="s">
        <v>176</v>
      </c>
      <c r="O869">
        <v>5942</v>
      </c>
      <c r="P869">
        <v>0.02</v>
      </c>
      <c r="Q869">
        <v>119</v>
      </c>
      <c r="R869">
        <v>5.0000000000000001E-3</v>
      </c>
      <c r="S869">
        <v>30</v>
      </c>
      <c r="T869">
        <v>2.5075732076741838E-2</v>
      </c>
      <c r="U869">
        <v>149</v>
      </c>
      <c r="V869">
        <v>6091</v>
      </c>
      <c r="W869">
        <v>6091</v>
      </c>
      <c r="X869">
        <v>149</v>
      </c>
      <c r="Y869">
        <v>2.5100000000000001E-2</v>
      </c>
      <c r="Z869" t="s">
        <v>1245</v>
      </c>
      <c r="AE869">
        <v>0</v>
      </c>
      <c r="AF869">
        <v>6091</v>
      </c>
      <c r="AG869">
        <v>149</v>
      </c>
      <c r="AH869" s="143">
        <v>2.5075732076741852E-2</v>
      </c>
      <c r="AI869">
        <v>13.6</v>
      </c>
      <c r="AJ869">
        <v>450</v>
      </c>
      <c r="AL869">
        <v>688</v>
      </c>
      <c r="AM869">
        <v>88925.599999999991</v>
      </c>
      <c r="AN869" t="s">
        <v>176</v>
      </c>
      <c r="AR869" t="s">
        <v>276</v>
      </c>
      <c r="AS869" t="s">
        <v>246</v>
      </c>
    </row>
    <row r="870" spans="1:45">
      <c r="A870" s="86" t="s">
        <v>318</v>
      </c>
      <c r="B870">
        <v>15000760</v>
      </c>
      <c r="C870" t="s">
        <v>1266</v>
      </c>
      <c r="D870" t="s">
        <v>321</v>
      </c>
      <c r="E870" t="s">
        <v>52</v>
      </c>
      <c r="F870" t="s">
        <v>319</v>
      </c>
      <c r="G870" t="s">
        <v>282</v>
      </c>
      <c r="H870" t="s">
        <v>1250</v>
      </c>
      <c r="I870">
        <v>39022</v>
      </c>
      <c r="J870" t="s">
        <v>279</v>
      </c>
      <c r="K870" t="s">
        <v>279</v>
      </c>
      <c r="L870" t="s">
        <v>324</v>
      </c>
      <c r="M870">
        <v>6</v>
      </c>
      <c r="N870" t="s">
        <v>176</v>
      </c>
      <c r="O870">
        <v>6747</v>
      </c>
      <c r="P870">
        <v>0.02</v>
      </c>
      <c r="Q870">
        <v>135</v>
      </c>
      <c r="R870">
        <v>5.0000000000000001E-3</v>
      </c>
      <c r="S870">
        <v>34</v>
      </c>
      <c r="T870">
        <v>2.5048169556840076E-2</v>
      </c>
      <c r="U870">
        <v>169</v>
      </c>
      <c r="V870">
        <v>6916</v>
      </c>
      <c r="W870">
        <v>6916</v>
      </c>
      <c r="X870">
        <v>169</v>
      </c>
      <c r="Y870">
        <v>2.5000000000000001E-2</v>
      </c>
      <c r="Z870" t="s">
        <v>1245</v>
      </c>
      <c r="AE870">
        <v>0</v>
      </c>
      <c r="AF870">
        <v>6916</v>
      </c>
      <c r="AG870">
        <v>169</v>
      </c>
      <c r="AH870" s="143">
        <v>2.5048169556840083E-2</v>
      </c>
      <c r="AI870">
        <v>13.6</v>
      </c>
      <c r="AJ870">
        <v>450</v>
      </c>
      <c r="AL870">
        <v>688</v>
      </c>
      <c r="AM870">
        <v>100145.59999999999</v>
      </c>
      <c r="AN870" t="s">
        <v>176</v>
      </c>
      <c r="AR870" t="s">
        <v>276</v>
      </c>
      <c r="AS870" t="s">
        <v>246</v>
      </c>
    </row>
    <row r="871" spans="1:45">
      <c r="A871" s="86" t="s">
        <v>318</v>
      </c>
      <c r="B871">
        <v>15007535</v>
      </c>
      <c r="C871" t="s">
        <v>1267</v>
      </c>
      <c r="D871" t="s">
        <v>321</v>
      </c>
      <c r="E871" t="s">
        <v>52</v>
      </c>
      <c r="F871" t="s">
        <v>319</v>
      </c>
      <c r="G871" t="s">
        <v>282</v>
      </c>
      <c r="H871" t="s">
        <v>1250</v>
      </c>
      <c r="I871">
        <v>41183</v>
      </c>
      <c r="J871" t="s">
        <v>279</v>
      </c>
      <c r="K871" t="s">
        <v>279</v>
      </c>
      <c r="L871" t="s">
        <v>324</v>
      </c>
      <c r="M871">
        <v>6</v>
      </c>
      <c r="N871" t="s">
        <v>176</v>
      </c>
      <c r="O871">
        <v>5485</v>
      </c>
      <c r="P871">
        <v>0.02</v>
      </c>
      <c r="Q871">
        <v>110</v>
      </c>
      <c r="R871">
        <v>5.0000000000000001E-3</v>
      </c>
      <c r="S871">
        <v>27</v>
      </c>
      <c r="T871">
        <v>2.4977210574293529E-2</v>
      </c>
      <c r="U871">
        <v>137</v>
      </c>
      <c r="V871">
        <v>5622</v>
      </c>
      <c r="W871">
        <v>5513</v>
      </c>
      <c r="X871">
        <v>28</v>
      </c>
      <c r="Y871">
        <v>5.1000000000000004E-3</v>
      </c>
      <c r="Z871" t="s">
        <v>1245</v>
      </c>
      <c r="AE871">
        <v>0</v>
      </c>
      <c r="AF871">
        <v>5513</v>
      </c>
      <c r="AG871">
        <v>28</v>
      </c>
      <c r="AH871" s="143">
        <v>5.1048313582497951E-3</v>
      </c>
      <c r="AI871">
        <v>13.6</v>
      </c>
      <c r="AJ871">
        <v>450</v>
      </c>
      <c r="AL871">
        <v>688</v>
      </c>
      <c r="AM871">
        <v>81064.800000000003</v>
      </c>
      <c r="AN871" t="s">
        <v>176</v>
      </c>
      <c r="AR871" t="s">
        <v>276</v>
      </c>
      <c r="AS871" t="s">
        <v>246</v>
      </c>
    </row>
    <row r="872" spans="1:45">
      <c r="A872" s="86" t="s">
        <v>318</v>
      </c>
      <c r="B872">
        <v>15009000</v>
      </c>
      <c r="C872" t="s">
        <v>1268</v>
      </c>
      <c r="D872" t="s">
        <v>321</v>
      </c>
      <c r="E872" t="s">
        <v>52</v>
      </c>
      <c r="F872" t="s">
        <v>319</v>
      </c>
      <c r="G872" t="s">
        <v>282</v>
      </c>
      <c r="H872" t="s">
        <v>1250</v>
      </c>
      <c r="I872">
        <v>41426</v>
      </c>
      <c r="J872" t="s">
        <v>279</v>
      </c>
      <c r="K872" t="s">
        <v>279</v>
      </c>
      <c r="L872" t="s">
        <v>324</v>
      </c>
      <c r="M872">
        <v>6</v>
      </c>
      <c r="N872" t="s">
        <v>176</v>
      </c>
      <c r="O872">
        <v>5712</v>
      </c>
      <c r="P872">
        <v>0.02</v>
      </c>
      <c r="Q872">
        <v>114</v>
      </c>
      <c r="R872">
        <v>5.0000000000000001E-3</v>
      </c>
      <c r="S872">
        <v>29</v>
      </c>
      <c r="T872">
        <v>2.5035014005602242E-2</v>
      </c>
      <c r="U872">
        <v>143</v>
      </c>
      <c r="V872">
        <v>5855</v>
      </c>
      <c r="W872">
        <v>5855</v>
      </c>
      <c r="X872">
        <v>143</v>
      </c>
      <c r="Y872">
        <v>2.5000000000000001E-2</v>
      </c>
      <c r="Z872" t="s">
        <v>1245</v>
      </c>
      <c r="AE872">
        <v>0</v>
      </c>
      <c r="AF872">
        <v>5855</v>
      </c>
      <c r="AG872">
        <v>143</v>
      </c>
      <c r="AH872" s="143">
        <v>2.5035014005602152E-2</v>
      </c>
      <c r="AI872">
        <v>13.6</v>
      </c>
      <c r="AJ872">
        <v>450</v>
      </c>
      <c r="AL872">
        <v>688</v>
      </c>
      <c r="AM872">
        <v>85716</v>
      </c>
      <c r="AN872" t="s">
        <v>176</v>
      </c>
      <c r="AR872" t="s">
        <v>276</v>
      </c>
      <c r="AS872" t="s">
        <v>246</v>
      </c>
    </row>
    <row r="873" spans="1:45">
      <c r="A873" s="86" t="s">
        <v>318</v>
      </c>
      <c r="B873">
        <v>15003844</v>
      </c>
      <c r="C873" t="s">
        <v>1269</v>
      </c>
      <c r="D873" t="s">
        <v>321</v>
      </c>
      <c r="E873" t="s">
        <v>52</v>
      </c>
      <c r="F873" t="s">
        <v>319</v>
      </c>
      <c r="G873" t="s">
        <v>277</v>
      </c>
      <c r="H873" t="s">
        <v>1252</v>
      </c>
      <c r="I873">
        <v>40317</v>
      </c>
      <c r="J873" t="s">
        <v>279</v>
      </c>
      <c r="K873" t="s">
        <v>279</v>
      </c>
      <c r="L873" t="s">
        <v>324</v>
      </c>
      <c r="M873">
        <v>6</v>
      </c>
      <c r="N873" t="s">
        <v>176</v>
      </c>
      <c r="O873">
        <v>6560</v>
      </c>
      <c r="P873">
        <v>0.02</v>
      </c>
      <c r="Q873">
        <v>131</v>
      </c>
      <c r="R873">
        <v>5.0000000000000001E-3</v>
      </c>
      <c r="S873">
        <v>33</v>
      </c>
      <c r="T873">
        <v>2.5000000000000001E-2</v>
      </c>
      <c r="U873">
        <v>164</v>
      </c>
      <c r="V873">
        <v>6724</v>
      </c>
      <c r="W873">
        <v>6724</v>
      </c>
      <c r="X873">
        <v>164</v>
      </c>
      <c r="Y873">
        <v>2.5000000000000001E-2</v>
      </c>
      <c r="Z873" t="s">
        <v>1245</v>
      </c>
      <c r="AE873">
        <v>0</v>
      </c>
      <c r="AF873">
        <v>6724</v>
      </c>
      <c r="AG873">
        <v>164</v>
      </c>
      <c r="AH873" s="143">
        <v>2.4999999999999911E-2</v>
      </c>
      <c r="AI873">
        <v>13.6</v>
      </c>
      <c r="AJ873">
        <v>450</v>
      </c>
      <c r="AL873">
        <v>688</v>
      </c>
      <c r="AM873">
        <v>97534.399999999994</v>
      </c>
      <c r="AN873" t="s">
        <v>176</v>
      </c>
      <c r="AR873" t="s">
        <v>276</v>
      </c>
      <c r="AS873" t="s">
        <v>246</v>
      </c>
    </row>
    <row r="874" spans="1:45">
      <c r="A874" s="86" t="s">
        <v>318</v>
      </c>
      <c r="B874">
        <v>15014752</v>
      </c>
      <c r="C874" t="s">
        <v>1270</v>
      </c>
      <c r="D874" t="s">
        <v>321</v>
      </c>
      <c r="E874" t="s">
        <v>52</v>
      </c>
      <c r="F874" t="s">
        <v>319</v>
      </c>
      <c r="G874" t="s">
        <v>282</v>
      </c>
      <c r="H874" t="s">
        <v>1250</v>
      </c>
      <c r="I874">
        <v>42461</v>
      </c>
      <c r="J874" t="s">
        <v>336</v>
      </c>
      <c r="K874" t="s">
        <v>1271</v>
      </c>
      <c r="L874" t="s">
        <v>324</v>
      </c>
      <c r="M874">
        <v>6</v>
      </c>
      <c r="N874" t="s">
        <v>176</v>
      </c>
      <c r="O874">
        <v>5237</v>
      </c>
      <c r="P874">
        <v>0.02</v>
      </c>
      <c r="Q874">
        <v>105</v>
      </c>
      <c r="R874">
        <v>5.0000000000000001E-3</v>
      </c>
      <c r="S874">
        <v>26</v>
      </c>
      <c r="T874">
        <v>2.5014321176245944E-2</v>
      </c>
      <c r="U874">
        <v>131</v>
      </c>
      <c r="V874">
        <v>5368</v>
      </c>
      <c r="W874">
        <v>5368</v>
      </c>
      <c r="X874">
        <v>131</v>
      </c>
      <c r="Y874">
        <v>2.5000000000000001E-2</v>
      </c>
      <c r="Z874" t="s">
        <v>1245</v>
      </c>
      <c r="AE874">
        <v>0</v>
      </c>
      <c r="AF874">
        <v>5368</v>
      </c>
      <c r="AG874">
        <v>131</v>
      </c>
      <c r="AH874" s="143">
        <v>2.5014321176245913E-2</v>
      </c>
      <c r="AI874">
        <v>13.6</v>
      </c>
      <c r="AJ874">
        <v>450</v>
      </c>
      <c r="AL874">
        <v>688</v>
      </c>
      <c r="AM874">
        <v>79092.800000000003</v>
      </c>
      <c r="AN874" t="s">
        <v>176</v>
      </c>
      <c r="AR874" t="s">
        <v>276</v>
      </c>
      <c r="AS874" t="s">
        <v>246</v>
      </c>
    </row>
    <row r="875" spans="1:45">
      <c r="A875" s="86" t="s">
        <v>318</v>
      </c>
      <c r="B875">
        <v>15005702</v>
      </c>
      <c r="C875" t="s">
        <v>1272</v>
      </c>
      <c r="D875" t="s">
        <v>321</v>
      </c>
      <c r="E875" t="s">
        <v>52</v>
      </c>
      <c r="F875" t="s">
        <v>319</v>
      </c>
      <c r="G875" t="s">
        <v>282</v>
      </c>
      <c r="H875" t="s">
        <v>1250</v>
      </c>
      <c r="I875">
        <v>40639</v>
      </c>
      <c r="J875" t="s">
        <v>336</v>
      </c>
      <c r="K875" t="s">
        <v>803</v>
      </c>
      <c r="L875" t="s">
        <v>324</v>
      </c>
      <c r="M875">
        <v>6</v>
      </c>
      <c r="N875" t="s">
        <v>176</v>
      </c>
      <c r="O875">
        <v>4935</v>
      </c>
      <c r="P875">
        <v>0.02</v>
      </c>
      <c r="Q875">
        <v>99</v>
      </c>
      <c r="R875">
        <v>5.0000000000000001E-3</v>
      </c>
      <c r="S875">
        <v>25</v>
      </c>
      <c r="T875">
        <v>2.5126646403242147E-2</v>
      </c>
      <c r="U875">
        <v>124</v>
      </c>
      <c r="V875">
        <v>5059</v>
      </c>
      <c r="W875">
        <v>5059</v>
      </c>
      <c r="X875">
        <v>124</v>
      </c>
      <c r="Y875">
        <v>2.5100000000000001E-2</v>
      </c>
      <c r="Z875" t="s">
        <v>1245</v>
      </c>
      <c r="AE875">
        <v>0</v>
      </c>
      <c r="AF875">
        <v>5059</v>
      </c>
      <c r="AG875">
        <v>124</v>
      </c>
      <c r="AH875" s="143">
        <v>2.5126646403242248E-2</v>
      </c>
      <c r="AI875">
        <v>13.6</v>
      </c>
      <c r="AJ875">
        <v>650</v>
      </c>
      <c r="AL875">
        <v>688</v>
      </c>
      <c r="AM875">
        <v>77290.399999999994</v>
      </c>
      <c r="AN875" t="s">
        <v>176</v>
      </c>
      <c r="AR875" t="s">
        <v>276</v>
      </c>
      <c r="AS875" t="s">
        <v>246</v>
      </c>
    </row>
    <row r="876" spans="1:45">
      <c r="A876" s="86" t="s">
        <v>318</v>
      </c>
      <c r="B876">
        <v>15018718</v>
      </c>
      <c r="C876" t="s">
        <v>1273</v>
      </c>
      <c r="D876" t="s">
        <v>321</v>
      </c>
      <c r="E876" t="s">
        <v>52</v>
      </c>
      <c r="F876" t="s">
        <v>319</v>
      </c>
      <c r="G876" t="s">
        <v>282</v>
      </c>
      <c r="H876" t="s">
        <v>1250</v>
      </c>
      <c r="I876">
        <v>43091</v>
      </c>
      <c r="J876" t="s">
        <v>336</v>
      </c>
      <c r="K876" t="s">
        <v>803</v>
      </c>
      <c r="L876" t="s">
        <v>324</v>
      </c>
      <c r="M876">
        <v>6</v>
      </c>
      <c r="N876" t="s">
        <v>176</v>
      </c>
      <c r="O876">
        <v>4629</v>
      </c>
      <c r="P876">
        <v>0.02</v>
      </c>
      <c r="Q876">
        <v>93</v>
      </c>
      <c r="R876">
        <v>5.0000000000000001E-3</v>
      </c>
      <c r="S876">
        <v>23</v>
      </c>
      <c r="T876">
        <v>2.5059408079498812E-2</v>
      </c>
      <c r="U876">
        <v>116</v>
      </c>
      <c r="V876">
        <v>4745</v>
      </c>
      <c r="W876">
        <v>4745</v>
      </c>
      <c r="X876">
        <v>116</v>
      </c>
      <c r="Y876">
        <v>2.5100000000000001E-2</v>
      </c>
      <c r="Z876" t="s">
        <v>1245</v>
      </c>
      <c r="AE876">
        <v>0</v>
      </c>
      <c r="AF876">
        <v>4745</v>
      </c>
      <c r="AG876">
        <v>116</v>
      </c>
      <c r="AH876" s="143">
        <v>2.5059408079498802E-2</v>
      </c>
      <c r="AI876">
        <v>13.6</v>
      </c>
      <c r="AJ876">
        <v>650</v>
      </c>
      <c r="AL876">
        <v>688</v>
      </c>
      <c r="AM876">
        <v>73020</v>
      </c>
      <c r="AN876" t="s">
        <v>176</v>
      </c>
      <c r="AR876" t="s">
        <v>276</v>
      </c>
      <c r="AS876" t="s">
        <v>246</v>
      </c>
    </row>
    <row r="877" spans="1:45">
      <c r="A877" s="86" t="s">
        <v>318</v>
      </c>
      <c r="B877">
        <v>15016371</v>
      </c>
      <c r="C877" t="s">
        <v>1274</v>
      </c>
      <c r="D877" t="s">
        <v>321</v>
      </c>
      <c r="E877" t="s">
        <v>52</v>
      </c>
      <c r="F877" t="s">
        <v>319</v>
      </c>
      <c r="G877" t="s">
        <v>282</v>
      </c>
      <c r="H877" t="s">
        <v>1250</v>
      </c>
      <c r="I877">
        <v>42917</v>
      </c>
      <c r="J877" t="s">
        <v>336</v>
      </c>
      <c r="K877" t="s">
        <v>1271</v>
      </c>
      <c r="L877" t="s">
        <v>324</v>
      </c>
      <c r="M877">
        <v>6</v>
      </c>
      <c r="N877" t="s">
        <v>176</v>
      </c>
      <c r="O877">
        <v>4531</v>
      </c>
      <c r="P877">
        <v>0.02</v>
      </c>
      <c r="Q877">
        <v>91</v>
      </c>
      <c r="R877">
        <v>5.0000000000000001E-3</v>
      </c>
      <c r="S877">
        <v>23</v>
      </c>
      <c r="T877">
        <v>2.5160008828073274E-2</v>
      </c>
      <c r="U877">
        <v>114</v>
      </c>
      <c r="V877">
        <v>4645</v>
      </c>
      <c r="W877">
        <v>4531</v>
      </c>
      <c r="X877">
        <v>0</v>
      </c>
      <c r="Y877">
        <v>0</v>
      </c>
      <c r="Z877" t="s">
        <v>1245</v>
      </c>
      <c r="AE877">
        <v>0</v>
      </c>
      <c r="AF877">
        <v>4531</v>
      </c>
      <c r="AG877">
        <v>0</v>
      </c>
      <c r="AH877" s="143">
        <v>0</v>
      </c>
      <c r="AI877">
        <v>13.6</v>
      </c>
      <c r="AJ877">
        <v>450</v>
      </c>
      <c r="AL877">
        <v>688</v>
      </c>
      <c r="AM877">
        <v>67709.600000000006</v>
      </c>
      <c r="AN877" t="s">
        <v>176</v>
      </c>
      <c r="AQ877" s="21" t="s">
        <v>107</v>
      </c>
      <c r="AR877" t="s">
        <v>276</v>
      </c>
      <c r="AS877" t="s">
        <v>246</v>
      </c>
    </row>
    <row r="878" spans="1:45">
      <c r="A878" s="86" t="s">
        <v>318</v>
      </c>
      <c r="B878">
        <v>15004370</v>
      </c>
      <c r="C878" t="s">
        <v>1275</v>
      </c>
      <c r="D878" t="s">
        <v>321</v>
      </c>
      <c r="E878" t="s">
        <v>52</v>
      </c>
      <c r="F878" t="s">
        <v>319</v>
      </c>
      <c r="G878" t="s">
        <v>282</v>
      </c>
      <c r="H878" t="s">
        <v>1250</v>
      </c>
      <c r="I878">
        <v>40401</v>
      </c>
      <c r="J878" t="s">
        <v>336</v>
      </c>
      <c r="K878" t="s">
        <v>803</v>
      </c>
      <c r="L878" t="s">
        <v>324</v>
      </c>
      <c r="M878">
        <v>6</v>
      </c>
      <c r="N878" t="s">
        <v>176</v>
      </c>
      <c r="O878">
        <v>4578</v>
      </c>
      <c r="P878">
        <v>0.02</v>
      </c>
      <c r="Q878">
        <v>92</v>
      </c>
      <c r="R878">
        <v>5.0000000000000001E-3</v>
      </c>
      <c r="S878">
        <v>23</v>
      </c>
      <c r="T878">
        <v>2.5120139799038883E-2</v>
      </c>
      <c r="U878">
        <v>115</v>
      </c>
      <c r="V878">
        <v>4693</v>
      </c>
      <c r="W878">
        <v>4647</v>
      </c>
      <c r="X878">
        <v>69</v>
      </c>
      <c r="Y878">
        <v>1.5100000000000001E-2</v>
      </c>
      <c r="Z878" t="s">
        <v>1245</v>
      </c>
      <c r="AE878">
        <v>0</v>
      </c>
      <c r="AF878">
        <v>4647</v>
      </c>
      <c r="AG878">
        <v>69</v>
      </c>
      <c r="AH878" s="143">
        <v>1.5072083879423381E-2</v>
      </c>
      <c r="AI878">
        <v>13.6</v>
      </c>
      <c r="AJ878">
        <v>650</v>
      </c>
      <c r="AL878">
        <v>688</v>
      </c>
      <c r="AM878">
        <v>71687.199999999997</v>
      </c>
      <c r="AN878" t="s">
        <v>176</v>
      </c>
      <c r="AR878" t="s">
        <v>276</v>
      </c>
      <c r="AS878" t="s">
        <v>246</v>
      </c>
    </row>
    <row r="879" spans="1:45">
      <c r="A879" s="86" t="s">
        <v>318</v>
      </c>
      <c r="B879">
        <v>15016686</v>
      </c>
      <c r="C879" t="s">
        <v>1276</v>
      </c>
      <c r="D879" t="s">
        <v>321</v>
      </c>
      <c r="E879" t="s">
        <v>52</v>
      </c>
      <c r="F879" t="s">
        <v>319</v>
      </c>
      <c r="G879" t="s">
        <v>277</v>
      </c>
      <c r="H879" t="s">
        <v>1252</v>
      </c>
      <c r="I879">
        <v>42917</v>
      </c>
      <c r="J879" t="s">
        <v>336</v>
      </c>
      <c r="K879" t="s">
        <v>803</v>
      </c>
      <c r="L879" t="s">
        <v>324</v>
      </c>
      <c r="M879">
        <v>6</v>
      </c>
      <c r="N879" t="s">
        <v>176</v>
      </c>
      <c r="O879">
        <v>4629</v>
      </c>
      <c r="P879">
        <v>0.02</v>
      </c>
      <c r="Q879">
        <v>93</v>
      </c>
      <c r="R879">
        <v>5.0000000000000001E-3</v>
      </c>
      <c r="S879">
        <v>23</v>
      </c>
      <c r="T879">
        <v>2.5059408079498812E-2</v>
      </c>
      <c r="U879">
        <v>116</v>
      </c>
      <c r="V879">
        <v>4745</v>
      </c>
      <c r="W879">
        <v>4687</v>
      </c>
      <c r="X879">
        <v>58</v>
      </c>
      <c r="Y879">
        <v>1.2500000000000001E-2</v>
      </c>
      <c r="Z879" t="s">
        <v>1245</v>
      </c>
      <c r="AE879">
        <v>0</v>
      </c>
      <c r="AF879">
        <v>4687</v>
      </c>
      <c r="AG879">
        <v>58</v>
      </c>
      <c r="AH879" s="143">
        <v>1.2529704039749401E-2</v>
      </c>
      <c r="AI879">
        <v>13.6</v>
      </c>
      <c r="AJ879">
        <v>650</v>
      </c>
      <c r="AL879">
        <v>688</v>
      </c>
      <c r="AM879">
        <v>72231.199999999997</v>
      </c>
      <c r="AN879" t="s">
        <v>176</v>
      </c>
      <c r="AR879" t="s">
        <v>276</v>
      </c>
      <c r="AS879" t="s">
        <v>246</v>
      </c>
    </row>
    <row r="880" spans="1:45">
      <c r="A880" s="86" t="s">
        <v>318</v>
      </c>
      <c r="B880">
        <v>15007600</v>
      </c>
      <c r="C880" t="s">
        <v>1277</v>
      </c>
      <c r="D880" t="s">
        <v>321</v>
      </c>
      <c r="E880" t="s">
        <v>52</v>
      </c>
      <c r="F880" t="s">
        <v>319</v>
      </c>
      <c r="G880" t="s">
        <v>282</v>
      </c>
      <c r="H880" t="s">
        <v>1250</v>
      </c>
      <c r="I880">
        <v>40994</v>
      </c>
      <c r="J880" t="s">
        <v>336</v>
      </c>
      <c r="K880" t="s">
        <v>803</v>
      </c>
      <c r="L880" t="s">
        <v>324</v>
      </c>
      <c r="M880">
        <v>6</v>
      </c>
      <c r="N880" t="s">
        <v>176</v>
      </c>
      <c r="O880">
        <v>7419</v>
      </c>
      <c r="P880">
        <v>0.02</v>
      </c>
      <c r="Q880">
        <v>148</v>
      </c>
      <c r="R880">
        <v>5.0000000000000001E-3</v>
      </c>
      <c r="S880">
        <v>37</v>
      </c>
      <c r="T880">
        <v>2.4935975198813857E-2</v>
      </c>
      <c r="U880">
        <v>185</v>
      </c>
      <c r="V880">
        <v>7604</v>
      </c>
      <c r="W880">
        <v>7605</v>
      </c>
      <c r="X880">
        <v>186</v>
      </c>
      <c r="Y880">
        <v>2.5100000000000001E-2</v>
      </c>
      <c r="Z880" t="s">
        <v>1245</v>
      </c>
      <c r="AE880">
        <v>0</v>
      </c>
      <c r="AF880">
        <v>7605</v>
      </c>
      <c r="AG880">
        <v>186</v>
      </c>
      <c r="AH880" s="143">
        <v>2.5070764253942501E-2</v>
      </c>
      <c r="AI880">
        <v>13.6</v>
      </c>
      <c r="AJ880">
        <v>650</v>
      </c>
      <c r="AL880">
        <v>688</v>
      </c>
      <c r="AM880">
        <v>111916</v>
      </c>
      <c r="AN880" t="s">
        <v>176</v>
      </c>
      <c r="AR880" t="s">
        <v>276</v>
      </c>
      <c r="AS880" t="s">
        <v>246</v>
      </c>
    </row>
    <row r="881" spans="1:45">
      <c r="A881" s="86" t="s">
        <v>318</v>
      </c>
      <c r="B881">
        <v>15011171</v>
      </c>
      <c r="C881" t="s">
        <v>1278</v>
      </c>
      <c r="D881" t="s">
        <v>321</v>
      </c>
      <c r="E881" t="s">
        <v>52</v>
      </c>
      <c r="F881" t="s">
        <v>319</v>
      </c>
      <c r="G881" t="s">
        <v>282</v>
      </c>
      <c r="H881" t="s">
        <v>1250</v>
      </c>
      <c r="I881">
        <v>41640</v>
      </c>
      <c r="J881" t="s">
        <v>336</v>
      </c>
      <c r="K881" t="s">
        <v>803</v>
      </c>
      <c r="L881" t="s">
        <v>324</v>
      </c>
      <c r="M881">
        <v>6</v>
      </c>
      <c r="N881" t="s">
        <v>176</v>
      </c>
      <c r="O881">
        <v>4629</v>
      </c>
      <c r="P881">
        <v>0.02</v>
      </c>
      <c r="Q881">
        <v>93</v>
      </c>
      <c r="R881">
        <v>5.0000000000000001E-3</v>
      </c>
      <c r="S881">
        <v>23</v>
      </c>
      <c r="T881">
        <v>2.5059408079498812E-2</v>
      </c>
      <c r="U881">
        <v>116</v>
      </c>
      <c r="V881">
        <v>4745</v>
      </c>
      <c r="W881">
        <v>4745</v>
      </c>
      <c r="X881">
        <v>116</v>
      </c>
      <c r="Y881">
        <v>2.5100000000000001E-2</v>
      </c>
      <c r="Z881" t="s">
        <v>1245</v>
      </c>
      <c r="AE881">
        <v>0</v>
      </c>
      <c r="AF881">
        <v>4745</v>
      </c>
      <c r="AG881">
        <v>116</v>
      </c>
      <c r="AH881" s="143">
        <v>2.5059408079498802E-2</v>
      </c>
      <c r="AI881">
        <v>13.6</v>
      </c>
      <c r="AJ881">
        <v>650</v>
      </c>
      <c r="AL881">
        <v>688</v>
      </c>
      <c r="AM881">
        <v>73020</v>
      </c>
      <c r="AN881" t="s">
        <v>176</v>
      </c>
      <c r="AR881" t="s">
        <v>276</v>
      </c>
      <c r="AS881" t="s">
        <v>246</v>
      </c>
    </row>
    <row r="882" spans="1:45">
      <c r="A882" s="86" t="s">
        <v>318</v>
      </c>
      <c r="B882">
        <v>15002579</v>
      </c>
      <c r="C882" t="s">
        <v>1279</v>
      </c>
      <c r="D882" t="s">
        <v>321</v>
      </c>
      <c r="E882" t="s">
        <v>52</v>
      </c>
      <c r="F882" t="s">
        <v>319</v>
      </c>
      <c r="G882" t="s">
        <v>282</v>
      </c>
      <c r="H882" t="s">
        <v>1250</v>
      </c>
      <c r="I882">
        <v>40087</v>
      </c>
      <c r="J882" t="s">
        <v>336</v>
      </c>
      <c r="K882" t="s">
        <v>1271</v>
      </c>
      <c r="L882" t="s">
        <v>324</v>
      </c>
      <c r="M882">
        <v>6</v>
      </c>
      <c r="N882" t="s">
        <v>176</v>
      </c>
      <c r="O882">
        <v>5575</v>
      </c>
      <c r="P882">
        <v>0.02</v>
      </c>
      <c r="Q882">
        <v>112</v>
      </c>
      <c r="R882">
        <v>5.0000000000000001E-3</v>
      </c>
      <c r="S882">
        <v>28</v>
      </c>
      <c r="T882">
        <v>2.5112107623318385E-2</v>
      </c>
      <c r="U882">
        <v>140</v>
      </c>
      <c r="V882">
        <v>5715</v>
      </c>
      <c r="W882">
        <v>5715</v>
      </c>
      <c r="X882">
        <v>140</v>
      </c>
      <c r="Y882">
        <v>2.5100000000000001E-2</v>
      </c>
      <c r="Z882" t="s">
        <v>1245</v>
      </c>
      <c r="AE882">
        <v>0</v>
      </c>
      <c r="AF882">
        <v>5715</v>
      </c>
      <c r="AG882">
        <v>140</v>
      </c>
      <c r="AH882" s="143">
        <v>2.5112107623318281E-2</v>
      </c>
      <c r="AI882">
        <v>13.6</v>
      </c>
      <c r="AJ882">
        <v>450</v>
      </c>
      <c r="AL882">
        <v>688</v>
      </c>
      <c r="AM882">
        <v>83812</v>
      </c>
      <c r="AN882" t="s">
        <v>176</v>
      </c>
      <c r="AR882" t="s">
        <v>276</v>
      </c>
      <c r="AS882" t="s">
        <v>246</v>
      </c>
    </row>
    <row r="883" spans="1:45">
      <c r="A883" s="86" t="s">
        <v>318</v>
      </c>
      <c r="B883">
        <v>15019001</v>
      </c>
      <c r="C883" t="s">
        <v>1280</v>
      </c>
      <c r="D883" t="s">
        <v>321</v>
      </c>
      <c r="E883" t="s">
        <v>52</v>
      </c>
      <c r="F883" t="s">
        <v>319</v>
      </c>
      <c r="G883" t="s">
        <v>282</v>
      </c>
      <c r="H883" t="s">
        <v>1250</v>
      </c>
      <c r="I883">
        <v>43173</v>
      </c>
      <c r="J883" t="s">
        <v>336</v>
      </c>
      <c r="K883" t="s">
        <v>803</v>
      </c>
      <c r="L883" t="s">
        <v>324</v>
      </c>
      <c r="M883">
        <v>6</v>
      </c>
      <c r="N883" t="s">
        <v>176</v>
      </c>
      <c r="O883">
        <v>4553</v>
      </c>
      <c r="P883">
        <v>0.02</v>
      </c>
      <c r="Q883">
        <v>91</v>
      </c>
      <c r="R883">
        <v>5.0000000000000001E-3</v>
      </c>
      <c r="S883">
        <v>23</v>
      </c>
      <c r="T883">
        <v>2.5038436195914782E-2</v>
      </c>
      <c r="U883">
        <v>114</v>
      </c>
      <c r="V883">
        <v>4667</v>
      </c>
      <c r="W883">
        <v>4667</v>
      </c>
      <c r="X883">
        <v>114</v>
      </c>
      <c r="Y883">
        <v>2.5000000000000001E-2</v>
      </c>
      <c r="Z883" t="s">
        <v>1245</v>
      </c>
      <c r="AE883">
        <v>0</v>
      </c>
      <c r="AF883">
        <v>4667</v>
      </c>
      <c r="AG883">
        <v>114</v>
      </c>
      <c r="AH883" s="143">
        <v>2.5038436195914837E-2</v>
      </c>
      <c r="AI883">
        <v>13.6</v>
      </c>
      <c r="AJ883">
        <v>650</v>
      </c>
      <c r="AL883">
        <v>688</v>
      </c>
      <c r="AM883">
        <v>71959.199999999997</v>
      </c>
      <c r="AN883" t="s">
        <v>176</v>
      </c>
      <c r="AR883" t="s">
        <v>276</v>
      </c>
      <c r="AS883" t="s">
        <v>246</v>
      </c>
    </row>
    <row r="884" spans="1:45">
      <c r="A884" s="86" t="s">
        <v>318</v>
      </c>
      <c r="B884">
        <v>15004924</v>
      </c>
      <c r="C884" t="s">
        <v>1281</v>
      </c>
      <c r="D884" t="s">
        <v>321</v>
      </c>
      <c r="E884" t="s">
        <v>52</v>
      </c>
      <c r="F884" t="s">
        <v>319</v>
      </c>
      <c r="G884" t="s">
        <v>282</v>
      </c>
      <c r="H884" t="s">
        <v>1250</v>
      </c>
      <c r="I884">
        <v>40497</v>
      </c>
      <c r="J884" t="s">
        <v>336</v>
      </c>
      <c r="K884" t="s">
        <v>803</v>
      </c>
      <c r="L884" t="s">
        <v>324</v>
      </c>
      <c r="M884">
        <v>6</v>
      </c>
      <c r="N884" t="s">
        <v>176</v>
      </c>
      <c r="O884">
        <v>4629</v>
      </c>
      <c r="P884">
        <v>0.02</v>
      </c>
      <c r="Q884">
        <v>93</v>
      </c>
      <c r="R884">
        <v>5.0000000000000001E-3</v>
      </c>
      <c r="S884">
        <v>23</v>
      </c>
      <c r="T884">
        <v>2.5059408079498812E-2</v>
      </c>
      <c r="U884">
        <v>116</v>
      </c>
      <c r="V884">
        <v>4745</v>
      </c>
      <c r="W884">
        <v>4745</v>
      </c>
      <c r="X884">
        <v>116</v>
      </c>
      <c r="Y884">
        <v>2.5100000000000001E-2</v>
      </c>
      <c r="Z884" t="s">
        <v>1245</v>
      </c>
      <c r="AE884">
        <v>0</v>
      </c>
      <c r="AF884">
        <v>4745</v>
      </c>
      <c r="AG884">
        <v>116</v>
      </c>
      <c r="AH884" s="143">
        <v>2.5059408079498802E-2</v>
      </c>
      <c r="AI884">
        <v>13.6</v>
      </c>
      <c r="AJ884">
        <v>650</v>
      </c>
      <c r="AL884">
        <v>688</v>
      </c>
      <c r="AM884">
        <v>73020</v>
      </c>
      <c r="AN884" t="s">
        <v>176</v>
      </c>
      <c r="AR884" t="s">
        <v>276</v>
      </c>
      <c r="AS884" t="s">
        <v>246</v>
      </c>
    </row>
    <row r="885" spans="1:45">
      <c r="A885" s="86" t="s">
        <v>318</v>
      </c>
      <c r="B885">
        <v>15011883</v>
      </c>
      <c r="C885" t="s">
        <v>1282</v>
      </c>
      <c r="D885" t="s">
        <v>321</v>
      </c>
      <c r="E885" t="s">
        <v>52</v>
      </c>
      <c r="F885" t="s">
        <v>319</v>
      </c>
      <c r="G885" t="s">
        <v>282</v>
      </c>
      <c r="H885" t="s">
        <v>1250</v>
      </c>
      <c r="I885">
        <v>41609</v>
      </c>
      <c r="J885" t="s">
        <v>336</v>
      </c>
      <c r="K885" t="s">
        <v>1271</v>
      </c>
      <c r="L885" t="s">
        <v>324</v>
      </c>
      <c r="M885">
        <v>6</v>
      </c>
      <c r="N885" t="s">
        <v>176</v>
      </c>
      <c r="O885">
        <v>4924</v>
      </c>
      <c r="P885">
        <v>0.02</v>
      </c>
      <c r="Q885">
        <v>98</v>
      </c>
      <c r="R885">
        <v>5.0000000000000001E-3</v>
      </c>
      <c r="S885">
        <v>25</v>
      </c>
      <c r="T885">
        <v>2.4979691307879772E-2</v>
      </c>
      <c r="U885">
        <v>123</v>
      </c>
      <c r="V885">
        <v>5047</v>
      </c>
      <c r="W885">
        <v>4924</v>
      </c>
      <c r="X885">
        <v>0</v>
      </c>
      <c r="Y885">
        <v>0</v>
      </c>
      <c r="Z885" t="s">
        <v>1245</v>
      </c>
      <c r="AE885">
        <v>0</v>
      </c>
      <c r="AF885">
        <v>4924</v>
      </c>
      <c r="AG885">
        <v>0</v>
      </c>
      <c r="AH885" s="143">
        <v>0</v>
      </c>
      <c r="AI885">
        <v>13.6</v>
      </c>
      <c r="AJ885">
        <v>450</v>
      </c>
      <c r="AL885">
        <v>688</v>
      </c>
      <c r="AM885">
        <v>73054.399999999994</v>
      </c>
      <c r="AN885" t="s">
        <v>176</v>
      </c>
      <c r="AQ885" s="21" t="s">
        <v>107</v>
      </c>
      <c r="AR885" t="s">
        <v>276</v>
      </c>
      <c r="AS885" t="s">
        <v>246</v>
      </c>
    </row>
    <row r="886" spans="1:45">
      <c r="A886" s="86" t="s">
        <v>318</v>
      </c>
      <c r="B886">
        <v>15021467</v>
      </c>
      <c r="C886" t="s">
        <v>1283</v>
      </c>
      <c r="D886" t="s">
        <v>321</v>
      </c>
      <c r="E886" t="s">
        <v>52</v>
      </c>
      <c r="F886" t="s">
        <v>319</v>
      </c>
      <c r="G886" t="s">
        <v>282</v>
      </c>
      <c r="H886" t="s">
        <v>1250</v>
      </c>
      <c r="I886">
        <v>44531</v>
      </c>
      <c r="J886" t="s">
        <v>336</v>
      </c>
      <c r="K886" t="s">
        <v>1271</v>
      </c>
      <c r="L886" t="s">
        <v>324</v>
      </c>
      <c r="M886">
        <v>6</v>
      </c>
      <c r="N886" t="s">
        <v>176</v>
      </c>
      <c r="O886">
        <v>4620</v>
      </c>
      <c r="P886">
        <v>0.02</v>
      </c>
      <c r="Q886">
        <v>92</v>
      </c>
      <c r="R886">
        <v>5.0000000000000001E-3</v>
      </c>
      <c r="S886">
        <v>23</v>
      </c>
      <c r="T886">
        <v>2.4891774891774892E-2</v>
      </c>
      <c r="U886">
        <v>115</v>
      </c>
      <c r="V886">
        <v>4735</v>
      </c>
      <c r="W886">
        <v>4736</v>
      </c>
      <c r="X886">
        <v>116</v>
      </c>
      <c r="Y886">
        <v>2.5100000000000001E-2</v>
      </c>
      <c r="Z886" t="s">
        <v>1245</v>
      </c>
      <c r="AE886">
        <v>0</v>
      </c>
      <c r="AF886">
        <v>4736</v>
      </c>
      <c r="AG886">
        <v>116</v>
      </c>
      <c r="AH886" s="143">
        <v>2.510822510822508E-2</v>
      </c>
      <c r="AI886">
        <v>13.6</v>
      </c>
      <c r="AJ886">
        <v>450</v>
      </c>
      <c r="AL886">
        <v>688</v>
      </c>
      <c r="AM886">
        <v>70497.600000000006</v>
      </c>
      <c r="AN886" t="s">
        <v>176</v>
      </c>
      <c r="AR886" t="s">
        <v>276</v>
      </c>
      <c r="AS886" t="s">
        <v>246</v>
      </c>
    </row>
    <row r="887" spans="1:45">
      <c r="A887" s="86" t="s">
        <v>318</v>
      </c>
      <c r="B887">
        <v>15004331</v>
      </c>
      <c r="C887" t="s">
        <v>1284</v>
      </c>
      <c r="D887" t="s">
        <v>321</v>
      </c>
      <c r="E887" t="s">
        <v>52</v>
      </c>
      <c r="F887" t="s">
        <v>319</v>
      </c>
      <c r="G887" t="s">
        <v>282</v>
      </c>
      <c r="H887" t="s">
        <v>1250</v>
      </c>
      <c r="I887">
        <v>40452</v>
      </c>
      <c r="J887" t="s">
        <v>336</v>
      </c>
      <c r="K887" t="s">
        <v>803</v>
      </c>
      <c r="L887" t="s">
        <v>324</v>
      </c>
      <c r="M887">
        <v>6</v>
      </c>
      <c r="N887" t="s">
        <v>176</v>
      </c>
      <c r="O887">
        <v>4629</v>
      </c>
      <c r="P887">
        <v>0.02</v>
      </c>
      <c r="Q887">
        <v>93</v>
      </c>
      <c r="R887">
        <v>5.0000000000000001E-3</v>
      </c>
      <c r="S887">
        <v>23</v>
      </c>
      <c r="T887">
        <v>2.5059408079498812E-2</v>
      </c>
      <c r="U887">
        <v>116</v>
      </c>
      <c r="V887">
        <v>4745</v>
      </c>
      <c r="W887">
        <v>4745</v>
      </c>
      <c r="X887">
        <v>116</v>
      </c>
      <c r="Y887">
        <v>2.5100000000000001E-2</v>
      </c>
      <c r="Z887" t="s">
        <v>1245</v>
      </c>
      <c r="AE887">
        <v>0</v>
      </c>
      <c r="AF887">
        <v>4745</v>
      </c>
      <c r="AG887">
        <v>116</v>
      </c>
      <c r="AH887" s="143">
        <v>2.5059408079498802E-2</v>
      </c>
      <c r="AI887">
        <v>13.6</v>
      </c>
      <c r="AJ887">
        <v>650</v>
      </c>
      <c r="AL887">
        <v>688</v>
      </c>
      <c r="AM887">
        <v>73020</v>
      </c>
      <c r="AN887" t="s">
        <v>176</v>
      </c>
      <c r="AR887" t="s">
        <v>276</v>
      </c>
      <c r="AS887" t="s">
        <v>246</v>
      </c>
    </row>
    <row r="888" spans="1:45">
      <c r="A888" s="86" t="s">
        <v>318</v>
      </c>
      <c r="B888">
        <v>15005297</v>
      </c>
      <c r="C888" t="s">
        <v>1285</v>
      </c>
      <c r="D888" t="s">
        <v>321</v>
      </c>
      <c r="E888" t="s">
        <v>52</v>
      </c>
      <c r="F888" t="s">
        <v>319</v>
      </c>
      <c r="G888" t="s">
        <v>282</v>
      </c>
      <c r="H888" t="s">
        <v>1250</v>
      </c>
      <c r="I888">
        <v>40787</v>
      </c>
      <c r="J888" t="s">
        <v>336</v>
      </c>
      <c r="K888" t="s">
        <v>1271</v>
      </c>
      <c r="L888" t="s">
        <v>324</v>
      </c>
      <c r="M888">
        <v>6</v>
      </c>
      <c r="N888" t="s">
        <v>176</v>
      </c>
      <c r="O888">
        <v>4599</v>
      </c>
      <c r="P888">
        <v>0.02</v>
      </c>
      <c r="Q888">
        <v>92</v>
      </c>
      <c r="R888">
        <v>5.0000000000000001E-3</v>
      </c>
      <c r="S888">
        <v>23</v>
      </c>
      <c r="T888">
        <v>2.5005435964340073E-2</v>
      </c>
      <c r="U888">
        <v>115</v>
      </c>
      <c r="V888">
        <v>4714</v>
      </c>
      <c r="W888">
        <v>4714</v>
      </c>
      <c r="X888">
        <v>115</v>
      </c>
      <c r="Y888">
        <v>2.5000000000000001E-2</v>
      </c>
      <c r="Z888" t="s">
        <v>1245</v>
      </c>
      <c r="AE888">
        <v>0</v>
      </c>
      <c r="AF888">
        <v>4714</v>
      </c>
      <c r="AG888">
        <v>115</v>
      </c>
      <c r="AH888" s="143">
        <v>2.5005435964340128E-2</v>
      </c>
      <c r="AI888">
        <v>13.6</v>
      </c>
      <c r="AJ888">
        <v>450</v>
      </c>
      <c r="AL888">
        <v>688</v>
      </c>
      <c r="AM888">
        <v>70198.399999999994</v>
      </c>
      <c r="AN888" t="s">
        <v>176</v>
      </c>
      <c r="AR888" t="s">
        <v>276</v>
      </c>
      <c r="AS888" t="s">
        <v>246</v>
      </c>
    </row>
    <row r="889" spans="1:45">
      <c r="A889" s="86" t="s">
        <v>318</v>
      </c>
      <c r="B889">
        <v>15001958</v>
      </c>
      <c r="C889" t="s">
        <v>1286</v>
      </c>
      <c r="D889" t="s">
        <v>321</v>
      </c>
      <c r="E889" t="s">
        <v>52</v>
      </c>
      <c r="F889" t="s">
        <v>319</v>
      </c>
      <c r="G889" t="s">
        <v>282</v>
      </c>
      <c r="H889" t="s">
        <v>1250</v>
      </c>
      <c r="I889">
        <v>39688</v>
      </c>
      <c r="J889" t="s">
        <v>336</v>
      </c>
      <c r="K889" t="s">
        <v>803</v>
      </c>
      <c r="L889" t="s">
        <v>324</v>
      </c>
      <c r="M889">
        <v>6</v>
      </c>
      <c r="N889" t="s">
        <v>176</v>
      </c>
      <c r="O889">
        <v>5031</v>
      </c>
      <c r="P889">
        <v>0.02</v>
      </c>
      <c r="Q889">
        <v>101</v>
      </c>
      <c r="R889">
        <v>5.0000000000000001E-3</v>
      </c>
      <c r="S889">
        <v>25</v>
      </c>
      <c r="T889">
        <v>2.5044722719141325E-2</v>
      </c>
      <c r="U889">
        <v>126</v>
      </c>
      <c r="V889">
        <v>5157</v>
      </c>
      <c r="W889">
        <v>5157</v>
      </c>
      <c r="X889">
        <v>126</v>
      </c>
      <c r="Y889">
        <v>2.5000000000000001E-2</v>
      </c>
      <c r="Z889" t="s">
        <v>1245</v>
      </c>
      <c r="AE889">
        <v>0</v>
      </c>
      <c r="AF889">
        <v>5157</v>
      </c>
      <c r="AG889">
        <v>126</v>
      </c>
      <c r="AH889" s="143">
        <v>2.5044722719141266E-2</v>
      </c>
      <c r="AI889">
        <v>13.6</v>
      </c>
      <c r="AJ889">
        <v>650</v>
      </c>
      <c r="AL889">
        <v>688</v>
      </c>
      <c r="AM889">
        <v>78623.199999999997</v>
      </c>
      <c r="AN889" t="s">
        <v>176</v>
      </c>
      <c r="AR889" t="s">
        <v>276</v>
      </c>
      <c r="AS889" t="s">
        <v>246</v>
      </c>
    </row>
    <row r="890" spans="1:45">
      <c r="A890" s="86" t="s">
        <v>318</v>
      </c>
      <c r="B890">
        <v>15012275</v>
      </c>
      <c r="C890" t="s">
        <v>1287</v>
      </c>
      <c r="D890" t="s">
        <v>321</v>
      </c>
      <c r="E890" t="s">
        <v>52</v>
      </c>
      <c r="F890" t="s">
        <v>319</v>
      </c>
      <c r="G890" t="s">
        <v>282</v>
      </c>
      <c r="H890" t="s">
        <v>1250</v>
      </c>
      <c r="I890">
        <v>41699</v>
      </c>
      <c r="J890" t="s">
        <v>336</v>
      </c>
      <c r="K890" t="s">
        <v>1271</v>
      </c>
      <c r="L890" t="s">
        <v>324</v>
      </c>
      <c r="M890">
        <v>6</v>
      </c>
      <c r="N890" t="s">
        <v>176</v>
      </c>
      <c r="O890">
        <v>4874</v>
      </c>
      <c r="P890">
        <v>0.02</v>
      </c>
      <c r="Q890">
        <v>97</v>
      </c>
      <c r="R890">
        <v>5.0000000000000001E-3</v>
      </c>
      <c r="S890">
        <v>24</v>
      </c>
      <c r="T890">
        <v>2.4825605252359457E-2</v>
      </c>
      <c r="U890">
        <v>121</v>
      </c>
      <c r="V890">
        <v>4995</v>
      </c>
      <c r="W890">
        <v>4996</v>
      </c>
      <c r="X890">
        <v>122</v>
      </c>
      <c r="Y890">
        <v>2.5000000000000001E-2</v>
      </c>
      <c r="Z890" t="s">
        <v>1245</v>
      </c>
      <c r="AE890">
        <v>0</v>
      </c>
      <c r="AF890">
        <v>4996</v>
      </c>
      <c r="AG890">
        <v>122</v>
      </c>
      <c r="AH890" s="143">
        <v>2.5030775543701367E-2</v>
      </c>
      <c r="AI890">
        <v>13.6</v>
      </c>
      <c r="AJ890">
        <v>450</v>
      </c>
      <c r="AL890">
        <v>688</v>
      </c>
      <c r="AM890">
        <v>74033.599999999991</v>
      </c>
      <c r="AN890" t="s">
        <v>176</v>
      </c>
      <c r="AO890" t="s">
        <v>490</v>
      </c>
      <c r="AR890" t="s">
        <v>276</v>
      </c>
      <c r="AS890" t="s">
        <v>246</v>
      </c>
    </row>
    <row r="891" spans="1:45">
      <c r="A891" s="86" t="s">
        <v>318</v>
      </c>
      <c r="B891">
        <v>15012427</v>
      </c>
      <c r="C891" t="s">
        <v>1288</v>
      </c>
      <c r="D891" t="s">
        <v>321</v>
      </c>
      <c r="E891" t="s">
        <v>52</v>
      </c>
      <c r="F891" t="s">
        <v>319</v>
      </c>
      <c r="G891" t="s">
        <v>282</v>
      </c>
      <c r="H891" t="s">
        <v>1250</v>
      </c>
      <c r="I891">
        <v>41730</v>
      </c>
      <c r="J891" t="s">
        <v>336</v>
      </c>
      <c r="K891" t="s">
        <v>1271</v>
      </c>
      <c r="L891" t="s">
        <v>324</v>
      </c>
      <c r="M891">
        <v>6</v>
      </c>
      <c r="N891" t="s">
        <v>176</v>
      </c>
      <c r="O891">
        <v>5124</v>
      </c>
      <c r="P891">
        <v>0.02</v>
      </c>
      <c r="Q891">
        <v>102</v>
      </c>
      <c r="R891">
        <v>5.0000000000000001E-3</v>
      </c>
      <c r="S891">
        <v>26</v>
      </c>
      <c r="T891">
        <v>2.4980483996877439E-2</v>
      </c>
      <c r="U891">
        <v>128</v>
      </c>
      <c r="V891">
        <v>5252</v>
      </c>
      <c r="W891">
        <v>5304</v>
      </c>
      <c r="X891">
        <v>180</v>
      </c>
      <c r="Y891">
        <v>3.5099999999999999E-2</v>
      </c>
      <c r="Z891" t="s">
        <v>1245</v>
      </c>
      <c r="AE891">
        <v>0</v>
      </c>
      <c r="AF891">
        <v>5304</v>
      </c>
      <c r="AG891">
        <v>180</v>
      </c>
      <c r="AH891" s="143">
        <v>3.5128805620608938E-2</v>
      </c>
      <c r="AI891">
        <v>13.6</v>
      </c>
      <c r="AJ891">
        <v>450</v>
      </c>
      <c r="AL891">
        <v>688</v>
      </c>
      <c r="AM891">
        <v>78222.399999999994</v>
      </c>
      <c r="AN891" t="s">
        <v>176</v>
      </c>
      <c r="AR891" t="s">
        <v>276</v>
      </c>
      <c r="AS891" t="s">
        <v>246</v>
      </c>
    </row>
    <row r="892" spans="1:45">
      <c r="A892" s="86" t="s">
        <v>318</v>
      </c>
      <c r="B892">
        <v>15004945</v>
      </c>
      <c r="C892" t="s">
        <v>1289</v>
      </c>
      <c r="D892" t="s">
        <v>321</v>
      </c>
      <c r="E892" t="s">
        <v>52</v>
      </c>
      <c r="F892" t="s">
        <v>319</v>
      </c>
      <c r="G892" t="s">
        <v>282</v>
      </c>
      <c r="H892" t="s">
        <v>1250</v>
      </c>
      <c r="I892">
        <v>40499</v>
      </c>
      <c r="J892" t="s">
        <v>336</v>
      </c>
      <c r="K892" t="s">
        <v>803</v>
      </c>
      <c r="L892" t="s">
        <v>324</v>
      </c>
      <c r="M892">
        <v>6</v>
      </c>
      <c r="N892" t="s">
        <v>176</v>
      </c>
      <c r="O892">
        <v>4553</v>
      </c>
      <c r="P892">
        <v>0.02</v>
      </c>
      <c r="Q892">
        <v>91</v>
      </c>
      <c r="R892">
        <v>5.0000000000000001E-3</v>
      </c>
      <c r="S892">
        <v>23</v>
      </c>
      <c r="T892">
        <v>2.5038436195914782E-2</v>
      </c>
      <c r="U892">
        <v>114</v>
      </c>
      <c r="V892">
        <v>4667</v>
      </c>
      <c r="W892">
        <v>4667</v>
      </c>
      <c r="X892">
        <v>114</v>
      </c>
      <c r="Y892">
        <v>2.5000000000000001E-2</v>
      </c>
      <c r="Z892" t="s">
        <v>1245</v>
      </c>
      <c r="AE892">
        <v>0</v>
      </c>
      <c r="AF892">
        <v>4667</v>
      </c>
      <c r="AG892">
        <v>114</v>
      </c>
      <c r="AH892" s="143">
        <v>2.5038436195914837E-2</v>
      </c>
      <c r="AI892">
        <v>13.6</v>
      </c>
      <c r="AJ892">
        <v>650</v>
      </c>
      <c r="AL892">
        <v>688</v>
      </c>
      <c r="AM892">
        <v>71959.199999999997</v>
      </c>
      <c r="AN892" t="s">
        <v>176</v>
      </c>
      <c r="AR892" t="s">
        <v>276</v>
      </c>
      <c r="AS892" t="s">
        <v>246</v>
      </c>
    </row>
    <row r="893" spans="1:45">
      <c r="A893" s="86" t="s">
        <v>318</v>
      </c>
      <c r="B893">
        <v>15007697</v>
      </c>
      <c r="C893" t="s">
        <v>1290</v>
      </c>
      <c r="D893" t="s">
        <v>321</v>
      </c>
      <c r="E893" t="s">
        <v>52</v>
      </c>
      <c r="F893" t="s">
        <v>319</v>
      </c>
      <c r="G893" t="s">
        <v>282</v>
      </c>
      <c r="H893" t="s">
        <v>1250</v>
      </c>
      <c r="I893">
        <v>41275</v>
      </c>
      <c r="J893" t="s">
        <v>336</v>
      </c>
      <c r="K893" t="s">
        <v>803</v>
      </c>
      <c r="L893" t="s">
        <v>324</v>
      </c>
      <c r="M893">
        <v>6</v>
      </c>
      <c r="N893" t="s">
        <v>176</v>
      </c>
      <c r="O893">
        <v>4629</v>
      </c>
      <c r="P893">
        <v>0.02</v>
      </c>
      <c r="Q893">
        <v>93</v>
      </c>
      <c r="R893">
        <v>5.0000000000000001E-3</v>
      </c>
      <c r="S893">
        <v>23</v>
      </c>
      <c r="T893">
        <v>2.5059408079498812E-2</v>
      </c>
      <c r="U893">
        <v>116</v>
      </c>
      <c r="V893">
        <v>4745</v>
      </c>
      <c r="W893">
        <v>4745</v>
      </c>
      <c r="X893">
        <v>116</v>
      </c>
      <c r="Y893">
        <v>2.5100000000000001E-2</v>
      </c>
      <c r="Z893" t="s">
        <v>1245</v>
      </c>
      <c r="AE893">
        <v>0</v>
      </c>
      <c r="AF893">
        <v>4745</v>
      </c>
      <c r="AG893">
        <v>116</v>
      </c>
      <c r="AH893" s="143">
        <v>2.5059408079498802E-2</v>
      </c>
      <c r="AI893">
        <v>13.6</v>
      </c>
      <c r="AJ893">
        <v>650</v>
      </c>
      <c r="AL893">
        <v>688</v>
      </c>
      <c r="AM893">
        <v>73020</v>
      </c>
      <c r="AN893" t="s">
        <v>176</v>
      </c>
      <c r="AR893" t="s">
        <v>276</v>
      </c>
      <c r="AS893" t="s">
        <v>246</v>
      </c>
    </row>
    <row r="894" spans="1:45">
      <c r="A894" s="86" t="s">
        <v>318</v>
      </c>
      <c r="B894">
        <v>15011813</v>
      </c>
      <c r="C894" t="s">
        <v>1291</v>
      </c>
      <c r="D894" t="s">
        <v>321</v>
      </c>
      <c r="E894" t="s">
        <v>52</v>
      </c>
      <c r="F894" t="s">
        <v>319</v>
      </c>
      <c r="G894" t="s">
        <v>282</v>
      </c>
      <c r="H894" t="s">
        <v>1250</v>
      </c>
      <c r="I894">
        <v>41534</v>
      </c>
      <c r="J894" t="s">
        <v>336</v>
      </c>
      <c r="K894" t="s">
        <v>803</v>
      </c>
      <c r="L894" t="s">
        <v>324</v>
      </c>
      <c r="M894">
        <v>6</v>
      </c>
      <c r="N894" t="s">
        <v>176</v>
      </c>
      <c r="O894">
        <v>4805</v>
      </c>
      <c r="P894">
        <v>0.02</v>
      </c>
      <c r="Q894">
        <v>96</v>
      </c>
      <c r="R894">
        <v>5.0000000000000001E-3</v>
      </c>
      <c r="S894">
        <v>24</v>
      </c>
      <c r="T894">
        <v>2.497398543184183E-2</v>
      </c>
      <c r="U894">
        <v>120</v>
      </c>
      <c r="V894">
        <v>4925</v>
      </c>
      <c r="W894">
        <v>4925</v>
      </c>
      <c r="X894">
        <v>120</v>
      </c>
      <c r="Y894">
        <v>2.5000000000000001E-2</v>
      </c>
      <c r="Z894" t="s">
        <v>1245</v>
      </c>
      <c r="AE894">
        <v>0</v>
      </c>
      <c r="AF894">
        <v>4925</v>
      </c>
      <c r="AG894">
        <v>120</v>
      </c>
      <c r="AH894" s="143">
        <v>2.4973985431841816E-2</v>
      </c>
      <c r="AI894">
        <v>13.6</v>
      </c>
      <c r="AJ894">
        <v>650</v>
      </c>
      <c r="AL894">
        <v>688</v>
      </c>
      <c r="AM894">
        <v>75468</v>
      </c>
      <c r="AN894" t="s">
        <v>176</v>
      </c>
      <c r="AR894" t="s">
        <v>276</v>
      </c>
      <c r="AS894" t="s">
        <v>246</v>
      </c>
    </row>
    <row r="895" spans="1:45">
      <c r="A895" s="86" t="s">
        <v>318</v>
      </c>
      <c r="B895">
        <v>15005340</v>
      </c>
      <c r="C895" t="s">
        <v>1292</v>
      </c>
      <c r="D895" t="s">
        <v>321</v>
      </c>
      <c r="E895" t="s">
        <v>52</v>
      </c>
      <c r="F895" t="s">
        <v>319</v>
      </c>
      <c r="G895" t="s">
        <v>282</v>
      </c>
      <c r="H895" t="s">
        <v>1250</v>
      </c>
      <c r="I895">
        <v>40604</v>
      </c>
      <c r="J895" t="s">
        <v>336</v>
      </c>
      <c r="K895" t="s">
        <v>803</v>
      </c>
      <c r="L895" t="s">
        <v>324</v>
      </c>
      <c r="M895">
        <v>6</v>
      </c>
      <c r="N895" t="s">
        <v>176</v>
      </c>
      <c r="O895">
        <v>5077</v>
      </c>
      <c r="P895">
        <v>0.02</v>
      </c>
      <c r="Q895">
        <v>102</v>
      </c>
      <c r="R895">
        <v>5.0000000000000001E-3</v>
      </c>
      <c r="S895">
        <v>25</v>
      </c>
      <c r="T895">
        <v>2.5014772503446917E-2</v>
      </c>
      <c r="U895">
        <v>127</v>
      </c>
      <c r="V895">
        <v>5204</v>
      </c>
      <c r="W895">
        <v>5077</v>
      </c>
      <c r="X895">
        <v>0</v>
      </c>
      <c r="Y895">
        <v>0</v>
      </c>
      <c r="Z895" t="s">
        <v>1245</v>
      </c>
      <c r="AE895">
        <v>0</v>
      </c>
      <c r="AF895">
        <v>5077</v>
      </c>
      <c r="AG895">
        <v>0</v>
      </c>
      <c r="AH895" s="143">
        <v>0</v>
      </c>
      <c r="AI895">
        <v>13.6</v>
      </c>
      <c r="AJ895">
        <v>650</v>
      </c>
      <c r="AL895">
        <v>688</v>
      </c>
      <c r="AM895">
        <v>77535.199999999997</v>
      </c>
      <c r="AN895" t="s">
        <v>176</v>
      </c>
      <c r="AQ895" s="21" t="s">
        <v>107</v>
      </c>
      <c r="AR895" t="s">
        <v>276</v>
      </c>
      <c r="AS895" t="s">
        <v>246</v>
      </c>
    </row>
    <row r="896" spans="1:45">
      <c r="A896" s="86" t="s">
        <v>318</v>
      </c>
      <c r="B896">
        <v>15006333</v>
      </c>
      <c r="C896" t="s">
        <v>1293</v>
      </c>
      <c r="D896" t="s">
        <v>321</v>
      </c>
      <c r="E896" t="s">
        <v>52</v>
      </c>
      <c r="F896" t="s">
        <v>319</v>
      </c>
      <c r="G896" t="s">
        <v>282</v>
      </c>
      <c r="H896" t="s">
        <v>1250</v>
      </c>
      <c r="I896">
        <v>40709</v>
      </c>
      <c r="J896" t="s">
        <v>336</v>
      </c>
      <c r="K896" t="s">
        <v>803</v>
      </c>
      <c r="L896" t="s">
        <v>324</v>
      </c>
      <c r="M896">
        <v>6</v>
      </c>
      <c r="N896" t="s">
        <v>176</v>
      </c>
      <c r="O896">
        <v>4629</v>
      </c>
      <c r="P896">
        <v>0.02</v>
      </c>
      <c r="Q896">
        <v>93</v>
      </c>
      <c r="R896">
        <v>5.0000000000000001E-3</v>
      </c>
      <c r="S896">
        <v>23</v>
      </c>
      <c r="T896">
        <v>2.5059408079498812E-2</v>
      </c>
      <c r="U896">
        <v>116</v>
      </c>
      <c r="V896">
        <v>4745</v>
      </c>
      <c r="W896">
        <v>4629</v>
      </c>
      <c r="X896">
        <v>0</v>
      </c>
      <c r="Y896">
        <v>0</v>
      </c>
      <c r="Z896" t="s">
        <v>1245</v>
      </c>
      <c r="AE896">
        <v>0</v>
      </c>
      <c r="AF896">
        <v>4629</v>
      </c>
      <c r="AG896">
        <v>0</v>
      </c>
      <c r="AH896" s="143">
        <v>0</v>
      </c>
      <c r="AI896">
        <v>13.6</v>
      </c>
      <c r="AJ896">
        <v>650</v>
      </c>
      <c r="AL896">
        <v>688</v>
      </c>
      <c r="AM896">
        <v>71442.399999999994</v>
      </c>
      <c r="AN896" t="s">
        <v>176</v>
      </c>
      <c r="AQ896" s="21" t="s">
        <v>107</v>
      </c>
      <c r="AR896" t="s">
        <v>276</v>
      </c>
      <c r="AS896" t="s">
        <v>246</v>
      </c>
    </row>
    <row r="897" spans="1:45">
      <c r="A897" s="86" t="s">
        <v>318</v>
      </c>
      <c r="B897">
        <v>15008079</v>
      </c>
      <c r="C897" t="s">
        <v>1294</v>
      </c>
      <c r="D897" t="s">
        <v>321</v>
      </c>
      <c r="E897" t="s">
        <v>52</v>
      </c>
      <c r="F897" t="s">
        <v>319</v>
      </c>
      <c r="G897" t="s">
        <v>282</v>
      </c>
      <c r="H897" t="s">
        <v>1250</v>
      </c>
      <c r="I897">
        <v>41738</v>
      </c>
      <c r="J897" t="s">
        <v>336</v>
      </c>
      <c r="K897" t="s">
        <v>803</v>
      </c>
      <c r="L897" t="s">
        <v>324</v>
      </c>
      <c r="M897">
        <v>6</v>
      </c>
      <c r="N897" t="s">
        <v>176</v>
      </c>
      <c r="O897">
        <v>5031</v>
      </c>
      <c r="P897">
        <v>0.02</v>
      </c>
      <c r="Q897">
        <v>101</v>
      </c>
      <c r="R897">
        <v>5.0000000000000001E-3</v>
      </c>
      <c r="S897">
        <v>25</v>
      </c>
      <c r="T897">
        <v>2.5044722719141325E-2</v>
      </c>
      <c r="U897">
        <v>126</v>
      </c>
      <c r="V897">
        <v>5157</v>
      </c>
      <c r="W897">
        <v>5157</v>
      </c>
      <c r="X897">
        <v>126</v>
      </c>
      <c r="Y897">
        <v>2.5000000000000001E-2</v>
      </c>
      <c r="Z897" t="s">
        <v>1245</v>
      </c>
      <c r="AE897">
        <v>0</v>
      </c>
      <c r="AF897">
        <v>5157</v>
      </c>
      <c r="AG897">
        <v>126</v>
      </c>
      <c r="AH897" s="143">
        <v>2.5044722719141266E-2</v>
      </c>
      <c r="AI897">
        <v>13.6</v>
      </c>
      <c r="AJ897">
        <v>650</v>
      </c>
      <c r="AL897">
        <v>688</v>
      </c>
      <c r="AM897">
        <v>78623.199999999997</v>
      </c>
      <c r="AN897" t="s">
        <v>176</v>
      </c>
      <c r="AR897" t="s">
        <v>276</v>
      </c>
      <c r="AS897" t="s">
        <v>246</v>
      </c>
    </row>
    <row r="898" spans="1:45">
      <c r="A898" s="86" t="s">
        <v>318</v>
      </c>
      <c r="B898">
        <v>15007933</v>
      </c>
      <c r="C898" t="s">
        <v>1295</v>
      </c>
      <c r="D898" t="s">
        <v>321</v>
      </c>
      <c r="E898" t="s">
        <v>52</v>
      </c>
      <c r="F898" t="s">
        <v>319</v>
      </c>
      <c r="G898" t="s">
        <v>282</v>
      </c>
      <c r="H898" t="s">
        <v>1250</v>
      </c>
      <c r="I898">
        <v>41095</v>
      </c>
      <c r="J898" t="s">
        <v>336</v>
      </c>
      <c r="K898" t="s">
        <v>803</v>
      </c>
      <c r="L898" t="s">
        <v>324</v>
      </c>
      <c r="M898">
        <v>6</v>
      </c>
      <c r="N898" t="s">
        <v>176</v>
      </c>
      <c r="O898">
        <v>4626</v>
      </c>
      <c r="P898">
        <v>0.02</v>
      </c>
      <c r="Q898">
        <v>93</v>
      </c>
      <c r="R898">
        <v>5.0000000000000001E-3</v>
      </c>
      <c r="S898">
        <v>23</v>
      </c>
      <c r="T898">
        <v>2.5075659316904454E-2</v>
      </c>
      <c r="U898">
        <v>116</v>
      </c>
      <c r="V898">
        <v>4742</v>
      </c>
      <c r="W898">
        <v>4742</v>
      </c>
      <c r="X898">
        <v>116</v>
      </c>
      <c r="Y898">
        <v>2.5100000000000001E-2</v>
      </c>
      <c r="Z898" t="s">
        <v>1245</v>
      </c>
      <c r="AE898">
        <v>0</v>
      </c>
      <c r="AF898">
        <v>4742</v>
      </c>
      <c r="AG898">
        <v>116</v>
      </c>
      <c r="AH898" s="143">
        <v>2.5075659316904364E-2</v>
      </c>
      <c r="AI898">
        <v>13.6</v>
      </c>
      <c r="AJ898">
        <v>650</v>
      </c>
      <c r="AL898">
        <v>688</v>
      </c>
      <c r="AM898">
        <v>72979.199999999997</v>
      </c>
      <c r="AN898" t="s">
        <v>176</v>
      </c>
      <c r="AR898" t="s">
        <v>276</v>
      </c>
      <c r="AS898" t="s">
        <v>246</v>
      </c>
    </row>
    <row r="899" spans="1:45">
      <c r="A899" s="86" t="s">
        <v>318</v>
      </c>
      <c r="B899">
        <v>15017288</v>
      </c>
      <c r="C899" t="s">
        <v>1296</v>
      </c>
      <c r="D899" t="s">
        <v>321</v>
      </c>
      <c r="E899" t="s">
        <v>52</v>
      </c>
      <c r="F899" t="s">
        <v>319</v>
      </c>
      <c r="G899" t="s">
        <v>282</v>
      </c>
      <c r="H899" t="s">
        <v>1250</v>
      </c>
      <c r="I899">
        <v>42863</v>
      </c>
      <c r="J899" t="s">
        <v>336</v>
      </c>
      <c r="K899" t="s">
        <v>1271</v>
      </c>
      <c r="L899" t="s">
        <v>324</v>
      </c>
      <c r="M899">
        <v>6</v>
      </c>
      <c r="N899" t="s">
        <v>176</v>
      </c>
      <c r="O899">
        <v>4748</v>
      </c>
      <c r="P899">
        <v>0.02</v>
      </c>
      <c r="Q899">
        <v>95</v>
      </c>
      <c r="R899">
        <v>5.0000000000000001E-3</v>
      </c>
      <c r="S899">
        <v>24</v>
      </c>
      <c r="T899">
        <v>2.5063184498736311E-2</v>
      </c>
      <c r="U899">
        <v>119</v>
      </c>
      <c r="V899">
        <v>4867</v>
      </c>
      <c r="W899">
        <v>4867</v>
      </c>
      <c r="X899">
        <v>119</v>
      </c>
      <c r="Y899">
        <v>2.5100000000000001E-2</v>
      </c>
      <c r="Z899" t="s">
        <v>1245</v>
      </c>
      <c r="AE899">
        <v>0</v>
      </c>
      <c r="AF899">
        <v>4867</v>
      </c>
      <c r="AG899">
        <v>119</v>
      </c>
      <c r="AH899" s="143">
        <v>2.5063184498736346E-2</v>
      </c>
      <c r="AI899">
        <v>13.6</v>
      </c>
      <c r="AJ899">
        <v>450</v>
      </c>
      <c r="AL899">
        <v>688</v>
      </c>
      <c r="AM899">
        <v>72279.199999999997</v>
      </c>
      <c r="AN899" t="s">
        <v>176</v>
      </c>
      <c r="AR899" t="s">
        <v>276</v>
      </c>
      <c r="AS899" t="s">
        <v>246</v>
      </c>
    </row>
    <row r="900" spans="1:45">
      <c r="A900" s="86" t="s">
        <v>318</v>
      </c>
      <c r="B900">
        <v>15019955</v>
      </c>
      <c r="C900" t="s">
        <v>1297</v>
      </c>
      <c r="D900" t="s">
        <v>321</v>
      </c>
      <c r="E900" t="s">
        <v>52</v>
      </c>
      <c r="F900" t="s">
        <v>319</v>
      </c>
      <c r="G900" t="s">
        <v>282</v>
      </c>
      <c r="H900" t="s">
        <v>1250</v>
      </c>
      <c r="I900">
        <v>44075</v>
      </c>
      <c r="J900" t="s">
        <v>336</v>
      </c>
      <c r="K900" t="s">
        <v>1271</v>
      </c>
      <c r="L900" t="s">
        <v>324</v>
      </c>
      <c r="M900">
        <v>6</v>
      </c>
      <c r="N900" t="s">
        <v>176</v>
      </c>
      <c r="O900">
        <v>4988</v>
      </c>
      <c r="P900">
        <v>0.02</v>
      </c>
      <c r="Q900">
        <v>100</v>
      </c>
      <c r="R900">
        <v>5.0000000000000001E-3</v>
      </c>
      <c r="S900">
        <v>25</v>
      </c>
      <c r="T900">
        <v>2.5060144346431435E-2</v>
      </c>
      <c r="U900">
        <v>125</v>
      </c>
      <c r="V900">
        <v>5113</v>
      </c>
      <c r="W900">
        <v>5163</v>
      </c>
      <c r="X900">
        <v>175</v>
      </c>
      <c r="Y900">
        <v>3.5099999999999999E-2</v>
      </c>
      <c r="Z900" t="s">
        <v>1245</v>
      </c>
      <c r="AE900">
        <v>0</v>
      </c>
      <c r="AF900">
        <v>5163</v>
      </c>
      <c r="AG900">
        <v>175</v>
      </c>
      <c r="AH900" s="143">
        <v>3.5084202085003957E-2</v>
      </c>
      <c r="AI900">
        <v>13.6</v>
      </c>
      <c r="AJ900">
        <v>450</v>
      </c>
      <c r="AL900">
        <v>688</v>
      </c>
      <c r="AM900">
        <v>76304.800000000003</v>
      </c>
      <c r="AN900" t="s">
        <v>176</v>
      </c>
      <c r="AR900" t="s">
        <v>276</v>
      </c>
      <c r="AS900" t="s">
        <v>246</v>
      </c>
    </row>
    <row r="901" spans="1:45">
      <c r="A901" s="86" t="s">
        <v>318</v>
      </c>
      <c r="B901">
        <v>15004878</v>
      </c>
      <c r="C901" t="s">
        <v>1298</v>
      </c>
      <c r="D901" t="s">
        <v>321</v>
      </c>
      <c r="E901" t="s">
        <v>52</v>
      </c>
      <c r="F901" t="s">
        <v>319</v>
      </c>
      <c r="G901" t="s">
        <v>282</v>
      </c>
      <c r="H901" t="s">
        <v>1250</v>
      </c>
      <c r="I901">
        <v>40490</v>
      </c>
      <c r="J901" t="s">
        <v>336</v>
      </c>
      <c r="K901" t="s">
        <v>803</v>
      </c>
      <c r="L901" t="s">
        <v>324</v>
      </c>
      <c r="M901">
        <v>6</v>
      </c>
      <c r="N901" t="s">
        <v>176</v>
      </c>
      <c r="O901">
        <v>4675</v>
      </c>
      <c r="P901">
        <v>0.02</v>
      </c>
      <c r="Q901">
        <v>94</v>
      </c>
      <c r="R901">
        <v>5.0000000000000001E-3</v>
      </c>
      <c r="S901">
        <v>23</v>
      </c>
      <c r="T901">
        <v>2.502673796791444E-2</v>
      </c>
      <c r="U901">
        <v>117</v>
      </c>
      <c r="V901">
        <v>4792</v>
      </c>
      <c r="W901">
        <v>4792</v>
      </c>
      <c r="X901">
        <v>117</v>
      </c>
      <c r="Y901">
        <v>2.5000000000000001E-2</v>
      </c>
      <c r="Z901" t="s">
        <v>1245</v>
      </c>
      <c r="AE901">
        <v>0</v>
      </c>
      <c r="AF901">
        <v>4792</v>
      </c>
      <c r="AG901">
        <v>117</v>
      </c>
      <c r="AH901" s="143">
        <v>2.5026737967914547E-2</v>
      </c>
      <c r="AI901">
        <v>13.6</v>
      </c>
      <c r="AJ901">
        <v>650</v>
      </c>
      <c r="AL901">
        <v>688</v>
      </c>
      <c r="AM901">
        <v>73659.199999999997</v>
      </c>
      <c r="AN901" t="s">
        <v>176</v>
      </c>
      <c r="AR901" t="s">
        <v>276</v>
      </c>
      <c r="AS901" t="s">
        <v>246</v>
      </c>
    </row>
    <row r="902" spans="1:45">
      <c r="A902" s="86" t="s">
        <v>318</v>
      </c>
      <c r="B902">
        <v>15017298</v>
      </c>
      <c r="C902" t="s">
        <v>1299</v>
      </c>
      <c r="D902" t="s">
        <v>321</v>
      </c>
      <c r="E902" t="s">
        <v>52</v>
      </c>
      <c r="F902" t="s">
        <v>319</v>
      </c>
      <c r="G902" t="s">
        <v>282</v>
      </c>
      <c r="H902" t="s">
        <v>1250</v>
      </c>
      <c r="I902">
        <v>43070</v>
      </c>
      <c r="J902" t="s">
        <v>336</v>
      </c>
      <c r="K902" t="s">
        <v>1271</v>
      </c>
      <c r="L902" t="s">
        <v>324</v>
      </c>
      <c r="M902">
        <v>6</v>
      </c>
      <c r="N902" t="s">
        <v>176</v>
      </c>
      <c r="O902">
        <v>4846</v>
      </c>
      <c r="P902">
        <v>0.02</v>
      </c>
      <c r="Q902">
        <v>97</v>
      </c>
      <c r="R902">
        <v>5.0000000000000001E-3</v>
      </c>
      <c r="S902">
        <v>24</v>
      </c>
      <c r="T902">
        <v>2.4969046636401156E-2</v>
      </c>
      <c r="U902">
        <v>121</v>
      </c>
      <c r="V902">
        <v>4967</v>
      </c>
      <c r="W902">
        <v>4846</v>
      </c>
      <c r="X902">
        <v>0</v>
      </c>
      <c r="Y902">
        <v>0</v>
      </c>
      <c r="Z902" t="s">
        <v>1245</v>
      </c>
      <c r="AE902">
        <v>0</v>
      </c>
      <c r="AF902">
        <v>4846</v>
      </c>
      <c r="AG902">
        <v>0</v>
      </c>
      <c r="AH902" s="143">
        <v>0</v>
      </c>
      <c r="AI902">
        <v>13.6</v>
      </c>
      <c r="AJ902">
        <v>450</v>
      </c>
      <c r="AL902">
        <v>688</v>
      </c>
      <c r="AM902">
        <v>71993.599999999991</v>
      </c>
      <c r="AN902" t="s">
        <v>176</v>
      </c>
      <c r="AQ902" s="21" t="s">
        <v>107</v>
      </c>
      <c r="AR902" t="s">
        <v>276</v>
      </c>
      <c r="AS902" t="s">
        <v>246</v>
      </c>
    </row>
    <row r="903" spans="1:45">
      <c r="A903" s="86" t="s">
        <v>318</v>
      </c>
      <c r="B903">
        <v>15002154</v>
      </c>
      <c r="C903" t="s">
        <v>1300</v>
      </c>
      <c r="D903" t="s">
        <v>321</v>
      </c>
      <c r="E903" t="s">
        <v>52</v>
      </c>
      <c r="F903" t="s">
        <v>319</v>
      </c>
      <c r="G903" t="s">
        <v>282</v>
      </c>
      <c r="H903" t="s">
        <v>1250</v>
      </c>
      <c r="I903">
        <v>39757</v>
      </c>
      <c r="J903" t="s">
        <v>336</v>
      </c>
      <c r="K903" t="s">
        <v>803</v>
      </c>
      <c r="L903" t="s">
        <v>324</v>
      </c>
      <c r="M903">
        <v>6</v>
      </c>
      <c r="N903" t="s">
        <v>176</v>
      </c>
      <c r="O903">
        <v>5031</v>
      </c>
      <c r="P903">
        <v>0.02</v>
      </c>
      <c r="Q903">
        <v>101</v>
      </c>
      <c r="R903">
        <v>5.0000000000000001E-3</v>
      </c>
      <c r="S903">
        <v>25</v>
      </c>
      <c r="T903">
        <v>2.5044722719141325E-2</v>
      </c>
      <c r="U903">
        <v>126</v>
      </c>
      <c r="V903">
        <v>5157</v>
      </c>
      <c r="W903">
        <v>5157</v>
      </c>
      <c r="X903">
        <v>126</v>
      </c>
      <c r="Y903">
        <v>2.5000000000000001E-2</v>
      </c>
      <c r="Z903" t="s">
        <v>1245</v>
      </c>
      <c r="AE903">
        <v>0</v>
      </c>
      <c r="AF903">
        <v>5157</v>
      </c>
      <c r="AG903">
        <v>126</v>
      </c>
      <c r="AH903" s="143">
        <v>2.5044722719141266E-2</v>
      </c>
      <c r="AI903">
        <v>13.6</v>
      </c>
      <c r="AJ903">
        <v>650</v>
      </c>
      <c r="AL903">
        <v>688</v>
      </c>
      <c r="AM903">
        <v>78623.199999999997</v>
      </c>
      <c r="AN903" t="s">
        <v>176</v>
      </c>
      <c r="AR903" t="s">
        <v>276</v>
      </c>
      <c r="AS903" t="s">
        <v>246</v>
      </c>
    </row>
    <row r="904" spans="1:45">
      <c r="A904" s="86" t="s">
        <v>318</v>
      </c>
      <c r="B904">
        <v>15011504</v>
      </c>
      <c r="C904" t="s">
        <v>1301</v>
      </c>
      <c r="D904" t="s">
        <v>321</v>
      </c>
      <c r="E904" t="s">
        <v>52</v>
      </c>
      <c r="F904" t="s">
        <v>319</v>
      </c>
      <c r="G904" t="s">
        <v>282</v>
      </c>
      <c r="H904" t="s">
        <v>1250</v>
      </c>
      <c r="I904">
        <v>41507</v>
      </c>
      <c r="J904" t="s">
        <v>336</v>
      </c>
      <c r="K904" t="s">
        <v>803</v>
      </c>
      <c r="L904" t="s">
        <v>324</v>
      </c>
      <c r="M904">
        <v>6</v>
      </c>
      <c r="N904" t="s">
        <v>176</v>
      </c>
      <c r="O904">
        <v>4659</v>
      </c>
      <c r="P904">
        <v>0.02</v>
      </c>
      <c r="Q904">
        <v>93</v>
      </c>
      <c r="R904">
        <v>5.0000000000000001E-3</v>
      </c>
      <c r="S904">
        <v>23</v>
      </c>
      <c r="T904">
        <v>2.48980467911569E-2</v>
      </c>
      <c r="U904">
        <v>116</v>
      </c>
      <c r="V904">
        <v>4775</v>
      </c>
      <c r="W904">
        <v>4776</v>
      </c>
      <c r="X904">
        <v>117</v>
      </c>
      <c r="Y904">
        <v>2.5100000000000001E-2</v>
      </c>
      <c r="Z904" t="s">
        <v>1245</v>
      </c>
      <c r="AE904">
        <v>0</v>
      </c>
      <c r="AF904">
        <v>4776</v>
      </c>
      <c r="AG904">
        <v>117</v>
      </c>
      <c r="AH904" s="143">
        <v>2.5112685125563416E-2</v>
      </c>
      <c r="AI904">
        <v>13.6</v>
      </c>
      <c r="AJ904">
        <v>650</v>
      </c>
      <c r="AL904">
        <v>688</v>
      </c>
      <c r="AM904">
        <v>73441.600000000006</v>
      </c>
      <c r="AN904" t="s">
        <v>176</v>
      </c>
      <c r="AR904" t="s">
        <v>276</v>
      </c>
      <c r="AS904" t="s">
        <v>246</v>
      </c>
    </row>
    <row r="905" spans="1:45">
      <c r="A905" s="86" t="s">
        <v>318</v>
      </c>
      <c r="B905">
        <v>15010844</v>
      </c>
      <c r="C905" t="s">
        <v>1302</v>
      </c>
      <c r="D905" t="s">
        <v>321</v>
      </c>
      <c r="E905" t="s">
        <v>52</v>
      </c>
      <c r="F905" t="s">
        <v>319</v>
      </c>
      <c r="G905" t="s">
        <v>282</v>
      </c>
      <c r="H905" t="s">
        <v>1250</v>
      </c>
      <c r="I905">
        <v>41438</v>
      </c>
      <c r="J905" t="s">
        <v>336</v>
      </c>
      <c r="K905" t="s">
        <v>803</v>
      </c>
      <c r="L905" t="s">
        <v>324</v>
      </c>
      <c r="M905">
        <v>6</v>
      </c>
      <c r="N905" t="s">
        <v>176</v>
      </c>
      <c r="O905">
        <v>4629</v>
      </c>
      <c r="P905">
        <v>0.02</v>
      </c>
      <c r="Q905">
        <v>93</v>
      </c>
      <c r="R905">
        <v>5.0000000000000001E-3</v>
      </c>
      <c r="S905">
        <v>23</v>
      </c>
      <c r="T905">
        <v>2.5059408079498812E-2</v>
      </c>
      <c r="U905">
        <v>116</v>
      </c>
      <c r="V905">
        <v>4745</v>
      </c>
      <c r="W905">
        <v>4745</v>
      </c>
      <c r="X905">
        <v>116</v>
      </c>
      <c r="Y905">
        <v>2.5100000000000001E-2</v>
      </c>
      <c r="Z905" t="s">
        <v>1245</v>
      </c>
      <c r="AE905">
        <v>0</v>
      </c>
      <c r="AF905">
        <v>4745</v>
      </c>
      <c r="AG905">
        <v>116</v>
      </c>
      <c r="AH905" s="143">
        <v>2.5059408079498802E-2</v>
      </c>
      <c r="AI905">
        <v>13.6</v>
      </c>
      <c r="AJ905">
        <v>650</v>
      </c>
      <c r="AL905">
        <v>688</v>
      </c>
      <c r="AM905">
        <v>73020</v>
      </c>
      <c r="AN905" t="s">
        <v>176</v>
      </c>
      <c r="AR905" t="s">
        <v>276</v>
      </c>
      <c r="AS905" t="s">
        <v>246</v>
      </c>
    </row>
    <row r="906" spans="1:45">
      <c r="A906" s="86" t="s">
        <v>318</v>
      </c>
      <c r="B906">
        <v>15018770</v>
      </c>
      <c r="C906" t="s">
        <v>1303</v>
      </c>
      <c r="D906" t="s">
        <v>321</v>
      </c>
      <c r="E906" t="s">
        <v>52</v>
      </c>
      <c r="F906" t="s">
        <v>319</v>
      </c>
      <c r="G906" t="s">
        <v>282</v>
      </c>
      <c r="H906" t="s">
        <v>1250</v>
      </c>
      <c r="I906">
        <v>43313</v>
      </c>
      <c r="J906" t="s">
        <v>336</v>
      </c>
      <c r="K906" t="s">
        <v>1271</v>
      </c>
      <c r="L906" t="s">
        <v>324</v>
      </c>
      <c r="M906">
        <v>6</v>
      </c>
      <c r="N906" t="s">
        <v>176</v>
      </c>
      <c r="O906">
        <v>4724</v>
      </c>
      <c r="P906">
        <v>0.02</v>
      </c>
      <c r="Q906">
        <v>94</v>
      </c>
      <c r="R906">
        <v>5.0000000000000001E-3</v>
      </c>
      <c r="S906">
        <v>24</v>
      </c>
      <c r="T906">
        <v>2.4978831498729891E-2</v>
      </c>
      <c r="U906">
        <v>118</v>
      </c>
      <c r="V906">
        <v>4842</v>
      </c>
      <c r="W906">
        <v>4842</v>
      </c>
      <c r="X906">
        <v>118</v>
      </c>
      <c r="Y906">
        <v>2.5000000000000001E-2</v>
      </c>
      <c r="Z906" t="s">
        <v>1245</v>
      </c>
      <c r="AE906">
        <v>0</v>
      </c>
      <c r="AF906">
        <v>4842</v>
      </c>
      <c r="AG906">
        <v>118</v>
      </c>
      <c r="AH906" s="143">
        <v>2.4978831498729814E-2</v>
      </c>
      <c r="AI906">
        <v>13.6</v>
      </c>
      <c r="AJ906">
        <v>450</v>
      </c>
      <c r="AL906">
        <v>688</v>
      </c>
      <c r="AM906">
        <v>71939.199999999997</v>
      </c>
      <c r="AN906" t="s">
        <v>176</v>
      </c>
      <c r="AR906" t="s">
        <v>276</v>
      </c>
      <c r="AS906" t="s">
        <v>246</v>
      </c>
    </row>
    <row r="907" spans="1:45">
      <c r="A907" s="86" t="s">
        <v>318</v>
      </c>
      <c r="B907">
        <v>15002337</v>
      </c>
      <c r="C907" t="s">
        <v>1304</v>
      </c>
      <c r="D907" t="s">
        <v>321</v>
      </c>
      <c r="E907" t="s">
        <v>52</v>
      </c>
      <c r="F907" t="s">
        <v>319</v>
      </c>
      <c r="G907" t="s">
        <v>274</v>
      </c>
      <c r="H907" t="s">
        <v>1244</v>
      </c>
      <c r="I907">
        <v>40391</v>
      </c>
      <c r="J907" t="s">
        <v>361</v>
      </c>
      <c r="K907" t="s">
        <v>361</v>
      </c>
      <c r="L907" t="s">
        <v>324</v>
      </c>
      <c r="M907">
        <v>6</v>
      </c>
      <c r="N907" t="s">
        <v>176</v>
      </c>
      <c r="O907">
        <v>7100</v>
      </c>
      <c r="P907">
        <v>0.02</v>
      </c>
      <c r="Q907">
        <v>142</v>
      </c>
      <c r="R907">
        <v>5.0000000000000001E-3</v>
      </c>
      <c r="S907">
        <v>36</v>
      </c>
      <c r="T907">
        <v>2.5070422535211266E-2</v>
      </c>
      <c r="U907">
        <v>178</v>
      </c>
      <c r="V907">
        <v>7278</v>
      </c>
      <c r="W907">
        <v>7277.5</v>
      </c>
      <c r="X907">
        <v>177.5</v>
      </c>
      <c r="Y907">
        <v>2.5000000000000001E-2</v>
      </c>
      <c r="Z907" t="s">
        <v>1245</v>
      </c>
      <c r="AE907">
        <v>0</v>
      </c>
      <c r="AF907">
        <v>7277.5</v>
      </c>
      <c r="AG907">
        <v>177.5</v>
      </c>
      <c r="AH907" s="143">
        <v>2.4999999999999911E-2</v>
      </c>
      <c r="AI907">
        <v>13.6</v>
      </c>
      <c r="AJ907">
        <v>510</v>
      </c>
      <c r="AL907">
        <v>688</v>
      </c>
      <c r="AM907">
        <v>105782</v>
      </c>
      <c r="AN907">
        <v>3</v>
      </c>
      <c r="AR907" t="s">
        <v>276</v>
      </c>
      <c r="AS907" t="s">
        <v>246</v>
      </c>
    </row>
    <row r="908" spans="1:45">
      <c r="A908" s="86" t="s">
        <v>318</v>
      </c>
      <c r="B908">
        <v>15018480</v>
      </c>
      <c r="C908" t="s">
        <v>1305</v>
      </c>
      <c r="D908" t="s">
        <v>321</v>
      </c>
      <c r="E908" t="s">
        <v>52</v>
      </c>
      <c r="F908" t="s">
        <v>319</v>
      </c>
      <c r="G908" t="s">
        <v>282</v>
      </c>
      <c r="H908" t="s">
        <v>1250</v>
      </c>
      <c r="I908">
        <v>43052</v>
      </c>
      <c r="J908" t="s">
        <v>336</v>
      </c>
      <c r="K908" t="s">
        <v>803</v>
      </c>
      <c r="L908" t="s">
        <v>324</v>
      </c>
      <c r="M908">
        <v>6</v>
      </c>
      <c r="N908" t="s">
        <v>176</v>
      </c>
      <c r="O908">
        <v>4708</v>
      </c>
      <c r="P908">
        <v>0.02</v>
      </c>
      <c r="Q908">
        <v>94</v>
      </c>
      <c r="R908">
        <v>5.0000000000000001E-3</v>
      </c>
      <c r="S908">
        <v>24</v>
      </c>
      <c r="T908">
        <v>2.5063721325403569E-2</v>
      </c>
      <c r="U908">
        <v>118</v>
      </c>
      <c r="V908">
        <v>4826</v>
      </c>
      <c r="W908">
        <v>4826</v>
      </c>
      <c r="X908">
        <v>118</v>
      </c>
      <c r="Y908">
        <v>2.5100000000000001E-2</v>
      </c>
      <c r="Z908" t="s">
        <v>1245</v>
      </c>
      <c r="AE908">
        <v>0</v>
      </c>
      <c r="AF908">
        <v>4826</v>
      </c>
      <c r="AG908">
        <v>118</v>
      </c>
      <c r="AH908" s="143">
        <v>2.5063721325403465E-2</v>
      </c>
      <c r="AI908">
        <v>13.6</v>
      </c>
      <c r="AJ908">
        <v>650</v>
      </c>
      <c r="AL908">
        <v>688</v>
      </c>
      <c r="AM908">
        <v>74121.599999999991</v>
      </c>
      <c r="AN908" t="s">
        <v>176</v>
      </c>
      <c r="AR908" t="s">
        <v>276</v>
      </c>
      <c r="AS908" t="s">
        <v>246</v>
      </c>
    </row>
    <row r="909" spans="1:45">
      <c r="A909" s="86" t="s">
        <v>318</v>
      </c>
      <c r="B909">
        <v>15011514</v>
      </c>
      <c r="C909" t="s">
        <v>1033</v>
      </c>
      <c r="D909" t="s">
        <v>321</v>
      </c>
      <c r="E909" t="s">
        <v>52</v>
      </c>
      <c r="F909" t="s">
        <v>319</v>
      </c>
      <c r="G909" t="s">
        <v>277</v>
      </c>
      <c r="H909" t="s">
        <v>1252</v>
      </c>
      <c r="I909">
        <v>41579</v>
      </c>
      <c r="J909" t="s">
        <v>336</v>
      </c>
      <c r="K909" t="s">
        <v>1271</v>
      </c>
      <c r="L909" t="s">
        <v>324</v>
      </c>
      <c r="M909">
        <v>6</v>
      </c>
      <c r="N909" t="s">
        <v>176</v>
      </c>
      <c r="O909">
        <v>4881</v>
      </c>
      <c r="P909">
        <v>0.02</v>
      </c>
      <c r="Q909">
        <v>98</v>
      </c>
      <c r="R909">
        <v>5.0000000000000001E-3</v>
      </c>
      <c r="S909">
        <v>24</v>
      </c>
      <c r="T909">
        <v>2.4994878098750256E-2</v>
      </c>
      <c r="U909">
        <v>122</v>
      </c>
      <c r="V909">
        <v>5003</v>
      </c>
      <c r="W909">
        <v>4881</v>
      </c>
      <c r="X909">
        <v>0</v>
      </c>
      <c r="Y909">
        <v>0</v>
      </c>
      <c r="Z909" t="s">
        <v>1245</v>
      </c>
      <c r="AE909">
        <v>0</v>
      </c>
      <c r="AF909">
        <v>4881</v>
      </c>
      <c r="AG909">
        <v>0</v>
      </c>
      <c r="AH909" s="143">
        <v>0</v>
      </c>
      <c r="AI909">
        <v>13.6</v>
      </c>
      <c r="AJ909">
        <v>450</v>
      </c>
      <c r="AL909">
        <v>688</v>
      </c>
      <c r="AM909">
        <v>72469.599999999991</v>
      </c>
      <c r="AN909" t="s">
        <v>176</v>
      </c>
      <c r="AQ909" s="21" t="s">
        <v>107</v>
      </c>
      <c r="AR909" t="s">
        <v>276</v>
      </c>
      <c r="AS909" t="s">
        <v>246</v>
      </c>
    </row>
    <row r="910" spans="1:45">
      <c r="A910" s="86" t="s">
        <v>318</v>
      </c>
      <c r="B910">
        <v>15017634</v>
      </c>
      <c r="C910" t="s">
        <v>1306</v>
      </c>
      <c r="D910" t="s">
        <v>321</v>
      </c>
      <c r="E910" t="s">
        <v>52</v>
      </c>
      <c r="F910" t="s">
        <v>319</v>
      </c>
      <c r="G910" t="s">
        <v>282</v>
      </c>
      <c r="H910" t="s">
        <v>1250</v>
      </c>
      <c r="I910">
        <v>43040</v>
      </c>
      <c r="J910" t="s">
        <v>336</v>
      </c>
      <c r="K910" t="s">
        <v>1271</v>
      </c>
      <c r="L910" t="s">
        <v>324</v>
      </c>
      <c r="M910">
        <v>6</v>
      </c>
      <c r="N910" t="s">
        <v>176</v>
      </c>
      <c r="O910">
        <v>4629</v>
      </c>
      <c r="P910">
        <v>0.02</v>
      </c>
      <c r="Q910">
        <v>93</v>
      </c>
      <c r="R910">
        <v>5.0000000000000001E-3</v>
      </c>
      <c r="S910">
        <v>23</v>
      </c>
      <c r="T910">
        <v>2.5059408079498812E-2</v>
      </c>
      <c r="U910">
        <v>116</v>
      </c>
      <c r="V910">
        <v>4745</v>
      </c>
      <c r="W910">
        <v>4745</v>
      </c>
      <c r="X910">
        <v>116</v>
      </c>
      <c r="Y910">
        <v>2.5100000000000001E-2</v>
      </c>
      <c r="Z910" t="s">
        <v>1245</v>
      </c>
      <c r="AE910">
        <v>0</v>
      </c>
      <c r="AF910">
        <v>4745</v>
      </c>
      <c r="AG910">
        <v>116</v>
      </c>
      <c r="AH910" s="143">
        <v>2.5059408079498802E-2</v>
      </c>
      <c r="AI910">
        <v>13.6</v>
      </c>
      <c r="AJ910">
        <v>450</v>
      </c>
      <c r="AL910">
        <v>688</v>
      </c>
      <c r="AM910">
        <v>70620</v>
      </c>
      <c r="AN910" t="s">
        <v>176</v>
      </c>
      <c r="AR910" t="s">
        <v>276</v>
      </c>
      <c r="AS910" t="s">
        <v>246</v>
      </c>
    </row>
    <row r="911" spans="1:45">
      <c r="A911" s="86" t="s">
        <v>318</v>
      </c>
      <c r="B911">
        <v>15004825</v>
      </c>
      <c r="C911" t="s">
        <v>1307</v>
      </c>
      <c r="D911" t="s">
        <v>321</v>
      </c>
      <c r="E911" t="s">
        <v>52</v>
      </c>
      <c r="F911" t="s">
        <v>319</v>
      </c>
      <c r="G911" t="s">
        <v>282</v>
      </c>
      <c r="H911" t="s">
        <v>1250</v>
      </c>
      <c r="I911">
        <v>40664</v>
      </c>
      <c r="J911" t="s">
        <v>336</v>
      </c>
      <c r="K911" t="s">
        <v>803</v>
      </c>
      <c r="L911" t="s">
        <v>324</v>
      </c>
      <c r="M911">
        <v>6</v>
      </c>
      <c r="N911" t="s">
        <v>176</v>
      </c>
      <c r="O911">
        <v>4578</v>
      </c>
      <c r="P911">
        <v>0.02</v>
      </c>
      <c r="Q911">
        <v>92</v>
      </c>
      <c r="R911">
        <v>5.0000000000000001E-3</v>
      </c>
      <c r="S911">
        <v>23</v>
      </c>
      <c r="T911">
        <v>2.5120139799038883E-2</v>
      </c>
      <c r="U911">
        <v>115</v>
      </c>
      <c r="V911">
        <v>4693</v>
      </c>
      <c r="W911">
        <v>4693</v>
      </c>
      <c r="X911">
        <v>115</v>
      </c>
      <c r="Y911">
        <v>2.5100000000000001E-2</v>
      </c>
      <c r="Z911" t="s">
        <v>1245</v>
      </c>
      <c r="AE911">
        <v>0</v>
      </c>
      <c r="AF911">
        <v>4693</v>
      </c>
      <c r="AG911">
        <v>115</v>
      </c>
      <c r="AH911" s="143">
        <v>2.5120139799038821E-2</v>
      </c>
      <c r="AI911">
        <v>13.6</v>
      </c>
      <c r="AJ911">
        <v>650</v>
      </c>
      <c r="AL911">
        <v>688</v>
      </c>
      <c r="AM911">
        <v>72312.799999999988</v>
      </c>
      <c r="AN911" t="s">
        <v>176</v>
      </c>
      <c r="AR911" t="s">
        <v>276</v>
      </c>
      <c r="AS911" t="s">
        <v>246</v>
      </c>
    </row>
    <row r="912" spans="1:45">
      <c r="A912" s="86" t="s">
        <v>318</v>
      </c>
      <c r="B912">
        <v>15018289</v>
      </c>
      <c r="C912" t="s">
        <v>1308</v>
      </c>
      <c r="D912" t="s">
        <v>321</v>
      </c>
      <c r="E912" t="s">
        <v>52</v>
      </c>
      <c r="F912" t="s">
        <v>319</v>
      </c>
      <c r="G912" t="s">
        <v>282</v>
      </c>
      <c r="H912" t="s">
        <v>1250</v>
      </c>
      <c r="I912">
        <v>42984</v>
      </c>
      <c r="J912" t="s">
        <v>336</v>
      </c>
      <c r="K912" t="s">
        <v>803</v>
      </c>
      <c r="L912" t="s">
        <v>324</v>
      </c>
      <c r="M912">
        <v>6</v>
      </c>
      <c r="N912" t="s">
        <v>176</v>
      </c>
      <c r="O912">
        <v>4629</v>
      </c>
      <c r="P912">
        <v>0.02</v>
      </c>
      <c r="Q912">
        <v>93</v>
      </c>
      <c r="R912">
        <v>5.0000000000000001E-3</v>
      </c>
      <c r="S912">
        <v>23</v>
      </c>
      <c r="T912">
        <v>2.5059408079498812E-2</v>
      </c>
      <c r="U912">
        <v>116</v>
      </c>
      <c r="V912">
        <v>4745</v>
      </c>
      <c r="W912">
        <v>4745</v>
      </c>
      <c r="X912">
        <v>116</v>
      </c>
      <c r="Y912">
        <v>2.5100000000000001E-2</v>
      </c>
      <c r="Z912" t="s">
        <v>1245</v>
      </c>
      <c r="AE912">
        <v>0</v>
      </c>
      <c r="AF912">
        <v>4745</v>
      </c>
      <c r="AG912">
        <v>116</v>
      </c>
      <c r="AH912" s="143">
        <v>2.5059408079498802E-2</v>
      </c>
      <c r="AI912">
        <v>13.6</v>
      </c>
      <c r="AJ912">
        <v>650</v>
      </c>
      <c r="AL912">
        <v>688</v>
      </c>
      <c r="AM912">
        <v>73020</v>
      </c>
      <c r="AN912" t="s">
        <v>176</v>
      </c>
      <c r="AR912" t="s">
        <v>276</v>
      </c>
      <c r="AS912" t="s">
        <v>246</v>
      </c>
    </row>
    <row r="913" spans="1:45">
      <c r="A913" s="86" t="s">
        <v>318</v>
      </c>
      <c r="B913">
        <v>15011317</v>
      </c>
      <c r="C913" t="s">
        <v>1309</v>
      </c>
      <c r="D913" t="s">
        <v>321</v>
      </c>
      <c r="E913" t="s">
        <v>52</v>
      </c>
      <c r="F913" t="s">
        <v>319</v>
      </c>
      <c r="G913" t="s">
        <v>282</v>
      </c>
      <c r="H913" t="s">
        <v>1250</v>
      </c>
      <c r="I913">
        <v>41473</v>
      </c>
      <c r="J913" t="s">
        <v>336</v>
      </c>
      <c r="K913" t="s">
        <v>803</v>
      </c>
      <c r="L913" t="s">
        <v>324</v>
      </c>
      <c r="M913">
        <v>6</v>
      </c>
      <c r="N913" t="s">
        <v>176</v>
      </c>
      <c r="O913">
        <v>4711</v>
      </c>
      <c r="P913">
        <v>0.02</v>
      </c>
      <c r="Q913">
        <v>94</v>
      </c>
      <c r="R913">
        <v>5.0000000000000001E-3</v>
      </c>
      <c r="S913">
        <v>24</v>
      </c>
      <c r="T913">
        <v>2.5047760560390576E-2</v>
      </c>
      <c r="U913">
        <v>118</v>
      </c>
      <c r="V913">
        <v>4829</v>
      </c>
      <c r="W913">
        <v>4829</v>
      </c>
      <c r="X913">
        <v>118</v>
      </c>
      <c r="Y913">
        <v>2.5000000000000001E-2</v>
      </c>
      <c r="Z913" t="s">
        <v>1245</v>
      </c>
      <c r="AE913">
        <v>0</v>
      </c>
      <c r="AF913">
        <v>4829</v>
      </c>
      <c r="AG913">
        <v>118</v>
      </c>
      <c r="AH913" s="143">
        <v>2.5047760560390486E-2</v>
      </c>
      <c r="AI913">
        <v>13.6</v>
      </c>
      <c r="AJ913">
        <v>650</v>
      </c>
      <c r="AL913">
        <v>688</v>
      </c>
      <c r="AM913">
        <v>74162.399999999994</v>
      </c>
      <c r="AN913" t="s">
        <v>176</v>
      </c>
      <c r="AR913" t="s">
        <v>276</v>
      </c>
      <c r="AS913" t="s">
        <v>246</v>
      </c>
    </row>
    <row r="914" spans="1:45">
      <c r="A914" s="86" t="s">
        <v>318</v>
      </c>
      <c r="B914">
        <v>15013596</v>
      </c>
      <c r="C914" t="s">
        <v>1310</v>
      </c>
      <c r="D914" t="s">
        <v>321</v>
      </c>
      <c r="E914" t="s">
        <v>52</v>
      </c>
      <c r="F914" t="s">
        <v>319</v>
      </c>
      <c r="G914" t="s">
        <v>282</v>
      </c>
      <c r="H914" t="s">
        <v>1250</v>
      </c>
      <c r="I914">
        <v>41843</v>
      </c>
      <c r="J914" t="s">
        <v>336</v>
      </c>
      <c r="K914" t="s">
        <v>803</v>
      </c>
      <c r="L914" t="s">
        <v>324</v>
      </c>
      <c r="M914">
        <v>6</v>
      </c>
      <c r="N914" t="s">
        <v>176</v>
      </c>
      <c r="O914">
        <v>4652</v>
      </c>
      <c r="P914">
        <v>0.02</v>
      </c>
      <c r="Q914">
        <v>93</v>
      </c>
      <c r="R914">
        <v>5.0000000000000001E-3</v>
      </c>
      <c r="S914">
        <v>23</v>
      </c>
      <c r="T914">
        <v>2.4935511607910577E-2</v>
      </c>
      <c r="U914">
        <v>116</v>
      </c>
      <c r="V914">
        <v>4768</v>
      </c>
      <c r="W914">
        <v>4769</v>
      </c>
      <c r="X914">
        <v>117</v>
      </c>
      <c r="Y914">
        <v>2.52E-2</v>
      </c>
      <c r="Z914" t="s">
        <v>1245</v>
      </c>
      <c r="AE914">
        <v>0</v>
      </c>
      <c r="AF914">
        <v>4769</v>
      </c>
      <c r="AG914">
        <v>117</v>
      </c>
      <c r="AH914" s="143">
        <v>2.5150472914875266E-2</v>
      </c>
      <c r="AI914">
        <v>13.6</v>
      </c>
      <c r="AJ914">
        <v>650</v>
      </c>
      <c r="AL914">
        <v>688</v>
      </c>
      <c r="AM914">
        <v>73346.399999999994</v>
      </c>
      <c r="AN914" t="s">
        <v>176</v>
      </c>
      <c r="AR914" t="s">
        <v>276</v>
      </c>
      <c r="AS914" t="s">
        <v>246</v>
      </c>
    </row>
    <row r="915" spans="1:45">
      <c r="A915" s="86" t="s">
        <v>318</v>
      </c>
      <c r="B915">
        <v>15011557</v>
      </c>
      <c r="C915" t="s">
        <v>1311</v>
      </c>
      <c r="D915" t="s">
        <v>321</v>
      </c>
      <c r="E915" t="s">
        <v>52</v>
      </c>
      <c r="F915" t="s">
        <v>319</v>
      </c>
      <c r="G915" t="s">
        <v>282</v>
      </c>
      <c r="H915" t="s">
        <v>1250</v>
      </c>
      <c r="I915">
        <v>41513</v>
      </c>
      <c r="J915" t="s">
        <v>336</v>
      </c>
      <c r="K915" t="s">
        <v>803</v>
      </c>
      <c r="L915" t="s">
        <v>324</v>
      </c>
      <c r="M915">
        <v>6</v>
      </c>
      <c r="N915" t="s">
        <v>176</v>
      </c>
      <c r="O915">
        <v>4652</v>
      </c>
      <c r="P915">
        <v>0.02</v>
      </c>
      <c r="Q915">
        <v>93</v>
      </c>
      <c r="R915">
        <v>5.0000000000000001E-3</v>
      </c>
      <c r="S915">
        <v>23</v>
      </c>
      <c r="T915">
        <v>2.4935511607910577E-2</v>
      </c>
      <c r="U915">
        <v>116</v>
      </c>
      <c r="V915">
        <v>4768</v>
      </c>
      <c r="W915">
        <v>4769</v>
      </c>
      <c r="X915">
        <v>117</v>
      </c>
      <c r="Y915">
        <v>2.52E-2</v>
      </c>
      <c r="Z915" t="s">
        <v>1245</v>
      </c>
      <c r="AE915">
        <v>0</v>
      </c>
      <c r="AF915">
        <v>4769</v>
      </c>
      <c r="AG915">
        <v>117</v>
      </c>
      <c r="AH915" s="143">
        <v>2.5150472914875266E-2</v>
      </c>
      <c r="AI915">
        <v>13.6</v>
      </c>
      <c r="AJ915">
        <v>650</v>
      </c>
      <c r="AL915">
        <v>688</v>
      </c>
      <c r="AM915">
        <v>73346.399999999994</v>
      </c>
      <c r="AN915" t="s">
        <v>176</v>
      </c>
      <c r="AR915" t="s">
        <v>276</v>
      </c>
      <c r="AS915" t="s">
        <v>246</v>
      </c>
    </row>
    <row r="916" spans="1:45">
      <c r="A916" s="86" t="s">
        <v>318</v>
      </c>
      <c r="B916">
        <v>15005099</v>
      </c>
      <c r="C916" t="s">
        <v>1312</v>
      </c>
      <c r="D916" t="s">
        <v>321</v>
      </c>
      <c r="E916" t="s">
        <v>52</v>
      </c>
      <c r="F916" t="s">
        <v>319</v>
      </c>
      <c r="G916" t="s">
        <v>282</v>
      </c>
      <c r="H916" t="s">
        <v>1250</v>
      </c>
      <c r="I916">
        <v>39934</v>
      </c>
      <c r="J916" t="s">
        <v>336</v>
      </c>
      <c r="K916" t="s">
        <v>803</v>
      </c>
      <c r="L916" t="s">
        <v>324</v>
      </c>
      <c r="M916">
        <v>6</v>
      </c>
      <c r="N916" t="s">
        <v>176</v>
      </c>
      <c r="O916">
        <v>5866</v>
      </c>
      <c r="P916">
        <v>0.02</v>
      </c>
      <c r="Q916">
        <v>117</v>
      </c>
      <c r="R916">
        <v>5.0000000000000001E-3</v>
      </c>
      <c r="S916">
        <v>29</v>
      </c>
      <c r="T916">
        <v>2.4889191953631096E-2</v>
      </c>
      <c r="U916">
        <v>146</v>
      </c>
      <c r="V916">
        <v>6012</v>
      </c>
      <c r="W916">
        <v>6013</v>
      </c>
      <c r="X916">
        <v>147</v>
      </c>
      <c r="Y916">
        <v>2.5100000000000001E-2</v>
      </c>
      <c r="Z916" t="s">
        <v>1245</v>
      </c>
      <c r="AE916">
        <v>0</v>
      </c>
      <c r="AF916">
        <v>6013</v>
      </c>
      <c r="AG916">
        <v>147</v>
      </c>
      <c r="AH916" s="143">
        <v>2.5059665871121739E-2</v>
      </c>
      <c r="AI916">
        <v>13.6</v>
      </c>
      <c r="AJ916">
        <v>650</v>
      </c>
      <c r="AL916">
        <v>688</v>
      </c>
      <c r="AM916">
        <v>90264.8</v>
      </c>
      <c r="AN916" t="s">
        <v>176</v>
      </c>
      <c r="AR916" t="s">
        <v>276</v>
      </c>
      <c r="AS916" t="s">
        <v>246</v>
      </c>
    </row>
    <row r="917" spans="1:45">
      <c r="A917" s="86" t="s">
        <v>318</v>
      </c>
      <c r="B917">
        <v>15003052</v>
      </c>
      <c r="C917" t="s">
        <v>1313</v>
      </c>
      <c r="D917" t="s">
        <v>321</v>
      </c>
      <c r="E917" t="s">
        <v>52</v>
      </c>
      <c r="F917" t="s">
        <v>319</v>
      </c>
      <c r="G917" t="s">
        <v>282</v>
      </c>
      <c r="H917" t="s">
        <v>1250</v>
      </c>
      <c r="I917">
        <v>40238</v>
      </c>
      <c r="J917" t="s">
        <v>336</v>
      </c>
      <c r="K917" t="s">
        <v>1271</v>
      </c>
      <c r="L917" t="s">
        <v>324</v>
      </c>
      <c r="M917">
        <v>6</v>
      </c>
      <c r="N917" t="s">
        <v>176</v>
      </c>
      <c r="O917">
        <v>4635</v>
      </c>
      <c r="P917">
        <v>0.02</v>
      </c>
      <c r="Q917">
        <v>93</v>
      </c>
      <c r="R917">
        <v>5.0000000000000001E-3</v>
      </c>
      <c r="S917">
        <v>23</v>
      </c>
      <c r="T917">
        <v>2.5026968716289105E-2</v>
      </c>
      <c r="U917">
        <v>116</v>
      </c>
      <c r="V917">
        <v>4751</v>
      </c>
      <c r="W917">
        <v>4751</v>
      </c>
      <c r="X917">
        <v>116</v>
      </c>
      <c r="Y917">
        <v>2.5000000000000001E-2</v>
      </c>
      <c r="Z917" t="s">
        <v>1245</v>
      </c>
      <c r="AE917">
        <v>0</v>
      </c>
      <c r="AF917">
        <v>4751</v>
      </c>
      <c r="AG917">
        <v>116</v>
      </c>
      <c r="AH917" s="143">
        <v>2.5026968716289177E-2</v>
      </c>
      <c r="AI917">
        <v>13.6</v>
      </c>
      <c r="AJ917">
        <v>450</v>
      </c>
      <c r="AL917">
        <v>688</v>
      </c>
      <c r="AM917">
        <v>70701.600000000006</v>
      </c>
      <c r="AN917" t="s">
        <v>176</v>
      </c>
      <c r="AR917" t="s">
        <v>276</v>
      </c>
      <c r="AS917" t="s">
        <v>246</v>
      </c>
    </row>
    <row r="918" spans="1:45">
      <c r="A918" s="86" t="s">
        <v>318</v>
      </c>
      <c r="B918">
        <v>15008526</v>
      </c>
      <c r="C918" t="s">
        <v>1314</v>
      </c>
      <c r="D918" t="s">
        <v>321</v>
      </c>
      <c r="E918" t="s">
        <v>52</v>
      </c>
      <c r="F918" t="s">
        <v>319</v>
      </c>
      <c r="G918" t="s">
        <v>274</v>
      </c>
      <c r="H918" t="s">
        <v>1244</v>
      </c>
      <c r="I918">
        <v>41244</v>
      </c>
      <c r="J918" t="s">
        <v>336</v>
      </c>
      <c r="K918" t="s">
        <v>1271</v>
      </c>
      <c r="L918" t="s">
        <v>324</v>
      </c>
      <c r="M918">
        <v>6</v>
      </c>
      <c r="N918" t="s">
        <v>176</v>
      </c>
      <c r="O918">
        <v>6150</v>
      </c>
      <c r="P918">
        <v>0.02</v>
      </c>
      <c r="Q918">
        <v>123</v>
      </c>
      <c r="R918">
        <v>5.0000000000000001E-3</v>
      </c>
      <c r="S918">
        <v>31</v>
      </c>
      <c r="T918">
        <v>2.5040650406504064E-2</v>
      </c>
      <c r="U918">
        <v>154</v>
      </c>
      <c r="V918">
        <v>6304</v>
      </c>
      <c r="W918">
        <v>6303.75</v>
      </c>
      <c r="X918">
        <v>153.75</v>
      </c>
      <c r="Y918">
        <v>2.5000000000000001E-2</v>
      </c>
      <c r="Z918" t="s">
        <v>1245</v>
      </c>
      <c r="AE918">
        <v>0</v>
      </c>
      <c r="AF918">
        <v>6303.75</v>
      </c>
      <c r="AG918">
        <v>153.75</v>
      </c>
      <c r="AH918" s="143">
        <v>2.4999999999999911E-2</v>
      </c>
      <c r="AI918">
        <v>13.6</v>
      </c>
      <c r="AJ918">
        <v>650</v>
      </c>
      <c r="AL918">
        <v>688</v>
      </c>
      <c r="AM918">
        <v>94219</v>
      </c>
      <c r="AN918" t="s">
        <v>176</v>
      </c>
      <c r="AR918" t="s">
        <v>276</v>
      </c>
      <c r="AS918" t="s">
        <v>246</v>
      </c>
    </row>
    <row r="919" spans="1:45">
      <c r="A919" s="86" t="s">
        <v>318</v>
      </c>
      <c r="B919">
        <v>15015303</v>
      </c>
      <c r="C919" t="s">
        <v>1315</v>
      </c>
      <c r="D919" t="s">
        <v>321</v>
      </c>
      <c r="E919" t="s">
        <v>52</v>
      </c>
      <c r="F919" t="s">
        <v>319</v>
      </c>
      <c r="G919" t="s">
        <v>274</v>
      </c>
      <c r="H919" t="s">
        <v>1244</v>
      </c>
      <c r="I919">
        <v>42614</v>
      </c>
      <c r="J919" t="s">
        <v>336</v>
      </c>
      <c r="K919" t="s">
        <v>1271</v>
      </c>
      <c r="L919" t="s">
        <v>324</v>
      </c>
      <c r="M919">
        <v>6</v>
      </c>
      <c r="N919" t="s">
        <v>176</v>
      </c>
      <c r="O919">
        <v>4643</v>
      </c>
      <c r="P919">
        <v>0.02</v>
      </c>
      <c r="Q919">
        <v>93</v>
      </c>
      <c r="R919">
        <v>5.0000000000000001E-3</v>
      </c>
      <c r="S919">
        <v>23</v>
      </c>
      <c r="T919">
        <v>2.498384665087228E-2</v>
      </c>
      <c r="U919">
        <v>116</v>
      </c>
      <c r="V919">
        <v>4759</v>
      </c>
      <c r="W919">
        <v>4759.0749999999998</v>
      </c>
      <c r="X919">
        <v>116.07499999999982</v>
      </c>
      <c r="Y919">
        <v>2.5000000000000001E-2</v>
      </c>
      <c r="Z919" t="s">
        <v>1245</v>
      </c>
      <c r="AE919">
        <v>0</v>
      </c>
      <c r="AF919">
        <v>4759.0749999999998</v>
      </c>
      <c r="AG919">
        <v>116.07499999999982</v>
      </c>
      <c r="AH919" s="143">
        <v>2.4999999999999911E-2</v>
      </c>
      <c r="AI919">
        <v>13.6</v>
      </c>
      <c r="AJ919">
        <v>450</v>
      </c>
      <c r="AL919">
        <v>688</v>
      </c>
      <c r="AM919">
        <v>70811.42</v>
      </c>
      <c r="AN919" t="s">
        <v>176</v>
      </c>
      <c r="AR919" t="s">
        <v>276</v>
      </c>
      <c r="AS919" t="s">
        <v>246</v>
      </c>
    </row>
    <row r="920" spans="1:45">
      <c r="A920" s="86" t="s">
        <v>318</v>
      </c>
      <c r="B920">
        <v>15003693</v>
      </c>
      <c r="C920" t="s">
        <v>1316</v>
      </c>
      <c r="D920" t="s">
        <v>321</v>
      </c>
      <c r="E920" t="s">
        <v>52</v>
      </c>
      <c r="F920" t="s">
        <v>319</v>
      </c>
      <c r="G920" t="s">
        <v>274</v>
      </c>
      <c r="H920" t="s">
        <v>1244</v>
      </c>
      <c r="I920">
        <v>40452</v>
      </c>
      <c r="J920" t="s">
        <v>336</v>
      </c>
      <c r="K920" t="s">
        <v>1271</v>
      </c>
      <c r="L920" t="s">
        <v>324</v>
      </c>
      <c r="M920">
        <v>6</v>
      </c>
      <c r="N920" t="s">
        <v>176</v>
      </c>
      <c r="O920">
        <v>5850</v>
      </c>
      <c r="P920">
        <v>0.02</v>
      </c>
      <c r="Q920">
        <v>117</v>
      </c>
      <c r="R920">
        <v>5.0000000000000001E-3</v>
      </c>
      <c r="S920">
        <v>29</v>
      </c>
      <c r="T920">
        <v>2.4957264957264958E-2</v>
      </c>
      <c r="U920">
        <v>146</v>
      </c>
      <c r="V920">
        <v>5996</v>
      </c>
      <c r="W920">
        <v>5996.25</v>
      </c>
      <c r="X920">
        <v>146.25</v>
      </c>
      <c r="Y920">
        <v>2.5000000000000001E-2</v>
      </c>
      <c r="Z920" t="s">
        <v>1245</v>
      </c>
      <c r="AE920">
        <v>0</v>
      </c>
      <c r="AF920">
        <v>5996.25</v>
      </c>
      <c r="AG920">
        <v>146.25</v>
      </c>
      <c r="AH920" s="143">
        <v>2.4999999999999911E-2</v>
      </c>
      <c r="AI920">
        <v>13.6</v>
      </c>
      <c r="AJ920">
        <v>650</v>
      </c>
      <c r="AL920">
        <v>688</v>
      </c>
      <c r="AM920">
        <v>90037</v>
      </c>
      <c r="AN920" t="s">
        <v>176</v>
      </c>
      <c r="AR920" t="s">
        <v>276</v>
      </c>
      <c r="AS920" t="s">
        <v>246</v>
      </c>
    </row>
    <row r="921" spans="1:45">
      <c r="A921" s="86" t="s">
        <v>318</v>
      </c>
      <c r="B921">
        <v>15003562</v>
      </c>
      <c r="C921" t="s">
        <v>1317</v>
      </c>
      <c r="D921" t="s">
        <v>321</v>
      </c>
      <c r="E921" t="s">
        <v>52</v>
      </c>
      <c r="F921" t="s">
        <v>319</v>
      </c>
      <c r="G921" t="s">
        <v>274</v>
      </c>
      <c r="H921" t="s">
        <v>1244</v>
      </c>
      <c r="I921">
        <v>40360</v>
      </c>
      <c r="J921" t="s">
        <v>336</v>
      </c>
      <c r="K921" t="s">
        <v>1271</v>
      </c>
      <c r="L921" t="s">
        <v>324</v>
      </c>
      <c r="M921">
        <v>6</v>
      </c>
      <c r="N921" t="s">
        <v>176</v>
      </c>
      <c r="O921">
        <v>5177</v>
      </c>
      <c r="P921">
        <v>0.02</v>
      </c>
      <c r="Q921">
        <v>104</v>
      </c>
      <c r="R921">
        <v>5.0000000000000001E-3</v>
      </c>
      <c r="S921">
        <v>26</v>
      </c>
      <c r="T921">
        <v>2.511106818620823E-2</v>
      </c>
      <c r="U921">
        <v>130</v>
      </c>
      <c r="V921">
        <v>5307</v>
      </c>
      <c r="W921">
        <v>5241.7124999999996</v>
      </c>
      <c r="X921">
        <v>64.712499999999636</v>
      </c>
      <c r="Y921">
        <v>1.2500000000000001E-2</v>
      </c>
      <c r="Z921" t="s">
        <v>1245</v>
      </c>
      <c r="AE921">
        <v>0</v>
      </c>
      <c r="AF921">
        <v>5241.7124999999996</v>
      </c>
      <c r="AG921">
        <v>64.712499999999636</v>
      </c>
      <c r="AH921" s="143">
        <v>1.2499999999999956E-2</v>
      </c>
      <c r="AI921">
        <v>13.6</v>
      </c>
      <c r="AJ921">
        <v>450</v>
      </c>
      <c r="AL921">
        <v>688</v>
      </c>
      <c r="AM921">
        <v>77375.289999999994</v>
      </c>
      <c r="AN921" t="s">
        <v>176</v>
      </c>
      <c r="AR921" t="s">
        <v>276</v>
      </c>
      <c r="AS921" t="s">
        <v>246</v>
      </c>
    </row>
    <row r="922" spans="1:45">
      <c r="A922" s="86" t="s">
        <v>318</v>
      </c>
      <c r="B922">
        <v>15015907</v>
      </c>
      <c r="C922" t="s">
        <v>1318</v>
      </c>
      <c r="D922" t="s">
        <v>321</v>
      </c>
      <c r="E922" t="s">
        <v>52</v>
      </c>
      <c r="F922" t="s">
        <v>319</v>
      </c>
      <c r="G922" t="s">
        <v>274</v>
      </c>
      <c r="H922" t="s">
        <v>1244</v>
      </c>
      <c r="I922">
        <v>42676</v>
      </c>
      <c r="J922" t="s">
        <v>336</v>
      </c>
      <c r="K922" t="s">
        <v>803</v>
      </c>
      <c r="L922" t="s">
        <v>324</v>
      </c>
      <c r="M922">
        <v>6</v>
      </c>
      <c r="N922" t="s">
        <v>176</v>
      </c>
      <c r="O922">
        <v>4510</v>
      </c>
      <c r="P922">
        <v>0.02</v>
      </c>
      <c r="Q922">
        <v>90</v>
      </c>
      <c r="R922">
        <v>5.0000000000000001E-3</v>
      </c>
      <c r="S922">
        <v>23</v>
      </c>
      <c r="T922">
        <v>2.5055432372505543E-2</v>
      </c>
      <c r="U922">
        <v>113</v>
      </c>
      <c r="V922">
        <v>4623</v>
      </c>
      <c r="W922">
        <v>4622.75</v>
      </c>
      <c r="X922">
        <v>112.75</v>
      </c>
      <c r="Y922">
        <v>2.5000000000000001E-2</v>
      </c>
      <c r="Z922" t="s">
        <v>1245</v>
      </c>
      <c r="AE922">
        <v>0</v>
      </c>
      <c r="AF922">
        <v>4622.75</v>
      </c>
      <c r="AG922">
        <v>112.75</v>
      </c>
      <c r="AH922" s="143">
        <v>2.4999999999999911E-2</v>
      </c>
      <c r="AI922">
        <v>13.6</v>
      </c>
      <c r="AJ922">
        <v>650</v>
      </c>
      <c r="AL922">
        <v>688</v>
      </c>
      <c r="AM922">
        <v>71357.399999999994</v>
      </c>
      <c r="AN922" t="s">
        <v>176</v>
      </c>
      <c r="AR922" t="s">
        <v>276</v>
      </c>
      <c r="AS922" t="s">
        <v>246</v>
      </c>
    </row>
    <row r="923" spans="1:45">
      <c r="A923" s="86" t="s">
        <v>318</v>
      </c>
      <c r="B923">
        <v>15008094</v>
      </c>
      <c r="C923" t="s">
        <v>1319</v>
      </c>
      <c r="D923" t="s">
        <v>321</v>
      </c>
      <c r="E923" t="s">
        <v>52</v>
      </c>
      <c r="F923" t="s">
        <v>319</v>
      </c>
      <c r="G923" t="s">
        <v>274</v>
      </c>
      <c r="H923" t="s">
        <v>1244</v>
      </c>
      <c r="I923">
        <v>41365</v>
      </c>
      <c r="J923" t="s">
        <v>336</v>
      </c>
      <c r="K923" t="s">
        <v>1271</v>
      </c>
      <c r="L923" t="s">
        <v>324</v>
      </c>
      <c r="M923">
        <v>6</v>
      </c>
      <c r="N923" t="s">
        <v>176</v>
      </c>
      <c r="O923">
        <v>5045</v>
      </c>
      <c r="P923">
        <v>0.02</v>
      </c>
      <c r="Q923">
        <v>101</v>
      </c>
      <c r="R923">
        <v>5.0000000000000001E-3</v>
      </c>
      <c r="S923">
        <v>25</v>
      </c>
      <c r="T923">
        <v>2.497522299306244E-2</v>
      </c>
      <c r="U923">
        <v>126</v>
      </c>
      <c r="V923">
        <v>5171</v>
      </c>
      <c r="W923">
        <v>5171.125</v>
      </c>
      <c r="X923">
        <v>126.125</v>
      </c>
      <c r="Y923">
        <v>2.5000000000000001E-2</v>
      </c>
      <c r="Z923" t="s">
        <v>1245</v>
      </c>
      <c r="AE923">
        <v>0</v>
      </c>
      <c r="AF923">
        <v>5171.125</v>
      </c>
      <c r="AG923">
        <v>126.125</v>
      </c>
      <c r="AH923" s="143">
        <v>2.4999999999999911E-2</v>
      </c>
      <c r="AI923">
        <v>13.6</v>
      </c>
      <c r="AJ923">
        <v>450</v>
      </c>
      <c r="AL923">
        <v>688</v>
      </c>
      <c r="AM923">
        <v>76415.3</v>
      </c>
      <c r="AN923" t="s">
        <v>176</v>
      </c>
      <c r="AR923" t="s">
        <v>276</v>
      </c>
      <c r="AS923" t="s">
        <v>246</v>
      </c>
    </row>
    <row r="924" spans="1:45">
      <c r="A924" s="86" t="s">
        <v>318</v>
      </c>
      <c r="B924">
        <v>15015483</v>
      </c>
      <c r="C924" t="s">
        <v>1320</v>
      </c>
      <c r="D924" t="s">
        <v>321</v>
      </c>
      <c r="E924" t="s">
        <v>52</v>
      </c>
      <c r="F924" t="s">
        <v>319</v>
      </c>
      <c r="G924" t="s">
        <v>274</v>
      </c>
      <c r="H924" t="s">
        <v>1244</v>
      </c>
      <c r="I924">
        <v>42592</v>
      </c>
      <c r="J924" t="s">
        <v>336</v>
      </c>
      <c r="K924" t="s">
        <v>803</v>
      </c>
      <c r="L924" t="s">
        <v>324</v>
      </c>
      <c r="M924">
        <v>6</v>
      </c>
      <c r="N924" t="s">
        <v>176</v>
      </c>
      <c r="O924">
        <v>4478</v>
      </c>
      <c r="P924">
        <v>0.02</v>
      </c>
      <c r="Q924">
        <v>90</v>
      </c>
      <c r="R924">
        <v>5.0000000000000001E-3</v>
      </c>
      <c r="S924">
        <v>22</v>
      </c>
      <c r="T924">
        <v>2.5011165698972757E-2</v>
      </c>
      <c r="U924">
        <v>112</v>
      </c>
      <c r="V924">
        <v>4590</v>
      </c>
      <c r="W924">
        <v>4589.95</v>
      </c>
      <c r="X924">
        <v>111.94999999999982</v>
      </c>
      <c r="Y924">
        <v>2.5000000000000001E-2</v>
      </c>
      <c r="Z924" t="s">
        <v>1245</v>
      </c>
      <c r="AE924">
        <v>0</v>
      </c>
      <c r="AF924">
        <v>4589.95</v>
      </c>
      <c r="AG924">
        <v>111.94999999999982</v>
      </c>
      <c r="AH924" s="143">
        <v>2.4999999999999911E-2</v>
      </c>
      <c r="AI924">
        <v>13.6</v>
      </c>
      <c r="AJ924">
        <v>650</v>
      </c>
      <c r="AL924">
        <v>688</v>
      </c>
      <c r="AM924">
        <v>70911.319999999992</v>
      </c>
      <c r="AN924" t="s">
        <v>176</v>
      </c>
      <c r="AR924" t="s">
        <v>276</v>
      </c>
      <c r="AS924" t="s">
        <v>246</v>
      </c>
    </row>
    <row r="925" spans="1:45">
      <c r="A925" s="86" t="s">
        <v>318</v>
      </c>
      <c r="B925">
        <v>15010625</v>
      </c>
      <c r="C925" t="s">
        <v>1321</v>
      </c>
      <c r="D925" t="s">
        <v>321</v>
      </c>
      <c r="E925" t="s">
        <v>52</v>
      </c>
      <c r="F925" t="s">
        <v>319</v>
      </c>
      <c r="G925" t="s">
        <v>274</v>
      </c>
      <c r="H925" t="s">
        <v>1244</v>
      </c>
      <c r="I925">
        <v>41429</v>
      </c>
      <c r="J925" t="s">
        <v>336</v>
      </c>
      <c r="K925" t="s">
        <v>803</v>
      </c>
      <c r="L925" t="s">
        <v>324</v>
      </c>
      <c r="M925">
        <v>6</v>
      </c>
      <c r="N925" t="s">
        <v>176</v>
      </c>
      <c r="O925">
        <v>4590</v>
      </c>
      <c r="P925">
        <v>0.02</v>
      </c>
      <c r="Q925">
        <v>92</v>
      </c>
      <c r="R925">
        <v>5.0000000000000001E-3</v>
      </c>
      <c r="S925">
        <v>23</v>
      </c>
      <c r="T925">
        <v>2.5054466230936819E-2</v>
      </c>
      <c r="U925">
        <v>115</v>
      </c>
      <c r="V925">
        <v>4705</v>
      </c>
      <c r="W925">
        <v>4612.95</v>
      </c>
      <c r="X925">
        <v>22.949999999999818</v>
      </c>
      <c r="Y925">
        <v>5.0000000000000001E-3</v>
      </c>
      <c r="Z925" t="s">
        <v>1245</v>
      </c>
      <c r="AE925">
        <v>0</v>
      </c>
      <c r="AF925">
        <v>4612.95</v>
      </c>
      <c r="AG925">
        <v>22.949999999999818</v>
      </c>
      <c r="AH925" s="143">
        <v>4.9999999999998934E-3</v>
      </c>
      <c r="AI925">
        <v>13.6</v>
      </c>
      <c r="AJ925">
        <v>650</v>
      </c>
      <c r="AL925">
        <v>688</v>
      </c>
      <c r="AM925">
        <v>71224.12</v>
      </c>
      <c r="AN925" t="s">
        <v>176</v>
      </c>
      <c r="AO925" t="s">
        <v>490</v>
      </c>
      <c r="AR925" t="s">
        <v>276</v>
      </c>
      <c r="AS925" t="s">
        <v>246</v>
      </c>
    </row>
    <row r="926" spans="1:45">
      <c r="A926" s="86" t="s">
        <v>318</v>
      </c>
      <c r="B926">
        <v>15001480</v>
      </c>
      <c r="C926" t="s">
        <v>1322</v>
      </c>
      <c r="D926" t="s">
        <v>321</v>
      </c>
      <c r="E926" t="s">
        <v>52</v>
      </c>
      <c r="F926" t="s">
        <v>319</v>
      </c>
      <c r="G926" t="s">
        <v>274</v>
      </c>
      <c r="H926" t="s">
        <v>1244</v>
      </c>
      <c r="I926">
        <v>39546</v>
      </c>
      <c r="J926" t="s">
        <v>336</v>
      </c>
      <c r="K926" t="s">
        <v>1271</v>
      </c>
      <c r="L926" t="s">
        <v>324</v>
      </c>
      <c r="M926">
        <v>6</v>
      </c>
      <c r="N926" t="s">
        <v>176</v>
      </c>
      <c r="O926">
        <v>6219</v>
      </c>
      <c r="P926">
        <v>0.02</v>
      </c>
      <c r="Q926">
        <v>124</v>
      </c>
      <c r="R926">
        <v>5.0000000000000001E-3</v>
      </c>
      <c r="S926">
        <v>31</v>
      </c>
      <c r="T926">
        <v>2.4923621160958354E-2</v>
      </c>
      <c r="U926">
        <v>155</v>
      </c>
      <c r="V926">
        <v>6374</v>
      </c>
      <c r="W926">
        <v>6374.4750000000004</v>
      </c>
      <c r="X926">
        <v>155.47500000000036</v>
      </c>
      <c r="Y926">
        <v>2.5000000000000001E-2</v>
      </c>
      <c r="Z926" t="s">
        <v>1245</v>
      </c>
      <c r="AE926">
        <v>0</v>
      </c>
      <c r="AF926">
        <v>6374.4750000000004</v>
      </c>
      <c r="AG926">
        <v>155.47500000000036</v>
      </c>
      <c r="AH926" s="143">
        <v>2.5000000000000133E-2</v>
      </c>
      <c r="AI926">
        <v>13.6</v>
      </c>
      <c r="AJ926">
        <v>450</v>
      </c>
      <c r="AL926">
        <v>688</v>
      </c>
      <c r="AM926">
        <v>92780.86</v>
      </c>
      <c r="AN926" t="s">
        <v>176</v>
      </c>
      <c r="AR926" t="s">
        <v>276</v>
      </c>
      <c r="AS926" t="s">
        <v>246</v>
      </c>
    </row>
    <row r="927" spans="1:45">
      <c r="A927" s="86" t="s">
        <v>318</v>
      </c>
      <c r="B927">
        <v>15012622</v>
      </c>
      <c r="C927" t="s">
        <v>1323</v>
      </c>
      <c r="D927" t="s">
        <v>321</v>
      </c>
      <c r="E927" t="s">
        <v>52</v>
      </c>
      <c r="F927" t="s">
        <v>319</v>
      </c>
      <c r="G927" t="s">
        <v>274</v>
      </c>
      <c r="H927" t="s">
        <v>1244</v>
      </c>
      <c r="I927">
        <v>41696</v>
      </c>
      <c r="J927" t="s">
        <v>336</v>
      </c>
      <c r="K927" t="s">
        <v>803</v>
      </c>
      <c r="L927" t="s">
        <v>324</v>
      </c>
      <c r="M927">
        <v>6</v>
      </c>
      <c r="N927" t="s">
        <v>176</v>
      </c>
      <c r="O927">
        <v>4548</v>
      </c>
      <c r="P927">
        <v>0.02</v>
      </c>
      <c r="Q927">
        <v>91</v>
      </c>
      <c r="R927">
        <v>5.0000000000000001E-3</v>
      </c>
      <c r="S927">
        <v>23</v>
      </c>
      <c r="T927">
        <v>2.5065963060686015E-2</v>
      </c>
      <c r="U927">
        <v>114</v>
      </c>
      <c r="V927">
        <v>4662</v>
      </c>
      <c r="W927">
        <v>4661.7</v>
      </c>
      <c r="X927">
        <v>113.69999999999982</v>
      </c>
      <c r="Y927">
        <v>2.5000000000000001E-2</v>
      </c>
      <c r="Z927" t="s">
        <v>1245</v>
      </c>
      <c r="AE927">
        <v>0</v>
      </c>
      <c r="AF927">
        <v>4661.7</v>
      </c>
      <c r="AG927">
        <v>113.69999999999982</v>
      </c>
      <c r="AH927" s="143">
        <v>2.4999999999999911E-2</v>
      </c>
      <c r="AI927">
        <v>13.6</v>
      </c>
      <c r="AJ927">
        <v>650</v>
      </c>
      <c r="AL927">
        <v>688</v>
      </c>
      <c r="AM927">
        <v>71887.12</v>
      </c>
      <c r="AN927" t="s">
        <v>176</v>
      </c>
      <c r="AR927" t="s">
        <v>276</v>
      </c>
      <c r="AS927" t="s">
        <v>246</v>
      </c>
    </row>
    <row r="928" spans="1:45">
      <c r="A928" s="86" t="s">
        <v>318</v>
      </c>
      <c r="B928">
        <v>15007239</v>
      </c>
      <c r="C928" t="s">
        <v>1324</v>
      </c>
      <c r="D928" t="s">
        <v>321</v>
      </c>
      <c r="E928" t="s">
        <v>52</v>
      </c>
      <c r="F928" t="s">
        <v>319</v>
      </c>
      <c r="G928" t="s">
        <v>274</v>
      </c>
      <c r="H928" t="s">
        <v>1244</v>
      </c>
      <c r="I928">
        <v>40824</v>
      </c>
      <c r="J928" t="s">
        <v>336</v>
      </c>
      <c r="K928" t="s">
        <v>803</v>
      </c>
      <c r="L928" t="s">
        <v>324</v>
      </c>
      <c r="M928">
        <v>6</v>
      </c>
      <c r="N928" t="s">
        <v>176</v>
      </c>
      <c r="O928">
        <v>4865</v>
      </c>
      <c r="P928">
        <v>0.02</v>
      </c>
      <c r="Q928">
        <v>97</v>
      </c>
      <c r="R928">
        <v>5.0000000000000001E-3</v>
      </c>
      <c r="S928">
        <v>24</v>
      </c>
      <c r="T928">
        <v>2.4871531346351491E-2</v>
      </c>
      <c r="U928">
        <v>121</v>
      </c>
      <c r="V928">
        <v>4986</v>
      </c>
      <c r="W928">
        <v>4925.8125</v>
      </c>
      <c r="X928">
        <v>60.8125</v>
      </c>
      <c r="Y928">
        <v>1.2500000000000001E-2</v>
      </c>
      <c r="Z928" t="s">
        <v>1245</v>
      </c>
      <c r="AE928">
        <v>0</v>
      </c>
      <c r="AF928">
        <v>4925.8125</v>
      </c>
      <c r="AG928">
        <v>60.8125</v>
      </c>
      <c r="AH928" s="143">
        <v>1.2499999999999956E-2</v>
      </c>
      <c r="AI928">
        <v>13.6</v>
      </c>
      <c r="AJ928">
        <v>650</v>
      </c>
      <c r="AL928">
        <v>688</v>
      </c>
      <c r="AM928">
        <v>75479.05</v>
      </c>
      <c r="AN928" t="s">
        <v>176</v>
      </c>
      <c r="AO928" t="s">
        <v>490</v>
      </c>
      <c r="AR928" t="s">
        <v>276</v>
      </c>
      <c r="AS928" t="s">
        <v>246</v>
      </c>
    </row>
    <row r="929" spans="1:45">
      <c r="A929" s="86" t="s">
        <v>318</v>
      </c>
      <c r="B929">
        <v>15004395</v>
      </c>
      <c r="C929" t="s">
        <v>1325</v>
      </c>
      <c r="D929" t="s">
        <v>321</v>
      </c>
      <c r="E929" t="s">
        <v>52</v>
      </c>
      <c r="F929" t="s">
        <v>319</v>
      </c>
      <c r="G929" t="s">
        <v>274</v>
      </c>
      <c r="H929" t="s">
        <v>1244</v>
      </c>
      <c r="I929">
        <v>40401</v>
      </c>
      <c r="J929" t="s">
        <v>336</v>
      </c>
      <c r="K929" t="s">
        <v>803</v>
      </c>
      <c r="L929" t="s">
        <v>324</v>
      </c>
      <c r="M929">
        <v>6</v>
      </c>
      <c r="N929" t="s">
        <v>176</v>
      </c>
      <c r="O929">
        <v>4477</v>
      </c>
      <c r="P929">
        <v>0.02</v>
      </c>
      <c r="Q929">
        <v>90</v>
      </c>
      <c r="R929">
        <v>5.0000000000000001E-3</v>
      </c>
      <c r="S929">
        <v>22</v>
      </c>
      <c r="T929">
        <v>2.5016752289479562E-2</v>
      </c>
      <c r="U929">
        <v>112</v>
      </c>
      <c r="V929">
        <v>4589</v>
      </c>
      <c r="W929">
        <v>4588.9250000000002</v>
      </c>
      <c r="X929">
        <v>111.92500000000018</v>
      </c>
      <c r="Y929">
        <v>2.5000000000000001E-2</v>
      </c>
      <c r="Z929" t="s">
        <v>1245</v>
      </c>
      <c r="AE929">
        <v>0</v>
      </c>
      <c r="AF929">
        <v>4588.9250000000002</v>
      </c>
      <c r="AG929">
        <v>111.92500000000018</v>
      </c>
      <c r="AH929" s="143">
        <v>2.5000000000000133E-2</v>
      </c>
      <c r="AI929">
        <v>13.6</v>
      </c>
      <c r="AJ929">
        <v>650</v>
      </c>
      <c r="AL929">
        <v>688</v>
      </c>
      <c r="AM929">
        <v>70897.38</v>
      </c>
      <c r="AN929" t="s">
        <v>176</v>
      </c>
      <c r="AR929" t="s">
        <v>276</v>
      </c>
      <c r="AS929" t="s">
        <v>246</v>
      </c>
    </row>
    <row r="930" spans="1:45">
      <c r="A930" s="86" t="s">
        <v>318</v>
      </c>
      <c r="B930">
        <v>15008101</v>
      </c>
      <c r="C930" t="s">
        <v>571</v>
      </c>
      <c r="D930" t="s">
        <v>321</v>
      </c>
      <c r="E930" t="s">
        <v>52</v>
      </c>
      <c r="F930" t="s">
        <v>319</v>
      </c>
      <c r="G930" t="s">
        <v>274</v>
      </c>
      <c r="H930" t="s">
        <v>1244</v>
      </c>
      <c r="I930">
        <v>44593</v>
      </c>
      <c r="J930" t="s">
        <v>336</v>
      </c>
      <c r="K930" t="s">
        <v>1271</v>
      </c>
      <c r="L930" t="s">
        <v>324</v>
      </c>
      <c r="M930">
        <v>6</v>
      </c>
      <c r="N930" t="s">
        <v>176</v>
      </c>
      <c r="O930">
        <v>4481</v>
      </c>
      <c r="P930">
        <v>0.02</v>
      </c>
      <c r="Q930">
        <v>90</v>
      </c>
      <c r="R930">
        <v>5.0000000000000001E-3</v>
      </c>
      <c r="S930">
        <v>22</v>
      </c>
      <c r="T930">
        <v>2.4994420888194601E-2</v>
      </c>
      <c r="U930">
        <v>112</v>
      </c>
      <c r="V930">
        <v>4593</v>
      </c>
      <c r="W930">
        <v>4593.0249999999996</v>
      </c>
      <c r="X930">
        <v>112.02499999999964</v>
      </c>
      <c r="Y930">
        <v>2.5000000000000001E-2</v>
      </c>
      <c r="Z930" t="s">
        <v>1245</v>
      </c>
      <c r="AE930">
        <v>0</v>
      </c>
      <c r="AF930">
        <v>4593.0249999999996</v>
      </c>
      <c r="AG930">
        <v>112.02499999999964</v>
      </c>
      <c r="AH930" s="143">
        <v>2.4999999999999911E-2</v>
      </c>
      <c r="AI930">
        <v>13.6</v>
      </c>
      <c r="AJ930">
        <v>450</v>
      </c>
      <c r="AL930">
        <v>688</v>
      </c>
      <c r="AM930">
        <v>68553.139999999985</v>
      </c>
      <c r="AN930" t="s">
        <v>176</v>
      </c>
      <c r="AR930" t="s">
        <v>276</v>
      </c>
      <c r="AS930" t="s">
        <v>246</v>
      </c>
    </row>
    <row r="931" spans="1:45">
      <c r="A931" s="86" t="s">
        <v>318</v>
      </c>
      <c r="B931">
        <v>15008183</v>
      </c>
      <c r="C931" t="s">
        <v>1326</v>
      </c>
      <c r="D931" t="s">
        <v>321</v>
      </c>
      <c r="E931" t="s">
        <v>52</v>
      </c>
      <c r="F931" t="s">
        <v>319</v>
      </c>
      <c r="G931" t="s">
        <v>274</v>
      </c>
      <c r="H931" t="s">
        <v>1244</v>
      </c>
      <c r="I931">
        <v>41102</v>
      </c>
      <c r="J931" t="s">
        <v>336</v>
      </c>
      <c r="K931" t="s">
        <v>1327</v>
      </c>
      <c r="L931" t="s">
        <v>324</v>
      </c>
      <c r="M931">
        <v>6</v>
      </c>
      <c r="N931" t="s">
        <v>176</v>
      </c>
      <c r="O931">
        <v>4858</v>
      </c>
      <c r="P931">
        <v>0.02</v>
      </c>
      <c r="Q931">
        <v>97</v>
      </c>
      <c r="R931">
        <v>5.0000000000000001E-3</v>
      </c>
      <c r="S931">
        <v>24</v>
      </c>
      <c r="T931">
        <v>2.4907369287772745E-2</v>
      </c>
      <c r="U931">
        <v>121</v>
      </c>
      <c r="V931">
        <v>4979</v>
      </c>
      <c r="W931">
        <v>4979.45</v>
      </c>
      <c r="X931">
        <v>121.44999999999982</v>
      </c>
      <c r="Y931">
        <v>2.5000000000000001E-2</v>
      </c>
      <c r="Z931" t="s">
        <v>1245</v>
      </c>
      <c r="AE931">
        <v>0</v>
      </c>
      <c r="AF931">
        <v>4979.45</v>
      </c>
      <c r="AG931">
        <v>121.44999999999982</v>
      </c>
      <c r="AH931" s="143">
        <v>2.4999999999999911E-2</v>
      </c>
      <c r="AI931">
        <v>13.6</v>
      </c>
      <c r="AJ931">
        <v>450</v>
      </c>
      <c r="AL931">
        <v>688</v>
      </c>
      <c r="AM931">
        <v>73808.51999999999</v>
      </c>
      <c r="AN931" t="s">
        <v>176</v>
      </c>
      <c r="AR931" t="s">
        <v>276</v>
      </c>
      <c r="AS931" t="s">
        <v>246</v>
      </c>
    </row>
    <row r="932" spans="1:45">
      <c r="A932" s="86" t="s">
        <v>318</v>
      </c>
      <c r="B932">
        <v>15004982</v>
      </c>
      <c r="C932" t="s">
        <v>1328</v>
      </c>
      <c r="D932" t="s">
        <v>321</v>
      </c>
      <c r="E932" t="s">
        <v>52</v>
      </c>
      <c r="F932" t="s">
        <v>319</v>
      </c>
      <c r="G932" t="s">
        <v>274</v>
      </c>
      <c r="H932" t="s">
        <v>1244</v>
      </c>
      <c r="I932">
        <v>40499</v>
      </c>
      <c r="J932" t="s">
        <v>336</v>
      </c>
      <c r="K932" t="s">
        <v>1327</v>
      </c>
      <c r="L932" t="s">
        <v>324</v>
      </c>
      <c r="M932">
        <v>6</v>
      </c>
      <c r="N932" t="s">
        <v>176</v>
      </c>
      <c r="O932">
        <v>5061</v>
      </c>
      <c r="P932">
        <v>0.02</v>
      </c>
      <c r="Q932">
        <v>101</v>
      </c>
      <c r="R932">
        <v>5.0000000000000001E-3</v>
      </c>
      <c r="S932">
        <v>25</v>
      </c>
      <c r="T932">
        <v>2.4896265560165973E-2</v>
      </c>
      <c r="U932">
        <v>126</v>
      </c>
      <c r="V932">
        <v>5187</v>
      </c>
      <c r="W932">
        <v>5187.5249999999996</v>
      </c>
      <c r="X932">
        <v>126.52499999999964</v>
      </c>
      <c r="Y932">
        <v>2.5000000000000001E-2</v>
      </c>
      <c r="Z932" t="s">
        <v>1245</v>
      </c>
      <c r="AE932">
        <v>0</v>
      </c>
      <c r="AF932">
        <v>5187.5249999999996</v>
      </c>
      <c r="AG932">
        <v>126.52499999999964</v>
      </c>
      <c r="AH932" s="143">
        <v>2.4999999999999911E-2</v>
      </c>
      <c r="AI932">
        <v>13.6</v>
      </c>
      <c r="AJ932">
        <v>500</v>
      </c>
      <c r="AL932">
        <v>688</v>
      </c>
      <c r="AM932">
        <v>77238.34</v>
      </c>
      <c r="AN932" t="s">
        <v>176</v>
      </c>
      <c r="AR932" t="s">
        <v>276</v>
      </c>
      <c r="AS932" t="s">
        <v>246</v>
      </c>
    </row>
    <row r="933" spans="1:45">
      <c r="A933" s="86" t="s">
        <v>318</v>
      </c>
      <c r="B933">
        <v>15005734</v>
      </c>
      <c r="C933" t="s">
        <v>1329</v>
      </c>
      <c r="D933" t="s">
        <v>321</v>
      </c>
      <c r="E933" t="s">
        <v>52</v>
      </c>
      <c r="F933" t="s">
        <v>319</v>
      </c>
      <c r="G933" t="s">
        <v>274</v>
      </c>
      <c r="H933" t="s">
        <v>1244</v>
      </c>
      <c r="I933">
        <v>40817</v>
      </c>
      <c r="J933" t="s">
        <v>336</v>
      </c>
      <c r="K933" t="s">
        <v>1271</v>
      </c>
      <c r="L933" t="s">
        <v>324</v>
      </c>
      <c r="M933">
        <v>6</v>
      </c>
      <c r="N933" t="s">
        <v>176</v>
      </c>
      <c r="O933">
        <v>4799</v>
      </c>
      <c r="P933">
        <v>0.02</v>
      </c>
      <c r="Q933">
        <v>96</v>
      </c>
      <c r="R933">
        <v>5.0000000000000001E-3</v>
      </c>
      <c r="S933">
        <v>24</v>
      </c>
      <c r="T933">
        <v>2.5005209418628882E-2</v>
      </c>
      <c r="U933">
        <v>120</v>
      </c>
      <c r="V933">
        <v>4919</v>
      </c>
      <c r="W933">
        <v>4918.9750000000004</v>
      </c>
      <c r="X933">
        <v>119.97500000000036</v>
      </c>
      <c r="Y933">
        <v>2.5000000000000001E-2</v>
      </c>
      <c r="Z933" t="s">
        <v>1245</v>
      </c>
      <c r="AE933">
        <v>0</v>
      </c>
      <c r="AF933">
        <v>4918.9750000000004</v>
      </c>
      <c r="AG933">
        <v>119.97500000000036</v>
      </c>
      <c r="AH933" s="143">
        <v>2.5000000000000133E-2</v>
      </c>
      <c r="AI933">
        <v>13.6</v>
      </c>
      <c r="AJ933">
        <v>650</v>
      </c>
      <c r="AL933">
        <v>688</v>
      </c>
      <c r="AM933">
        <v>75386.06</v>
      </c>
      <c r="AN933" t="s">
        <v>176</v>
      </c>
      <c r="AR933" t="s">
        <v>276</v>
      </c>
      <c r="AS933" t="s">
        <v>246</v>
      </c>
    </row>
    <row r="934" spans="1:45">
      <c r="A934" s="86" t="s">
        <v>318</v>
      </c>
      <c r="B934">
        <v>15014175</v>
      </c>
      <c r="C934" t="s">
        <v>870</v>
      </c>
      <c r="D934" t="s">
        <v>321</v>
      </c>
      <c r="E934" t="s">
        <v>52</v>
      </c>
      <c r="F934" t="s">
        <v>319</v>
      </c>
      <c r="G934" t="s">
        <v>274</v>
      </c>
      <c r="H934" t="s">
        <v>1244</v>
      </c>
      <c r="I934">
        <v>42095</v>
      </c>
      <c r="J934" t="s">
        <v>336</v>
      </c>
      <c r="K934" t="s">
        <v>803</v>
      </c>
      <c r="L934" t="s">
        <v>324</v>
      </c>
      <c r="M934">
        <v>6</v>
      </c>
      <c r="N934" t="s">
        <v>176</v>
      </c>
      <c r="O934">
        <v>4828</v>
      </c>
      <c r="P934">
        <v>0.02</v>
      </c>
      <c r="Q934">
        <v>97</v>
      </c>
      <c r="R934">
        <v>5.0000000000000001E-3</v>
      </c>
      <c r="S934">
        <v>24</v>
      </c>
      <c r="T934">
        <v>2.5062137531068767E-2</v>
      </c>
      <c r="U934">
        <v>121</v>
      </c>
      <c r="V934">
        <v>4949</v>
      </c>
      <c r="W934">
        <v>4960.7700000000004</v>
      </c>
      <c r="X934">
        <v>132.77000000000044</v>
      </c>
      <c r="Y934">
        <v>2.75E-2</v>
      </c>
      <c r="Z934" t="s">
        <v>1245</v>
      </c>
      <c r="AE934">
        <v>0</v>
      </c>
      <c r="AF934">
        <v>4960.7700000000004</v>
      </c>
      <c r="AG934">
        <v>132.77000000000044</v>
      </c>
      <c r="AH934" s="143">
        <v>2.750000000000008E-2</v>
      </c>
      <c r="AI934">
        <v>13.6</v>
      </c>
      <c r="AJ934">
        <v>650</v>
      </c>
      <c r="AL934">
        <v>688</v>
      </c>
      <c r="AM934">
        <v>75954.472000000009</v>
      </c>
      <c r="AN934" t="s">
        <v>176</v>
      </c>
      <c r="AR934" t="s">
        <v>276</v>
      </c>
      <c r="AS934" t="s">
        <v>246</v>
      </c>
    </row>
    <row r="935" spans="1:45">
      <c r="A935" s="86" t="s">
        <v>318</v>
      </c>
      <c r="B935">
        <v>15000452</v>
      </c>
      <c r="C935" t="s">
        <v>1330</v>
      </c>
      <c r="D935" t="s">
        <v>321</v>
      </c>
      <c r="E935" t="s">
        <v>52</v>
      </c>
      <c r="F935" t="s">
        <v>319</v>
      </c>
      <c r="G935" t="s">
        <v>274</v>
      </c>
      <c r="H935" t="s">
        <v>1244</v>
      </c>
      <c r="I935">
        <v>38808</v>
      </c>
      <c r="J935" t="s">
        <v>336</v>
      </c>
      <c r="K935" t="s">
        <v>1271</v>
      </c>
      <c r="L935" t="s">
        <v>324</v>
      </c>
      <c r="M935">
        <v>6</v>
      </c>
      <c r="N935" t="s">
        <v>176</v>
      </c>
      <c r="O935">
        <v>6866</v>
      </c>
      <c r="P935">
        <v>0.02</v>
      </c>
      <c r="Q935">
        <v>137</v>
      </c>
      <c r="R935">
        <v>5.0000000000000001E-3</v>
      </c>
      <c r="S935">
        <v>34</v>
      </c>
      <c r="T935">
        <v>2.490533061462278E-2</v>
      </c>
      <c r="U935">
        <v>171</v>
      </c>
      <c r="V935">
        <v>7037</v>
      </c>
      <c r="W935">
        <v>7037.65</v>
      </c>
      <c r="X935">
        <v>171.64999999999964</v>
      </c>
      <c r="Y935">
        <v>2.5000000000000001E-2</v>
      </c>
      <c r="Z935" t="s">
        <v>1245</v>
      </c>
      <c r="AE935">
        <v>0</v>
      </c>
      <c r="AF935">
        <v>7037.65</v>
      </c>
      <c r="AG935">
        <v>171.64999999999964</v>
      </c>
      <c r="AH935" s="143">
        <v>2.4999999999999911E-2</v>
      </c>
      <c r="AI935">
        <v>13.6</v>
      </c>
      <c r="AJ935">
        <v>450</v>
      </c>
      <c r="AL935">
        <v>688</v>
      </c>
      <c r="AM935">
        <v>101800.04</v>
      </c>
      <c r="AN935" t="s">
        <v>176</v>
      </c>
      <c r="AR935" t="s">
        <v>276</v>
      </c>
      <c r="AS935" t="s">
        <v>246</v>
      </c>
    </row>
    <row r="936" spans="1:45">
      <c r="A936" s="86" t="s">
        <v>318</v>
      </c>
      <c r="B936">
        <v>15001708</v>
      </c>
      <c r="C936" t="s">
        <v>1331</v>
      </c>
      <c r="D936" t="s">
        <v>321</v>
      </c>
      <c r="E936" t="s">
        <v>52</v>
      </c>
      <c r="F936" t="s">
        <v>319</v>
      </c>
      <c r="G936" t="s">
        <v>274</v>
      </c>
      <c r="H936" t="s">
        <v>1244</v>
      </c>
      <c r="I936">
        <v>39616</v>
      </c>
      <c r="J936" t="s">
        <v>336</v>
      </c>
      <c r="K936" t="s">
        <v>1327</v>
      </c>
      <c r="L936" t="s">
        <v>324</v>
      </c>
      <c r="M936">
        <v>6</v>
      </c>
      <c r="N936" t="s">
        <v>176</v>
      </c>
      <c r="O936">
        <v>5298</v>
      </c>
      <c r="P936">
        <v>0.02</v>
      </c>
      <c r="Q936">
        <v>106</v>
      </c>
      <c r="R936">
        <v>5.0000000000000001E-3</v>
      </c>
      <c r="S936">
        <v>26</v>
      </c>
      <c r="T936">
        <v>2.491506228765572E-2</v>
      </c>
      <c r="U936">
        <v>132</v>
      </c>
      <c r="V936">
        <v>5430</v>
      </c>
      <c r="W936">
        <v>5430.45</v>
      </c>
      <c r="X936">
        <v>132.44999999999982</v>
      </c>
      <c r="Y936">
        <v>2.5000000000000001E-2</v>
      </c>
      <c r="Z936" t="s">
        <v>1245</v>
      </c>
      <c r="AE936">
        <v>0</v>
      </c>
      <c r="AF936">
        <v>5430.45</v>
      </c>
      <c r="AG936">
        <v>132.44999999999982</v>
      </c>
      <c r="AH936" s="143">
        <v>2.4999999999999911E-2</v>
      </c>
      <c r="AI936">
        <v>13.6</v>
      </c>
      <c r="AJ936">
        <v>500</v>
      </c>
      <c r="AL936">
        <v>688</v>
      </c>
      <c r="AM936">
        <v>80542.12</v>
      </c>
      <c r="AN936" t="s">
        <v>176</v>
      </c>
      <c r="AR936" t="s">
        <v>276</v>
      </c>
      <c r="AS936" t="s">
        <v>246</v>
      </c>
    </row>
    <row r="937" spans="1:45">
      <c r="A937" s="86" t="s">
        <v>318</v>
      </c>
      <c r="B937">
        <v>15001405</v>
      </c>
      <c r="C937" t="s">
        <v>1332</v>
      </c>
      <c r="D937" t="s">
        <v>321</v>
      </c>
      <c r="E937" t="s">
        <v>52</v>
      </c>
      <c r="F937" t="s">
        <v>319</v>
      </c>
      <c r="G937" t="s">
        <v>274</v>
      </c>
      <c r="H937" t="s">
        <v>1244</v>
      </c>
      <c r="I937">
        <v>39511</v>
      </c>
      <c r="J937" t="s">
        <v>336</v>
      </c>
      <c r="K937" t="s">
        <v>1271</v>
      </c>
      <c r="L937" t="s">
        <v>324</v>
      </c>
      <c r="M937">
        <v>6</v>
      </c>
      <c r="N937" t="s">
        <v>176</v>
      </c>
      <c r="O937">
        <v>6305</v>
      </c>
      <c r="P937">
        <v>0.02</v>
      </c>
      <c r="Q937">
        <v>126</v>
      </c>
      <c r="R937">
        <v>5.0000000000000001E-3</v>
      </c>
      <c r="S937">
        <v>32</v>
      </c>
      <c r="T937">
        <v>2.505947660586836E-2</v>
      </c>
      <c r="U937">
        <v>158</v>
      </c>
      <c r="V937">
        <v>6463</v>
      </c>
      <c r="W937">
        <v>6462.625</v>
      </c>
      <c r="X937">
        <v>157.625</v>
      </c>
      <c r="Y937">
        <v>2.5000000000000001E-2</v>
      </c>
      <c r="Z937" t="s">
        <v>1245</v>
      </c>
      <c r="AE937">
        <v>0</v>
      </c>
      <c r="AF937">
        <v>6462.625</v>
      </c>
      <c r="AG937">
        <v>157.625</v>
      </c>
      <c r="AH937" s="143">
        <v>2.4999999999999911E-2</v>
      </c>
      <c r="AI937">
        <v>13.6</v>
      </c>
      <c r="AJ937">
        <v>450</v>
      </c>
      <c r="AL937">
        <v>688</v>
      </c>
      <c r="AM937">
        <v>93979.7</v>
      </c>
      <c r="AN937" t="s">
        <v>176</v>
      </c>
      <c r="AR937" t="s">
        <v>276</v>
      </c>
      <c r="AS937" t="s">
        <v>246</v>
      </c>
    </row>
    <row r="938" spans="1:45">
      <c r="A938" s="86" t="s">
        <v>318</v>
      </c>
      <c r="B938">
        <v>15004543</v>
      </c>
      <c r="C938" t="s">
        <v>1333</v>
      </c>
      <c r="D938" t="s">
        <v>321</v>
      </c>
      <c r="E938" t="s">
        <v>52</v>
      </c>
      <c r="F938" t="s">
        <v>319</v>
      </c>
      <c r="G938" t="s">
        <v>274</v>
      </c>
      <c r="H938" t="s">
        <v>1244</v>
      </c>
      <c r="I938">
        <v>40664</v>
      </c>
      <c r="J938" t="s">
        <v>336</v>
      </c>
      <c r="K938" t="s">
        <v>803</v>
      </c>
      <c r="L938" t="s">
        <v>324</v>
      </c>
      <c r="M938">
        <v>6</v>
      </c>
      <c r="N938" t="s">
        <v>176</v>
      </c>
      <c r="O938">
        <v>5294</v>
      </c>
      <c r="P938">
        <v>0.02</v>
      </c>
      <c r="Q938">
        <v>106</v>
      </c>
      <c r="R938">
        <v>5.0000000000000001E-3</v>
      </c>
      <c r="S938">
        <v>26</v>
      </c>
      <c r="T938">
        <v>2.4933887419720437E-2</v>
      </c>
      <c r="U938">
        <v>132</v>
      </c>
      <c r="V938">
        <v>5426</v>
      </c>
      <c r="W938">
        <v>5426.35</v>
      </c>
      <c r="X938">
        <v>132.35000000000036</v>
      </c>
      <c r="Y938">
        <v>2.5000000000000001E-2</v>
      </c>
      <c r="Z938" t="s">
        <v>1245</v>
      </c>
      <c r="AE938">
        <v>0</v>
      </c>
      <c r="AF938">
        <v>5426.35</v>
      </c>
      <c r="AG938">
        <v>132.35000000000036</v>
      </c>
      <c r="AH938" s="143">
        <v>2.5000000000000133E-2</v>
      </c>
      <c r="AI938">
        <v>13.6</v>
      </c>
      <c r="AJ938">
        <v>650</v>
      </c>
      <c r="AL938">
        <v>688</v>
      </c>
      <c r="AM938">
        <v>82286.36</v>
      </c>
      <c r="AN938" t="s">
        <v>176</v>
      </c>
      <c r="AR938" t="s">
        <v>276</v>
      </c>
      <c r="AS938" t="s">
        <v>246</v>
      </c>
    </row>
    <row r="939" spans="1:45">
      <c r="A939" s="86" t="s">
        <v>318</v>
      </c>
      <c r="B939">
        <v>15005854</v>
      </c>
      <c r="C939" t="s">
        <v>1334</v>
      </c>
      <c r="D939" t="s">
        <v>321</v>
      </c>
      <c r="E939" t="s">
        <v>52</v>
      </c>
      <c r="F939" t="s">
        <v>319</v>
      </c>
      <c r="G939" t="s">
        <v>274</v>
      </c>
      <c r="H939" t="s">
        <v>1244</v>
      </c>
      <c r="I939">
        <v>40817</v>
      </c>
      <c r="J939" t="s">
        <v>336</v>
      </c>
      <c r="K939" t="s">
        <v>1271</v>
      </c>
      <c r="L939" t="s">
        <v>324</v>
      </c>
      <c r="M939">
        <v>6</v>
      </c>
      <c r="N939" t="s">
        <v>176</v>
      </c>
      <c r="O939">
        <v>4832</v>
      </c>
      <c r="P939">
        <v>0.02</v>
      </c>
      <c r="Q939">
        <v>97</v>
      </c>
      <c r="R939">
        <v>5.0000000000000001E-3</v>
      </c>
      <c r="S939">
        <v>24</v>
      </c>
      <c r="T939">
        <v>2.5041390728476821E-2</v>
      </c>
      <c r="U939">
        <v>121</v>
      </c>
      <c r="V939">
        <v>4953</v>
      </c>
      <c r="W939">
        <v>4892.3999999999996</v>
      </c>
      <c r="X939">
        <v>60.399999999999636</v>
      </c>
      <c r="Y939">
        <v>1.2500000000000001E-2</v>
      </c>
      <c r="Z939" t="s">
        <v>1245</v>
      </c>
      <c r="AE939">
        <v>0</v>
      </c>
      <c r="AF939">
        <v>4892.3999999999996</v>
      </c>
      <c r="AG939">
        <v>60.399999999999636</v>
      </c>
      <c r="AH939" s="143">
        <v>1.2499999999999956E-2</v>
      </c>
      <c r="AI939">
        <v>13.6</v>
      </c>
      <c r="AJ939">
        <v>450</v>
      </c>
      <c r="AL939">
        <v>688</v>
      </c>
      <c r="AM939">
        <v>72624.639999999999</v>
      </c>
      <c r="AN939" t="s">
        <v>176</v>
      </c>
      <c r="AO939" t="s">
        <v>490</v>
      </c>
      <c r="AR939" t="s">
        <v>276</v>
      </c>
      <c r="AS939" t="s">
        <v>246</v>
      </c>
    </row>
    <row r="940" spans="1:45">
      <c r="A940" s="86" t="s">
        <v>318</v>
      </c>
      <c r="B940">
        <v>15021466</v>
      </c>
      <c r="C940" t="s">
        <v>1335</v>
      </c>
      <c r="D940" t="s">
        <v>321</v>
      </c>
      <c r="E940" t="s">
        <v>52</v>
      </c>
      <c r="F940" t="s">
        <v>319</v>
      </c>
      <c r="G940" t="s">
        <v>274</v>
      </c>
      <c r="H940" t="s">
        <v>1244</v>
      </c>
      <c r="I940">
        <v>44531</v>
      </c>
      <c r="J940" t="s">
        <v>336</v>
      </c>
      <c r="K940" t="s">
        <v>1271</v>
      </c>
      <c r="L940" t="s">
        <v>324</v>
      </c>
      <c r="M940">
        <v>6</v>
      </c>
      <c r="N940" t="s">
        <v>176</v>
      </c>
      <c r="O940">
        <v>4672</v>
      </c>
      <c r="P940">
        <v>0.02</v>
      </c>
      <c r="Q940">
        <v>93</v>
      </c>
      <c r="R940">
        <v>5.0000000000000001E-3</v>
      </c>
      <c r="S940">
        <v>23</v>
      </c>
      <c r="T940">
        <v>2.482876712328767E-2</v>
      </c>
      <c r="U940">
        <v>116</v>
      </c>
      <c r="V940">
        <v>4788</v>
      </c>
      <c r="W940">
        <v>4788.8</v>
      </c>
      <c r="X940">
        <v>116.80000000000018</v>
      </c>
      <c r="Y940">
        <v>2.5000000000000001E-2</v>
      </c>
      <c r="Z940" t="s">
        <v>1245</v>
      </c>
      <c r="AE940">
        <v>0</v>
      </c>
      <c r="AF940">
        <v>4788.8</v>
      </c>
      <c r="AG940">
        <v>116.80000000000018</v>
      </c>
      <c r="AH940" s="143">
        <v>2.5000000000000133E-2</v>
      </c>
      <c r="AI940">
        <v>13.6</v>
      </c>
      <c r="AJ940">
        <v>650</v>
      </c>
      <c r="AL940">
        <v>688</v>
      </c>
      <c r="AM940">
        <v>73615.679999999993</v>
      </c>
      <c r="AN940" t="s">
        <v>176</v>
      </c>
      <c r="AO940" t="s">
        <v>490</v>
      </c>
      <c r="AR940" t="s">
        <v>276</v>
      </c>
      <c r="AS940" t="s">
        <v>246</v>
      </c>
    </row>
    <row r="941" spans="1:45">
      <c r="A941" s="86" t="s">
        <v>318</v>
      </c>
      <c r="B941">
        <v>15000218</v>
      </c>
      <c r="C941" t="s">
        <v>1336</v>
      </c>
      <c r="D941" t="s">
        <v>321</v>
      </c>
      <c r="E941" t="s">
        <v>52</v>
      </c>
      <c r="F941" t="s">
        <v>319</v>
      </c>
      <c r="G941" t="s">
        <v>274</v>
      </c>
      <c r="H941" t="s">
        <v>1244</v>
      </c>
      <c r="I941">
        <v>38608</v>
      </c>
      <c r="J941" t="s">
        <v>336</v>
      </c>
      <c r="K941" t="s">
        <v>1271</v>
      </c>
      <c r="L941" t="s">
        <v>324</v>
      </c>
      <c r="M941">
        <v>6</v>
      </c>
      <c r="N941" t="s">
        <v>176</v>
      </c>
      <c r="O941">
        <v>6084</v>
      </c>
      <c r="P941">
        <v>0.02</v>
      </c>
      <c r="Q941">
        <v>122</v>
      </c>
      <c r="R941">
        <v>5.0000000000000001E-3</v>
      </c>
      <c r="S941">
        <v>30</v>
      </c>
      <c r="T941">
        <v>2.4983563445101907E-2</v>
      </c>
      <c r="U941">
        <v>152</v>
      </c>
      <c r="V941">
        <v>6236</v>
      </c>
      <c r="W941">
        <v>6236.1</v>
      </c>
      <c r="X941">
        <v>152.10000000000036</v>
      </c>
      <c r="Y941">
        <v>2.5000000000000001E-2</v>
      </c>
      <c r="Z941" t="s">
        <v>1245</v>
      </c>
      <c r="AE941">
        <v>0</v>
      </c>
      <c r="AF941">
        <v>6236.1</v>
      </c>
      <c r="AG941">
        <v>152.10000000000036</v>
      </c>
      <c r="AH941" s="143">
        <v>2.5000000000000133E-2</v>
      </c>
      <c r="AI941">
        <v>13.6</v>
      </c>
      <c r="AJ941">
        <v>450</v>
      </c>
      <c r="AL941">
        <v>688</v>
      </c>
      <c r="AM941">
        <v>90898.96</v>
      </c>
      <c r="AN941" t="s">
        <v>176</v>
      </c>
      <c r="AR941" t="s">
        <v>276</v>
      </c>
      <c r="AS941" t="s">
        <v>246</v>
      </c>
    </row>
    <row r="942" spans="1:45">
      <c r="A942" s="86" t="s">
        <v>318</v>
      </c>
      <c r="B942">
        <v>15005185</v>
      </c>
      <c r="C942" t="s">
        <v>1337</v>
      </c>
      <c r="D942" t="s">
        <v>321</v>
      </c>
      <c r="E942" t="s">
        <v>52</v>
      </c>
      <c r="F942" t="s">
        <v>319</v>
      </c>
      <c r="G942" t="s">
        <v>274</v>
      </c>
      <c r="H942" t="s">
        <v>1244</v>
      </c>
      <c r="I942">
        <v>40590</v>
      </c>
      <c r="J942" t="s">
        <v>336</v>
      </c>
      <c r="K942" t="s">
        <v>1327</v>
      </c>
      <c r="L942" t="s">
        <v>324</v>
      </c>
      <c r="M942">
        <v>6</v>
      </c>
      <c r="N942" t="s">
        <v>176</v>
      </c>
      <c r="O942">
        <v>4950</v>
      </c>
      <c r="P942">
        <v>0.02</v>
      </c>
      <c r="Q942">
        <v>99</v>
      </c>
      <c r="R942">
        <v>5.0000000000000001E-3</v>
      </c>
      <c r="S942">
        <v>25</v>
      </c>
      <c r="T942">
        <v>2.5050505050505052E-2</v>
      </c>
      <c r="U942">
        <v>124</v>
      </c>
      <c r="V942">
        <v>5074</v>
      </c>
      <c r="W942">
        <v>5086.125</v>
      </c>
      <c r="X942">
        <v>136.125</v>
      </c>
      <c r="Y942">
        <v>2.75E-2</v>
      </c>
      <c r="Z942" t="s">
        <v>1245</v>
      </c>
      <c r="AE942">
        <v>0</v>
      </c>
      <c r="AF942">
        <v>5086.125</v>
      </c>
      <c r="AG942">
        <v>136.125</v>
      </c>
      <c r="AH942" s="143">
        <v>2.750000000000008E-2</v>
      </c>
      <c r="AI942">
        <v>13.6</v>
      </c>
      <c r="AJ942">
        <v>500</v>
      </c>
      <c r="AL942">
        <v>688</v>
      </c>
      <c r="AM942">
        <v>75859.3</v>
      </c>
      <c r="AN942" t="s">
        <v>176</v>
      </c>
      <c r="AR942" t="s">
        <v>276</v>
      </c>
      <c r="AS942" t="s">
        <v>246</v>
      </c>
    </row>
    <row r="943" spans="1:45">
      <c r="A943" s="86" t="s">
        <v>318</v>
      </c>
      <c r="B943">
        <v>15014113</v>
      </c>
      <c r="C943" t="s">
        <v>1338</v>
      </c>
      <c r="D943" t="s">
        <v>321</v>
      </c>
      <c r="E943" t="s">
        <v>52</v>
      </c>
      <c r="F943" t="s">
        <v>319</v>
      </c>
      <c r="G943" t="s">
        <v>274</v>
      </c>
      <c r="H943" t="s">
        <v>1244</v>
      </c>
      <c r="I943">
        <v>42088</v>
      </c>
      <c r="J943" t="s">
        <v>336</v>
      </c>
      <c r="K943" t="s">
        <v>803</v>
      </c>
      <c r="L943" t="s">
        <v>324</v>
      </c>
      <c r="M943">
        <v>6</v>
      </c>
      <c r="N943" t="s">
        <v>176</v>
      </c>
      <c r="O943">
        <v>4593</v>
      </c>
      <c r="P943">
        <v>0.02</v>
      </c>
      <c r="Q943">
        <v>92</v>
      </c>
      <c r="R943">
        <v>5.0000000000000001E-3</v>
      </c>
      <c r="S943">
        <v>23</v>
      </c>
      <c r="T943">
        <v>2.5038101458741562E-2</v>
      </c>
      <c r="U943">
        <v>115</v>
      </c>
      <c r="V943">
        <v>4708</v>
      </c>
      <c r="W943">
        <v>4707.8249999999998</v>
      </c>
      <c r="X943">
        <v>114.82499999999982</v>
      </c>
      <c r="Y943">
        <v>2.5000000000000001E-2</v>
      </c>
      <c r="Z943" t="s">
        <v>1245</v>
      </c>
      <c r="AE943">
        <v>0</v>
      </c>
      <c r="AF943">
        <v>4707.8249999999998</v>
      </c>
      <c r="AG943">
        <v>114.82499999999982</v>
      </c>
      <c r="AH943" s="143">
        <v>2.4999999999999911E-2</v>
      </c>
      <c r="AI943">
        <v>13.6</v>
      </c>
      <c r="AJ943">
        <v>700</v>
      </c>
      <c r="AL943">
        <v>688</v>
      </c>
      <c r="AM943">
        <v>73114.42</v>
      </c>
      <c r="AN943" t="s">
        <v>176</v>
      </c>
      <c r="AO943" t="s">
        <v>490</v>
      </c>
      <c r="AR943" t="s">
        <v>276</v>
      </c>
      <c r="AS943" t="s">
        <v>246</v>
      </c>
    </row>
    <row r="944" spans="1:45">
      <c r="A944" s="86" t="s">
        <v>318</v>
      </c>
      <c r="B944">
        <v>15003969</v>
      </c>
      <c r="C944" t="s">
        <v>1339</v>
      </c>
      <c r="D944" t="s">
        <v>321</v>
      </c>
      <c r="E944" t="s">
        <v>52</v>
      </c>
      <c r="F944" t="s">
        <v>319</v>
      </c>
      <c r="G944" t="s">
        <v>1247</v>
      </c>
      <c r="H944" t="s">
        <v>1248</v>
      </c>
      <c r="I944">
        <v>40338</v>
      </c>
      <c r="J944" t="s">
        <v>336</v>
      </c>
      <c r="K944" t="s">
        <v>803</v>
      </c>
      <c r="L944" t="s">
        <v>324</v>
      </c>
      <c r="M944">
        <v>6</v>
      </c>
      <c r="N944" t="s">
        <v>176</v>
      </c>
      <c r="O944">
        <v>5190</v>
      </c>
      <c r="P944">
        <v>0.02</v>
      </c>
      <c r="Q944">
        <v>104</v>
      </c>
      <c r="R944">
        <v>5.0000000000000001E-3</v>
      </c>
      <c r="S944">
        <v>26</v>
      </c>
      <c r="T944">
        <v>2.5048169556840076E-2</v>
      </c>
      <c r="U944">
        <v>130</v>
      </c>
      <c r="V944">
        <v>5320</v>
      </c>
      <c r="W944">
        <v>5320</v>
      </c>
      <c r="X944">
        <v>130</v>
      </c>
      <c r="Y944">
        <v>2.5000000000000001E-2</v>
      </c>
      <c r="Z944" t="s">
        <v>1245</v>
      </c>
      <c r="AE944">
        <v>0</v>
      </c>
      <c r="AF944">
        <v>5320</v>
      </c>
      <c r="AG944">
        <v>130</v>
      </c>
      <c r="AH944" s="143">
        <v>2.5048169556840083E-2</v>
      </c>
      <c r="AI944">
        <v>13.6</v>
      </c>
      <c r="AJ944">
        <v>650</v>
      </c>
      <c r="AL944">
        <v>688</v>
      </c>
      <c r="AM944">
        <v>80840</v>
      </c>
      <c r="AN944" t="s">
        <v>176</v>
      </c>
      <c r="AR944" t="s">
        <v>276</v>
      </c>
      <c r="AS944" t="s">
        <v>246</v>
      </c>
    </row>
    <row r="945" spans="1:45">
      <c r="A945" s="86" t="s">
        <v>318</v>
      </c>
      <c r="B945">
        <v>15003874</v>
      </c>
      <c r="C945" t="s">
        <v>1340</v>
      </c>
      <c r="D945" t="s">
        <v>321</v>
      </c>
      <c r="E945" t="s">
        <v>52</v>
      </c>
      <c r="F945" t="s">
        <v>319</v>
      </c>
      <c r="G945" t="s">
        <v>1247</v>
      </c>
      <c r="H945" t="s">
        <v>1248</v>
      </c>
      <c r="I945">
        <v>40323</v>
      </c>
      <c r="J945" t="s">
        <v>336</v>
      </c>
      <c r="K945" t="s">
        <v>803</v>
      </c>
      <c r="L945" t="s">
        <v>324</v>
      </c>
      <c r="M945">
        <v>6</v>
      </c>
      <c r="N945" t="s">
        <v>176</v>
      </c>
      <c r="O945">
        <v>4672</v>
      </c>
      <c r="P945">
        <v>0.02</v>
      </c>
      <c r="Q945">
        <v>93</v>
      </c>
      <c r="R945">
        <v>5.0000000000000001E-3</v>
      </c>
      <c r="S945">
        <v>23</v>
      </c>
      <c r="T945">
        <v>2.482876712328767E-2</v>
      </c>
      <c r="U945">
        <v>116</v>
      </c>
      <c r="V945">
        <v>4788</v>
      </c>
      <c r="W945">
        <v>4765</v>
      </c>
      <c r="X945">
        <v>93</v>
      </c>
      <c r="Y945">
        <v>1.9900000000000001E-2</v>
      </c>
      <c r="Z945" t="s">
        <v>1245</v>
      </c>
      <c r="AE945">
        <v>0</v>
      </c>
      <c r="AF945">
        <v>4765</v>
      </c>
      <c r="AG945">
        <v>93</v>
      </c>
      <c r="AH945" s="143">
        <v>1.990582191780832E-2</v>
      </c>
      <c r="AI945">
        <v>13.6</v>
      </c>
      <c r="AJ945">
        <v>650</v>
      </c>
      <c r="AL945">
        <v>688</v>
      </c>
      <c r="AM945">
        <v>73292</v>
      </c>
      <c r="AN945" t="s">
        <v>176</v>
      </c>
      <c r="AR945" t="s">
        <v>276</v>
      </c>
      <c r="AS945" t="s">
        <v>246</v>
      </c>
    </row>
    <row r="946" spans="1:45">
      <c r="A946" s="86" t="s">
        <v>318</v>
      </c>
      <c r="B946">
        <v>15001978</v>
      </c>
      <c r="C946" t="s">
        <v>1341</v>
      </c>
      <c r="D946" t="s">
        <v>321</v>
      </c>
      <c r="E946" t="s">
        <v>52</v>
      </c>
      <c r="F946" t="s">
        <v>319</v>
      </c>
      <c r="G946" t="s">
        <v>1247</v>
      </c>
      <c r="H946" t="s">
        <v>1248</v>
      </c>
      <c r="I946">
        <v>39701</v>
      </c>
      <c r="J946" t="s">
        <v>336</v>
      </c>
      <c r="K946" t="s">
        <v>803</v>
      </c>
      <c r="L946" t="s">
        <v>324</v>
      </c>
      <c r="M946">
        <v>6</v>
      </c>
      <c r="N946" t="s">
        <v>176</v>
      </c>
      <c r="O946">
        <v>4748</v>
      </c>
      <c r="P946">
        <v>0.02</v>
      </c>
      <c r="Q946">
        <v>95</v>
      </c>
      <c r="R946">
        <v>5.0000000000000001E-3</v>
      </c>
      <c r="S946">
        <v>24</v>
      </c>
      <c r="T946">
        <v>2.5063184498736311E-2</v>
      </c>
      <c r="U946">
        <v>119</v>
      </c>
      <c r="V946">
        <v>4867</v>
      </c>
      <c r="W946">
        <v>4867</v>
      </c>
      <c r="X946">
        <v>119</v>
      </c>
      <c r="Y946">
        <v>2.5100000000000001E-2</v>
      </c>
      <c r="Z946" t="s">
        <v>1245</v>
      </c>
      <c r="AE946">
        <v>0</v>
      </c>
      <c r="AF946">
        <v>4867</v>
      </c>
      <c r="AG946">
        <v>119</v>
      </c>
      <c r="AH946" s="143">
        <v>2.5063184498736346E-2</v>
      </c>
      <c r="AI946">
        <v>13.6</v>
      </c>
      <c r="AJ946">
        <v>650</v>
      </c>
      <c r="AL946">
        <v>688</v>
      </c>
      <c r="AM946">
        <v>74679.199999999997</v>
      </c>
      <c r="AN946" t="s">
        <v>176</v>
      </c>
      <c r="AR946" t="s">
        <v>276</v>
      </c>
      <c r="AS946" t="s">
        <v>246</v>
      </c>
    </row>
    <row r="947" spans="1:45">
      <c r="A947" s="86" t="s">
        <v>318</v>
      </c>
      <c r="B947">
        <v>15004226</v>
      </c>
      <c r="C947" t="s">
        <v>1342</v>
      </c>
      <c r="D947" t="s">
        <v>321</v>
      </c>
      <c r="E947" t="s">
        <v>52</v>
      </c>
      <c r="F947" t="s">
        <v>319</v>
      </c>
      <c r="G947" t="s">
        <v>1247</v>
      </c>
      <c r="H947" t="s">
        <v>1248</v>
      </c>
      <c r="I947">
        <v>40380</v>
      </c>
      <c r="J947" t="s">
        <v>336</v>
      </c>
      <c r="K947" t="s">
        <v>803</v>
      </c>
      <c r="L947" t="s">
        <v>324</v>
      </c>
      <c r="M947">
        <v>6</v>
      </c>
      <c r="N947" t="s">
        <v>176</v>
      </c>
      <c r="O947">
        <v>4753</v>
      </c>
      <c r="P947">
        <v>0.02</v>
      </c>
      <c r="Q947">
        <v>95</v>
      </c>
      <c r="R947">
        <v>5.0000000000000001E-3</v>
      </c>
      <c r="S947">
        <v>24</v>
      </c>
      <c r="T947">
        <v>2.5036818851251842E-2</v>
      </c>
      <c r="U947">
        <v>119</v>
      </c>
      <c r="V947">
        <v>4872</v>
      </c>
      <c r="W947">
        <v>4872</v>
      </c>
      <c r="X947">
        <v>119</v>
      </c>
      <c r="Y947">
        <v>2.5000000000000001E-2</v>
      </c>
      <c r="Z947" t="s">
        <v>1245</v>
      </c>
      <c r="AE947">
        <v>0</v>
      </c>
      <c r="AF947">
        <v>4872</v>
      </c>
      <c r="AG947">
        <v>119</v>
      </c>
      <c r="AH947" s="143">
        <v>2.5036818851251752E-2</v>
      </c>
      <c r="AI947">
        <v>13.6</v>
      </c>
      <c r="AJ947">
        <v>650</v>
      </c>
      <c r="AL947">
        <v>688</v>
      </c>
      <c r="AM947">
        <v>74747.199999999997</v>
      </c>
      <c r="AN947" t="s">
        <v>176</v>
      </c>
      <c r="AR947" t="s">
        <v>276</v>
      </c>
      <c r="AS947" t="s">
        <v>246</v>
      </c>
    </row>
    <row r="948" spans="1:45">
      <c r="A948" s="86" t="s">
        <v>318</v>
      </c>
      <c r="B948">
        <v>15012393</v>
      </c>
      <c r="C948" t="s">
        <v>1343</v>
      </c>
      <c r="D948" t="s">
        <v>321</v>
      </c>
      <c r="E948" t="s">
        <v>52</v>
      </c>
      <c r="F948" t="s">
        <v>319</v>
      </c>
      <c r="G948" t="s">
        <v>1247</v>
      </c>
      <c r="H948" t="s">
        <v>1248</v>
      </c>
      <c r="I948">
        <v>41613</v>
      </c>
      <c r="J948" t="s">
        <v>336</v>
      </c>
      <c r="K948" t="s">
        <v>803</v>
      </c>
      <c r="L948" t="s">
        <v>324</v>
      </c>
      <c r="M948">
        <v>6</v>
      </c>
      <c r="N948" t="s">
        <v>176</v>
      </c>
      <c r="O948">
        <v>4780</v>
      </c>
      <c r="P948">
        <v>0.02</v>
      </c>
      <c r="Q948">
        <v>96</v>
      </c>
      <c r="R948">
        <v>5.0000000000000001E-3</v>
      </c>
      <c r="S948">
        <v>24</v>
      </c>
      <c r="T948">
        <v>2.5104602510460251E-2</v>
      </c>
      <c r="U948">
        <v>120</v>
      </c>
      <c r="V948">
        <v>4900</v>
      </c>
      <c r="W948">
        <v>4900</v>
      </c>
      <c r="X948">
        <v>120</v>
      </c>
      <c r="Y948">
        <v>2.5100000000000001E-2</v>
      </c>
      <c r="Z948" t="s">
        <v>1245</v>
      </c>
      <c r="AE948">
        <v>0</v>
      </c>
      <c r="AF948">
        <v>4900</v>
      </c>
      <c r="AG948">
        <v>120</v>
      </c>
      <c r="AH948" s="143">
        <v>2.5104602510460206E-2</v>
      </c>
      <c r="AI948">
        <v>13.6</v>
      </c>
      <c r="AJ948">
        <v>650</v>
      </c>
      <c r="AL948">
        <v>688</v>
      </c>
      <c r="AM948">
        <v>75128</v>
      </c>
      <c r="AN948" t="s">
        <v>176</v>
      </c>
      <c r="AR948" t="s">
        <v>276</v>
      </c>
      <c r="AS948" t="s">
        <v>246</v>
      </c>
    </row>
    <row r="949" spans="1:45">
      <c r="A949" s="86" t="s">
        <v>318</v>
      </c>
      <c r="B949">
        <v>15007035</v>
      </c>
      <c r="C949" t="s">
        <v>1344</v>
      </c>
      <c r="D949" t="s">
        <v>321</v>
      </c>
      <c r="E949" t="s">
        <v>52</v>
      </c>
      <c r="F949" t="s">
        <v>319</v>
      </c>
      <c r="G949" t="s">
        <v>1247</v>
      </c>
      <c r="H949" t="s">
        <v>1248</v>
      </c>
      <c r="I949">
        <v>40772</v>
      </c>
      <c r="J949" t="s">
        <v>336</v>
      </c>
      <c r="K949" t="s">
        <v>803</v>
      </c>
      <c r="L949" t="s">
        <v>324</v>
      </c>
      <c r="M949">
        <v>6</v>
      </c>
      <c r="N949" t="s">
        <v>176</v>
      </c>
      <c r="O949">
        <v>4429</v>
      </c>
      <c r="P949">
        <v>0.02</v>
      </c>
      <c r="Q949">
        <v>89</v>
      </c>
      <c r="R949">
        <v>5.0000000000000001E-3</v>
      </c>
      <c r="S949">
        <v>22</v>
      </c>
      <c r="T949">
        <v>2.50620907654098E-2</v>
      </c>
      <c r="U949">
        <v>111</v>
      </c>
      <c r="V949">
        <v>4540</v>
      </c>
      <c r="W949">
        <v>4540</v>
      </c>
      <c r="X949">
        <v>111</v>
      </c>
      <c r="Y949">
        <v>2.5100000000000001E-2</v>
      </c>
      <c r="Z949" t="s">
        <v>1245</v>
      </c>
      <c r="AE949">
        <v>0</v>
      </c>
      <c r="AF949">
        <v>4540</v>
      </c>
      <c r="AG949">
        <v>111</v>
      </c>
      <c r="AH949" s="143">
        <v>2.5062090765409772E-2</v>
      </c>
      <c r="AI949">
        <v>13.6</v>
      </c>
      <c r="AJ949">
        <v>650</v>
      </c>
      <c r="AL949">
        <v>688</v>
      </c>
      <c r="AM949">
        <v>70232</v>
      </c>
      <c r="AN949" t="s">
        <v>176</v>
      </c>
      <c r="AR949" t="s">
        <v>276</v>
      </c>
      <c r="AS949" t="s">
        <v>246</v>
      </c>
    </row>
    <row r="950" spans="1:45">
      <c r="A950" s="86" t="s">
        <v>318</v>
      </c>
      <c r="B950">
        <v>15012026</v>
      </c>
      <c r="C950" t="s">
        <v>1345</v>
      </c>
      <c r="D950" t="s">
        <v>321</v>
      </c>
      <c r="E950" t="s">
        <v>52</v>
      </c>
      <c r="F950" t="s">
        <v>319</v>
      </c>
      <c r="G950" t="s">
        <v>1247</v>
      </c>
      <c r="H950" t="s">
        <v>1248</v>
      </c>
      <c r="I950">
        <v>41563</v>
      </c>
      <c r="J950" t="s">
        <v>336</v>
      </c>
      <c r="K950" t="s">
        <v>803</v>
      </c>
      <c r="L950" t="s">
        <v>324</v>
      </c>
      <c r="M950">
        <v>6</v>
      </c>
      <c r="N950" t="s">
        <v>176</v>
      </c>
      <c r="O950">
        <v>4652</v>
      </c>
      <c r="P950">
        <v>0.02</v>
      </c>
      <c r="Q950">
        <v>93</v>
      </c>
      <c r="R950">
        <v>5.0000000000000001E-3</v>
      </c>
      <c r="S950">
        <v>23</v>
      </c>
      <c r="T950">
        <v>2.4935511607910577E-2</v>
      </c>
      <c r="U950">
        <v>116</v>
      </c>
      <c r="V950">
        <v>4768</v>
      </c>
      <c r="W950">
        <v>4768</v>
      </c>
      <c r="X950">
        <v>116</v>
      </c>
      <c r="Y950">
        <v>2.4899999999999999E-2</v>
      </c>
      <c r="Z950" t="s">
        <v>1245</v>
      </c>
      <c r="AE950">
        <v>0</v>
      </c>
      <c r="AF950">
        <v>4768</v>
      </c>
      <c r="AG950">
        <v>116</v>
      </c>
      <c r="AH950" s="143">
        <v>2.4935511607910632E-2</v>
      </c>
      <c r="AI950">
        <v>13.6</v>
      </c>
      <c r="AJ950">
        <v>650</v>
      </c>
      <c r="AL950">
        <v>688</v>
      </c>
      <c r="AM950">
        <v>73332.799999999988</v>
      </c>
      <c r="AN950" t="s">
        <v>176</v>
      </c>
      <c r="AR950" t="s">
        <v>276</v>
      </c>
      <c r="AS950" t="s">
        <v>246</v>
      </c>
    </row>
    <row r="951" spans="1:45">
      <c r="A951" s="86" t="s">
        <v>318</v>
      </c>
      <c r="B951">
        <v>15000548</v>
      </c>
      <c r="C951" t="s">
        <v>1346</v>
      </c>
      <c r="D951" t="s">
        <v>321</v>
      </c>
      <c r="E951" t="s">
        <v>52</v>
      </c>
      <c r="F951" t="s">
        <v>319</v>
      </c>
      <c r="G951" t="s">
        <v>1247</v>
      </c>
      <c r="H951" t="s">
        <v>1248</v>
      </c>
      <c r="I951">
        <v>38875</v>
      </c>
      <c r="J951" t="s">
        <v>336</v>
      </c>
      <c r="K951" t="s">
        <v>803</v>
      </c>
      <c r="L951" t="s">
        <v>324</v>
      </c>
      <c r="M951">
        <v>6</v>
      </c>
      <c r="N951" t="s">
        <v>176</v>
      </c>
      <c r="O951">
        <v>4760</v>
      </c>
      <c r="P951">
        <v>0.02</v>
      </c>
      <c r="Q951">
        <v>95</v>
      </c>
      <c r="R951">
        <v>5.0000000000000001E-3</v>
      </c>
      <c r="S951">
        <v>24</v>
      </c>
      <c r="T951">
        <v>2.5000000000000001E-2</v>
      </c>
      <c r="U951">
        <v>119</v>
      </c>
      <c r="V951">
        <v>4879</v>
      </c>
      <c r="W951">
        <v>4800</v>
      </c>
      <c r="X951">
        <v>40</v>
      </c>
      <c r="Y951">
        <v>8.3999999999999995E-3</v>
      </c>
      <c r="Z951" t="s">
        <v>1245</v>
      </c>
      <c r="AE951">
        <v>0</v>
      </c>
      <c r="AF951">
        <v>4800</v>
      </c>
      <c r="AG951">
        <v>40</v>
      </c>
      <c r="AH951" s="143">
        <v>8.4033613445377853E-3</v>
      </c>
      <c r="AI951">
        <v>13.6</v>
      </c>
      <c r="AJ951">
        <v>650</v>
      </c>
      <c r="AL951">
        <v>688</v>
      </c>
      <c r="AM951">
        <v>73768</v>
      </c>
      <c r="AN951" t="s">
        <v>176</v>
      </c>
      <c r="AO951" t="s">
        <v>490</v>
      </c>
      <c r="AR951" t="s">
        <v>276</v>
      </c>
      <c r="AS951" t="s">
        <v>246</v>
      </c>
    </row>
    <row r="952" spans="1:45">
      <c r="A952" s="86" t="s">
        <v>318</v>
      </c>
      <c r="B952">
        <v>15007685</v>
      </c>
      <c r="C952" t="s">
        <v>1347</v>
      </c>
      <c r="D952" t="s">
        <v>321</v>
      </c>
      <c r="E952" t="s">
        <v>52</v>
      </c>
      <c r="F952" t="s">
        <v>319</v>
      </c>
      <c r="G952" t="s">
        <v>282</v>
      </c>
      <c r="H952" t="s">
        <v>1250</v>
      </c>
      <c r="I952">
        <v>41045</v>
      </c>
      <c r="J952" t="s">
        <v>336</v>
      </c>
      <c r="K952" t="s">
        <v>803</v>
      </c>
      <c r="L952" t="s">
        <v>324</v>
      </c>
      <c r="M952">
        <v>6</v>
      </c>
      <c r="N952" t="s">
        <v>176</v>
      </c>
      <c r="O952">
        <v>4687</v>
      </c>
      <c r="P952">
        <v>0.02</v>
      </c>
      <c r="Q952">
        <v>94</v>
      </c>
      <c r="R952">
        <v>5.0000000000000001E-3</v>
      </c>
      <c r="S952">
        <v>23</v>
      </c>
      <c r="T952">
        <v>2.4962662684019629E-2</v>
      </c>
      <c r="U952">
        <v>117</v>
      </c>
      <c r="V952">
        <v>4804</v>
      </c>
      <c r="W952">
        <v>4804</v>
      </c>
      <c r="X952">
        <v>117</v>
      </c>
      <c r="Y952">
        <v>2.5000000000000001E-2</v>
      </c>
      <c r="Z952" t="s">
        <v>1245</v>
      </c>
      <c r="AE952">
        <v>0</v>
      </c>
      <c r="AF952">
        <v>4804</v>
      </c>
      <c r="AG952">
        <v>117</v>
      </c>
      <c r="AH952" s="143">
        <v>2.4962662684019588E-2</v>
      </c>
      <c r="AI952">
        <v>13.6</v>
      </c>
      <c r="AJ952">
        <v>650</v>
      </c>
      <c r="AL952">
        <v>688</v>
      </c>
      <c r="AM952">
        <v>73822.399999999994</v>
      </c>
      <c r="AN952" t="s">
        <v>176</v>
      </c>
      <c r="AO952" t="s">
        <v>490</v>
      </c>
      <c r="AR952" t="s">
        <v>276</v>
      </c>
      <c r="AS952" t="s">
        <v>246</v>
      </c>
    </row>
    <row r="953" spans="1:45">
      <c r="A953" s="86" t="s">
        <v>318</v>
      </c>
      <c r="B953">
        <v>15018963</v>
      </c>
      <c r="C953" t="s">
        <v>1348</v>
      </c>
      <c r="D953" t="s">
        <v>321</v>
      </c>
      <c r="E953" t="s">
        <v>52</v>
      </c>
      <c r="F953" t="s">
        <v>319</v>
      </c>
      <c r="G953" t="s">
        <v>282</v>
      </c>
      <c r="H953" t="s">
        <v>1250</v>
      </c>
      <c r="I953">
        <v>43168</v>
      </c>
      <c r="J953" t="s">
        <v>336</v>
      </c>
      <c r="K953" t="s">
        <v>803</v>
      </c>
      <c r="L953" t="s">
        <v>324</v>
      </c>
      <c r="M953">
        <v>6</v>
      </c>
      <c r="N953" t="s">
        <v>176</v>
      </c>
      <c r="O953">
        <v>4605</v>
      </c>
      <c r="P953">
        <v>0.02</v>
      </c>
      <c r="Q953">
        <v>92</v>
      </c>
      <c r="R953">
        <v>5.0000000000000001E-3</v>
      </c>
      <c r="S953">
        <v>23</v>
      </c>
      <c r="T953">
        <v>2.4972855591748101E-2</v>
      </c>
      <c r="U953">
        <v>115</v>
      </c>
      <c r="V953">
        <v>4720</v>
      </c>
      <c r="W953">
        <v>4674</v>
      </c>
      <c r="X953">
        <v>69</v>
      </c>
      <c r="Y953">
        <v>1.4999999999999999E-2</v>
      </c>
      <c r="Z953" t="s">
        <v>1245</v>
      </c>
      <c r="AE953">
        <v>0</v>
      </c>
      <c r="AF953">
        <v>4674</v>
      </c>
      <c r="AG953">
        <v>69</v>
      </c>
      <c r="AH953" s="143">
        <v>1.4983713355048778E-2</v>
      </c>
      <c r="AI953">
        <v>13.6</v>
      </c>
      <c r="AJ953">
        <v>650</v>
      </c>
      <c r="AL953">
        <v>688</v>
      </c>
      <c r="AM953">
        <v>72054.399999999994</v>
      </c>
      <c r="AN953" t="s">
        <v>176</v>
      </c>
      <c r="AR953" t="s">
        <v>276</v>
      </c>
      <c r="AS953" t="s">
        <v>246</v>
      </c>
    </row>
    <row r="954" spans="1:45">
      <c r="A954" s="86" t="s">
        <v>318</v>
      </c>
      <c r="B954">
        <v>15018489</v>
      </c>
      <c r="C954" t="s">
        <v>1349</v>
      </c>
      <c r="D954" t="s">
        <v>321</v>
      </c>
      <c r="E954" t="s">
        <v>52</v>
      </c>
      <c r="F954" t="s">
        <v>319</v>
      </c>
      <c r="G954" t="s">
        <v>282</v>
      </c>
      <c r="H954" t="s">
        <v>1250</v>
      </c>
      <c r="I954">
        <v>43049</v>
      </c>
      <c r="J954" t="s">
        <v>336</v>
      </c>
      <c r="K954" t="s">
        <v>803</v>
      </c>
      <c r="L954" t="s">
        <v>324</v>
      </c>
      <c r="M954">
        <v>6</v>
      </c>
      <c r="N954" t="s">
        <v>176</v>
      </c>
      <c r="O954">
        <v>4652</v>
      </c>
      <c r="P954">
        <v>0.02</v>
      </c>
      <c r="Q954">
        <v>93</v>
      </c>
      <c r="R954">
        <v>5.0000000000000001E-3</v>
      </c>
      <c r="S954">
        <v>23</v>
      </c>
      <c r="T954">
        <v>2.4935511607910577E-2</v>
      </c>
      <c r="U954">
        <v>116</v>
      </c>
      <c r="V954">
        <v>4768</v>
      </c>
      <c r="W954">
        <v>4769</v>
      </c>
      <c r="X954">
        <v>117</v>
      </c>
      <c r="Y954">
        <v>2.52E-2</v>
      </c>
      <c r="Z954" t="s">
        <v>1245</v>
      </c>
      <c r="AE954">
        <v>0</v>
      </c>
      <c r="AF954">
        <v>4769</v>
      </c>
      <c r="AG954">
        <v>117</v>
      </c>
      <c r="AH954" s="143">
        <v>2.5150472914875266E-2</v>
      </c>
      <c r="AI954">
        <v>13.6</v>
      </c>
      <c r="AJ954">
        <v>650</v>
      </c>
      <c r="AL954">
        <v>688</v>
      </c>
      <c r="AM954">
        <v>73346.399999999994</v>
      </c>
      <c r="AN954" t="s">
        <v>176</v>
      </c>
      <c r="AR954" t="s">
        <v>276</v>
      </c>
      <c r="AS954" t="s">
        <v>246</v>
      </c>
    </row>
    <row r="955" spans="1:45">
      <c r="A955" s="86" t="s">
        <v>318</v>
      </c>
      <c r="B955">
        <v>15011752</v>
      </c>
      <c r="C955" t="s">
        <v>1350</v>
      </c>
      <c r="D955" t="s">
        <v>321</v>
      </c>
      <c r="E955" t="s">
        <v>52</v>
      </c>
      <c r="F955" t="s">
        <v>319</v>
      </c>
      <c r="G955" t="s">
        <v>282</v>
      </c>
      <c r="H955" t="s">
        <v>1250</v>
      </c>
      <c r="I955">
        <v>41541</v>
      </c>
      <c r="J955" t="s">
        <v>336</v>
      </c>
      <c r="K955" t="s">
        <v>803</v>
      </c>
      <c r="L955" t="s">
        <v>324</v>
      </c>
      <c r="M955">
        <v>6</v>
      </c>
      <c r="N955" t="s">
        <v>176</v>
      </c>
      <c r="O955">
        <v>4803</v>
      </c>
      <c r="P955">
        <v>0.02</v>
      </c>
      <c r="Q955">
        <v>96</v>
      </c>
      <c r="R955">
        <v>5.0000000000000001E-3</v>
      </c>
      <c r="S955">
        <v>24</v>
      </c>
      <c r="T955">
        <v>2.4984384759525295E-2</v>
      </c>
      <c r="U955">
        <v>120</v>
      </c>
      <c r="V955">
        <v>4923</v>
      </c>
      <c r="W955">
        <v>4827</v>
      </c>
      <c r="X955">
        <v>24</v>
      </c>
      <c r="Y955">
        <v>5.0000000000000001E-3</v>
      </c>
      <c r="Z955" t="s">
        <v>1245</v>
      </c>
      <c r="AE955">
        <v>0</v>
      </c>
      <c r="AF955">
        <v>4827</v>
      </c>
      <c r="AG955">
        <v>24</v>
      </c>
      <c r="AH955" s="143">
        <v>4.9968769519050937E-3</v>
      </c>
      <c r="AI955">
        <v>13.6</v>
      </c>
      <c r="AJ955">
        <v>650</v>
      </c>
      <c r="AL955">
        <v>688</v>
      </c>
      <c r="AM955">
        <v>74135.199999999997</v>
      </c>
      <c r="AN955" t="s">
        <v>176</v>
      </c>
      <c r="AR955" t="s">
        <v>276</v>
      </c>
      <c r="AS955" t="s">
        <v>246</v>
      </c>
    </row>
    <row r="956" spans="1:45">
      <c r="A956" s="86" t="s">
        <v>318</v>
      </c>
      <c r="B956">
        <v>15008577</v>
      </c>
      <c r="C956" t="s">
        <v>1351</v>
      </c>
      <c r="D956" t="s">
        <v>321</v>
      </c>
      <c r="E956" t="s">
        <v>52</v>
      </c>
      <c r="F956" t="s">
        <v>319</v>
      </c>
      <c r="G956" t="s">
        <v>282</v>
      </c>
      <c r="H956" t="s">
        <v>1250</v>
      </c>
      <c r="I956">
        <v>41244</v>
      </c>
      <c r="J956" t="s">
        <v>336</v>
      </c>
      <c r="K956" t="s">
        <v>1271</v>
      </c>
      <c r="L956" t="s">
        <v>324</v>
      </c>
      <c r="M956">
        <v>6</v>
      </c>
      <c r="N956" t="s">
        <v>176</v>
      </c>
      <c r="O956">
        <v>4674</v>
      </c>
      <c r="P956">
        <v>0.02</v>
      </c>
      <c r="Q956">
        <v>93</v>
      </c>
      <c r="R956">
        <v>5.0000000000000001E-3</v>
      </c>
      <c r="S956">
        <v>23</v>
      </c>
      <c r="T956">
        <v>2.4818142918271287E-2</v>
      </c>
      <c r="U956">
        <v>116</v>
      </c>
      <c r="V956">
        <v>4790</v>
      </c>
      <c r="W956">
        <v>4791</v>
      </c>
      <c r="X956">
        <v>117</v>
      </c>
      <c r="Y956">
        <v>2.5000000000000001E-2</v>
      </c>
      <c r="Z956" t="s">
        <v>1245</v>
      </c>
      <c r="AE956">
        <v>0</v>
      </c>
      <c r="AF956">
        <v>4791</v>
      </c>
      <c r="AG956">
        <v>117</v>
      </c>
      <c r="AH956" s="143">
        <v>2.5032092426187313E-2</v>
      </c>
      <c r="AI956">
        <v>13.6</v>
      </c>
      <c r="AJ956">
        <v>450</v>
      </c>
      <c r="AL956">
        <v>688</v>
      </c>
      <c r="AM956">
        <v>71245.600000000006</v>
      </c>
      <c r="AN956" t="s">
        <v>176</v>
      </c>
      <c r="AR956" t="s">
        <v>276</v>
      </c>
      <c r="AS956" t="s">
        <v>246</v>
      </c>
    </row>
    <row r="957" spans="1:45">
      <c r="A957" s="86" t="s">
        <v>318</v>
      </c>
      <c r="B957">
        <v>15007717</v>
      </c>
      <c r="C957" t="s">
        <v>1352</v>
      </c>
      <c r="D957" t="s">
        <v>321</v>
      </c>
      <c r="E957" t="s">
        <v>52</v>
      </c>
      <c r="F957" t="s">
        <v>319</v>
      </c>
      <c r="G957" t="s">
        <v>282</v>
      </c>
      <c r="H957" t="s">
        <v>1250</v>
      </c>
      <c r="I957">
        <v>41275</v>
      </c>
      <c r="J957" t="s">
        <v>336</v>
      </c>
      <c r="K957" t="s">
        <v>803</v>
      </c>
      <c r="L957" t="s">
        <v>324</v>
      </c>
      <c r="M957">
        <v>6</v>
      </c>
      <c r="N957" t="s">
        <v>176</v>
      </c>
      <c r="O957">
        <v>4803</v>
      </c>
      <c r="P957">
        <v>0.02</v>
      </c>
      <c r="Q957">
        <v>96</v>
      </c>
      <c r="R957">
        <v>5.0000000000000001E-3</v>
      </c>
      <c r="S957">
        <v>24</v>
      </c>
      <c r="T957">
        <v>2.4984384759525295E-2</v>
      </c>
      <c r="U957">
        <v>120</v>
      </c>
      <c r="V957">
        <v>4923</v>
      </c>
      <c r="W957">
        <v>4971</v>
      </c>
      <c r="X957">
        <v>168</v>
      </c>
      <c r="Y957">
        <v>3.5000000000000003E-2</v>
      </c>
      <c r="Z957" t="s">
        <v>1245</v>
      </c>
      <c r="AE957">
        <v>0</v>
      </c>
      <c r="AF957">
        <v>4971</v>
      </c>
      <c r="AG957">
        <v>168</v>
      </c>
      <c r="AH957" s="143">
        <v>3.4978138663335434E-2</v>
      </c>
      <c r="AI957">
        <v>13.6</v>
      </c>
      <c r="AJ957">
        <v>650</v>
      </c>
      <c r="AL957">
        <v>688</v>
      </c>
      <c r="AM957">
        <v>76093.599999999991</v>
      </c>
      <c r="AN957" t="s">
        <v>176</v>
      </c>
      <c r="AR957" t="s">
        <v>276</v>
      </c>
      <c r="AS957" t="s">
        <v>246</v>
      </c>
    </row>
    <row r="958" spans="1:45">
      <c r="A958" s="86" t="s">
        <v>318</v>
      </c>
      <c r="B958">
        <v>15009354</v>
      </c>
      <c r="C958" t="s">
        <v>1353</v>
      </c>
      <c r="D958" t="s">
        <v>321</v>
      </c>
      <c r="E958" t="s">
        <v>52</v>
      </c>
      <c r="F958" t="s">
        <v>319</v>
      </c>
      <c r="G958" t="s">
        <v>282</v>
      </c>
      <c r="H958" t="s">
        <v>1250</v>
      </c>
      <c r="I958">
        <v>41487</v>
      </c>
      <c r="J958" t="s">
        <v>336</v>
      </c>
      <c r="K958" t="s">
        <v>1271</v>
      </c>
      <c r="L958" t="s">
        <v>324</v>
      </c>
      <c r="M958">
        <v>6</v>
      </c>
      <c r="N958" t="s">
        <v>176</v>
      </c>
      <c r="O958">
        <v>4616</v>
      </c>
      <c r="P958">
        <v>0.02</v>
      </c>
      <c r="Q958">
        <v>92</v>
      </c>
      <c r="R958">
        <v>5.0000000000000001E-3</v>
      </c>
      <c r="S958">
        <v>23</v>
      </c>
      <c r="T958">
        <v>2.4913344887348355E-2</v>
      </c>
      <c r="U958">
        <v>115</v>
      </c>
      <c r="V958">
        <v>4731</v>
      </c>
      <c r="W958">
        <v>4732</v>
      </c>
      <c r="X958">
        <v>116</v>
      </c>
      <c r="Y958">
        <v>2.5100000000000001E-2</v>
      </c>
      <c r="Z958" t="s">
        <v>1245</v>
      </c>
      <c r="AE958">
        <v>0</v>
      </c>
      <c r="AF958">
        <v>4732</v>
      </c>
      <c r="AG958">
        <v>116</v>
      </c>
      <c r="AH958" s="143">
        <v>2.512998266897748E-2</v>
      </c>
      <c r="AI958">
        <v>13.6</v>
      </c>
      <c r="AJ958">
        <v>450</v>
      </c>
      <c r="AL958">
        <v>688</v>
      </c>
      <c r="AM958">
        <v>70443.199999999997</v>
      </c>
      <c r="AN958" t="s">
        <v>176</v>
      </c>
      <c r="AR958" t="s">
        <v>276</v>
      </c>
      <c r="AS958" t="s">
        <v>246</v>
      </c>
    </row>
    <row r="959" spans="1:45">
      <c r="A959" s="86" t="s">
        <v>318</v>
      </c>
      <c r="B959">
        <v>15002499</v>
      </c>
      <c r="C959" t="s">
        <v>1354</v>
      </c>
      <c r="D959" t="s">
        <v>321</v>
      </c>
      <c r="E959" t="s">
        <v>52</v>
      </c>
      <c r="F959" t="s">
        <v>319</v>
      </c>
      <c r="G959" t="s">
        <v>282</v>
      </c>
      <c r="H959" t="s">
        <v>1250</v>
      </c>
      <c r="I959">
        <v>39976</v>
      </c>
      <c r="J959" t="s">
        <v>336</v>
      </c>
      <c r="K959" t="s">
        <v>803</v>
      </c>
      <c r="L959" t="s">
        <v>324</v>
      </c>
      <c r="M959">
        <v>6</v>
      </c>
      <c r="N959" t="s">
        <v>176</v>
      </c>
      <c r="O959">
        <v>6171</v>
      </c>
      <c r="P959">
        <v>0.02</v>
      </c>
      <c r="Q959">
        <v>123</v>
      </c>
      <c r="R959">
        <v>5.0000000000000001E-3</v>
      </c>
      <c r="S959">
        <v>31</v>
      </c>
      <c r="T959">
        <v>2.4955436720142603E-2</v>
      </c>
      <c r="U959">
        <v>154</v>
      </c>
      <c r="V959">
        <v>6325</v>
      </c>
      <c r="W959">
        <v>6387</v>
      </c>
      <c r="X959">
        <v>216</v>
      </c>
      <c r="Y959">
        <v>3.5000000000000003E-2</v>
      </c>
      <c r="Z959" t="s">
        <v>1245</v>
      </c>
      <c r="AE959">
        <v>0</v>
      </c>
      <c r="AF959">
        <v>6387</v>
      </c>
      <c r="AG959">
        <v>216</v>
      </c>
      <c r="AH959" s="143">
        <v>3.5002430724355937E-2</v>
      </c>
      <c r="AI959">
        <v>13.6</v>
      </c>
      <c r="AJ959">
        <v>650</v>
      </c>
      <c r="AL959">
        <v>688</v>
      </c>
      <c r="AM959">
        <v>95351.2</v>
      </c>
      <c r="AN959" t="s">
        <v>176</v>
      </c>
      <c r="AR959" t="s">
        <v>276</v>
      </c>
      <c r="AS959" t="s">
        <v>246</v>
      </c>
    </row>
    <row r="960" spans="1:45">
      <c r="A960" s="86" t="s">
        <v>318</v>
      </c>
      <c r="B960">
        <v>15012459</v>
      </c>
      <c r="C960" t="s">
        <v>1355</v>
      </c>
      <c r="D960" t="s">
        <v>321</v>
      </c>
      <c r="E960" t="s">
        <v>52</v>
      </c>
      <c r="F960" t="s">
        <v>319</v>
      </c>
      <c r="G960" t="s">
        <v>282</v>
      </c>
      <c r="H960" t="s">
        <v>1250</v>
      </c>
      <c r="I960">
        <v>41730</v>
      </c>
      <c r="J960" t="s">
        <v>336</v>
      </c>
      <c r="K960" t="s">
        <v>1271</v>
      </c>
      <c r="L960" t="s">
        <v>324</v>
      </c>
      <c r="M960">
        <v>6</v>
      </c>
      <c r="N960" t="s">
        <v>176</v>
      </c>
      <c r="O960">
        <v>4682</v>
      </c>
      <c r="P960">
        <v>0.02</v>
      </c>
      <c r="Q960">
        <v>94</v>
      </c>
      <c r="R960">
        <v>5.0000000000000001E-3</v>
      </c>
      <c r="S960">
        <v>23</v>
      </c>
      <c r="T960">
        <v>2.4989320803075608E-2</v>
      </c>
      <c r="U960">
        <v>117</v>
      </c>
      <c r="V960">
        <v>4799</v>
      </c>
      <c r="W960">
        <v>4799</v>
      </c>
      <c r="X960">
        <v>117</v>
      </c>
      <c r="Y960">
        <v>2.5000000000000001E-2</v>
      </c>
      <c r="Z960" t="s">
        <v>1245</v>
      </c>
      <c r="AE960">
        <v>0</v>
      </c>
      <c r="AF960">
        <v>4799</v>
      </c>
      <c r="AG960">
        <v>117</v>
      </c>
      <c r="AH960" s="143">
        <v>2.4989320803075588E-2</v>
      </c>
      <c r="AI960">
        <v>13.6</v>
      </c>
      <c r="AJ960">
        <v>450</v>
      </c>
      <c r="AL960">
        <v>688</v>
      </c>
      <c r="AM960">
        <v>71354.399999999994</v>
      </c>
      <c r="AN960" t="s">
        <v>176</v>
      </c>
      <c r="AR960" t="s">
        <v>276</v>
      </c>
      <c r="AS960" t="s">
        <v>246</v>
      </c>
    </row>
    <row r="961" spans="1:45">
      <c r="A961" s="86" t="s">
        <v>318</v>
      </c>
      <c r="B961">
        <v>15002657</v>
      </c>
      <c r="C961" t="s">
        <v>1356</v>
      </c>
      <c r="D961" t="s">
        <v>321</v>
      </c>
      <c r="E961" t="s">
        <v>52</v>
      </c>
      <c r="F961" t="s">
        <v>319</v>
      </c>
      <c r="G961" t="s">
        <v>282</v>
      </c>
      <c r="H961" t="s">
        <v>1250</v>
      </c>
      <c r="I961">
        <v>40023</v>
      </c>
      <c r="J961" t="s">
        <v>336</v>
      </c>
      <c r="K961" t="s">
        <v>803</v>
      </c>
      <c r="L961" t="s">
        <v>324</v>
      </c>
      <c r="M961">
        <v>6</v>
      </c>
      <c r="N961" t="s">
        <v>176</v>
      </c>
      <c r="O961">
        <v>4590</v>
      </c>
      <c r="P961">
        <v>0.02</v>
      </c>
      <c r="Q961">
        <v>92</v>
      </c>
      <c r="R961">
        <v>5.0000000000000001E-3</v>
      </c>
      <c r="S961">
        <v>23</v>
      </c>
      <c r="T961">
        <v>2.5054466230936819E-2</v>
      </c>
      <c r="U961">
        <v>115</v>
      </c>
      <c r="V961">
        <v>4705</v>
      </c>
      <c r="W961">
        <v>4751</v>
      </c>
      <c r="X961">
        <v>161</v>
      </c>
      <c r="Y961">
        <v>3.5099999999999999E-2</v>
      </c>
      <c r="Z961" t="s">
        <v>1245</v>
      </c>
      <c r="AE961">
        <v>0</v>
      </c>
      <c r="AF961">
        <v>4751</v>
      </c>
      <c r="AG961">
        <v>161</v>
      </c>
      <c r="AH961" s="143">
        <v>3.5076252723311496E-2</v>
      </c>
      <c r="AI961">
        <v>13.6</v>
      </c>
      <c r="AJ961">
        <v>650</v>
      </c>
      <c r="AL961">
        <v>688</v>
      </c>
      <c r="AM961">
        <v>73101.600000000006</v>
      </c>
      <c r="AN961" t="s">
        <v>176</v>
      </c>
      <c r="AR961" t="s">
        <v>276</v>
      </c>
      <c r="AS961" t="s">
        <v>246</v>
      </c>
    </row>
    <row r="962" spans="1:45">
      <c r="A962" s="86" t="s">
        <v>318</v>
      </c>
      <c r="B962">
        <v>15003377</v>
      </c>
      <c r="C962" t="s">
        <v>1357</v>
      </c>
      <c r="D962" t="s">
        <v>321</v>
      </c>
      <c r="E962" t="s">
        <v>52</v>
      </c>
      <c r="F962" t="s">
        <v>319</v>
      </c>
      <c r="G962" t="s">
        <v>282</v>
      </c>
      <c r="H962" t="s">
        <v>1250</v>
      </c>
      <c r="I962">
        <v>40299</v>
      </c>
      <c r="J962" t="s">
        <v>336</v>
      </c>
      <c r="K962" t="s">
        <v>803</v>
      </c>
      <c r="L962" t="s">
        <v>324</v>
      </c>
      <c r="M962">
        <v>6</v>
      </c>
      <c r="N962" t="s">
        <v>176</v>
      </c>
      <c r="O962">
        <v>4731</v>
      </c>
      <c r="P962">
        <v>0.02</v>
      </c>
      <c r="Q962">
        <v>95</v>
      </c>
      <c r="R962">
        <v>5.0000000000000001E-3</v>
      </c>
      <c r="S962">
        <v>24</v>
      </c>
      <c r="T962">
        <v>2.5153244557176074E-2</v>
      </c>
      <c r="U962">
        <v>119</v>
      </c>
      <c r="V962">
        <v>4850</v>
      </c>
      <c r="W962">
        <v>4849</v>
      </c>
      <c r="X962">
        <v>118</v>
      </c>
      <c r="Y962">
        <v>2.4899999999999999E-2</v>
      </c>
      <c r="Z962" t="s">
        <v>1245</v>
      </c>
      <c r="AE962">
        <v>0</v>
      </c>
      <c r="AF962">
        <v>4849</v>
      </c>
      <c r="AG962">
        <v>118</v>
      </c>
      <c r="AH962" s="143">
        <v>2.4941872754174588E-2</v>
      </c>
      <c r="AI962">
        <v>13.6</v>
      </c>
      <c r="AJ962">
        <v>650</v>
      </c>
      <c r="AL962">
        <v>688</v>
      </c>
      <c r="AM962">
        <v>74434.399999999994</v>
      </c>
      <c r="AN962" t="s">
        <v>176</v>
      </c>
      <c r="AR962" t="s">
        <v>276</v>
      </c>
      <c r="AS962" t="s">
        <v>246</v>
      </c>
    </row>
    <row r="963" spans="1:45">
      <c r="A963" s="86" t="s">
        <v>318</v>
      </c>
      <c r="B963">
        <v>15001838</v>
      </c>
      <c r="C963" t="s">
        <v>1358</v>
      </c>
      <c r="D963" t="s">
        <v>321</v>
      </c>
      <c r="E963" t="s">
        <v>52</v>
      </c>
      <c r="F963" t="s">
        <v>319</v>
      </c>
      <c r="G963" t="s">
        <v>282</v>
      </c>
      <c r="H963" t="s">
        <v>1250</v>
      </c>
      <c r="I963">
        <v>39651</v>
      </c>
      <c r="J963" t="s">
        <v>336</v>
      </c>
      <c r="K963" t="s">
        <v>803</v>
      </c>
      <c r="L963" t="s">
        <v>324</v>
      </c>
      <c r="M963">
        <v>6</v>
      </c>
      <c r="N963" t="s">
        <v>176</v>
      </c>
      <c r="O963">
        <v>5551</v>
      </c>
      <c r="P963">
        <v>0.02</v>
      </c>
      <c r="Q963">
        <v>111</v>
      </c>
      <c r="R963">
        <v>5.0000000000000001E-3</v>
      </c>
      <c r="S963">
        <v>28</v>
      </c>
      <c r="T963">
        <v>2.504053323725455E-2</v>
      </c>
      <c r="U963">
        <v>139</v>
      </c>
      <c r="V963">
        <v>5690</v>
      </c>
      <c r="W963">
        <v>5579</v>
      </c>
      <c r="X963">
        <v>28</v>
      </c>
      <c r="Y963">
        <v>5.0000000000000001E-3</v>
      </c>
      <c r="Z963" t="s">
        <v>1245</v>
      </c>
      <c r="AE963">
        <v>0</v>
      </c>
      <c r="AF963">
        <v>5579</v>
      </c>
      <c r="AG963">
        <v>28</v>
      </c>
      <c r="AH963" s="143">
        <v>5.0441361916770955E-3</v>
      </c>
      <c r="AI963">
        <v>13.6</v>
      </c>
      <c r="AJ963">
        <v>650</v>
      </c>
      <c r="AL963">
        <v>688</v>
      </c>
      <c r="AM963">
        <v>84362.4</v>
      </c>
      <c r="AN963" t="s">
        <v>176</v>
      </c>
      <c r="AO963" t="s">
        <v>490</v>
      </c>
      <c r="AR963" t="s">
        <v>276</v>
      </c>
      <c r="AS963" t="s">
        <v>246</v>
      </c>
    </row>
    <row r="964" spans="1:45">
      <c r="A964" s="86" t="s">
        <v>318</v>
      </c>
      <c r="B964">
        <v>15004211</v>
      </c>
      <c r="C964" t="s">
        <v>1359</v>
      </c>
      <c r="D964" t="s">
        <v>321</v>
      </c>
      <c r="E964" t="s">
        <v>52</v>
      </c>
      <c r="F964" t="s">
        <v>319</v>
      </c>
      <c r="G964" t="s">
        <v>282</v>
      </c>
      <c r="H964" t="s">
        <v>1250</v>
      </c>
      <c r="I964">
        <v>40422</v>
      </c>
      <c r="J964" t="s">
        <v>336</v>
      </c>
      <c r="K964" t="s">
        <v>803</v>
      </c>
      <c r="L964" t="s">
        <v>324</v>
      </c>
      <c r="M964">
        <v>6</v>
      </c>
      <c r="N964" t="s">
        <v>176</v>
      </c>
      <c r="O964">
        <v>4693</v>
      </c>
      <c r="P964">
        <v>0.02</v>
      </c>
      <c r="Q964">
        <v>94</v>
      </c>
      <c r="R964">
        <v>5.0000000000000001E-3</v>
      </c>
      <c r="S964">
        <v>23</v>
      </c>
      <c r="T964">
        <v>2.4930747922437674E-2</v>
      </c>
      <c r="U964">
        <v>117</v>
      </c>
      <c r="V964">
        <v>4810</v>
      </c>
      <c r="W964">
        <v>4857</v>
      </c>
      <c r="X964">
        <v>164</v>
      </c>
      <c r="Y964">
        <v>3.49E-2</v>
      </c>
      <c r="Z964" t="s">
        <v>1245</v>
      </c>
      <c r="AE964">
        <v>0</v>
      </c>
      <c r="AF964">
        <v>4857</v>
      </c>
      <c r="AG964">
        <v>164</v>
      </c>
      <c r="AH964" s="143">
        <v>3.4945663754528011E-2</v>
      </c>
      <c r="AI964">
        <v>13.6</v>
      </c>
      <c r="AJ964">
        <v>650</v>
      </c>
      <c r="AL964">
        <v>688</v>
      </c>
      <c r="AM964">
        <v>74543.199999999997</v>
      </c>
      <c r="AN964" t="s">
        <v>176</v>
      </c>
      <c r="AR964" t="s">
        <v>276</v>
      </c>
      <c r="AS964" t="s">
        <v>246</v>
      </c>
    </row>
    <row r="965" spans="1:45">
      <c r="A965" s="86" t="s">
        <v>318</v>
      </c>
      <c r="B965">
        <v>15014866</v>
      </c>
      <c r="C965" t="s">
        <v>1360</v>
      </c>
      <c r="D965" t="s">
        <v>321</v>
      </c>
      <c r="E965" t="s">
        <v>52</v>
      </c>
      <c r="F965" t="s">
        <v>319</v>
      </c>
      <c r="G965" t="s">
        <v>282</v>
      </c>
      <c r="H965" t="s">
        <v>1250</v>
      </c>
      <c r="I965">
        <v>42370</v>
      </c>
      <c r="J965" t="s">
        <v>336</v>
      </c>
      <c r="K965" t="s">
        <v>1271</v>
      </c>
      <c r="L965" t="s">
        <v>324</v>
      </c>
      <c r="M965">
        <v>6</v>
      </c>
      <c r="N965" t="s">
        <v>176</v>
      </c>
      <c r="O965">
        <v>4667</v>
      </c>
      <c r="P965">
        <v>0.02</v>
      </c>
      <c r="Q965">
        <v>93</v>
      </c>
      <c r="R965">
        <v>5.0000000000000001E-3</v>
      </c>
      <c r="S965">
        <v>23</v>
      </c>
      <c r="T965">
        <v>2.4855367473751874E-2</v>
      </c>
      <c r="U965">
        <v>116</v>
      </c>
      <c r="V965">
        <v>4783</v>
      </c>
      <c r="W965">
        <v>4691</v>
      </c>
      <c r="X965">
        <v>24</v>
      </c>
      <c r="Y965">
        <v>5.1000000000000004E-3</v>
      </c>
      <c r="Z965" t="s">
        <v>1245</v>
      </c>
      <c r="AE965">
        <v>0</v>
      </c>
      <c r="AF965">
        <v>4691</v>
      </c>
      <c r="AG965">
        <v>24</v>
      </c>
      <c r="AH965" s="143">
        <v>5.1424898221554827E-3</v>
      </c>
      <c r="AI965">
        <v>13.6</v>
      </c>
      <c r="AJ965">
        <v>450</v>
      </c>
      <c r="AL965">
        <v>688</v>
      </c>
      <c r="AM965">
        <v>69885.600000000006</v>
      </c>
      <c r="AN965" t="s">
        <v>176</v>
      </c>
      <c r="AR965" t="s">
        <v>276</v>
      </c>
      <c r="AS965" t="s">
        <v>246</v>
      </c>
    </row>
    <row r="966" spans="1:45">
      <c r="A966" s="86" t="s">
        <v>318</v>
      </c>
      <c r="B966">
        <v>15015053</v>
      </c>
      <c r="C966" t="s">
        <v>1361</v>
      </c>
      <c r="D966" t="s">
        <v>321</v>
      </c>
      <c r="E966" t="s">
        <v>52</v>
      </c>
      <c r="F966" t="s">
        <v>319</v>
      </c>
      <c r="G966" t="s">
        <v>282</v>
      </c>
      <c r="H966" t="s">
        <v>1250</v>
      </c>
      <c r="I966">
        <v>42552</v>
      </c>
      <c r="J966" t="s">
        <v>336</v>
      </c>
      <c r="K966" t="s">
        <v>803</v>
      </c>
      <c r="L966" t="s">
        <v>324</v>
      </c>
      <c r="M966">
        <v>6</v>
      </c>
      <c r="N966" t="s">
        <v>176</v>
      </c>
      <c r="O966">
        <v>4437</v>
      </c>
      <c r="P966">
        <v>0.02</v>
      </c>
      <c r="Q966">
        <v>89</v>
      </c>
      <c r="R966">
        <v>5.0000000000000001E-3</v>
      </c>
      <c r="S966">
        <v>22</v>
      </c>
      <c r="T966">
        <v>2.5016903313049357E-2</v>
      </c>
      <c r="U966">
        <v>111</v>
      </c>
      <c r="V966">
        <v>4548</v>
      </c>
      <c r="W966">
        <v>4548</v>
      </c>
      <c r="X966">
        <v>111</v>
      </c>
      <c r="Y966">
        <v>2.5000000000000001E-2</v>
      </c>
      <c r="Z966" t="s">
        <v>1245</v>
      </c>
      <c r="AE966">
        <v>0</v>
      </c>
      <c r="AF966">
        <v>4548</v>
      </c>
      <c r="AG966">
        <v>111</v>
      </c>
      <c r="AH966" s="143">
        <v>2.5016903313049399E-2</v>
      </c>
      <c r="AI966">
        <v>13.6</v>
      </c>
      <c r="AJ966">
        <v>650</v>
      </c>
      <c r="AL966">
        <v>688</v>
      </c>
      <c r="AM966">
        <v>70340.799999999988</v>
      </c>
      <c r="AN966" t="s">
        <v>176</v>
      </c>
      <c r="AR966" t="s">
        <v>276</v>
      </c>
      <c r="AS966" t="s">
        <v>246</v>
      </c>
    </row>
    <row r="967" spans="1:45">
      <c r="A967" s="86" t="s">
        <v>318</v>
      </c>
      <c r="B967">
        <v>15003514</v>
      </c>
      <c r="C967" t="s">
        <v>1362</v>
      </c>
      <c r="D967" t="s">
        <v>321</v>
      </c>
      <c r="E967" t="s">
        <v>52</v>
      </c>
      <c r="F967" t="s">
        <v>319</v>
      </c>
      <c r="G967" t="s">
        <v>282</v>
      </c>
      <c r="H967" t="s">
        <v>1250</v>
      </c>
      <c r="I967">
        <v>40330</v>
      </c>
      <c r="J967" t="s">
        <v>336</v>
      </c>
      <c r="K967" t="s">
        <v>1271</v>
      </c>
      <c r="L967" t="s">
        <v>324</v>
      </c>
      <c r="M967">
        <v>6</v>
      </c>
      <c r="N967" t="s">
        <v>176</v>
      </c>
      <c r="O967">
        <v>4592</v>
      </c>
      <c r="P967">
        <v>0.02</v>
      </c>
      <c r="Q967">
        <v>92</v>
      </c>
      <c r="R967">
        <v>5.0000000000000001E-3</v>
      </c>
      <c r="S967">
        <v>23</v>
      </c>
      <c r="T967">
        <v>2.504355400696864E-2</v>
      </c>
      <c r="U967">
        <v>115</v>
      </c>
      <c r="V967">
        <v>4707</v>
      </c>
      <c r="W967">
        <v>4615</v>
      </c>
      <c r="X967">
        <v>23</v>
      </c>
      <c r="Y967">
        <v>5.0000000000000001E-3</v>
      </c>
      <c r="Z967" t="s">
        <v>1245</v>
      </c>
      <c r="AE967">
        <v>0</v>
      </c>
      <c r="AF967">
        <v>4615</v>
      </c>
      <c r="AG967">
        <v>23</v>
      </c>
      <c r="AH967" s="143">
        <v>5.0087108013936454E-3</v>
      </c>
      <c r="AI967">
        <v>13.6</v>
      </c>
      <c r="AJ967">
        <v>450</v>
      </c>
      <c r="AL967">
        <v>688</v>
      </c>
      <c r="AM967">
        <v>68852</v>
      </c>
      <c r="AN967" t="s">
        <v>176</v>
      </c>
      <c r="AR967" t="s">
        <v>276</v>
      </c>
      <c r="AS967" t="s">
        <v>246</v>
      </c>
    </row>
    <row r="968" spans="1:45">
      <c r="A968" s="86" t="s">
        <v>318</v>
      </c>
      <c r="B968">
        <v>15007605</v>
      </c>
      <c r="C968" t="s">
        <v>1363</v>
      </c>
      <c r="D968" t="s">
        <v>321</v>
      </c>
      <c r="E968" t="s">
        <v>52</v>
      </c>
      <c r="F968" t="s">
        <v>319</v>
      </c>
      <c r="G968" t="s">
        <v>282</v>
      </c>
      <c r="H968" t="s">
        <v>1250</v>
      </c>
      <c r="I968">
        <v>41183</v>
      </c>
      <c r="J968" t="s">
        <v>336</v>
      </c>
      <c r="K968" t="s">
        <v>803</v>
      </c>
      <c r="L968" t="s">
        <v>324</v>
      </c>
      <c r="M968">
        <v>6</v>
      </c>
      <c r="N968" t="s">
        <v>176</v>
      </c>
      <c r="O968">
        <v>4652</v>
      </c>
      <c r="P968">
        <v>0.02</v>
      </c>
      <c r="Q968">
        <v>93</v>
      </c>
      <c r="R968">
        <v>5.0000000000000001E-3</v>
      </c>
      <c r="S968">
        <v>23</v>
      </c>
      <c r="T968">
        <v>2.4935511607910577E-2</v>
      </c>
      <c r="U968">
        <v>116</v>
      </c>
      <c r="V968">
        <v>4768</v>
      </c>
      <c r="W968">
        <v>4769</v>
      </c>
      <c r="X968">
        <v>117</v>
      </c>
      <c r="Y968">
        <v>2.52E-2</v>
      </c>
      <c r="Z968" t="s">
        <v>1245</v>
      </c>
      <c r="AE968">
        <v>0</v>
      </c>
      <c r="AF968">
        <v>4769</v>
      </c>
      <c r="AG968">
        <v>117</v>
      </c>
      <c r="AH968" s="143">
        <v>2.5150472914875266E-2</v>
      </c>
      <c r="AI968">
        <v>13.6</v>
      </c>
      <c r="AJ968">
        <v>650</v>
      </c>
      <c r="AL968">
        <v>688</v>
      </c>
      <c r="AM968">
        <v>73346.399999999994</v>
      </c>
      <c r="AN968" t="s">
        <v>176</v>
      </c>
      <c r="AR968" t="s">
        <v>276</v>
      </c>
      <c r="AS968" t="s">
        <v>246</v>
      </c>
    </row>
    <row r="969" spans="1:45">
      <c r="A969" s="86" t="s">
        <v>318</v>
      </c>
      <c r="B969">
        <v>15000131</v>
      </c>
      <c r="C969" t="s">
        <v>1364</v>
      </c>
      <c r="D969" t="s">
        <v>321</v>
      </c>
      <c r="E969" t="s">
        <v>52</v>
      </c>
      <c r="F969" t="s">
        <v>319</v>
      </c>
      <c r="G969" t="s">
        <v>282</v>
      </c>
      <c r="H969" t="s">
        <v>1250</v>
      </c>
      <c r="I969">
        <v>37987</v>
      </c>
      <c r="J969" t="s">
        <v>336</v>
      </c>
      <c r="K969" t="s">
        <v>1271</v>
      </c>
      <c r="L969" t="s">
        <v>324</v>
      </c>
      <c r="M969">
        <v>6</v>
      </c>
      <c r="N969" t="s">
        <v>176</v>
      </c>
      <c r="O969">
        <v>4508</v>
      </c>
      <c r="P969">
        <v>0.02</v>
      </c>
      <c r="Q969">
        <v>90</v>
      </c>
      <c r="R969">
        <v>5.0000000000000001E-3</v>
      </c>
      <c r="S969">
        <v>23</v>
      </c>
      <c r="T969">
        <v>2.5066548358473825E-2</v>
      </c>
      <c r="U969">
        <v>113</v>
      </c>
      <c r="V969">
        <v>4621</v>
      </c>
      <c r="W969">
        <v>4531</v>
      </c>
      <c r="X969">
        <v>23</v>
      </c>
      <c r="Y969">
        <v>5.1000000000000004E-3</v>
      </c>
      <c r="Z969" t="s">
        <v>1245</v>
      </c>
      <c r="AE969">
        <v>0</v>
      </c>
      <c r="AF969">
        <v>4531</v>
      </c>
      <c r="AG969">
        <v>23</v>
      </c>
      <c r="AH969" s="143">
        <v>5.1020408163264808E-3</v>
      </c>
      <c r="AI969">
        <v>13.6</v>
      </c>
      <c r="AJ969">
        <v>650</v>
      </c>
      <c r="AL969">
        <v>688</v>
      </c>
      <c r="AM969">
        <v>70109.600000000006</v>
      </c>
      <c r="AN969" t="s">
        <v>176</v>
      </c>
      <c r="AR969" t="s">
        <v>276</v>
      </c>
      <c r="AS969" t="s">
        <v>246</v>
      </c>
    </row>
    <row r="970" spans="1:45">
      <c r="A970" s="86" t="s">
        <v>318</v>
      </c>
      <c r="B970">
        <v>15007095</v>
      </c>
      <c r="C970" t="s">
        <v>1365</v>
      </c>
      <c r="D970" t="s">
        <v>321</v>
      </c>
      <c r="E970" t="s">
        <v>52</v>
      </c>
      <c r="F970" t="s">
        <v>319</v>
      </c>
      <c r="G970" t="s">
        <v>274</v>
      </c>
      <c r="H970" t="s">
        <v>1244</v>
      </c>
      <c r="I970">
        <v>40779</v>
      </c>
      <c r="J970" t="s">
        <v>336</v>
      </c>
      <c r="K970" t="s">
        <v>803</v>
      </c>
      <c r="L970" t="s">
        <v>324</v>
      </c>
      <c r="M970">
        <v>6</v>
      </c>
      <c r="N970" t="s">
        <v>176</v>
      </c>
      <c r="O970">
        <v>5382</v>
      </c>
      <c r="P970">
        <v>0.02</v>
      </c>
      <c r="Q970">
        <v>108</v>
      </c>
      <c r="R970">
        <v>5.0000000000000001E-3</v>
      </c>
      <c r="S970">
        <v>27</v>
      </c>
      <c r="T970">
        <v>2.508361204013378E-2</v>
      </c>
      <c r="U970">
        <v>135</v>
      </c>
      <c r="V970">
        <v>5517</v>
      </c>
      <c r="W970">
        <v>5516.55</v>
      </c>
      <c r="X970">
        <v>134.55000000000018</v>
      </c>
      <c r="Y970">
        <v>2.5000000000000001E-2</v>
      </c>
      <c r="Z970" t="s">
        <v>1245</v>
      </c>
      <c r="AE970">
        <v>0</v>
      </c>
      <c r="AF970">
        <v>5516.55</v>
      </c>
      <c r="AG970">
        <v>134.55000000000018</v>
      </c>
      <c r="AH970" s="143">
        <v>2.5000000000000133E-2</v>
      </c>
      <c r="AI970">
        <v>13.6</v>
      </c>
      <c r="AJ970">
        <v>650</v>
      </c>
      <c r="AL970">
        <v>688</v>
      </c>
      <c r="AM970">
        <v>83513.08</v>
      </c>
      <c r="AN970" t="s">
        <v>176</v>
      </c>
      <c r="AR970" t="s">
        <v>276</v>
      </c>
      <c r="AS970" t="s">
        <v>246</v>
      </c>
    </row>
    <row r="971" spans="1:45">
      <c r="A971" s="86" t="s">
        <v>318</v>
      </c>
      <c r="B971">
        <v>15006156</v>
      </c>
      <c r="C971" t="s">
        <v>1366</v>
      </c>
      <c r="D971" t="s">
        <v>321</v>
      </c>
      <c r="E971" t="s">
        <v>52</v>
      </c>
      <c r="F971" t="s">
        <v>319</v>
      </c>
      <c r="G971" t="s">
        <v>282</v>
      </c>
      <c r="H971" t="s">
        <v>1250</v>
      </c>
      <c r="I971">
        <v>41091</v>
      </c>
      <c r="J971" t="s">
        <v>336</v>
      </c>
      <c r="K971" t="s">
        <v>1271</v>
      </c>
      <c r="L971" t="s">
        <v>324</v>
      </c>
      <c r="M971">
        <v>6</v>
      </c>
      <c r="N971" t="s">
        <v>176</v>
      </c>
      <c r="O971">
        <v>4645</v>
      </c>
      <c r="P971">
        <v>0.02</v>
      </c>
      <c r="Q971">
        <v>93</v>
      </c>
      <c r="R971">
        <v>5.0000000000000001E-3</v>
      </c>
      <c r="S971">
        <v>23</v>
      </c>
      <c r="T971">
        <v>2.4973089343379978E-2</v>
      </c>
      <c r="U971">
        <v>116</v>
      </c>
      <c r="V971">
        <v>4761</v>
      </c>
      <c r="W971">
        <v>4761</v>
      </c>
      <c r="X971">
        <v>116</v>
      </c>
      <c r="Y971">
        <v>2.5000000000000001E-2</v>
      </c>
      <c r="Z971" t="s">
        <v>1245</v>
      </c>
      <c r="AE971">
        <v>0</v>
      </c>
      <c r="AF971">
        <v>4761</v>
      </c>
      <c r="AG971">
        <v>116</v>
      </c>
      <c r="AH971" s="143">
        <v>2.4973089343379939E-2</v>
      </c>
      <c r="AI971">
        <v>13.6</v>
      </c>
      <c r="AJ971">
        <v>450</v>
      </c>
      <c r="AL971">
        <v>688</v>
      </c>
      <c r="AM971">
        <v>70837.600000000006</v>
      </c>
      <c r="AN971" t="s">
        <v>176</v>
      </c>
      <c r="AR971" t="s">
        <v>276</v>
      </c>
      <c r="AS971" t="s">
        <v>246</v>
      </c>
    </row>
    <row r="972" spans="1:45">
      <c r="A972" s="86" t="s">
        <v>318</v>
      </c>
      <c r="B972">
        <v>15018251</v>
      </c>
      <c r="C972" t="s">
        <v>1367</v>
      </c>
      <c r="D972" t="s">
        <v>321</v>
      </c>
      <c r="E972" t="s">
        <v>52</v>
      </c>
      <c r="F972" t="s">
        <v>319</v>
      </c>
      <c r="G972" t="s">
        <v>282</v>
      </c>
      <c r="H972" t="s">
        <v>1250</v>
      </c>
      <c r="I972">
        <v>42970</v>
      </c>
      <c r="J972" t="s">
        <v>336</v>
      </c>
      <c r="K972" t="s">
        <v>803</v>
      </c>
      <c r="L972" t="s">
        <v>324</v>
      </c>
      <c r="M972">
        <v>6</v>
      </c>
      <c r="N972" t="s">
        <v>176</v>
      </c>
      <c r="O972">
        <v>4693</v>
      </c>
      <c r="P972">
        <v>0.02</v>
      </c>
      <c r="Q972">
        <v>94</v>
      </c>
      <c r="R972">
        <v>5.0000000000000001E-3</v>
      </c>
      <c r="S972">
        <v>23</v>
      </c>
      <c r="T972">
        <v>2.4930747922437674E-2</v>
      </c>
      <c r="U972">
        <v>117</v>
      </c>
      <c r="V972">
        <v>4810</v>
      </c>
      <c r="W972">
        <v>4918</v>
      </c>
      <c r="X972">
        <v>225</v>
      </c>
      <c r="Y972">
        <v>4.7899999999999998E-2</v>
      </c>
      <c r="Z972" t="s">
        <v>1245</v>
      </c>
      <c r="AE972">
        <v>0</v>
      </c>
      <c r="AF972">
        <v>4918</v>
      </c>
      <c r="AG972">
        <v>225</v>
      </c>
      <c r="AH972" s="143">
        <v>4.7943746004687871E-2</v>
      </c>
      <c r="AI972">
        <v>13.6</v>
      </c>
      <c r="AJ972">
        <v>650</v>
      </c>
      <c r="AL972">
        <v>688</v>
      </c>
      <c r="AM972">
        <v>75372.800000000003</v>
      </c>
      <c r="AN972" t="s">
        <v>176</v>
      </c>
      <c r="AR972" t="s">
        <v>276</v>
      </c>
      <c r="AS972" t="s">
        <v>246</v>
      </c>
    </row>
    <row r="973" spans="1:45">
      <c r="A973" s="86" t="s">
        <v>318</v>
      </c>
      <c r="B973">
        <v>15005247</v>
      </c>
      <c r="C973" t="s">
        <v>1368</v>
      </c>
      <c r="D973" t="s">
        <v>321</v>
      </c>
      <c r="E973" t="s">
        <v>52</v>
      </c>
      <c r="F973" t="s">
        <v>319</v>
      </c>
      <c r="G973" t="s">
        <v>282</v>
      </c>
      <c r="H973" t="s">
        <v>1250</v>
      </c>
      <c r="I973">
        <v>40787</v>
      </c>
      <c r="J973" t="s">
        <v>336</v>
      </c>
      <c r="K973" t="s">
        <v>803</v>
      </c>
      <c r="L973" t="s">
        <v>324</v>
      </c>
      <c r="M973">
        <v>6</v>
      </c>
      <c r="N973" t="s">
        <v>176</v>
      </c>
      <c r="O973">
        <v>4652</v>
      </c>
      <c r="P973">
        <v>0.02</v>
      </c>
      <c r="Q973">
        <v>93</v>
      </c>
      <c r="R973">
        <v>5.0000000000000001E-3</v>
      </c>
      <c r="S973">
        <v>23</v>
      </c>
      <c r="T973">
        <v>2.4935511607910577E-2</v>
      </c>
      <c r="U973">
        <v>116</v>
      </c>
      <c r="V973">
        <v>4768</v>
      </c>
      <c r="W973">
        <v>4769</v>
      </c>
      <c r="X973">
        <v>117</v>
      </c>
      <c r="Y973">
        <v>2.52E-2</v>
      </c>
      <c r="Z973" t="s">
        <v>1245</v>
      </c>
      <c r="AE973">
        <v>0</v>
      </c>
      <c r="AF973">
        <v>4769</v>
      </c>
      <c r="AG973">
        <v>117</v>
      </c>
      <c r="AH973" s="143">
        <v>2.5150472914875266E-2</v>
      </c>
      <c r="AI973">
        <v>13.6</v>
      </c>
      <c r="AJ973">
        <v>650</v>
      </c>
      <c r="AL973">
        <v>688</v>
      </c>
      <c r="AM973">
        <v>73346.399999999994</v>
      </c>
      <c r="AN973" t="s">
        <v>176</v>
      </c>
      <c r="AR973" t="s">
        <v>276</v>
      </c>
      <c r="AS973" t="s">
        <v>246</v>
      </c>
    </row>
    <row r="974" spans="1:45">
      <c r="A974" s="86" t="s">
        <v>318</v>
      </c>
      <c r="B974">
        <v>15005268</v>
      </c>
      <c r="C974" t="s">
        <v>1369</v>
      </c>
      <c r="D974" t="s">
        <v>321</v>
      </c>
      <c r="E974" t="s">
        <v>52</v>
      </c>
      <c r="F974" t="s">
        <v>319</v>
      </c>
      <c r="G974" t="s">
        <v>282</v>
      </c>
      <c r="H974" t="s">
        <v>1250</v>
      </c>
      <c r="I974">
        <v>40787</v>
      </c>
      <c r="J974" t="s">
        <v>336</v>
      </c>
      <c r="K974" t="s">
        <v>803</v>
      </c>
      <c r="L974" t="s">
        <v>324</v>
      </c>
      <c r="M974">
        <v>6</v>
      </c>
      <c r="N974" t="s">
        <v>176</v>
      </c>
      <c r="O974">
        <v>4590</v>
      </c>
      <c r="P974">
        <v>0.02</v>
      </c>
      <c r="Q974">
        <v>92</v>
      </c>
      <c r="R974">
        <v>5.0000000000000001E-3</v>
      </c>
      <c r="S974">
        <v>23</v>
      </c>
      <c r="T974">
        <v>2.5054466230936819E-2</v>
      </c>
      <c r="U974">
        <v>115</v>
      </c>
      <c r="V974">
        <v>4705</v>
      </c>
      <c r="W974">
        <v>4705</v>
      </c>
      <c r="X974">
        <v>115</v>
      </c>
      <c r="Y974">
        <v>2.5100000000000001E-2</v>
      </c>
      <c r="Z974" t="s">
        <v>1245</v>
      </c>
      <c r="AE974">
        <v>0</v>
      </c>
      <c r="AF974">
        <v>4705</v>
      </c>
      <c r="AG974">
        <v>115</v>
      </c>
      <c r="AH974" s="143">
        <v>2.5054466230936878E-2</v>
      </c>
      <c r="AI974">
        <v>13.6</v>
      </c>
      <c r="AJ974">
        <v>650</v>
      </c>
      <c r="AL974">
        <v>688</v>
      </c>
      <c r="AM974">
        <v>72476</v>
      </c>
      <c r="AN974" t="s">
        <v>176</v>
      </c>
      <c r="AR974" t="s">
        <v>276</v>
      </c>
      <c r="AS974" t="s">
        <v>246</v>
      </c>
    </row>
    <row r="975" spans="1:45">
      <c r="A975" s="86" t="s">
        <v>318</v>
      </c>
      <c r="B975">
        <v>15004905</v>
      </c>
      <c r="C975" t="s">
        <v>1370</v>
      </c>
      <c r="D975" t="s">
        <v>321</v>
      </c>
      <c r="E975" t="s">
        <v>52</v>
      </c>
      <c r="F975" t="s">
        <v>319</v>
      </c>
      <c r="G975" t="s">
        <v>282</v>
      </c>
      <c r="H975" t="s">
        <v>1250</v>
      </c>
      <c r="I975">
        <v>40492</v>
      </c>
      <c r="J975" t="s">
        <v>336</v>
      </c>
      <c r="K975" t="s">
        <v>803</v>
      </c>
      <c r="L975" t="s">
        <v>324</v>
      </c>
      <c r="M975">
        <v>6</v>
      </c>
      <c r="N975" t="s">
        <v>176</v>
      </c>
      <c r="O975">
        <v>4514</v>
      </c>
      <c r="P975">
        <v>0.02</v>
      </c>
      <c r="Q975">
        <v>90</v>
      </c>
      <c r="R975">
        <v>5.0000000000000001E-3</v>
      </c>
      <c r="S975">
        <v>23</v>
      </c>
      <c r="T975">
        <v>2.5033229951262739E-2</v>
      </c>
      <c r="U975">
        <v>113</v>
      </c>
      <c r="V975">
        <v>4627</v>
      </c>
      <c r="W975">
        <v>4627</v>
      </c>
      <c r="X975">
        <v>113</v>
      </c>
      <c r="Y975">
        <v>2.5000000000000001E-2</v>
      </c>
      <c r="Z975" t="s">
        <v>1245</v>
      </c>
      <c r="AE975">
        <v>0</v>
      </c>
      <c r="AF975">
        <v>4627</v>
      </c>
      <c r="AG975">
        <v>113</v>
      </c>
      <c r="AH975" s="143">
        <v>2.5033229951262781E-2</v>
      </c>
      <c r="AI975">
        <v>13.6</v>
      </c>
      <c r="AJ975">
        <v>650</v>
      </c>
      <c r="AL975">
        <v>688</v>
      </c>
      <c r="AM975">
        <v>71415.199999999997</v>
      </c>
      <c r="AN975" t="s">
        <v>176</v>
      </c>
      <c r="AR975" t="s">
        <v>276</v>
      </c>
      <c r="AS975" t="s">
        <v>246</v>
      </c>
    </row>
    <row r="976" spans="1:45">
      <c r="A976" s="86" t="s">
        <v>318</v>
      </c>
      <c r="B976">
        <v>15003390</v>
      </c>
      <c r="C976" t="s">
        <v>1371</v>
      </c>
      <c r="D976" t="s">
        <v>321</v>
      </c>
      <c r="E976" t="s">
        <v>52</v>
      </c>
      <c r="F976" t="s">
        <v>319</v>
      </c>
      <c r="G976" t="s">
        <v>282</v>
      </c>
      <c r="H976" t="s">
        <v>1250</v>
      </c>
      <c r="I976">
        <v>40299</v>
      </c>
      <c r="J976" t="s">
        <v>336</v>
      </c>
      <c r="K976" t="s">
        <v>1271</v>
      </c>
      <c r="L976" t="s">
        <v>324</v>
      </c>
      <c r="M976">
        <v>6</v>
      </c>
      <c r="N976" t="s">
        <v>176</v>
      </c>
      <c r="O976">
        <v>4851</v>
      </c>
      <c r="P976">
        <v>0.02</v>
      </c>
      <c r="Q976">
        <v>97</v>
      </c>
      <c r="R976">
        <v>5.0000000000000001E-3</v>
      </c>
      <c r="S976">
        <v>24</v>
      </c>
      <c r="T976">
        <v>2.4943310657596373E-2</v>
      </c>
      <c r="U976">
        <v>121</v>
      </c>
      <c r="V976">
        <v>4972</v>
      </c>
      <c r="W976">
        <v>4973</v>
      </c>
      <c r="X976">
        <v>122</v>
      </c>
      <c r="Y976">
        <v>2.5100000000000001E-2</v>
      </c>
      <c r="Z976" t="s">
        <v>1245</v>
      </c>
      <c r="AE976">
        <v>0</v>
      </c>
      <c r="AF976">
        <v>4973</v>
      </c>
      <c r="AG976">
        <v>122</v>
      </c>
      <c r="AH976" s="143">
        <v>2.5149453720882287E-2</v>
      </c>
      <c r="AI976">
        <v>13.6</v>
      </c>
      <c r="AJ976">
        <v>450</v>
      </c>
      <c r="AL976">
        <v>688</v>
      </c>
      <c r="AM976">
        <v>73720.800000000003</v>
      </c>
      <c r="AN976" t="s">
        <v>176</v>
      </c>
      <c r="AR976" t="s">
        <v>276</v>
      </c>
      <c r="AS976" t="s">
        <v>246</v>
      </c>
    </row>
    <row r="977" spans="1:45">
      <c r="A977" s="86" t="s">
        <v>318</v>
      </c>
      <c r="B977">
        <v>15005583</v>
      </c>
      <c r="C977" t="s">
        <v>652</v>
      </c>
      <c r="D977" t="s">
        <v>321</v>
      </c>
      <c r="E977" t="s">
        <v>52</v>
      </c>
      <c r="F977" t="s">
        <v>319</v>
      </c>
      <c r="G977" t="s">
        <v>282</v>
      </c>
      <c r="H977" t="s">
        <v>1250</v>
      </c>
      <c r="I977">
        <v>40625</v>
      </c>
      <c r="J977" t="s">
        <v>336</v>
      </c>
      <c r="K977" t="s">
        <v>803</v>
      </c>
      <c r="L977" t="s">
        <v>324</v>
      </c>
      <c r="M977">
        <v>6</v>
      </c>
      <c r="N977" t="s">
        <v>176</v>
      </c>
      <c r="O977">
        <v>5392</v>
      </c>
      <c r="P977">
        <v>0.02</v>
      </c>
      <c r="Q977">
        <v>108</v>
      </c>
      <c r="R977">
        <v>5.0000000000000001E-3</v>
      </c>
      <c r="S977">
        <v>27</v>
      </c>
      <c r="T977">
        <v>2.5037091988130564E-2</v>
      </c>
      <c r="U977">
        <v>135</v>
      </c>
      <c r="V977">
        <v>5527</v>
      </c>
      <c r="W977">
        <v>5527</v>
      </c>
      <c r="X977">
        <v>135</v>
      </c>
      <c r="Y977">
        <v>2.5000000000000001E-2</v>
      </c>
      <c r="Z977" t="s">
        <v>1245</v>
      </c>
      <c r="AE977">
        <v>0</v>
      </c>
      <c r="AF977">
        <v>5527</v>
      </c>
      <c r="AG977">
        <v>135</v>
      </c>
      <c r="AH977" s="143">
        <v>2.5037091988130644E-2</v>
      </c>
      <c r="AI977">
        <v>13.6</v>
      </c>
      <c r="AJ977">
        <v>650</v>
      </c>
      <c r="AL977">
        <v>688</v>
      </c>
      <c r="AM977">
        <v>83655.199999999997</v>
      </c>
      <c r="AN977" t="s">
        <v>176</v>
      </c>
      <c r="AR977" t="s">
        <v>276</v>
      </c>
      <c r="AS977" t="s">
        <v>246</v>
      </c>
    </row>
    <row r="978" spans="1:45">
      <c r="A978" s="86" t="s">
        <v>318</v>
      </c>
      <c r="B978">
        <v>15002638</v>
      </c>
      <c r="C978" t="s">
        <v>1372</v>
      </c>
      <c r="D978" t="s">
        <v>321</v>
      </c>
      <c r="E978" t="s">
        <v>52</v>
      </c>
      <c r="F978" t="s">
        <v>319</v>
      </c>
      <c r="G978" t="s">
        <v>282</v>
      </c>
      <c r="H978" t="s">
        <v>1250</v>
      </c>
      <c r="I978">
        <v>40087</v>
      </c>
      <c r="J978" t="s">
        <v>336</v>
      </c>
      <c r="K978" t="s">
        <v>1271</v>
      </c>
      <c r="L978" t="s">
        <v>324</v>
      </c>
      <c r="M978">
        <v>6</v>
      </c>
      <c r="N978" t="s">
        <v>176</v>
      </c>
      <c r="O978">
        <v>4915</v>
      </c>
      <c r="P978">
        <v>0.02</v>
      </c>
      <c r="Q978">
        <v>98</v>
      </c>
      <c r="R978">
        <v>5.0000000000000001E-3</v>
      </c>
      <c r="S978">
        <v>25</v>
      </c>
      <c r="T978">
        <v>2.5025432349949136E-2</v>
      </c>
      <c r="U978">
        <v>123</v>
      </c>
      <c r="V978">
        <v>5038</v>
      </c>
      <c r="W978">
        <v>4915</v>
      </c>
      <c r="X978">
        <v>0</v>
      </c>
      <c r="Y978">
        <v>0</v>
      </c>
      <c r="Z978" t="s">
        <v>1245</v>
      </c>
      <c r="AE978">
        <v>0</v>
      </c>
      <c r="AF978">
        <v>4915</v>
      </c>
      <c r="AG978">
        <v>0</v>
      </c>
      <c r="AH978" s="143">
        <v>0</v>
      </c>
      <c r="AI978">
        <v>13.6</v>
      </c>
      <c r="AJ978">
        <v>450</v>
      </c>
      <c r="AL978">
        <v>688</v>
      </c>
      <c r="AM978">
        <v>72932</v>
      </c>
      <c r="AN978" t="s">
        <v>176</v>
      </c>
      <c r="AQ978" s="21" t="s">
        <v>107</v>
      </c>
      <c r="AR978" t="s">
        <v>276</v>
      </c>
      <c r="AS978" t="s">
        <v>246</v>
      </c>
    </row>
    <row r="979" spans="1:45">
      <c r="A979" s="86" t="s">
        <v>318</v>
      </c>
      <c r="B979">
        <v>15007723</v>
      </c>
      <c r="C979" t="s">
        <v>1373</v>
      </c>
      <c r="D979" t="s">
        <v>321</v>
      </c>
      <c r="E979" t="s">
        <v>52</v>
      </c>
      <c r="F979" t="s">
        <v>319</v>
      </c>
      <c r="G979" t="s">
        <v>282</v>
      </c>
      <c r="H979" t="s">
        <v>1250</v>
      </c>
      <c r="I979">
        <v>41275</v>
      </c>
      <c r="J979" t="s">
        <v>336</v>
      </c>
      <c r="K979" t="s">
        <v>1271</v>
      </c>
      <c r="L979" t="s">
        <v>324</v>
      </c>
      <c r="M979">
        <v>6</v>
      </c>
      <c r="N979" t="s">
        <v>176</v>
      </c>
      <c r="O979">
        <v>5077</v>
      </c>
      <c r="P979">
        <v>0.02</v>
      </c>
      <c r="Q979">
        <v>102</v>
      </c>
      <c r="R979">
        <v>5.0000000000000001E-3</v>
      </c>
      <c r="S979">
        <v>25</v>
      </c>
      <c r="T979">
        <v>2.5014772503446917E-2</v>
      </c>
      <c r="U979">
        <v>127</v>
      </c>
      <c r="V979">
        <v>5204</v>
      </c>
      <c r="W979">
        <v>5204</v>
      </c>
      <c r="X979">
        <v>127</v>
      </c>
      <c r="Y979">
        <v>2.5000000000000001E-2</v>
      </c>
      <c r="Z979" t="s">
        <v>1245</v>
      </c>
      <c r="AE979">
        <v>0</v>
      </c>
      <c r="AF979">
        <v>5204</v>
      </c>
      <c r="AG979">
        <v>127</v>
      </c>
      <c r="AH979" s="143">
        <v>2.5014772503446858E-2</v>
      </c>
      <c r="AI979">
        <v>13.6</v>
      </c>
      <c r="AJ979">
        <v>450</v>
      </c>
      <c r="AL979">
        <v>688</v>
      </c>
      <c r="AM979">
        <v>76862.399999999994</v>
      </c>
      <c r="AN979" t="s">
        <v>176</v>
      </c>
      <c r="AR979" t="s">
        <v>276</v>
      </c>
      <c r="AS979" t="s">
        <v>246</v>
      </c>
    </row>
    <row r="980" spans="1:45">
      <c r="A980" s="86" t="s">
        <v>318</v>
      </c>
      <c r="B980">
        <v>15000687</v>
      </c>
      <c r="C980" t="s">
        <v>1374</v>
      </c>
      <c r="D980" t="s">
        <v>321</v>
      </c>
      <c r="E980" t="s">
        <v>52</v>
      </c>
      <c r="F980" t="s">
        <v>319</v>
      </c>
      <c r="G980" t="s">
        <v>282</v>
      </c>
      <c r="H980" t="s">
        <v>1250</v>
      </c>
      <c r="I980">
        <v>38991</v>
      </c>
      <c r="J980" t="s">
        <v>336</v>
      </c>
      <c r="K980" t="s">
        <v>803</v>
      </c>
      <c r="L980" t="s">
        <v>324</v>
      </c>
      <c r="M980">
        <v>6</v>
      </c>
      <c r="N980" t="s">
        <v>176</v>
      </c>
      <c r="O980">
        <v>4800</v>
      </c>
      <c r="P980">
        <v>0.02</v>
      </c>
      <c r="Q980">
        <v>96</v>
      </c>
      <c r="R980">
        <v>5.0000000000000001E-3</v>
      </c>
      <c r="S980">
        <v>24</v>
      </c>
      <c r="T980">
        <v>2.5000000000000001E-2</v>
      </c>
      <c r="U980">
        <v>120</v>
      </c>
      <c r="V980">
        <v>4920</v>
      </c>
      <c r="W980">
        <v>4920</v>
      </c>
      <c r="X980">
        <v>120</v>
      </c>
      <c r="Y980">
        <v>2.5000000000000001E-2</v>
      </c>
      <c r="Z980" t="s">
        <v>1245</v>
      </c>
      <c r="AE980">
        <v>0</v>
      </c>
      <c r="AF980">
        <v>4920</v>
      </c>
      <c r="AG980">
        <v>120</v>
      </c>
      <c r="AH980" s="143">
        <v>2.4999999999999911E-2</v>
      </c>
      <c r="AI980">
        <v>13.6</v>
      </c>
      <c r="AJ980">
        <v>650</v>
      </c>
      <c r="AL980">
        <v>688</v>
      </c>
      <c r="AM980">
        <v>75400</v>
      </c>
      <c r="AN980" t="s">
        <v>176</v>
      </c>
      <c r="AR980" t="s">
        <v>276</v>
      </c>
      <c r="AS980" t="s">
        <v>246</v>
      </c>
    </row>
    <row r="981" spans="1:45">
      <c r="A981" s="86" t="s">
        <v>318</v>
      </c>
      <c r="B981">
        <v>15004980</v>
      </c>
      <c r="C981" t="s">
        <v>1375</v>
      </c>
      <c r="D981" t="s">
        <v>321</v>
      </c>
      <c r="E981" t="s">
        <v>52</v>
      </c>
      <c r="F981" t="s">
        <v>319</v>
      </c>
      <c r="G981" t="s">
        <v>282</v>
      </c>
      <c r="H981" t="s">
        <v>1250</v>
      </c>
      <c r="I981">
        <v>40499</v>
      </c>
      <c r="J981" t="s">
        <v>336</v>
      </c>
      <c r="K981" t="s">
        <v>1271</v>
      </c>
      <c r="L981" t="s">
        <v>324</v>
      </c>
      <c r="M981">
        <v>6</v>
      </c>
      <c r="N981" t="s">
        <v>176</v>
      </c>
      <c r="O981">
        <v>4905</v>
      </c>
      <c r="P981">
        <v>0.02</v>
      </c>
      <c r="Q981">
        <v>98</v>
      </c>
      <c r="R981">
        <v>5.0000000000000001E-3</v>
      </c>
      <c r="S981">
        <v>25</v>
      </c>
      <c r="T981">
        <v>2.5076452599388378E-2</v>
      </c>
      <c r="U981">
        <v>123</v>
      </c>
      <c r="V981">
        <v>5028</v>
      </c>
      <c r="W981">
        <v>4930</v>
      </c>
      <c r="X981">
        <v>25</v>
      </c>
      <c r="Y981">
        <v>5.1000000000000004E-3</v>
      </c>
      <c r="Z981" t="s">
        <v>1245</v>
      </c>
      <c r="AE981">
        <v>0</v>
      </c>
      <c r="AF981">
        <v>4930</v>
      </c>
      <c r="AG981">
        <v>25</v>
      </c>
      <c r="AH981" s="143">
        <v>5.0968399592252744E-3</v>
      </c>
      <c r="AI981">
        <v>13.6</v>
      </c>
      <c r="AJ981">
        <v>450</v>
      </c>
      <c r="AL981">
        <v>688</v>
      </c>
      <c r="AM981">
        <v>73136</v>
      </c>
      <c r="AN981" t="s">
        <v>176</v>
      </c>
      <c r="AR981" t="s">
        <v>276</v>
      </c>
      <c r="AS981" t="s">
        <v>246</v>
      </c>
    </row>
    <row r="982" spans="1:45">
      <c r="A982" s="86" t="s">
        <v>318</v>
      </c>
      <c r="B982">
        <v>15009213</v>
      </c>
      <c r="C982" t="s">
        <v>1376</v>
      </c>
      <c r="D982" t="s">
        <v>321</v>
      </c>
      <c r="E982" t="s">
        <v>52</v>
      </c>
      <c r="F982" t="s">
        <v>319</v>
      </c>
      <c r="G982" t="s">
        <v>277</v>
      </c>
      <c r="H982" t="s">
        <v>1252</v>
      </c>
      <c r="I982">
        <v>41487</v>
      </c>
      <c r="J982" t="s">
        <v>336</v>
      </c>
      <c r="K982" t="s">
        <v>1271</v>
      </c>
      <c r="L982" t="s">
        <v>324</v>
      </c>
      <c r="M982">
        <v>6</v>
      </c>
      <c r="N982" t="s">
        <v>176</v>
      </c>
      <c r="O982">
        <v>4800</v>
      </c>
      <c r="P982">
        <v>0.02</v>
      </c>
      <c r="Q982">
        <v>96</v>
      </c>
      <c r="R982">
        <v>5.0000000000000001E-3</v>
      </c>
      <c r="S982">
        <v>24</v>
      </c>
      <c r="T982">
        <v>2.5000000000000001E-2</v>
      </c>
      <c r="U982">
        <v>120</v>
      </c>
      <c r="V982">
        <v>4920</v>
      </c>
      <c r="W982">
        <v>4920</v>
      </c>
      <c r="X982">
        <v>120</v>
      </c>
      <c r="Y982">
        <v>2.5000000000000001E-2</v>
      </c>
      <c r="Z982" t="s">
        <v>1245</v>
      </c>
      <c r="AE982">
        <v>0</v>
      </c>
      <c r="AF982">
        <v>4920</v>
      </c>
      <c r="AG982">
        <v>120</v>
      </c>
      <c r="AH982" s="143">
        <v>2.4999999999999911E-2</v>
      </c>
      <c r="AI982">
        <v>13.6</v>
      </c>
      <c r="AJ982">
        <v>450</v>
      </c>
      <c r="AL982">
        <v>688</v>
      </c>
      <c r="AM982">
        <v>73000</v>
      </c>
      <c r="AN982" t="s">
        <v>176</v>
      </c>
      <c r="AR982" t="s">
        <v>276</v>
      </c>
      <c r="AS982" t="s">
        <v>246</v>
      </c>
    </row>
    <row r="983" spans="1:45">
      <c r="A983" s="86" t="s">
        <v>318</v>
      </c>
      <c r="B983">
        <v>15014749</v>
      </c>
      <c r="C983" t="s">
        <v>1377</v>
      </c>
      <c r="D983" t="s">
        <v>321</v>
      </c>
      <c r="E983" t="s">
        <v>52</v>
      </c>
      <c r="F983" t="s">
        <v>319</v>
      </c>
      <c r="G983" t="s">
        <v>282</v>
      </c>
      <c r="H983" t="s">
        <v>1250</v>
      </c>
      <c r="I983">
        <v>42461</v>
      </c>
      <c r="J983" t="s">
        <v>336</v>
      </c>
      <c r="K983" t="s">
        <v>803</v>
      </c>
      <c r="L983" t="s">
        <v>324</v>
      </c>
      <c r="M983">
        <v>6</v>
      </c>
      <c r="N983" t="s">
        <v>176</v>
      </c>
      <c r="O983">
        <v>4898</v>
      </c>
      <c r="P983">
        <v>0.02</v>
      </c>
      <c r="Q983">
        <v>98</v>
      </c>
      <c r="R983">
        <v>5.0000000000000001E-3</v>
      </c>
      <c r="S983">
        <v>24</v>
      </c>
      <c r="T983">
        <v>2.490812576561862E-2</v>
      </c>
      <c r="U983">
        <v>122</v>
      </c>
      <c r="V983">
        <v>5020</v>
      </c>
      <c r="W983">
        <v>5070</v>
      </c>
      <c r="X983">
        <v>172</v>
      </c>
      <c r="Y983">
        <v>3.5099999999999999E-2</v>
      </c>
      <c r="Z983" t="s">
        <v>1245</v>
      </c>
      <c r="AE983">
        <v>0</v>
      </c>
      <c r="AF983">
        <v>5070</v>
      </c>
      <c r="AG983">
        <v>172</v>
      </c>
      <c r="AH983" s="143">
        <v>3.5116374030216502E-2</v>
      </c>
      <c r="AI983">
        <v>13.6</v>
      </c>
      <c r="AJ983">
        <v>650</v>
      </c>
      <c r="AL983">
        <v>688</v>
      </c>
      <c r="AM983">
        <v>77440</v>
      </c>
      <c r="AN983" t="s">
        <v>176</v>
      </c>
      <c r="AR983" t="s">
        <v>276</v>
      </c>
      <c r="AS983" t="s">
        <v>246</v>
      </c>
    </row>
    <row r="984" spans="1:45">
      <c r="A984" s="86" t="s">
        <v>318</v>
      </c>
      <c r="B984">
        <v>15014713</v>
      </c>
      <c r="C984" t="s">
        <v>1378</v>
      </c>
      <c r="D984" t="s">
        <v>321</v>
      </c>
      <c r="E984" t="s">
        <v>52</v>
      </c>
      <c r="F984" t="s">
        <v>319</v>
      </c>
      <c r="G984" t="s">
        <v>282</v>
      </c>
      <c r="H984" t="s">
        <v>1250</v>
      </c>
      <c r="I984">
        <v>42401</v>
      </c>
      <c r="J984" t="s">
        <v>336</v>
      </c>
      <c r="K984" t="s">
        <v>1271</v>
      </c>
      <c r="L984" t="s">
        <v>324</v>
      </c>
      <c r="M984">
        <v>6</v>
      </c>
      <c r="N984" t="s">
        <v>176</v>
      </c>
      <c r="O984">
        <v>4621</v>
      </c>
      <c r="P984">
        <v>0.02</v>
      </c>
      <c r="Q984">
        <v>92</v>
      </c>
      <c r="R984">
        <v>5.0000000000000001E-3</v>
      </c>
      <c r="S984">
        <v>23</v>
      </c>
      <c r="T984">
        <v>2.4886388227656351E-2</v>
      </c>
      <c r="U984">
        <v>115</v>
      </c>
      <c r="V984">
        <v>4736</v>
      </c>
      <c r="W984">
        <v>4737</v>
      </c>
      <c r="X984">
        <v>116</v>
      </c>
      <c r="Y984">
        <v>2.5100000000000001E-2</v>
      </c>
      <c r="Z984" t="s">
        <v>1245</v>
      </c>
      <c r="AE984">
        <v>0</v>
      </c>
      <c r="AF984">
        <v>4737</v>
      </c>
      <c r="AG984">
        <v>116</v>
      </c>
      <c r="AH984" s="143">
        <v>2.5102791603549113E-2</v>
      </c>
      <c r="AI984">
        <v>13.6</v>
      </c>
      <c r="AJ984">
        <v>450</v>
      </c>
      <c r="AL984">
        <v>688</v>
      </c>
      <c r="AM984">
        <v>70511.199999999997</v>
      </c>
      <c r="AN984" t="s">
        <v>176</v>
      </c>
      <c r="AR984" t="s">
        <v>276</v>
      </c>
      <c r="AS984" t="s">
        <v>246</v>
      </c>
    </row>
    <row r="985" spans="1:45">
      <c r="A985" s="86" t="s">
        <v>318</v>
      </c>
      <c r="B985">
        <v>15012252</v>
      </c>
      <c r="C985" t="s">
        <v>1379</v>
      </c>
      <c r="D985" t="s">
        <v>321</v>
      </c>
      <c r="E985" t="s">
        <v>52</v>
      </c>
      <c r="F985" t="s">
        <v>319</v>
      </c>
      <c r="G985" t="s">
        <v>282</v>
      </c>
      <c r="H985" t="s">
        <v>1250</v>
      </c>
      <c r="I985">
        <v>41584</v>
      </c>
      <c r="J985" t="s">
        <v>336</v>
      </c>
      <c r="K985" t="s">
        <v>803</v>
      </c>
      <c r="L985" t="s">
        <v>324</v>
      </c>
      <c r="M985">
        <v>6</v>
      </c>
      <c r="N985" t="s">
        <v>176</v>
      </c>
      <c r="O985">
        <v>5711</v>
      </c>
      <c r="P985">
        <v>0.02</v>
      </c>
      <c r="Q985">
        <v>114</v>
      </c>
      <c r="R985">
        <v>5.0000000000000001E-3</v>
      </c>
      <c r="S985">
        <v>29</v>
      </c>
      <c r="T985">
        <v>2.503939765365085E-2</v>
      </c>
      <c r="U985">
        <v>143</v>
      </c>
      <c r="V985">
        <v>5854</v>
      </c>
      <c r="W985">
        <v>5985</v>
      </c>
      <c r="X985">
        <v>274</v>
      </c>
      <c r="Y985">
        <v>4.8000000000000001E-2</v>
      </c>
      <c r="Z985" t="s">
        <v>1245</v>
      </c>
      <c r="AE985">
        <v>0</v>
      </c>
      <c r="AF985">
        <v>5985</v>
      </c>
      <c r="AG985">
        <v>274</v>
      </c>
      <c r="AH985" s="143">
        <v>4.7977587112589815E-2</v>
      </c>
      <c r="AI985">
        <v>13.6</v>
      </c>
      <c r="AJ985">
        <v>650</v>
      </c>
      <c r="AL985">
        <v>688</v>
      </c>
      <c r="AM985">
        <v>89884</v>
      </c>
      <c r="AN985" t="s">
        <v>176</v>
      </c>
      <c r="AR985" t="s">
        <v>276</v>
      </c>
      <c r="AS985" t="s">
        <v>246</v>
      </c>
    </row>
    <row r="986" spans="1:45">
      <c r="A986" s="86" t="s">
        <v>318</v>
      </c>
      <c r="B986">
        <v>15000138</v>
      </c>
      <c r="C986" t="s">
        <v>1380</v>
      </c>
      <c r="D986" t="s">
        <v>321</v>
      </c>
      <c r="E986" t="s">
        <v>52</v>
      </c>
      <c r="F986" t="s">
        <v>319</v>
      </c>
      <c r="G986" t="s">
        <v>282</v>
      </c>
      <c r="H986" t="s">
        <v>1250</v>
      </c>
      <c r="I986">
        <v>38231</v>
      </c>
      <c r="J986" t="s">
        <v>336</v>
      </c>
      <c r="K986" t="s">
        <v>1271</v>
      </c>
      <c r="L986" t="s">
        <v>324</v>
      </c>
      <c r="M986">
        <v>6</v>
      </c>
      <c r="N986" t="s">
        <v>176</v>
      </c>
      <c r="O986">
        <v>5359</v>
      </c>
      <c r="P986">
        <v>0.02</v>
      </c>
      <c r="Q986">
        <v>107</v>
      </c>
      <c r="R986">
        <v>5.0000000000000001E-3</v>
      </c>
      <c r="S986">
        <v>27</v>
      </c>
      <c r="T986">
        <v>2.5004665049449523E-2</v>
      </c>
      <c r="U986">
        <v>134</v>
      </c>
      <c r="V986">
        <v>5493</v>
      </c>
      <c r="W986">
        <v>5493</v>
      </c>
      <c r="X986">
        <v>134</v>
      </c>
      <c r="Y986">
        <v>2.5000000000000001E-2</v>
      </c>
      <c r="Z986" t="s">
        <v>1245</v>
      </c>
      <c r="AE986">
        <v>0</v>
      </c>
      <c r="AF986">
        <v>5493</v>
      </c>
      <c r="AG986">
        <v>134</v>
      </c>
      <c r="AH986" s="143">
        <v>2.5004665049449537E-2</v>
      </c>
      <c r="AI986">
        <v>13.6</v>
      </c>
      <c r="AJ986">
        <v>450</v>
      </c>
      <c r="AL986">
        <v>688</v>
      </c>
      <c r="AM986">
        <v>80792.800000000003</v>
      </c>
      <c r="AN986" t="s">
        <v>176</v>
      </c>
      <c r="AR986" t="s">
        <v>276</v>
      </c>
      <c r="AS986" t="s">
        <v>246</v>
      </c>
    </row>
    <row r="987" spans="1:45">
      <c r="A987" s="86" t="s">
        <v>318</v>
      </c>
      <c r="B987">
        <v>15011277</v>
      </c>
      <c r="C987" t="s">
        <v>1381</v>
      </c>
      <c r="D987" t="s">
        <v>321</v>
      </c>
      <c r="E987" t="s">
        <v>52</v>
      </c>
      <c r="F987" t="s">
        <v>319</v>
      </c>
      <c r="G987" t="s">
        <v>282</v>
      </c>
      <c r="H987" t="s">
        <v>1250</v>
      </c>
      <c r="I987">
        <v>41471</v>
      </c>
      <c r="J987" t="s">
        <v>336</v>
      </c>
      <c r="K987" t="s">
        <v>803</v>
      </c>
      <c r="L987" t="s">
        <v>324</v>
      </c>
      <c r="M987">
        <v>6</v>
      </c>
      <c r="N987" t="s">
        <v>176</v>
      </c>
      <c r="O987">
        <v>4560</v>
      </c>
      <c r="P987">
        <v>0.02</v>
      </c>
      <c r="Q987">
        <v>91</v>
      </c>
      <c r="R987">
        <v>5.0000000000000001E-3</v>
      </c>
      <c r="S987">
        <v>23</v>
      </c>
      <c r="T987">
        <v>2.5000000000000001E-2</v>
      </c>
      <c r="U987">
        <v>114</v>
      </c>
      <c r="V987">
        <v>4674</v>
      </c>
      <c r="W987">
        <v>4560</v>
      </c>
      <c r="X987">
        <v>0</v>
      </c>
      <c r="Y987">
        <v>0</v>
      </c>
      <c r="Z987" t="s">
        <v>1245</v>
      </c>
      <c r="AE987">
        <v>0</v>
      </c>
      <c r="AF987">
        <v>4560</v>
      </c>
      <c r="AG987">
        <v>0</v>
      </c>
      <c r="AH987" s="143">
        <v>0</v>
      </c>
      <c r="AI987">
        <v>13.6</v>
      </c>
      <c r="AJ987">
        <v>650</v>
      </c>
      <c r="AL987">
        <v>688</v>
      </c>
      <c r="AM987">
        <v>70504</v>
      </c>
      <c r="AN987" t="s">
        <v>176</v>
      </c>
      <c r="AQ987" s="21" t="s">
        <v>107</v>
      </c>
      <c r="AR987" t="s">
        <v>276</v>
      </c>
      <c r="AS987" t="s">
        <v>246</v>
      </c>
    </row>
    <row r="988" spans="1:45">
      <c r="A988" s="86" t="s">
        <v>318</v>
      </c>
      <c r="B988">
        <v>15018703</v>
      </c>
      <c r="C988" t="s">
        <v>1382</v>
      </c>
      <c r="D988" t="s">
        <v>321</v>
      </c>
      <c r="E988" t="s">
        <v>52</v>
      </c>
      <c r="F988" t="s">
        <v>319</v>
      </c>
      <c r="G988" t="s">
        <v>282</v>
      </c>
      <c r="H988" t="s">
        <v>1250</v>
      </c>
      <c r="I988">
        <v>43089</v>
      </c>
      <c r="J988" t="s">
        <v>336</v>
      </c>
      <c r="K988" t="s">
        <v>803</v>
      </c>
      <c r="L988" t="s">
        <v>324</v>
      </c>
      <c r="M988">
        <v>6</v>
      </c>
      <c r="N988" t="s">
        <v>176</v>
      </c>
      <c r="O988">
        <v>4414</v>
      </c>
      <c r="P988">
        <v>0.02</v>
      </c>
      <c r="Q988">
        <v>88</v>
      </c>
      <c r="R988">
        <v>5.0000000000000001E-3</v>
      </c>
      <c r="S988">
        <v>22</v>
      </c>
      <c r="T988">
        <v>2.4920706841866789E-2</v>
      </c>
      <c r="U988">
        <v>110</v>
      </c>
      <c r="V988">
        <v>4524</v>
      </c>
      <c r="W988">
        <v>4436</v>
      </c>
      <c r="X988">
        <v>22</v>
      </c>
      <c r="Y988">
        <v>5.0000000000000001E-3</v>
      </c>
      <c r="Z988" t="s">
        <v>1245</v>
      </c>
      <c r="AE988">
        <v>0</v>
      </c>
      <c r="AF988">
        <v>4436</v>
      </c>
      <c r="AG988">
        <v>22</v>
      </c>
      <c r="AH988" s="143">
        <v>4.9841413683733293E-3</v>
      </c>
      <c r="AI988">
        <v>13.6</v>
      </c>
      <c r="AJ988">
        <v>650</v>
      </c>
      <c r="AL988">
        <v>688</v>
      </c>
      <c r="AM988">
        <v>68817.600000000006</v>
      </c>
      <c r="AN988" t="s">
        <v>176</v>
      </c>
      <c r="AR988" t="s">
        <v>276</v>
      </c>
      <c r="AS988" t="s">
        <v>246</v>
      </c>
    </row>
    <row r="989" spans="1:45">
      <c r="A989" s="86" t="s">
        <v>318</v>
      </c>
      <c r="B989">
        <v>15006509</v>
      </c>
      <c r="C989" t="s">
        <v>1383</v>
      </c>
      <c r="D989" t="s">
        <v>321</v>
      </c>
      <c r="E989" t="s">
        <v>52</v>
      </c>
      <c r="F989" t="s">
        <v>319</v>
      </c>
      <c r="G989" t="s">
        <v>282</v>
      </c>
      <c r="H989" t="s">
        <v>1250</v>
      </c>
      <c r="I989">
        <v>40718</v>
      </c>
      <c r="J989" t="s">
        <v>336</v>
      </c>
      <c r="K989" t="s">
        <v>803</v>
      </c>
      <c r="L989" t="s">
        <v>324</v>
      </c>
      <c r="M989">
        <v>6</v>
      </c>
      <c r="N989" t="s">
        <v>176</v>
      </c>
      <c r="O989">
        <v>4424</v>
      </c>
      <c r="P989">
        <v>0.02</v>
      </c>
      <c r="Q989">
        <v>88</v>
      </c>
      <c r="R989">
        <v>5.0000000000000001E-3</v>
      </c>
      <c r="S989">
        <v>22</v>
      </c>
      <c r="T989">
        <v>2.4864376130198915E-2</v>
      </c>
      <c r="U989">
        <v>110</v>
      </c>
      <c r="V989">
        <v>4534</v>
      </c>
      <c r="W989">
        <v>4535</v>
      </c>
      <c r="X989">
        <v>111</v>
      </c>
      <c r="Y989">
        <v>2.5100000000000001E-2</v>
      </c>
      <c r="Z989" t="s">
        <v>1245</v>
      </c>
      <c r="AE989">
        <v>0</v>
      </c>
      <c r="AF989">
        <v>4535</v>
      </c>
      <c r="AG989">
        <v>111</v>
      </c>
      <c r="AH989" s="143">
        <v>2.5090415913200825E-2</v>
      </c>
      <c r="AI989">
        <v>13.6</v>
      </c>
      <c r="AJ989">
        <v>650</v>
      </c>
      <c r="AL989">
        <v>688</v>
      </c>
      <c r="AM989">
        <v>70164</v>
      </c>
      <c r="AN989" t="s">
        <v>176</v>
      </c>
      <c r="AR989" t="s">
        <v>276</v>
      </c>
      <c r="AS989" t="s">
        <v>246</v>
      </c>
    </row>
    <row r="990" spans="1:45">
      <c r="A990" s="86" t="s">
        <v>318</v>
      </c>
      <c r="B990">
        <v>15018412</v>
      </c>
      <c r="C990" t="s">
        <v>1384</v>
      </c>
      <c r="D990" t="s">
        <v>321</v>
      </c>
      <c r="E990" t="s">
        <v>52</v>
      </c>
      <c r="F990" t="s">
        <v>319</v>
      </c>
      <c r="G990" t="s">
        <v>282</v>
      </c>
      <c r="H990" t="s">
        <v>1250</v>
      </c>
      <c r="I990">
        <v>43031</v>
      </c>
      <c r="J990" t="s">
        <v>336</v>
      </c>
      <c r="K990" t="s">
        <v>803</v>
      </c>
      <c r="L990" t="s">
        <v>324</v>
      </c>
      <c r="M990">
        <v>6</v>
      </c>
      <c r="N990" t="s">
        <v>176</v>
      </c>
      <c r="O990">
        <v>4756</v>
      </c>
      <c r="P990">
        <v>0.02</v>
      </c>
      <c r="Q990">
        <v>95</v>
      </c>
      <c r="R990">
        <v>5.0000000000000001E-3</v>
      </c>
      <c r="S990">
        <v>24</v>
      </c>
      <c r="T990">
        <v>2.5021026072329689E-2</v>
      </c>
      <c r="U990">
        <v>119</v>
      </c>
      <c r="V990">
        <v>4875</v>
      </c>
      <c r="W990">
        <v>4984</v>
      </c>
      <c r="X990">
        <v>228</v>
      </c>
      <c r="Y990">
        <v>4.7899999999999998E-2</v>
      </c>
      <c r="Z990" t="s">
        <v>1245</v>
      </c>
      <c r="AE990">
        <v>0</v>
      </c>
      <c r="AF990">
        <v>4984</v>
      </c>
      <c r="AG990">
        <v>228</v>
      </c>
      <c r="AH990" s="143">
        <v>4.7939444911690554E-2</v>
      </c>
      <c r="AI990">
        <v>13.6</v>
      </c>
      <c r="AJ990">
        <v>650</v>
      </c>
      <c r="AL990">
        <v>688</v>
      </c>
      <c r="AM990">
        <v>76270.399999999994</v>
      </c>
      <c r="AN990" t="s">
        <v>176</v>
      </c>
      <c r="AR990" t="s">
        <v>276</v>
      </c>
      <c r="AS990" t="s">
        <v>246</v>
      </c>
    </row>
    <row r="991" spans="1:45">
      <c r="A991" s="86" t="s">
        <v>318</v>
      </c>
      <c r="B991">
        <v>15000964</v>
      </c>
      <c r="C991" t="s">
        <v>1385</v>
      </c>
      <c r="D991" t="s">
        <v>321</v>
      </c>
      <c r="E991" t="s">
        <v>52</v>
      </c>
      <c r="F991" t="s">
        <v>319</v>
      </c>
      <c r="G991" t="s">
        <v>277</v>
      </c>
      <c r="H991" t="s">
        <v>1252</v>
      </c>
      <c r="I991">
        <v>39203</v>
      </c>
      <c r="J991" t="s">
        <v>336</v>
      </c>
      <c r="K991" t="s">
        <v>803</v>
      </c>
      <c r="L991" t="s">
        <v>324</v>
      </c>
      <c r="M991">
        <v>6</v>
      </c>
      <c r="N991" t="s">
        <v>176</v>
      </c>
      <c r="O991">
        <v>5484</v>
      </c>
      <c r="P991">
        <v>0.02</v>
      </c>
      <c r="Q991">
        <v>110</v>
      </c>
      <c r="R991">
        <v>5.0000000000000001E-3</v>
      </c>
      <c r="S991">
        <v>27</v>
      </c>
      <c r="T991">
        <v>2.4981765134938001E-2</v>
      </c>
      <c r="U991">
        <v>137</v>
      </c>
      <c r="V991">
        <v>5621</v>
      </c>
      <c r="W991">
        <v>5621</v>
      </c>
      <c r="X991">
        <v>137</v>
      </c>
      <c r="Y991">
        <v>2.5000000000000001E-2</v>
      </c>
      <c r="Z991" t="s">
        <v>1245</v>
      </c>
      <c r="AE991">
        <v>0</v>
      </c>
      <c r="AF991">
        <v>5621</v>
      </c>
      <c r="AG991">
        <v>137</v>
      </c>
      <c r="AH991" s="143">
        <v>2.4981765134937994E-2</v>
      </c>
      <c r="AI991">
        <v>13.6</v>
      </c>
      <c r="AJ991">
        <v>650</v>
      </c>
      <c r="AL991">
        <v>688</v>
      </c>
      <c r="AM991">
        <v>84933.599999999991</v>
      </c>
      <c r="AN991" t="s">
        <v>176</v>
      </c>
      <c r="AR991" t="s">
        <v>276</v>
      </c>
      <c r="AS991" t="s">
        <v>246</v>
      </c>
    </row>
    <row r="992" spans="1:45">
      <c r="A992" s="86" t="s">
        <v>318</v>
      </c>
      <c r="B992">
        <v>15007088</v>
      </c>
      <c r="C992" t="s">
        <v>1386</v>
      </c>
      <c r="D992" t="s">
        <v>321</v>
      </c>
      <c r="E992" t="s">
        <v>52</v>
      </c>
      <c r="F992" t="s">
        <v>319</v>
      </c>
      <c r="G992" t="s">
        <v>277</v>
      </c>
      <c r="H992" t="s">
        <v>1252</v>
      </c>
      <c r="I992">
        <v>40779</v>
      </c>
      <c r="J992" t="s">
        <v>336</v>
      </c>
      <c r="K992" t="s">
        <v>1387</v>
      </c>
      <c r="L992" t="s">
        <v>324</v>
      </c>
      <c r="M992">
        <v>6</v>
      </c>
      <c r="N992" t="s">
        <v>176</v>
      </c>
      <c r="O992">
        <v>4558</v>
      </c>
      <c r="P992">
        <v>0.02</v>
      </c>
      <c r="Q992">
        <v>91</v>
      </c>
      <c r="R992">
        <v>5.0000000000000001E-3</v>
      </c>
      <c r="S992">
        <v>23</v>
      </c>
      <c r="T992">
        <v>2.5010969723562967E-2</v>
      </c>
      <c r="U992">
        <v>114</v>
      </c>
      <c r="V992">
        <v>4672</v>
      </c>
      <c r="W992">
        <v>4672</v>
      </c>
      <c r="X992">
        <v>114</v>
      </c>
      <c r="Y992">
        <v>2.5000000000000001E-2</v>
      </c>
      <c r="Z992" t="s">
        <v>1245</v>
      </c>
      <c r="AE992">
        <v>0</v>
      </c>
      <c r="AF992">
        <v>4672</v>
      </c>
      <c r="AG992">
        <v>114</v>
      </c>
      <c r="AH992" s="143">
        <v>2.5010969723562981E-2</v>
      </c>
      <c r="AI992">
        <v>13.6</v>
      </c>
      <c r="AJ992">
        <v>450</v>
      </c>
      <c r="AL992">
        <v>688</v>
      </c>
      <c r="AM992">
        <v>69627.199999999997</v>
      </c>
      <c r="AN992" t="s">
        <v>176</v>
      </c>
      <c r="AR992" t="s">
        <v>276</v>
      </c>
      <c r="AS992" t="s">
        <v>246</v>
      </c>
    </row>
    <row r="993" spans="1:46">
      <c r="A993" s="86" t="s">
        <v>318</v>
      </c>
      <c r="B993">
        <v>15000142</v>
      </c>
      <c r="C993" t="s">
        <v>1388</v>
      </c>
      <c r="D993" t="s">
        <v>321</v>
      </c>
      <c r="E993" t="s">
        <v>52</v>
      </c>
      <c r="F993" t="s">
        <v>319</v>
      </c>
      <c r="G993" t="s">
        <v>277</v>
      </c>
      <c r="H993" t="s">
        <v>1252</v>
      </c>
      <c r="I993">
        <v>38231</v>
      </c>
      <c r="J993" t="s">
        <v>336</v>
      </c>
      <c r="K993" t="s">
        <v>803</v>
      </c>
      <c r="L993" t="s">
        <v>324</v>
      </c>
      <c r="M993">
        <v>6</v>
      </c>
      <c r="N993" t="s">
        <v>176</v>
      </c>
      <c r="O993">
        <v>6479</v>
      </c>
      <c r="P993">
        <v>0.02</v>
      </c>
      <c r="Q993">
        <v>130</v>
      </c>
      <c r="R993">
        <v>5.0000000000000001E-3</v>
      </c>
      <c r="S993">
        <v>32</v>
      </c>
      <c r="T993">
        <v>2.5003858620157433E-2</v>
      </c>
      <c r="U993">
        <v>162</v>
      </c>
      <c r="V993">
        <v>6641</v>
      </c>
      <c r="W993">
        <v>6641</v>
      </c>
      <c r="X993">
        <v>162</v>
      </c>
      <c r="Y993">
        <v>2.5000000000000001E-2</v>
      </c>
      <c r="Z993" t="s">
        <v>1245</v>
      </c>
      <c r="AE993">
        <v>0</v>
      </c>
      <c r="AF993">
        <v>6641</v>
      </c>
      <c r="AG993">
        <v>162</v>
      </c>
      <c r="AH993" s="143">
        <v>2.5003858620157526E-2</v>
      </c>
      <c r="AI993">
        <v>13.6</v>
      </c>
      <c r="AJ993">
        <v>650</v>
      </c>
      <c r="AL993">
        <v>688</v>
      </c>
      <c r="AM993">
        <v>98805.599999999991</v>
      </c>
      <c r="AN993" t="s">
        <v>176</v>
      </c>
      <c r="AR993" t="s">
        <v>276</v>
      </c>
      <c r="AS993" t="s">
        <v>246</v>
      </c>
    </row>
    <row r="994" spans="1:46">
      <c r="A994" s="86" t="s">
        <v>318</v>
      </c>
      <c r="B994">
        <v>15005582</v>
      </c>
      <c r="C994" t="s">
        <v>1389</v>
      </c>
      <c r="D994" t="s">
        <v>321</v>
      </c>
      <c r="E994" t="s">
        <v>52</v>
      </c>
      <c r="F994" t="s">
        <v>319</v>
      </c>
      <c r="G994" t="s">
        <v>277</v>
      </c>
      <c r="H994" t="s">
        <v>1252</v>
      </c>
      <c r="I994">
        <v>40625</v>
      </c>
      <c r="J994" t="s">
        <v>336</v>
      </c>
      <c r="K994" t="s">
        <v>803</v>
      </c>
      <c r="L994" t="s">
        <v>324</v>
      </c>
      <c r="M994">
        <v>6</v>
      </c>
      <c r="N994" t="s">
        <v>176</v>
      </c>
      <c r="O994">
        <v>5444</v>
      </c>
      <c r="P994">
        <v>0.02</v>
      </c>
      <c r="Q994">
        <v>109</v>
      </c>
      <c r="R994">
        <v>5.0000000000000001E-3</v>
      </c>
      <c r="S994">
        <v>27</v>
      </c>
      <c r="T994">
        <v>2.4981631153563555E-2</v>
      </c>
      <c r="U994">
        <v>136</v>
      </c>
      <c r="V994">
        <v>5580</v>
      </c>
      <c r="W994">
        <v>5580</v>
      </c>
      <c r="X994">
        <v>136</v>
      </c>
      <c r="Y994">
        <v>2.5000000000000001E-2</v>
      </c>
      <c r="Z994" t="s">
        <v>1245</v>
      </c>
      <c r="AE994">
        <v>0</v>
      </c>
      <c r="AF994">
        <v>5580</v>
      </c>
      <c r="AG994">
        <v>136</v>
      </c>
      <c r="AH994" s="143">
        <v>2.4981631153563555E-2</v>
      </c>
      <c r="AI994">
        <v>13.6</v>
      </c>
      <c r="AJ994">
        <v>650</v>
      </c>
      <c r="AL994">
        <v>688</v>
      </c>
      <c r="AM994">
        <v>84376</v>
      </c>
      <c r="AN994" t="s">
        <v>176</v>
      </c>
      <c r="AR994" t="s">
        <v>276</v>
      </c>
      <c r="AS994" t="s">
        <v>246</v>
      </c>
    </row>
    <row r="995" spans="1:46">
      <c r="A995" s="86" t="s">
        <v>318</v>
      </c>
      <c r="B995">
        <v>15021796</v>
      </c>
      <c r="C995" t="s">
        <v>1390</v>
      </c>
      <c r="D995" t="s">
        <v>321</v>
      </c>
      <c r="E995" t="s">
        <v>52</v>
      </c>
      <c r="F995" t="s">
        <v>319</v>
      </c>
      <c r="G995" t="s">
        <v>277</v>
      </c>
      <c r="H995" t="s">
        <v>1252</v>
      </c>
      <c r="I995">
        <v>44652</v>
      </c>
      <c r="J995" t="s">
        <v>336</v>
      </c>
      <c r="K995" t="s">
        <v>1387</v>
      </c>
      <c r="L995" t="s">
        <v>324</v>
      </c>
      <c r="M995">
        <v>6</v>
      </c>
      <c r="N995" t="s">
        <v>176</v>
      </c>
      <c r="O995">
        <v>4613</v>
      </c>
      <c r="P995">
        <v>0.02</v>
      </c>
      <c r="Q995">
        <v>92</v>
      </c>
      <c r="R995">
        <v>5.0000000000000001E-3</v>
      </c>
      <c r="S995">
        <v>23</v>
      </c>
      <c r="T995">
        <v>2.4929546932581835E-2</v>
      </c>
      <c r="U995">
        <v>115</v>
      </c>
      <c r="V995">
        <v>4728</v>
      </c>
      <c r="W995">
        <v>4613</v>
      </c>
      <c r="X995">
        <v>0</v>
      </c>
      <c r="Y995">
        <v>0</v>
      </c>
      <c r="Z995" t="s">
        <v>1245</v>
      </c>
      <c r="AE995">
        <v>0</v>
      </c>
      <c r="AF995">
        <v>4613</v>
      </c>
      <c r="AG995">
        <v>0</v>
      </c>
      <c r="AH995" s="143">
        <v>0</v>
      </c>
      <c r="AI995">
        <v>13.6</v>
      </c>
      <c r="AJ995">
        <v>450</v>
      </c>
      <c r="AL995">
        <v>688</v>
      </c>
      <c r="AM995">
        <v>68824.799999999988</v>
      </c>
      <c r="AN995" t="s">
        <v>176</v>
      </c>
      <c r="AO995" t="s">
        <v>364</v>
      </c>
      <c r="AQ995" s="21" t="s">
        <v>107</v>
      </c>
      <c r="AR995" t="s">
        <v>276</v>
      </c>
      <c r="AS995" t="s">
        <v>246</v>
      </c>
    </row>
    <row r="996" spans="1:46">
      <c r="A996" s="86" t="s">
        <v>318</v>
      </c>
      <c r="B996">
        <v>15001534</v>
      </c>
      <c r="C996" t="s">
        <v>1391</v>
      </c>
      <c r="D996" t="s">
        <v>321</v>
      </c>
      <c r="E996" t="s">
        <v>52</v>
      </c>
      <c r="F996" t="s">
        <v>319</v>
      </c>
      <c r="G996" t="s">
        <v>277</v>
      </c>
      <c r="H996" t="s">
        <v>1252</v>
      </c>
      <c r="I996">
        <v>39556</v>
      </c>
      <c r="J996" t="s">
        <v>336</v>
      </c>
      <c r="K996" t="s">
        <v>803</v>
      </c>
      <c r="L996" t="s">
        <v>324</v>
      </c>
      <c r="M996">
        <v>6</v>
      </c>
      <c r="N996" t="s">
        <v>176</v>
      </c>
      <c r="O996">
        <v>4792</v>
      </c>
      <c r="P996">
        <v>0.02</v>
      </c>
      <c r="Q996">
        <v>96</v>
      </c>
      <c r="R996">
        <v>5.0000000000000001E-3</v>
      </c>
      <c r="S996">
        <v>24</v>
      </c>
      <c r="T996">
        <v>2.5041736227045076E-2</v>
      </c>
      <c r="U996">
        <v>120</v>
      </c>
      <c r="V996">
        <v>4912</v>
      </c>
      <c r="W996">
        <v>4912</v>
      </c>
      <c r="X996">
        <v>120</v>
      </c>
      <c r="Y996">
        <v>2.5000000000000001E-2</v>
      </c>
      <c r="Z996" t="s">
        <v>1245</v>
      </c>
      <c r="AE996">
        <v>0</v>
      </c>
      <c r="AF996">
        <v>4912</v>
      </c>
      <c r="AG996">
        <v>120</v>
      </c>
      <c r="AH996" s="143">
        <v>2.5041736227044975E-2</v>
      </c>
      <c r="AI996">
        <v>13.6</v>
      </c>
      <c r="AJ996">
        <v>650</v>
      </c>
      <c r="AL996">
        <v>688</v>
      </c>
      <c r="AM996">
        <v>75291.199999999997</v>
      </c>
      <c r="AN996" t="s">
        <v>176</v>
      </c>
      <c r="AR996" t="s">
        <v>276</v>
      </c>
      <c r="AS996" t="s">
        <v>246</v>
      </c>
    </row>
    <row r="997" spans="1:46">
      <c r="A997" s="86" t="s">
        <v>318</v>
      </c>
      <c r="B997">
        <v>15007042</v>
      </c>
      <c r="C997" t="s">
        <v>1392</v>
      </c>
      <c r="D997" t="s">
        <v>321</v>
      </c>
      <c r="E997" t="s">
        <v>52</v>
      </c>
      <c r="F997" t="s">
        <v>319</v>
      </c>
      <c r="G997" t="s">
        <v>277</v>
      </c>
      <c r="H997" t="s">
        <v>1252</v>
      </c>
      <c r="I997">
        <v>40772</v>
      </c>
      <c r="J997" t="s">
        <v>336</v>
      </c>
      <c r="K997" t="s">
        <v>803</v>
      </c>
      <c r="L997" t="s">
        <v>324</v>
      </c>
      <c r="M997">
        <v>6</v>
      </c>
      <c r="N997" t="s">
        <v>176</v>
      </c>
      <c r="O997">
        <v>5174</v>
      </c>
      <c r="P997">
        <v>0.02</v>
      </c>
      <c r="Q997">
        <v>103</v>
      </c>
      <c r="R997">
        <v>5.0000000000000001E-3</v>
      </c>
      <c r="S997">
        <v>26</v>
      </c>
      <c r="T997">
        <v>2.4932354078082721E-2</v>
      </c>
      <c r="U997">
        <v>129</v>
      </c>
      <c r="V997">
        <v>5303</v>
      </c>
      <c r="W997">
        <v>5329</v>
      </c>
      <c r="X997">
        <v>155</v>
      </c>
      <c r="Y997">
        <v>0.03</v>
      </c>
      <c r="Z997" t="s">
        <v>1245</v>
      </c>
      <c r="AE997">
        <v>0</v>
      </c>
      <c r="AF997">
        <v>5329</v>
      </c>
      <c r="AG997">
        <v>155</v>
      </c>
      <c r="AH997" s="143">
        <v>2.9957479706223422E-2</v>
      </c>
      <c r="AI997">
        <v>13.6</v>
      </c>
      <c r="AJ997">
        <v>650</v>
      </c>
      <c r="AL997">
        <v>688</v>
      </c>
      <c r="AM997">
        <v>80962.399999999994</v>
      </c>
      <c r="AN997" t="s">
        <v>176</v>
      </c>
      <c r="AR997" t="s">
        <v>276</v>
      </c>
      <c r="AS997" t="s">
        <v>246</v>
      </c>
    </row>
    <row r="998" spans="1:46">
      <c r="A998" s="86" t="s">
        <v>318</v>
      </c>
      <c r="B998">
        <v>15001685</v>
      </c>
      <c r="C998" t="s">
        <v>1393</v>
      </c>
      <c r="D998" t="s">
        <v>321</v>
      </c>
      <c r="E998" t="s">
        <v>52</v>
      </c>
      <c r="F998" t="s">
        <v>319</v>
      </c>
      <c r="G998" t="s">
        <v>277</v>
      </c>
      <c r="H998" t="s">
        <v>1252</v>
      </c>
      <c r="I998">
        <v>39609</v>
      </c>
      <c r="J998" t="s">
        <v>336</v>
      </c>
      <c r="K998" t="s">
        <v>1387</v>
      </c>
      <c r="L998" t="s">
        <v>324</v>
      </c>
      <c r="M998">
        <v>6</v>
      </c>
      <c r="N998" t="s">
        <v>176</v>
      </c>
      <c r="O998">
        <v>4763</v>
      </c>
      <c r="P998">
        <v>0.02</v>
      </c>
      <c r="Q998">
        <v>95</v>
      </c>
      <c r="R998">
        <v>5.0000000000000001E-3</v>
      </c>
      <c r="S998">
        <v>24</v>
      </c>
      <c r="T998">
        <v>2.4984253621667018E-2</v>
      </c>
      <c r="U998">
        <v>119</v>
      </c>
      <c r="V998">
        <v>4882</v>
      </c>
      <c r="W998">
        <v>4882</v>
      </c>
      <c r="X998">
        <v>119</v>
      </c>
      <c r="Y998">
        <v>2.5000000000000001E-2</v>
      </c>
      <c r="Z998" t="s">
        <v>1245</v>
      </c>
      <c r="AE998">
        <v>0</v>
      </c>
      <c r="AF998">
        <v>4882</v>
      </c>
      <c r="AG998">
        <v>119</v>
      </c>
      <c r="AH998" s="143">
        <v>2.4984253621667118E-2</v>
      </c>
      <c r="AI998">
        <v>13.6</v>
      </c>
      <c r="AJ998">
        <v>500</v>
      </c>
      <c r="AL998">
        <v>688</v>
      </c>
      <c r="AM998">
        <v>73083.199999999997</v>
      </c>
      <c r="AN998" t="s">
        <v>176</v>
      </c>
      <c r="AR998" t="s">
        <v>276</v>
      </c>
      <c r="AS998" t="s">
        <v>246</v>
      </c>
    </row>
    <row r="999" spans="1:46">
      <c r="A999" s="86" t="s">
        <v>318</v>
      </c>
      <c r="B999">
        <v>15001372</v>
      </c>
      <c r="C999" t="s">
        <v>1394</v>
      </c>
      <c r="D999" t="s">
        <v>321</v>
      </c>
      <c r="E999" t="s">
        <v>52</v>
      </c>
      <c r="F999" t="s">
        <v>319</v>
      </c>
      <c r="G999" t="s">
        <v>277</v>
      </c>
      <c r="H999" t="s">
        <v>1252</v>
      </c>
      <c r="I999">
        <v>39497</v>
      </c>
      <c r="J999" t="s">
        <v>336</v>
      </c>
      <c r="K999" t="s">
        <v>803</v>
      </c>
      <c r="L999" t="s">
        <v>324</v>
      </c>
      <c r="M999">
        <v>6</v>
      </c>
      <c r="N999" t="s">
        <v>176</v>
      </c>
      <c r="O999">
        <v>5801</v>
      </c>
      <c r="P999">
        <v>0.02</v>
      </c>
      <c r="Q999">
        <v>116</v>
      </c>
      <c r="R999">
        <v>5.0000000000000001E-3</v>
      </c>
      <c r="S999">
        <v>29</v>
      </c>
      <c r="T999">
        <v>2.4995690398207204E-2</v>
      </c>
      <c r="U999">
        <v>145</v>
      </c>
      <c r="V999">
        <v>5946</v>
      </c>
      <c r="W999">
        <v>5946</v>
      </c>
      <c r="X999">
        <v>145</v>
      </c>
      <c r="Y999">
        <v>2.5000000000000001E-2</v>
      </c>
      <c r="Z999" t="s">
        <v>1245</v>
      </c>
      <c r="AE999">
        <v>0</v>
      </c>
      <c r="AF999">
        <v>5946</v>
      </c>
      <c r="AG999">
        <v>145</v>
      </c>
      <c r="AH999" s="143">
        <v>2.4995690398207149E-2</v>
      </c>
      <c r="AI999">
        <v>13.6</v>
      </c>
      <c r="AJ999">
        <v>650</v>
      </c>
      <c r="AL999">
        <v>688</v>
      </c>
      <c r="AM999">
        <v>89353.599999999991</v>
      </c>
      <c r="AN999" t="s">
        <v>176</v>
      </c>
      <c r="AR999" t="s">
        <v>276</v>
      </c>
      <c r="AS999" t="s">
        <v>246</v>
      </c>
    </row>
    <row r="1000" spans="1:46">
      <c r="A1000" s="86" t="s">
        <v>318</v>
      </c>
      <c r="B1000">
        <v>15000159</v>
      </c>
      <c r="C1000" t="s">
        <v>1395</v>
      </c>
      <c r="D1000" t="s">
        <v>321</v>
      </c>
      <c r="E1000" t="s">
        <v>52</v>
      </c>
      <c r="F1000" t="s">
        <v>319</v>
      </c>
      <c r="G1000" t="s">
        <v>277</v>
      </c>
      <c r="H1000" t="s">
        <v>1252</v>
      </c>
      <c r="I1000">
        <v>38569</v>
      </c>
      <c r="J1000" t="s">
        <v>336</v>
      </c>
      <c r="K1000" t="s">
        <v>803</v>
      </c>
      <c r="L1000" t="s">
        <v>324</v>
      </c>
      <c r="M1000">
        <v>6</v>
      </c>
      <c r="N1000" t="s">
        <v>176</v>
      </c>
      <c r="O1000">
        <v>6461</v>
      </c>
      <c r="P1000">
        <v>0.02</v>
      </c>
      <c r="Q1000">
        <v>129</v>
      </c>
      <c r="R1000">
        <v>5.0000000000000001E-3</v>
      </c>
      <c r="S1000">
        <v>32</v>
      </c>
      <c r="T1000">
        <v>2.4918743228602384E-2</v>
      </c>
      <c r="U1000">
        <v>161</v>
      </c>
      <c r="V1000">
        <v>6622</v>
      </c>
      <c r="W1000">
        <v>6622</v>
      </c>
      <c r="X1000">
        <v>161</v>
      </c>
      <c r="Y1000">
        <v>2.4899999999999999E-2</v>
      </c>
      <c r="Z1000" t="s">
        <v>1245</v>
      </c>
      <c r="AE1000">
        <v>0</v>
      </c>
      <c r="AF1000">
        <v>6622</v>
      </c>
      <c r="AG1000">
        <v>161</v>
      </c>
      <c r="AH1000" s="143">
        <v>2.4918743228602436E-2</v>
      </c>
      <c r="AI1000">
        <v>13.6</v>
      </c>
      <c r="AJ1000">
        <v>650</v>
      </c>
      <c r="AL1000">
        <v>688</v>
      </c>
      <c r="AM1000">
        <v>98547.199999999997</v>
      </c>
      <c r="AN1000" t="s">
        <v>176</v>
      </c>
      <c r="AR1000" t="s">
        <v>276</v>
      </c>
      <c r="AS1000" t="s">
        <v>246</v>
      </c>
    </row>
    <row r="1001" spans="1:46">
      <c r="A1001" s="86" t="s">
        <v>318</v>
      </c>
      <c r="B1001">
        <v>15018021</v>
      </c>
      <c r="C1001" t="s">
        <v>1396</v>
      </c>
      <c r="D1001" t="s">
        <v>321</v>
      </c>
      <c r="E1001" t="s">
        <v>52</v>
      </c>
      <c r="F1001" t="s">
        <v>319</v>
      </c>
      <c r="G1001" t="s">
        <v>277</v>
      </c>
      <c r="H1001" t="s">
        <v>1252</v>
      </c>
      <c r="I1001">
        <v>42937</v>
      </c>
      <c r="J1001" t="s">
        <v>336</v>
      </c>
      <c r="K1001" t="s">
        <v>803</v>
      </c>
      <c r="L1001" t="s">
        <v>324</v>
      </c>
      <c r="M1001">
        <v>6</v>
      </c>
      <c r="N1001" t="s">
        <v>176</v>
      </c>
      <c r="O1001">
        <v>4700</v>
      </c>
      <c r="P1001">
        <v>0.02</v>
      </c>
      <c r="Q1001">
        <v>94</v>
      </c>
      <c r="R1001">
        <v>5.0000000000000001E-3</v>
      </c>
      <c r="S1001">
        <v>24</v>
      </c>
      <c r="T1001">
        <v>2.5106382978723404E-2</v>
      </c>
      <c r="U1001">
        <v>118</v>
      </c>
      <c r="V1001">
        <v>4818</v>
      </c>
      <c r="W1001">
        <v>4818</v>
      </c>
      <c r="X1001">
        <v>118</v>
      </c>
      <c r="Y1001">
        <v>2.5100000000000001E-2</v>
      </c>
      <c r="Z1001" t="s">
        <v>1245</v>
      </c>
      <c r="AE1001">
        <v>0</v>
      </c>
      <c r="AF1001">
        <v>4818</v>
      </c>
      <c r="AG1001">
        <v>118</v>
      </c>
      <c r="AH1001" s="143">
        <v>2.5106382978723474E-2</v>
      </c>
      <c r="AI1001">
        <v>13.6</v>
      </c>
      <c r="AJ1001">
        <v>650</v>
      </c>
      <c r="AL1001">
        <v>688</v>
      </c>
      <c r="AM1001">
        <v>74012.799999999988</v>
      </c>
      <c r="AN1001" t="s">
        <v>176</v>
      </c>
      <c r="AR1001" t="s">
        <v>276</v>
      </c>
      <c r="AS1001" t="s">
        <v>246</v>
      </c>
    </row>
    <row r="1002" spans="1:46">
      <c r="A1002" s="86" t="s">
        <v>318</v>
      </c>
      <c r="B1002">
        <v>15009547</v>
      </c>
      <c r="C1002" t="s">
        <v>1397</v>
      </c>
      <c r="D1002" t="s">
        <v>321</v>
      </c>
      <c r="E1002" t="s">
        <v>52</v>
      </c>
      <c r="F1002" t="s">
        <v>319</v>
      </c>
      <c r="G1002" t="s">
        <v>277</v>
      </c>
      <c r="H1002" t="s">
        <v>1252</v>
      </c>
      <c r="I1002">
        <v>41426</v>
      </c>
      <c r="J1002" t="s">
        <v>336</v>
      </c>
      <c r="K1002" t="s">
        <v>1387</v>
      </c>
      <c r="L1002" t="s">
        <v>324</v>
      </c>
      <c r="M1002">
        <v>6</v>
      </c>
      <c r="N1002" t="s">
        <v>176</v>
      </c>
      <c r="O1002">
        <v>4790</v>
      </c>
      <c r="P1002">
        <v>0.02</v>
      </c>
      <c r="Q1002">
        <v>96</v>
      </c>
      <c r="R1002">
        <v>5.0000000000000001E-3</v>
      </c>
      <c r="S1002">
        <v>24</v>
      </c>
      <c r="T1002">
        <v>2.5052192066805846E-2</v>
      </c>
      <c r="U1002">
        <v>120</v>
      </c>
      <c r="V1002">
        <v>4910</v>
      </c>
      <c r="W1002">
        <v>4910</v>
      </c>
      <c r="X1002">
        <v>120</v>
      </c>
      <c r="Y1002">
        <v>2.5100000000000001E-2</v>
      </c>
      <c r="Z1002" t="s">
        <v>1245</v>
      </c>
      <c r="AE1002">
        <v>0</v>
      </c>
      <c r="AF1002">
        <v>4910</v>
      </c>
      <c r="AG1002">
        <v>120</v>
      </c>
      <c r="AH1002" s="143">
        <v>2.5052192066805867E-2</v>
      </c>
      <c r="AI1002">
        <v>13.6</v>
      </c>
      <c r="AJ1002">
        <v>450</v>
      </c>
      <c r="AL1002">
        <v>688</v>
      </c>
      <c r="AM1002">
        <v>72864</v>
      </c>
      <c r="AN1002" t="s">
        <v>176</v>
      </c>
      <c r="AO1002" t="s">
        <v>490</v>
      </c>
      <c r="AR1002" t="s">
        <v>276</v>
      </c>
      <c r="AS1002" t="s">
        <v>246</v>
      </c>
    </row>
    <row r="1003" spans="1:46">
      <c r="A1003" s="86" t="s">
        <v>318</v>
      </c>
      <c r="B1003">
        <v>15001882</v>
      </c>
      <c r="C1003" t="s">
        <v>1398</v>
      </c>
      <c r="D1003" t="s">
        <v>321</v>
      </c>
      <c r="E1003" t="s">
        <v>52</v>
      </c>
      <c r="F1003" t="s">
        <v>319</v>
      </c>
      <c r="G1003" t="s">
        <v>282</v>
      </c>
      <c r="H1003" t="s">
        <v>1250</v>
      </c>
      <c r="I1003">
        <v>39657</v>
      </c>
      <c r="J1003" t="s">
        <v>361</v>
      </c>
      <c r="K1003" t="s">
        <v>1399</v>
      </c>
      <c r="L1003" t="s">
        <v>324</v>
      </c>
      <c r="M1003">
        <v>6</v>
      </c>
      <c r="N1003" t="s">
        <v>176</v>
      </c>
      <c r="O1003">
        <v>7367</v>
      </c>
      <c r="P1003">
        <v>0.02</v>
      </c>
      <c r="Q1003">
        <v>147</v>
      </c>
      <c r="R1003">
        <v>5.0000000000000001E-3</v>
      </c>
      <c r="S1003">
        <v>37</v>
      </c>
      <c r="T1003">
        <v>2.4976245418759334E-2</v>
      </c>
      <c r="U1003">
        <v>184</v>
      </c>
      <c r="V1003">
        <v>7551</v>
      </c>
      <c r="W1003">
        <v>7551</v>
      </c>
      <c r="X1003">
        <v>184</v>
      </c>
      <c r="Y1003">
        <v>2.5000000000000001E-2</v>
      </c>
      <c r="Z1003" t="s">
        <v>1245</v>
      </c>
      <c r="AE1003">
        <v>0</v>
      </c>
      <c r="AF1003">
        <v>7551</v>
      </c>
      <c r="AG1003">
        <v>184</v>
      </c>
      <c r="AH1003" s="143">
        <v>2.4976245418759424E-2</v>
      </c>
      <c r="AI1003">
        <v>13.6</v>
      </c>
      <c r="AJ1003">
        <v>450</v>
      </c>
      <c r="AL1003">
        <v>688</v>
      </c>
      <c r="AM1003">
        <v>108781.59999999999</v>
      </c>
      <c r="AN1003" t="s">
        <v>176</v>
      </c>
      <c r="AR1003" t="s">
        <v>276</v>
      </c>
      <c r="AS1003" t="s">
        <v>246</v>
      </c>
    </row>
    <row r="1004" spans="1:46">
      <c r="A1004" s="86" t="s">
        <v>318</v>
      </c>
      <c r="B1004">
        <v>15015471</v>
      </c>
      <c r="C1004" t="s">
        <v>1400</v>
      </c>
      <c r="D1004" t="s">
        <v>321</v>
      </c>
      <c r="E1004" t="s">
        <v>52</v>
      </c>
      <c r="F1004" t="s">
        <v>319</v>
      </c>
      <c r="G1004" t="s">
        <v>277</v>
      </c>
      <c r="H1004" t="s">
        <v>1252</v>
      </c>
      <c r="I1004">
        <v>42736</v>
      </c>
      <c r="J1004" t="s">
        <v>336</v>
      </c>
      <c r="K1004" t="s">
        <v>1271</v>
      </c>
      <c r="L1004" t="s">
        <v>324</v>
      </c>
      <c r="M1004">
        <v>6</v>
      </c>
      <c r="N1004" t="s">
        <v>176</v>
      </c>
      <c r="O1004">
        <v>4589</v>
      </c>
      <c r="P1004">
        <v>0.02</v>
      </c>
      <c r="Q1004">
        <v>92</v>
      </c>
      <c r="R1004">
        <v>5.0000000000000001E-3</v>
      </c>
      <c r="S1004">
        <v>23</v>
      </c>
      <c r="T1004">
        <v>2.5059925909784266E-2</v>
      </c>
      <c r="U1004">
        <v>115</v>
      </c>
      <c r="V1004">
        <v>4704</v>
      </c>
      <c r="W1004">
        <v>4704</v>
      </c>
      <c r="X1004">
        <v>115</v>
      </c>
      <c r="Y1004">
        <v>2.5100000000000001E-2</v>
      </c>
      <c r="Z1004" t="s">
        <v>1245</v>
      </c>
      <c r="AE1004">
        <v>0</v>
      </c>
      <c r="AF1004">
        <v>4704</v>
      </c>
      <c r="AG1004">
        <v>115</v>
      </c>
      <c r="AH1004" s="143">
        <v>2.5059925909784342E-2</v>
      </c>
      <c r="AI1004">
        <v>13.6</v>
      </c>
      <c r="AJ1004">
        <v>450</v>
      </c>
      <c r="AL1004">
        <v>688</v>
      </c>
      <c r="AM1004">
        <v>70062.399999999994</v>
      </c>
      <c r="AN1004" t="s">
        <v>176</v>
      </c>
      <c r="AR1004" t="s">
        <v>276</v>
      </c>
      <c r="AS1004" t="s">
        <v>246</v>
      </c>
    </row>
    <row r="1005" spans="1:46">
      <c r="A1005" s="86" t="s">
        <v>318</v>
      </c>
      <c r="B1005">
        <v>15006526</v>
      </c>
      <c r="C1005" t="s">
        <v>1401</v>
      </c>
      <c r="D1005" t="s">
        <v>360</v>
      </c>
      <c r="E1005" t="s">
        <v>52</v>
      </c>
      <c r="F1005" t="s">
        <v>319</v>
      </c>
      <c r="G1005" t="s">
        <v>1247</v>
      </c>
      <c r="H1005" t="s">
        <v>269</v>
      </c>
      <c r="I1005">
        <v>40969</v>
      </c>
      <c r="J1005" t="s">
        <v>147</v>
      </c>
      <c r="K1005" t="s">
        <v>147</v>
      </c>
      <c r="L1005" t="s">
        <v>324</v>
      </c>
      <c r="M1005">
        <v>6</v>
      </c>
      <c r="N1005" t="s">
        <v>176</v>
      </c>
      <c r="O1005">
        <v>5200</v>
      </c>
      <c r="P1005">
        <v>0.02</v>
      </c>
      <c r="Q1005">
        <v>104</v>
      </c>
      <c r="R1005">
        <v>5.0000000000000001E-3</v>
      </c>
      <c r="S1005">
        <v>26</v>
      </c>
      <c r="T1005">
        <v>2.5000000000000001E-2</v>
      </c>
      <c r="U1005">
        <v>130</v>
      </c>
      <c r="V1005">
        <v>5330</v>
      </c>
      <c r="W1005">
        <v>5480</v>
      </c>
      <c r="X1005">
        <v>280</v>
      </c>
      <c r="Y1005">
        <v>5.3800000000000001E-2</v>
      </c>
      <c r="Z1005" t="s">
        <v>1245</v>
      </c>
      <c r="AE1005">
        <v>0</v>
      </c>
      <c r="AF1005">
        <v>5480</v>
      </c>
      <c r="AG1005">
        <v>280</v>
      </c>
      <c r="AH1005" s="143">
        <v>5.3846153846153877E-2</v>
      </c>
      <c r="AI1005">
        <v>13.6</v>
      </c>
      <c r="AJ1005">
        <v>550</v>
      </c>
      <c r="AL1005">
        <v>688</v>
      </c>
      <c r="AM1005">
        <v>81816</v>
      </c>
      <c r="AN1005" t="s">
        <v>176</v>
      </c>
      <c r="AR1005" t="s">
        <v>276</v>
      </c>
      <c r="AS1005" t="s">
        <v>246</v>
      </c>
    </row>
    <row r="1006" spans="1:46">
      <c r="A1006" s="86" t="s">
        <v>318</v>
      </c>
      <c r="B1006">
        <v>15001972</v>
      </c>
      <c r="C1006" t="s">
        <v>1402</v>
      </c>
      <c r="D1006" t="s">
        <v>321</v>
      </c>
      <c r="E1006" t="s">
        <v>52</v>
      </c>
      <c r="F1006" t="s">
        <v>319</v>
      </c>
      <c r="G1006" t="s">
        <v>277</v>
      </c>
      <c r="H1006" t="s">
        <v>1252</v>
      </c>
      <c r="I1006">
        <v>39694</v>
      </c>
      <c r="J1006" t="s">
        <v>336</v>
      </c>
      <c r="K1006" t="s">
        <v>803</v>
      </c>
      <c r="L1006" t="s">
        <v>324</v>
      </c>
      <c r="M1006">
        <v>6</v>
      </c>
      <c r="N1006" t="s">
        <v>176</v>
      </c>
      <c r="O1006">
        <v>5997</v>
      </c>
      <c r="P1006">
        <v>0.02</v>
      </c>
      <c r="Q1006">
        <v>120</v>
      </c>
      <c r="R1006">
        <v>5.0000000000000001E-3</v>
      </c>
      <c r="S1006">
        <v>30</v>
      </c>
      <c r="T1006">
        <v>2.5012506253126562E-2</v>
      </c>
      <c r="U1006">
        <v>150</v>
      </c>
      <c r="V1006">
        <v>6147</v>
      </c>
      <c r="W1006">
        <v>6147</v>
      </c>
      <c r="X1006">
        <v>150</v>
      </c>
      <c r="Y1006">
        <v>2.5000000000000001E-2</v>
      </c>
      <c r="Z1006" t="s">
        <v>1245</v>
      </c>
      <c r="AE1006">
        <v>0</v>
      </c>
      <c r="AF1006">
        <v>6147</v>
      </c>
      <c r="AG1006">
        <v>150</v>
      </c>
      <c r="AH1006" s="143">
        <v>2.5012506253126565E-2</v>
      </c>
      <c r="AI1006">
        <v>13.6</v>
      </c>
      <c r="AJ1006">
        <v>650</v>
      </c>
      <c r="AL1006">
        <v>688</v>
      </c>
      <c r="AM1006">
        <v>92087.2</v>
      </c>
      <c r="AN1006" t="s">
        <v>176</v>
      </c>
      <c r="AR1006" t="s">
        <v>276</v>
      </c>
      <c r="AS1006" t="s">
        <v>246</v>
      </c>
    </row>
    <row r="1007" spans="1:46">
      <c r="A1007" s="86" t="s">
        <v>318</v>
      </c>
      <c r="B1007">
        <v>15014062</v>
      </c>
      <c r="C1007" t="s">
        <v>1403</v>
      </c>
      <c r="D1007" t="s">
        <v>321</v>
      </c>
      <c r="E1007" t="s">
        <v>52</v>
      </c>
      <c r="F1007" t="s">
        <v>319</v>
      </c>
      <c r="G1007" t="s">
        <v>277</v>
      </c>
      <c r="H1007" t="s">
        <v>1252</v>
      </c>
      <c r="I1007">
        <v>42081</v>
      </c>
      <c r="J1007" t="s">
        <v>336</v>
      </c>
      <c r="K1007" t="s">
        <v>803</v>
      </c>
      <c r="L1007" t="s">
        <v>324</v>
      </c>
      <c r="M1007">
        <v>6</v>
      </c>
      <c r="N1007" t="s">
        <v>176</v>
      </c>
      <c r="O1007">
        <v>5014</v>
      </c>
      <c r="P1007">
        <v>0.02</v>
      </c>
      <c r="Q1007">
        <v>100</v>
      </c>
      <c r="R1007">
        <v>5.0000000000000001E-3</v>
      </c>
      <c r="S1007">
        <v>25</v>
      </c>
      <c r="T1007">
        <v>2.493019545273235E-2</v>
      </c>
      <c r="U1007">
        <v>125</v>
      </c>
      <c r="V1007">
        <v>5139</v>
      </c>
      <c r="W1007">
        <v>5265</v>
      </c>
      <c r="X1007">
        <v>251</v>
      </c>
      <c r="Y1007">
        <v>5.0099999999999999E-2</v>
      </c>
      <c r="Z1007" t="s">
        <v>1245</v>
      </c>
      <c r="AE1007">
        <v>0</v>
      </c>
      <c r="AF1007">
        <v>5265</v>
      </c>
      <c r="AG1007">
        <v>251</v>
      </c>
      <c r="AH1007" s="143">
        <v>5.0059832469086629E-2</v>
      </c>
      <c r="AI1007">
        <v>13.6</v>
      </c>
      <c r="AJ1007">
        <v>650</v>
      </c>
      <c r="AL1007">
        <v>688</v>
      </c>
      <c r="AM1007">
        <v>80092</v>
      </c>
      <c r="AN1007" t="s">
        <v>176</v>
      </c>
      <c r="AR1007" t="s">
        <v>276</v>
      </c>
      <c r="AS1007" t="s">
        <v>246</v>
      </c>
    </row>
    <row r="1008" spans="1:46">
      <c r="A1008" s="86"/>
      <c r="B1008" s="5">
        <v>1001877</v>
      </c>
      <c r="C1008" s="5" t="s">
        <v>1605</v>
      </c>
      <c r="D1008" s="5" t="s">
        <v>321</v>
      </c>
      <c r="E1008" s="5" t="s">
        <v>52</v>
      </c>
      <c r="F1008" s="5" t="s">
        <v>1478</v>
      </c>
      <c r="G1008" s="5" t="s">
        <v>1499</v>
      </c>
      <c r="H1008" s="5" t="s">
        <v>1606</v>
      </c>
      <c r="I1008" s="6">
        <v>38905</v>
      </c>
      <c r="J1008" s="5" t="s">
        <v>1607</v>
      </c>
      <c r="K1008" s="5" t="s">
        <v>1608</v>
      </c>
      <c r="L1008" s="5" t="s">
        <v>324</v>
      </c>
      <c r="M1008" s="7">
        <v>6</v>
      </c>
      <c r="N1008" s="7" t="s">
        <v>176</v>
      </c>
      <c r="O1008" s="8">
        <v>4800</v>
      </c>
      <c r="P1008" s="88">
        <v>0.02</v>
      </c>
      <c r="Q1008" s="10">
        <f t="shared" ref="Q1008:Q1071" si="185">ROUND(O1008*P1008,0)</f>
        <v>96</v>
      </c>
      <c r="R1008" s="88">
        <v>5.0000000000000001E-3</v>
      </c>
      <c r="S1008" s="10">
        <f t="shared" ref="S1008:S1071" si="186">ROUND(O1008*R1008,0)</f>
        <v>24</v>
      </c>
      <c r="T1008" s="88">
        <f t="shared" ref="T1008:T1071" si="187">U1008/O1008</f>
        <v>2.5000000000000001E-2</v>
      </c>
      <c r="U1008" s="10">
        <f t="shared" ref="U1008:U1071" si="188">Q1008+S1008</f>
        <v>120</v>
      </c>
      <c r="V1008" s="10">
        <f t="shared" ref="V1008:V1071" si="189">O1008+U1008</f>
        <v>4920</v>
      </c>
      <c r="W1008" s="11">
        <v>4875</v>
      </c>
      <c r="X1008" s="12">
        <f t="shared" ref="X1008:X1071" si="190">W1008-O1008</f>
        <v>75</v>
      </c>
      <c r="Y1008" s="92">
        <f t="shared" ref="Y1008:Y1071" si="191">ROUND(W1008/O1008-1,4)</f>
        <v>1.5599999999999999E-2</v>
      </c>
      <c r="Z1008" s="93" t="str">
        <f t="shared" ref="Z1008:Z1065" si="192">IF(OR(M1008=1,M1008=2,M1008=4),TEXT(T1008*0.8,"0.00%")&amp;"-"&amp;TEXT(T1008*1.2,"0.00%"),IF(OR(M1008=3,M1008=6),TEXT(0,"0.00%")&amp;"-"&amp;TEXT(7%*1.2,"0.00%"),IF(OR(M1008=5,M1008=7),TEXT((S1008/O1008),"0.00%")&amp;"-"&amp;TEXT((S1008/O1008)+7%,"0.00%"),"")))</f>
        <v>0.00%-8.40%</v>
      </c>
      <c r="AA1008" s="15"/>
      <c r="AB1008" s="15"/>
      <c r="AC1008" s="15"/>
      <c r="AD1008" s="95"/>
      <c r="AE1008" s="8">
        <f t="shared" ref="AE1008:AE1071" si="193">ROUND(O1008*AD1008,0)</f>
        <v>0</v>
      </c>
      <c r="AF1008" s="17">
        <f t="shared" ref="AF1008:AF1071" si="194">W1008+AE1008</f>
        <v>4875</v>
      </c>
      <c r="AG1008" s="18">
        <f t="shared" ref="AG1008:AG1071" si="195">AF1008-O1008</f>
        <v>75</v>
      </c>
      <c r="AH1008" s="97">
        <f t="shared" ref="AH1008:AH1071" si="196">AF1008/O1008-1</f>
        <v>1.5625E-2</v>
      </c>
      <c r="AI1008" s="20">
        <v>13.6</v>
      </c>
      <c r="AJ1008" s="20">
        <v>750</v>
      </c>
      <c r="AK1008" s="20"/>
      <c r="AL1008" s="20">
        <v>688</v>
      </c>
      <c r="AM1008" s="20">
        <f t="shared" ref="AM1008:AM1071" si="197">AF1008*AI1008+AJ1008*12+AL1008+IF(AC1008="",AK1008,IF(AC1008="D",5000,IF(AC1008="C",1000,0)))*12</f>
        <v>75988</v>
      </c>
      <c r="AN1008" s="7" t="s">
        <v>176</v>
      </c>
      <c r="AO1008" s="20"/>
      <c r="AP1008" s="21"/>
      <c r="AQ1008" s="21"/>
      <c r="AR1008" s="5" t="s">
        <v>1490</v>
      </c>
      <c r="AS1008" s="5" t="s">
        <v>164</v>
      </c>
      <c r="AT1008" s="5" t="s">
        <v>247</v>
      </c>
    </row>
    <row r="1009" spans="1:46">
      <c r="A1009" s="86"/>
      <c r="B1009" s="5">
        <v>1002019</v>
      </c>
      <c r="C1009" s="5" t="s">
        <v>1609</v>
      </c>
      <c r="D1009" s="5" t="s">
        <v>360</v>
      </c>
      <c r="E1009" s="5" t="s">
        <v>52</v>
      </c>
      <c r="F1009" s="5" t="s">
        <v>1478</v>
      </c>
      <c r="G1009" s="5" t="s">
        <v>1494</v>
      </c>
      <c r="H1009" s="5" t="s">
        <v>1495</v>
      </c>
      <c r="I1009" s="6">
        <v>38911</v>
      </c>
      <c r="J1009" s="5" t="s">
        <v>377</v>
      </c>
      <c r="K1009" s="5" t="s">
        <v>377</v>
      </c>
      <c r="L1009" s="5" t="s">
        <v>324</v>
      </c>
      <c r="M1009" s="7">
        <v>6</v>
      </c>
      <c r="N1009" s="7" t="s">
        <v>176</v>
      </c>
      <c r="O1009" s="8">
        <v>6297</v>
      </c>
      <c r="P1009" s="88">
        <v>0.02</v>
      </c>
      <c r="Q1009" s="10">
        <f t="shared" si="185"/>
        <v>126</v>
      </c>
      <c r="R1009" s="88">
        <v>5.0000000000000001E-3</v>
      </c>
      <c r="S1009" s="10">
        <f t="shared" si="186"/>
        <v>31</v>
      </c>
      <c r="T1009" s="88">
        <f t="shared" si="187"/>
        <v>2.4932507543274574E-2</v>
      </c>
      <c r="U1009" s="10">
        <f t="shared" si="188"/>
        <v>157</v>
      </c>
      <c r="V1009" s="10">
        <f t="shared" si="189"/>
        <v>6454</v>
      </c>
      <c r="W1009" s="11">
        <v>6425</v>
      </c>
      <c r="X1009" s="12">
        <f t="shared" si="190"/>
        <v>128</v>
      </c>
      <c r="Y1009" s="92">
        <f t="shared" si="191"/>
        <v>2.0299999999999999E-2</v>
      </c>
      <c r="Z1009" s="93" t="str">
        <f t="shared" si="192"/>
        <v>0.00%-8.40%</v>
      </c>
      <c r="AA1009" s="15"/>
      <c r="AB1009" s="15"/>
      <c r="AC1009" s="15"/>
      <c r="AD1009" s="95"/>
      <c r="AE1009" s="8">
        <f t="shared" si="193"/>
        <v>0</v>
      </c>
      <c r="AF1009" s="17">
        <f t="shared" si="194"/>
        <v>6425</v>
      </c>
      <c r="AG1009" s="18">
        <f t="shared" si="195"/>
        <v>128</v>
      </c>
      <c r="AH1009" s="97">
        <f t="shared" si="196"/>
        <v>2.0327139907892589E-2</v>
      </c>
      <c r="AI1009" s="20">
        <v>13.6</v>
      </c>
      <c r="AJ1009" s="20">
        <v>750</v>
      </c>
      <c r="AK1009" s="20"/>
      <c r="AL1009" s="20">
        <v>688</v>
      </c>
      <c r="AM1009" s="20">
        <f t="shared" si="197"/>
        <v>97068</v>
      </c>
      <c r="AN1009" s="7" t="s">
        <v>176</v>
      </c>
      <c r="AO1009" s="20"/>
      <c r="AP1009" s="21"/>
      <c r="AQ1009" s="21"/>
      <c r="AR1009" s="5" t="s">
        <v>1490</v>
      </c>
      <c r="AS1009" s="5" t="s">
        <v>164</v>
      </c>
      <c r="AT1009" s="5" t="s">
        <v>247</v>
      </c>
    </row>
    <row r="1010" spans="1:46">
      <c r="A1010" s="86"/>
      <c r="B1010" s="5">
        <v>1002873</v>
      </c>
      <c r="C1010" s="5" t="s">
        <v>1610</v>
      </c>
      <c r="D1010" s="5" t="s">
        <v>321</v>
      </c>
      <c r="E1010" s="5" t="s">
        <v>52</v>
      </c>
      <c r="F1010" s="5" t="s">
        <v>1478</v>
      </c>
      <c r="G1010" s="5" t="s">
        <v>1499</v>
      </c>
      <c r="H1010" s="5" t="s">
        <v>1606</v>
      </c>
      <c r="I1010" s="6">
        <v>39577</v>
      </c>
      <c r="J1010" s="5" t="s">
        <v>1607</v>
      </c>
      <c r="K1010" s="5" t="s">
        <v>1608</v>
      </c>
      <c r="L1010" s="5" t="s">
        <v>324</v>
      </c>
      <c r="M1010" s="7">
        <v>6</v>
      </c>
      <c r="N1010" s="7" t="s">
        <v>176</v>
      </c>
      <c r="O1010" s="8">
        <v>4783</v>
      </c>
      <c r="P1010" s="88">
        <v>0.02</v>
      </c>
      <c r="Q1010" s="10">
        <f t="shared" si="185"/>
        <v>96</v>
      </c>
      <c r="R1010" s="88">
        <v>5.0000000000000001E-3</v>
      </c>
      <c r="S1010" s="10">
        <f t="shared" si="186"/>
        <v>24</v>
      </c>
      <c r="T1010" s="88">
        <f t="shared" si="187"/>
        <v>2.5088856366297305E-2</v>
      </c>
      <c r="U1010" s="10">
        <f t="shared" si="188"/>
        <v>120</v>
      </c>
      <c r="V1010" s="10">
        <f t="shared" si="189"/>
        <v>4903</v>
      </c>
      <c r="W1010" s="11">
        <v>4925</v>
      </c>
      <c r="X1010" s="12">
        <f t="shared" si="190"/>
        <v>142</v>
      </c>
      <c r="Y1010" s="92">
        <f t="shared" si="191"/>
        <v>2.9700000000000001E-2</v>
      </c>
      <c r="Z1010" s="93" t="str">
        <f t="shared" si="192"/>
        <v>0.00%-8.40%</v>
      </c>
      <c r="AA1010" s="15"/>
      <c r="AB1010" s="15"/>
      <c r="AC1010" s="15"/>
      <c r="AD1010" s="95"/>
      <c r="AE1010" s="8">
        <f t="shared" si="193"/>
        <v>0</v>
      </c>
      <c r="AF1010" s="17">
        <f t="shared" si="194"/>
        <v>4925</v>
      </c>
      <c r="AG1010" s="18">
        <f t="shared" si="195"/>
        <v>142</v>
      </c>
      <c r="AH1010" s="97">
        <f t="shared" si="196"/>
        <v>2.9688480033451814E-2</v>
      </c>
      <c r="AI1010" s="20">
        <v>13.6</v>
      </c>
      <c r="AJ1010" s="20">
        <v>750</v>
      </c>
      <c r="AK1010" s="20"/>
      <c r="AL1010" s="20">
        <v>688</v>
      </c>
      <c r="AM1010" s="20">
        <f t="shared" si="197"/>
        <v>76668</v>
      </c>
      <c r="AN1010" s="7" t="s">
        <v>176</v>
      </c>
      <c r="AO1010" s="20"/>
      <c r="AP1010" s="21"/>
      <c r="AQ1010" s="21"/>
      <c r="AR1010" s="5" t="s">
        <v>1490</v>
      </c>
      <c r="AS1010" s="5" t="s">
        <v>164</v>
      </c>
      <c r="AT1010" s="5" t="s">
        <v>247</v>
      </c>
    </row>
    <row r="1011" spans="1:46">
      <c r="A1011" s="86"/>
      <c r="B1011" s="5">
        <v>1111092</v>
      </c>
      <c r="C1011" s="5" t="s">
        <v>1611</v>
      </c>
      <c r="D1011" s="5" t="s">
        <v>321</v>
      </c>
      <c r="E1011" s="5" t="s">
        <v>52</v>
      </c>
      <c r="F1011" s="5" t="s">
        <v>1478</v>
      </c>
      <c r="G1011" s="5" t="s">
        <v>1499</v>
      </c>
      <c r="H1011" s="5" t="s">
        <v>1606</v>
      </c>
      <c r="I1011" s="6">
        <v>42993</v>
      </c>
      <c r="J1011" s="5" t="s">
        <v>1607</v>
      </c>
      <c r="K1011" s="5" t="s">
        <v>1608</v>
      </c>
      <c r="L1011" s="5" t="s">
        <v>324</v>
      </c>
      <c r="M1011" s="7">
        <v>6</v>
      </c>
      <c r="N1011" s="7" t="s">
        <v>176</v>
      </c>
      <c r="O1011" s="8">
        <v>4600</v>
      </c>
      <c r="P1011" s="88">
        <v>0.02</v>
      </c>
      <c r="Q1011" s="10">
        <f t="shared" si="185"/>
        <v>92</v>
      </c>
      <c r="R1011" s="88">
        <v>5.0000000000000001E-3</v>
      </c>
      <c r="S1011" s="10">
        <f t="shared" si="186"/>
        <v>23</v>
      </c>
      <c r="T1011" s="88">
        <f t="shared" si="187"/>
        <v>2.5000000000000001E-2</v>
      </c>
      <c r="U1011" s="10">
        <f t="shared" si="188"/>
        <v>115</v>
      </c>
      <c r="V1011" s="10">
        <f t="shared" si="189"/>
        <v>4715</v>
      </c>
      <c r="W1011" s="11">
        <v>4735</v>
      </c>
      <c r="X1011" s="12">
        <f t="shared" si="190"/>
        <v>135</v>
      </c>
      <c r="Y1011" s="92">
        <f t="shared" si="191"/>
        <v>2.93E-2</v>
      </c>
      <c r="Z1011" s="93" t="str">
        <f t="shared" si="192"/>
        <v>0.00%-8.40%</v>
      </c>
      <c r="AA1011" s="15"/>
      <c r="AB1011" s="15"/>
      <c r="AC1011" s="15"/>
      <c r="AD1011" s="95"/>
      <c r="AE1011" s="8">
        <f t="shared" si="193"/>
        <v>0</v>
      </c>
      <c r="AF1011" s="17">
        <f t="shared" si="194"/>
        <v>4735</v>
      </c>
      <c r="AG1011" s="18">
        <f t="shared" si="195"/>
        <v>135</v>
      </c>
      <c r="AH1011" s="97">
        <f t="shared" si="196"/>
        <v>2.934782608695663E-2</v>
      </c>
      <c r="AI1011" s="20">
        <v>13.6</v>
      </c>
      <c r="AJ1011" s="20">
        <v>750</v>
      </c>
      <c r="AK1011" s="20"/>
      <c r="AL1011" s="20">
        <v>688</v>
      </c>
      <c r="AM1011" s="20">
        <f t="shared" si="197"/>
        <v>74084</v>
      </c>
      <c r="AN1011" s="7" t="s">
        <v>176</v>
      </c>
      <c r="AO1011" s="20"/>
      <c r="AP1011" s="21"/>
      <c r="AQ1011" s="21"/>
      <c r="AR1011" s="5" t="s">
        <v>1490</v>
      </c>
      <c r="AS1011" s="5" t="s">
        <v>164</v>
      </c>
      <c r="AT1011" s="5" t="s">
        <v>247</v>
      </c>
    </row>
    <row r="1012" spans="1:46">
      <c r="A1012" s="86"/>
      <c r="B1012" s="5">
        <v>1213156</v>
      </c>
      <c r="C1012" s="5" t="s">
        <v>1612</v>
      </c>
      <c r="D1012" s="5" t="s">
        <v>321</v>
      </c>
      <c r="E1012" s="5" t="s">
        <v>52</v>
      </c>
      <c r="F1012" s="5" t="s">
        <v>1478</v>
      </c>
      <c r="G1012" s="5" t="s">
        <v>1499</v>
      </c>
      <c r="H1012" s="5" t="s">
        <v>1606</v>
      </c>
      <c r="I1012" s="6">
        <v>44253</v>
      </c>
      <c r="J1012" s="5" t="s">
        <v>1607</v>
      </c>
      <c r="K1012" s="5" t="s">
        <v>1608</v>
      </c>
      <c r="L1012" s="5" t="s">
        <v>324</v>
      </c>
      <c r="M1012" s="7">
        <v>6</v>
      </c>
      <c r="N1012" s="7" t="s">
        <v>176</v>
      </c>
      <c r="O1012" s="8">
        <v>4408</v>
      </c>
      <c r="P1012" s="88">
        <v>0.02</v>
      </c>
      <c r="Q1012" s="10">
        <f t="shared" si="185"/>
        <v>88</v>
      </c>
      <c r="R1012" s="88">
        <v>5.0000000000000001E-3</v>
      </c>
      <c r="S1012" s="10">
        <f t="shared" si="186"/>
        <v>22</v>
      </c>
      <c r="T1012" s="88">
        <f t="shared" si="187"/>
        <v>2.4954627949183301E-2</v>
      </c>
      <c r="U1012" s="10">
        <f t="shared" si="188"/>
        <v>110</v>
      </c>
      <c r="V1012" s="10">
        <f t="shared" si="189"/>
        <v>4518</v>
      </c>
      <c r="W1012" s="11">
        <v>4540</v>
      </c>
      <c r="X1012" s="12">
        <f t="shared" si="190"/>
        <v>132</v>
      </c>
      <c r="Y1012" s="92">
        <f t="shared" si="191"/>
        <v>2.9899999999999999E-2</v>
      </c>
      <c r="Z1012" s="93" t="str">
        <f t="shared" si="192"/>
        <v>0.00%-8.40%</v>
      </c>
      <c r="AA1012" s="15"/>
      <c r="AB1012" s="15"/>
      <c r="AC1012" s="15"/>
      <c r="AD1012" s="95"/>
      <c r="AE1012" s="8">
        <f t="shared" si="193"/>
        <v>0</v>
      </c>
      <c r="AF1012" s="17">
        <f t="shared" si="194"/>
        <v>4540</v>
      </c>
      <c r="AG1012" s="18">
        <f t="shared" si="195"/>
        <v>132</v>
      </c>
      <c r="AH1012" s="97">
        <f t="shared" si="196"/>
        <v>2.9945553539020064E-2</v>
      </c>
      <c r="AI1012" s="20">
        <v>13.6</v>
      </c>
      <c r="AJ1012" s="20">
        <v>750</v>
      </c>
      <c r="AK1012" s="20"/>
      <c r="AL1012" s="20">
        <v>688</v>
      </c>
      <c r="AM1012" s="20">
        <f t="shared" si="197"/>
        <v>71432</v>
      </c>
      <c r="AN1012" s="7" t="s">
        <v>176</v>
      </c>
      <c r="AO1012" s="20"/>
      <c r="AP1012" s="21"/>
      <c r="AQ1012" s="21"/>
      <c r="AR1012" s="5" t="s">
        <v>1490</v>
      </c>
      <c r="AS1012" s="5" t="s">
        <v>164</v>
      </c>
      <c r="AT1012" s="5" t="s">
        <v>247</v>
      </c>
    </row>
    <row r="1013" spans="1:46">
      <c r="A1013" s="86"/>
      <c r="B1013" s="5">
        <v>1213160</v>
      </c>
      <c r="C1013" s="5" t="s">
        <v>1613</v>
      </c>
      <c r="D1013" s="5" t="s">
        <v>321</v>
      </c>
      <c r="E1013" s="5" t="s">
        <v>52</v>
      </c>
      <c r="F1013" s="5" t="s">
        <v>1478</v>
      </c>
      <c r="G1013" s="5" t="s">
        <v>1499</v>
      </c>
      <c r="H1013" s="5" t="s">
        <v>1606</v>
      </c>
      <c r="I1013" s="6">
        <v>44279</v>
      </c>
      <c r="J1013" s="5" t="s">
        <v>1607</v>
      </c>
      <c r="K1013" s="5" t="s">
        <v>1608</v>
      </c>
      <c r="L1013" s="5" t="s">
        <v>324</v>
      </c>
      <c r="M1013" s="7">
        <v>6</v>
      </c>
      <c r="N1013" s="7" t="s">
        <v>176</v>
      </c>
      <c r="O1013" s="8">
        <v>4311</v>
      </c>
      <c r="P1013" s="88">
        <v>0.02</v>
      </c>
      <c r="Q1013" s="10">
        <f t="shared" si="185"/>
        <v>86</v>
      </c>
      <c r="R1013" s="88">
        <v>5.0000000000000001E-3</v>
      </c>
      <c r="S1013" s="10">
        <f t="shared" si="186"/>
        <v>22</v>
      </c>
      <c r="T1013" s="88">
        <f t="shared" si="187"/>
        <v>2.5052192066805846E-2</v>
      </c>
      <c r="U1013" s="10">
        <f t="shared" si="188"/>
        <v>108</v>
      </c>
      <c r="V1013" s="10">
        <f t="shared" si="189"/>
        <v>4419</v>
      </c>
      <c r="W1013" s="11">
        <f t="shared" ref="W1013:W1019" si="198">V1013</f>
        <v>4419</v>
      </c>
      <c r="X1013" s="12">
        <f t="shared" si="190"/>
        <v>108</v>
      </c>
      <c r="Y1013" s="92">
        <f t="shared" si="191"/>
        <v>2.5100000000000001E-2</v>
      </c>
      <c r="Z1013" s="93" t="str">
        <f t="shared" si="192"/>
        <v>0.00%-8.40%</v>
      </c>
      <c r="AA1013" s="15"/>
      <c r="AB1013" s="15"/>
      <c r="AC1013" s="15"/>
      <c r="AD1013" s="95"/>
      <c r="AE1013" s="8">
        <f t="shared" si="193"/>
        <v>0</v>
      </c>
      <c r="AF1013" s="17">
        <f t="shared" si="194"/>
        <v>4419</v>
      </c>
      <c r="AG1013" s="18">
        <f t="shared" si="195"/>
        <v>108</v>
      </c>
      <c r="AH1013" s="97">
        <f t="shared" si="196"/>
        <v>2.5052192066805867E-2</v>
      </c>
      <c r="AI1013" s="20">
        <v>13.6</v>
      </c>
      <c r="AJ1013" s="20">
        <v>750</v>
      </c>
      <c r="AK1013" s="20"/>
      <c r="AL1013" s="20">
        <v>688</v>
      </c>
      <c r="AM1013" s="20">
        <f t="shared" si="197"/>
        <v>69786.399999999994</v>
      </c>
      <c r="AN1013" s="7" t="s">
        <v>176</v>
      </c>
      <c r="AO1013" s="20"/>
      <c r="AP1013" s="21"/>
      <c r="AQ1013" s="21"/>
      <c r="AR1013" s="5" t="s">
        <v>1490</v>
      </c>
      <c r="AS1013" s="5" t="s">
        <v>164</v>
      </c>
      <c r="AT1013" s="5" t="s">
        <v>247</v>
      </c>
    </row>
    <row r="1014" spans="1:46">
      <c r="A1014" s="86"/>
      <c r="B1014" s="5">
        <v>1213162</v>
      </c>
      <c r="C1014" s="5" t="s">
        <v>1614</v>
      </c>
      <c r="D1014" s="5" t="s">
        <v>321</v>
      </c>
      <c r="E1014" s="5" t="s">
        <v>52</v>
      </c>
      <c r="F1014" s="5" t="s">
        <v>1478</v>
      </c>
      <c r="G1014" s="5" t="s">
        <v>1499</v>
      </c>
      <c r="H1014" s="5" t="s">
        <v>1606</v>
      </c>
      <c r="I1014" s="6">
        <v>44347</v>
      </c>
      <c r="J1014" s="5" t="s">
        <v>1607</v>
      </c>
      <c r="K1014" s="5" t="s">
        <v>1608</v>
      </c>
      <c r="L1014" s="5" t="s">
        <v>324</v>
      </c>
      <c r="M1014" s="7">
        <v>6</v>
      </c>
      <c r="N1014" s="7" t="s">
        <v>176</v>
      </c>
      <c r="O1014" s="8">
        <v>4288</v>
      </c>
      <c r="P1014" s="88">
        <v>0.02</v>
      </c>
      <c r="Q1014" s="10">
        <f t="shared" si="185"/>
        <v>86</v>
      </c>
      <c r="R1014" s="88">
        <v>5.0000000000000001E-3</v>
      </c>
      <c r="S1014" s="10">
        <f t="shared" si="186"/>
        <v>21</v>
      </c>
      <c r="T1014" s="88">
        <f t="shared" si="187"/>
        <v>2.4953358208955223E-2</v>
      </c>
      <c r="U1014" s="10">
        <f t="shared" si="188"/>
        <v>107</v>
      </c>
      <c r="V1014" s="10">
        <f t="shared" si="189"/>
        <v>4395</v>
      </c>
      <c r="W1014" s="11">
        <v>4375</v>
      </c>
      <c r="X1014" s="12">
        <f t="shared" si="190"/>
        <v>87</v>
      </c>
      <c r="Y1014" s="92">
        <f t="shared" si="191"/>
        <v>2.0299999999999999E-2</v>
      </c>
      <c r="Z1014" s="93" t="str">
        <f t="shared" si="192"/>
        <v>0.00%-8.40%</v>
      </c>
      <c r="AA1014" s="15"/>
      <c r="AB1014" s="15"/>
      <c r="AC1014" s="15"/>
      <c r="AD1014" s="95"/>
      <c r="AE1014" s="8">
        <f t="shared" si="193"/>
        <v>0</v>
      </c>
      <c r="AF1014" s="17">
        <f t="shared" si="194"/>
        <v>4375</v>
      </c>
      <c r="AG1014" s="18">
        <f t="shared" si="195"/>
        <v>87</v>
      </c>
      <c r="AH1014" s="97">
        <f t="shared" si="196"/>
        <v>2.0289179104477695E-2</v>
      </c>
      <c r="AI1014" s="20">
        <v>13.6</v>
      </c>
      <c r="AJ1014" s="20">
        <v>750</v>
      </c>
      <c r="AK1014" s="20"/>
      <c r="AL1014" s="20">
        <v>688</v>
      </c>
      <c r="AM1014" s="20">
        <f t="shared" si="197"/>
        <v>69188</v>
      </c>
      <c r="AN1014" s="7" t="s">
        <v>176</v>
      </c>
      <c r="AO1014" s="20"/>
      <c r="AP1014" s="21"/>
      <c r="AQ1014" s="21"/>
      <c r="AR1014" s="5" t="s">
        <v>1490</v>
      </c>
      <c r="AS1014" s="5" t="s">
        <v>164</v>
      </c>
      <c r="AT1014" s="5" t="s">
        <v>247</v>
      </c>
    </row>
    <row r="1015" spans="1:46">
      <c r="A1015" s="86"/>
      <c r="B1015" s="5">
        <v>1710068</v>
      </c>
      <c r="C1015" s="5" t="s">
        <v>1615</v>
      </c>
      <c r="D1015" s="5" t="s">
        <v>360</v>
      </c>
      <c r="E1015" s="5" t="s">
        <v>52</v>
      </c>
      <c r="F1015" s="5" t="s">
        <v>1478</v>
      </c>
      <c r="G1015" s="5" t="s">
        <v>1494</v>
      </c>
      <c r="H1015" s="5" t="s">
        <v>1495</v>
      </c>
      <c r="I1015" s="6">
        <v>41460</v>
      </c>
      <c r="J1015" s="5" t="s">
        <v>1607</v>
      </c>
      <c r="K1015" s="5" t="s">
        <v>1608</v>
      </c>
      <c r="L1015" s="5" t="s">
        <v>324</v>
      </c>
      <c r="M1015" s="7">
        <v>6</v>
      </c>
      <c r="N1015" s="7" t="s">
        <v>176</v>
      </c>
      <c r="O1015" s="8">
        <v>4853</v>
      </c>
      <c r="P1015" s="88">
        <v>0.02</v>
      </c>
      <c r="Q1015" s="10">
        <f t="shared" si="185"/>
        <v>97</v>
      </c>
      <c r="R1015" s="88">
        <v>5.0000000000000001E-3</v>
      </c>
      <c r="S1015" s="10">
        <f t="shared" si="186"/>
        <v>24</v>
      </c>
      <c r="T1015" s="88">
        <f t="shared" si="187"/>
        <v>2.4933031114774365E-2</v>
      </c>
      <c r="U1015" s="10">
        <f t="shared" si="188"/>
        <v>121</v>
      </c>
      <c r="V1015" s="10">
        <f t="shared" si="189"/>
        <v>4974</v>
      </c>
      <c r="W1015" s="11">
        <f t="shared" si="198"/>
        <v>4974</v>
      </c>
      <c r="X1015" s="12">
        <f t="shared" si="190"/>
        <v>121</v>
      </c>
      <c r="Y1015" s="92">
        <f t="shared" si="191"/>
        <v>2.4899999999999999E-2</v>
      </c>
      <c r="Z1015" s="93" t="str">
        <f t="shared" si="192"/>
        <v>0.00%-8.40%</v>
      </c>
      <c r="AA1015" s="15"/>
      <c r="AB1015" s="15"/>
      <c r="AC1015" s="15"/>
      <c r="AD1015" s="95"/>
      <c r="AE1015" s="8">
        <f t="shared" si="193"/>
        <v>0</v>
      </c>
      <c r="AF1015" s="17">
        <f t="shared" si="194"/>
        <v>4974</v>
      </c>
      <c r="AG1015" s="18">
        <f t="shared" si="195"/>
        <v>121</v>
      </c>
      <c r="AH1015" s="97">
        <f t="shared" si="196"/>
        <v>2.4933031114774407E-2</v>
      </c>
      <c r="AI1015" s="20">
        <v>13.6</v>
      </c>
      <c r="AJ1015" s="20">
        <v>900</v>
      </c>
      <c r="AK1015" s="20"/>
      <c r="AL1015" s="20">
        <v>688</v>
      </c>
      <c r="AM1015" s="20">
        <f t="shared" si="197"/>
        <v>79134.399999999994</v>
      </c>
      <c r="AN1015" s="7" t="s">
        <v>176</v>
      </c>
      <c r="AO1015" s="20"/>
      <c r="AP1015" s="21"/>
      <c r="AQ1015" s="21"/>
      <c r="AR1015" s="5" t="s">
        <v>1490</v>
      </c>
      <c r="AS1015" s="5" t="s">
        <v>164</v>
      </c>
      <c r="AT1015" s="5" t="s">
        <v>247</v>
      </c>
    </row>
    <row r="1016" spans="1:46">
      <c r="A1016" s="86"/>
      <c r="B1016" s="5">
        <v>1711026</v>
      </c>
      <c r="C1016" s="5" t="s">
        <v>1616</v>
      </c>
      <c r="D1016" s="5" t="s">
        <v>321</v>
      </c>
      <c r="E1016" s="5" t="s">
        <v>52</v>
      </c>
      <c r="F1016" s="5" t="s">
        <v>1478</v>
      </c>
      <c r="G1016" s="5" t="s">
        <v>1499</v>
      </c>
      <c r="H1016" s="5" t="s">
        <v>1606</v>
      </c>
      <c r="I1016" s="6">
        <v>41814</v>
      </c>
      <c r="J1016" s="5" t="s">
        <v>1607</v>
      </c>
      <c r="K1016" s="5" t="s">
        <v>1608</v>
      </c>
      <c r="L1016" s="5" t="s">
        <v>324</v>
      </c>
      <c r="M1016" s="7">
        <v>6</v>
      </c>
      <c r="N1016" s="7" t="s">
        <v>176</v>
      </c>
      <c r="O1016" s="8">
        <v>4718</v>
      </c>
      <c r="P1016" s="88">
        <v>0.02</v>
      </c>
      <c r="Q1016" s="10">
        <f t="shared" si="185"/>
        <v>94</v>
      </c>
      <c r="R1016" s="88">
        <v>5.0000000000000001E-3</v>
      </c>
      <c r="S1016" s="10">
        <f t="shared" si="186"/>
        <v>24</v>
      </c>
      <c r="T1016" s="88">
        <f t="shared" si="187"/>
        <v>2.5010597710894446E-2</v>
      </c>
      <c r="U1016" s="10">
        <f t="shared" si="188"/>
        <v>118</v>
      </c>
      <c r="V1016" s="10">
        <f t="shared" si="189"/>
        <v>4836</v>
      </c>
      <c r="W1016" s="11">
        <f t="shared" si="198"/>
        <v>4836</v>
      </c>
      <c r="X1016" s="12">
        <f t="shared" si="190"/>
        <v>118</v>
      </c>
      <c r="Y1016" s="92">
        <f t="shared" si="191"/>
        <v>2.5000000000000001E-2</v>
      </c>
      <c r="Z1016" s="93" t="str">
        <f t="shared" si="192"/>
        <v>0.00%-8.40%</v>
      </c>
      <c r="AA1016" s="15"/>
      <c r="AB1016" s="15"/>
      <c r="AC1016" s="15"/>
      <c r="AD1016" s="95"/>
      <c r="AE1016" s="8">
        <f t="shared" si="193"/>
        <v>0</v>
      </c>
      <c r="AF1016" s="17">
        <f t="shared" si="194"/>
        <v>4836</v>
      </c>
      <c r="AG1016" s="18">
        <f t="shared" si="195"/>
        <v>118</v>
      </c>
      <c r="AH1016" s="97">
        <f t="shared" si="196"/>
        <v>2.5010597710894533E-2</v>
      </c>
      <c r="AI1016" s="20">
        <v>13.6</v>
      </c>
      <c r="AJ1016" s="20">
        <v>750</v>
      </c>
      <c r="AK1016" s="20"/>
      <c r="AL1016" s="20">
        <v>688</v>
      </c>
      <c r="AM1016" s="20">
        <f t="shared" si="197"/>
        <v>75457.599999999991</v>
      </c>
      <c r="AN1016" s="7" t="s">
        <v>176</v>
      </c>
      <c r="AO1016" s="20"/>
      <c r="AP1016" s="21"/>
      <c r="AQ1016" s="21"/>
      <c r="AR1016" s="5" t="s">
        <v>1490</v>
      </c>
      <c r="AS1016" s="5" t="s">
        <v>164</v>
      </c>
      <c r="AT1016" s="5" t="s">
        <v>247</v>
      </c>
    </row>
    <row r="1017" spans="1:46">
      <c r="A1017" s="86"/>
      <c r="B1017" s="5">
        <v>1714021</v>
      </c>
      <c r="C1017" s="5" t="s">
        <v>1617</v>
      </c>
      <c r="D1017" s="5" t="s">
        <v>321</v>
      </c>
      <c r="E1017" s="5" t="s">
        <v>52</v>
      </c>
      <c r="F1017" s="5" t="s">
        <v>1478</v>
      </c>
      <c r="G1017" s="5" t="s">
        <v>1499</v>
      </c>
      <c r="H1017" s="5" t="s">
        <v>1606</v>
      </c>
      <c r="I1017" s="6">
        <v>42917</v>
      </c>
      <c r="J1017" s="5" t="s">
        <v>279</v>
      </c>
      <c r="K1017" s="5" t="s">
        <v>279</v>
      </c>
      <c r="L1017" s="5" t="s">
        <v>324</v>
      </c>
      <c r="M1017" s="7">
        <v>6</v>
      </c>
      <c r="N1017" s="7" t="s">
        <v>176</v>
      </c>
      <c r="O1017" s="8">
        <v>5350</v>
      </c>
      <c r="P1017" s="88">
        <v>0.02</v>
      </c>
      <c r="Q1017" s="10">
        <f t="shared" si="185"/>
        <v>107</v>
      </c>
      <c r="R1017" s="88">
        <v>5.0000000000000001E-3</v>
      </c>
      <c r="S1017" s="10">
        <f t="shared" si="186"/>
        <v>27</v>
      </c>
      <c r="T1017" s="88">
        <f t="shared" si="187"/>
        <v>2.5046728971962615E-2</v>
      </c>
      <c r="U1017" s="10">
        <f t="shared" si="188"/>
        <v>134</v>
      </c>
      <c r="V1017" s="10">
        <f t="shared" si="189"/>
        <v>5484</v>
      </c>
      <c r="W1017" s="11">
        <f t="shared" si="198"/>
        <v>5484</v>
      </c>
      <c r="X1017" s="12">
        <f t="shared" si="190"/>
        <v>134</v>
      </c>
      <c r="Y1017" s="92">
        <f t="shared" si="191"/>
        <v>2.5000000000000001E-2</v>
      </c>
      <c r="Z1017" s="93" t="str">
        <f t="shared" si="192"/>
        <v>0.00%-8.40%</v>
      </c>
      <c r="AA1017" s="15"/>
      <c r="AB1017" s="15"/>
      <c r="AC1017" s="15"/>
      <c r="AD1017" s="95"/>
      <c r="AE1017" s="8">
        <f t="shared" si="193"/>
        <v>0</v>
      </c>
      <c r="AF1017" s="17">
        <f t="shared" si="194"/>
        <v>5484</v>
      </c>
      <c r="AG1017" s="18">
        <f t="shared" si="195"/>
        <v>134</v>
      </c>
      <c r="AH1017" s="97">
        <f t="shared" si="196"/>
        <v>2.5046728971962695E-2</v>
      </c>
      <c r="AI1017" s="20">
        <v>13.6</v>
      </c>
      <c r="AJ1017" s="20">
        <v>850</v>
      </c>
      <c r="AK1017" s="20"/>
      <c r="AL1017" s="20">
        <v>688</v>
      </c>
      <c r="AM1017" s="20">
        <f t="shared" si="197"/>
        <v>85470.399999999994</v>
      </c>
      <c r="AN1017" s="7" t="s">
        <v>176</v>
      </c>
      <c r="AO1017" s="20"/>
      <c r="AP1017" s="21"/>
      <c r="AQ1017" s="21"/>
      <c r="AR1017" s="5" t="s">
        <v>1490</v>
      </c>
      <c r="AS1017" s="5" t="s">
        <v>164</v>
      </c>
      <c r="AT1017" s="5" t="s">
        <v>247</v>
      </c>
    </row>
    <row r="1018" spans="1:46">
      <c r="A1018" s="86"/>
      <c r="B1018" s="5">
        <v>1717005</v>
      </c>
      <c r="C1018" s="5" t="s">
        <v>1618</v>
      </c>
      <c r="D1018" s="5" t="s">
        <v>360</v>
      </c>
      <c r="E1018" s="5" t="s">
        <v>52</v>
      </c>
      <c r="F1018" s="5" t="s">
        <v>1478</v>
      </c>
      <c r="G1018" s="5" t="s">
        <v>1494</v>
      </c>
      <c r="H1018" s="5" t="s">
        <v>1495</v>
      </c>
      <c r="I1018" s="6">
        <v>44044</v>
      </c>
      <c r="J1018" s="5" t="s">
        <v>1619</v>
      </c>
      <c r="K1018" s="5" t="s">
        <v>1619</v>
      </c>
      <c r="L1018" s="5" t="s">
        <v>324</v>
      </c>
      <c r="M1018" s="7">
        <v>6</v>
      </c>
      <c r="N1018" s="7" t="s">
        <v>176</v>
      </c>
      <c r="O1018" s="8">
        <v>4392</v>
      </c>
      <c r="P1018" s="88">
        <v>0.02</v>
      </c>
      <c r="Q1018" s="10">
        <f t="shared" si="185"/>
        <v>88</v>
      </c>
      <c r="R1018" s="88">
        <v>5.0000000000000001E-3</v>
      </c>
      <c r="S1018" s="10">
        <f t="shared" si="186"/>
        <v>22</v>
      </c>
      <c r="T1018" s="88">
        <f t="shared" si="187"/>
        <v>2.5045537340619307E-2</v>
      </c>
      <c r="U1018" s="10">
        <f t="shared" si="188"/>
        <v>110</v>
      </c>
      <c r="V1018" s="10">
        <f t="shared" si="189"/>
        <v>4502</v>
      </c>
      <c r="W1018" s="11">
        <v>4531</v>
      </c>
      <c r="X1018" s="12">
        <f t="shared" si="190"/>
        <v>139</v>
      </c>
      <c r="Y1018" s="92">
        <f t="shared" si="191"/>
        <v>3.1600000000000003E-2</v>
      </c>
      <c r="Z1018" s="93" t="str">
        <f t="shared" si="192"/>
        <v>0.00%-8.40%</v>
      </c>
      <c r="AA1018" s="15"/>
      <c r="AB1018" s="15"/>
      <c r="AC1018" s="15"/>
      <c r="AD1018" s="95"/>
      <c r="AE1018" s="8">
        <f t="shared" si="193"/>
        <v>0</v>
      </c>
      <c r="AF1018" s="17">
        <f t="shared" si="194"/>
        <v>4531</v>
      </c>
      <c r="AG1018" s="18">
        <f t="shared" si="195"/>
        <v>139</v>
      </c>
      <c r="AH1018" s="97">
        <f t="shared" si="196"/>
        <v>3.1648451730418969E-2</v>
      </c>
      <c r="AI1018" s="20">
        <v>13.6</v>
      </c>
      <c r="AJ1018" s="20">
        <v>750</v>
      </c>
      <c r="AK1018" s="20"/>
      <c r="AL1018" s="20">
        <v>688</v>
      </c>
      <c r="AM1018" s="20">
        <f t="shared" si="197"/>
        <v>71309.600000000006</v>
      </c>
      <c r="AN1018" s="7" t="s">
        <v>176</v>
      </c>
      <c r="AO1018" s="20"/>
      <c r="AP1018" s="21"/>
      <c r="AQ1018" s="21"/>
      <c r="AR1018" s="5" t="s">
        <v>1490</v>
      </c>
      <c r="AS1018" s="5" t="s">
        <v>164</v>
      </c>
      <c r="AT1018" s="5" t="s">
        <v>247</v>
      </c>
    </row>
    <row r="1019" spans="1:46">
      <c r="A1019" s="86"/>
      <c r="B1019" s="5">
        <v>1718002</v>
      </c>
      <c r="C1019" s="5" t="s">
        <v>1620</v>
      </c>
      <c r="D1019" s="5" t="s">
        <v>360</v>
      </c>
      <c r="E1019" s="5" t="s">
        <v>52</v>
      </c>
      <c r="F1019" s="5" t="s">
        <v>1478</v>
      </c>
      <c r="G1019" s="5" t="s">
        <v>1494</v>
      </c>
      <c r="H1019" s="5" t="s">
        <v>1495</v>
      </c>
      <c r="I1019" s="6">
        <v>44409</v>
      </c>
      <c r="J1019" s="5" t="s">
        <v>377</v>
      </c>
      <c r="K1019" s="5" t="s">
        <v>377</v>
      </c>
      <c r="L1019" s="5" t="s">
        <v>324</v>
      </c>
      <c r="M1019" s="7">
        <v>6</v>
      </c>
      <c r="N1019" s="7" t="s">
        <v>176</v>
      </c>
      <c r="O1019" s="8">
        <v>4661</v>
      </c>
      <c r="P1019" s="88">
        <v>0.02</v>
      </c>
      <c r="Q1019" s="10">
        <f t="shared" si="185"/>
        <v>93</v>
      </c>
      <c r="R1019" s="88">
        <v>5.0000000000000001E-3</v>
      </c>
      <c r="S1019" s="10">
        <f t="shared" si="186"/>
        <v>23</v>
      </c>
      <c r="T1019" s="88">
        <f t="shared" si="187"/>
        <v>2.4887363226775368E-2</v>
      </c>
      <c r="U1019" s="10">
        <f t="shared" si="188"/>
        <v>116</v>
      </c>
      <c r="V1019" s="10">
        <f t="shared" si="189"/>
        <v>4777</v>
      </c>
      <c r="W1019" s="11">
        <f t="shared" si="198"/>
        <v>4777</v>
      </c>
      <c r="X1019" s="12">
        <f t="shared" si="190"/>
        <v>116</v>
      </c>
      <c r="Y1019" s="92">
        <f t="shared" si="191"/>
        <v>2.4899999999999999E-2</v>
      </c>
      <c r="Z1019" s="93" t="str">
        <f t="shared" si="192"/>
        <v>0.00%-8.40%</v>
      </c>
      <c r="AA1019" s="15"/>
      <c r="AB1019" s="15"/>
      <c r="AC1019" s="15"/>
      <c r="AD1019" s="95"/>
      <c r="AE1019" s="8">
        <f t="shared" si="193"/>
        <v>0</v>
      </c>
      <c r="AF1019" s="17">
        <f t="shared" si="194"/>
        <v>4777</v>
      </c>
      <c r="AG1019" s="18">
        <f t="shared" si="195"/>
        <v>116</v>
      </c>
      <c r="AH1019" s="97">
        <f t="shared" si="196"/>
        <v>2.4887363226775427E-2</v>
      </c>
      <c r="AI1019" s="20">
        <v>13.6</v>
      </c>
      <c r="AJ1019" s="20">
        <v>750</v>
      </c>
      <c r="AK1019" s="20"/>
      <c r="AL1019" s="20">
        <v>688</v>
      </c>
      <c r="AM1019" s="20">
        <f t="shared" si="197"/>
        <v>74655.199999999997</v>
      </c>
      <c r="AN1019" s="7" t="s">
        <v>176</v>
      </c>
      <c r="AO1019" s="20"/>
      <c r="AP1019" s="21"/>
      <c r="AQ1019" s="21"/>
      <c r="AR1019" s="5" t="s">
        <v>1490</v>
      </c>
      <c r="AS1019" s="5" t="s">
        <v>164</v>
      </c>
      <c r="AT1019" s="5" t="s">
        <v>247</v>
      </c>
    </row>
    <row r="1020" spans="1:46">
      <c r="A1020" s="86"/>
      <c r="B1020" s="5">
        <v>1719009</v>
      </c>
      <c r="C1020" s="5" t="s">
        <v>1621</v>
      </c>
      <c r="D1020" s="5" t="s">
        <v>321</v>
      </c>
      <c r="E1020" s="5" t="s">
        <v>52</v>
      </c>
      <c r="F1020" s="5" t="s">
        <v>1478</v>
      </c>
      <c r="G1020" s="5" t="s">
        <v>1499</v>
      </c>
      <c r="H1020" s="5" t="s">
        <v>1606</v>
      </c>
      <c r="I1020" s="6">
        <v>44774</v>
      </c>
      <c r="J1020" s="5" t="s">
        <v>1607</v>
      </c>
      <c r="K1020" s="5" t="s">
        <v>1608</v>
      </c>
      <c r="L1020" s="5" t="s">
        <v>324</v>
      </c>
      <c r="M1020" s="7">
        <v>6</v>
      </c>
      <c r="N1020" s="7" t="s">
        <v>176</v>
      </c>
      <c r="O1020" s="8">
        <v>4238</v>
      </c>
      <c r="P1020" s="88">
        <v>0.02</v>
      </c>
      <c r="Q1020" s="10">
        <f t="shared" si="185"/>
        <v>85</v>
      </c>
      <c r="R1020" s="88">
        <v>5.0000000000000001E-3</v>
      </c>
      <c r="S1020" s="10">
        <f t="shared" si="186"/>
        <v>21</v>
      </c>
      <c r="T1020" s="88">
        <f t="shared" si="187"/>
        <v>2.5011798017932987E-2</v>
      </c>
      <c r="U1020" s="10">
        <f t="shared" si="188"/>
        <v>106</v>
      </c>
      <c r="V1020" s="10">
        <f t="shared" si="189"/>
        <v>4344</v>
      </c>
      <c r="W1020" s="11">
        <v>4345</v>
      </c>
      <c r="X1020" s="12">
        <f t="shared" si="190"/>
        <v>107</v>
      </c>
      <c r="Y1020" s="92">
        <f t="shared" si="191"/>
        <v>2.52E-2</v>
      </c>
      <c r="Z1020" s="93" t="str">
        <f t="shared" si="192"/>
        <v>0.00%-8.40%</v>
      </c>
      <c r="AA1020" s="15"/>
      <c r="AB1020" s="15"/>
      <c r="AC1020" s="15"/>
      <c r="AD1020" s="95"/>
      <c r="AE1020" s="8">
        <f t="shared" si="193"/>
        <v>0</v>
      </c>
      <c r="AF1020" s="17">
        <f t="shared" si="194"/>
        <v>4345</v>
      </c>
      <c r="AG1020" s="18">
        <f t="shared" si="195"/>
        <v>107</v>
      </c>
      <c r="AH1020" s="97">
        <f t="shared" si="196"/>
        <v>2.5247758376592655E-2</v>
      </c>
      <c r="AI1020" s="20">
        <v>13.6</v>
      </c>
      <c r="AJ1020" s="20">
        <v>750</v>
      </c>
      <c r="AK1020" s="20"/>
      <c r="AL1020" s="20">
        <v>688</v>
      </c>
      <c r="AM1020" s="20">
        <f t="shared" si="197"/>
        <v>68780</v>
      </c>
      <c r="AN1020" s="7" t="s">
        <v>176</v>
      </c>
      <c r="AO1020" s="20"/>
      <c r="AP1020" s="21"/>
      <c r="AQ1020" s="21"/>
      <c r="AR1020" s="5" t="s">
        <v>1490</v>
      </c>
      <c r="AS1020" s="5" t="s">
        <v>164</v>
      </c>
      <c r="AT1020" s="5" t="s">
        <v>247</v>
      </c>
    </row>
    <row r="1021" spans="1:46">
      <c r="A1021" s="86"/>
      <c r="B1021" s="5">
        <v>1001571</v>
      </c>
      <c r="C1021" s="5" t="s">
        <v>1622</v>
      </c>
      <c r="D1021" s="5" t="s">
        <v>321</v>
      </c>
      <c r="E1021" s="5" t="s">
        <v>52</v>
      </c>
      <c r="F1021" s="5" t="s">
        <v>1478</v>
      </c>
      <c r="G1021" s="5" t="s">
        <v>1529</v>
      </c>
      <c r="H1021" s="5" t="s">
        <v>1623</v>
      </c>
      <c r="I1021" s="6">
        <v>38764</v>
      </c>
      <c r="J1021" s="5" t="s">
        <v>1607</v>
      </c>
      <c r="K1021" s="5" t="s">
        <v>1608</v>
      </c>
      <c r="L1021" s="5" t="s">
        <v>324</v>
      </c>
      <c r="M1021" s="7">
        <v>6</v>
      </c>
      <c r="N1021" s="7" t="s">
        <v>176</v>
      </c>
      <c r="O1021" s="8">
        <v>5000</v>
      </c>
      <c r="P1021" s="121">
        <v>0.02</v>
      </c>
      <c r="Q1021" s="10">
        <f t="shared" si="185"/>
        <v>100</v>
      </c>
      <c r="R1021" s="121">
        <v>5.0000000000000001E-3</v>
      </c>
      <c r="S1021" s="10">
        <f t="shared" si="186"/>
        <v>25</v>
      </c>
      <c r="T1021" s="121">
        <f t="shared" si="187"/>
        <v>2.5000000000000001E-2</v>
      </c>
      <c r="U1021" s="10">
        <f t="shared" si="188"/>
        <v>125</v>
      </c>
      <c r="V1021" s="10">
        <f t="shared" si="189"/>
        <v>5125</v>
      </c>
      <c r="W1021" s="11">
        <f t="shared" ref="W1021:W1045" si="199">V1021</f>
        <v>5125</v>
      </c>
      <c r="X1021" s="12">
        <f t="shared" si="190"/>
        <v>125</v>
      </c>
      <c r="Y1021" s="122">
        <f t="shared" si="191"/>
        <v>2.5000000000000001E-2</v>
      </c>
      <c r="Z1021" s="123" t="str">
        <f t="shared" si="192"/>
        <v>0.00%-8.40%</v>
      </c>
      <c r="AA1021" s="15"/>
      <c r="AB1021" s="15"/>
      <c r="AC1021" s="15"/>
      <c r="AD1021" s="124"/>
      <c r="AE1021" s="8">
        <f t="shared" si="193"/>
        <v>0</v>
      </c>
      <c r="AF1021" s="17">
        <f t="shared" si="194"/>
        <v>5125</v>
      </c>
      <c r="AG1021" s="18">
        <f t="shared" si="195"/>
        <v>125</v>
      </c>
      <c r="AH1021" s="125">
        <f t="shared" si="196"/>
        <v>2.4999999999999911E-2</v>
      </c>
      <c r="AI1021" s="20">
        <v>13.6</v>
      </c>
      <c r="AJ1021" s="20">
        <v>750</v>
      </c>
      <c r="AK1021" s="20"/>
      <c r="AL1021" s="20">
        <v>688</v>
      </c>
      <c r="AM1021" s="20">
        <f t="shared" si="197"/>
        <v>79388</v>
      </c>
      <c r="AN1021" s="7" t="s">
        <v>176</v>
      </c>
      <c r="AO1021" s="20"/>
      <c r="AP1021" s="21"/>
      <c r="AQ1021" s="21"/>
      <c r="AR1021" s="5" t="s">
        <v>1504</v>
      </c>
      <c r="AS1021" s="5" t="s">
        <v>164</v>
      </c>
      <c r="AT1021" s="5" t="s">
        <v>59</v>
      </c>
    </row>
    <row r="1022" spans="1:46">
      <c r="A1022" s="86"/>
      <c r="B1022" s="5">
        <v>1001644</v>
      </c>
      <c r="C1022" s="5" t="s">
        <v>1031</v>
      </c>
      <c r="D1022" s="5" t="s">
        <v>321</v>
      </c>
      <c r="E1022" s="5" t="s">
        <v>52</v>
      </c>
      <c r="F1022" s="5" t="s">
        <v>1478</v>
      </c>
      <c r="G1022" s="5" t="s">
        <v>1529</v>
      </c>
      <c r="H1022" s="5" t="s">
        <v>1623</v>
      </c>
      <c r="I1022" s="6">
        <v>38828</v>
      </c>
      <c r="J1022" s="5" t="s">
        <v>1607</v>
      </c>
      <c r="K1022" s="5" t="s">
        <v>1608</v>
      </c>
      <c r="L1022" s="5" t="s">
        <v>324</v>
      </c>
      <c r="M1022" s="7">
        <v>6</v>
      </c>
      <c r="N1022" s="7" t="s">
        <v>176</v>
      </c>
      <c r="O1022" s="8">
        <v>4980</v>
      </c>
      <c r="P1022" s="121">
        <v>0.02</v>
      </c>
      <c r="Q1022" s="10">
        <f t="shared" si="185"/>
        <v>100</v>
      </c>
      <c r="R1022" s="121">
        <v>5.0000000000000001E-3</v>
      </c>
      <c r="S1022" s="10">
        <f t="shared" si="186"/>
        <v>25</v>
      </c>
      <c r="T1022" s="121">
        <f t="shared" si="187"/>
        <v>2.5100401606425703E-2</v>
      </c>
      <c r="U1022" s="10">
        <f t="shared" si="188"/>
        <v>125</v>
      </c>
      <c r="V1022" s="10">
        <f t="shared" si="189"/>
        <v>5105</v>
      </c>
      <c r="W1022" s="11">
        <f t="shared" si="199"/>
        <v>5105</v>
      </c>
      <c r="X1022" s="12">
        <f t="shared" si="190"/>
        <v>125</v>
      </c>
      <c r="Y1022" s="122">
        <f t="shared" si="191"/>
        <v>2.5100000000000001E-2</v>
      </c>
      <c r="Z1022" s="123" t="str">
        <f t="shared" si="192"/>
        <v>0.00%-8.40%</v>
      </c>
      <c r="AA1022" s="15"/>
      <c r="AB1022" s="15"/>
      <c r="AC1022" s="15"/>
      <c r="AD1022" s="124"/>
      <c r="AE1022" s="8">
        <f t="shared" si="193"/>
        <v>0</v>
      </c>
      <c r="AF1022" s="17">
        <f t="shared" si="194"/>
        <v>5105</v>
      </c>
      <c r="AG1022" s="18">
        <f t="shared" si="195"/>
        <v>125</v>
      </c>
      <c r="AH1022" s="125">
        <f t="shared" si="196"/>
        <v>2.5100401606425793E-2</v>
      </c>
      <c r="AI1022" s="20">
        <v>13.6</v>
      </c>
      <c r="AJ1022" s="20">
        <v>750</v>
      </c>
      <c r="AK1022" s="20"/>
      <c r="AL1022" s="20">
        <v>688</v>
      </c>
      <c r="AM1022" s="20">
        <f t="shared" si="197"/>
        <v>79116</v>
      </c>
      <c r="AN1022" s="7" t="s">
        <v>176</v>
      </c>
      <c r="AO1022" s="20"/>
      <c r="AP1022" s="21"/>
      <c r="AQ1022" s="21"/>
      <c r="AR1022" s="5" t="s">
        <v>1504</v>
      </c>
      <c r="AS1022" s="5" t="s">
        <v>164</v>
      </c>
      <c r="AT1022" s="5" t="s">
        <v>59</v>
      </c>
    </row>
    <row r="1023" spans="1:46">
      <c r="A1023" s="86"/>
      <c r="B1023" s="5">
        <v>1002074</v>
      </c>
      <c r="C1023" s="5" t="s">
        <v>1624</v>
      </c>
      <c r="D1023" s="5" t="s">
        <v>321</v>
      </c>
      <c r="E1023" s="5" t="s">
        <v>52</v>
      </c>
      <c r="F1023" s="5" t="s">
        <v>1478</v>
      </c>
      <c r="G1023" s="5" t="s">
        <v>1529</v>
      </c>
      <c r="H1023" s="5" t="s">
        <v>1623</v>
      </c>
      <c r="I1023" s="6">
        <v>38926</v>
      </c>
      <c r="J1023" s="5" t="s">
        <v>1607</v>
      </c>
      <c r="K1023" s="5" t="s">
        <v>1608</v>
      </c>
      <c r="L1023" s="5" t="s">
        <v>324</v>
      </c>
      <c r="M1023" s="7">
        <v>6</v>
      </c>
      <c r="N1023" s="7" t="s">
        <v>176</v>
      </c>
      <c r="O1023" s="8">
        <v>4710</v>
      </c>
      <c r="P1023" s="121">
        <v>0.02</v>
      </c>
      <c r="Q1023" s="10">
        <f t="shared" si="185"/>
        <v>94</v>
      </c>
      <c r="R1023" s="121">
        <v>5.0000000000000001E-3</v>
      </c>
      <c r="S1023" s="10">
        <f t="shared" si="186"/>
        <v>24</v>
      </c>
      <c r="T1023" s="121">
        <f t="shared" si="187"/>
        <v>2.5053078556263271E-2</v>
      </c>
      <c r="U1023" s="10">
        <f t="shared" si="188"/>
        <v>118</v>
      </c>
      <c r="V1023" s="10">
        <f t="shared" si="189"/>
        <v>4828</v>
      </c>
      <c r="W1023" s="11">
        <f t="shared" si="199"/>
        <v>4828</v>
      </c>
      <c r="X1023" s="12">
        <f t="shared" si="190"/>
        <v>118</v>
      </c>
      <c r="Y1023" s="122">
        <f t="shared" si="191"/>
        <v>2.5100000000000001E-2</v>
      </c>
      <c r="Z1023" s="123" t="str">
        <f t="shared" si="192"/>
        <v>0.00%-8.40%</v>
      </c>
      <c r="AA1023" s="15"/>
      <c r="AB1023" s="15"/>
      <c r="AC1023" s="15"/>
      <c r="AD1023" s="124"/>
      <c r="AE1023" s="8">
        <f t="shared" si="193"/>
        <v>0</v>
      </c>
      <c r="AF1023" s="17">
        <f t="shared" si="194"/>
        <v>4828</v>
      </c>
      <c r="AG1023" s="18">
        <f t="shared" si="195"/>
        <v>118</v>
      </c>
      <c r="AH1023" s="125">
        <f t="shared" si="196"/>
        <v>2.5053078556263264E-2</v>
      </c>
      <c r="AI1023" s="20">
        <v>13.6</v>
      </c>
      <c r="AJ1023" s="20">
        <v>750</v>
      </c>
      <c r="AK1023" s="20"/>
      <c r="AL1023" s="20">
        <v>688</v>
      </c>
      <c r="AM1023" s="20">
        <f t="shared" si="197"/>
        <v>75348.800000000003</v>
      </c>
      <c r="AN1023" s="7" t="s">
        <v>176</v>
      </c>
      <c r="AO1023" s="20"/>
      <c r="AP1023" s="21"/>
      <c r="AQ1023" s="21"/>
      <c r="AR1023" s="5" t="s">
        <v>1504</v>
      </c>
      <c r="AS1023" s="5" t="s">
        <v>164</v>
      </c>
      <c r="AT1023" s="5" t="s">
        <v>59</v>
      </c>
    </row>
    <row r="1024" spans="1:46">
      <c r="A1024" s="86"/>
      <c r="B1024" s="5">
        <v>1002321</v>
      </c>
      <c r="C1024" s="5" t="s">
        <v>1432</v>
      </c>
      <c r="D1024" s="5" t="s">
        <v>321</v>
      </c>
      <c r="E1024" s="5" t="s">
        <v>52</v>
      </c>
      <c r="F1024" s="5" t="s">
        <v>1478</v>
      </c>
      <c r="G1024" s="5" t="s">
        <v>1529</v>
      </c>
      <c r="H1024" s="5" t="s">
        <v>1623</v>
      </c>
      <c r="I1024" s="6">
        <v>39160</v>
      </c>
      <c r="J1024" s="5" t="s">
        <v>1607</v>
      </c>
      <c r="K1024" s="5" t="s">
        <v>1608</v>
      </c>
      <c r="L1024" s="5" t="s">
        <v>324</v>
      </c>
      <c r="M1024" s="7">
        <v>6</v>
      </c>
      <c r="N1024" s="7" t="s">
        <v>176</v>
      </c>
      <c r="O1024" s="8">
        <v>4710</v>
      </c>
      <c r="P1024" s="121">
        <v>0.02</v>
      </c>
      <c r="Q1024" s="10">
        <f t="shared" si="185"/>
        <v>94</v>
      </c>
      <c r="R1024" s="121">
        <v>5.0000000000000001E-3</v>
      </c>
      <c r="S1024" s="10">
        <f t="shared" si="186"/>
        <v>24</v>
      </c>
      <c r="T1024" s="121">
        <f t="shared" si="187"/>
        <v>2.5053078556263271E-2</v>
      </c>
      <c r="U1024" s="10">
        <f t="shared" si="188"/>
        <v>118</v>
      </c>
      <c r="V1024" s="10">
        <f t="shared" si="189"/>
        <v>4828</v>
      </c>
      <c r="W1024" s="11">
        <f t="shared" si="199"/>
        <v>4828</v>
      </c>
      <c r="X1024" s="12">
        <f t="shared" si="190"/>
        <v>118</v>
      </c>
      <c r="Y1024" s="122">
        <f t="shared" si="191"/>
        <v>2.5100000000000001E-2</v>
      </c>
      <c r="Z1024" s="123" t="str">
        <f t="shared" si="192"/>
        <v>0.00%-8.40%</v>
      </c>
      <c r="AA1024" s="15"/>
      <c r="AB1024" s="15"/>
      <c r="AC1024" s="15"/>
      <c r="AD1024" s="124"/>
      <c r="AE1024" s="8">
        <f t="shared" si="193"/>
        <v>0</v>
      </c>
      <c r="AF1024" s="17">
        <f t="shared" si="194"/>
        <v>4828</v>
      </c>
      <c r="AG1024" s="18">
        <f t="shared" si="195"/>
        <v>118</v>
      </c>
      <c r="AH1024" s="125">
        <f t="shared" si="196"/>
        <v>2.5053078556263264E-2</v>
      </c>
      <c r="AI1024" s="20">
        <v>13.6</v>
      </c>
      <c r="AJ1024" s="20">
        <v>750</v>
      </c>
      <c r="AK1024" s="20"/>
      <c r="AL1024" s="20">
        <v>688</v>
      </c>
      <c r="AM1024" s="20">
        <f t="shared" si="197"/>
        <v>75348.800000000003</v>
      </c>
      <c r="AN1024" s="7" t="s">
        <v>176</v>
      </c>
      <c r="AO1024" s="20"/>
      <c r="AP1024" s="21"/>
      <c r="AQ1024" s="21"/>
      <c r="AR1024" s="5" t="s">
        <v>1504</v>
      </c>
      <c r="AS1024" s="5" t="s">
        <v>164</v>
      </c>
      <c r="AT1024" s="5" t="s">
        <v>59</v>
      </c>
    </row>
    <row r="1025" spans="1:46">
      <c r="A1025" s="86"/>
      <c r="B1025" s="5">
        <v>1005435</v>
      </c>
      <c r="C1025" s="5" t="s">
        <v>1625</v>
      </c>
      <c r="D1025" s="5" t="s">
        <v>321</v>
      </c>
      <c r="E1025" s="5" t="s">
        <v>52</v>
      </c>
      <c r="F1025" s="5" t="s">
        <v>1478</v>
      </c>
      <c r="G1025" s="5" t="s">
        <v>1529</v>
      </c>
      <c r="H1025" s="5" t="s">
        <v>1623</v>
      </c>
      <c r="I1025" s="6">
        <v>40297</v>
      </c>
      <c r="J1025" s="5" t="s">
        <v>1607</v>
      </c>
      <c r="K1025" s="5" t="s">
        <v>1608</v>
      </c>
      <c r="L1025" s="5" t="s">
        <v>324</v>
      </c>
      <c r="M1025" s="7">
        <v>6</v>
      </c>
      <c r="N1025" s="7" t="s">
        <v>176</v>
      </c>
      <c r="O1025" s="8">
        <v>4800</v>
      </c>
      <c r="P1025" s="121">
        <v>0.02</v>
      </c>
      <c r="Q1025" s="10">
        <f t="shared" si="185"/>
        <v>96</v>
      </c>
      <c r="R1025" s="121">
        <v>5.0000000000000001E-3</v>
      </c>
      <c r="S1025" s="10">
        <f t="shared" si="186"/>
        <v>24</v>
      </c>
      <c r="T1025" s="121">
        <f t="shared" si="187"/>
        <v>2.5000000000000001E-2</v>
      </c>
      <c r="U1025" s="10">
        <f t="shared" si="188"/>
        <v>120</v>
      </c>
      <c r="V1025" s="10">
        <f t="shared" si="189"/>
        <v>4920</v>
      </c>
      <c r="W1025" s="11">
        <f t="shared" si="199"/>
        <v>4920</v>
      </c>
      <c r="X1025" s="12">
        <f t="shared" si="190"/>
        <v>120</v>
      </c>
      <c r="Y1025" s="122">
        <f t="shared" si="191"/>
        <v>2.5000000000000001E-2</v>
      </c>
      <c r="Z1025" s="123" t="str">
        <f t="shared" si="192"/>
        <v>0.00%-8.40%</v>
      </c>
      <c r="AA1025" s="15"/>
      <c r="AB1025" s="15"/>
      <c r="AC1025" s="15"/>
      <c r="AD1025" s="124"/>
      <c r="AE1025" s="8">
        <f t="shared" si="193"/>
        <v>0</v>
      </c>
      <c r="AF1025" s="17">
        <f t="shared" si="194"/>
        <v>4920</v>
      </c>
      <c r="AG1025" s="18">
        <f t="shared" si="195"/>
        <v>120</v>
      </c>
      <c r="AH1025" s="125">
        <f t="shared" si="196"/>
        <v>2.4999999999999911E-2</v>
      </c>
      <c r="AI1025" s="20">
        <v>13.6</v>
      </c>
      <c r="AJ1025" s="20">
        <v>750</v>
      </c>
      <c r="AK1025" s="20"/>
      <c r="AL1025" s="20">
        <v>688</v>
      </c>
      <c r="AM1025" s="20">
        <f t="shared" si="197"/>
        <v>76600</v>
      </c>
      <c r="AN1025" s="7" t="s">
        <v>176</v>
      </c>
      <c r="AO1025" s="20"/>
      <c r="AP1025" s="21"/>
      <c r="AQ1025" s="21"/>
      <c r="AR1025" s="5" t="s">
        <v>1504</v>
      </c>
      <c r="AS1025" s="5" t="s">
        <v>164</v>
      </c>
      <c r="AT1025" s="5" t="s">
        <v>59</v>
      </c>
    </row>
    <row r="1026" spans="1:46">
      <c r="A1026" s="86"/>
      <c r="B1026" s="5">
        <v>1111623</v>
      </c>
      <c r="C1026" s="5" t="s">
        <v>1626</v>
      </c>
      <c r="D1026" s="5" t="s">
        <v>321</v>
      </c>
      <c r="E1026" s="5" t="s">
        <v>52</v>
      </c>
      <c r="F1026" s="5" t="s">
        <v>1478</v>
      </c>
      <c r="G1026" s="5" t="s">
        <v>1529</v>
      </c>
      <c r="H1026" s="5" t="s">
        <v>1623</v>
      </c>
      <c r="I1026" s="6">
        <v>44477</v>
      </c>
      <c r="J1026" s="5" t="s">
        <v>1607</v>
      </c>
      <c r="K1026" s="5" t="s">
        <v>1608</v>
      </c>
      <c r="L1026" s="5" t="s">
        <v>324</v>
      </c>
      <c r="M1026" s="7">
        <v>6</v>
      </c>
      <c r="N1026" s="7" t="s">
        <v>176</v>
      </c>
      <c r="O1026" s="8">
        <v>4300</v>
      </c>
      <c r="P1026" s="121">
        <v>0.02</v>
      </c>
      <c r="Q1026" s="10">
        <f t="shared" si="185"/>
        <v>86</v>
      </c>
      <c r="R1026" s="121">
        <v>5.0000000000000001E-3</v>
      </c>
      <c r="S1026" s="10">
        <f t="shared" si="186"/>
        <v>22</v>
      </c>
      <c r="T1026" s="121">
        <f t="shared" si="187"/>
        <v>2.5116279069767444E-2</v>
      </c>
      <c r="U1026" s="10">
        <f t="shared" si="188"/>
        <v>108</v>
      </c>
      <c r="V1026" s="10">
        <f t="shared" si="189"/>
        <v>4408</v>
      </c>
      <c r="W1026" s="11">
        <f t="shared" si="199"/>
        <v>4408</v>
      </c>
      <c r="X1026" s="12">
        <f t="shared" si="190"/>
        <v>108</v>
      </c>
      <c r="Y1026" s="122">
        <f t="shared" si="191"/>
        <v>2.5100000000000001E-2</v>
      </c>
      <c r="Z1026" s="123" t="str">
        <f t="shared" si="192"/>
        <v>0.00%-8.40%</v>
      </c>
      <c r="AA1026" s="15"/>
      <c r="AB1026" s="15"/>
      <c r="AC1026" s="15"/>
      <c r="AD1026" s="124"/>
      <c r="AE1026" s="8">
        <f t="shared" si="193"/>
        <v>0</v>
      </c>
      <c r="AF1026" s="17">
        <f t="shared" si="194"/>
        <v>4408</v>
      </c>
      <c r="AG1026" s="18">
        <f t="shared" si="195"/>
        <v>108</v>
      </c>
      <c r="AH1026" s="125">
        <f t="shared" si="196"/>
        <v>2.5116279069767433E-2</v>
      </c>
      <c r="AI1026" s="20">
        <v>13.6</v>
      </c>
      <c r="AJ1026" s="20">
        <v>750</v>
      </c>
      <c r="AK1026" s="20"/>
      <c r="AL1026" s="20">
        <v>688</v>
      </c>
      <c r="AM1026" s="20">
        <f t="shared" si="197"/>
        <v>69636.799999999988</v>
      </c>
      <c r="AN1026" s="7" t="s">
        <v>176</v>
      </c>
      <c r="AO1026" s="20"/>
      <c r="AP1026" s="21"/>
      <c r="AQ1026" s="21"/>
      <c r="AR1026" s="5" t="s">
        <v>1504</v>
      </c>
      <c r="AS1026" s="5" t="s">
        <v>164</v>
      </c>
      <c r="AT1026" s="5" t="s">
        <v>59</v>
      </c>
    </row>
    <row r="1027" spans="1:46">
      <c r="A1027" s="86"/>
      <c r="B1027" s="5">
        <v>1117135</v>
      </c>
      <c r="C1027" s="5" t="s">
        <v>1627</v>
      </c>
      <c r="D1027" s="5" t="s">
        <v>321</v>
      </c>
      <c r="E1027" s="5" t="s">
        <v>52</v>
      </c>
      <c r="F1027" s="5" t="s">
        <v>1478</v>
      </c>
      <c r="G1027" s="5" t="s">
        <v>1529</v>
      </c>
      <c r="H1027" s="5" t="s">
        <v>1623</v>
      </c>
      <c r="I1027" s="6">
        <v>37459</v>
      </c>
      <c r="J1027" s="5" t="s">
        <v>480</v>
      </c>
      <c r="K1027" s="5" t="s">
        <v>480</v>
      </c>
      <c r="L1027" s="5" t="s">
        <v>324</v>
      </c>
      <c r="M1027" s="7">
        <v>6</v>
      </c>
      <c r="N1027" s="7" t="s">
        <v>176</v>
      </c>
      <c r="O1027" s="8">
        <v>6890</v>
      </c>
      <c r="P1027" s="121">
        <v>0.02</v>
      </c>
      <c r="Q1027" s="10">
        <f t="shared" si="185"/>
        <v>138</v>
      </c>
      <c r="R1027" s="121">
        <v>5.0000000000000001E-3</v>
      </c>
      <c r="S1027" s="10">
        <f t="shared" si="186"/>
        <v>34</v>
      </c>
      <c r="T1027" s="121">
        <f t="shared" si="187"/>
        <v>2.4963715529753266E-2</v>
      </c>
      <c r="U1027" s="10">
        <f t="shared" si="188"/>
        <v>172</v>
      </c>
      <c r="V1027" s="10">
        <f t="shared" si="189"/>
        <v>7062</v>
      </c>
      <c r="W1027" s="11">
        <f t="shared" si="199"/>
        <v>7062</v>
      </c>
      <c r="X1027" s="12">
        <f t="shared" si="190"/>
        <v>172</v>
      </c>
      <c r="Y1027" s="122">
        <f t="shared" si="191"/>
        <v>2.5000000000000001E-2</v>
      </c>
      <c r="Z1027" s="123" t="str">
        <f t="shared" si="192"/>
        <v>0.00%-8.40%</v>
      </c>
      <c r="AA1027" s="15"/>
      <c r="AB1027" s="15"/>
      <c r="AC1027" s="15"/>
      <c r="AD1027" s="124"/>
      <c r="AE1027" s="8">
        <f t="shared" si="193"/>
        <v>0</v>
      </c>
      <c r="AF1027" s="17">
        <f t="shared" si="194"/>
        <v>7062</v>
      </c>
      <c r="AG1027" s="18">
        <f t="shared" si="195"/>
        <v>172</v>
      </c>
      <c r="AH1027" s="125">
        <f t="shared" si="196"/>
        <v>2.4963715529753294E-2</v>
      </c>
      <c r="AI1027" s="20">
        <v>13.6</v>
      </c>
      <c r="AJ1027" s="20">
        <v>450</v>
      </c>
      <c r="AK1027" s="20"/>
      <c r="AL1027" s="20">
        <v>688</v>
      </c>
      <c r="AM1027" s="20">
        <f t="shared" si="197"/>
        <v>102131.2</v>
      </c>
      <c r="AN1027" s="7" t="s">
        <v>176</v>
      </c>
      <c r="AO1027" s="20"/>
      <c r="AP1027" s="21"/>
      <c r="AQ1027" s="21"/>
      <c r="AR1027" s="5" t="s">
        <v>1504</v>
      </c>
      <c r="AS1027" s="5" t="s">
        <v>164</v>
      </c>
      <c r="AT1027" s="5" t="s">
        <v>59</v>
      </c>
    </row>
    <row r="1028" spans="1:46">
      <c r="A1028" s="86"/>
      <c r="B1028" s="5">
        <v>1117189</v>
      </c>
      <c r="C1028" s="5" t="s">
        <v>1628</v>
      </c>
      <c r="D1028" s="5" t="s">
        <v>321</v>
      </c>
      <c r="E1028" s="5" t="s">
        <v>52</v>
      </c>
      <c r="F1028" s="5" t="s">
        <v>1478</v>
      </c>
      <c r="G1028" s="5" t="s">
        <v>1529</v>
      </c>
      <c r="H1028" s="5" t="s">
        <v>1623</v>
      </c>
      <c r="I1028" s="6">
        <v>38201</v>
      </c>
      <c r="J1028" s="5" t="s">
        <v>480</v>
      </c>
      <c r="K1028" s="5" t="s">
        <v>480</v>
      </c>
      <c r="L1028" s="5" t="s">
        <v>324</v>
      </c>
      <c r="M1028" s="7">
        <v>6</v>
      </c>
      <c r="N1028" s="7" t="s">
        <v>176</v>
      </c>
      <c r="O1028" s="8">
        <v>6830</v>
      </c>
      <c r="P1028" s="121">
        <v>0.02</v>
      </c>
      <c r="Q1028" s="10">
        <f t="shared" si="185"/>
        <v>137</v>
      </c>
      <c r="R1028" s="121">
        <v>5.0000000000000001E-3</v>
      </c>
      <c r="S1028" s="10">
        <f t="shared" si="186"/>
        <v>34</v>
      </c>
      <c r="T1028" s="121">
        <f t="shared" si="187"/>
        <v>2.5036603221083455E-2</v>
      </c>
      <c r="U1028" s="10">
        <f t="shared" si="188"/>
        <v>171</v>
      </c>
      <c r="V1028" s="10">
        <f t="shared" si="189"/>
        <v>7001</v>
      </c>
      <c r="W1028" s="11">
        <f t="shared" si="199"/>
        <v>7001</v>
      </c>
      <c r="X1028" s="12">
        <f t="shared" si="190"/>
        <v>171</v>
      </c>
      <c r="Y1028" s="122">
        <f t="shared" si="191"/>
        <v>2.5000000000000001E-2</v>
      </c>
      <c r="Z1028" s="123" t="str">
        <f t="shared" si="192"/>
        <v>0.00%-8.40%</v>
      </c>
      <c r="AA1028" s="15"/>
      <c r="AB1028" s="15"/>
      <c r="AC1028" s="15"/>
      <c r="AD1028" s="124"/>
      <c r="AE1028" s="8">
        <f t="shared" si="193"/>
        <v>0</v>
      </c>
      <c r="AF1028" s="17">
        <f t="shared" si="194"/>
        <v>7001</v>
      </c>
      <c r="AG1028" s="18">
        <f t="shared" si="195"/>
        <v>171</v>
      </c>
      <c r="AH1028" s="125">
        <f t="shared" si="196"/>
        <v>2.5036603221083364E-2</v>
      </c>
      <c r="AI1028" s="20">
        <v>13.6</v>
      </c>
      <c r="AJ1028" s="20">
        <v>500</v>
      </c>
      <c r="AK1028" s="20"/>
      <c r="AL1028" s="20">
        <v>688</v>
      </c>
      <c r="AM1028" s="20">
        <f t="shared" si="197"/>
        <v>101901.59999999999</v>
      </c>
      <c r="AN1028" s="7" t="s">
        <v>176</v>
      </c>
      <c r="AO1028" s="20"/>
      <c r="AP1028" s="21"/>
      <c r="AQ1028" s="21"/>
      <c r="AR1028" s="5" t="s">
        <v>1504</v>
      </c>
      <c r="AS1028" s="5" t="s">
        <v>164</v>
      </c>
      <c r="AT1028" s="5" t="s">
        <v>59</v>
      </c>
    </row>
    <row r="1029" spans="1:46">
      <c r="A1029" s="86"/>
      <c r="B1029" s="5">
        <v>1118312</v>
      </c>
      <c r="C1029" s="5" t="s">
        <v>1629</v>
      </c>
      <c r="D1029" s="5" t="s">
        <v>321</v>
      </c>
      <c r="E1029" s="5" t="s">
        <v>52</v>
      </c>
      <c r="F1029" s="5" t="s">
        <v>1478</v>
      </c>
      <c r="G1029" s="5" t="s">
        <v>1529</v>
      </c>
      <c r="H1029" s="5" t="s">
        <v>1623</v>
      </c>
      <c r="I1029" s="6">
        <v>39295</v>
      </c>
      <c r="J1029" s="5" t="s">
        <v>1607</v>
      </c>
      <c r="K1029" s="5" t="s">
        <v>1608</v>
      </c>
      <c r="L1029" s="5" t="s">
        <v>324</v>
      </c>
      <c r="M1029" s="7">
        <v>6</v>
      </c>
      <c r="N1029" s="7" t="s">
        <v>176</v>
      </c>
      <c r="O1029" s="8">
        <v>5200</v>
      </c>
      <c r="P1029" s="121">
        <v>0.02</v>
      </c>
      <c r="Q1029" s="10">
        <f t="shared" si="185"/>
        <v>104</v>
      </c>
      <c r="R1029" s="121">
        <v>5.0000000000000001E-3</v>
      </c>
      <c r="S1029" s="10">
        <f t="shared" si="186"/>
        <v>26</v>
      </c>
      <c r="T1029" s="121">
        <f t="shared" si="187"/>
        <v>2.5000000000000001E-2</v>
      </c>
      <c r="U1029" s="10">
        <f t="shared" si="188"/>
        <v>130</v>
      </c>
      <c r="V1029" s="10">
        <f t="shared" si="189"/>
        <v>5330</v>
      </c>
      <c r="W1029" s="11">
        <f t="shared" si="199"/>
        <v>5330</v>
      </c>
      <c r="X1029" s="12">
        <f t="shared" si="190"/>
        <v>130</v>
      </c>
      <c r="Y1029" s="122">
        <f t="shared" si="191"/>
        <v>2.5000000000000001E-2</v>
      </c>
      <c r="Z1029" s="123" t="str">
        <f t="shared" si="192"/>
        <v>0.00%-8.40%</v>
      </c>
      <c r="AA1029" s="15"/>
      <c r="AB1029" s="15"/>
      <c r="AC1029" s="15"/>
      <c r="AD1029" s="124"/>
      <c r="AE1029" s="8">
        <f t="shared" si="193"/>
        <v>0</v>
      </c>
      <c r="AF1029" s="17">
        <f t="shared" si="194"/>
        <v>5330</v>
      </c>
      <c r="AG1029" s="18">
        <f t="shared" si="195"/>
        <v>130</v>
      </c>
      <c r="AH1029" s="125">
        <f t="shared" si="196"/>
        <v>2.4999999999999911E-2</v>
      </c>
      <c r="AI1029" s="20">
        <v>13.6</v>
      </c>
      <c r="AJ1029" s="20">
        <v>750</v>
      </c>
      <c r="AK1029" s="20"/>
      <c r="AL1029" s="20">
        <v>688</v>
      </c>
      <c r="AM1029" s="20">
        <f t="shared" si="197"/>
        <v>82176</v>
      </c>
      <c r="AN1029" s="7" t="s">
        <v>176</v>
      </c>
      <c r="AO1029" s="20"/>
      <c r="AP1029" s="21"/>
      <c r="AQ1029" s="21"/>
      <c r="AR1029" s="5" t="s">
        <v>1504</v>
      </c>
      <c r="AS1029" s="5" t="s">
        <v>164</v>
      </c>
      <c r="AT1029" s="5" t="s">
        <v>59</v>
      </c>
    </row>
    <row r="1030" spans="1:46">
      <c r="A1030" s="86"/>
      <c r="B1030" s="5">
        <v>1213134</v>
      </c>
      <c r="C1030" s="5" t="s">
        <v>1630</v>
      </c>
      <c r="D1030" s="5" t="s">
        <v>321</v>
      </c>
      <c r="E1030" s="5" t="s">
        <v>52</v>
      </c>
      <c r="F1030" s="5" t="s">
        <v>1478</v>
      </c>
      <c r="G1030" s="5" t="s">
        <v>1529</v>
      </c>
      <c r="H1030" s="5" t="s">
        <v>1623</v>
      </c>
      <c r="I1030" s="6">
        <v>39461</v>
      </c>
      <c r="J1030" s="5" t="s">
        <v>1607</v>
      </c>
      <c r="K1030" s="5" t="s">
        <v>1608</v>
      </c>
      <c r="L1030" s="5" t="s">
        <v>324</v>
      </c>
      <c r="M1030" s="7">
        <v>6</v>
      </c>
      <c r="N1030" s="7" t="s">
        <v>176</v>
      </c>
      <c r="O1030" s="8">
        <v>4780</v>
      </c>
      <c r="P1030" s="121">
        <v>0.02</v>
      </c>
      <c r="Q1030" s="10">
        <f t="shared" si="185"/>
        <v>96</v>
      </c>
      <c r="R1030" s="121">
        <v>5.0000000000000001E-3</v>
      </c>
      <c r="S1030" s="10">
        <f t="shared" si="186"/>
        <v>24</v>
      </c>
      <c r="T1030" s="121">
        <f t="shared" si="187"/>
        <v>2.5104602510460251E-2</v>
      </c>
      <c r="U1030" s="10">
        <f t="shared" si="188"/>
        <v>120</v>
      </c>
      <c r="V1030" s="10">
        <f t="shared" si="189"/>
        <v>4900</v>
      </c>
      <c r="W1030" s="11">
        <f t="shared" si="199"/>
        <v>4900</v>
      </c>
      <c r="X1030" s="12">
        <f t="shared" si="190"/>
        <v>120</v>
      </c>
      <c r="Y1030" s="122">
        <f t="shared" si="191"/>
        <v>2.5100000000000001E-2</v>
      </c>
      <c r="Z1030" s="123" t="str">
        <f t="shared" si="192"/>
        <v>0.00%-8.40%</v>
      </c>
      <c r="AA1030" s="15"/>
      <c r="AB1030" s="15"/>
      <c r="AC1030" s="15"/>
      <c r="AD1030" s="124"/>
      <c r="AE1030" s="8">
        <f t="shared" si="193"/>
        <v>0</v>
      </c>
      <c r="AF1030" s="17">
        <f t="shared" si="194"/>
        <v>4900</v>
      </c>
      <c r="AG1030" s="18">
        <f t="shared" si="195"/>
        <v>120</v>
      </c>
      <c r="AH1030" s="125">
        <f t="shared" si="196"/>
        <v>2.5104602510460206E-2</v>
      </c>
      <c r="AI1030" s="20">
        <v>13.6</v>
      </c>
      <c r="AJ1030" s="20">
        <v>750</v>
      </c>
      <c r="AK1030" s="20"/>
      <c r="AL1030" s="20">
        <v>688</v>
      </c>
      <c r="AM1030" s="20">
        <f t="shared" si="197"/>
        <v>76328</v>
      </c>
      <c r="AN1030" s="7" t="s">
        <v>176</v>
      </c>
      <c r="AO1030" s="20"/>
      <c r="AP1030" s="21"/>
      <c r="AQ1030" s="21"/>
      <c r="AR1030" s="5" t="s">
        <v>1504</v>
      </c>
      <c r="AS1030" s="5" t="s">
        <v>164</v>
      </c>
      <c r="AT1030" s="5" t="s">
        <v>59</v>
      </c>
    </row>
    <row r="1031" spans="1:46">
      <c r="A1031" s="86"/>
      <c r="B1031" s="5">
        <v>1213142</v>
      </c>
      <c r="C1031" s="5" t="s">
        <v>1631</v>
      </c>
      <c r="D1031" s="5" t="s">
        <v>321</v>
      </c>
      <c r="E1031" s="5" t="s">
        <v>52</v>
      </c>
      <c r="F1031" s="5" t="s">
        <v>1478</v>
      </c>
      <c r="G1031" s="5" t="s">
        <v>1529</v>
      </c>
      <c r="H1031" s="5" t="s">
        <v>1623</v>
      </c>
      <c r="I1031" s="6">
        <v>39608</v>
      </c>
      <c r="J1031" s="5" t="s">
        <v>1607</v>
      </c>
      <c r="K1031" s="5" t="s">
        <v>1608</v>
      </c>
      <c r="L1031" s="5" t="s">
        <v>324</v>
      </c>
      <c r="M1031" s="7">
        <v>6</v>
      </c>
      <c r="N1031" s="7" t="s">
        <v>176</v>
      </c>
      <c r="O1031" s="8">
        <v>6420</v>
      </c>
      <c r="P1031" s="121">
        <v>0.02</v>
      </c>
      <c r="Q1031" s="10">
        <f t="shared" si="185"/>
        <v>128</v>
      </c>
      <c r="R1031" s="121">
        <v>5.0000000000000001E-3</v>
      </c>
      <c r="S1031" s="10">
        <f t="shared" si="186"/>
        <v>32</v>
      </c>
      <c r="T1031" s="121">
        <f t="shared" si="187"/>
        <v>2.4922118380062305E-2</v>
      </c>
      <c r="U1031" s="10">
        <f t="shared" si="188"/>
        <v>160</v>
      </c>
      <c r="V1031" s="10">
        <f t="shared" si="189"/>
        <v>6580</v>
      </c>
      <c r="W1031" s="11">
        <f t="shared" si="199"/>
        <v>6580</v>
      </c>
      <c r="X1031" s="12">
        <f t="shared" si="190"/>
        <v>160</v>
      </c>
      <c r="Y1031" s="122">
        <f t="shared" si="191"/>
        <v>2.4899999999999999E-2</v>
      </c>
      <c r="Z1031" s="123" t="str">
        <f t="shared" si="192"/>
        <v>0.00%-8.40%</v>
      </c>
      <c r="AA1031" s="15"/>
      <c r="AB1031" s="15"/>
      <c r="AC1031" s="15"/>
      <c r="AD1031" s="124"/>
      <c r="AE1031" s="8">
        <f t="shared" si="193"/>
        <v>0</v>
      </c>
      <c r="AF1031" s="17">
        <f t="shared" si="194"/>
        <v>6580</v>
      </c>
      <c r="AG1031" s="18">
        <f t="shared" si="195"/>
        <v>160</v>
      </c>
      <c r="AH1031" s="125">
        <f t="shared" si="196"/>
        <v>2.4922118380062308E-2</v>
      </c>
      <c r="AI1031" s="20">
        <v>13.6</v>
      </c>
      <c r="AJ1031" s="20">
        <v>750</v>
      </c>
      <c r="AK1031" s="20"/>
      <c r="AL1031" s="20">
        <v>688</v>
      </c>
      <c r="AM1031" s="20">
        <f t="shared" si="197"/>
        <v>99176</v>
      </c>
      <c r="AN1031" s="7" t="s">
        <v>176</v>
      </c>
      <c r="AO1031" s="20"/>
      <c r="AP1031" s="21"/>
      <c r="AQ1031" s="21"/>
      <c r="AR1031" s="5" t="s">
        <v>1504</v>
      </c>
      <c r="AS1031" s="5" t="s">
        <v>164</v>
      </c>
      <c r="AT1031" s="5" t="s">
        <v>59</v>
      </c>
    </row>
    <row r="1032" spans="1:46">
      <c r="A1032" s="86"/>
      <c r="B1032" s="5">
        <v>1213146</v>
      </c>
      <c r="C1032" s="5" t="s">
        <v>1632</v>
      </c>
      <c r="D1032" s="5" t="s">
        <v>321</v>
      </c>
      <c r="E1032" s="5" t="s">
        <v>52</v>
      </c>
      <c r="F1032" s="5" t="s">
        <v>1478</v>
      </c>
      <c r="G1032" s="5" t="s">
        <v>1529</v>
      </c>
      <c r="H1032" s="5" t="s">
        <v>1623</v>
      </c>
      <c r="I1032" s="6">
        <v>39608</v>
      </c>
      <c r="J1032" s="5" t="s">
        <v>1607</v>
      </c>
      <c r="K1032" s="5" t="s">
        <v>1608</v>
      </c>
      <c r="L1032" s="5" t="s">
        <v>324</v>
      </c>
      <c r="M1032" s="7">
        <v>6</v>
      </c>
      <c r="N1032" s="7" t="s">
        <v>176</v>
      </c>
      <c r="O1032" s="8">
        <v>4560</v>
      </c>
      <c r="P1032" s="121">
        <v>0.02</v>
      </c>
      <c r="Q1032" s="10">
        <f t="shared" si="185"/>
        <v>91</v>
      </c>
      <c r="R1032" s="121">
        <v>5.0000000000000001E-3</v>
      </c>
      <c r="S1032" s="10">
        <f t="shared" si="186"/>
        <v>23</v>
      </c>
      <c r="T1032" s="121">
        <f t="shared" si="187"/>
        <v>2.5000000000000001E-2</v>
      </c>
      <c r="U1032" s="10">
        <f t="shared" si="188"/>
        <v>114</v>
      </c>
      <c r="V1032" s="10">
        <f t="shared" si="189"/>
        <v>4674</v>
      </c>
      <c r="W1032" s="11">
        <f t="shared" si="199"/>
        <v>4674</v>
      </c>
      <c r="X1032" s="12">
        <f t="shared" si="190"/>
        <v>114</v>
      </c>
      <c r="Y1032" s="122">
        <f t="shared" si="191"/>
        <v>2.5000000000000001E-2</v>
      </c>
      <c r="Z1032" s="123" t="str">
        <f t="shared" si="192"/>
        <v>0.00%-8.40%</v>
      </c>
      <c r="AA1032" s="15"/>
      <c r="AB1032" s="15"/>
      <c r="AC1032" s="15"/>
      <c r="AD1032" s="124"/>
      <c r="AE1032" s="8">
        <f t="shared" si="193"/>
        <v>0</v>
      </c>
      <c r="AF1032" s="17">
        <f t="shared" si="194"/>
        <v>4674</v>
      </c>
      <c r="AG1032" s="18">
        <f t="shared" si="195"/>
        <v>114</v>
      </c>
      <c r="AH1032" s="125">
        <f t="shared" si="196"/>
        <v>2.4999999999999911E-2</v>
      </c>
      <c r="AI1032" s="20">
        <v>13.6</v>
      </c>
      <c r="AJ1032" s="20">
        <v>750</v>
      </c>
      <c r="AK1032" s="20"/>
      <c r="AL1032" s="20">
        <v>688</v>
      </c>
      <c r="AM1032" s="20">
        <f t="shared" si="197"/>
        <v>73254.399999999994</v>
      </c>
      <c r="AN1032" s="7" t="s">
        <v>176</v>
      </c>
      <c r="AO1032" s="20"/>
      <c r="AP1032" s="21"/>
      <c r="AQ1032" s="21"/>
      <c r="AR1032" s="5" t="s">
        <v>1504</v>
      </c>
      <c r="AS1032" s="5" t="s">
        <v>164</v>
      </c>
      <c r="AT1032" s="5" t="s">
        <v>59</v>
      </c>
    </row>
    <row r="1033" spans="1:46">
      <c r="A1033" s="86"/>
      <c r="B1033" s="5">
        <v>1213151</v>
      </c>
      <c r="C1033" s="5" t="s">
        <v>1633</v>
      </c>
      <c r="D1033" s="5" t="s">
        <v>321</v>
      </c>
      <c r="E1033" s="5" t="s">
        <v>52</v>
      </c>
      <c r="F1033" s="5" t="s">
        <v>1478</v>
      </c>
      <c r="G1033" s="5" t="s">
        <v>1529</v>
      </c>
      <c r="H1033" s="5" t="s">
        <v>1623</v>
      </c>
      <c r="I1033" s="6">
        <v>44096</v>
      </c>
      <c r="J1033" s="5" t="s">
        <v>1607</v>
      </c>
      <c r="K1033" s="5" t="s">
        <v>1608</v>
      </c>
      <c r="L1033" s="5" t="s">
        <v>324</v>
      </c>
      <c r="M1033" s="7">
        <v>6</v>
      </c>
      <c r="N1033" s="7" t="s">
        <v>176</v>
      </c>
      <c r="O1033" s="8">
        <v>4640</v>
      </c>
      <c r="P1033" s="121">
        <v>0.02</v>
      </c>
      <c r="Q1033" s="10">
        <f t="shared" si="185"/>
        <v>93</v>
      </c>
      <c r="R1033" s="121">
        <v>5.0000000000000001E-3</v>
      </c>
      <c r="S1033" s="10">
        <f t="shared" si="186"/>
        <v>23</v>
      </c>
      <c r="T1033" s="121">
        <f t="shared" si="187"/>
        <v>2.5000000000000001E-2</v>
      </c>
      <c r="U1033" s="10">
        <f t="shared" si="188"/>
        <v>116</v>
      </c>
      <c r="V1033" s="10">
        <f t="shared" si="189"/>
        <v>4756</v>
      </c>
      <c r="W1033" s="11">
        <f t="shared" si="199"/>
        <v>4756</v>
      </c>
      <c r="X1033" s="12">
        <f t="shared" si="190"/>
        <v>116</v>
      </c>
      <c r="Y1033" s="122">
        <f t="shared" si="191"/>
        <v>2.5000000000000001E-2</v>
      </c>
      <c r="Z1033" s="123" t="str">
        <f t="shared" si="192"/>
        <v>0.00%-8.40%</v>
      </c>
      <c r="AA1033" s="15"/>
      <c r="AB1033" s="15"/>
      <c r="AC1033" s="15"/>
      <c r="AD1033" s="124"/>
      <c r="AE1033" s="8">
        <f t="shared" si="193"/>
        <v>0</v>
      </c>
      <c r="AF1033" s="17">
        <f t="shared" si="194"/>
        <v>4756</v>
      </c>
      <c r="AG1033" s="18">
        <f t="shared" si="195"/>
        <v>116</v>
      </c>
      <c r="AH1033" s="125">
        <f t="shared" si="196"/>
        <v>2.4999999999999911E-2</v>
      </c>
      <c r="AI1033" s="20">
        <v>13.6</v>
      </c>
      <c r="AJ1033" s="20">
        <v>750</v>
      </c>
      <c r="AK1033" s="20"/>
      <c r="AL1033" s="20">
        <v>688</v>
      </c>
      <c r="AM1033" s="20">
        <f t="shared" si="197"/>
        <v>74369.600000000006</v>
      </c>
      <c r="AN1033" s="7" t="s">
        <v>176</v>
      </c>
      <c r="AO1033" s="20"/>
      <c r="AP1033" s="21"/>
      <c r="AQ1033" s="21"/>
      <c r="AR1033" s="5" t="s">
        <v>1504</v>
      </c>
      <c r="AS1033" s="5" t="s">
        <v>164</v>
      </c>
      <c r="AT1033" s="5" t="s">
        <v>59</v>
      </c>
    </row>
    <row r="1034" spans="1:46">
      <c r="A1034" s="86"/>
      <c r="B1034" s="5">
        <v>1213157</v>
      </c>
      <c r="C1034" s="5" t="s">
        <v>1634</v>
      </c>
      <c r="D1034" s="5" t="s">
        <v>360</v>
      </c>
      <c r="E1034" s="5" t="s">
        <v>52</v>
      </c>
      <c r="F1034" s="5" t="s">
        <v>1478</v>
      </c>
      <c r="G1034" s="5" t="s">
        <v>1529</v>
      </c>
      <c r="H1034" s="5" t="s">
        <v>1530</v>
      </c>
      <c r="I1034" s="6">
        <v>44256</v>
      </c>
      <c r="J1034" s="5" t="s">
        <v>1619</v>
      </c>
      <c r="K1034" s="5" t="s">
        <v>1619</v>
      </c>
      <c r="L1034" s="5" t="s">
        <v>324</v>
      </c>
      <c r="M1034" s="7">
        <v>6</v>
      </c>
      <c r="N1034" s="7" t="s">
        <v>176</v>
      </c>
      <c r="O1034" s="8">
        <v>4720</v>
      </c>
      <c r="P1034" s="121">
        <v>0.02</v>
      </c>
      <c r="Q1034" s="10">
        <f t="shared" si="185"/>
        <v>94</v>
      </c>
      <c r="R1034" s="121">
        <v>5.0000000000000001E-3</v>
      </c>
      <c r="S1034" s="10">
        <f t="shared" si="186"/>
        <v>24</v>
      </c>
      <c r="T1034" s="121">
        <f t="shared" si="187"/>
        <v>2.5000000000000001E-2</v>
      </c>
      <c r="U1034" s="10">
        <f t="shared" si="188"/>
        <v>118</v>
      </c>
      <c r="V1034" s="10">
        <f t="shared" si="189"/>
        <v>4838</v>
      </c>
      <c r="W1034" s="11">
        <f t="shared" si="199"/>
        <v>4838</v>
      </c>
      <c r="X1034" s="12">
        <f t="shared" si="190"/>
        <v>118</v>
      </c>
      <c r="Y1034" s="122">
        <f t="shared" si="191"/>
        <v>2.5000000000000001E-2</v>
      </c>
      <c r="Z1034" s="123" t="str">
        <f t="shared" si="192"/>
        <v>0.00%-8.40%</v>
      </c>
      <c r="AA1034" s="15" t="s">
        <v>87</v>
      </c>
      <c r="AB1034" s="15" t="s">
        <v>1635</v>
      </c>
      <c r="AC1034" s="15" t="s">
        <v>439</v>
      </c>
      <c r="AD1034" s="124">
        <v>0.1138</v>
      </c>
      <c r="AE1034" s="8">
        <f t="shared" si="193"/>
        <v>537</v>
      </c>
      <c r="AF1034" s="17">
        <f t="shared" si="194"/>
        <v>5375</v>
      </c>
      <c r="AG1034" s="18">
        <f t="shared" si="195"/>
        <v>655</v>
      </c>
      <c r="AH1034" s="125">
        <f t="shared" si="196"/>
        <v>0.13877118644067798</v>
      </c>
      <c r="AI1034" s="20">
        <v>13.6</v>
      </c>
      <c r="AJ1034" s="20">
        <v>750</v>
      </c>
      <c r="AK1034" s="20"/>
      <c r="AL1034" s="20">
        <v>688</v>
      </c>
      <c r="AM1034" s="20">
        <f t="shared" si="197"/>
        <v>82788</v>
      </c>
      <c r="AN1034" s="7" t="s">
        <v>176</v>
      </c>
      <c r="AO1034" s="20"/>
      <c r="AP1034" s="21" t="s">
        <v>1636</v>
      </c>
      <c r="AQ1034" s="21" t="s">
        <v>179</v>
      </c>
      <c r="AR1034" s="5" t="s">
        <v>1504</v>
      </c>
      <c r="AS1034" s="5" t="s">
        <v>164</v>
      </c>
      <c r="AT1034" s="5" t="s">
        <v>59</v>
      </c>
    </row>
    <row r="1035" spans="1:46">
      <c r="A1035" s="86"/>
      <c r="B1035" s="5">
        <v>1213158</v>
      </c>
      <c r="C1035" s="5" t="s">
        <v>1637</v>
      </c>
      <c r="D1035" s="5" t="s">
        <v>321</v>
      </c>
      <c r="E1035" s="5" t="s">
        <v>52</v>
      </c>
      <c r="F1035" s="5" t="s">
        <v>1478</v>
      </c>
      <c r="G1035" s="5" t="s">
        <v>1529</v>
      </c>
      <c r="H1035" s="5" t="s">
        <v>1623</v>
      </c>
      <c r="I1035" s="6">
        <v>44277</v>
      </c>
      <c r="J1035" s="5" t="s">
        <v>1607</v>
      </c>
      <c r="K1035" s="5" t="s">
        <v>1608</v>
      </c>
      <c r="L1035" s="5" t="s">
        <v>324</v>
      </c>
      <c r="M1035" s="7">
        <v>6</v>
      </c>
      <c r="N1035" s="7" t="s">
        <v>176</v>
      </c>
      <c r="O1035" s="8">
        <v>4300</v>
      </c>
      <c r="P1035" s="121">
        <v>0.02</v>
      </c>
      <c r="Q1035" s="10">
        <f t="shared" si="185"/>
        <v>86</v>
      </c>
      <c r="R1035" s="121">
        <v>5.0000000000000001E-3</v>
      </c>
      <c r="S1035" s="10">
        <f t="shared" si="186"/>
        <v>22</v>
      </c>
      <c r="T1035" s="121">
        <f t="shared" si="187"/>
        <v>2.5116279069767444E-2</v>
      </c>
      <c r="U1035" s="10">
        <f t="shared" si="188"/>
        <v>108</v>
      </c>
      <c r="V1035" s="10">
        <f t="shared" si="189"/>
        <v>4408</v>
      </c>
      <c r="W1035" s="11">
        <f t="shared" si="199"/>
        <v>4408</v>
      </c>
      <c r="X1035" s="12">
        <f t="shared" si="190"/>
        <v>108</v>
      </c>
      <c r="Y1035" s="122">
        <f t="shared" si="191"/>
        <v>2.5100000000000001E-2</v>
      </c>
      <c r="Z1035" s="123" t="str">
        <f t="shared" si="192"/>
        <v>0.00%-8.40%</v>
      </c>
      <c r="AA1035" s="15"/>
      <c r="AB1035" s="15"/>
      <c r="AC1035" s="15"/>
      <c r="AD1035" s="124"/>
      <c r="AE1035" s="8">
        <f t="shared" si="193"/>
        <v>0</v>
      </c>
      <c r="AF1035" s="17">
        <f t="shared" si="194"/>
        <v>4408</v>
      </c>
      <c r="AG1035" s="18">
        <f t="shared" si="195"/>
        <v>108</v>
      </c>
      <c r="AH1035" s="125">
        <f t="shared" si="196"/>
        <v>2.5116279069767433E-2</v>
      </c>
      <c r="AI1035" s="20">
        <v>13.6</v>
      </c>
      <c r="AJ1035" s="20">
        <v>750</v>
      </c>
      <c r="AK1035" s="20"/>
      <c r="AL1035" s="20">
        <v>688</v>
      </c>
      <c r="AM1035" s="20">
        <f t="shared" si="197"/>
        <v>69636.799999999988</v>
      </c>
      <c r="AN1035" s="7" t="s">
        <v>176</v>
      </c>
      <c r="AO1035" s="20"/>
      <c r="AP1035" s="21"/>
      <c r="AQ1035" s="21"/>
      <c r="AR1035" s="5" t="s">
        <v>1504</v>
      </c>
      <c r="AS1035" s="5" t="s">
        <v>164</v>
      </c>
      <c r="AT1035" s="5" t="s">
        <v>59</v>
      </c>
    </row>
    <row r="1036" spans="1:46">
      <c r="A1036" s="86"/>
      <c r="B1036" s="5">
        <v>1220076</v>
      </c>
      <c r="C1036" s="5" t="s">
        <v>1638</v>
      </c>
      <c r="D1036" s="5" t="s">
        <v>360</v>
      </c>
      <c r="E1036" s="5" t="s">
        <v>52</v>
      </c>
      <c r="F1036" s="5" t="s">
        <v>1478</v>
      </c>
      <c r="G1036" s="5" t="s">
        <v>1527</v>
      </c>
      <c r="H1036" s="5" t="s">
        <v>1528</v>
      </c>
      <c r="I1036" s="6">
        <v>40513</v>
      </c>
      <c r="J1036" s="5" t="s">
        <v>1608</v>
      </c>
      <c r="K1036" s="5" t="s">
        <v>1639</v>
      </c>
      <c r="L1036" s="5" t="s">
        <v>324</v>
      </c>
      <c r="M1036" s="7">
        <v>6</v>
      </c>
      <c r="N1036" s="7" t="s">
        <v>176</v>
      </c>
      <c r="O1036" s="8">
        <v>4902</v>
      </c>
      <c r="P1036" s="121">
        <v>0.02</v>
      </c>
      <c r="Q1036" s="10">
        <f t="shared" si="185"/>
        <v>98</v>
      </c>
      <c r="R1036" s="121">
        <v>5.0000000000000001E-3</v>
      </c>
      <c r="S1036" s="10">
        <f t="shared" si="186"/>
        <v>25</v>
      </c>
      <c r="T1036" s="121">
        <f t="shared" si="187"/>
        <v>2.5091799265605876E-2</v>
      </c>
      <c r="U1036" s="10">
        <f t="shared" si="188"/>
        <v>123</v>
      </c>
      <c r="V1036" s="10">
        <f t="shared" si="189"/>
        <v>5025</v>
      </c>
      <c r="W1036" s="11">
        <f t="shared" si="199"/>
        <v>5025</v>
      </c>
      <c r="X1036" s="12">
        <f t="shared" si="190"/>
        <v>123</v>
      </c>
      <c r="Y1036" s="122">
        <f t="shared" si="191"/>
        <v>2.5100000000000001E-2</v>
      </c>
      <c r="Z1036" s="123" t="str">
        <f t="shared" si="192"/>
        <v>0.00%-8.40%</v>
      </c>
      <c r="AA1036" s="15"/>
      <c r="AB1036" s="15"/>
      <c r="AC1036" s="15"/>
      <c r="AD1036" s="124"/>
      <c r="AE1036" s="8">
        <f t="shared" si="193"/>
        <v>0</v>
      </c>
      <c r="AF1036" s="17">
        <f t="shared" si="194"/>
        <v>5025</v>
      </c>
      <c r="AG1036" s="18">
        <f t="shared" si="195"/>
        <v>123</v>
      </c>
      <c r="AH1036" s="125">
        <f t="shared" si="196"/>
        <v>2.5091799265605896E-2</v>
      </c>
      <c r="AI1036" s="20">
        <v>13.6</v>
      </c>
      <c r="AJ1036" s="20">
        <v>1150</v>
      </c>
      <c r="AK1036" s="20"/>
      <c r="AL1036" s="20">
        <v>688</v>
      </c>
      <c r="AM1036" s="20">
        <f t="shared" si="197"/>
        <v>82828</v>
      </c>
      <c r="AN1036" s="7" t="s">
        <v>176</v>
      </c>
      <c r="AO1036" s="20"/>
      <c r="AP1036" s="21"/>
      <c r="AQ1036" s="21"/>
      <c r="AR1036" s="5" t="s">
        <v>1504</v>
      </c>
      <c r="AS1036" s="5" t="s">
        <v>164</v>
      </c>
      <c r="AT1036" s="5" t="s">
        <v>59</v>
      </c>
    </row>
    <row r="1037" spans="1:46">
      <c r="A1037" s="86"/>
      <c r="B1037" s="5">
        <v>1705002</v>
      </c>
      <c r="C1037" s="5" t="s">
        <v>1640</v>
      </c>
      <c r="D1037" s="5" t="s">
        <v>321</v>
      </c>
      <c r="E1037" s="5" t="s">
        <v>52</v>
      </c>
      <c r="F1037" s="5" t="s">
        <v>1478</v>
      </c>
      <c r="G1037" s="5" t="s">
        <v>1529</v>
      </c>
      <c r="H1037" s="5" t="s">
        <v>1623</v>
      </c>
      <c r="I1037" s="6">
        <v>39664</v>
      </c>
      <c r="J1037" s="5" t="s">
        <v>480</v>
      </c>
      <c r="K1037" s="5" t="s">
        <v>480</v>
      </c>
      <c r="L1037" s="5" t="s">
        <v>324</v>
      </c>
      <c r="M1037" s="7">
        <v>6</v>
      </c>
      <c r="N1037" s="7" t="s">
        <v>176</v>
      </c>
      <c r="O1037" s="8">
        <v>5640</v>
      </c>
      <c r="P1037" s="121">
        <v>0.02</v>
      </c>
      <c r="Q1037" s="10">
        <f t="shared" si="185"/>
        <v>113</v>
      </c>
      <c r="R1037" s="121">
        <v>5.0000000000000001E-3</v>
      </c>
      <c r="S1037" s="10">
        <f t="shared" si="186"/>
        <v>28</v>
      </c>
      <c r="T1037" s="121">
        <f t="shared" si="187"/>
        <v>2.5000000000000001E-2</v>
      </c>
      <c r="U1037" s="10">
        <f t="shared" si="188"/>
        <v>141</v>
      </c>
      <c r="V1037" s="10">
        <f t="shared" si="189"/>
        <v>5781</v>
      </c>
      <c r="W1037" s="11">
        <f t="shared" si="199"/>
        <v>5781</v>
      </c>
      <c r="X1037" s="12">
        <f t="shared" si="190"/>
        <v>141</v>
      </c>
      <c r="Y1037" s="122">
        <f t="shared" si="191"/>
        <v>2.5000000000000001E-2</v>
      </c>
      <c r="Z1037" s="123" t="str">
        <f t="shared" si="192"/>
        <v>0.00%-8.40%</v>
      </c>
      <c r="AA1037" s="15"/>
      <c r="AB1037" s="15"/>
      <c r="AC1037" s="15"/>
      <c r="AD1037" s="124"/>
      <c r="AE1037" s="8">
        <f t="shared" si="193"/>
        <v>0</v>
      </c>
      <c r="AF1037" s="17">
        <f t="shared" si="194"/>
        <v>5781</v>
      </c>
      <c r="AG1037" s="18">
        <f t="shared" si="195"/>
        <v>141</v>
      </c>
      <c r="AH1037" s="125">
        <f t="shared" si="196"/>
        <v>2.4999999999999911E-2</v>
      </c>
      <c r="AI1037" s="20">
        <v>13.6</v>
      </c>
      <c r="AJ1037" s="20">
        <v>450</v>
      </c>
      <c r="AK1037" s="20"/>
      <c r="AL1037" s="20">
        <v>688</v>
      </c>
      <c r="AM1037" s="20">
        <f t="shared" si="197"/>
        <v>84709.599999999991</v>
      </c>
      <c r="AN1037" s="7" t="s">
        <v>176</v>
      </c>
      <c r="AO1037" s="20"/>
      <c r="AP1037" s="21"/>
      <c r="AQ1037" s="21"/>
      <c r="AR1037" s="5" t="s">
        <v>1504</v>
      </c>
      <c r="AS1037" s="5" t="s">
        <v>164</v>
      </c>
      <c r="AT1037" s="5" t="s">
        <v>59</v>
      </c>
    </row>
    <row r="1038" spans="1:46">
      <c r="A1038" s="86"/>
      <c r="B1038" s="5">
        <v>1706030</v>
      </c>
      <c r="C1038" s="5" t="s">
        <v>1641</v>
      </c>
      <c r="D1038" s="5" t="s">
        <v>321</v>
      </c>
      <c r="E1038" s="5" t="s">
        <v>52</v>
      </c>
      <c r="F1038" s="5" t="s">
        <v>1478</v>
      </c>
      <c r="G1038" s="5" t="s">
        <v>1529</v>
      </c>
      <c r="H1038" s="5" t="s">
        <v>1623</v>
      </c>
      <c r="I1038" s="6">
        <v>40023</v>
      </c>
      <c r="J1038" s="5" t="s">
        <v>480</v>
      </c>
      <c r="K1038" s="5" t="s">
        <v>480</v>
      </c>
      <c r="L1038" s="5" t="s">
        <v>324</v>
      </c>
      <c r="M1038" s="7">
        <v>6</v>
      </c>
      <c r="N1038" s="7" t="s">
        <v>176</v>
      </c>
      <c r="O1038" s="8">
        <v>6370</v>
      </c>
      <c r="P1038" s="121">
        <v>0.02</v>
      </c>
      <c r="Q1038" s="10">
        <f t="shared" si="185"/>
        <v>127</v>
      </c>
      <c r="R1038" s="121">
        <v>5.0000000000000001E-3</v>
      </c>
      <c r="S1038" s="10">
        <f t="shared" si="186"/>
        <v>32</v>
      </c>
      <c r="T1038" s="121">
        <f t="shared" si="187"/>
        <v>2.4960753532182103E-2</v>
      </c>
      <c r="U1038" s="10">
        <f t="shared" si="188"/>
        <v>159</v>
      </c>
      <c r="V1038" s="10">
        <f t="shared" si="189"/>
        <v>6529</v>
      </c>
      <c r="W1038" s="11">
        <f t="shared" si="199"/>
        <v>6529</v>
      </c>
      <c r="X1038" s="12">
        <f t="shared" si="190"/>
        <v>159</v>
      </c>
      <c r="Y1038" s="122">
        <f t="shared" si="191"/>
        <v>2.5000000000000001E-2</v>
      </c>
      <c r="Z1038" s="123" t="str">
        <f t="shared" si="192"/>
        <v>0.00%-8.40%</v>
      </c>
      <c r="AA1038" s="15"/>
      <c r="AB1038" s="15"/>
      <c r="AC1038" s="15"/>
      <c r="AD1038" s="124"/>
      <c r="AE1038" s="8">
        <f t="shared" si="193"/>
        <v>0</v>
      </c>
      <c r="AF1038" s="17">
        <f t="shared" si="194"/>
        <v>6529</v>
      </c>
      <c r="AG1038" s="18">
        <f t="shared" si="195"/>
        <v>159</v>
      </c>
      <c r="AH1038" s="125">
        <f t="shared" si="196"/>
        <v>2.4960753532182078E-2</v>
      </c>
      <c r="AI1038" s="20">
        <v>13.6</v>
      </c>
      <c r="AJ1038" s="20">
        <v>500</v>
      </c>
      <c r="AK1038" s="20"/>
      <c r="AL1038" s="20">
        <v>688</v>
      </c>
      <c r="AM1038" s="20">
        <f t="shared" si="197"/>
        <v>95482.4</v>
      </c>
      <c r="AN1038" s="7" t="s">
        <v>176</v>
      </c>
      <c r="AO1038" s="20"/>
      <c r="AP1038" s="21"/>
      <c r="AQ1038" s="21"/>
      <c r="AR1038" s="5" t="s">
        <v>1504</v>
      </c>
      <c r="AS1038" s="5" t="s">
        <v>164</v>
      </c>
      <c r="AT1038" s="5" t="s">
        <v>59</v>
      </c>
    </row>
    <row r="1039" spans="1:46">
      <c r="A1039" s="86"/>
      <c r="B1039" s="5">
        <v>1707013</v>
      </c>
      <c r="C1039" s="5" t="s">
        <v>1642</v>
      </c>
      <c r="D1039" s="5" t="s">
        <v>321</v>
      </c>
      <c r="E1039" s="5" t="s">
        <v>52</v>
      </c>
      <c r="F1039" s="5" t="s">
        <v>1478</v>
      </c>
      <c r="G1039" s="5" t="s">
        <v>1529</v>
      </c>
      <c r="H1039" s="5" t="s">
        <v>1623</v>
      </c>
      <c r="I1039" s="6">
        <v>40391</v>
      </c>
      <c r="J1039" s="5" t="s">
        <v>1607</v>
      </c>
      <c r="K1039" s="5" t="s">
        <v>1608</v>
      </c>
      <c r="L1039" s="5" t="s">
        <v>324</v>
      </c>
      <c r="M1039" s="7">
        <v>6</v>
      </c>
      <c r="N1039" s="7" t="s">
        <v>176</v>
      </c>
      <c r="O1039" s="8">
        <v>4930</v>
      </c>
      <c r="P1039" s="121">
        <v>0.02</v>
      </c>
      <c r="Q1039" s="10">
        <f t="shared" si="185"/>
        <v>99</v>
      </c>
      <c r="R1039" s="121">
        <v>5.0000000000000001E-3</v>
      </c>
      <c r="S1039" s="10">
        <f t="shared" si="186"/>
        <v>25</v>
      </c>
      <c r="T1039" s="121">
        <f t="shared" si="187"/>
        <v>2.5152129817444219E-2</v>
      </c>
      <c r="U1039" s="10">
        <f t="shared" si="188"/>
        <v>124</v>
      </c>
      <c r="V1039" s="10">
        <f t="shared" si="189"/>
        <v>5054</v>
      </c>
      <c r="W1039" s="11">
        <f t="shared" si="199"/>
        <v>5054</v>
      </c>
      <c r="X1039" s="12">
        <f t="shared" si="190"/>
        <v>124</v>
      </c>
      <c r="Y1039" s="122">
        <f t="shared" si="191"/>
        <v>2.52E-2</v>
      </c>
      <c r="Z1039" s="123" t="str">
        <f t="shared" si="192"/>
        <v>0.00%-8.40%</v>
      </c>
      <c r="AA1039" s="15"/>
      <c r="AB1039" s="15"/>
      <c r="AC1039" s="15"/>
      <c r="AD1039" s="124"/>
      <c r="AE1039" s="8">
        <f t="shared" si="193"/>
        <v>0</v>
      </c>
      <c r="AF1039" s="17">
        <f t="shared" si="194"/>
        <v>5054</v>
      </c>
      <c r="AG1039" s="18">
        <f t="shared" si="195"/>
        <v>124</v>
      </c>
      <c r="AH1039" s="125">
        <f t="shared" si="196"/>
        <v>2.5152129817444191E-2</v>
      </c>
      <c r="AI1039" s="20">
        <v>13.6</v>
      </c>
      <c r="AJ1039" s="20">
        <v>800</v>
      </c>
      <c r="AK1039" s="20"/>
      <c r="AL1039" s="20">
        <v>688</v>
      </c>
      <c r="AM1039" s="20">
        <f t="shared" si="197"/>
        <v>79022.399999999994</v>
      </c>
      <c r="AN1039" s="7" t="s">
        <v>176</v>
      </c>
      <c r="AO1039" s="20"/>
      <c r="AP1039" s="21"/>
      <c r="AQ1039" s="21"/>
      <c r="AR1039" s="5" t="s">
        <v>1504</v>
      </c>
      <c r="AS1039" s="5" t="s">
        <v>164</v>
      </c>
      <c r="AT1039" s="5" t="s">
        <v>59</v>
      </c>
    </row>
    <row r="1040" spans="1:46">
      <c r="A1040" s="86"/>
      <c r="B1040" s="5">
        <v>1707041</v>
      </c>
      <c r="C1040" s="5" t="s">
        <v>1643</v>
      </c>
      <c r="D1040" s="5" t="s">
        <v>321</v>
      </c>
      <c r="E1040" s="5" t="s">
        <v>52</v>
      </c>
      <c r="F1040" s="5" t="s">
        <v>1478</v>
      </c>
      <c r="G1040" s="5" t="s">
        <v>1529</v>
      </c>
      <c r="H1040" s="5" t="s">
        <v>1623</v>
      </c>
      <c r="I1040" s="6">
        <v>40391</v>
      </c>
      <c r="J1040" s="5" t="s">
        <v>1607</v>
      </c>
      <c r="K1040" s="5" t="s">
        <v>1608</v>
      </c>
      <c r="L1040" s="5" t="s">
        <v>324</v>
      </c>
      <c r="M1040" s="7">
        <v>6</v>
      </c>
      <c r="N1040" s="7" t="s">
        <v>176</v>
      </c>
      <c r="O1040" s="8">
        <v>4950</v>
      </c>
      <c r="P1040" s="121">
        <v>0.02</v>
      </c>
      <c r="Q1040" s="10">
        <f t="shared" si="185"/>
        <v>99</v>
      </c>
      <c r="R1040" s="121">
        <v>5.0000000000000001E-3</v>
      </c>
      <c r="S1040" s="10">
        <f t="shared" si="186"/>
        <v>25</v>
      </c>
      <c r="T1040" s="121">
        <f t="shared" si="187"/>
        <v>2.5050505050505052E-2</v>
      </c>
      <c r="U1040" s="10">
        <f t="shared" si="188"/>
        <v>124</v>
      </c>
      <c r="V1040" s="10">
        <f t="shared" si="189"/>
        <v>5074</v>
      </c>
      <c r="W1040" s="11">
        <f t="shared" si="199"/>
        <v>5074</v>
      </c>
      <c r="X1040" s="12">
        <f t="shared" si="190"/>
        <v>124</v>
      </c>
      <c r="Y1040" s="122">
        <f t="shared" si="191"/>
        <v>2.5100000000000001E-2</v>
      </c>
      <c r="Z1040" s="123" t="str">
        <f t="shared" si="192"/>
        <v>0.00%-8.40%</v>
      </c>
      <c r="AA1040" s="15"/>
      <c r="AB1040" s="15"/>
      <c r="AC1040" s="15"/>
      <c r="AD1040" s="124"/>
      <c r="AE1040" s="8">
        <f t="shared" si="193"/>
        <v>0</v>
      </c>
      <c r="AF1040" s="17">
        <f t="shared" si="194"/>
        <v>5074</v>
      </c>
      <c r="AG1040" s="18">
        <f t="shared" si="195"/>
        <v>124</v>
      </c>
      <c r="AH1040" s="125">
        <f t="shared" si="196"/>
        <v>2.505050505050499E-2</v>
      </c>
      <c r="AI1040" s="20">
        <v>13.6</v>
      </c>
      <c r="AJ1040" s="20">
        <v>750</v>
      </c>
      <c r="AK1040" s="20"/>
      <c r="AL1040" s="20">
        <v>688</v>
      </c>
      <c r="AM1040" s="20">
        <f t="shared" si="197"/>
        <v>78694.399999999994</v>
      </c>
      <c r="AN1040" s="7" t="s">
        <v>176</v>
      </c>
      <c r="AO1040" s="20"/>
      <c r="AP1040" s="21"/>
      <c r="AQ1040" s="21"/>
      <c r="AR1040" s="5" t="s">
        <v>1504</v>
      </c>
      <c r="AS1040" s="5" t="s">
        <v>164</v>
      </c>
      <c r="AT1040" s="5" t="s">
        <v>59</v>
      </c>
    </row>
    <row r="1041" spans="1:46">
      <c r="A1041" s="86"/>
      <c r="B1041" s="5">
        <v>1714025</v>
      </c>
      <c r="C1041" s="5" t="s">
        <v>1644</v>
      </c>
      <c r="D1041" s="5" t="s">
        <v>321</v>
      </c>
      <c r="E1041" s="5" t="s">
        <v>52</v>
      </c>
      <c r="F1041" s="5" t="s">
        <v>1478</v>
      </c>
      <c r="G1041" s="5" t="s">
        <v>1529</v>
      </c>
      <c r="H1041" s="5" t="s">
        <v>1623</v>
      </c>
      <c r="I1041" s="6">
        <v>42917</v>
      </c>
      <c r="J1041" s="5" t="s">
        <v>1607</v>
      </c>
      <c r="K1041" s="5" t="s">
        <v>1608</v>
      </c>
      <c r="L1041" s="5" t="s">
        <v>324</v>
      </c>
      <c r="M1041" s="7">
        <v>6</v>
      </c>
      <c r="N1041" s="7" t="s">
        <v>176</v>
      </c>
      <c r="O1041" s="8">
        <v>4495</v>
      </c>
      <c r="P1041" s="121">
        <v>0.02</v>
      </c>
      <c r="Q1041" s="10">
        <f t="shared" si="185"/>
        <v>90</v>
      </c>
      <c r="R1041" s="121">
        <v>5.0000000000000001E-3</v>
      </c>
      <c r="S1041" s="10">
        <f t="shared" si="186"/>
        <v>22</v>
      </c>
      <c r="T1041" s="121">
        <f t="shared" si="187"/>
        <v>2.4916573971078975E-2</v>
      </c>
      <c r="U1041" s="10">
        <f t="shared" si="188"/>
        <v>112</v>
      </c>
      <c r="V1041" s="10">
        <f t="shared" si="189"/>
        <v>4607</v>
      </c>
      <c r="W1041" s="11">
        <f t="shared" si="199"/>
        <v>4607</v>
      </c>
      <c r="X1041" s="12">
        <f t="shared" si="190"/>
        <v>112</v>
      </c>
      <c r="Y1041" s="122">
        <f t="shared" si="191"/>
        <v>2.4899999999999999E-2</v>
      </c>
      <c r="Z1041" s="123" t="str">
        <f t="shared" si="192"/>
        <v>0.00%-8.40%</v>
      </c>
      <c r="AA1041" s="15"/>
      <c r="AB1041" s="15"/>
      <c r="AC1041" s="15"/>
      <c r="AD1041" s="124"/>
      <c r="AE1041" s="8">
        <f t="shared" si="193"/>
        <v>0</v>
      </c>
      <c r="AF1041" s="17">
        <f t="shared" si="194"/>
        <v>4607</v>
      </c>
      <c r="AG1041" s="18">
        <f t="shared" si="195"/>
        <v>112</v>
      </c>
      <c r="AH1041" s="125">
        <f t="shared" si="196"/>
        <v>2.4916573971079048E-2</v>
      </c>
      <c r="AI1041" s="20">
        <v>13.6</v>
      </c>
      <c r="AJ1041" s="20">
        <v>750</v>
      </c>
      <c r="AK1041" s="20"/>
      <c r="AL1041" s="20">
        <v>688</v>
      </c>
      <c r="AM1041" s="20">
        <f t="shared" si="197"/>
        <v>72343.199999999997</v>
      </c>
      <c r="AN1041" s="7" t="s">
        <v>176</v>
      </c>
      <c r="AO1041" s="20"/>
      <c r="AP1041" s="21"/>
      <c r="AQ1041" s="21"/>
      <c r="AR1041" s="5" t="s">
        <v>1504</v>
      </c>
      <c r="AS1041" s="5" t="s">
        <v>164</v>
      </c>
      <c r="AT1041" s="5" t="s">
        <v>59</v>
      </c>
    </row>
    <row r="1042" spans="1:46">
      <c r="A1042" s="86"/>
      <c r="B1042" s="5">
        <v>1714027</v>
      </c>
      <c r="C1042" s="5" t="s">
        <v>1645</v>
      </c>
      <c r="D1042" s="5" t="s">
        <v>360</v>
      </c>
      <c r="E1042" s="5" t="s">
        <v>52</v>
      </c>
      <c r="F1042" s="5" t="s">
        <v>1478</v>
      </c>
      <c r="G1042" s="5" t="s">
        <v>1527</v>
      </c>
      <c r="H1042" s="5" t="s">
        <v>1528</v>
      </c>
      <c r="I1042" s="6">
        <v>42917</v>
      </c>
      <c r="J1042" s="5" t="s">
        <v>1608</v>
      </c>
      <c r="K1042" s="5" t="s">
        <v>1639</v>
      </c>
      <c r="L1042" s="5" t="s">
        <v>324</v>
      </c>
      <c r="M1042" s="7">
        <v>6</v>
      </c>
      <c r="N1042" s="7" t="s">
        <v>176</v>
      </c>
      <c r="O1042" s="8">
        <v>4620</v>
      </c>
      <c r="P1042" s="121">
        <v>0.02</v>
      </c>
      <c r="Q1042" s="10">
        <f t="shared" si="185"/>
        <v>92</v>
      </c>
      <c r="R1042" s="121">
        <v>5.0000000000000001E-3</v>
      </c>
      <c r="S1042" s="10">
        <f t="shared" si="186"/>
        <v>23</v>
      </c>
      <c r="T1042" s="121">
        <f t="shared" si="187"/>
        <v>2.4891774891774892E-2</v>
      </c>
      <c r="U1042" s="10">
        <f t="shared" si="188"/>
        <v>115</v>
      </c>
      <c r="V1042" s="10">
        <f t="shared" si="189"/>
        <v>4735</v>
      </c>
      <c r="W1042" s="11">
        <f t="shared" si="199"/>
        <v>4735</v>
      </c>
      <c r="X1042" s="12">
        <f t="shared" si="190"/>
        <v>115</v>
      </c>
      <c r="Y1042" s="122">
        <f t="shared" si="191"/>
        <v>2.4899999999999999E-2</v>
      </c>
      <c r="Z1042" s="123" t="str">
        <f t="shared" si="192"/>
        <v>0.00%-8.40%</v>
      </c>
      <c r="AA1042" s="15"/>
      <c r="AB1042" s="15"/>
      <c r="AC1042" s="15"/>
      <c r="AD1042" s="124"/>
      <c r="AE1042" s="8">
        <f t="shared" si="193"/>
        <v>0</v>
      </c>
      <c r="AF1042" s="17">
        <f t="shared" si="194"/>
        <v>4735</v>
      </c>
      <c r="AG1042" s="18">
        <f t="shared" si="195"/>
        <v>115</v>
      </c>
      <c r="AH1042" s="125">
        <f t="shared" si="196"/>
        <v>2.4891774891774965E-2</v>
      </c>
      <c r="AI1042" s="20">
        <v>13.6</v>
      </c>
      <c r="AJ1042" s="20">
        <v>750</v>
      </c>
      <c r="AK1042" s="20"/>
      <c r="AL1042" s="20">
        <v>688</v>
      </c>
      <c r="AM1042" s="20">
        <f t="shared" si="197"/>
        <v>74084</v>
      </c>
      <c r="AN1042" s="7" t="s">
        <v>176</v>
      </c>
      <c r="AO1042" s="20"/>
      <c r="AP1042" s="21"/>
      <c r="AQ1042" s="21"/>
      <c r="AR1042" s="5" t="s">
        <v>1504</v>
      </c>
      <c r="AS1042" s="5" t="s">
        <v>164</v>
      </c>
      <c r="AT1042" s="5" t="s">
        <v>59</v>
      </c>
    </row>
    <row r="1043" spans="1:46">
      <c r="A1043" s="86"/>
      <c r="B1043" s="5">
        <v>1718063</v>
      </c>
      <c r="C1043" s="5" t="s">
        <v>1646</v>
      </c>
      <c r="D1043" s="5" t="s">
        <v>321</v>
      </c>
      <c r="E1043" s="5" t="s">
        <v>52</v>
      </c>
      <c r="F1043" s="5" t="s">
        <v>1478</v>
      </c>
      <c r="G1043" s="5" t="s">
        <v>1529</v>
      </c>
      <c r="H1043" s="5" t="s">
        <v>1623</v>
      </c>
      <c r="I1043" s="6">
        <v>44385</v>
      </c>
      <c r="J1043" s="5" t="s">
        <v>1607</v>
      </c>
      <c r="K1043" s="5" t="s">
        <v>1608</v>
      </c>
      <c r="L1043" s="5" t="s">
        <v>324</v>
      </c>
      <c r="M1043" s="7">
        <v>6</v>
      </c>
      <c r="N1043" s="7" t="s">
        <v>176</v>
      </c>
      <c r="O1043" s="8">
        <v>4150</v>
      </c>
      <c r="P1043" s="121">
        <v>0.02</v>
      </c>
      <c r="Q1043" s="10">
        <f t="shared" si="185"/>
        <v>83</v>
      </c>
      <c r="R1043" s="121">
        <v>5.0000000000000001E-3</v>
      </c>
      <c r="S1043" s="10">
        <f t="shared" si="186"/>
        <v>21</v>
      </c>
      <c r="T1043" s="121">
        <f t="shared" si="187"/>
        <v>2.506024096385542E-2</v>
      </c>
      <c r="U1043" s="10">
        <f t="shared" si="188"/>
        <v>104</v>
      </c>
      <c r="V1043" s="10">
        <f t="shared" si="189"/>
        <v>4254</v>
      </c>
      <c r="W1043" s="11">
        <f t="shared" si="199"/>
        <v>4254</v>
      </c>
      <c r="X1043" s="12">
        <f t="shared" si="190"/>
        <v>104</v>
      </c>
      <c r="Y1043" s="122">
        <f t="shared" si="191"/>
        <v>2.5100000000000001E-2</v>
      </c>
      <c r="Z1043" s="123" t="str">
        <f t="shared" si="192"/>
        <v>0.00%-8.40%</v>
      </c>
      <c r="AA1043" s="15"/>
      <c r="AB1043" s="15"/>
      <c r="AC1043" s="15"/>
      <c r="AD1043" s="124"/>
      <c r="AE1043" s="8">
        <f t="shared" si="193"/>
        <v>0</v>
      </c>
      <c r="AF1043" s="17">
        <f t="shared" si="194"/>
        <v>4254</v>
      </c>
      <c r="AG1043" s="18">
        <f t="shared" si="195"/>
        <v>104</v>
      </c>
      <c r="AH1043" s="125">
        <f t="shared" si="196"/>
        <v>2.5060240963855396E-2</v>
      </c>
      <c r="AI1043" s="20">
        <v>13.6</v>
      </c>
      <c r="AJ1043" s="20">
        <v>750</v>
      </c>
      <c r="AK1043" s="20"/>
      <c r="AL1043" s="20">
        <v>688</v>
      </c>
      <c r="AM1043" s="20">
        <f t="shared" si="197"/>
        <v>67542.399999999994</v>
      </c>
      <c r="AN1043" s="7" t="s">
        <v>176</v>
      </c>
      <c r="AO1043" s="20"/>
      <c r="AP1043" s="21"/>
      <c r="AQ1043" s="21"/>
      <c r="AR1043" s="5" t="s">
        <v>1504</v>
      </c>
      <c r="AS1043" s="5" t="s">
        <v>164</v>
      </c>
      <c r="AT1043" s="5" t="s">
        <v>59</v>
      </c>
    </row>
    <row r="1044" spans="1:46">
      <c r="A1044" s="86"/>
      <c r="B1044" s="5">
        <v>1719005</v>
      </c>
      <c r="C1044" s="5" t="s">
        <v>1647</v>
      </c>
      <c r="D1044" s="5" t="s">
        <v>321</v>
      </c>
      <c r="E1044" s="5" t="s">
        <v>52</v>
      </c>
      <c r="F1044" s="5" t="s">
        <v>1478</v>
      </c>
      <c r="G1044" s="5" t="s">
        <v>1529</v>
      </c>
      <c r="H1044" s="5" t="s">
        <v>1623</v>
      </c>
      <c r="I1044" s="6">
        <v>44774</v>
      </c>
      <c r="J1044" s="5" t="s">
        <v>1607</v>
      </c>
      <c r="K1044" s="5" t="s">
        <v>1608</v>
      </c>
      <c r="L1044" s="5" t="s">
        <v>324</v>
      </c>
      <c r="M1044" s="7">
        <v>6</v>
      </c>
      <c r="N1044" s="7" t="s">
        <v>176</v>
      </c>
      <c r="O1044" s="8">
        <v>4200</v>
      </c>
      <c r="P1044" s="121">
        <v>0.02</v>
      </c>
      <c r="Q1044" s="10">
        <f t="shared" si="185"/>
        <v>84</v>
      </c>
      <c r="R1044" s="121">
        <v>5.0000000000000001E-3</v>
      </c>
      <c r="S1044" s="10">
        <f t="shared" si="186"/>
        <v>21</v>
      </c>
      <c r="T1044" s="121">
        <f t="shared" si="187"/>
        <v>2.5000000000000001E-2</v>
      </c>
      <c r="U1044" s="10">
        <f t="shared" si="188"/>
        <v>105</v>
      </c>
      <c r="V1044" s="10">
        <f t="shared" si="189"/>
        <v>4305</v>
      </c>
      <c r="W1044" s="11">
        <f t="shared" si="199"/>
        <v>4305</v>
      </c>
      <c r="X1044" s="12">
        <f t="shared" si="190"/>
        <v>105</v>
      </c>
      <c r="Y1044" s="122">
        <f t="shared" si="191"/>
        <v>2.5000000000000001E-2</v>
      </c>
      <c r="Z1044" s="123" t="str">
        <f t="shared" si="192"/>
        <v>0.00%-8.40%</v>
      </c>
      <c r="AA1044" s="15"/>
      <c r="AB1044" s="15"/>
      <c r="AC1044" s="15"/>
      <c r="AD1044" s="124"/>
      <c r="AE1044" s="8">
        <f t="shared" si="193"/>
        <v>0</v>
      </c>
      <c r="AF1044" s="17">
        <f t="shared" si="194"/>
        <v>4305</v>
      </c>
      <c r="AG1044" s="18">
        <f t="shared" si="195"/>
        <v>105</v>
      </c>
      <c r="AH1044" s="125">
        <f t="shared" si="196"/>
        <v>2.4999999999999911E-2</v>
      </c>
      <c r="AI1044" s="20">
        <v>13.6</v>
      </c>
      <c r="AJ1044" s="20">
        <v>750</v>
      </c>
      <c r="AK1044" s="20"/>
      <c r="AL1044" s="20">
        <v>688</v>
      </c>
      <c r="AM1044" s="20">
        <f t="shared" si="197"/>
        <v>68236</v>
      </c>
      <c r="AN1044" s="7" t="s">
        <v>176</v>
      </c>
      <c r="AO1044" s="20"/>
      <c r="AP1044" s="21"/>
      <c r="AQ1044" s="21"/>
      <c r="AR1044" s="5" t="s">
        <v>1504</v>
      </c>
      <c r="AS1044" s="5" t="s">
        <v>164</v>
      </c>
      <c r="AT1044" s="5" t="s">
        <v>59</v>
      </c>
    </row>
    <row r="1045" spans="1:46">
      <c r="A1045" s="86"/>
      <c r="B1045" s="5">
        <v>1719017</v>
      </c>
      <c r="C1045" s="5" t="s">
        <v>1648</v>
      </c>
      <c r="D1045" s="5" t="s">
        <v>321</v>
      </c>
      <c r="E1045" s="5" t="s">
        <v>52</v>
      </c>
      <c r="F1045" s="5" t="s">
        <v>1478</v>
      </c>
      <c r="G1045" s="5" t="s">
        <v>1529</v>
      </c>
      <c r="H1045" s="5" t="s">
        <v>1623</v>
      </c>
      <c r="I1045" s="6">
        <v>44774</v>
      </c>
      <c r="J1045" s="5" t="s">
        <v>1607</v>
      </c>
      <c r="K1045" s="5" t="s">
        <v>1608</v>
      </c>
      <c r="L1045" s="5" t="s">
        <v>324</v>
      </c>
      <c r="M1045" s="7">
        <v>6</v>
      </c>
      <c r="N1045" s="7" t="s">
        <v>176</v>
      </c>
      <c r="O1045" s="8">
        <v>4250</v>
      </c>
      <c r="P1045" s="121">
        <v>0.02</v>
      </c>
      <c r="Q1045" s="10">
        <f t="shared" si="185"/>
        <v>85</v>
      </c>
      <c r="R1045" s="121">
        <v>5.0000000000000001E-3</v>
      </c>
      <c r="S1045" s="10">
        <f t="shared" si="186"/>
        <v>21</v>
      </c>
      <c r="T1045" s="121">
        <f t="shared" si="187"/>
        <v>2.4941176470588234E-2</v>
      </c>
      <c r="U1045" s="10">
        <f t="shared" si="188"/>
        <v>106</v>
      </c>
      <c r="V1045" s="10">
        <f t="shared" si="189"/>
        <v>4356</v>
      </c>
      <c r="W1045" s="11">
        <f t="shared" si="199"/>
        <v>4356</v>
      </c>
      <c r="X1045" s="12">
        <f t="shared" si="190"/>
        <v>106</v>
      </c>
      <c r="Y1045" s="122">
        <f t="shared" si="191"/>
        <v>2.4899999999999999E-2</v>
      </c>
      <c r="Z1045" s="123" t="str">
        <f t="shared" si="192"/>
        <v>0.00%-8.40%</v>
      </c>
      <c r="AA1045" s="15"/>
      <c r="AB1045" s="15"/>
      <c r="AC1045" s="15"/>
      <c r="AD1045" s="124"/>
      <c r="AE1045" s="8">
        <f t="shared" si="193"/>
        <v>0</v>
      </c>
      <c r="AF1045" s="17">
        <f t="shared" si="194"/>
        <v>4356</v>
      </c>
      <c r="AG1045" s="18">
        <f t="shared" si="195"/>
        <v>106</v>
      </c>
      <c r="AH1045" s="125">
        <f t="shared" si="196"/>
        <v>2.4941176470588244E-2</v>
      </c>
      <c r="AI1045" s="20">
        <v>13.6</v>
      </c>
      <c r="AJ1045" s="20">
        <v>750</v>
      </c>
      <c r="AK1045" s="20"/>
      <c r="AL1045" s="20">
        <v>688</v>
      </c>
      <c r="AM1045" s="20">
        <f t="shared" si="197"/>
        <v>68929.600000000006</v>
      </c>
      <c r="AN1045" s="7" t="s">
        <v>176</v>
      </c>
      <c r="AO1045" s="20" t="s">
        <v>364</v>
      </c>
      <c r="AP1045" s="21"/>
      <c r="AQ1045" s="21"/>
      <c r="AR1045" s="5" t="s">
        <v>1504</v>
      </c>
      <c r="AS1045" s="5" t="s">
        <v>164</v>
      </c>
      <c r="AT1045" s="5" t="s">
        <v>59</v>
      </c>
    </row>
    <row r="1046" spans="1:46">
      <c r="A1046" s="86"/>
      <c r="B1046" s="5">
        <v>15012504</v>
      </c>
      <c r="C1046" s="5" t="s">
        <v>1649</v>
      </c>
      <c r="D1046" s="5" t="s">
        <v>321</v>
      </c>
      <c r="E1046" s="5" t="s">
        <v>52</v>
      </c>
      <c r="F1046" s="5" t="s">
        <v>1452</v>
      </c>
      <c r="G1046" s="5" t="s">
        <v>1549</v>
      </c>
      <c r="H1046" s="5" t="s">
        <v>1650</v>
      </c>
      <c r="I1046" s="6">
        <v>41660</v>
      </c>
      <c r="J1046" s="5" t="s">
        <v>1607</v>
      </c>
      <c r="K1046" s="5" t="s">
        <v>1608</v>
      </c>
      <c r="L1046" s="5" t="s">
        <v>324</v>
      </c>
      <c r="M1046" s="7">
        <v>6</v>
      </c>
      <c r="N1046" s="7" t="s">
        <v>176</v>
      </c>
      <c r="O1046" s="8">
        <v>6348</v>
      </c>
      <c r="P1046" s="88">
        <v>0.02</v>
      </c>
      <c r="Q1046" s="10">
        <f t="shared" si="185"/>
        <v>127</v>
      </c>
      <c r="R1046" s="88">
        <v>5.0000000000000001E-3</v>
      </c>
      <c r="S1046" s="10">
        <f t="shared" si="186"/>
        <v>32</v>
      </c>
      <c r="T1046" s="88">
        <f t="shared" si="187"/>
        <v>2.5047258979206049E-2</v>
      </c>
      <c r="U1046" s="10">
        <f t="shared" si="188"/>
        <v>159</v>
      </c>
      <c r="V1046" s="10">
        <f t="shared" si="189"/>
        <v>6507</v>
      </c>
      <c r="W1046" s="11">
        <f>V1046-1</f>
        <v>6506</v>
      </c>
      <c r="X1046" s="12">
        <f t="shared" si="190"/>
        <v>158</v>
      </c>
      <c r="Y1046" s="92">
        <f t="shared" si="191"/>
        <v>2.4899999999999999E-2</v>
      </c>
      <c r="Z1046" s="93" t="str">
        <f t="shared" si="192"/>
        <v>0.00%-8.40%</v>
      </c>
      <c r="AA1046" s="15"/>
      <c r="AB1046" s="15"/>
      <c r="AC1046" s="15"/>
      <c r="AD1046" s="95"/>
      <c r="AE1046" s="8">
        <f t="shared" si="193"/>
        <v>0</v>
      </c>
      <c r="AF1046" s="17">
        <f t="shared" si="194"/>
        <v>6506</v>
      </c>
      <c r="AG1046" s="18">
        <f t="shared" si="195"/>
        <v>158</v>
      </c>
      <c r="AH1046" s="97">
        <f t="shared" si="196"/>
        <v>2.4889729048519271E-2</v>
      </c>
      <c r="AI1046" s="20">
        <v>13.6</v>
      </c>
      <c r="AJ1046" s="20">
        <v>450</v>
      </c>
      <c r="AK1046" s="20"/>
      <c r="AL1046" s="20">
        <v>688</v>
      </c>
      <c r="AM1046" s="20">
        <f t="shared" si="197"/>
        <v>94569.599999999991</v>
      </c>
      <c r="AN1046" s="7" t="s">
        <v>176</v>
      </c>
      <c r="AO1046" s="20"/>
      <c r="AP1046" s="21"/>
      <c r="AQ1046" s="21"/>
      <c r="AR1046" s="5" t="s">
        <v>1538</v>
      </c>
      <c r="AS1046" s="5" t="s">
        <v>164</v>
      </c>
      <c r="AT1046" s="5" t="s">
        <v>59</v>
      </c>
    </row>
    <row r="1047" spans="1:46">
      <c r="A1047" s="86"/>
      <c r="B1047" s="5">
        <v>15002380</v>
      </c>
      <c r="C1047" s="5" t="s">
        <v>1651</v>
      </c>
      <c r="D1047" s="5" t="s">
        <v>321</v>
      </c>
      <c r="E1047" s="5" t="s">
        <v>52</v>
      </c>
      <c r="F1047" s="5" t="s">
        <v>1452</v>
      </c>
      <c r="G1047" s="5" t="s">
        <v>1549</v>
      </c>
      <c r="H1047" s="5" t="s">
        <v>1650</v>
      </c>
      <c r="I1047" s="6">
        <v>39967</v>
      </c>
      <c r="J1047" s="5" t="s">
        <v>1607</v>
      </c>
      <c r="K1047" s="5" t="s">
        <v>1608</v>
      </c>
      <c r="L1047" s="5" t="s">
        <v>324</v>
      </c>
      <c r="M1047" s="7">
        <v>6</v>
      </c>
      <c r="N1047" s="7" t="s">
        <v>176</v>
      </c>
      <c r="O1047" s="8">
        <v>5670</v>
      </c>
      <c r="P1047" s="88">
        <v>0.02</v>
      </c>
      <c r="Q1047" s="10">
        <f t="shared" si="185"/>
        <v>113</v>
      </c>
      <c r="R1047" s="88">
        <v>5.0000000000000001E-3</v>
      </c>
      <c r="S1047" s="10">
        <f t="shared" si="186"/>
        <v>28</v>
      </c>
      <c r="T1047" s="88">
        <f t="shared" si="187"/>
        <v>2.4867724867724868E-2</v>
      </c>
      <c r="U1047" s="10">
        <f t="shared" si="188"/>
        <v>141</v>
      </c>
      <c r="V1047" s="10">
        <f t="shared" si="189"/>
        <v>5811</v>
      </c>
      <c r="W1047" s="11">
        <f t="shared" ref="W1047:W1050" si="200">V1047</f>
        <v>5811</v>
      </c>
      <c r="X1047" s="12">
        <f t="shared" si="190"/>
        <v>141</v>
      </c>
      <c r="Y1047" s="92">
        <f t="shared" si="191"/>
        <v>2.4899999999999999E-2</v>
      </c>
      <c r="Z1047" s="93" t="str">
        <f t="shared" si="192"/>
        <v>0.00%-8.40%</v>
      </c>
      <c r="AA1047" s="15"/>
      <c r="AB1047" s="15"/>
      <c r="AC1047" s="15"/>
      <c r="AD1047" s="95"/>
      <c r="AE1047" s="8">
        <f t="shared" si="193"/>
        <v>0</v>
      </c>
      <c r="AF1047" s="17">
        <f t="shared" si="194"/>
        <v>5811</v>
      </c>
      <c r="AG1047" s="18">
        <f t="shared" si="195"/>
        <v>141</v>
      </c>
      <c r="AH1047" s="97">
        <f t="shared" si="196"/>
        <v>2.4867724867724927E-2</v>
      </c>
      <c r="AI1047" s="20">
        <v>13.6</v>
      </c>
      <c r="AJ1047" s="20">
        <v>450</v>
      </c>
      <c r="AK1047" s="20"/>
      <c r="AL1047" s="20">
        <v>688</v>
      </c>
      <c r="AM1047" s="20">
        <f t="shared" si="197"/>
        <v>85117.599999999991</v>
      </c>
      <c r="AN1047" s="7" t="s">
        <v>176</v>
      </c>
      <c r="AO1047" s="20"/>
      <c r="AP1047" s="21"/>
      <c r="AQ1047" s="21"/>
      <c r="AR1047" s="5" t="s">
        <v>1538</v>
      </c>
      <c r="AS1047" s="5" t="s">
        <v>164</v>
      </c>
      <c r="AT1047" s="5" t="s">
        <v>59</v>
      </c>
    </row>
    <row r="1048" spans="1:46">
      <c r="A1048" s="86"/>
      <c r="B1048" s="5">
        <v>15012596</v>
      </c>
      <c r="C1048" s="5" t="s">
        <v>1652</v>
      </c>
      <c r="D1048" s="5" t="s">
        <v>321</v>
      </c>
      <c r="E1048" s="5" t="s">
        <v>52</v>
      </c>
      <c r="F1048" s="5" t="s">
        <v>1452</v>
      </c>
      <c r="G1048" s="5" t="s">
        <v>1549</v>
      </c>
      <c r="H1048" s="5" t="s">
        <v>1650</v>
      </c>
      <c r="I1048" s="6">
        <v>41821</v>
      </c>
      <c r="J1048" s="5" t="s">
        <v>1607</v>
      </c>
      <c r="K1048" s="5" t="s">
        <v>1608</v>
      </c>
      <c r="L1048" s="5" t="s">
        <v>324</v>
      </c>
      <c r="M1048" s="7">
        <v>6</v>
      </c>
      <c r="N1048" s="7" t="s">
        <v>176</v>
      </c>
      <c r="O1048" s="8">
        <v>5658</v>
      </c>
      <c r="P1048" s="88">
        <v>0.02</v>
      </c>
      <c r="Q1048" s="10">
        <f t="shared" si="185"/>
        <v>113</v>
      </c>
      <c r="R1048" s="88">
        <v>5.0000000000000001E-3</v>
      </c>
      <c r="S1048" s="10">
        <f t="shared" si="186"/>
        <v>28</v>
      </c>
      <c r="T1048" s="88">
        <f t="shared" si="187"/>
        <v>2.4920466595970307E-2</v>
      </c>
      <c r="U1048" s="10">
        <f t="shared" si="188"/>
        <v>141</v>
      </c>
      <c r="V1048" s="10">
        <f t="shared" si="189"/>
        <v>5799</v>
      </c>
      <c r="W1048" s="11">
        <f>V1048+1</f>
        <v>5800</v>
      </c>
      <c r="X1048" s="12">
        <f t="shared" si="190"/>
        <v>142</v>
      </c>
      <c r="Y1048" s="92">
        <f t="shared" si="191"/>
        <v>2.5100000000000001E-2</v>
      </c>
      <c r="Z1048" s="93" t="str">
        <f t="shared" si="192"/>
        <v>0.00%-8.40%</v>
      </c>
      <c r="AA1048" s="15"/>
      <c r="AB1048" s="15"/>
      <c r="AC1048" s="15"/>
      <c r="AD1048" s="95"/>
      <c r="AE1048" s="8">
        <f t="shared" si="193"/>
        <v>0</v>
      </c>
      <c r="AF1048" s="17">
        <f t="shared" si="194"/>
        <v>5800</v>
      </c>
      <c r="AG1048" s="18">
        <f t="shared" si="195"/>
        <v>142</v>
      </c>
      <c r="AH1048" s="97">
        <f t="shared" si="196"/>
        <v>2.5097207493814055E-2</v>
      </c>
      <c r="AI1048" s="20">
        <v>13.6</v>
      </c>
      <c r="AJ1048" s="20">
        <v>450</v>
      </c>
      <c r="AK1048" s="20"/>
      <c r="AL1048" s="20">
        <v>688</v>
      </c>
      <c r="AM1048" s="20">
        <f t="shared" si="197"/>
        <v>84968</v>
      </c>
      <c r="AN1048" s="7" t="s">
        <v>176</v>
      </c>
      <c r="AO1048" s="20"/>
      <c r="AP1048" s="21"/>
      <c r="AQ1048" s="21"/>
      <c r="AR1048" s="5" t="s">
        <v>1538</v>
      </c>
      <c r="AS1048" s="5" t="s">
        <v>164</v>
      </c>
      <c r="AT1048" s="5" t="s">
        <v>59</v>
      </c>
    </row>
    <row r="1049" spans="1:46">
      <c r="A1049" s="86"/>
      <c r="B1049" s="5">
        <v>15000694</v>
      </c>
      <c r="C1049" s="5" t="s">
        <v>1653</v>
      </c>
      <c r="D1049" s="5" t="s">
        <v>321</v>
      </c>
      <c r="E1049" s="5" t="s">
        <v>52</v>
      </c>
      <c r="F1049" s="5" t="s">
        <v>1452</v>
      </c>
      <c r="G1049" s="5" t="s">
        <v>1549</v>
      </c>
      <c r="H1049" s="5" t="s">
        <v>1650</v>
      </c>
      <c r="I1049" s="6">
        <v>38999</v>
      </c>
      <c r="J1049" s="5" t="s">
        <v>1607</v>
      </c>
      <c r="K1049" s="5" t="s">
        <v>1608</v>
      </c>
      <c r="L1049" s="5" t="s">
        <v>324</v>
      </c>
      <c r="M1049" s="7">
        <v>6</v>
      </c>
      <c r="N1049" s="7" t="s">
        <v>176</v>
      </c>
      <c r="O1049" s="8">
        <v>4800</v>
      </c>
      <c r="P1049" s="88">
        <v>0.02</v>
      </c>
      <c r="Q1049" s="10">
        <f t="shared" si="185"/>
        <v>96</v>
      </c>
      <c r="R1049" s="88">
        <v>5.0000000000000001E-3</v>
      </c>
      <c r="S1049" s="10">
        <f t="shared" si="186"/>
        <v>24</v>
      </c>
      <c r="T1049" s="88">
        <f t="shared" si="187"/>
        <v>2.5000000000000001E-2</v>
      </c>
      <c r="U1049" s="10">
        <f t="shared" si="188"/>
        <v>120</v>
      </c>
      <c r="V1049" s="10">
        <f t="shared" si="189"/>
        <v>4920</v>
      </c>
      <c r="W1049" s="11">
        <f t="shared" si="200"/>
        <v>4920</v>
      </c>
      <c r="X1049" s="12">
        <f t="shared" si="190"/>
        <v>120</v>
      </c>
      <c r="Y1049" s="92">
        <f t="shared" si="191"/>
        <v>2.5000000000000001E-2</v>
      </c>
      <c r="Z1049" s="93" t="str">
        <f t="shared" si="192"/>
        <v>0.00%-8.40%</v>
      </c>
      <c r="AA1049" s="15"/>
      <c r="AB1049" s="15"/>
      <c r="AC1049" s="15"/>
      <c r="AD1049" s="95"/>
      <c r="AE1049" s="8">
        <f t="shared" si="193"/>
        <v>0</v>
      </c>
      <c r="AF1049" s="17">
        <f t="shared" si="194"/>
        <v>4920</v>
      </c>
      <c r="AG1049" s="18">
        <f t="shared" si="195"/>
        <v>120</v>
      </c>
      <c r="AH1049" s="97">
        <f t="shared" si="196"/>
        <v>2.4999999999999911E-2</v>
      </c>
      <c r="AI1049" s="20">
        <v>13.6</v>
      </c>
      <c r="AJ1049" s="20">
        <v>450</v>
      </c>
      <c r="AK1049" s="20"/>
      <c r="AL1049" s="20">
        <v>688</v>
      </c>
      <c r="AM1049" s="20">
        <f t="shared" si="197"/>
        <v>73000</v>
      </c>
      <c r="AN1049" s="7" t="s">
        <v>176</v>
      </c>
      <c r="AO1049" s="20"/>
      <c r="AP1049" s="21"/>
      <c r="AQ1049" s="21"/>
      <c r="AR1049" s="5" t="s">
        <v>1538</v>
      </c>
      <c r="AS1049" s="5" t="s">
        <v>164</v>
      </c>
      <c r="AT1049" s="5" t="s">
        <v>59</v>
      </c>
    </row>
    <row r="1050" spans="1:46">
      <c r="A1050" s="86"/>
      <c r="B1050" s="5">
        <v>15000835</v>
      </c>
      <c r="C1050" s="5" t="s">
        <v>1654</v>
      </c>
      <c r="D1050" s="5" t="s">
        <v>321</v>
      </c>
      <c r="E1050" s="5" t="s">
        <v>52</v>
      </c>
      <c r="F1050" s="5" t="s">
        <v>1452</v>
      </c>
      <c r="G1050" s="5" t="s">
        <v>1549</v>
      </c>
      <c r="H1050" s="5" t="s">
        <v>1650</v>
      </c>
      <c r="I1050" s="6">
        <v>39114</v>
      </c>
      <c r="J1050" s="5" t="s">
        <v>1607</v>
      </c>
      <c r="K1050" s="5" t="s">
        <v>1608</v>
      </c>
      <c r="L1050" s="5" t="s">
        <v>324</v>
      </c>
      <c r="M1050" s="7">
        <v>6</v>
      </c>
      <c r="N1050" s="7" t="s">
        <v>176</v>
      </c>
      <c r="O1050" s="8">
        <v>5698</v>
      </c>
      <c r="P1050" s="88">
        <v>0.02</v>
      </c>
      <c r="Q1050" s="10">
        <f t="shared" si="185"/>
        <v>114</v>
      </c>
      <c r="R1050" s="88">
        <v>5.0000000000000001E-3</v>
      </c>
      <c r="S1050" s="10">
        <f t="shared" si="186"/>
        <v>28</v>
      </c>
      <c r="T1050" s="88">
        <f t="shared" si="187"/>
        <v>2.4921024921024919E-2</v>
      </c>
      <c r="U1050" s="10">
        <f t="shared" si="188"/>
        <v>142</v>
      </c>
      <c r="V1050" s="10">
        <f t="shared" si="189"/>
        <v>5840</v>
      </c>
      <c r="W1050" s="11">
        <f t="shared" si="200"/>
        <v>5840</v>
      </c>
      <c r="X1050" s="12">
        <f t="shared" si="190"/>
        <v>142</v>
      </c>
      <c r="Y1050" s="92">
        <f t="shared" si="191"/>
        <v>2.4899999999999999E-2</v>
      </c>
      <c r="Z1050" s="93" t="str">
        <f t="shared" si="192"/>
        <v>0.00%-8.40%</v>
      </c>
      <c r="AA1050" s="15"/>
      <c r="AB1050" s="15"/>
      <c r="AC1050" s="15"/>
      <c r="AD1050" s="95"/>
      <c r="AE1050" s="8">
        <f t="shared" si="193"/>
        <v>0</v>
      </c>
      <c r="AF1050" s="17">
        <f t="shared" si="194"/>
        <v>5840</v>
      </c>
      <c r="AG1050" s="18">
        <f t="shared" si="195"/>
        <v>142</v>
      </c>
      <c r="AH1050" s="97">
        <f t="shared" si="196"/>
        <v>2.4921024921024992E-2</v>
      </c>
      <c r="AI1050" s="20">
        <v>13.6</v>
      </c>
      <c r="AJ1050" s="20">
        <v>450</v>
      </c>
      <c r="AK1050" s="20"/>
      <c r="AL1050" s="20">
        <v>688</v>
      </c>
      <c r="AM1050" s="20">
        <f t="shared" si="197"/>
        <v>85512</v>
      </c>
      <c r="AN1050" s="7" t="s">
        <v>176</v>
      </c>
      <c r="AO1050" s="20"/>
      <c r="AP1050" s="21"/>
      <c r="AQ1050" s="21"/>
      <c r="AR1050" s="5" t="s">
        <v>1538</v>
      </c>
      <c r="AS1050" s="5" t="s">
        <v>164</v>
      </c>
      <c r="AT1050" s="5" t="s">
        <v>59</v>
      </c>
    </row>
    <row r="1051" spans="1:46">
      <c r="A1051" s="86"/>
      <c r="B1051" s="5">
        <v>15000634</v>
      </c>
      <c r="C1051" s="5" t="s">
        <v>1655</v>
      </c>
      <c r="D1051" s="5" t="s">
        <v>321</v>
      </c>
      <c r="E1051" s="5" t="s">
        <v>52</v>
      </c>
      <c r="F1051" s="5" t="s">
        <v>1452</v>
      </c>
      <c r="G1051" s="5" t="s">
        <v>1549</v>
      </c>
      <c r="H1051" s="5" t="s">
        <v>1650</v>
      </c>
      <c r="I1051" s="6">
        <v>38965</v>
      </c>
      <c r="J1051" s="5" t="s">
        <v>1607</v>
      </c>
      <c r="K1051" s="5" t="s">
        <v>1608</v>
      </c>
      <c r="L1051" s="5" t="s">
        <v>324</v>
      </c>
      <c r="M1051" s="7">
        <v>6</v>
      </c>
      <c r="N1051" s="7" t="s">
        <v>176</v>
      </c>
      <c r="O1051" s="8">
        <v>5680</v>
      </c>
      <c r="P1051" s="88">
        <v>0.02</v>
      </c>
      <c r="Q1051" s="10">
        <f t="shared" si="185"/>
        <v>114</v>
      </c>
      <c r="R1051" s="88">
        <v>5.0000000000000001E-3</v>
      </c>
      <c r="S1051" s="10">
        <f t="shared" si="186"/>
        <v>28</v>
      </c>
      <c r="T1051" s="88">
        <f t="shared" si="187"/>
        <v>2.5000000000000001E-2</v>
      </c>
      <c r="U1051" s="10">
        <f t="shared" si="188"/>
        <v>142</v>
      </c>
      <c r="V1051" s="10">
        <f t="shared" si="189"/>
        <v>5822</v>
      </c>
      <c r="W1051" s="11">
        <f>V1051</f>
        <v>5822</v>
      </c>
      <c r="X1051" s="12">
        <f t="shared" si="190"/>
        <v>142</v>
      </c>
      <c r="Y1051" s="92">
        <f t="shared" si="191"/>
        <v>2.5000000000000001E-2</v>
      </c>
      <c r="Z1051" s="93" t="str">
        <f t="shared" si="192"/>
        <v>0.00%-8.40%</v>
      </c>
      <c r="AA1051" s="15"/>
      <c r="AB1051" s="15"/>
      <c r="AC1051" s="15"/>
      <c r="AD1051" s="95"/>
      <c r="AE1051" s="8">
        <f t="shared" si="193"/>
        <v>0</v>
      </c>
      <c r="AF1051" s="17">
        <f t="shared" si="194"/>
        <v>5822</v>
      </c>
      <c r="AG1051" s="18">
        <f t="shared" si="195"/>
        <v>142</v>
      </c>
      <c r="AH1051" s="97">
        <f t="shared" si="196"/>
        <v>2.4999999999999911E-2</v>
      </c>
      <c r="AI1051" s="20">
        <v>13.6</v>
      </c>
      <c r="AJ1051" s="20">
        <v>450</v>
      </c>
      <c r="AK1051" s="20"/>
      <c r="AL1051" s="20">
        <v>688</v>
      </c>
      <c r="AM1051" s="20">
        <f t="shared" si="197"/>
        <v>85267.199999999997</v>
      </c>
      <c r="AN1051" s="7" t="s">
        <v>176</v>
      </c>
      <c r="AO1051" s="20"/>
      <c r="AP1051" s="21"/>
      <c r="AQ1051" s="21"/>
      <c r="AR1051" s="5" t="s">
        <v>1538</v>
      </c>
      <c r="AS1051" s="5" t="s">
        <v>164</v>
      </c>
      <c r="AT1051" s="5" t="s">
        <v>59</v>
      </c>
    </row>
    <row r="1052" spans="1:46">
      <c r="A1052" s="86"/>
      <c r="B1052" s="5">
        <v>15001129</v>
      </c>
      <c r="C1052" s="5" t="s">
        <v>1656</v>
      </c>
      <c r="D1052" s="5" t="s">
        <v>360</v>
      </c>
      <c r="E1052" s="5" t="s">
        <v>52</v>
      </c>
      <c r="F1052" s="5" t="s">
        <v>1455</v>
      </c>
      <c r="G1052" s="5" t="s">
        <v>1591</v>
      </c>
      <c r="H1052" s="5" t="s">
        <v>1592</v>
      </c>
      <c r="I1052" s="6">
        <v>39569</v>
      </c>
      <c r="J1052" s="5" t="s">
        <v>1608</v>
      </c>
      <c r="K1052" s="5" t="s">
        <v>1607</v>
      </c>
      <c r="L1052" s="5" t="s">
        <v>324</v>
      </c>
      <c r="M1052" s="7">
        <v>6</v>
      </c>
      <c r="N1052" s="7" t="s">
        <v>176</v>
      </c>
      <c r="O1052" s="8">
        <v>5503</v>
      </c>
      <c r="P1052" s="121">
        <v>0.02</v>
      </c>
      <c r="Q1052" s="10">
        <f t="shared" si="185"/>
        <v>110</v>
      </c>
      <c r="R1052" s="121">
        <v>5.0000000000000001E-3</v>
      </c>
      <c r="S1052" s="10">
        <f t="shared" si="186"/>
        <v>28</v>
      </c>
      <c r="T1052" s="121">
        <f t="shared" si="187"/>
        <v>2.5077230601490096E-2</v>
      </c>
      <c r="U1052" s="10">
        <f t="shared" si="188"/>
        <v>138</v>
      </c>
      <c r="V1052" s="10">
        <f t="shared" si="189"/>
        <v>5641</v>
      </c>
      <c r="W1052" s="11">
        <v>5652</v>
      </c>
      <c r="X1052" s="12">
        <f t="shared" si="190"/>
        <v>149</v>
      </c>
      <c r="Y1052" s="122">
        <f t="shared" si="191"/>
        <v>2.7099999999999999E-2</v>
      </c>
      <c r="Z1052" s="123" t="str">
        <f t="shared" si="192"/>
        <v>0.00%-8.40%</v>
      </c>
      <c r="AA1052" s="15"/>
      <c r="AB1052" s="15"/>
      <c r="AC1052" s="15"/>
      <c r="AD1052" s="124"/>
      <c r="AE1052" s="8">
        <f t="shared" si="193"/>
        <v>0</v>
      </c>
      <c r="AF1052" s="17">
        <f t="shared" si="194"/>
        <v>5652</v>
      </c>
      <c r="AG1052" s="18">
        <f t="shared" si="195"/>
        <v>149</v>
      </c>
      <c r="AH1052" s="125">
        <f t="shared" si="196"/>
        <v>2.7076140287116024E-2</v>
      </c>
      <c r="AI1052" s="20">
        <v>13.6</v>
      </c>
      <c r="AJ1052" s="20">
        <v>600</v>
      </c>
      <c r="AK1052" s="20"/>
      <c r="AL1052" s="20">
        <v>688</v>
      </c>
      <c r="AM1052" s="20">
        <f t="shared" si="197"/>
        <v>84755.199999999997</v>
      </c>
      <c r="AN1052" s="7" t="s">
        <v>176</v>
      </c>
      <c r="AO1052" s="20"/>
      <c r="AP1052" s="21"/>
      <c r="AQ1052" s="21"/>
      <c r="AR1052" s="5" t="s">
        <v>1589</v>
      </c>
      <c r="AS1052" s="5" t="s">
        <v>164</v>
      </c>
      <c r="AT1052" s="5" t="s">
        <v>59</v>
      </c>
    </row>
    <row r="1053" spans="1:46">
      <c r="A1053" s="86"/>
      <c r="B1053" s="5">
        <v>15001124</v>
      </c>
      <c r="C1053" s="5" t="s">
        <v>1657</v>
      </c>
      <c r="D1053" s="5" t="s">
        <v>360</v>
      </c>
      <c r="E1053" s="5" t="s">
        <v>52</v>
      </c>
      <c r="F1053" s="5" t="s">
        <v>1455</v>
      </c>
      <c r="G1053" s="5" t="s">
        <v>1587</v>
      </c>
      <c r="H1053" s="5" t="s">
        <v>1588</v>
      </c>
      <c r="I1053" s="6">
        <v>39356</v>
      </c>
      <c r="J1053" s="5" t="s">
        <v>1608</v>
      </c>
      <c r="K1053" s="5" t="s">
        <v>1658</v>
      </c>
      <c r="L1053" s="5" t="s">
        <v>324</v>
      </c>
      <c r="M1053" s="7">
        <v>6</v>
      </c>
      <c r="N1053" s="7" t="s">
        <v>176</v>
      </c>
      <c r="O1053" s="8">
        <v>4847</v>
      </c>
      <c r="P1053" s="121">
        <v>0.02</v>
      </c>
      <c r="Q1053" s="10">
        <f t="shared" si="185"/>
        <v>97</v>
      </c>
      <c r="R1053" s="121">
        <v>5.0000000000000001E-3</v>
      </c>
      <c r="S1053" s="10">
        <f t="shared" si="186"/>
        <v>24</v>
      </c>
      <c r="T1053" s="121">
        <f t="shared" si="187"/>
        <v>2.4963895192902825E-2</v>
      </c>
      <c r="U1053" s="10">
        <f t="shared" si="188"/>
        <v>121</v>
      </c>
      <c r="V1053" s="10">
        <f t="shared" si="189"/>
        <v>4968</v>
      </c>
      <c r="W1053" s="11">
        <v>5077</v>
      </c>
      <c r="X1053" s="12">
        <f t="shared" si="190"/>
        <v>230</v>
      </c>
      <c r="Y1053" s="122">
        <f t="shared" si="191"/>
        <v>4.7500000000000001E-2</v>
      </c>
      <c r="Z1053" s="123" t="str">
        <f t="shared" si="192"/>
        <v>0.00%-8.40%</v>
      </c>
      <c r="AA1053" s="15"/>
      <c r="AB1053" s="15"/>
      <c r="AC1053" s="15"/>
      <c r="AD1053" s="124"/>
      <c r="AE1053" s="8">
        <f t="shared" si="193"/>
        <v>0</v>
      </c>
      <c r="AF1053" s="17">
        <f t="shared" si="194"/>
        <v>5077</v>
      </c>
      <c r="AG1053" s="18">
        <f t="shared" si="195"/>
        <v>230</v>
      </c>
      <c r="AH1053" s="125">
        <f t="shared" si="196"/>
        <v>4.7452032184856607E-2</v>
      </c>
      <c r="AI1053" s="20">
        <v>13.6</v>
      </c>
      <c r="AJ1053" s="20">
        <v>450</v>
      </c>
      <c r="AK1053" s="20"/>
      <c r="AL1053" s="20">
        <v>688</v>
      </c>
      <c r="AM1053" s="20">
        <f t="shared" si="197"/>
        <v>75135.199999999997</v>
      </c>
      <c r="AN1053" s="7" t="s">
        <v>176</v>
      </c>
      <c r="AO1053" s="20"/>
      <c r="AP1053" s="21"/>
      <c r="AQ1053" s="21"/>
      <c r="AR1053" s="5" t="s">
        <v>1589</v>
      </c>
      <c r="AS1053" s="5" t="s">
        <v>164</v>
      </c>
      <c r="AT1053" s="5" t="s">
        <v>59</v>
      </c>
    </row>
    <row r="1054" spans="1:46">
      <c r="A1054" s="86"/>
      <c r="B1054" s="5">
        <v>15004972</v>
      </c>
      <c r="C1054" s="5" t="s">
        <v>1659</v>
      </c>
      <c r="D1054" s="5" t="s">
        <v>321</v>
      </c>
      <c r="E1054" s="5" t="s">
        <v>52</v>
      </c>
      <c r="F1054" s="5" t="s">
        <v>1455</v>
      </c>
      <c r="G1054" s="5" t="s">
        <v>1591</v>
      </c>
      <c r="H1054" s="5" t="s">
        <v>1660</v>
      </c>
      <c r="I1054" s="6">
        <v>40664</v>
      </c>
      <c r="J1054" s="5" t="s">
        <v>1607</v>
      </c>
      <c r="K1054" s="5" t="s">
        <v>1608</v>
      </c>
      <c r="L1054" s="5" t="s">
        <v>324</v>
      </c>
      <c r="M1054" s="7">
        <v>6</v>
      </c>
      <c r="N1054" s="7" t="s">
        <v>176</v>
      </c>
      <c r="O1054" s="8">
        <v>4949</v>
      </c>
      <c r="P1054" s="121">
        <v>0.02</v>
      </c>
      <c r="Q1054" s="10">
        <f t="shared" si="185"/>
        <v>99</v>
      </c>
      <c r="R1054" s="121">
        <v>5.0000000000000001E-3</v>
      </c>
      <c r="S1054" s="10">
        <f t="shared" si="186"/>
        <v>25</v>
      </c>
      <c r="T1054" s="121">
        <f t="shared" si="187"/>
        <v>2.5055566781167913E-2</v>
      </c>
      <c r="U1054" s="10">
        <f t="shared" si="188"/>
        <v>124</v>
      </c>
      <c r="V1054" s="10">
        <f t="shared" si="189"/>
        <v>5073</v>
      </c>
      <c r="W1054" s="11">
        <v>5075</v>
      </c>
      <c r="X1054" s="12">
        <f t="shared" si="190"/>
        <v>126</v>
      </c>
      <c r="Y1054" s="122">
        <f t="shared" si="191"/>
        <v>2.5499999999999998E-2</v>
      </c>
      <c r="Z1054" s="123" t="str">
        <f t="shared" si="192"/>
        <v>0.00%-8.40%</v>
      </c>
      <c r="AA1054" s="15"/>
      <c r="AB1054" s="15"/>
      <c r="AC1054" s="15"/>
      <c r="AD1054" s="124"/>
      <c r="AE1054" s="8">
        <f t="shared" si="193"/>
        <v>0</v>
      </c>
      <c r="AF1054" s="17">
        <f t="shared" si="194"/>
        <v>5075</v>
      </c>
      <c r="AG1054" s="18">
        <f t="shared" si="195"/>
        <v>126</v>
      </c>
      <c r="AH1054" s="125">
        <f t="shared" si="196"/>
        <v>2.5459688826025451E-2</v>
      </c>
      <c r="AI1054" s="20">
        <v>13.6</v>
      </c>
      <c r="AJ1054" s="20">
        <v>500</v>
      </c>
      <c r="AK1054" s="20"/>
      <c r="AL1054" s="20">
        <v>688</v>
      </c>
      <c r="AM1054" s="20">
        <f t="shared" si="197"/>
        <v>75708</v>
      </c>
      <c r="AN1054" s="7" t="s">
        <v>176</v>
      </c>
      <c r="AO1054" s="20"/>
      <c r="AP1054" s="21"/>
      <c r="AQ1054" s="21"/>
      <c r="AR1054" s="5" t="s">
        <v>1589</v>
      </c>
      <c r="AS1054" s="5" t="s">
        <v>164</v>
      </c>
      <c r="AT1054" s="5" t="s">
        <v>59</v>
      </c>
    </row>
    <row r="1055" spans="1:46">
      <c r="A1055" s="86"/>
      <c r="B1055" s="5">
        <v>15000265</v>
      </c>
      <c r="C1055" s="5" t="s">
        <v>1661</v>
      </c>
      <c r="D1055" s="5" t="s">
        <v>321</v>
      </c>
      <c r="E1055" s="5" t="s">
        <v>52</v>
      </c>
      <c r="F1055" s="5" t="s">
        <v>1455</v>
      </c>
      <c r="G1055" s="5" t="s">
        <v>1591</v>
      </c>
      <c r="H1055" s="5" t="s">
        <v>1660</v>
      </c>
      <c r="I1055" s="6">
        <v>38656</v>
      </c>
      <c r="J1055" s="5" t="s">
        <v>1607</v>
      </c>
      <c r="K1055" s="5" t="s">
        <v>1608</v>
      </c>
      <c r="L1055" s="5" t="s">
        <v>324</v>
      </c>
      <c r="M1055" s="7">
        <v>6</v>
      </c>
      <c r="N1055" s="7" t="s">
        <v>176</v>
      </c>
      <c r="O1055" s="8">
        <v>6693</v>
      </c>
      <c r="P1055" s="121">
        <v>0.02</v>
      </c>
      <c r="Q1055" s="10">
        <f t="shared" si="185"/>
        <v>134</v>
      </c>
      <c r="R1055" s="121">
        <v>5.0000000000000001E-3</v>
      </c>
      <c r="S1055" s="10">
        <f t="shared" si="186"/>
        <v>33</v>
      </c>
      <c r="T1055" s="121">
        <f t="shared" si="187"/>
        <v>2.4951441804870762E-2</v>
      </c>
      <c r="U1055" s="10">
        <f t="shared" si="188"/>
        <v>167</v>
      </c>
      <c r="V1055" s="10">
        <f t="shared" si="189"/>
        <v>6860</v>
      </c>
      <c r="W1055" s="11">
        <v>6748</v>
      </c>
      <c r="X1055" s="12">
        <f t="shared" si="190"/>
        <v>55</v>
      </c>
      <c r="Y1055" s="122">
        <f t="shared" si="191"/>
        <v>8.2000000000000007E-3</v>
      </c>
      <c r="Z1055" s="123" t="str">
        <f t="shared" si="192"/>
        <v>0.00%-8.40%</v>
      </c>
      <c r="AA1055" s="15"/>
      <c r="AB1055" s="15"/>
      <c r="AC1055" s="15"/>
      <c r="AD1055" s="124"/>
      <c r="AE1055" s="8">
        <f t="shared" si="193"/>
        <v>0</v>
      </c>
      <c r="AF1055" s="17">
        <f t="shared" si="194"/>
        <v>6748</v>
      </c>
      <c r="AG1055" s="18">
        <f t="shared" si="195"/>
        <v>55</v>
      </c>
      <c r="AH1055" s="125">
        <f t="shared" si="196"/>
        <v>8.2175407141789059E-3</v>
      </c>
      <c r="AI1055" s="20">
        <v>13.6</v>
      </c>
      <c r="AJ1055" s="20">
        <v>500</v>
      </c>
      <c r="AK1055" s="20"/>
      <c r="AL1055" s="20">
        <v>688</v>
      </c>
      <c r="AM1055" s="20">
        <f t="shared" si="197"/>
        <v>98460.800000000003</v>
      </c>
      <c r="AN1055" s="7" t="s">
        <v>176</v>
      </c>
      <c r="AO1055" s="20"/>
      <c r="AP1055" s="21"/>
      <c r="AQ1055" s="21"/>
      <c r="AR1055" s="5" t="s">
        <v>1589</v>
      </c>
      <c r="AS1055" s="5" t="s">
        <v>164</v>
      </c>
      <c r="AT1055" s="5" t="s">
        <v>59</v>
      </c>
    </row>
    <row r="1056" spans="1:46">
      <c r="A1056" s="86"/>
      <c r="B1056" s="5">
        <v>15001379</v>
      </c>
      <c r="C1056" s="5" t="s">
        <v>1662</v>
      </c>
      <c r="D1056" s="5" t="s">
        <v>321</v>
      </c>
      <c r="E1056" s="5" t="s">
        <v>52</v>
      </c>
      <c r="F1056" s="5" t="s">
        <v>1455</v>
      </c>
      <c r="G1056" s="5" t="s">
        <v>1591</v>
      </c>
      <c r="H1056" s="5" t="s">
        <v>1660</v>
      </c>
      <c r="I1056" s="6">
        <v>39503</v>
      </c>
      <c r="J1056" s="5" t="s">
        <v>1607</v>
      </c>
      <c r="K1056" s="5" t="s">
        <v>1608</v>
      </c>
      <c r="L1056" s="5" t="s">
        <v>324</v>
      </c>
      <c r="M1056" s="7">
        <v>6</v>
      </c>
      <c r="N1056" s="7" t="s">
        <v>176</v>
      </c>
      <c r="O1056" s="8">
        <v>4649</v>
      </c>
      <c r="P1056" s="121">
        <v>0.02</v>
      </c>
      <c r="Q1056" s="10">
        <f t="shared" si="185"/>
        <v>93</v>
      </c>
      <c r="R1056" s="121">
        <v>5.0000000000000001E-3</v>
      </c>
      <c r="S1056" s="10">
        <f t="shared" si="186"/>
        <v>23</v>
      </c>
      <c r="T1056" s="121">
        <f t="shared" si="187"/>
        <v>2.4951602495160249E-2</v>
      </c>
      <c r="U1056" s="10">
        <f t="shared" si="188"/>
        <v>116</v>
      </c>
      <c r="V1056" s="10">
        <f t="shared" si="189"/>
        <v>4765</v>
      </c>
      <c r="W1056" s="11">
        <v>4750</v>
      </c>
      <c r="X1056" s="12">
        <f t="shared" si="190"/>
        <v>101</v>
      </c>
      <c r="Y1056" s="122">
        <f t="shared" si="191"/>
        <v>2.1700000000000001E-2</v>
      </c>
      <c r="Z1056" s="123" t="str">
        <f t="shared" si="192"/>
        <v>0.00%-8.40%</v>
      </c>
      <c r="AA1056" s="15"/>
      <c r="AB1056" s="15"/>
      <c r="AC1056" s="15"/>
      <c r="AD1056" s="124"/>
      <c r="AE1056" s="8">
        <f t="shared" si="193"/>
        <v>0</v>
      </c>
      <c r="AF1056" s="17">
        <f t="shared" si="194"/>
        <v>4750</v>
      </c>
      <c r="AG1056" s="18">
        <f t="shared" si="195"/>
        <v>101</v>
      </c>
      <c r="AH1056" s="125">
        <f t="shared" si="196"/>
        <v>2.1725102172510224E-2</v>
      </c>
      <c r="AI1056" s="20">
        <v>13.6</v>
      </c>
      <c r="AJ1056" s="20">
        <v>450</v>
      </c>
      <c r="AK1056" s="20"/>
      <c r="AL1056" s="20">
        <v>688</v>
      </c>
      <c r="AM1056" s="20">
        <f t="shared" si="197"/>
        <v>70688</v>
      </c>
      <c r="AN1056" s="7" t="s">
        <v>176</v>
      </c>
      <c r="AO1056" s="20"/>
      <c r="AP1056" s="21"/>
      <c r="AQ1056" s="21"/>
      <c r="AR1056" s="5" t="s">
        <v>1589</v>
      </c>
      <c r="AS1056" s="5" t="s">
        <v>164</v>
      </c>
      <c r="AT1056" s="5" t="s">
        <v>59</v>
      </c>
    </row>
    <row r="1057" spans="1:46">
      <c r="A1057" s="86"/>
      <c r="B1057" s="5">
        <v>15011876</v>
      </c>
      <c r="C1057" s="5" t="s">
        <v>1663</v>
      </c>
      <c r="D1057" s="5" t="s">
        <v>321</v>
      </c>
      <c r="E1057" s="5" t="s">
        <v>52</v>
      </c>
      <c r="F1057" s="5" t="s">
        <v>1455</v>
      </c>
      <c r="G1057" s="5" t="s">
        <v>1591</v>
      </c>
      <c r="H1057" s="5" t="s">
        <v>1660</v>
      </c>
      <c r="I1057" s="6">
        <v>41640</v>
      </c>
      <c r="J1057" s="5" t="s">
        <v>1607</v>
      </c>
      <c r="K1057" s="5" t="s">
        <v>1608</v>
      </c>
      <c r="L1057" s="5" t="s">
        <v>324</v>
      </c>
      <c r="M1057" s="7">
        <v>6</v>
      </c>
      <c r="N1057" s="7" t="s">
        <v>176</v>
      </c>
      <c r="O1057" s="8">
        <v>4991</v>
      </c>
      <c r="P1057" s="121">
        <v>0.02</v>
      </c>
      <c r="Q1057" s="10">
        <f t="shared" si="185"/>
        <v>100</v>
      </c>
      <c r="R1057" s="121">
        <v>5.0000000000000001E-3</v>
      </c>
      <c r="S1057" s="10">
        <f t="shared" si="186"/>
        <v>25</v>
      </c>
      <c r="T1057" s="121">
        <f t="shared" si="187"/>
        <v>2.5045081146062912E-2</v>
      </c>
      <c r="U1057" s="10">
        <f t="shared" si="188"/>
        <v>125</v>
      </c>
      <c r="V1057" s="10">
        <f t="shared" si="189"/>
        <v>5116</v>
      </c>
      <c r="W1057" s="11">
        <v>5150</v>
      </c>
      <c r="X1057" s="12">
        <f t="shared" si="190"/>
        <v>159</v>
      </c>
      <c r="Y1057" s="122">
        <f t="shared" si="191"/>
        <v>3.1899999999999998E-2</v>
      </c>
      <c r="Z1057" s="123" t="str">
        <f t="shared" si="192"/>
        <v>0.00%-8.40%</v>
      </c>
      <c r="AA1057" s="15"/>
      <c r="AB1057" s="15"/>
      <c r="AC1057" s="15"/>
      <c r="AD1057" s="124"/>
      <c r="AE1057" s="8">
        <f t="shared" si="193"/>
        <v>0</v>
      </c>
      <c r="AF1057" s="17">
        <f t="shared" si="194"/>
        <v>5150</v>
      </c>
      <c r="AG1057" s="18">
        <f t="shared" si="195"/>
        <v>159</v>
      </c>
      <c r="AH1057" s="125">
        <f t="shared" si="196"/>
        <v>3.1857343217791989E-2</v>
      </c>
      <c r="AI1057" s="20">
        <v>13.6</v>
      </c>
      <c r="AJ1057" s="20">
        <v>450</v>
      </c>
      <c r="AK1057" s="20"/>
      <c r="AL1057" s="20">
        <v>688</v>
      </c>
      <c r="AM1057" s="20">
        <f t="shared" si="197"/>
        <v>76128</v>
      </c>
      <c r="AN1057" s="7" t="s">
        <v>176</v>
      </c>
      <c r="AO1057" s="20"/>
      <c r="AP1057" s="21"/>
      <c r="AQ1057" s="21"/>
      <c r="AR1057" s="5" t="s">
        <v>1589</v>
      </c>
      <c r="AS1057" s="5" t="s">
        <v>164</v>
      </c>
      <c r="AT1057" s="5" t="s">
        <v>59</v>
      </c>
    </row>
    <row r="1058" spans="1:46">
      <c r="A1058" s="86"/>
      <c r="B1058" s="5">
        <v>15004875</v>
      </c>
      <c r="C1058" s="5" t="s">
        <v>1664</v>
      </c>
      <c r="D1058" s="5" t="s">
        <v>321</v>
      </c>
      <c r="E1058" s="5" t="s">
        <v>52</v>
      </c>
      <c r="F1058" s="5" t="s">
        <v>1455</v>
      </c>
      <c r="G1058" s="5" t="s">
        <v>1591</v>
      </c>
      <c r="H1058" s="5" t="s">
        <v>1660</v>
      </c>
      <c r="I1058" s="6">
        <v>44621</v>
      </c>
      <c r="J1058" s="5" t="s">
        <v>1607</v>
      </c>
      <c r="K1058" s="5" t="s">
        <v>1608</v>
      </c>
      <c r="L1058" s="5" t="s">
        <v>324</v>
      </c>
      <c r="M1058" s="7">
        <v>6</v>
      </c>
      <c r="N1058" s="7" t="s">
        <v>176</v>
      </c>
      <c r="O1058" s="8">
        <v>4642</v>
      </c>
      <c r="P1058" s="121">
        <v>0.02</v>
      </c>
      <c r="Q1058" s="10">
        <f t="shared" si="185"/>
        <v>93</v>
      </c>
      <c r="R1058" s="121">
        <v>5.0000000000000001E-3</v>
      </c>
      <c r="S1058" s="10">
        <f t="shared" si="186"/>
        <v>23</v>
      </c>
      <c r="T1058" s="121">
        <f t="shared" si="187"/>
        <v>2.4989228780697974E-2</v>
      </c>
      <c r="U1058" s="10">
        <f t="shared" si="188"/>
        <v>116</v>
      </c>
      <c r="V1058" s="10">
        <f t="shared" si="189"/>
        <v>4758</v>
      </c>
      <c r="W1058" s="11">
        <v>4875</v>
      </c>
      <c r="X1058" s="12">
        <f t="shared" si="190"/>
        <v>233</v>
      </c>
      <c r="Y1058" s="122">
        <f t="shared" si="191"/>
        <v>5.0200000000000002E-2</v>
      </c>
      <c r="Z1058" s="123" t="str">
        <f t="shared" si="192"/>
        <v>0.00%-8.40%</v>
      </c>
      <c r="AA1058" s="15"/>
      <c r="AB1058" s="15"/>
      <c r="AC1058" s="15"/>
      <c r="AD1058" s="124"/>
      <c r="AE1058" s="8">
        <f t="shared" si="193"/>
        <v>0</v>
      </c>
      <c r="AF1058" s="17">
        <f t="shared" si="194"/>
        <v>4875</v>
      </c>
      <c r="AG1058" s="18">
        <f t="shared" si="195"/>
        <v>233</v>
      </c>
      <c r="AH1058" s="125">
        <f t="shared" si="196"/>
        <v>5.0193881947436347E-2</v>
      </c>
      <c r="AI1058" s="20">
        <v>13.6</v>
      </c>
      <c r="AJ1058" s="20">
        <v>500</v>
      </c>
      <c r="AK1058" s="20"/>
      <c r="AL1058" s="20">
        <v>688</v>
      </c>
      <c r="AM1058" s="20">
        <f t="shared" si="197"/>
        <v>72988</v>
      </c>
      <c r="AN1058" s="7" t="s">
        <v>176</v>
      </c>
      <c r="AO1058" s="20"/>
      <c r="AP1058" s="21"/>
      <c r="AQ1058" s="21"/>
      <c r="AR1058" s="5" t="s">
        <v>1589</v>
      </c>
      <c r="AS1058" s="5" t="s">
        <v>164</v>
      </c>
      <c r="AT1058" s="5" t="s">
        <v>59</v>
      </c>
    </row>
    <row r="1059" spans="1:46">
      <c r="A1059" s="86"/>
      <c r="B1059" s="5">
        <v>15000955</v>
      </c>
      <c r="C1059" s="5" t="s">
        <v>1665</v>
      </c>
      <c r="D1059" s="5" t="s">
        <v>360</v>
      </c>
      <c r="E1059" s="5" t="s">
        <v>52</v>
      </c>
      <c r="F1059" s="5" t="s">
        <v>1455</v>
      </c>
      <c r="G1059" s="5" t="s">
        <v>1587</v>
      </c>
      <c r="H1059" s="5" t="s">
        <v>1588</v>
      </c>
      <c r="I1059" s="6">
        <v>39173</v>
      </c>
      <c r="J1059" s="5" t="s">
        <v>1608</v>
      </c>
      <c r="K1059" s="5" t="s">
        <v>1607</v>
      </c>
      <c r="L1059" s="5" t="s">
        <v>324</v>
      </c>
      <c r="M1059" s="7">
        <v>6</v>
      </c>
      <c r="N1059" s="7" t="s">
        <v>176</v>
      </c>
      <c r="O1059" s="8">
        <v>5800</v>
      </c>
      <c r="P1059" s="121">
        <v>0.02</v>
      </c>
      <c r="Q1059" s="10">
        <f t="shared" si="185"/>
        <v>116</v>
      </c>
      <c r="R1059" s="121">
        <v>5.0000000000000001E-3</v>
      </c>
      <c r="S1059" s="10">
        <f t="shared" si="186"/>
        <v>29</v>
      </c>
      <c r="T1059" s="121">
        <f t="shared" si="187"/>
        <v>2.5000000000000001E-2</v>
      </c>
      <c r="U1059" s="10">
        <f t="shared" si="188"/>
        <v>145</v>
      </c>
      <c r="V1059" s="10">
        <f t="shared" si="189"/>
        <v>5945</v>
      </c>
      <c r="W1059" s="11">
        <v>5880</v>
      </c>
      <c r="X1059" s="12">
        <f t="shared" si="190"/>
        <v>80</v>
      </c>
      <c r="Y1059" s="122">
        <f t="shared" si="191"/>
        <v>1.38E-2</v>
      </c>
      <c r="Z1059" s="123" t="str">
        <f t="shared" si="192"/>
        <v>0.00%-8.40%</v>
      </c>
      <c r="AA1059" s="15"/>
      <c r="AB1059" s="15"/>
      <c r="AC1059" s="15"/>
      <c r="AD1059" s="124"/>
      <c r="AE1059" s="8">
        <f t="shared" si="193"/>
        <v>0</v>
      </c>
      <c r="AF1059" s="17">
        <f t="shared" si="194"/>
        <v>5880</v>
      </c>
      <c r="AG1059" s="18">
        <f t="shared" si="195"/>
        <v>80</v>
      </c>
      <c r="AH1059" s="125">
        <f t="shared" si="196"/>
        <v>1.379310344827589E-2</v>
      </c>
      <c r="AI1059" s="20">
        <v>13.6</v>
      </c>
      <c r="AJ1059" s="20">
        <v>550</v>
      </c>
      <c r="AK1059" s="20"/>
      <c r="AL1059" s="20">
        <v>688</v>
      </c>
      <c r="AM1059" s="20">
        <f t="shared" si="197"/>
        <v>87256</v>
      </c>
      <c r="AN1059" s="7" t="s">
        <v>176</v>
      </c>
      <c r="AO1059" s="20"/>
      <c r="AP1059" s="21"/>
      <c r="AQ1059" s="21"/>
      <c r="AR1059" s="5" t="s">
        <v>1589</v>
      </c>
      <c r="AS1059" s="5" t="s">
        <v>164</v>
      </c>
      <c r="AT1059" s="5" t="s">
        <v>59</v>
      </c>
    </row>
    <row r="1060" spans="1:46">
      <c r="A1060" s="86"/>
      <c r="B1060" s="5">
        <v>15020455</v>
      </c>
      <c r="C1060" s="5" t="s">
        <v>1666</v>
      </c>
      <c r="D1060" s="5" t="s">
        <v>321</v>
      </c>
      <c r="E1060" s="5" t="s">
        <v>52</v>
      </c>
      <c r="F1060" s="5" t="s">
        <v>1455</v>
      </c>
      <c r="G1060" s="5" t="s">
        <v>1591</v>
      </c>
      <c r="H1060" s="5" t="s">
        <v>1660</v>
      </c>
      <c r="I1060" s="6">
        <v>44378</v>
      </c>
      <c r="J1060" s="5" t="s">
        <v>1607</v>
      </c>
      <c r="K1060" s="5" t="s">
        <v>1608</v>
      </c>
      <c r="L1060" s="5" t="s">
        <v>324</v>
      </c>
      <c r="M1060" s="7">
        <v>6</v>
      </c>
      <c r="N1060" s="7" t="s">
        <v>176</v>
      </c>
      <c r="O1060" s="8">
        <v>4877</v>
      </c>
      <c r="P1060" s="121">
        <v>0.02</v>
      </c>
      <c r="Q1060" s="10">
        <f t="shared" si="185"/>
        <v>98</v>
      </c>
      <c r="R1060" s="121">
        <v>5.0000000000000001E-3</v>
      </c>
      <c r="S1060" s="10">
        <f t="shared" si="186"/>
        <v>24</v>
      </c>
      <c r="T1060" s="121">
        <f t="shared" si="187"/>
        <v>2.5015378306335861E-2</v>
      </c>
      <c r="U1060" s="10">
        <f t="shared" si="188"/>
        <v>122</v>
      </c>
      <c r="V1060" s="10">
        <f t="shared" si="189"/>
        <v>4999</v>
      </c>
      <c r="W1060" s="11">
        <v>5100</v>
      </c>
      <c r="X1060" s="12">
        <f t="shared" si="190"/>
        <v>223</v>
      </c>
      <c r="Y1060" s="122">
        <f t="shared" si="191"/>
        <v>4.5699999999999998E-2</v>
      </c>
      <c r="Z1060" s="123" t="str">
        <f t="shared" si="192"/>
        <v>0.00%-8.40%</v>
      </c>
      <c r="AA1060" s="15"/>
      <c r="AB1060" s="15"/>
      <c r="AC1060" s="15"/>
      <c r="AD1060" s="124"/>
      <c r="AE1060" s="8">
        <f t="shared" si="193"/>
        <v>0</v>
      </c>
      <c r="AF1060" s="17">
        <f t="shared" si="194"/>
        <v>5100</v>
      </c>
      <c r="AG1060" s="18">
        <f t="shared" si="195"/>
        <v>223</v>
      </c>
      <c r="AH1060" s="125">
        <f t="shared" si="196"/>
        <v>4.5724830838630215E-2</v>
      </c>
      <c r="AI1060" s="20">
        <v>13.6</v>
      </c>
      <c r="AJ1060" s="20">
        <v>450</v>
      </c>
      <c r="AK1060" s="20"/>
      <c r="AL1060" s="20">
        <v>688</v>
      </c>
      <c r="AM1060" s="20">
        <f t="shared" si="197"/>
        <v>75448</v>
      </c>
      <c r="AN1060" s="7" t="s">
        <v>176</v>
      </c>
      <c r="AO1060" s="20"/>
      <c r="AP1060" s="21"/>
      <c r="AQ1060" s="21"/>
      <c r="AR1060" s="5" t="s">
        <v>1589</v>
      </c>
      <c r="AS1060" s="5" t="s">
        <v>164</v>
      </c>
      <c r="AT1060" s="5" t="s">
        <v>59</v>
      </c>
    </row>
    <row r="1061" spans="1:46">
      <c r="A1061" s="86"/>
      <c r="B1061" s="5">
        <v>15001753</v>
      </c>
      <c r="C1061" s="5" t="s">
        <v>1667</v>
      </c>
      <c r="D1061" s="5" t="s">
        <v>321</v>
      </c>
      <c r="E1061" s="5" t="s">
        <v>52</v>
      </c>
      <c r="F1061" s="5" t="s">
        <v>1455</v>
      </c>
      <c r="G1061" s="5" t="s">
        <v>1591</v>
      </c>
      <c r="H1061" s="5" t="s">
        <v>1660</v>
      </c>
      <c r="I1061" s="6">
        <v>40004</v>
      </c>
      <c r="J1061" s="5" t="s">
        <v>1607</v>
      </c>
      <c r="K1061" s="5" t="s">
        <v>1608</v>
      </c>
      <c r="L1061" s="5" t="s">
        <v>324</v>
      </c>
      <c r="M1061" s="7">
        <v>6</v>
      </c>
      <c r="N1061" s="7" t="s">
        <v>176</v>
      </c>
      <c r="O1061" s="8">
        <v>5007</v>
      </c>
      <c r="P1061" s="121">
        <v>0.02</v>
      </c>
      <c r="Q1061" s="10">
        <f t="shared" si="185"/>
        <v>100</v>
      </c>
      <c r="R1061" s="121">
        <v>5.0000000000000001E-3</v>
      </c>
      <c r="S1061" s="10">
        <f t="shared" si="186"/>
        <v>25</v>
      </c>
      <c r="T1061" s="121">
        <f t="shared" si="187"/>
        <v>2.4965048931495905E-2</v>
      </c>
      <c r="U1061" s="10">
        <f t="shared" si="188"/>
        <v>125</v>
      </c>
      <c r="V1061" s="10">
        <f t="shared" si="189"/>
        <v>5132</v>
      </c>
      <c r="W1061" s="11">
        <v>5100</v>
      </c>
      <c r="X1061" s="12">
        <f t="shared" si="190"/>
        <v>93</v>
      </c>
      <c r="Y1061" s="122">
        <f t="shared" si="191"/>
        <v>1.8599999999999998E-2</v>
      </c>
      <c r="Z1061" s="123" t="str">
        <f t="shared" si="192"/>
        <v>0.00%-8.40%</v>
      </c>
      <c r="AA1061" s="15"/>
      <c r="AB1061" s="15"/>
      <c r="AC1061" s="15"/>
      <c r="AD1061" s="124"/>
      <c r="AE1061" s="8">
        <f t="shared" si="193"/>
        <v>0</v>
      </c>
      <c r="AF1061" s="17">
        <f t="shared" si="194"/>
        <v>5100</v>
      </c>
      <c r="AG1061" s="18">
        <f t="shared" si="195"/>
        <v>93</v>
      </c>
      <c r="AH1061" s="125">
        <f t="shared" si="196"/>
        <v>1.8573996405032878E-2</v>
      </c>
      <c r="AI1061" s="20">
        <v>13.6</v>
      </c>
      <c r="AJ1061" s="20">
        <v>500</v>
      </c>
      <c r="AK1061" s="20"/>
      <c r="AL1061" s="20">
        <v>688</v>
      </c>
      <c r="AM1061" s="20">
        <f t="shared" si="197"/>
        <v>76048</v>
      </c>
      <c r="AN1061" s="7" t="s">
        <v>176</v>
      </c>
      <c r="AO1061" s="20"/>
      <c r="AP1061" s="21"/>
      <c r="AQ1061" s="21"/>
      <c r="AR1061" s="5" t="s">
        <v>1589</v>
      </c>
      <c r="AS1061" s="5" t="s">
        <v>164</v>
      </c>
      <c r="AT1061" s="5" t="s">
        <v>59</v>
      </c>
    </row>
    <row r="1062" spans="1:46">
      <c r="A1062" s="86"/>
      <c r="B1062" s="5">
        <v>15008926</v>
      </c>
      <c r="C1062" s="5" t="s">
        <v>1668</v>
      </c>
      <c r="D1062" s="5" t="s">
        <v>321</v>
      </c>
      <c r="E1062" s="5" t="s">
        <v>52</v>
      </c>
      <c r="F1062" s="5" t="s">
        <v>1455</v>
      </c>
      <c r="G1062" s="5" t="s">
        <v>1591</v>
      </c>
      <c r="H1062" s="5" t="s">
        <v>1660</v>
      </c>
      <c r="I1062" s="6">
        <v>42217</v>
      </c>
      <c r="J1062" s="5" t="s">
        <v>1607</v>
      </c>
      <c r="K1062" s="5" t="s">
        <v>1608</v>
      </c>
      <c r="L1062" s="5" t="s">
        <v>324</v>
      </c>
      <c r="M1062" s="7">
        <v>6</v>
      </c>
      <c r="N1062" s="7" t="s">
        <v>176</v>
      </c>
      <c r="O1062" s="8">
        <v>5129</v>
      </c>
      <c r="P1062" s="121">
        <v>0.02</v>
      </c>
      <c r="Q1062" s="10">
        <f t="shared" si="185"/>
        <v>103</v>
      </c>
      <c r="R1062" s="121">
        <v>5.0000000000000001E-3</v>
      </c>
      <c r="S1062" s="10">
        <f t="shared" si="186"/>
        <v>26</v>
      </c>
      <c r="T1062" s="121">
        <f t="shared" si="187"/>
        <v>2.5151101579255215E-2</v>
      </c>
      <c r="U1062" s="10">
        <f t="shared" si="188"/>
        <v>129</v>
      </c>
      <c r="V1062" s="10">
        <f t="shared" si="189"/>
        <v>5258</v>
      </c>
      <c r="W1062" s="11">
        <v>5258</v>
      </c>
      <c r="X1062" s="12">
        <f t="shared" si="190"/>
        <v>129</v>
      </c>
      <c r="Y1062" s="122">
        <f t="shared" si="191"/>
        <v>2.52E-2</v>
      </c>
      <c r="Z1062" s="123" t="str">
        <f t="shared" si="192"/>
        <v>0.00%-8.40%</v>
      </c>
      <c r="AA1062" s="15" t="s">
        <v>87</v>
      </c>
      <c r="AB1062" s="15" t="s">
        <v>1669</v>
      </c>
      <c r="AC1062" s="15" t="s">
        <v>1670</v>
      </c>
      <c r="AD1062" s="124">
        <v>6.5000000000000002E-2</v>
      </c>
      <c r="AE1062" s="8">
        <f t="shared" si="193"/>
        <v>333</v>
      </c>
      <c r="AF1062" s="17">
        <f t="shared" si="194"/>
        <v>5591</v>
      </c>
      <c r="AG1062" s="18">
        <f t="shared" si="195"/>
        <v>462</v>
      </c>
      <c r="AH1062" s="125">
        <f t="shared" si="196"/>
        <v>9.0076038214076837E-2</v>
      </c>
      <c r="AI1062" s="20">
        <v>13.6</v>
      </c>
      <c r="AJ1062" s="20">
        <v>500</v>
      </c>
      <c r="AK1062" s="20"/>
      <c r="AL1062" s="20">
        <v>688</v>
      </c>
      <c r="AM1062" s="20">
        <f t="shared" si="197"/>
        <v>82725.599999999991</v>
      </c>
      <c r="AN1062" s="7" t="s">
        <v>176</v>
      </c>
      <c r="AO1062" s="20"/>
      <c r="AP1062" s="21" t="s">
        <v>1671</v>
      </c>
      <c r="AQ1062" s="21" t="s">
        <v>179</v>
      </c>
      <c r="AR1062" s="5" t="s">
        <v>1589</v>
      </c>
      <c r="AS1062" s="5" t="s">
        <v>164</v>
      </c>
      <c r="AT1062" s="5" t="s">
        <v>59</v>
      </c>
    </row>
    <row r="1063" spans="1:46">
      <c r="A1063" s="86"/>
      <c r="B1063" s="5">
        <v>15000363</v>
      </c>
      <c r="C1063" s="5" t="s">
        <v>1672</v>
      </c>
      <c r="D1063" s="5" t="s">
        <v>321</v>
      </c>
      <c r="E1063" s="5" t="s">
        <v>52</v>
      </c>
      <c r="F1063" s="5" t="s">
        <v>1455</v>
      </c>
      <c r="G1063" s="5" t="s">
        <v>1591</v>
      </c>
      <c r="H1063" s="5" t="s">
        <v>1660</v>
      </c>
      <c r="I1063" s="6">
        <v>38770</v>
      </c>
      <c r="J1063" s="5" t="s">
        <v>279</v>
      </c>
      <c r="K1063" s="5" t="s">
        <v>279</v>
      </c>
      <c r="L1063" s="5" t="s">
        <v>324</v>
      </c>
      <c r="M1063" s="7">
        <v>6</v>
      </c>
      <c r="N1063" s="7" t="s">
        <v>176</v>
      </c>
      <c r="O1063" s="8">
        <v>8964</v>
      </c>
      <c r="P1063" s="121">
        <v>0.02</v>
      </c>
      <c r="Q1063" s="10">
        <f t="shared" si="185"/>
        <v>179</v>
      </c>
      <c r="R1063" s="121">
        <v>5.0000000000000001E-3</v>
      </c>
      <c r="S1063" s="10">
        <f t="shared" si="186"/>
        <v>45</v>
      </c>
      <c r="T1063" s="121">
        <f t="shared" si="187"/>
        <v>2.49888442659527E-2</v>
      </c>
      <c r="U1063" s="10">
        <f t="shared" si="188"/>
        <v>224</v>
      </c>
      <c r="V1063" s="10">
        <f t="shared" si="189"/>
        <v>9188</v>
      </c>
      <c r="W1063" s="11">
        <v>9200</v>
      </c>
      <c r="X1063" s="12">
        <f t="shared" si="190"/>
        <v>236</v>
      </c>
      <c r="Y1063" s="122">
        <f t="shared" si="191"/>
        <v>2.63E-2</v>
      </c>
      <c r="Z1063" s="123" t="str">
        <f t="shared" si="192"/>
        <v>0.00%-8.40%</v>
      </c>
      <c r="AA1063" s="15"/>
      <c r="AB1063" s="15"/>
      <c r="AC1063" s="15"/>
      <c r="AD1063" s="124"/>
      <c r="AE1063" s="8">
        <f t="shared" si="193"/>
        <v>0</v>
      </c>
      <c r="AF1063" s="17">
        <f t="shared" si="194"/>
        <v>9200</v>
      </c>
      <c r="AG1063" s="18">
        <f t="shared" si="195"/>
        <v>236</v>
      </c>
      <c r="AH1063" s="125">
        <f t="shared" si="196"/>
        <v>2.6327532351628768E-2</v>
      </c>
      <c r="AI1063" s="20">
        <v>13.6</v>
      </c>
      <c r="AJ1063" s="20">
        <v>600</v>
      </c>
      <c r="AK1063" s="20"/>
      <c r="AL1063" s="20">
        <v>688</v>
      </c>
      <c r="AM1063" s="20">
        <f t="shared" si="197"/>
        <v>133008</v>
      </c>
      <c r="AN1063" s="7" t="s">
        <v>176</v>
      </c>
      <c r="AO1063" s="20"/>
      <c r="AP1063" s="21"/>
      <c r="AQ1063" s="21"/>
      <c r="AR1063" s="5" t="s">
        <v>1589</v>
      </c>
      <c r="AS1063" s="5" t="s">
        <v>164</v>
      </c>
      <c r="AT1063" s="5" t="s">
        <v>59</v>
      </c>
    </row>
    <row r="1064" spans="1:46">
      <c r="A1064" s="86"/>
      <c r="B1064" s="5">
        <v>15006230</v>
      </c>
      <c r="C1064" s="5" t="s">
        <v>1673</v>
      </c>
      <c r="D1064" s="5" t="s">
        <v>321</v>
      </c>
      <c r="E1064" s="5" t="s">
        <v>52</v>
      </c>
      <c r="F1064" s="5" t="s">
        <v>1455</v>
      </c>
      <c r="G1064" s="5" t="s">
        <v>1591</v>
      </c>
      <c r="H1064" s="5" t="s">
        <v>1660</v>
      </c>
      <c r="I1064" s="6">
        <v>40787</v>
      </c>
      <c r="J1064" s="5" t="s">
        <v>279</v>
      </c>
      <c r="K1064" s="5" t="s">
        <v>279</v>
      </c>
      <c r="L1064" s="5" t="s">
        <v>324</v>
      </c>
      <c r="M1064" s="7">
        <v>6</v>
      </c>
      <c r="N1064" s="7" t="s">
        <v>176</v>
      </c>
      <c r="O1064" s="8">
        <v>5424</v>
      </c>
      <c r="P1064" s="121">
        <v>0.02</v>
      </c>
      <c r="Q1064" s="10">
        <f t="shared" si="185"/>
        <v>108</v>
      </c>
      <c r="R1064" s="121">
        <v>5.0000000000000001E-3</v>
      </c>
      <c r="S1064" s="10">
        <f t="shared" si="186"/>
        <v>27</v>
      </c>
      <c r="T1064" s="121">
        <f t="shared" si="187"/>
        <v>2.4889380530973452E-2</v>
      </c>
      <c r="U1064" s="10">
        <f t="shared" si="188"/>
        <v>135</v>
      </c>
      <c r="V1064" s="10">
        <f t="shared" si="189"/>
        <v>5559</v>
      </c>
      <c r="W1064" s="11">
        <v>5500</v>
      </c>
      <c r="X1064" s="12">
        <f t="shared" si="190"/>
        <v>76</v>
      </c>
      <c r="Y1064" s="122">
        <f t="shared" si="191"/>
        <v>1.4E-2</v>
      </c>
      <c r="Z1064" s="123" t="str">
        <f t="shared" si="192"/>
        <v>0.00%-8.40%</v>
      </c>
      <c r="AA1064" s="15"/>
      <c r="AB1064" s="15"/>
      <c r="AC1064" s="15"/>
      <c r="AD1064" s="124"/>
      <c r="AE1064" s="8">
        <f t="shared" si="193"/>
        <v>0</v>
      </c>
      <c r="AF1064" s="17">
        <f t="shared" si="194"/>
        <v>5500</v>
      </c>
      <c r="AG1064" s="18">
        <f t="shared" si="195"/>
        <v>76</v>
      </c>
      <c r="AH1064" s="125">
        <f t="shared" si="196"/>
        <v>1.4011799410029502E-2</v>
      </c>
      <c r="AI1064" s="20">
        <v>13.6</v>
      </c>
      <c r="AJ1064" s="20">
        <v>500</v>
      </c>
      <c r="AK1064" s="20"/>
      <c r="AL1064" s="20">
        <v>688</v>
      </c>
      <c r="AM1064" s="20">
        <f t="shared" si="197"/>
        <v>81488</v>
      </c>
      <c r="AN1064" s="7" t="s">
        <v>176</v>
      </c>
      <c r="AO1064" s="20"/>
      <c r="AP1064" s="21"/>
      <c r="AQ1064" s="21"/>
      <c r="AR1064" s="5" t="s">
        <v>1589</v>
      </c>
      <c r="AS1064" s="5" t="s">
        <v>164</v>
      </c>
      <c r="AT1064" s="5" t="s">
        <v>59</v>
      </c>
    </row>
    <row r="1065" spans="1:46">
      <c r="A1065" s="86"/>
      <c r="B1065" s="5">
        <v>15001690</v>
      </c>
      <c r="C1065" s="5" t="s">
        <v>1674</v>
      </c>
      <c r="D1065" s="5" t="s">
        <v>321</v>
      </c>
      <c r="E1065" s="5" t="s">
        <v>52</v>
      </c>
      <c r="F1065" s="5" t="s">
        <v>1455</v>
      </c>
      <c r="G1065" s="5" t="s">
        <v>1591</v>
      </c>
      <c r="H1065" s="5" t="s">
        <v>1660</v>
      </c>
      <c r="I1065" s="6">
        <v>39609</v>
      </c>
      <c r="J1065" s="5" t="s">
        <v>279</v>
      </c>
      <c r="K1065" s="5" t="s">
        <v>279</v>
      </c>
      <c r="L1065" s="5" t="s">
        <v>324</v>
      </c>
      <c r="M1065" s="7">
        <v>6</v>
      </c>
      <c r="N1065" s="7" t="s">
        <v>176</v>
      </c>
      <c r="O1065" s="8">
        <v>6559</v>
      </c>
      <c r="P1065" s="121">
        <v>0.02</v>
      </c>
      <c r="Q1065" s="10">
        <f t="shared" si="185"/>
        <v>131</v>
      </c>
      <c r="R1065" s="121">
        <v>5.0000000000000001E-3</v>
      </c>
      <c r="S1065" s="10">
        <f t="shared" si="186"/>
        <v>33</v>
      </c>
      <c r="T1065" s="121">
        <f t="shared" si="187"/>
        <v>2.5003811556639732E-2</v>
      </c>
      <c r="U1065" s="10">
        <f t="shared" si="188"/>
        <v>164</v>
      </c>
      <c r="V1065" s="10">
        <f t="shared" si="189"/>
        <v>6723</v>
      </c>
      <c r="W1065" s="11">
        <v>6620</v>
      </c>
      <c r="X1065" s="12">
        <f t="shared" si="190"/>
        <v>61</v>
      </c>
      <c r="Y1065" s="122">
        <f t="shared" si="191"/>
        <v>9.2999999999999992E-3</v>
      </c>
      <c r="Z1065" s="123" t="str">
        <f t="shared" si="192"/>
        <v>0.00%-8.40%</v>
      </c>
      <c r="AA1065" s="15"/>
      <c r="AB1065" s="15"/>
      <c r="AC1065" s="15"/>
      <c r="AD1065" s="124"/>
      <c r="AE1065" s="8">
        <f t="shared" si="193"/>
        <v>0</v>
      </c>
      <c r="AF1065" s="17">
        <f t="shared" si="194"/>
        <v>6620</v>
      </c>
      <c r="AG1065" s="18">
        <f t="shared" si="195"/>
        <v>61</v>
      </c>
      <c r="AH1065" s="125">
        <f t="shared" si="196"/>
        <v>9.3001982009452977E-3</v>
      </c>
      <c r="AI1065" s="20">
        <v>13.6</v>
      </c>
      <c r="AJ1065" s="20">
        <v>450</v>
      </c>
      <c r="AK1065" s="20"/>
      <c r="AL1065" s="20">
        <v>688</v>
      </c>
      <c r="AM1065" s="20">
        <f t="shared" si="197"/>
        <v>96120</v>
      </c>
      <c r="AN1065" s="7" t="s">
        <v>176</v>
      </c>
      <c r="AO1065" s="20"/>
      <c r="AP1065" s="21"/>
      <c r="AQ1065" s="21"/>
      <c r="AR1065" s="5" t="s">
        <v>1589</v>
      </c>
      <c r="AS1065" s="5" t="s">
        <v>164</v>
      </c>
      <c r="AT1065" s="5" t="s">
        <v>59</v>
      </c>
    </row>
    <row r="1066" spans="1:46">
      <c r="A1066" s="86"/>
      <c r="B1066" s="5">
        <v>15003618</v>
      </c>
      <c r="C1066" s="5" t="s">
        <v>1675</v>
      </c>
      <c r="D1066" s="5" t="s">
        <v>321</v>
      </c>
      <c r="E1066" s="5" t="s">
        <v>52</v>
      </c>
      <c r="F1066" s="5" t="s">
        <v>1475</v>
      </c>
      <c r="G1066" s="5" t="s">
        <v>1561</v>
      </c>
      <c r="H1066" s="5" t="s">
        <v>1676</v>
      </c>
      <c r="I1066" s="6">
        <v>40360</v>
      </c>
      <c r="J1066" s="5" t="s">
        <v>1607</v>
      </c>
      <c r="K1066" s="5" t="s">
        <v>1608</v>
      </c>
      <c r="L1066" s="5" t="s">
        <v>324</v>
      </c>
      <c r="M1066" s="7">
        <v>6</v>
      </c>
      <c r="N1066" s="7" t="s">
        <v>176</v>
      </c>
      <c r="O1066" s="126">
        <v>4930</v>
      </c>
      <c r="P1066" s="121">
        <v>0.02</v>
      </c>
      <c r="Q1066" s="127">
        <f t="shared" si="185"/>
        <v>99</v>
      </c>
      <c r="R1066" s="121">
        <v>5.0000000000000001E-3</v>
      </c>
      <c r="S1066" s="127">
        <f t="shared" si="186"/>
        <v>25</v>
      </c>
      <c r="T1066" s="121">
        <f t="shared" si="187"/>
        <v>2.5152129817444219E-2</v>
      </c>
      <c r="U1066" s="127">
        <f t="shared" si="188"/>
        <v>124</v>
      </c>
      <c r="V1066" s="127">
        <f t="shared" si="189"/>
        <v>5054</v>
      </c>
      <c r="W1066" s="128">
        <f t="shared" ref="W1066:W1109" si="201">V1066</f>
        <v>5054</v>
      </c>
      <c r="X1066" s="129">
        <f t="shared" si="190"/>
        <v>124</v>
      </c>
      <c r="Y1066" s="122">
        <f t="shared" si="191"/>
        <v>2.52E-2</v>
      </c>
      <c r="Z1066" s="123" t="str">
        <f t="shared" ref="Z1066:Z1109" si="202">IF(OR(M1066=1,M1066=2,M1066=4),
    TEXT(T1066*0.8,"0.00%") &amp; "-" &amp; TEXT(T1066*1.2,"0.00%"),
    IF(OR(M1066=3,M1066=6),
        TEXT(0,"0.00%") &amp; "-" &amp; TEXT(7%*1.2,"0.00%"),
        IF(OR(M1066=5,M1066=7),
            TEXT((S1066/O1066),"0.00%") &amp; "-" &amp; TEXT((S1066/O1066)+7%,"0.00%"),
            ""
        )
    )
)</f>
        <v>0.00%-8.40%</v>
      </c>
      <c r="AA1066" s="130"/>
      <c r="AB1066" s="130"/>
      <c r="AC1066" s="130"/>
      <c r="AD1066" s="124"/>
      <c r="AE1066" s="126">
        <f t="shared" si="193"/>
        <v>0</v>
      </c>
      <c r="AF1066" s="131">
        <f t="shared" si="194"/>
        <v>5054</v>
      </c>
      <c r="AG1066" s="18">
        <f t="shared" si="195"/>
        <v>124</v>
      </c>
      <c r="AH1066" s="125">
        <f t="shared" si="196"/>
        <v>2.5152129817444191E-2</v>
      </c>
      <c r="AI1066" s="20">
        <v>13.6</v>
      </c>
      <c r="AJ1066" s="20">
        <v>450</v>
      </c>
      <c r="AK1066" s="20"/>
      <c r="AL1066" s="20">
        <v>688</v>
      </c>
      <c r="AM1066" s="20">
        <f t="shared" si="197"/>
        <v>74822.399999999994</v>
      </c>
      <c r="AN1066" s="7" t="s">
        <v>176</v>
      </c>
      <c r="AO1066" s="20"/>
      <c r="AP1066" s="21"/>
      <c r="AQ1066" s="21"/>
      <c r="AR1066" s="5" t="s">
        <v>1559</v>
      </c>
      <c r="AS1066" s="5" t="s">
        <v>164</v>
      </c>
      <c r="AT1066" s="5" t="s">
        <v>59</v>
      </c>
    </row>
    <row r="1067" spans="1:46">
      <c r="A1067" s="86"/>
      <c r="B1067" s="5">
        <v>15002383</v>
      </c>
      <c r="C1067" s="5" t="s">
        <v>1677</v>
      </c>
      <c r="D1067" s="5" t="s">
        <v>321</v>
      </c>
      <c r="E1067" s="5" t="s">
        <v>52</v>
      </c>
      <c r="F1067" s="5" t="s">
        <v>1475</v>
      </c>
      <c r="G1067" s="5" t="s">
        <v>1561</v>
      </c>
      <c r="H1067" s="5" t="s">
        <v>1676</v>
      </c>
      <c r="I1067" s="6">
        <v>39967</v>
      </c>
      <c r="J1067" s="5" t="s">
        <v>1607</v>
      </c>
      <c r="K1067" s="5" t="s">
        <v>1608</v>
      </c>
      <c r="L1067" s="5" t="s">
        <v>324</v>
      </c>
      <c r="M1067" s="7">
        <v>6</v>
      </c>
      <c r="N1067" s="7" t="s">
        <v>176</v>
      </c>
      <c r="O1067" s="126">
        <v>5415</v>
      </c>
      <c r="P1067" s="121">
        <v>0.02</v>
      </c>
      <c r="Q1067" s="127">
        <f t="shared" si="185"/>
        <v>108</v>
      </c>
      <c r="R1067" s="121">
        <v>5.0000000000000001E-3</v>
      </c>
      <c r="S1067" s="127">
        <f t="shared" si="186"/>
        <v>27</v>
      </c>
      <c r="T1067" s="121">
        <f t="shared" si="187"/>
        <v>2.4930747922437674E-2</v>
      </c>
      <c r="U1067" s="127">
        <f t="shared" si="188"/>
        <v>135</v>
      </c>
      <c r="V1067" s="127">
        <f t="shared" si="189"/>
        <v>5550</v>
      </c>
      <c r="W1067" s="128">
        <f t="shared" si="201"/>
        <v>5550</v>
      </c>
      <c r="X1067" s="129">
        <f t="shared" si="190"/>
        <v>135</v>
      </c>
      <c r="Y1067" s="122">
        <f t="shared" si="191"/>
        <v>2.4899999999999999E-2</v>
      </c>
      <c r="Z1067" s="123" t="str">
        <f t="shared" si="202"/>
        <v>0.00%-8.40%</v>
      </c>
      <c r="AA1067" s="130"/>
      <c r="AB1067" s="130"/>
      <c r="AC1067" s="130"/>
      <c r="AD1067" s="124"/>
      <c r="AE1067" s="126">
        <f t="shared" si="193"/>
        <v>0</v>
      </c>
      <c r="AF1067" s="131">
        <f t="shared" si="194"/>
        <v>5550</v>
      </c>
      <c r="AG1067" s="18">
        <f t="shared" si="195"/>
        <v>135</v>
      </c>
      <c r="AH1067" s="125">
        <f t="shared" si="196"/>
        <v>2.4930747922437657E-2</v>
      </c>
      <c r="AI1067" s="20">
        <v>13.6</v>
      </c>
      <c r="AJ1067" s="20">
        <v>500</v>
      </c>
      <c r="AK1067" s="20"/>
      <c r="AL1067" s="20">
        <v>688</v>
      </c>
      <c r="AM1067" s="20">
        <f t="shared" si="197"/>
        <v>82168</v>
      </c>
      <c r="AN1067" s="7" t="s">
        <v>176</v>
      </c>
      <c r="AO1067" s="20"/>
      <c r="AP1067" s="21"/>
      <c r="AQ1067" s="21"/>
      <c r="AR1067" s="5" t="s">
        <v>1559</v>
      </c>
      <c r="AS1067" s="5" t="s">
        <v>164</v>
      </c>
      <c r="AT1067" s="5" t="s">
        <v>59</v>
      </c>
    </row>
    <row r="1068" spans="1:46">
      <c r="A1068" s="86"/>
      <c r="B1068" s="5">
        <v>15006846</v>
      </c>
      <c r="C1068" s="5" t="s">
        <v>1678</v>
      </c>
      <c r="D1068" s="5" t="s">
        <v>321</v>
      </c>
      <c r="E1068" s="5" t="s">
        <v>52</v>
      </c>
      <c r="F1068" s="5" t="s">
        <v>1475</v>
      </c>
      <c r="G1068" s="5" t="s">
        <v>1561</v>
      </c>
      <c r="H1068" s="5" t="s">
        <v>1676</v>
      </c>
      <c r="I1068" s="6">
        <v>40749</v>
      </c>
      <c r="J1068" s="5" t="s">
        <v>1607</v>
      </c>
      <c r="K1068" s="5" t="s">
        <v>1608</v>
      </c>
      <c r="L1068" s="5" t="s">
        <v>324</v>
      </c>
      <c r="M1068" s="7">
        <v>6</v>
      </c>
      <c r="N1068" s="7" t="s">
        <v>176</v>
      </c>
      <c r="O1068" s="126">
        <v>5781</v>
      </c>
      <c r="P1068" s="121">
        <v>0.02</v>
      </c>
      <c r="Q1068" s="127">
        <f t="shared" si="185"/>
        <v>116</v>
      </c>
      <c r="R1068" s="121">
        <v>5.0000000000000001E-3</v>
      </c>
      <c r="S1068" s="127">
        <f t="shared" si="186"/>
        <v>29</v>
      </c>
      <c r="T1068" s="121">
        <f t="shared" si="187"/>
        <v>2.5082165715274173E-2</v>
      </c>
      <c r="U1068" s="127">
        <f t="shared" si="188"/>
        <v>145</v>
      </c>
      <c r="V1068" s="127">
        <f t="shared" si="189"/>
        <v>5926</v>
      </c>
      <c r="W1068" s="128">
        <f t="shared" si="201"/>
        <v>5926</v>
      </c>
      <c r="X1068" s="129">
        <f t="shared" si="190"/>
        <v>145</v>
      </c>
      <c r="Y1068" s="122">
        <f t="shared" si="191"/>
        <v>2.5100000000000001E-2</v>
      </c>
      <c r="Z1068" s="123" t="str">
        <f t="shared" si="202"/>
        <v>0.00%-8.40%</v>
      </c>
      <c r="AA1068" s="130"/>
      <c r="AB1068" s="130"/>
      <c r="AC1068" s="130"/>
      <c r="AD1068" s="124"/>
      <c r="AE1068" s="126">
        <f t="shared" si="193"/>
        <v>0</v>
      </c>
      <c r="AF1068" s="131">
        <f t="shared" si="194"/>
        <v>5926</v>
      </c>
      <c r="AG1068" s="18">
        <f t="shared" si="195"/>
        <v>145</v>
      </c>
      <c r="AH1068" s="125">
        <f t="shared" si="196"/>
        <v>2.5082165715274218E-2</v>
      </c>
      <c r="AI1068" s="20">
        <v>13.6</v>
      </c>
      <c r="AJ1068" s="20">
        <v>500</v>
      </c>
      <c r="AK1068" s="20"/>
      <c r="AL1068" s="20">
        <v>688</v>
      </c>
      <c r="AM1068" s="20">
        <f t="shared" si="197"/>
        <v>87281.599999999991</v>
      </c>
      <c r="AN1068" s="7" t="s">
        <v>176</v>
      </c>
      <c r="AO1068" s="20"/>
      <c r="AP1068" s="21"/>
      <c r="AQ1068" s="21"/>
      <c r="AR1068" s="5" t="s">
        <v>1559</v>
      </c>
      <c r="AS1068" s="5" t="s">
        <v>164</v>
      </c>
      <c r="AT1068" s="5" t="s">
        <v>59</v>
      </c>
    </row>
    <row r="1069" spans="1:46">
      <c r="A1069" s="86"/>
      <c r="B1069" s="5">
        <v>15014446</v>
      </c>
      <c r="C1069" s="5" t="s">
        <v>1679</v>
      </c>
      <c r="D1069" s="5" t="s">
        <v>321</v>
      </c>
      <c r="E1069" s="5" t="s">
        <v>52</v>
      </c>
      <c r="F1069" s="5" t="s">
        <v>1475</v>
      </c>
      <c r="G1069" s="5" t="s">
        <v>1561</v>
      </c>
      <c r="H1069" s="5" t="s">
        <v>1676</v>
      </c>
      <c r="I1069" s="6">
        <v>42248</v>
      </c>
      <c r="J1069" s="5" t="s">
        <v>1607</v>
      </c>
      <c r="K1069" s="5" t="s">
        <v>1608</v>
      </c>
      <c r="L1069" s="5" t="s">
        <v>324</v>
      </c>
      <c r="M1069" s="7">
        <v>6</v>
      </c>
      <c r="N1069" s="7" t="s">
        <v>176</v>
      </c>
      <c r="O1069" s="126">
        <v>5325</v>
      </c>
      <c r="P1069" s="121">
        <v>0.02</v>
      </c>
      <c r="Q1069" s="127">
        <f t="shared" si="185"/>
        <v>107</v>
      </c>
      <c r="R1069" s="121">
        <v>5.0000000000000001E-3</v>
      </c>
      <c r="S1069" s="127">
        <f t="shared" si="186"/>
        <v>27</v>
      </c>
      <c r="T1069" s="121">
        <f t="shared" si="187"/>
        <v>2.516431924882629E-2</v>
      </c>
      <c r="U1069" s="127">
        <f t="shared" si="188"/>
        <v>134</v>
      </c>
      <c r="V1069" s="127">
        <f t="shared" si="189"/>
        <v>5459</v>
      </c>
      <c r="W1069" s="128">
        <f t="shared" si="201"/>
        <v>5459</v>
      </c>
      <c r="X1069" s="129">
        <f t="shared" si="190"/>
        <v>134</v>
      </c>
      <c r="Y1069" s="122">
        <f t="shared" si="191"/>
        <v>2.52E-2</v>
      </c>
      <c r="Z1069" s="123" t="str">
        <f t="shared" si="202"/>
        <v>0.00%-8.40%</v>
      </c>
      <c r="AA1069" s="130"/>
      <c r="AB1069" s="130"/>
      <c r="AC1069" s="130"/>
      <c r="AD1069" s="124"/>
      <c r="AE1069" s="126">
        <f t="shared" si="193"/>
        <v>0</v>
      </c>
      <c r="AF1069" s="131">
        <f t="shared" si="194"/>
        <v>5459</v>
      </c>
      <c r="AG1069" s="18">
        <f t="shared" si="195"/>
        <v>134</v>
      </c>
      <c r="AH1069" s="125">
        <f t="shared" si="196"/>
        <v>2.5164319248826228E-2</v>
      </c>
      <c r="AI1069" s="20">
        <v>13.6</v>
      </c>
      <c r="AJ1069" s="20">
        <v>450</v>
      </c>
      <c r="AK1069" s="20"/>
      <c r="AL1069" s="20">
        <v>688</v>
      </c>
      <c r="AM1069" s="20">
        <f t="shared" si="197"/>
        <v>80330.399999999994</v>
      </c>
      <c r="AN1069" s="7" t="s">
        <v>176</v>
      </c>
      <c r="AO1069" s="20"/>
      <c r="AP1069" s="21"/>
      <c r="AQ1069" s="21"/>
      <c r="AR1069" s="5" t="s">
        <v>1559</v>
      </c>
      <c r="AS1069" s="5" t="s">
        <v>164</v>
      </c>
      <c r="AT1069" s="5" t="s">
        <v>59</v>
      </c>
    </row>
    <row r="1070" spans="1:46">
      <c r="A1070" s="86"/>
      <c r="B1070" s="5">
        <v>15020322</v>
      </c>
      <c r="C1070" s="5" t="s">
        <v>1680</v>
      </c>
      <c r="D1070" s="5" t="s">
        <v>321</v>
      </c>
      <c r="E1070" s="5" t="s">
        <v>52</v>
      </c>
      <c r="F1070" s="5" t="s">
        <v>1475</v>
      </c>
      <c r="G1070" s="5" t="s">
        <v>1561</v>
      </c>
      <c r="H1070" s="5" t="s">
        <v>1676</v>
      </c>
      <c r="I1070" s="6">
        <v>44046</v>
      </c>
      <c r="J1070" s="5" t="s">
        <v>1607</v>
      </c>
      <c r="K1070" s="5" t="s">
        <v>1608</v>
      </c>
      <c r="L1070" s="5" t="s">
        <v>324</v>
      </c>
      <c r="M1070" s="7">
        <v>6</v>
      </c>
      <c r="N1070" s="7" t="s">
        <v>176</v>
      </c>
      <c r="O1070" s="126">
        <v>4930</v>
      </c>
      <c r="P1070" s="121">
        <v>0.02</v>
      </c>
      <c r="Q1070" s="127">
        <f t="shared" si="185"/>
        <v>99</v>
      </c>
      <c r="R1070" s="121">
        <v>5.0000000000000001E-3</v>
      </c>
      <c r="S1070" s="127">
        <f t="shared" si="186"/>
        <v>25</v>
      </c>
      <c r="T1070" s="121">
        <f t="shared" si="187"/>
        <v>2.5152129817444219E-2</v>
      </c>
      <c r="U1070" s="127">
        <f t="shared" si="188"/>
        <v>124</v>
      </c>
      <c r="V1070" s="127">
        <f t="shared" si="189"/>
        <v>5054</v>
      </c>
      <c r="W1070" s="128">
        <f t="shared" si="201"/>
        <v>5054</v>
      </c>
      <c r="X1070" s="129">
        <f t="shared" si="190"/>
        <v>124</v>
      </c>
      <c r="Y1070" s="122">
        <f t="shared" si="191"/>
        <v>2.52E-2</v>
      </c>
      <c r="Z1070" s="123" t="str">
        <f t="shared" si="202"/>
        <v>0.00%-8.40%</v>
      </c>
      <c r="AA1070" s="130"/>
      <c r="AB1070" s="130"/>
      <c r="AC1070" s="130"/>
      <c r="AD1070" s="124"/>
      <c r="AE1070" s="126">
        <f t="shared" si="193"/>
        <v>0</v>
      </c>
      <c r="AF1070" s="131">
        <f t="shared" si="194"/>
        <v>5054</v>
      </c>
      <c r="AG1070" s="18">
        <f t="shared" si="195"/>
        <v>124</v>
      </c>
      <c r="AH1070" s="125">
        <f t="shared" si="196"/>
        <v>2.5152129817444191E-2</v>
      </c>
      <c r="AI1070" s="20">
        <v>13.6</v>
      </c>
      <c r="AJ1070" s="20">
        <v>450</v>
      </c>
      <c r="AK1070" s="20"/>
      <c r="AL1070" s="20">
        <v>688</v>
      </c>
      <c r="AM1070" s="20">
        <f t="shared" si="197"/>
        <v>74822.399999999994</v>
      </c>
      <c r="AN1070" s="7" t="s">
        <v>176</v>
      </c>
      <c r="AO1070" s="20"/>
      <c r="AP1070" s="21"/>
      <c r="AQ1070" s="21"/>
      <c r="AR1070" s="5" t="s">
        <v>1559</v>
      </c>
      <c r="AS1070" s="5" t="s">
        <v>164</v>
      </c>
      <c r="AT1070" s="5" t="s">
        <v>59</v>
      </c>
    </row>
    <row r="1071" spans="1:46">
      <c r="A1071" s="86"/>
      <c r="B1071" s="5">
        <v>15020091</v>
      </c>
      <c r="C1071" s="5" t="s">
        <v>1681</v>
      </c>
      <c r="D1071" s="5" t="s">
        <v>321</v>
      </c>
      <c r="E1071" s="5" t="s">
        <v>52</v>
      </c>
      <c r="F1071" s="5" t="s">
        <v>1475</v>
      </c>
      <c r="G1071" s="5" t="s">
        <v>1561</v>
      </c>
      <c r="H1071" s="5" t="s">
        <v>1676</v>
      </c>
      <c r="I1071" s="6">
        <v>43903</v>
      </c>
      <c r="J1071" s="5" t="s">
        <v>1607</v>
      </c>
      <c r="K1071" s="5" t="s">
        <v>1608</v>
      </c>
      <c r="L1071" s="5" t="s">
        <v>324</v>
      </c>
      <c r="M1071" s="7">
        <v>6</v>
      </c>
      <c r="N1071" s="7" t="s">
        <v>176</v>
      </c>
      <c r="O1071" s="126">
        <v>5230</v>
      </c>
      <c r="P1071" s="121">
        <v>0.02</v>
      </c>
      <c r="Q1071" s="127">
        <f t="shared" si="185"/>
        <v>105</v>
      </c>
      <c r="R1071" s="121">
        <v>5.0000000000000001E-3</v>
      </c>
      <c r="S1071" s="127">
        <f t="shared" si="186"/>
        <v>26</v>
      </c>
      <c r="T1071" s="121">
        <f t="shared" si="187"/>
        <v>2.5047801147227534E-2</v>
      </c>
      <c r="U1071" s="127">
        <f t="shared" si="188"/>
        <v>131</v>
      </c>
      <c r="V1071" s="127">
        <f t="shared" si="189"/>
        <v>5361</v>
      </c>
      <c r="W1071" s="128">
        <f t="shared" si="201"/>
        <v>5361</v>
      </c>
      <c r="X1071" s="129">
        <f t="shared" si="190"/>
        <v>131</v>
      </c>
      <c r="Y1071" s="122">
        <f t="shared" si="191"/>
        <v>2.5000000000000001E-2</v>
      </c>
      <c r="Z1071" s="123" t="str">
        <f t="shared" si="202"/>
        <v>0.00%-8.40%</v>
      </c>
      <c r="AA1071" s="130"/>
      <c r="AB1071" s="130"/>
      <c r="AC1071" s="130"/>
      <c r="AD1071" s="124"/>
      <c r="AE1071" s="126">
        <f t="shared" si="193"/>
        <v>0</v>
      </c>
      <c r="AF1071" s="131">
        <f t="shared" si="194"/>
        <v>5361</v>
      </c>
      <c r="AG1071" s="18">
        <f t="shared" si="195"/>
        <v>131</v>
      </c>
      <c r="AH1071" s="125">
        <f t="shared" si="196"/>
        <v>2.5047801147227489E-2</v>
      </c>
      <c r="AI1071" s="20">
        <v>13.6</v>
      </c>
      <c r="AJ1071" s="20">
        <v>450</v>
      </c>
      <c r="AK1071" s="20"/>
      <c r="AL1071" s="20">
        <v>688</v>
      </c>
      <c r="AM1071" s="20">
        <f t="shared" si="197"/>
        <v>78997.599999999991</v>
      </c>
      <c r="AN1071" s="7" t="s">
        <v>176</v>
      </c>
      <c r="AO1071" s="20"/>
      <c r="AP1071" s="21"/>
      <c r="AQ1071" s="21"/>
      <c r="AR1071" s="5" t="s">
        <v>1559</v>
      </c>
      <c r="AS1071" s="5" t="s">
        <v>164</v>
      </c>
      <c r="AT1071" s="5" t="s">
        <v>59</v>
      </c>
    </row>
    <row r="1072" spans="1:46">
      <c r="A1072" s="86"/>
      <c r="B1072" s="5">
        <v>15002468</v>
      </c>
      <c r="C1072" s="5" t="s">
        <v>1682</v>
      </c>
      <c r="D1072" s="5" t="s">
        <v>321</v>
      </c>
      <c r="E1072" s="5" t="s">
        <v>52</v>
      </c>
      <c r="F1072" s="5" t="s">
        <v>1475</v>
      </c>
      <c r="G1072" s="5" t="s">
        <v>1561</v>
      </c>
      <c r="H1072" s="5" t="s">
        <v>1676</v>
      </c>
      <c r="I1072" s="6">
        <v>39973</v>
      </c>
      <c r="J1072" s="5" t="s">
        <v>1607</v>
      </c>
      <c r="K1072" s="5" t="s">
        <v>1608</v>
      </c>
      <c r="L1072" s="5" t="s">
        <v>324</v>
      </c>
      <c r="M1072" s="7">
        <v>6</v>
      </c>
      <c r="N1072" s="7" t="s">
        <v>176</v>
      </c>
      <c r="O1072" s="126">
        <v>5925</v>
      </c>
      <c r="P1072" s="121">
        <v>0.02</v>
      </c>
      <c r="Q1072" s="127">
        <f t="shared" ref="Q1072:Q1109" si="203">ROUND(O1072*P1072,0)</f>
        <v>119</v>
      </c>
      <c r="R1072" s="121">
        <v>5.0000000000000001E-3</v>
      </c>
      <c r="S1072" s="127">
        <f t="shared" ref="S1072:S1109" si="204">ROUND(O1072*R1072,0)</f>
        <v>30</v>
      </c>
      <c r="T1072" s="121">
        <f t="shared" ref="T1072:T1109" si="205">U1072/O1072</f>
        <v>2.5147679324894513E-2</v>
      </c>
      <c r="U1072" s="127">
        <f t="shared" ref="U1072:U1109" si="206">Q1072+S1072</f>
        <v>149</v>
      </c>
      <c r="V1072" s="127">
        <f t="shared" ref="V1072:V1109" si="207">O1072+U1072</f>
        <v>6074</v>
      </c>
      <c r="W1072" s="128">
        <f t="shared" si="201"/>
        <v>6074</v>
      </c>
      <c r="X1072" s="129">
        <f t="shared" ref="X1072:X1109" si="208">W1072-O1072</f>
        <v>149</v>
      </c>
      <c r="Y1072" s="122">
        <f t="shared" ref="Y1072:Y1109" si="209">ROUND(W1072/O1072-1,4)</f>
        <v>2.5100000000000001E-2</v>
      </c>
      <c r="Z1072" s="123" t="str">
        <f t="shared" si="202"/>
        <v>0.00%-8.40%</v>
      </c>
      <c r="AA1072" s="130"/>
      <c r="AB1072" s="130"/>
      <c r="AC1072" s="130"/>
      <c r="AD1072" s="124"/>
      <c r="AE1072" s="126">
        <f t="shared" ref="AE1072:AE1109" si="210">ROUND(O1072*AD1072,0)</f>
        <v>0</v>
      </c>
      <c r="AF1072" s="131">
        <f t="shared" ref="AF1072:AF1109" si="211">W1072+AE1072</f>
        <v>6074</v>
      </c>
      <c r="AG1072" s="18">
        <f t="shared" ref="AG1072:AG1109" si="212">AF1072-O1072</f>
        <v>149</v>
      </c>
      <c r="AH1072" s="125">
        <f t="shared" ref="AH1072:AH1109" si="213">AF1072/O1072-1</f>
        <v>2.514767932489459E-2</v>
      </c>
      <c r="AI1072" s="20">
        <v>13.6</v>
      </c>
      <c r="AJ1072" s="20">
        <v>450</v>
      </c>
      <c r="AK1072" s="20"/>
      <c r="AL1072" s="20">
        <v>688</v>
      </c>
      <c r="AM1072" s="20">
        <f t="shared" ref="AM1072:AM1109" si="214">AF1072*AI1072+AJ1072*12+AL1072+IF(AC1072="",AK1072,IF(AC1072="D",5000,IF(AC1072="C",1000,0)))*12</f>
        <v>88694.399999999994</v>
      </c>
      <c r="AN1072" s="7" t="s">
        <v>176</v>
      </c>
      <c r="AO1072" s="20"/>
      <c r="AP1072" s="21"/>
      <c r="AQ1072" s="21"/>
      <c r="AR1072" s="5" t="s">
        <v>1559</v>
      </c>
      <c r="AS1072" s="5" t="s">
        <v>164</v>
      </c>
      <c r="AT1072" s="5" t="s">
        <v>59</v>
      </c>
    </row>
    <row r="1073" spans="1:46">
      <c r="A1073" s="86"/>
      <c r="B1073" s="5">
        <v>15012089</v>
      </c>
      <c r="C1073" s="5" t="s">
        <v>1683</v>
      </c>
      <c r="D1073" s="5" t="s">
        <v>321</v>
      </c>
      <c r="E1073" s="5" t="s">
        <v>52</v>
      </c>
      <c r="F1073" s="5" t="s">
        <v>1475</v>
      </c>
      <c r="G1073" s="5" t="s">
        <v>1561</v>
      </c>
      <c r="H1073" s="5" t="s">
        <v>1676</v>
      </c>
      <c r="I1073" s="6">
        <v>41570</v>
      </c>
      <c r="J1073" s="5" t="s">
        <v>1607</v>
      </c>
      <c r="K1073" s="5" t="s">
        <v>1608</v>
      </c>
      <c r="L1073" s="5" t="s">
        <v>324</v>
      </c>
      <c r="M1073" s="7">
        <v>6</v>
      </c>
      <c r="N1073" s="7" t="s">
        <v>176</v>
      </c>
      <c r="O1073" s="126">
        <v>5795</v>
      </c>
      <c r="P1073" s="121">
        <v>0.02</v>
      </c>
      <c r="Q1073" s="127">
        <f t="shared" si="203"/>
        <v>116</v>
      </c>
      <c r="R1073" s="121">
        <v>5.0000000000000001E-3</v>
      </c>
      <c r="S1073" s="127">
        <f t="shared" si="204"/>
        <v>29</v>
      </c>
      <c r="T1073" s="121">
        <f t="shared" si="205"/>
        <v>2.5021570319240724E-2</v>
      </c>
      <c r="U1073" s="127">
        <f t="shared" si="206"/>
        <v>145</v>
      </c>
      <c r="V1073" s="127">
        <f t="shared" si="207"/>
        <v>5940</v>
      </c>
      <c r="W1073" s="128">
        <f t="shared" si="201"/>
        <v>5940</v>
      </c>
      <c r="X1073" s="129">
        <f t="shared" si="208"/>
        <v>145</v>
      </c>
      <c r="Y1073" s="122">
        <f t="shared" si="209"/>
        <v>2.5000000000000001E-2</v>
      </c>
      <c r="Z1073" s="123" t="str">
        <f t="shared" si="202"/>
        <v>0.00%-8.40%</v>
      </c>
      <c r="AA1073" s="130"/>
      <c r="AB1073" s="130"/>
      <c r="AC1073" s="130"/>
      <c r="AD1073" s="124"/>
      <c r="AE1073" s="126">
        <f t="shared" si="210"/>
        <v>0</v>
      </c>
      <c r="AF1073" s="131">
        <f t="shared" si="211"/>
        <v>5940</v>
      </c>
      <c r="AG1073" s="18">
        <f t="shared" si="212"/>
        <v>145</v>
      </c>
      <c r="AH1073" s="125">
        <f t="shared" si="213"/>
        <v>2.5021570319240682E-2</v>
      </c>
      <c r="AI1073" s="20">
        <v>13.6</v>
      </c>
      <c r="AJ1073" s="20">
        <v>500</v>
      </c>
      <c r="AK1073" s="20"/>
      <c r="AL1073" s="20">
        <v>688</v>
      </c>
      <c r="AM1073" s="20">
        <f t="shared" si="214"/>
        <v>87472</v>
      </c>
      <c r="AN1073" s="7" t="s">
        <v>176</v>
      </c>
      <c r="AO1073" s="20"/>
      <c r="AP1073" s="21"/>
      <c r="AQ1073" s="21"/>
      <c r="AR1073" s="5" t="s">
        <v>1559</v>
      </c>
      <c r="AS1073" s="5" t="s">
        <v>164</v>
      </c>
      <c r="AT1073" s="5" t="s">
        <v>59</v>
      </c>
    </row>
    <row r="1074" spans="1:46">
      <c r="A1074" s="86"/>
      <c r="B1074" s="5">
        <v>15001323</v>
      </c>
      <c r="C1074" s="5" t="s">
        <v>1684</v>
      </c>
      <c r="D1074" s="5" t="s">
        <v>321</v>
      </c>
      <c r="E1074" s="5" t="s">
        <v>52</v>
      </c>
      <c r="F1074" s="5" t="s">
        <v>1475</v>
      </c>
      <c r="G1074" s="5" t="s">
        <v>1561</v>
      </c>
      <c r="H1074" s="5" t="s">
        <v>1676</v>
      </c>
      <c r="I1074" s="6">
        <v>39630</v>
      </c>
      <c r="J1074" s="5" t="s">
        <v>1607</v>
      </c>
      <c r="K1074" s="5" t="s">
        <v>1608</v>
      </c>
      <c r="L1074" s="5" t="s">
        <v>324</v>
      </c>
      <c r="M1074" s="7">
        <v>6</v>
      </c>
      <c r="N1074" s="7" t="s">
        <v>176</v>
      </c>
      <c r="O1074" s="126">
        <v>5690</v>
      </c>
      <c r="P1074" s="121">
        <v>0.02</v>
      </c>
      <c r="Q1074" s="127">
        <f t="shared" si="203"/>
        <v>114</v>
      </c>
      <c r="R1074" s="121">
        <v>5.0000000000000001E-3</v>
      </c>
      <c r="S1074" s="127">
        <f t="shared" si="204"/>
        <v>28</v>
      </c>
      <c r="T1074" s="121">
        <f t="shared" si="205"/>
        <v>2.4956063268892794E-2</v>
      </c>
      <c r="U1074" s="127">
        <f t="shared" si="206"/>
        <v>142</v>
      </c>
      <c r="V1074" s="127">
        <f t="shared" si="207"/>
        <v>5832</v>
      </c>
      <c r="W1074" s="128">
        <f t="shared" si="201"/>
        <v>5832</v>
      </c>
      <c r="X1074" s="129">
        <f t="shared" si="208"/>
        <v>142</v>
      </c>
      <c r="Y1074" s="122">
        <f t="shared" si="209"/>
        <v>2.5000000000000001E-2</v>
      </c>
      <c r="Z1074" s="123" t="str">
        <f t="shared" si="202"/>
        <v>0.00%-8.40%</v>
      </c>
      <c r="AA1074" s="130"/>
      <c r="AB1074" s="130"/>
      <c r="AC1074" s="130"/>
      <c r="AD1074" s="124"/>
      <c r="AE1074" s="126">
        <f t="shared" si="210"/>
        <v>0</v>
      </c>
      <c r="AF1074" s="131">
        <f t="shared" si="211"/>
        <v>5832</v>
      </c>
      <c r="AG1074" s="18">
        <f t="shared" si="212"/>
        <v>142</v>
      </c>
      <c r="AH1074" s="125">
        <f t="shared" si="213"/>
        <v>2.495606326889277E-2</v>
      </c>
      <c r="AI1074" s="20">
        <v>13.6</v>
      </c>
      <c r="AJ1074" s="20">
        <v>500</v>
      </c>
      <c r="AK1074" s="20"/>
      <c r="AL1074" s="20">
        <v>688</v>
      </c>
      <c r="AM1074" s="20">
        <f t="shared" si="214"/>
        <v>86003.199999999997</v>
      </c>
      <c r="AN1074" s="7" t="s">
        <v>176</v>
      </c>
      <c r="AO1074" s="20"/>
      <c r="AP1074" s="21"/>
      <c r="AQ1074" s="21"/>
      <c r="AR1074" s="5" t="s">
        <v>1559</v>
      </c>
      <c r="AS1074" s="5" t="s">
        <v>164</v>
      </c>
      <c r="AT1074" s="5" t="s">
        <v>59</v>
      </c>
    </row>
    <row r="1075" spans="1:46">
      <c r="A1075" s="86"/>
      <c r="B1075" s="5">
        <v>15006422</v>
      </c>
      <c r="C1075" s="5" t="s">
        <v>1685</v>
      </c>
      <c r="D1075" s="5" t="s">
        <v>321</v>
      </c>
      <c r="E1075" s="5" t="s">
        <v>52</v>
      </c>
      <c r="F1075" s="5" t="s">
        <v>1475</v>
      </c>
      <c r="G1075" s="5" t="s">
        <v>1561</v>
      </c>
      <c r="H1075" s="5" t="s">
        <v>1676</v>
      </c>
      <c r="I1075" s="6">
        <v>40909</v>
      </c>
      <c r="J1075" s="5" t="s">
        <v>1607</v>
      </c>
      <c r="K1075" s="5" t="s">
        <v>1608</v>
      </c>
      <c r="L1075" s="5" t="s">
        <v>324</v>
      </c>
      <c r="M1075" s="7">
        <v>6</v>
      </c>
      <c r="N1075" s="7" t="s">
        <v>176</v>
      </c>
      <c r="O1075" s="126">
        <v>5350</v>
      </c>
      <c r="P1075" s="121">
        <v>0.02</v>
      </c>
      <c r="Q1075" s="127">
        <f t="shared" si="203"/>
        <v>107</v>
      </c>
      <c r="R1075" s="121">
        <v>5.0000000000000001E-3</v>
      </c>
      <c r="S1075" s="127">
        <f t="shared" si="204"/>
        <v>27</v>
      </c>
      <c r="T1075" s="121">
        <f t="shared" si="205"/>
        <v>2.5046728971962615E-2</v>
      </c>
      <c r="U1075" s="127">
        <f t="shared" si="206"/>
        <v>134</v>
      </c>
      <c r="V1075" s="127">
        <f t="shared" si="207"/>
        <v>5484</v>
      </c>
      <c r="W1075" s="128">
        <f t="shared" si="201"/>
        <v>5484</v>
      </c>
      <c r="X1075" s="129">
        <f t="shared" si="208"/>
        <v>134</v>
      </c>
      <c r="Y1075" s="122">
        <f t="shared" si="209"/>
        <v>2.5000000000000001E-2</v>
      </c>
      <c r="Z1075" s="123" t="str">
        <f t="shared" si="202"/>
        <v>0.00%-8.40%</v>
      </c>
      <c r="AA1075" s="130"/>
      <c r="AB1075" s="130"/>
      <c r="AC1075" s="130"/>
      <c r="AD1075" s="124"/>
      <c r="AE1075" s="126">
        <f t="shared" si="210"/>
        <v>0</v>
      </c>
      <c r="AF1075" s="131">
        <f t="shared" si="211"/>
        <v>5484</v>
      </c>
      <c r="AG1075" s="18">
        <f t="shared" si="212"/>
        <v>134</v>
      </c>
      <c r="AH1075" s="125">
        <f t="shared" si="213"/>
        <v>2.5046728971962695E-2</v>
      </c>
      <c r="AI1075" s="20">
        <v>13.6</v>
      </c>
      <c r="AJ1075" s="20">
        <v>500</v>
      </c>
      <c r="AK1075" s="20"/>
      <c r="AL1075" s="20">
        <v>688</v>
      </c>
      <c r="AM1075" s="20">
        <f t="shared" si="214"/>
        <v>81270.399999999994</v>
      </c>
      <c r="AN1075" s="7" t="s">
        <v>176</v>
      </c>
      <c r="AO1075" s="20"/>
      <c r="AP1075" s="21"/>
      <c r="AQ1075" s="21"/>
      <c r="AR1075" s="5" t="s">
        <v>1559</v>
      </c>
      <c r="AS1075" s="5" t="s">
        <v>164</v>
      </c>
      <c r="AT1075" s="5" t="s">
        <v>59</v>
      </c>
    </row>
    <row r="1076" spans="1:46">
      <c r="A1076" s="86"/>
      <c r="B1076" s="5">
        <v>15014193</v>
      </c>
      <c r="C1076" s="5" t="s">
        <v>1686</v>
      </c>
      <c r="D1076" s="5" t="s">
        <v>321</v>
      </c>
      <c r="E1076" s="5" t="s">
        <v>52</v>
      </c>
      <c r="F1076" s="5" t="s">
        <v>1475</v>
      </c>
      <c r="G1076" s="5" t="s">
        <v>1561</v>
      </c>
      <c r="H1076" s="5" t="s">
        <v>1676</v>
      </c>
      <c r="I1076" s="6">
        <v>42125</v>
      </c>
      <c r="J1076" s="5" t="s">
        <v>1607</v>
      </c>
      <c r="K1076" s="5" t="s">
        <v>1608</v>
      </c>
      <c r="L1076" s="5" t="s">
        <v>324</v>
      </c>
      <c r="M1076" s="7">
        <v>6</v>
      </c>
      <c r="N1076" s="7" t="s">
        <v>176</v>
      </c>
      <c r="O1076" s="126">
        <v>5035</v>
      </c>
      <c r="P1076" s="121">
        <v>0.02</v>
      </c>
      <c r="Q1076" s="127">
        <f t="shared" si="203"/>
        <v>101</v>
      </c>
      <c r="R1076" s="121">
        <v>5.0000000000000001E-3</v>
      </c>
      <c r="S1076" s="127">
        <f t="shared" si="204"/>
        <v>25</v>
      </c>
      <c r="T1076" s="121">
        <f t="shared" si="205"/>
        <v>2.5024826216484608E-2</v>
      </c>
      <c r="U1076" s="127">
        <f t="shared" si="206"/>
        <v>126</v>
      </c>
      <c r="V1076" s="127">
        <f t="shared" si="207"/>
        <v>5161</v>
      </c>
      <c r="W1076" s="128">
        <f t="shared" si="201"/>
        <v>5161</v>
      </c>
      <c r="X1076" s="129">
        <f t="shared" si="208"/>
        <v>126</v>
      </c>
      <c r="Y1076" s="122">
        <f t="shared" si="209"/>
        <v>2.5000000000000001E-2</v>
      </c>
      <c r="Z1076" s="123" t="str">
        <f t="shared" si="202"/>
        <v>0.00%-8.40%</v>
      </c>
      <c r="AA1076" s="130"/>
      <c r="AB1076" s="130"/>
      <c r="AC1076" s="130"/>
      <c r="AD1076" s="124"/>
      <c r="AE1076" s="126">
        <f t="shared" si="210"/>
        <v>0</v>
      </c>
      <c r="AF1076" s="131">
        <f t="shared" si="211"/>
        <v>5161</v>
      </c>
      <c r="AG1076" s="18">
        <f t="shared" si="212"/>
        <v>126</v>
      </c>
      <c r="AH1076" s="125">
        <f t="shared" si="213"/>
        <v>2.5024826216484497E-2</v>
      </c>
      <c r="AI1076" s="20">
        <v>13.6</v>
      </c>
      <c r="AJ1076" s="20">
        <v>500</v>
      </c>
      <c r="AK1076" s="20"/>
      <c r="AL1076" s="20">
        <v>688</v>
      </c>
      <c r="AM1076" s="20">
        <f t="shared" si="214"/>
        <v>76877.599999999991</v>
      </c>
      <c r="AN1076" s="7" t="s">
        <v>176</v>
      </c>
      <c r="AO1076" s="20"/>
      <c r="AP1076" s="21"/>
      <c r="AQ1076" s="21"/>
      <c r="AR1076" s="5" t="s">
        <v>1559</v>
      </c>
      <c r="AS1076" s="5" t="s">
        <v>164</v>
      </c>
      <c r="AT1076" s="5" t="s">
        <v>59</v>
      </c>
    </row>
    <row r="1077" spans="1:46">
      <c r="A1077" s="86"/>
      <c r="B1077" s="5">
        <v>15016040</v>
      </c>
      <c r="C1077" s="5" t="s">
        <v>647</v>
      </c>
      <c r="D1077" s="5" t="s">
        <v>321</v>
      </c>
      <c r="E1077" s="5" t="s">
        <v>52</v>
      </c>
      <c r="F1077" s="5" t="s">
        <v>1475</v>
      </c>
      <c r="G1077" s="5" t="s">
        <v>1561</v>
      </c>
      <c r="H1077" s="5" t="s">
        <v>1676</v>
      </c>
      <c r="I1077" s="6">
        <v>42767</v>
      </c>
      <c r="J1077" s="5" t="s">
        <v>1607</v>
      </c>
      <c r="K1077" s="5" t="s">
        <v>1608</v>
      </c>
      <c r="L1077" s="5" t="s">
        <v>324</v>
      </c>
      <c r="M1077" s="7">
        <v>6</v>
      </c>
      <c r="N1077" s="7" t="s">
        <v>176</v>
      </c>
      <c r="O1077" s="126">
        <v>4930</v>
      </c>
      <c r="P1077" s="121">
        <v>0.02</v>
      </c>
      <c r="Q1077" s="127">
        <f t="shared" si="203"/>
        <v>99</v>
      </c>
      <c r="R1077" s="121">
        <v>5.0000000000000001E-3</v>
      </c>
      <c r="S1077" s="127">
        <f t="shared" si="204"/>
        <v>25</v>
      </c>
      <c r="T1077" s="121">
        <f t="shared" si="205"/>
        <v>2.5152129817444219E-2</v>
      </c>
      <c r="U1077" s="127">
        <f t="shared" si="206"/>
        <v>124</v>
      </c>
      <c r="V1077" s="127">
        <f t="shared" si="207"/>
        <v>5054</v>
      </c>
      <c r="W1077" s="128">
        <f t="shared" si="201"/>
        <v>5054</v>
      </c>
      <c r="X1077" s="129">
        <f t="shared" si="208"/>
        <v>124</v>
      </c>
      <c r="Y1077" s="122">
        <f t="shared" si="209"/>
        <v>2.52E-2</v>
      </c>
      <c r="Z1077" s="123" t="str">
        <f t="shared" si="202"/>
        <v>0.00%-8.40%</v>
      </c>
      <c r="AA1077" s="130"/>
      <c r="AB1077" s="130"/>
      <c r="AC1077" s="130"/>
      <c r="AD1077" s="124"/>
      <c r="AE1077" s="126">
        <f t="shared" si="210"/>
        <v>0</v>
      </c>
      <c r="AF1077" s="131">
        <f t="shared" si="211"/>
        <v>5054</v>
      </c>
      <c r="AG1077" s="18">
        <f t="shared" si="212"/>
        <v>124</v>
      </c>
      <c r="AH1077" s="125">
        <f t="shared" si="213"/>
        <v>2.5152129817444191E-2</v>
      </c>
      <c r="AI1077" s="20">
        <v>13.6</v>
      </c>
      <c r="AJ1077" s="20">
        <v>450</v>
      </c>
      <c r="AK1077" s="20"/>
      <c r="AL1077" s="20">
        <v>688</v>
      </c>
      <c r="AM1077" s="20">
        <f t="shared" si="214"/>
        <v>74822.399999999994</v>
      </c>
      <c r="AN1077" s="7" t="s">
        <v>176</v>
      </c>
      <c r="AO1077" s="20"/>
      <c r="AP1077" s="21"/>
      <c r="AQ1077" s="21"/>
      <c r="AR1077" s="5" t="s">
        <v>1559</v>
      </c>
      <c r="AS1077" s="5" t="s">
        <v>164</v>
      </c>
      <c r="AT1077" s="5" t="s">
        <v>59</v>
      </c>
    </row>
    <row r="1078" spans="1:46">
      <c r="A1078" s="86"/>
      <c r="B1078" s="5">
        <v>15020203</v>
      </c>
      <c r="C1078" s="5" t="s">
        <v>1687</v>
      </c>
      <c r="D1078" s="5" t="s">
        <v>321</v>
      </c>
      <c r="E1078" s="5" t="s">
        <v>52</v>
      </c>
      <c r="F1078" s="5" t="s">
        <v>1475</v>
      </c>
      <c r="G1078" s="5" t="s">
        <v>1561</v>
      </c>
      <c r="H1078" s="5" t="s">
        <v>1676</v>
      </c>
      <c r="I1078" s="6">
        <v>44013</v>
      </c>
      <c r="J1078" s="5" t="s">
        <v>1607</v>
      </c>
      <c r="K1078" s="5" t="s">
        <v>1608</v>
      </c>
      <c r="L1078" s="5" t="s">
        <v>324</v>
      </c>
      <c r="M1078" s="7">
        <v>6</v>
      </c>
      <c r="N1078" s="7" t="s">
        <v>176</v>
      </c>
      <c r="O1078" s="126">
        <v>5000</v>
      </c>
      <c r="P1078" s="121">
        <v>0.02</v>
      </c>
      <c r="Q1078" s="127">
        <f t="shared" si="203"/>
        <v>100</v>
      </c>
      <c r="R1078" s="121">
        <v>5.0000000000000001E-3</v>
      </c>
      <c r="S1078" s="127">
        <f t="shared" si="204"/>
        <v>25</v>
      </c>
      <c r="T1078" s="121">
        <f t="shared" si="205"/>
        <v>2.5000000000000001E-2</v>
      </c>
      <c r="U1078" s="127">
        <f t="shared" si="206"/>
        <v>125</v>
      </c>
      <c r="V1078" s="127">
        <f t="shared" si="207"/>
        <v>5125</v>
      </c>
      <c r="W1078" s="128">
        <f t="shared" si="201"/>
        <v>5125</v>
      </c>
      <c r="X1078" s="129">
        <f t="shared" si="208"/>
        <v>125</v>
      </c>
      <c r="Y1078" s="122">
        <f t="shared" si="209"/>
        <v>2.5000000000000001E-2</v>
      </c>
      <c r="Z1078" s="123" t="str">
        <f t="shared" si="202"/>
        <v>0.00%-8.40%</v>
      </c>
      <c r="AA1078" s="130"/>
      <c r="AB1078" s="130"/>
      <c r="AC1078" s="130"/>
      <c r="AD1078" s="124"/>
      <c r="AE1078" s="126">
        <f t="shared" si="210"/>
        <v>0</v>
      </c>
      <c r="AF1078" s="131">
        <f t="shared" si="211"/>
        <v>5125</v>
      </c>
      <c r="AG1078" s="18">
        <f t="shared" si="212"/>
        <v>125</v>
      </c>
      <c r="AH1078" s="125">
        <f t="shared" si="213"/>
        <v>2.4999999999999911E-2</v>
      </c>
      <c r="AI1078" s="20">
        <v>13.6</v>
      </c>
      <c r="AJ1078" s="20">
        <v>500</v>
      </c>
      <c r="AK1078" s="20"/>
      <c r="AL1078" s="20">
        <v>688</v>
      </c>
      <c r="AM1078" s="20">
        <f t="shared" si="214"/>
        <v>76388</v>
      </c>
      <c r="AN1078" s="7" t="s">
        <v>176</v>
      </c>
      <c r="AO1078" s="20"/>
      <c r="AP1078" s="21"/>
      <c r="AQ1078" s="21"/>
      <c r="AR1078" s="5" t="s">
        <v>1559</v>
      </c>
      <c r="AS1078" s="5" t="s">
        <v>164</v>
      </c>
      <c r="AT1078" s="5" t="s">
        <v>59</v>
      </c>
    </row>
    <row r="1079" spans="1:46">
      <c r="A1079" s="86"/>
      <c r="B1079" s="5">
        <v>15000530</v>
      </c>
      <c r="C1079" s="5" t="s">
        <v>1688</v>
      </c>
      <c r="D1079" s="5" t="s">
        <v>321</v>
      </c>
      <c r="E1079" s="5" t="s">
        <v>52</v>
      </c>
      <c r="F1079" s="5" t="s">
        <v>1475</v>
      </c>
      <c r="G1079" s="5" t="s">
        <v>1561</v>
      </c>
      <c r="H1079" s="5" t="s">
        <v>1676</v>
      </c>
      <c r="I1079" s="6">
        <v>38838</v>
      </c>
      <c r="J1079" s="5" t="s">
        <v>1607</v>
      </c>
      <c r="K1079" s="5" t="s">
        <v>1608</v>
      </c>
      <c r="L1079" s="5" t="s">
        <v>324</v>
      </c>
      <c r="M1079" s="7">
        <v>6</v>
      </c>
      <c r="N1079" s="7" t="s">
        <v>176</v>
      </c>
      <c r="O1079" s="126">
        <v>5216</v>
      </c>
      <c r="P1079" s="121">
        <v>0.02</v>
      </c>
      <c r="Q1079" s="127">
        <f t="shared" si="203"/>
        <v>104</v>
      </c>
      <c r="R1079" s="121">
        <v>5.0000000000000001E-3</v>
      </c>
      <c r="S1079" s="127">
        <f t="shared" si="204"/>
        <v>26</v>
      </c>
      <c r="T1079" s="121">
        <f t="shared" si="205"/>
        <v>2.4923312883435581E-2</v>
      </c>
      <c r="U1079" s="127">
        <f t="shared" si="206"/>
        <v>130</v>
      </c>
      <c r="V1079" s="127">
        <f t="shared" si="207"/>
        <v>5346</v>
      </c>
      <c r="W1079" s="128">
        <f t="shared" si="201"/>
        <v>5346</v>
      </c>
      <c r="X1079" s="129">
        <f t="shared" si="208"/>
        <v>130</v>
      </c>
      <c r="Y1079" s="122">
        <f t="shared" si="209"/>
        <v>2.4899999999999999E-2</v>
      </c>
      <c r="Z1079" s="123" t="str">
        <f t="shared" si="202"/>
        <v>0.00%-8.40%</v>
      </c>
      <c r="AA1079" s="130"/>
      <c r="AB1079" s="130"/>
      <c r="AC1079" s="130"/>
      <c r="AD1079" s="124"/>
      <c r="AE1079" s="126">
        <f t="shared" si="210"/>
        <v>0</v>
      </c>
      <c r="AF1079" s="131">
        <f t="shared" si="211"/>
        <v>5346</v>
      </c>
      <c r="AG1079" s="18">
        <f t="shared" si="212"/>
        <v>130</v>
      </c>
      <c r="AH1079" s="125">
        <f t="shared" si="213"/>
        <v>2.4923312883435633E-2</v>
      </c>
      <c r="AI1079" s="20">
        <v>13.6</v>
      </c>
      <c r="AJ1079" s="20">
        <v>450</v>
      </c>
      <c r="AK1079" s="20"/>
      <c r="AL1079" s="20">
        <v>688</v>
      </c>
      <c r="AM1079" s="20">
        <f t="shared" si="214"/>
        <v>78793.599999999991</v>
      </c>
      <c r="AN1079" s="7">
        <v>3</v>
      </c>
      <c r="AO1079" s="20"/>
      <c r="AP1079" s="21"/>
      <c r="AQ1079" s="21"/>
      <c r="AR1079" s="5" t="s">
        <v>1559</v>
      </c>
      <c r="AS1079" s="5" t="s">
        <v>164</v>
      </c>
      <c r="AT1079" s="5" t="s">
        <v>59</v>
      </c>
    </row>
    <row r="1080" spans="1:46">
      <c r="A1080" s="86"/>
      <c r="B1080" s="5">
        <v>15016613</v>
      </c>
      <c r="C1080" s="5" t="s">
        <v>1689</v>
      </c>
      <c r="D1080" s="5" t="s">
        <v>321</v>
      </c>
      <c r="E1080" s="5" t="s">
        <v>52</v>
      </c>
      <c r="F1080" s="5" t="s">
        <v>1475</v>
      </c>
      <c r="G1080" s="5" t="s">
        <v>1561</v>
      </c>
      <c r="H1080" s="5" t="s">
        <v>1676</v>
      </c>
      <c r="I1080" s="6">
        <v>42948</v>
      </c>
      <c r="J1080" s="5" t="s">
        <v>1607</v>
      </c>
      <c r="K1080" s="5" t="s">
        <v>1608</v>
      </c>
      <c r="L1080" s="5" t="s">
        <v>324</v>
      </c>
      <c r="M1080" s="7">
        <v>6</v>
      </c>
      <c r="N1080" s="7" t="s">
        <v>176</v>
      </c>
      <c r="O1080" s="126">
        <v>4982</v>
      </c>
      <c r="P1080" s="121">
        <v>0.02</v>
      </c>
      <c r="Q1080" s="127">
        <f t="shared" si="203"/>
        <v>100</v>
      </c>
      <c r="R1080" s="121">
        <v>5.0000000000000001E-3</v>
      </c>
      <c r="S1080" s="127">
        <f t="shared" si="204"/>
        <v>25</v>
      </c>
      <c r="T1080" s="121">
        <f t="shared" si="205"/>
        <v>2.509032517061421E-2</v>
      </c>
      <c r="U1080" s="127">
        <f t="shared" si="206"/>
        <v>125</v>
      </c>
      <c r="V1080" s="127">
        <f t="shared" si="207"/>
        <v>5107</v>
      </c>
      <c r="W1080" s="128">
        <f t="shared" si="201"/>
        <v>5107</v>
      </c>
      <c r="X1080" s="129">
        <f t="shared" si="208"/>
        <v>125</v>
      </c>
      <c r="Y1080" s="122">
        <f t="shared" si="209"/>
        <v>2.5100000000000001E-2</v>
      </c>
      <c r="Z1080" s="123" t="str">
        <f t="shared" si="202"/>
        <v>0.00%-8.40%</v>
      </c>
      <c r="AA1080" s="130"/>
      <c r="AB1080" s="130"/>
      <c r="AC1080" s="130"/>
      <c r="AD1080" s="124"/>
      <c r="AE1080" s="126">
        <f t="shared" si="210"/>
        <v>0</v>
      </c>
      <c r="AF1080" s="131">
        <f t="shared" si="211"/>
        <v>5107</v>
      </c>
      <c r="AG1080" s="18">
        <f t="shared" si="212"/>
        <v>125</v>
      </c>
      <c r="AH1080" s="125">
        <f t="shared" si="213"/>
        <v>2.5090325170614269E-2</v>
      </c>
      <c r="AI1080" s="20">
        <v>13.6</v>
      </c>
      <c r="AJ1080" s="20">
        <v>500</v>
      </c>
      <c r="AK1080" s="20"/>
      <c r="AL1080" s="20">
        <v>688</v>
      </c>
      <c r="AM1080" s="20">
        <f t="shared" si="214"/>
        <v>76143.199999999997</v>
      </c>
      <c r="AN1080" s="7" t="s">
        <v>176</v>
      </c>
      <c r="AO1080" s="20"/>
      <c r="AP1080" s="21"/>
      <c r="AQ1080" s="21"/>
      <c r="AR1080" s="5" t="s">
        <v>1559</v>
      </c>
      <c r="AS1080" s="5" t="s">
        <v>164</v>
      </c>
      <c r="AT1080" s="5" t="s">
        <v>59</v>
      </c>
    </row>
    <row r="1081" spans="1:46">
      <c r="A1081" s="86"/>
      <c r="B1081" s="5">
        <v>15006620</v>
      </c>
      <c r="C1081" s="5" t="s">
        <v>1690</v>
      </c>
      <c r="D1081" s="5" t="s">
        <v>321</v>
      </c>
      <c r="E1081" s="5" t="s">
        <v>52</v>
      </c>
      <c r="F1081" s="5" t="s">
        <v>1475</v>
      </c>
      <c r="G1081" s="5" t="s">
        <v>1561</v>
      </c>
      <c r="H1081" s="5" t="s">
        <v>1676</v>
      </c>
      <c r="I1081" s="6">
        <v>40940</v>
      </c>
      <c r="J1081" s="5" t="s">
        <v>1607</v>
      </c>
      <c r="K1081" s="5" t="s">
        <v>1608</v>
      </c>
      <c r="L1081" s="5" t="s">
        <v>324</v>
      </c>
      <c r="M1081" s="7">
        <v>6</v>
      </c>
      <c r="N1081" s="7" t="s">
        <v>176</v>
      </c>
      <c r="O1081" s="126">
        <v>4755</v>
      </c>
      <c r="P1081" s="121">
        <v>0.02</v>
      </c>
      <c r="Q1081" s="127">
        <f t="shared" si="203"/>
        <v>95</v>
      </c>
      <c r="R1081" s="121">
        <v>5.0000000000000001E-3</v>
      </c>
      <c r="S1081" s="127">
        <f t="shared" si="204"/>
        <v>24</v>
      </c>
      <c r="T1081" s="121">
        <f t="shared" si="205"/>
        <v>2.5026288117770766E-2</v>
      </c>
      <c r="U1081" s="127">
        <f t="shared" si="206"/>
        <v>119</v>
      </c>
      <c r="V1081" s="127">
        <f t="shared" si="207"/>
        <v>4874</v>
      </c>
      <c r="W1081" s="128">
        <f t="shared" si="201"/>
        <v>4874</v>
      </c>
      <c r="X1081" s="129">
        <f t="shared" si="208"/>
        <v>119</v>
      </c>
      <c r="Y1081" s="122">
        <f t="shared" si="209"/>
        <v>2.5000000000000001E-2</v>
      </c>
      <c r="Z1081" s="123" t="str">
        <f t="shared" si="202"/>
        <v>0.00%-8.40%</v>
      </c>
      <c r="AA1081" s="130"/>
      <c r="AB1081" s="130"/>
      <c r="AC1081" s="130"/>
      <c r="AD1081" s="124"/>
      <c r="AE1081" s="126">
        <f t="shared" si="210"/>
        <v>0</v>
      </c>
      <c r="AF1081" s="131">
        <f t="shared" si="211"/>
        <v>4874</v>
      </c>
      <c r="AG1081" s="18">
        <f t="shared" si="212"/>
        <v>119</v>
      </c>
      <c r="AH1081" s="125">
        <f t="shared" si="213"/>
        <v>2.5026288117770745E-2</v>
      </c>
      <c r="AI1081" s="20">
        <v>13.6</v>
      </c>
      <c r="AJ1081" s="20">
        <v>500</v>
      </c>
      <c r="AK1081" s="20"/>
      <c r="AL1081" s="20">
        <v>688</v>
      </c>
      <c r="AM1081" s="20">
        <f t="shared" si="214"/>
        <v>72974.399999999994</v>
      </c>
      <c r="AN1081" s="7" t="s">
        <v>176</v>
      </c>
      <c r="AO1081" s="20"/>
      <c r="AP1081" s="21"/>
      <c r="AQ1081" s="21"/>
      <c r="AR1081" s="5" t="s">
        <v>1559</v>
      </c>
      <c r="AS1081" s="5" t="s">
        <v>164</v>
      </c>
      <c r="AT1081" s="5" t="s">
        <v>59</v>
      </c>
    </row>
    <row r="1082" spans="1:46">
      <c r="A1082" s="86"/>
      <c r="B1082" s="5">
        <v>15002011</v>
      </c>
      <c r="C1082" s="5" t="s">
        <v>1400</v>
      </c>
      <c r="D1082" s="5" t="s">
        <v>321</v>
      </c>
      <c r="E1082" s="5" t="s">
        <v>52</v>
      </c>
      <c r="F1082" s="5" t="s">
        <v>1475</v>
      </c>
      <c r="G1082" s="5" t="s">
        <v>1561</v>
      </c>
      <c r="H1082" s="5" t="s">
        <v>1676</v>
      </c>
      <c r="I1082" s="6">
        <v>39727</v>
      </c>
      <c r="J1082" s="5" t="s">
        <v>1607</v>
      </c>
      <c r="K1082" s="5" t="s">
        <v>1608</v>
      </c>
      <c r="L1082" s="5" t="s">
        <v>324</v>
      </c>
      <c r="M1082" s="7">
        <v>6</v>
      </c>
      <c r="N1082" s="7" t="s">
        <v>176</v>
      </c>
      <c r="O1082" s="126">
        <v>5142</v>
      </c>
      <c r="P1082" s="121">
        <v>0.02</v>
      </c>
      <c r="Q1082" s="127">
        <f t="shared" si="203"/>
        <v>103</v>
      </c>
      <c r="R1082" s="121">
        <v>5.0000000000000001E-3</v>
      </c>
      <c r="S1082" s="127">
        <f t="shared" si="204"/>
        <v>26</v>
      </c>
      <c r="T1082" s="121">
        <f t="shared" si="205"/>
        <v>2.5087514585764293E-2</v>
      </c>
      <c r="U1082" s="127">
        <f t="shared" si="206"/>
        <v>129</v>
      </c>
      <c r="V1082" s="127">
        <f t="shared" si="207"/>
        <v>5271</v>
      </c>
      <c r="W1082" s="128">
        <f t="shared" si="201"/>
        <v>5271</v>
      </c>
      <c r="X1082" s="129">
        <f t="shared" si="208"/>
        <v>129</v>
      </c>
      <c r="Y1082" s="122">
        <f t="shared" si="209"/>
        <v>2.5100000000000001E-2</v>
      </c>
      <c r="Z1082" s="123" t="str">
        <f t="shared" si="202"/>
        <v>0.00%-8.40%</v>
      </c>
      <c r="AA1082" s="130"/>
      <c r="AB1082" s="130"/>
      <c r="AC1082" s="130"/>
      <c r="AD1082" s="124"/>
      <c r="AE1082" s="126">
        <f t="shared" si="210"/>
        <v>0</v>
      </c>
      <c r="AF1082" s="131">
        <f t="shared" si="211"/>
        <v>5271</v>
      </c>
      <c r="AG1082" s="18">
        <f t="shared" si="212"/>
        <v>129</v>
      </c>
      <c r="AH1082" s="125">
        <f t="shared" si="213"/>
        <v>2.5087514585764303E-2</v>
      </c>
      <c r="AI1082" s="20">
        <v>13.6</v>
      </c>
      <c r="AJ1082" s="20">
        <v>450</v>
      </c>
      <c r="AK1082" s="20"/>
      <c r="AL1082" s="20">
        <v>688</v>
      </c>
      <c r="AM1082" s="20">
        <f t="shared" si="214"/>
        <v>77773.599999999991</v>
      </c>
      <c r="AN1082" s="7" t="s">
        <v>176</v>
      </c>
      <c r="AO1082" s="20"/>
      <c r="AP1082" s="21"/>
      <c r="AQ1082" s="21"/>
      <c r="AR1082" s="5" t="s">
        <v>1559</v>
      </c>
      <c r="AS1082" s="5" t="s">
        <v>164</v>
      </c>
      <c r="AT1082" s="5" t="s">
        <v>59</v>
      </c>
    </row>
    <row r="1083" spans="1:46">
      <c r="A1083" s="86"/>
      <c r="B1083" s="5">
        <v>15004601</v>
      </c>
      <c r="C1083" s="5" t="s">
        <v>1691</v>
      </c>
      <c r="D1083" s="5" t="s">
        <v>321</v>
      </c>
      <c r="E1083" s="5" t="s">
        <v>52</v>
      </c>
      <c r="F1083" s="5" t="s">
        <v>1475</v>
      </c>
      <c r="G1083" s="5" t="s">
        <v>1557</v>
      </c>
      <c r="H1083" s="5" t="s">
        <v>1676</v>
      </c>
      <c r="I1083" s="6">
        <v>40459</v>
      </c>
      <c r="J1083" s="5" t="s">
        <v>1607</v>
      </c>
      <c r="K1083" s="5" t="s">
        <v>1608</v>
      </c>
      <c r="L1083" s="5" t="s">
        <v>324</v>
      </c>
      <c r="M1083" s="7">
        <v>6</v>
      </c>
      <c r="N1083" s="7" t="s">
        <v>176</v>
      </c>
      <c r="O1083" s="126">
        <v>6700</v>
      </c>
      <c r="P1083" s="121">
        <v>0.02</v>
      </c>
      <c r="Q1083" s="127">
        <f t="shared" si="203"/>
        <v>134</v>
      </c>
      <c r="R1083" s="121">
        <v>5.0000000000000001E-3</v>
      </c>
      <c r="S1083" s="127">
        <f t="shared" si="204"/>
        <v>34</v>
      </c>
      <c r="T1083" s="121">
        <f t="shared" si="205"/>
        <v>2.5074626865671641E-2</v>
      </c>
      <c r="U1083" s="127">
        <f t="shared" si="206"/>
        <v>168</v>
      </c>
      <c r="V1083" s="127">
        <f t="shared" si="207"/>
        <v>6868</v>
      </c>
      <c r="W1083" s="128">
        <f t="shared" si="201"/>
        <v>6868</v>
      </c>
      <c r="X1083" s="129">
        <f t="shared" si="208"/>
        <v>168</v>
      </c>
      <c r="Y1083" s="122">
        <f t="shared" si="209"/>
        <v>2.5100000000000001E-2</v>
      </c>
      <c r="Z1083" s="123" t="str">
        <f t="shared" si="202"/>
        <v>0.00%-8.40%</v>
      </c>
      <c r="AA1083" s="130"/>
      <c r="AB1083" s="130"/>
      <c r="AC1083" s="130"/>
      <c r="AD1083" s="124"/>
      <c r="AE1083" s="126">
        <f t="shared" si="210"/>
        <v>0</v>
      </c>
      <c r="AF1083" s="131">
        <f t="shared" si="211"/>
        <v>6868</v>
      </c>
      <c r="AG1083" s="18">
        <f t="shared" si="212"/>
        <v>168</v>
      </c>
      <c r="AH1083" s="125">
        <f t="shared" si="213"/>
        <v>2.5074626865671634E-2</v>
      </c>
      <c r="AI1083" s="20">
        <v>13.6</v>
      </c>
      <c r="AJ1083" s="20">
        <v>450</v>
      </c>
      <c r="AK1083" s="20"/>
      <c r="AL1083" s="20">
        <v>688</v>
      </c>
      <c r="AM1083" s="20">
        <f t="shared" si="214"/>
        <v>99492.800000000003</v>
      </c>
      <c r="AN1083" s="7" t="s">
        <v>176</v>
      </c>
      <c r="AO1083" s="20"/>
      <c r="AP1083" s="21"/>
      <c r="AQ1083" s="21"/>
      <c r="AR1083" s="5" t="s">
        <v>1559</v>
      </c>
      <c r="AS1083" s="5" t="s">
        <v>164</v>
      </c>
      <c r="AT1083" s="5" t="s">
        <v>59</v>
      </c>
    </row>
    <row r="1084" spans="1:46">
      <c r="A1084" s="86"/>
      <c r="B1084" s="5">
        <v>15000741</v>
      </c>
      <c r="C1084" s="5" t="s">
        <v>1692</v>
      </c>
      <c r="D1084" s="5" t="s">
        <v>321</v>
      </c>
      <c r="E1084" s="5" t="s">
        <v>52</v>
      </c>
      <c r="F1084" s="5" t="s">
        <v>1475</v>
      </c>
      <c r="G1084" s="5" t="s">
        <v>1561</v>
      </c>
      <c r="H1084" s="5" t="s">
        <v>1676</v>
      </c>
      <c r="I1084" s="6">
        <v>39031</v>
      </c>
      <c r="J1084" s="5" t="s">
        <v>1607</v>
      </c>
      <c r="K1084" s="5" t="s">
        <v>1608</v>
      </c>
      <c r="L1084" s="5" t="s">
        <v>324</v>
      </c>
      <c r="M1084" s="7">
        <v>6</v>
      </c>
      <c r="N1084" s="7" t="s">
        <v>176</v>
      </c>
      <c r="O1084" s="126">
        <v>5712</v>
      </c>
      <c r="P1084" s="121">
        <v>0.02</v>
      </c>
      <c r="Q1084" s="127">
        <f t="shared" si="203"/>
        <v>114</v>
      </c>
      <c r="R1084" s="121">
        <v>5.0000000000000001E-3</v>
      </c>
      <c r="S1084" s="127">
        <f t="shared" si="204"/>
        <v>29</v>
      </c>
      <c r="T1084" s="121">
        <f t="shared" si="205"/>
        <v>2.5035014005602242E-2</v>
      </c>
      <c r="U1084" s="127">
        <f t="shared" si="206"/>
        <v>143</v>
      </c>
      <c r="V1084" s="127">
        <f t="shared" si="207"/>
        <v>5855</v>
      </c>
      <c r="W1084" s="128">
        <f t="shared" si="201"/>
        <v>5855</v>
      </c>
      <c r="X1084" s="129">
        <f t="shared" si="208"/>
        <v>143</v>
      </c>
      <c r="Y1084" s="122">
        <f t="shared" si="209"/>
        <v>2.5000000000000001E-2</v>
      </c>
      <c r="Z1084" s="123" t="str">
        <f t="shared" si="202"/>
        <v>0.00%-8.40%</v>
      </c>
      <c r="AA1084" s="130"/>
      <c r="AB1084" s="130"/>
      <c r="AC1084" s="130"/>
      <c r="AD1084" s="124"/>
      <c r="AE1084" s="126">
        <f t="shared" si="210"/>
        <v>0</v>
      </c>
      <c r="AF1084" s="131">
        <f t="shared" si="211"/>
        <v>5855</v>
      </c>
      <c r="AG1084" s="18">
        <f t="shared" si="212"/>
        <v>143</v>
      </c>
      <c r="AH1084" s="125">
        <f t="shared" si="213"/>
        <v>2.5035014005602152E-2</v>
      </c>
      <c r="AI1084" s="20">
        <v>13.6</v>
      </c>
      <c r="AJ1084" s="20">
        <v>450</v>
      </c>
      <c r="AK1084" s="20"/>
      <c r="AL1084" s="20">
        <v>688</v>
      </c>
      <c r="AM1084" s="20">
        <f t="shared" si="214"/>
        <v>85716</v>
      </c>
      <c r="AN1084" s="7" t="s">
        <v>176</v>
      </c>
      <c r="AO1084" s="20"/>
      <c r="AP1084" s="21"/>
      <c r="AQ1084" s="21"/>
      <c r="AR1084" s="5" t="s">
        <v>1559</v>
      </c>
      <c r="AS1084" s="5" t="s">
        <v>164</v>
      </c>
      <c r="AT1084" s="5" t="s">
        <v>59</v>
      </c>
    </row>
    <row r="1085" spans="1:46">
      <c r="A1085" s="86"/>
      <c r="B1085" s="5">
        <v>15020090</v>
      </c>
      <c r="C1085" s="5" t="s">
        <v>1693</v>
      </c>
      <c r="D1085" s="5" t="s">
        <v>321</v>
      </c>
      <c r="E1085" s="5" t="s">
        <v>52</v>
      </c>
      <c r="F1085" s="5" t="s">
        <v>1475</v>
      </c>
      <c r="G1085" s="5" t="s">
        <v>1561</v>
      </c>
      <c r="H1085" s="5" t="s">
        <v>1676</v>
      </c>
      <c r="I1085" s="6">
        <v>43903</v>
      </c>
      <c r="J1085" s="5" t="s">
        <v>1607</v>
      </c>
      <c r="K1085" s="5" t="s">
        <v>1608</v>
      </c>
      <c r="L1085" s="5" t="s">
        <v>324</v>
      </c>
      <c r="M1085" s="7">
        <v>6</v>
      </c>
      <c r="N1085" s="7" t="s">
        <v>176</v>
      </c>
      <c r="O1085" s="126">
        <v>5100</v>
      </c>
      <c r="P1085" s="121">
        <v>0.02</v>
      </c>
      <c r="Q1085" s="127">
        <f t="shared" si="203"/>
        <v>102</v>
      </c>
      <c r="R1085" s="121">
        <v>5.0000000000000001E-3</v>
      </c>
      <c r="S1085" s="127">
        <f t="shared" si="204"/>
        <v>26</v>
      </c>
      <c r="T1085" s="121">
        <f t="shared" si="205"/>
        <v>2.5098039215686273E-2</v>
      </c>
      <c r="U1085" s="127">
        <f t="shared" si="206"/>
        <v>128</v>
      </c>
      <c r="V1085" s="127">
        <f t="shared" si="207"/>
        <v>5228</v>
      </c>
      <c r="W1085" s="128">
        <f t="shared" si="201"/>
        <v>5228</v>
      </c>
      <c r="X1085" s="129">
        <f t="shared" si="208"/>
        <v>128</v>
      </c>
      <c r="Y1085" s="122">
        <f t="shared" si="209"/>
        <v>2.5100000000000001E-2</v>
      </c>
      <c r="Z1085" s="123" t="str">
        <f t="shared" si="202"/>
        <v>0.00%-8.40%</v>
      </c>
      <c r="AA1085" s="130"/>
      <c r="AB1085" s="130"/>
      <c r="AC1085" s="130"/>
      <c r="AD1085" s="124"/>
      <c r="AE1085" s="126">
        <f t="shared" si="210"/>
        <v>0</v>
      </c>
      <c r="AF1085" s="131">
        <f t="shared" si="211"/>
        <v>5228</v>
      </c>
      <c r="AG1085" s="18">
        <f t="shared" si="212"/>
        <v>128</v>
      </c>
      <c r="AH1085" s="125">
        <f t="shared" si="213"/>
        <v>2.5098039215686319E-2</v>
      </c>
      <c r="AI1085" s="20">
        <v>13.6</v>
      </c>
      <c r="AJ1085" s="20">
        <v>450</v>
      </c>
      <c r="AK1085" s="20"/>
      <c r="AL1085" s="20">
        <v>688</v>
      </c>
      <c r="AM1085" s="20">
        <f t="shared" si="214"/>
        <v>77188.800000000003</v>
      </c>
      <c r="AN1085" s="7" t="s">
        <v>176</v>
      </c>
      <c r="AO1085" s="20"/>
      <c r="AP1085" s="21"/>
      <c r="AQ1085" s="21"/>
      <c r="AR1085" s="5" t="s">
        <v>1559</v>
      </c>
      <c r="AS1085" s="5" t="s">
        <v>164</v>
      </c>
      <c r="AT1085" s="5" t="s">
        <v>59</v>
      </c>
    </row>
    <row r="1086" spans="1:46">
      <c r="A1086" s="86"/>
      <c r="B1086" s="5">
        <v>15002821</v>
      </c>
      <c r="C1086" s="5" t="s">
        <v>1694</v>
      </c>
      <c r="D1086" s="5" t="s">
        <v>321</v>
      </c>
      <c r="E1086" s="5" t="s">
        <v>52</v>
      </c>
      <c r="F1086" s="5" t="s">
        <v>1475</v>
      </c>
      <c r="G1086" s="5" t="s">
        <v>1561</v>
      </c>
      <c r="H1086" s="5" t="s">
        <v>1676</v>
      </c>
      <c r="I1086" s="6">
        <v>40269</v>
      </c>
      <c r="J1086" s="5" t="s">
        <v>1607</v>
      </c>
      <c r="K1086" s="5" t="s">
        <v>1608</v>
      </c>
      <c r="L1086" s="5" t="s">
        <v>324</v>
      </c>
      <c r="M1086" s="7">
        <v>6</v>
      </c>
      <c r="N1086" s="7" t="s">
        <v>176</v>
      </c>
      <c r="O1086" s="126">
        <v>4878</v>
      </c>
      <c r="P1086" s="121">
        <v>0.02</v>
      </c>
      <c r="Q1086" s="127">
        <f t="shared" si="203"/>
        <v>98</v>
      </c>
      <c r="R1086" s="121">
        <v>5.0000000000000001E-3</v>
      </c>
      <c r="S1086" s="127">
        <f t="shared" si="204"/>
        <v>24</v>
      </c>
      <c r="T1086" s="121">
        <f t="shared" si="205"/>
        <v>2.5010250102501026E-2</v>
      </c>
      <c r="U1086" s="127">
        <f t="shared" si="206"/>
        <v>122</v>
      </c>
      <c r="V1086" s="127">
        <f t="shared" si="207"/>
        <v>5000</v>
      </c>
      <c r="W1086" s="128">
        <f t="shared" si="201"/>
        <v>5000</v>
      </c>
      <c r="X1086" s="129">
        <f t="shared" si="208"/>
        <v>122</v>
      </c>
      <c r="Y1086" s="122">
        <f t="shared" si="209"/>
        <v>2.5000000000000001E-2</v>
      </c>
      <c r="Z1086" s="123" t="str">
        <f t="shared" si="202"/>
        <v>0.00%-8.40%</v>
      </c>
      <c r="AA1086" s="130"/>
      <c r="AB1086" s="130"/>
      <c r="AC1086" s="130"/>
      <c r="AD1086" s="124"/>
      <c r="AE1086" s="126">
        <f t="shared" si="210"/>
        <v>0</v>
      </c>
      <c r="AF1086" s="131">
        <f t="shared" si="211"/>
        <v>5000</v>
      </c>
      <c r="AG1086" s="18">
        <f t="shared" si="212"/>
        <v>122</v>
      </c>
      <c r="AH1086" s="125">
        <f t="shared" si="213"/>
        <v>2.501025010250113E-2</v>
      </c>
      <c r="AI1086" s="20">
        <v>13.6</v>
      </c>
      <c r="AJ1086" s="20">
        <v>450</v>
      </c>
      <c r="AK1086" s="20"/>
      <c r="AL1086" s="20">
        <v>688</v>
      </c>
      <c r="AM1086" s="20">
        <f t="shared" si="214"/>
        <v>74088</v>
      </c>
      <c r="AN1086" s="7" t="s">
        <v>176</v>
      </c>
      <c r="AO1086" s="20"/>
      <c r="AP1086" s="21"/>
      <c r="AQ1086" s="21"/>
      <c r="AR1086" s="5" t="s">
        <v>1559</v>
      </c>
      <c r="AS1086" s="5" t="s">
        <v>164</v>
      </c>
      <c r="AT1086" s="5" t="s">
        <v>59</v>
      </c>
    </row>
    <row r="1087" spans="1:46">
      <c r="A1087" s="86"/>
      <c r="B1087" s="5">
        <v>15000454</v>
      </c>
      <c r="C1087" s="5" t="s">
        <v>1695</v>
      </c>
      <c r="D1087" s="5" t="s">
        <v>321</v>
      </c>
      <c r="E1087" s="5" t="s">
        <v>52</v>
      </c>
      <c r="F1087" s="5" t="s">
        <v>1475</v>
      </c>
      <c r="G1087" s="5" t="s">
        <v>1561</v>
      </c>
      <c r="H1087" s="5" t="s">
        <v>1676</v>
      </c>
      <c r="I1087" s="6">
        <v>38808</v>
      </c>
      <c r="J1087" s="5" t="s">
        <v>1607</v>
      </c>
      <c r="K1087" s="5" t="s">
        <v>1608</v>
      </c>
      <c r="L1087" s="5" t="s">
        <v>324</v>
      </c>
      <c r="M1087" s="7">
        <v>6</v>
      </c>
      <c r="N1087" s="7" t="s">
        <v>176</v>
      </c>
      <c r="O1087" s="126">
        <v>4919</v>
      </c>
      <c r="P1087" s="121">
        <v>0.02</v>
      </c>
      <c r="Q1087" s="127">
        <f t="shared" si="203"/>
        <v>98</v>
      </c>
      <c r="R1087" s="121">
        <v>5.0000000000000001E-3</v>
      </c>
      <c r="S1087" s="127">
        <f t="shared" si="204"/>
        <v>25</v>
      </c>
      <c r="T1087" s="121">
        <f t="shared" si="205"/>
        <v>2.5005082333807684E-2</v>
      </c>
      <c r="U1087" s="127">
        <f t="shared" si="206"/>
        <v>123</v>
      </c>
      <c r="V1087" s="127">
        <f t="shared" si="207"/>
        <v>5042</v>
      </c>
      <c r="W1087" s="128">
        <f t="shared" si="201"/>
        <v>5042</v>
      </c>
      <c r="X1087" s="129">
        <f t="shared" si="208"/>
        <v>123</v>
      </c>
      <c r="Y1087" s="122">
        <f t="shared" si="209"/>
        <v>2.5000000000000001E-2</v>
      </c>
      <c r="Z1087" s="123" t="str">
        <f t="shared" si="202"/>
        <v>0.00%-8.40%</v>
      </c>
      <c r="AA1087" s="130"/>
      <c r="AB1087" s="130"/>
      <c r="AC1087" s="130"/>
      <c r="AD1087" s="124"/>
      <c r="AE1087" s="126">
        <f t="shared" si="210"/>
        <v>0</v>
      </c>
      <c r="AF1087" s="131">
        <f t="shared" si="211"/>
        <v>5042</v>
      </c>
      <c r="AG1087" s="18">
        <f t="shared" si="212"/>
        <v>123</v>
      </c>
      <c r="AH1087" s="125">
        <f t="shared" si="213"/>
        <v>2.5005082333807716E-2</v>
      </c>
      <c r="AI1087" s="20">
        <v>13.6</v>
      </c>
      <c r="AJ1087" s="20">
        <v>450</v>
      </c>
      <c r="AK1087" s="20"/>
      <c r="AL1087" s="20">
        <v>688</v>
      </c>
      <c r="AM1087" s="20">
        <f t="shared" si="214"/>
        <v>74659.199999999997</v>
      </c>
      <c r="AN1087" s="7" t="s">
        <v>176</v>
      </c>
      <c r="AO1087" s="20"/>
      <c r="AP1087" s="21"/>
      <c r="AQ1087" s="21"/>
      <c r="AR1087" s="5" t="s">
        <v>1559</v>
      </c>
      <c r="AS1087" s="5" t="s">
        <v>164</v>
      </c>
      <c r="AT1087" s="5" t="s">
        <v>59</v>
      </c>
    </row>
    <row r="1088" spans="1:46">
      <c r="A1088" s="86"/>
      <c r="B1088" s="5">
        <v>15001322</v>
      </c>
      <c r="C1088" s="5" t="s">
        <v>1696</v>
      </c>
      <c r="D1088" s="5" t="s">
        <v>321</v>
      </c>
      <c r="E1088" s="5" t="s">
        <v>52</v>
      </c>
      <c r="F1088" s="5" t="s">
        <v>1475</v>
      </c>
      <c r="G1088" s="5" t="s">
        <v>1561</v>
      </c>
      <c r="H1088" s="5" t="s">
        <v>1676</v>
      </c>
      <c r="I1088" s="6">
        <v>39630</v>
      </c>
      <c r="J1088" s="5" t="s">
        <v>279</v>
      </c>
      <c r="K1088" s="5" t="s">
        <v>279</v>
      </c>
      <c r="L1088" s="5" t="s">
        <v>324</v>
      </c>
      <c r="M1088" s="7">
        <v>6</v>
      </c>
      <c r="N1088" s="7" t="s">
        <v>176</v>
      </c>
      <c r="O1088" s="126">
        <v>6700</v>
      </c>
      <c r="P1088" s="121">
        <v>0.02</v>
      </c>
      <c r="Q1088" s="127">
        <f t="shared" si="203"/>
        <v>134</v>
      </c>
      <c r="R1088" s="121">
        <v>5.0000000000000001E-3</v>
      </c>
      <c r="S1088" s="127">
        <f t="shared" si="204"/>
        <v>34</v>
      </c>
      <c r="T1088" s="121">
        <f t="shared" si="205"/>
        <v>2.5074626865671641E-2</v>
      </c>
      <c r="U1088" s="127">
        <f t="shared" si="206"/>
        <v>168</v>
      </c>
      <c r="V1088" s="127">
        <f t="shared" si="207"/>
        <v>6868</v>
      </c>
      <c r="W1088" s="128">
        <f t="shared" si="201"/>
        <v>6868</v>
      </c>
      <c r="X1088" s="129">
        <f t="shared" si="208"/>
        <v>168</v>
      </c>
      <c r="Y1088" s="122">
        <f t="shared" si="209"/>
        <v>2.5100000000000001E-2</v>
      </c>
      <c r="Z1088" s="123" t="str">
        <f t="shared" si="202"/>
        <v>0.00%-8.40%</v>
      </c>
      <c r="AA1088" s="130"/>
      <c r="AB1088" s="130"/>
      <c r="AC1088" s="130"/>
      <c r="AD1088" s="124"/>
      <c r="AE1088" s="126">
        <f t="shared" si="210"/>
        <v>0</v>
      </c>
      <c r="AF1088" s="131">
        <f t="shared" si="211"/>
        <v>6868</v>
      </c>
      <c r="AG1088" s="18">
        <f t="shared" si="212"/>
        <v>168</v>
      </c>
      <c r="AH1088" s="125">
        <f t="shared" si="213"/>
        <v>2.5074626865671634E-2</v>
      </c>
      <c r="AI1088" s="20">
        <v>13.6</v>
      </c>
      <c r="AJ1088" s="20">
        <v>500</v>
      </c>
      <c r="AK1088" s="20"/>
      <c r="AL1088" s="20">
        <v>688</v>
      </c>
      <c r="AM1088" s="20">
        <f t="shared" si="214"/>
        <v>100092.8</v>
      </c>
      <c r="AN1088" s="7" t="s">
        <v>176</v>
      </c>
      <c r="AO1088" s="20"/>
      <c r="AP1088" s="21"/>
      <c r="AQ1088" s="21"/>
      <c r="AR1088" s="5" t="s">
        <v>1559</v>
      </c>
      <c r="AS1088" s="5" t="s">
        <v>164</v>
      </c>
      <c r="AT1088" s="5" t="s">
        <v>59</v>
      </c>
    </row>
    <row r="1089" spans="1:46">
      <c r="A1089" s="86"/>
      <c r="B1089" s="5">
        <v>15004928</v>
      </c>
      <c r="C1089" s="5" t="s">
        <v>1697</v>
      </c>
      <c r="D1089" s="5" t="s">
        <v>321</v>
      </c>
      <c r="E1089" s="5" t="s">
        <v>52</v>
      </c>
      <c r="F1089" s="5" t="s">
        <v>1475</v>
      </c>
      <c r="G1089" s="5" t="s">
        <v>1561</v>
      </c>
      <c r="H1089" s="5" t="s">
        <v>1676</v>
      </c>
      <c r="I1089" s="6">
        <v>40575</v>
      </c>
      <c r="J1089" s="5" t="s">
        <v>279</v>
      </c>
      <c r="K1089" s="5" t="s">
        <v>279</v>
      </c>
      <c r="L1089" s="5" t="s">
        <v>324</v>
      </c>
      <c r="M1089" s="7">
        <v>6</v>
      </c>
      <c r="N1089" s="7" t="s">
        <v>176</v>
      </c>
      <c r="O1089" s="126">
        <v>6086</v>
      </c>
      <c r="P1089" s="121">
        <v>0.02</v>
      </c>
      <c r="Q1089" s="127">
        <f t="shared" si="203"/>
        <v>122</v>
      </c>
      <c r="R1089" s="121">
        <v>5.0000000000000001E-3</v>
      </c>
      <c r="S1089" s="127">
        <f t="shared" si="204"/>
        <v>30</v>
      </c>
      <c r="T1089" s="121">
        <f t="shared" si="205"/>
        <v>2.4975353269799539E-2</v>
      </c>
      <c r="U1089" s="127">
        <f t="shared" si="206"/>
        <v>152</v>
      </c>
      <c r="V1089" s="127">
        <f t="shared" si="207"/>
        <v>6238</v>
      </c>
      <c r="W1089" s="128">
        <f t="shared" si="201"/>
        <v>6238</v>
      </c>
      <c r="X1089" s="129">
        <f t="shared" si="208"/>
        <v>152</v>
      </c>
      <c r="Y1089" s="122">
        <f t="shared" si="209"/>
        <v>2.5000000000000001E-2</v>
      </c>
      <c r="Z1089" s="123" t="str">
        <f t="shared" si="202"/>
        <v>0.00%-8.40%</v>
      </c>
      <c r="AA1089" s="130"/>
      <c r="AB1089" s="130"/>
      <c r="AC1089" s="130"/>
      <c r="AD1089" s="124"/>
      <c r="AE1089" s="126">
        <f t="shared" si="210"/>
        <v>0</v>
      </c>
      <c r="AF1089" s="131">
        <f t="shared" si="211"/>
        <v>6238</v>
      </c>
      <c r="AG1089" s="18">
        <f t="shared" si="212"/>
        <v>152</v>
      </c>
      <c r="AH1089" s="125">
        <f t="shared" si="213"/>
        <v>2.4975353269799605E-2</v>
      </c>
      <c r="AI1089" s="20">
        <v>13.6</v>
      </c>
      <c r="AJ1089" s="20">
        <v>500</v>
      </c>
      <c r="AK1089" s="20"/>
      <c r="AL1089" s="20">
        <v>688</v>
      </c>
      <c r="AM1089" s="20">
        <f t="shared" si="214"/>
        <v>91524.800000000003</v>
      </c>
      <c r="AN1089" s="7" t="s">
        <v>176</v>
      </c>
      <c r="AO1089" s="20"/>
      <c r="AP1089" s="21"/>
      <c r="AQ1089" s="21"/>
      <c r="AR1089" s="5" t="s">
        <v>1559</v>
      </c>
      <c r="AS1089" s="5" t="s">
        <v>164</v>
      </c>
      <c r="AT1089" s="5" t="s">
        <v>59</v>
      </c>
    </row>
    <row r="1090" spans="1:46">
      <c r="A1090" s="86"/>
      <c r="B1090" s="5">
        <v>15002469</v>
      </c>
      <c r="C1090" s="5" t="s">
        <v>1698</v>
      </c>
      <c r="D1090" s="5" t="s">
        <v>321</v>
      </c>
      <c r="E1090" s="5" t="s">
        <v>52</v>
      </c>
      <c r="F1090" s="5" t="s">
        <v>1475</v>
      </c>
      <c r="G1090" s="5" t="s">
        <v>1561</v>
      </c>
      <c r="H1090" s="5" t="s">
        <v>1676</v>
      </c>
      <c r="I1090" s="6">
        <v>39973</v>
      </c>
      <c r="J1090" s="5" t="s">
        <v>279</v>
      </c>
      <c r="K1090" s="5" t="s">
        <v>279</v>
      </c>
      <c r="L1090" s="5" t="s">
        <v>324</v>
      </c>
      <c r="M1090" s="7">
        <v>6</v>
      </c>
      <c r="N1090" s="7" t="s">
        <v>176</v>
      </c>
      <c r="O1090" s="126">
        <v>6673</v>
      </c>
      <c r="P1090" s="121">
        <v>0.02</v>
      </c>
      <c r="Q1090" s="127">
        <f t="shared" si="203"/>
        <v>133</v>
      </c>
      <c r="R1090" s="121">
        <v>5.0000000000000001E-3</v>
      </c>
      <c r="S1090" s="127">
        <f t="shared" si="204"/>
        <v>33</v>
      </c>
      <c r="T1090" s="121">
        <f t="shared" si="205"/>
        <v>2.4876367450921623E-2</v>
      </c>
      <c r="U1090" s="127">
        <f t="shared" si="206"/>
        <v>166</v>
      </c>
      <c r="V1090" s="127">
        <f t="shared" si="207"/>
        <v>6839</v>
      </c>
      <c r="W1090" s="128">
        <f t="shared" si="201"/>
        <v>6839</v>
      </c>
      <c r="X1090" s="129">
        <f t="shared" si="208"/>
        <v>166</v>
      </c>
      <c r="Y1090" s="122">
        <f t="shared" si="209"/>
        <v>2.4899999999999999E-2</v>
      </c>
      <c r="Z1090" s="123" t="str">
        <f t="shared" si="202"/>
        <v>0.00%-8.40%</v>
      </c>
      <c r="AA1090" s="130"/>
      <c r="AB1090" s="130"/>
      <c r="AC1090" s="130"/>
      <c r="AD1090" s="124"/>
      <c r="AE1090" s="126">
        <f t="shared" si="210"/>
        <v>0</v>
      </c>
      <c r="AF1090" s="131">
        <f t="shared" si="211"/>
        <v>6839</v>
      </c>
      <c r="AG1090" s="18">
        <f t="shared" si="212"/>
        <v>166</v>
      </c>
      <c r="AH1090" s="125">
        <f t="shared" si="213"/>
        <v>2.4876367450921588E-2</v>
      </c>
      <c r="AI1090" s="20">
        <v>13.6</v>
      </c>
      <c r="AJ1090" s="20">
        <v>500</v>
      </c>
      <c r="AK1090" s="20"/>
      <c r="AL1090" s="20">
        <v>688</v>
      </c>
      <c r="AM1090" s="20">
        <f t="shared" si="214"/>
        <v>99698.4</v>
      </c>
      <c r="AN1090" s="7" t="s">
        <v>176</v>
      </c>
      <c r="AO1090" s="20"/>
      <c r="AP1090" s="21"/>
      <c r="AQ1090" s="21"/>
      <c r="AR1090" s="5" t="s">
        <v>1559</v>
      </c>
      <c r="AS1090" s="5" t="s">
        <v>164</v>
      </c>
      <c r="AT1090" s="5" t="s">
        <v>59</v>
      </c>
    </row>
    <row r="1091" spans="1:46">
      <c r="A1091" s="86"/>
      <c r="B1091" s="5">
        <v>15001969</v>
      </c>
      <c r="C1091" s="5" t="s">
        <v>1699</v>
      </c>
      <c r="D1091" s="5" t="s">
        <v>321</v>
      </c>
      <c r="E1091" s="5" t="s">
        <v>52</v>
      </c>
      <c r="F1091" s="5" t="s">
        <v>1475</v>
      </c>
      <c r="G1091" s="5" t="s">
        <v>1561</v>
      </c>
      <c r="H1091" s="5" t="s">
        <v>1676</v>
      </c>
      <c r="I1091" s="6">
        <v>39694</v>
      </c>
      <c r="J1091" s="5" t="s">
        <v>279</v>
      </c>
      <c r="K1091" s="5" t="s">
        <v>279</v>
      </c>
      <c r="L1091" s="5" t="s">
        <v>324</v>
      </c>
      <c r="M1091" s="7">
        <v>6</v>
      </c>
      <c r="N1091" s="7" t="s">
        <v>176</v>
      </c>
      <c r="O1091" s="126">
        <v>6117</v>
      </c>
      <c r="P1091" s="121">
        <v>0.02</v>
      </c>
      <c r="Q1091" s="127">
        <f t="shared" si="203"/>
        <v>122</v>
      </c>
      <c r="R1091" s="121">
        <v>5.0000000000000001E-3</v>
      </c>
      <c r="S1091" s="127">
        <f t="shared" si="204"/>
        <v>31</v>
      </c>
      <c r="T1091" s="121">
        <f t="shared" si="205"/>
        <v>2.501226091221187E-2</v>
      </c>
      <c r="U1091" s="127">
        <f t="shared" si="206"/>
        <v>153</v>
      </c>
      <c r="V1091" s="127">
        <f t="shared" si="207"/>
        <v>6270</v>
      </c>
      <c r="W1091" s="128">
        <f t="shared" si="201"/>
        <v>6270</v>
      </c>
      <c r="X1091" s="129">
        <f t="shared" si="208"/>
        <v>153</v>
      </c>
      <c r="Y1091" s="122">
        <f t="shared" si="209"/>
        <v>2.5000000000000001E-2</v>
      </c>
      <c r="Z1091" s="123" t="str">
        <f t="shared" si="202"/>
        <v>0.00%-8.40%</v>
      </c>
      <c r="AA1091" s="130"/>
      <c r="AB1091" s="130"/>
      <c r="AC1091" s="130"/>
      <c r="AD1091" s="124"/>
      <c r="AE1091" s="126">
        <f t="shared" si="210"/>
        <v>0</v>
      </c>
      <c r="AF1091" s="131">
        <f t="shared" si="211"/>
        <v>6270</v>
      </c>
      <c r="AG1091" s="18">
        <f t="shared" si="212"/>
        <v>153</v>
      </c>
      <c r="AH1091" s="125">
        <f t="shared" si="213"/>
        <v>2.501226091221187E-2</v>
      </c>
      <c r="AI1091" s="20">
        <v>13.6</v>
      </c>
      <c r="AJ1091" s="20">
        <v>500</v>
      </c>
      <c r="AK1091" s="20"/>
      <c r="AL1091" s="20">
        <v>688</v>
      </c>
      <c r="AM1091" s="20">
        <f t="shared" si="214"/>
        <v>91960</v>
      </c>
      <c r="AN1091" s="7" t="s">
        <v>176</v>
      </c>
      <c r="AO1091" s="20"/>
      <c r="AP1091" s="21"/>
      <c r="AQ1091" s="21"/>
      <c r="AR1091" s="5" t="s">
        <v>1559</v>
      </c>
      <c r="AS1091" s="5" t="s">
        <v>164</v>
      </c>
      <c r="AT1091" s="5" t="s">
        <v>59</v>
      </c>
    </row>
    <row r="1092" spans="1:46">
      <c r="A1092" s="86"/>
      <c r="B1092" s="5">
        <v>15000188</v>
      </c>
      <c r="C1092" s="5" t="s">
        <v>1700</v>
      </c>
      <c r="D1092" s="5" t="s">
        <v>321</v>
      </c>
      <c r="E1092" s="5" t="s">
        <v>52</v>
      </c>
      <c r="F1092" s="5" t="s">
        <v>1475</v>
      </c>
      <c r="G1092" s="5" t="s">
        <v>1561</v>
      </c>
      <c r="H1092" s="5" t="s">
        <v>1676</v>
      </c>
      <c r="I1092" s="6">
        <v>38596</v>
      </c>
      <c r="J1092" s="5" t="s">
        <v>279</v>
      </c>
      <c r="K1092" s="5" t="s">
        <v>279</v>
      </c>
      <c r="L1092" s="5" t="s">
        <v>324</v>
      </c>
      <c r="M1092" s="7">
        <v>6</v>
      </c>
      <c r="N1092" s="7" t="s">
        <v>176</v>
      </c>
      <c r="O1092" s="126">
        <v>7594</v>
      </c>
      <c r="P1092" s="121">
        <v>0.02</v>
      </c>
      <c r="Q1092" s="127">
        <f t="shared" si="203"/>
        <v>152</v>
      </c>
      <c r="R1092" s="121">
        <v>5.0000000000000001E-3</v>
      </c>
      <c r="S1092" s="127">
        <f t="shared" si="204"/>
        <v>38</v>
      </c>
      <c r="T1092" s="121">
        <f t="shared" si="205"/>
        <v>2.5019752436133792E-2</v>
      </c>
      <c r="U1092" s="127">
        <f t="shared" si="206"/>
        <v>190</v>
      </c>
      <c r="V1092" s="127">
        <f t="shared" si="207"/>
        <v>7784</v>
      </c>
      <c r="W1092" s="128">
        <f t="shared" si="201"/>
        <v>7784</v>
      </c>
      <c r="X1092" s="129">
        <f t="shared" si="208"/>
        <v>190</v>
      </c>
      <c r="Y1092" s="122">
        <f t="shared" si="209"/>
        <v>2.5000000000000001E-2</v>
      </c>
      <c r="Z1092" s="123" t="str">
        <f t="shared" si="202"/>
        <v>0.00%-8.40%</v>
      </c>
      <c r="AA1092" s="130"/>
      <c r="AB1092" s="130"/>
      <c r="AC1092" s="130"/>
      <c r="AD1092" s="124"/>
      <c r="AE1092" s="126">
        <f t="shared" si="210"/>
        <v>0</v>
      </c>
      <c r="AF1092" s="131">
        <f t="shared" si="211"/>
        <v>7784</v>
      </c>
      <c r="AG1092" s="18">
        <f t="shared" si="212"/>
        <v>190</v>
      </c>
      <c r="AH1092" s="125">
        <f t="shared" si="213"/>
        <v>2.5019752436133746E-2</v>
      </c>
      <c r="AI1092" s="20">
        <v>13.6</v>
      </c>
      <c r="AJ1092" s="20">
        <v>450</v>
      </c>
      <c r="AK1092" s="20"/>
      <c r="AL1092" s="20">
        <v>688</v>
      </c>
      <c r="AM1092" s="20">
        <f t="shared" si="214"/>
        <v>111950.39999999999</v>
      </c>
      <c r="AN1092" s="7" t="s">
        <v>176</v>
      </c>
      <c r="AO1092" s="20"/>
      <c r="AP1092" s="21"/>
      <c r="AQ1092" s="21"/>
      <c r="AR1092" s="5" t="s">
        <v>1559</v>
      </c>
      <c r="AS1092" s="5" t="s">
        <v>164</v>
      </c>
      <c r="AT1092" s="5" t="s">
        <v>59</v>
      </c>
    </row>
    <row r="1093" spans="1:46">
      <c r="A1093" s="86"/>
      <c r="B1093" s="5">
        <v>15001782</v>
      </c>
      <c r="C1093" s="5" t="s">
        <v>1701</v>
      </c>
      <c r="D1093" s="5" t="s">
        <v>360</v>
      </c>
      <c r="E1093" s="5" t="s">
        <v>52</v>
      </c>
      <c r="F1093" s="5" t="s">
        <v>1475</v>
      </c>
      <c r="G1093" s="5" t="s">
        <v>1563</v>
      </c>
      <c r="H1093" s="5" t="s">
        <v>1564</v>
      </c>
      <c r="I1093" s="6">
        <v>39630</v>
      </c>
      <c r="J1093" s="5" t="s">
        <v>1608</v>
      </c>
      <c r="K1093" s="5" t="s">
        <v>1607</v>
      </c>
      <c r="L1093" s="5" t="s">
        <v>324</v>
      </c>
      <c r="M1093" s="7">
        <v>6</v>
      </c>
      <c r="N1093" s="7" t="s">
        <v>176</v>
      </c>
      <c r="O1093" s="126">
        <v>6100</v>
      </c>
      <c r="P1093" s="121">
        <v>0.02</v>
      </c>
      <c r="Q1093" s="127">
        <f t="shared" si="203"/>
        <v>122</v>
      </c>
      <c r="R1093" s="121">
        <v>5.0000000000000001E-3</v>
      </c>
      <c r="S1093" s="127">
        <f t="shared" si="204"/>
        <v>31</v>
      </c>
      <c r="T1093" s="121">
        <f t="shared" si="205"/>
        <v>2.5081967213114755E-2</v>
      </c>
      <c r="U1093" s="127">
        <f t="shared" si="206"/>
        <v>153</v>
      </c>
      <c r="V1093" s="127">
        <f t="shared" si="207"/>
        <v>6253</v>
      </c>
      <c r="W1093" s="128">
        <f t="shared" si="201"/>
        <v>6253</v>
      </c>
      <c r="X1093" s="129">
        <f t="shared" si="208"/>
        <v>153</v>
      </c>
      <c r="Y1093" s="122">
        <f t="shared" si="209"/>
        <v>2.5100000000000001E-2</v>
      </c>
      <c r="Z1093" s="123" t="str">
        <f t="shared" si="202"/>
        <v>0.00%-8.40%</v>
      </c>
      <c r="AA1093" s="130"/>
      <c r="AB1093" s="130"/>
      <c r="AC1093" s="130"/>
      <c r="AD1093" s="124"/>
      <c r="AE1093" s="126">
        <f t="shared" si="210"/>
        <v>0</v>
      </c>
      <c r="AF1093" s="131">
        <f t="shared" si="211"/>
        <v>6253</v>
      </c>
      <c r="AG1093" s="18">
        <f t="shared" si="212"/>
        <v>153</v>
      </c>
      <c r="AH1093" s="125">
        <f t="shared" si="213"/>
        <v>2.5081967213114842E-2</v>
      </c>
      <c r="AI1093" s="20">
        <v>13.6</v>
      </c>
      <c r="AJ1093" s="20">
        <v>450</v>
      </c>
      <c r="AK1093" s="20"/>
      <c r="AL1093" s="20">
        <v>688</v>
      </c>
      <c r="AM1093" s="20">
        <f t="shared" si="214"/>
        <v>91128.8</v>
      </c>
      <c r="AN1093" s="7" t="s">
        <v>176</v>
      </c>
      <c r="AO1093" s="20"/>
      <c r="AP1093" s="21"/>
      <c r="AQ1093" s="21"/>
      <c r="AR1093" s="5" t="s">
        <v>1559</v>
      </c>
      <c r="AS1093" s="5" t="s">
        <v>164</v>
      </c>
      <c r="AT1093" s="5" t="s">
        <v>59</v>
      </c>
    </row>
    <row r="1094" spans="1:46">
      <c r="A1094" s="86"/>
      <c r="B1094" s="5">
        <v>15002680</v>
      </c>
      <c r="C1094" s="5" t="s">
        <v>1702</v>
      </c>
      <c r="D1094" s="5" t="s">
        <v>360</v>
      </c>
      <c r="E1094" s="5" t="s">
        <v>52</v>
      </c>
      <c r="F1094" s="5" t="s">
        <v>1475</v>
      </c>
      <c r="G1094" s="5" t="s">
        <v>1563</v>
      </c>
      <c r="H1094" s="5" t="s">
        <v>1564</v>
      </c>
      <c r="I1094" s="6">
        <v>40148</v>
      </c>
      <c r="J1094" s="5" t="s">
        <v>1608</v>
      </c>
      <c r="K1094" s="5" t="s">
        <v>1607</v>
      </c>
      <c r="L1094" s="5" t="s">
        <v>324</v>
      </c>
      <c r="M1094" s="7">
        <v>6</v>
      </c>
      <c r="N1094" s="7" t="s">
        <v>176</v>
      </c>
      <c r="O1094" s="126">
        <v>5277</v>
      </c>
      <c r="P1094" s="121">
        <v>0.02</v>
      </c>
      <c r="Q1094" s="127">
        <f t="shared" si="203"/>
        <v>106</v>
      </c>
      <c r="R1094" s="121">
        <v>5.0000000000000001E-3</v>
      </c>
      <c r="S1094" s="127">
        <f t="shared" si="204"/>
        <v>26</v>
      </c>
      <c r="T1094" s="121">
        <f t="shared" si="205"/>
        <v>2.5014212620807278E-2</v>
      </c>
      <c r="U1094" s="127">
        <f t="shared" si="206"/>
        <v>132</v>
      </c>
      <c r="V1094" s="127">
        <f t="shared" si="207"/>
        <v>5409</v>
      </c>
      <c r="W1094" s="128">
        <f t="shared" si="201"/>
        <v>5409</v>
      </c>
      <c r="X1094" s="129">
        <f t="shared" si="208"/>
        <v>132</v>
      </c>
      <c r="Y1094" s="122">
        <f t="shared" si="209"/>
        <v>2.5000000000000001E-2</v>
      </c>
      <c r="Z1094" s="123" t="str">
        <f t="shared" si="202"/>
        <v>0.00%-8.40%</v>
      </c>
      <c r="AA1094" s="130"/>
      <c r="AB1094" s="130"/>
      <c r="AC1094" s="130"/>
      <c r="AD1094" s="124"/>
      <c r="AE1094" s="126">
        <f t="shared" si="210"/>
        <v>0</v>
      </c>
      <c r="AF1094" s="131">
        <f t="shared" si="211"/>
        <v>5409</v>
      </c>
      <c r="AG1094" s="18">
        <f t="shared" si="212"/>
        <v>132</v>
      </c>
      <c r="AH1094" s="125">
        <f t="shared" si="213"/>
        <v>2.5014212620807275E-2</v>
      </c>
      <c r="AI1094" s="20">
        <v>13.6</v>
      </c>
      <c r="AJ1094" s="20">
        <v>450</v>
      </c>
      <c r="AK1094" s="20"/>
      <c r="AL1094" s="20">
        <v>688</v>
      </c>
      <c r="AM1094" s="20">
        <f t="shared" si="214"/>
        <v>79650.399999999994</v>
      </c>
      <c r="AN1094" s="7" t="s">
        <v>176</v>
      </c>
      <c r="AO1094" s="20"/>
      <c r="AP1094" s="21"/>
      <c r="AQ1094" s="21"/>
      <c r="AR1094" s="5" t="s">
        <v>1559</v>
      </c>
      <c r="AS1094" s="5" t="s">
        <v>164</v>
      </c>
      <c r="AT1094" s="5" t="s">
        <v>59</v>
      </c>
    </row>
    <row r="1095" spans="1:46">
      <c r="A1095" s="86"/>
      <c r="B1095" s="5">
        <v>15002524</v>
      </c>
      <c r="C1095" s="5" t="s">
        <v>1703</v>
      </c>
      <c r="D1095" s="5" t="s">
        <v>360</v>
      </c>
      <c r="E1095" s="5" t="s">
        <v>52</v>
      </c>
      <c r="F1095" s="5" t="s">
        <v>1475</v>
      </c>
      <c r="G1095" s="5" t="s">
        <v>1563</v>
      </c>
      <c r="H1095" s="5" t="s">
        <v>1564</v>
      </c>
      <c r="I1095" s="6">
        <v>40118</v>
      </c>
      <c r="J1095" s="5" t="s">
        <v>1608</v>
      </c>
      <c r="K1095" s="5" t="s">
        <v>1658</v>
      </c>
      <c r="L1095" s="5" t="s">
        <v>324</v>
      </c>
      <c r="M1095" s="7">
        <v>6</v>
      </c>
      <c r="N1095" s="7" t="s">
        <v>176</v>
      </c>
      <c r="O1095" s="126">
        <v>5449</v>
      </c>
      <c r="P1095" s="121">
        <v>0.02</v>
      </c>
      <c r="Q1095" s="127">
        <f t="shared" si="203"/>
        <v>109</v>
      </c>
      <c r="R1095" s="121">
        <v>5.0000000000000001E-3</v>
      </c>
      <c r="S1095" s="127">
        <f t="shared" si="204"/>
        <v>27</v>
      </c>
      <c r="T1095" s="121">
        <f t="shared" si="205"/>
        <v>2.4958708019820152E-2</v>
      </c>
      <c r="U1095" s="127">
        <f t="shared" si="206"/>
        <v>136</v>
      </c>
      <c r="V1095" s="127">
        <f t="shared" si="207"/>
        <v>5585</v>
      </c>
      <c r="W1095" s="128">
        <f t="shared" si="201"/>
        <v>5585</v>
      </c>
      <c r="X1095" s="129">
        <f t="shared" si="208"/>
        <v>136</v>
      </c>
      <c r="Y1095" s="122">
        <f t="shared" si="209"/>
        <v>2.5000000000000001E-2</v>
      </c>
      <c r="Z1095" s="123" t="str">
        <f t="shared" si="202"/>
        <v>0.00%-8.40%</v>
      </c>
      <c r="AA1095" s="130"/>
      <c r="AB1095" s="130"/>
      <c r="AC1095" s="130"/>
      <c r="AD1095" s="124"/>
      <c r="AE1095" s="126">
        <f t="shared" si="210"/>
        <v>0</v>
      </c>
      <c r="AF1095" s="131">
        <f t="shared" si="211"/>
        <v>5585</v>
      </c>
      <c r="AG1095" s="18">
        <f t="shared" si="212"/>
        <v>136</v>
      </c>
      <c r="AH1095" s="125">
        <f t="shared" si="213"/>
        <v>2.4958708019820142E-2</v>
      </c>
      <c r="AI1095" s="20">
        <v>13.6</v>
      </c>
      <c r="AJ1095" s="20">
        <v>450</v>
      </c>
      <c r="AK1095" s="20"/>
      <c r="AL1095" s="20">
        <v>688</v>
      </c>
      <c r="AM1095" s="20">
        <f t="shared" si="214"/>
        <v>82044</v>
      </c>
      <c r="AN1095" s="7" t="s">
        <v>176</v>
      </c>
      <c r="AO1095" s="20"/>
      <c r="AP1095" s="21"/>
      <c r="AQ1095" s="21"/>
      <c r="AR1095" s="5" t="s">
        <v>1559</v>
      </c>
      <c r="AS1095" s="5" t="s">
        <v>164</v>
      </c>
      <c r="AT1095" s="5" t="s">
        <v>59</v>
      </c>
    </row>
    <row r="1096" spans="1:46">
      <c r="A1096" s="86"/>
      <c r="B1096" s="5">
        <v>15001004</v>
      </c>
      <c r="C1096" s="5" t="s">
        <v>1704</v>
      </c>
      <c r="D1096" s="5" t="s">
        <v>360</v>
      </c>
      <c r="E1096" s="5" t="s">
        <v>52</v>
      </c>
      <c r="F1096" s="5" t="s">
        <v>1475</v>
      </c>
      <c r="G1096" s="5" t="s">
        <v>1563</v>
      </c>
      <c r="H1096" s="5" t="s">
        <v>1564</v>
      </c>
      <c r="I1096" s="6">
        <v>39238</v>
      </c>
      <c r="J1096" s="5" t="s">
        <v>377</v>
      </c>
      <c r="K1096" s="5" t="s">
        <v>377</v>
      </c>
      <c r="L1096" s="5" t="s">
        <v>324</v>
      </c>
      <c r="M1096" s="7">
        <v>6</v>
      </c>
      <c r="N1096" s="7" t="s">
        <v>176</v>
      </c>
      <c r="O1096" s="126">
        <v>6818</v>
      </c>
      <c r="P1096" s="121">
        <v>0.02</v>
      </c>
      <c r="Q1096" s="127">
        <f t="shared" si="203"/>
        <v>136</v>
      </c>
      <c r="R1096" s="121">
        <v>5.0000000000000001E-3</v>
      </c>
      <c r="S1096" s="127">
        <f t="shared" si="204"/>
        <v>34</v>
      </c>
      <c r="T1096" s="121">
        <f t="shared" si="205"/>
        <v>2.4933998239953067E-2</v>
      </c>
      <c r="U1096" s="127">
        <f t="shared" si="206"/>
        <v>170</v>
      </c>
      <c r="V1096" s="127">
        <f t="shared" si="207"/>
        <v>6988</v>
      </c>
      <c r="W1096" s="128">
        <f t="shared" si="201"/>
        <v>6988</v>
      </c>
      <c r="X1096" s="129">
        <f t="shared" si="208"/>
        <v>170</v>
      </c>
      <c r="Y1096" s="122">
        <f t="shared" si="209"/>
        <v>2.4899999999999999E-2</v>
      </c>
      <c r="Z1096" s="123" t="str">
        <f t="shared" si="202"/>
        <v>0.00%-8.40%</v>
      </c>
      <c r="AA1096" s="130"/>
      <c r="AB1096" s="130"/>
      <c r="AC1096" s="130"/>
      <c r="AD1096" s="124"/>
      <c r="AE1096" s="126">
        <f t="shared" si="210"/>
        <v>0</v>
      </c>
      <c r="AF1096" s="131">
        <f t="shared" si="211"/>
        <v>6988</v>
      </c>
      <c r="AG1096" s="18">
        <f t="shared" si="212"/>
        <v>170</v>
      </c>
      <c r="AH1096" s="125">
        <f t="shared" si="213"/>
        <v>2.4933998239953015E-2</v>
      </c>
      <c r="AI1096" s="20">
        <v>13.6</v>
      </c>
      <c r="AJ1096" s="20">
        <v>450</v>
      </c>
      <c r="AK1096" s="20"/>
      <c r="AL1096" s="20">
        <v>688</v>
      </c>
      <c r="AM1096" s="20">
        <f t="shared" si="214"/>
        <v>101124.8</v>
      </c>
      <c r="AN1096" s="7">
        <v>2</v>
      </c>
      <c r="AO1096" s="20"/>
      <c r="AP1096" s="21"/>
      <c r="AQ1096" s="21"/>
      <c r="AR1096" s="5" t="s">
        <v>1559</v>
      </c>
      <c r="AS1096" s="5" t="s">
        <v>164</v>
      </c>
      <c r="AT1096" s="5" t="s">
        <v>59</v>
      </c>
    </row>
    <row r="1097" spans="1:46">
      <c r="A1097" s="86"/>
      <c r="B1097" s="5">
        <v>1006931</v>
      </c>
      <c r="C1097" s="5" t="s">
        <v>1705</v>
      </c>
      <c r="D1097" s="5" t="s">
        <v>321</v>
      </c>
      <c r="E1097" s="5" t="s">
        <v>52</v>
      </c>
      <c r="F1097" s="5" t="s">
        <v>1478</v>
      </c>
      <c r="G1097" s="5" t="s">
        <v>1567</v>
      </c>
      <c r="H1097" s="5" t="s">
        <v>1676</v>
      </c>
      <c r="I1097" s="6">
        <v>40525</v>
      </c>
      <c r="J1097" s="5" t="s">
        <v>279</v>
      </c>
      <c r="K1097" s="5" t="s">
        <v>279</v>
      </c>
      <c r="L1097" s="5" t="s">
        <v>324</v>
      </c>
      <c r="M1097" s="7">
        <v>6</v>
      </c>
      <c r="N1097" s="7" t="s">
        <v>176</v>
      </c>
      <c r="O1097" s="126">
        <v>5062</v>
      </c>
      <c r="P1097" s="121">
        <v>0.02</v>
      </c>
      <c r="Q1097" s="127">
        <f t="shared" si="203"/>
        <v>101</v>
      </c>
      <c r="R1097" s="121">
        <v>5.0000000000000001E-3</v>
      </c>
      <c r="S1097" s="127">
        <f t="shared" si="204"/>
        <v>25</v>
      </c>
      <c r="T1097" s="121">
        <f t="shared" si="205"/>
        <v>2.4891347293559858E-2</v>
      </c>
      <c r="U1097" s="127">
        <f t="shared" si="206"/>
        <v>126</v>
      </c>
      <c r="V1097" s="127">
        <f t="shared" si="207"/>
        <v>5188</v>
      </c>
      <c r="W1097" s="128">
        <f t="shared" si="201"/>
        <v>5188</v>
      </c>
      <c r="X1097" s="129">
        <f t="shared" si="208"/>
        <v>126</v>
      </c>
      <c r="Y1097" s="122">
        <f t="shared" si="209"/>
        <v>2.4899999999999999E-2</v>
      </c>
      <c r="Z1097" s="123" t="str">
        <f t="shared" si="202"/>
        <v>0.00%-8.40%</v>
      </c>
      <c r="AA1097" s="130"/>
      <c r="AB1097" s="130"/>
      <c r="AC1097" s="130"/>
      <c r="AD1097" s="124"/>
      <c r="AE1097" s="126">
        <f t="shared" si="210"/>
        <v>0</v>
      </c>
      <c r="AF1097" s="131">
        <f t="shared" si="211"/>
        <v>5188</v>
      </c>
      <c r="AG1097" s="18">
        <f t="shared" si="212"/>
        <v>126</v>
      </c>
      <c r="AH1097" s="125">
        <f t="shared" si="213"/>
        <v>2.4891347293559907E-2</v>
      </c>
      <c r="AI1097" s="20">
        <v>13.6</v>
      </c>
      <c r="AJ1097" s="20">
        <v>950</v>
      </c>
      <c r="AK1097" s="20"/>
      <c r="AL1097" s="20">
        <v>688</v>
      </c>
      <c r="AM1097" s="20">
        <f t="shared" si="214"/>
        <v>82644.800000000003</v>
      </c>
      <c r="AN1097" s="7">
        <v>3</v>
      </c>
      <c r="AO1097" s="20"/>
      <c r="AP1097" s="21"/>
      <c r="AQ1097" s="21"/>
      <c r="AR1097" s="5" t="s">
        <v>1559</v>
      </c>
      <c r="AS1097" s="5" t="s">
        <v>164</v>
      </c>
      <c r="AT1097" s="5" t="s">
        <v>59</v>
      </c>
    </row>
    <row r="1098" spans="1:46">
      <c r="A1098" s="86"/>
      <c r="B1098" s="5">
        <v>1015100</v>
      </c>
      <c r="C1098" s="5" t="s">
        <v>1706</v>
      </c>
      <c r="D1098" s="5" t="s">
        <v>321</v>
      </c>
      <c r="E1098" s="5" t="s">
        <v>52</v>
      </c>
      <c r="F1098" s="5" t="s">
        <v>1478</v>
      </c>
      <c r="G1098" s="5" t="s">
        <v>1567</v>
      </c>
      <c r="H1098" s="5" t="s">
        <v>1676</v>
      </c>
      <c r="I1098" s="6">
        <v>44397</v>
      </c>
      <c r="J1098" s="5" t="s">
        <v>1607</v>
      </c>
      <c r="K1098" s="5" t="s">
        <v>1608</v>
      </c>
      <c r="L1098" s="5" t="s">
        <v>324</v>
      </c>
      <c r="M1098" s="7">
        <v>6</v>
      </c>
      <c r="N1098" s="7" t="s">
        <v>176</v>
      </c>
      <c r="O1098" s="126">
        <v>4252</v>
      </c>
      <c r="P1098" s="121">
        <v>0.02</v>
      </c>
      <c r="Q1098" s="127">
        <f t="shared" si="203"/>
        <v>85</v>
      </c>
      <c r="R1098" s="121">
        <v>5.0000000000000001E-3</v>
      </c>
      <c r="S1098" s="127">
        <f t="shared" si="204"/>
        <v>21</v>
      </c>
      <c r="T1098" s="121">
        <f t="shared" si="205"/>
        <v>2.4929444967074318E-2</v>
      </c>
      <c r="U1098" s="127">
        <f t="shared" si="206"/>
        <v>106</v>
      </c>
      <c r="V1098" s="127">
        <f t="shared" si="207"/>
        <v>4358</v>
      </c>
      <c r="W1098" s="128">
        <f t="shared" si="201"/>
        <v>4358</v>
      </c>
      <c r="X1098" s="129">
        <f t="shared" si="208"/>
        <v>106</v>
      </c>
      <c r="Y1098" s="122">
        <f t="shared" si="209"/>
        <v>2.4899999999999999E-2</v>
      </c>
      <c r="Z1098" s="123" t="str">
        <f t="shared" si="202"/>
        <v>0.00%-8.40%</v>
      </c>
      <c r="AA1098" s="130"/>
      <c r="AB1098" s="130"/>
      <c r="AC1098" s="130"/>
      <c r="AD1098" s="124"/>
      <c r="AE1098" s="126">
        <f t="shared" si="210"/>
        <v>0</v>
      </c>
      <c r="AF1098" s="131">
        <f t="shared" si="211"/>
        <v>4358</v>
      </c>
      <c r="AG1098" s="18">
        <f t="shared" si="212"/>
        <v>106</v>
      </c>
      <c r="AH1098" s="125">
        <f t="shared" si="213"/>
        <v>2.4929444967074277E-2</v>
      </c>
      <c r="AI1098" s="20">
        <v>13.6</v>
      </c>
      <c r="AJ1098" s="20">
        <v>750</v>
      </c>
      <c r="AK1098" s="20"/>
      <c r="AL1098" s="20">
        <v>688</v>
      </c>
      <c r="AM1098" s="20">
        <f t="shared" si="214"/>
        <v>68956.799999999988</v>
      </c>
      <c r="AN1098" s="7" t="s">
        <v>176</v>
      </c>
      <c r="AO1098" s="20"/>
      <c r="AP1098" s="21"/>
      <c r="AQ1098" s="21"/>
      <c r="AR1098" s="5" t="s">
        <v>1559</v>
      </c>
      <c r="AS1098" s="5" t="s">
        <v>164</v>
      </c>
      <c r="AT1098" s="5" t="s">
        <v>59</v>
      </c>
    </row>
    <row r="1099" spans="1:46">
      <c r="A1099" s="86"/>
      <c r="B1099" s="5">
        <v>1018469</v>
      </c>
      <c r="C1099" s="5" t="s">
        <v>1707</v>
      </c>
      <c r="D1099" s="5" t="s">
        <v>321</v>
      </c>
      <c r="E1099" s="5" t="s">
        <v>52</v>
      </c>
      <c r="F1099" s="5" t="s">
        <v>1478</v>
      </c>
      <c r="G1099" s="5" t="s">
        <v>1567</v>
      </c>
      <c r="H1099" s="5" t="s">
        <v>1676</v>
      </c>
      <c r="I1099" s="6">
        <v>43776</v>
      </c>
      <c r="J1099" s="5" t="s">
        <v>1607</v>
      </c>
      <c r="K1099" s="5" t="s">
        <v>1608</v>
      </c>
      <c r="L1099" s="5" t="s">
        <v>324</v>
      </c>
      <c r="M1099" s="7">
        <v>6</v>
      </c>
      <c r="N1099" s="7" t="s">
        <v>176</v>
      </c>
      <c r="O1099" s="126">
        <v>4375</v>
      </c>
      <c r="P1099" s="121">
        <v>0.02</v>
      </c>
      <c r="Q1099" s="127">
        <f t="shared" si="203"/>
        <v>88</v>
      </c>
      <c r="R1099" s="121">
        <v>5.0000000000000001E-3</v>
      </c>
      <c r="S1099" s="127">
        <f t="shared" si="204"/>
        <v>22</v>
      </c>
      <c r="T1099" s="121">
        <f t="shared" si="205"/>
        <v>2.5142857142857144E-2</v>
      </c>
      <c r="U1099" s="127">
        <f t="shared" si="206"/>
        <v>110</v>
      </c>
      <c r="V1099" s="127">
        <f t="shared" si="207"/>
        <v>4485</v>
      </c>
      <c r="W1099" s="128">
        <f t="shared" si="201"/>
        <v>4485</v>
      </c>
      <c r="X1099" s="129">
        <f t="shared" si="208"/>
        <v>110</v>
      </c>
      <c r="Y1099" s="122">
        <f t="shared" si="209"/>
        <v>2.5100000000000001E-2</v>
      </c>
      <c r="Z1099" s="123" t="str">
        <f t="shared" si="202"/>
        <v>0.00%-8.40%</v>
      </c>
      <c r="AA1099" s="130"/>
      <c r="AB1099" s="130"/>
      <c r="AC1099" s="130"/>
      <c r="AD1099" s="124"/>
      <c r="AE1099" s="126">
        <f t="shared" si="210"/>
        <v>0</v>
      </c>
      <c r="AF1099" s="131">
        <f t="shared" si="211"/>
        <v>4485</v>
      </c>
      <c r="AG1099" s="18">
        <f t="shared" si="212"/>
        <v>110</v>
      </c>
      <c r="AH1099" s="125">
        <f t="shared" si="213"/>
        <v>2.5142857142857133E-2</v>
      </c>
      <c r="AI1099" s="20">
        <v>13.6</v>
      </c>
      <c r="AJ1099" s="20">
        <v>750</v>
      </c>
      <c r="AK1099" s="20"/>
      <c r="AL1099" s="20">
        <v>688</v>
      </c>
      <c r="AM1099" s="20">
        <f t="shared" si="214"/>
        <v>70684</v>
      </c>
      <c r="AN1099" s="7" t="s">
        <v>176</v>
      </c>
      <c r="AO1099" s="20"/>
      <c r="AP1099" s="21"/>
      <c r="AQ1099" s="21"/>
      <c r="AR1099" s="5" t="s">
        <v>1559</v>
      </c>
      <c r="AS1099" s="5" t="s">
        <v>164</v>
      </c>
      <c r="AT1099" s="5" t="s">
        <v>59</v>
      </c>
    </row>
    <row r="1100" spans="1:46">
      <c r="A1100" s="86"/>
      <c r="B1100" s="5">
        <v>1021377</v>
      </c>
      <c r="C1100" s="5" t="s">
        <v>1708</v>
      </c>
      <c r="D1100" s="5" t="s">
        <v>321</v>
      </c>
      <c r="E1100" s="5" t="s">
        <v>52</v>
      </c>
      <c r="F1100" s="5" t="s">
        <v>1478</v>
      </c>
      <c r="G1100" s="5" t="s">
        <v>1567</v>
      </c>
      <c r="H1100" s="5" t="s">
        <v>1676</v>
      </c>
      <c r="I1100" s="6">
        <v>44256</v>
      </c>
      <c r="J1100" s="5" t="s">
        <v>1607</v>
      </c>
      <c r="K1100" s="5" t="s">
        <v>1608</v>
      </c>
      <c r="L1100" s="5" t="s">
        <v>324</v>
      </c>
      <c r="M1100" s="7">
        <v>6</v>
      </c>
      <c r="N1100" s="7" t="s">
        <v>176</v>
      </c>
      <c r="O1100" s="126">
        <v>4370</v>
      </c>
      <c r="P1100" s="121">
        <v>0.02</v>
      </c>
      <c r="Q1100" s="127">
        <f t="shared" si="203"/>
        <v>87</v>
      </c>
      <c r="R1100" s="121">
        <v>5.0000000000000001E-3</v>
      </c>
      <c r="S1100" s="127">
        <f t="shared" si="204"/>
        <v>22</v>
      </c>
      <c r="T1100" s="121">
        <f t="shared" si="205"/>
        <v>2.4942791762013729E-2</v>
      </c>
      <c r="U1100" s="127">
        <f t="shared" si="206"/>
        <v>109</v>
      </c>
      <c r="V1100" s="127">
        <f t="shared" si="207"/>
        <v>4479</v>
      </c>
      <c r="W1100" s="128">
        <f t="shared" si="201"/>
        <v>4479</v>
      </c>
      <c r="X1100" s="129">
        <f t="shared" si="208"/>
        <v>109</v>
      </c>
      <c r="Y1100" s="122">
        <f t="shared" si="209"/>
        <v>2.4899999999999999E-2</v>
      </c>
      <c r="Z1100" s="123" t="str">
        <f t="shared" si="202"/>
        <v>0.00%-8.40%</v>
      </c>
      <c r="AA1100" s="130"/>
      <c r="AB1100" s="130"/>
      <c r="AC1100" s="130"/>
      <c r="AD1100" s="124"/>
      <c r="AE1100" s="126">
        <f t="shared" si="210"/>
        <v>0</v>
      </c>
      <c r="AF1100" s="131">
        <f t="shared" si="211"/>
        <v>4479</v>
      </c>
      <c r="AG1100" s="18">
        <f t="shared" si="212"/>
        <v>109</v>
      </c>
      <c r="AH1100" s="125">
        <f t="shared" si="213"/>
        <v>2.494279176201375E-2</v>
      </c>
      <c r="AI1100" s="20">
        <v>13.6</v>
      </c>
      <c r="AJ1100" s="20">
        <v>750</v>
      </c>
      <c r="AK1100" s="20"/>
      <c r="AL1100" s="20">
        <v>688</v>
      </c>
      <c r="AM1100" s="20">
        <f t="shared" si="214"/>
        <v>70602.399999999994</v>
      </c>
      <c r="AN1100" s="7" t="s">
        <v>176</v>
      </c>
      <c r="AO1100" s="20"/>
      <c r="AP1100" s="21"/>
      <c r="AQ1100" s="21"/>
      <c r="AR1100" s="5" t="s">
        <v>1559</v>
      </c>
      <c r="AS1100" s="5" t="s">
        <v>164</v>
      </c>
      <c r="AT1100" s="5" t="s">
        <v>59</v>
      </c>
    </row>
    <row r="1101" spans="1:46">
      <c r="A1101" s="86"/>
      <c r="B1101" s="5">
        <v>1111431</v>
      </c>
      <c r="C1101" s="5" t="s">
        <v>1709</v>
      </c>
      <c r="D1101" s="5" t="s">
        <v>321</v>
      </c>
      <c r="E1101" s="5" t="s">
        <v>52</v>
      </c>
      <c r="F1101" s="5" t="s">
        <v>1478</v>
      </c>
      <c r="G1101" s="5" t="s">
        <v>1567</v>
      </c>
      <c r="H1101" s="5" t="s">
        <v>1676</v>
      </c>
      <c r="I1101" s="6">
        <v>44274</v>
      </c>
      <c r="J1101" s="5" t="s">
        <v>1607</v>
      </c>
      <c r="K1101" s="5" t="s">
        <v>1608</v>
      </c>
      <c r="L1101" s="5" t="s">
        <v>324</v>
      </c>
      <c r="M1101" s="7">
        <v>6</v>
      </c>
      <c r="N1101" s="7" t="s">
        <v>176</v>
      </c>
      <c r="O1101" s="126">
        <v>4367</v>
      </c>
      <c r="P1101" s="121">
        <v>0.02</v>
      </c>
      <c r="Q1101" s="127">
        <f t="shared" si="203"/>
        <v>87</v>
      </c>
      <c r="R1101" s="121">
        <v>5.0000000000000001E-3</v>
      </c>
      <c r="S1101" s="127">
        <f t="shared" si="204"/>
        <v>22</v>
      </c>
      <c r="T1101" s="121">
        <f t="shared" si="205"/>
        <v>2.4959926723150904E-2</v>
      </c>
      <c r="U1101" s="127">
        <f t="shared" si="206"/>
        <v>109</v>
      </c>
      <c r="V1101" s="127">
        <f t="shared" si="207"/>
        <v>4476</v>
      </c>
      <c r="W1101" s="128">
        <f t="shared" si="201"/>
        <v>4476</v>
      </c>
      <c r="X1101" s="129">
        <f t="shared" si="208"/>
        <v>109</v>
      </c>
      <c r="Y1101" s="122">
        <f t="shared" si="209"/>
        <v>2.5000000000000001E-2</v>
      </c>
      <c r="Z1101" s="123" t="str">
        <f t="shared" si="202"/>
        <v>0.00%-8.40%</v>
      </c>
      <c r="AA1101" s="130"/>
      <c r="AB1101" s="130"/>
      <c r="AC1101" s="130"/>
      <c r="AD1101" s="124"/>
      <c r="AE1101" s="126">
        <f t="shared" si="210"/>
        <v>0</v>
      </c>
      <c r="AF1101" s="131">
        <f t="shared" si="211"/>
        <v>4476</v>
      </c>
      <c r="AG1101" s="18">
        <f t="shared" si="212"/>
        <v>109</v>
      </c>
      <c r="AH1101" s="125">
        <f t="shared" si="213"/>
        <v>2.4959926723150838E-2</v>
      </c>
      <c r="AI1101" s="20">
        <v>13.6</v>
      </c>
      <c r="AJ1101" s="20">
        <v>750</v>
      </c>
      <c r="AK1101" s="20"/>
      <c r="AL1101" s="20">
        <v>688</v>
      </c>
      <c r="AM1101" s="20">
        <f t="shared" si="214"/>
        <v>70561.600000000006</v>
      </c>
      <c r="AN1101" s="7" t="s">
        <v>176</v>
      </c>
      <c r="AO1101" s="20"/>
      <c r="AP1101" s="21"/>
      <c r="AQ1101" s="21"/>
      <c r="AR1101" s="5" t="s">
        <v>1559</v>
      </c>
      <c r="AS1101" s="5" t="s">
        <v>164</v>
      </c>
      <c r="AT1101" s="5" t="s">
        <v>59</v>
      </c>
    </row>
    <row r="1102" spans="1:46">
      <c r="A1102" s="86"/>
      <c r="B1102" s="5">
        <v>1111580</v>
      </c>
      <c r="C1102" s="5" t="s">
        <v>1710</v>
      </c>
      <c r="D1102" s="5" t="s">
        <v>360</v>
      </c>
      <c r="E1102" s="5" t="s">
        <v>52</v>
      </c>
      <c r="F1102" s="5" t="s">
        <v>1478</v>
      </c>
      <c r="G1102" s="5" t="s">
        <v>1569</v>
      </c>
      <c r="H1102" s="5" t="s">
        <v>1564</v>
      </c>
      <c r="I1102" s="6">
        <v>44403</v>
      </c>
      <c r="J1102" s="5" t="s">
        <v>377</v>
      </c>
      <c r="K1102" s="5" t="s">
        <v>1711</v>
      </c>
      <c r="L1102" s="5" t="s">
        <v>324</v>
      </c>
      <c r="M1102" s="7">
        <v>6</v>
      </c>
      <c r="N1102" s="7" t="s">
        <v>176</v>
      </c>
      <c r="O1102" s="126">
        <v>6765</v>
      </c>
      <c r="P1102" s="121">
        <v>0.02</v>
      </c>
      <c r="Q1102" s="127">
        <f t="shared" si="203"/>
        <v>135</v>
      </c>
      <c r="R1102" s="121">
        <v>5.0000000000000001E-3</v>
      </c>
      <c r="S1102" s="127">
        <f t="shared" si="204"/>
        <v>34</v>
      </c>
      <c r="T1102" s="121">
        <f t="shared" si="205"/>
        <v>2.4981522542498153E-2</v>
      </c>
      <c r="U1102" s="127">
        <f t="shared" si="206"/>
        <v>169</v>
      </c>
      <c r="V1102" s="127">
        <f t="shared" si="207"/>
        <v>6934</v>
      </c>
      <c r="W1102" s="128">
        <f t="shared" si="201"/>
        <v>6934</v>
      </c>
      <c r="X1102" s="129">
        <f t="shared" si="208"/>
        <v>169</v>
      </c>
      <c r="Y1102" s="122">
        <f t="shared" si="209"/>
        <v>2.5000000000000001E-2</v>
      </c>
      <c r="Z1102" s="123" t="str">
        <f t="shared" si="202"/>
        <v>0.00%-8.40%</v>
      </c>
      <c r="AA1102" s="130"/>
      <c r="AB1102" s="130"/>
      <c r="AC1102" s="130"/>
      <c r="AD1102" s="124"/>
      <c r="AE1102" s="126">
        <f t="shared" si="210"/>
        <v>0</v>
      </c>
      <c r="AF1102" s="131">
        <f t="shared" si="211"/>
        <v>6934</v>
      </c>
      <c r="AG1102" s="18">
        <f t="shared" si="212"/>
        <v>169</v>
      </c>
      <c r="AH1102" s="125">
        <f t="shared" si="213"/>
        <v>2.498152254249808E-2</v>
      </c>
      <c r="AI1102" s="20">
        <v>13.6</v>
      </c>
      <c r="AJ1102" s="20">
        <v>800</v>
      </c>
      <c r="AK1102" s="20"/>
      <c r="AL1102" s="20">
        <v>688</v>
      </c>
      <c r="AM1102" s="20">
        <f t="shared" si="214"/>
        <v>104590.39999999999</v>
      </c>
      <c r="AN1102" s="7" t="s">
        <v>176</v>
      </c>
      <c r="AO1102" s="20"/>
      <c r="AP1102" s="21"/>
      <c r="AQ1102" s="21"/>
      <c r="AR1102" s="5" t="s">
        <v>1559</v>
      </c>
      <c r="AS1102" s="5" t="s">
        <v>164</v>
      </c>
      <c r="AT1102" s="5" t="s">
        <v>59</v>
      </c>
    </row>
    <row r="1103" spans="1:46">
      <c r="A1103" s="86"/>
      <c r="B1103" s="5">
        <v>1111606</v>
      </c>
      <c r="C1103" s="5" t="s">
        <v>1712</v>
      </c>
      <c r="D1103" s="5" t="s">
        <v>360</v>
      </c>
      <c r="E1103" s="5" t="s">
        <v>52</v>
      </c>
      <c r="F1103" s="5" t="s">
        <v>1478</v>
      </c>
      <c r="G1103" s="5" t="s">
        <v>1569</v>
      </c>
      <c r="H1103" s="5" t="s">
        <v>1564</v>
      </c>
      <c r="I1103" s="6">
        <v>44434</v>
      </c>
      <c r="J1103" s="5" t="s">
        <v>1608</v>
      </c>
      <c r="K1103" s="5" t="s">
        <v>1639</v>
      </c>
      <c r="L1103" s="5" t="s">
        <v>324</v>
      </c>
      <c r="M1103" s="7">
        <v>6</v>
      </c>
      <c r="N1103" s="7" t="s">
        <v>176</v>
      </c>
      <c r="O1103" s="126">
        <v>4372</v>
      </c>
      <c r="P1103" s="121">
        <v>0.02</v>
      </c>
      <c r="Q1103" s="127">
        <f t="shared" si="203"/>
        <v>87</v>
      </c>
      <c r="R1103" s="121">
        <v>5.0000000000000001E-3</v>
      </c>
      <c r="S1103" s="127">
        <f t="shared" si="204"/>
        <v>22</v>
      </c>
      <c r="T1103" s="121">
        <f t="shared" si="205"/>
        <v>2.4931381518755718E-2</v>
      </c>
      <c r="U1103" s="127">
        <f t="shared" si="206"/>
        <v>109</v>
      </c>
      <c r="V1103" s="127">
        <f t="shared" si="207"/>
        <v>4481</v>
      </c>
      <c r="W1103" s="128">
        <f t="shared" si="201"/>
        <v>4481</v>
      </c>
      <c r="X1103" s="129">
        <f t="shared" si="208"/>
        <v>109</v>
      </c>
      <c r="Y1103" s="122">
        <f t="shared" si="209"/>
        <v>2.4899999999999999E-2</v>
      </c>
      <c r="Z1103" s="123" t="str">
        <f t="shared" si="202"/>
        <v>0.00%-8.40%</v>
      </c>
      <c r="AA1103" s="130"/>
      <c r="AB1103" s="130"/>
      <c r="AC1103" s="130"/>
      <c r="AD1103" s="124"/>
      <c r="AE1103" s="126">
        <f t="shared" si="210"/>
        <v>0</v>
      </c>
      <c r="AF1103" s="131">
        <f t="shared" si="211"/>
        <v>4481</v>
      </c>
      <c r="AG1103" s="18">
        <f t="shared" si="212"/>
        <v>109</v>
      </c>
      <c r="AH1103" s="125">
        <f t="shared" si="213"/>
        <v>2.4931381518755735E-2</v>
      </c>
      <c r="AI1103" s="20">
        <v>13.6</v>
      </c>
      <c r="AJ1103" s="20">
        <v>750</v>
      </c>
      <c r="AK1103" s="20"/>
      <c r="AL1103" s="20">
        <v>688</v>
      </c>
      <c r="AM1103" s="20">
        <f t="shared" si="214"/>
        <v>70629.600000000006</v>
      </c>
      <c r="AN1103" s="7" t="s">
        <v>176</v>
      </c>
      <c r="AO1103" s="20"/>
      <c r="AP1103" s="21"/>
      <c r="AQ1103" s="21"/>
      <c r="AR1103" s="5" t="s">
        <v>1559</v>
      </c>
      <c r="AS1103" s="5" t="s">
        <v>164</v>
      </c>
      <c r="AT1103" s="5" t="s">
        <v>59</v>
      </c>
    </row>
    <row r="1104" spans="1:46">
      <c r="A1104" s="86"/>
      <c r="B1104" s="5">
        <v>1111644</v>
      </c>
      <c r="C1104" s="5" t="s">
        <v>1713</v>
      </c>
      <c r="D1104" s="5" t="s">
        <v>321</v>
      </c>
      <c r="E1104" s="5" t="s">
        <v>52</v>
      </c>
      <c r="F1104" s="5" t="s">
        <v>1478</v>
      </c>
      <c r="G1104" s="5" t="s">
        <v>1567</v>
      </c>
      <c r="H1104" s="5" t="s">
        <v>1676</v>
      </c>
      <c r="I1104" s="6">
        <v>44551</v>
      </c>
      <c r="J1104" s="5" t="s">
        <v>1607</v>
      </c>
      <c r="K1104" s="5" t="s">
        <v>1608</v>
      </c>
      <c r="L1104" s="5" t="s">
        <v>324</v>
      </c>
      <c r="M1104" s="7">
        <v>6</v>
      </c>
      <c r="N1104" s="7" t="s">
        <v>176</v>
      </c>
      <c r="O1104" s="126">
        <v>4370</v>
      </c>
      <c r="P1104" s="121">
        <v>0.02</v>
      </c>
      <c r="Q1104" s="127">
        <f t="shared" si="203"/>
        <v>87</v>
      </c>
      <c r="R1104" s="121">
        <v>5.0000000000000001E-3</v>
      </c>
      <c r="S1104" s="127">
        <f t="shared" si="204"/>
        <v>22</v>
      </c>
      <c r="T1104" s="121">
        <f t="shared" si="205"/>
        <v>2.4942791762013729E-2</v>
      </c>
      <c r="U1104" s="127">
        <f t="shared" si="206"/>
        <v>109</v>
      </c>
      <c r="V1104" s="127">
        <f t="shared" si="207"/>
        <v>4479</v>
      </c>
      <c r="W1104" s="128">
        <f t="shared" si="201"/>
        <v>4479</v>
      </c>
      <c r="X1104" s="129">
        <f t="shared" si="208"/>
        <v>109</v>
      </c>
      <c r="Y1104" s="122">
        <f t="shared" si="209"/>
        <v>2.4899999999999999E-2</v>
      </c>
      <c r="Z1104" s="123" t="str">
        <f t="shared" si="202"/>
        <v>0.00%-8.40%</v>
      </c>
      <c r="AA1104" s="130"/>
      <c r="AB1104" s="130"/>
      <c r="AC1104" s="130"/>
      <c r="AD1104" s="124"/>
      <c r="AE1104" s="126">
        <f t="shared" si="210"/>
        <v>0</v>
      </c>
      <c r="AF1104" s="131">
        <f t="shared" si="211"/>
        <v>4479</v>
      </c>
      <c r="AG1104" s="18">
        <f t="shared" si="212"/>
        <v>109</v>
      </c>
      <c r="AH1104" s="125">
        <f t="shared" si="213"/>
        <v>2.494279176201375E-2</v>
      </c>
      <c r="AI1104" s="20">
        <v>13.6</v>
      </c>
      <c r="AJ1104" s="20">
        <v>750</v>
      </c>
      <c r="AK1104" s="20"/>
      <c r="AL1104" s="20">
        <v>688</v>
      </c>
      <c r="AM1104" s="20">
        <f t="shared" si="214"/>
        <v>70602.399999999994</v>
      </c>
      <c r="AN1104" s="7" t="s">
        <v>176</v>
      </c>
      <c r="AO1104" s="20"/>
      <c r="AP1104" s="21"/>
      <c r="AQ1104" s="21"/>
      <c r="AR1104" s="5" t="s">
        <v>1559</v>
      </c>
      <c r="AS1104" s="5" t="s">
        <v>164</v>
      </c>
      <c r="AT1104" s="5" t="s">
        <v>59</v>
      </c>
    </row>
    <row r="1105" spans="1:46">
      <c r="A1105" s="86"/>
      <c r="B1105" s="5">
        <v>1111646</v>
      </c>
      <c r="C1105" s="5" t="s">
        <v>1714</v>
      </c>
      <c r="D1105" s="5" t="s">
        <v>321</v>
      </c>
      <c r="E1105" s="5" t="s">
        <v>52</v>
      </c>
      <c r="F1105" s="5" t="s">
        <v>1478</v>
      </c>
      <c r="G1105" s="5" t="s">
        <v>1567</v>
      </c>
      <c r="H1105" s="5" t="s">
        <v>1676</v>
      </c>
      <c r="I1105" s="6">
        <v>44578</v>
      </c>
      <c r="J1105" s="5" t="s">
        <v>1607</v>
      </c>
      <c r="K1105" s="5" t="s">
        <v>1608</v>
      </c>
      <c r="L1105" s="5" t="s">
        <v>324</v>
      </c>
      <c r="M1105" s="7">
        <v>6</v>
      </c>
      <c r="N1105" s="7" t="s">
        <v>176</v>
      </c>
      <c r="O1105" s="126">
        <v>4130</v>
      </c>
      <c r="P1105" s="121">
        <v>0.02</v>
      </c>
      <c r="Q1105" s="127">
        <f t="shared" si="203"/>
        <v>83</v>
      </c>
      <c r="R1105" s="121">
        <v>5.0000000000000001E-3</v>
      </c>
      <c r="S1105" s="127">
        <f t="shared" si="204"/>
        <v>21</v>
      </c>
      <c r="T1105" s="121">
        <f t="shared" si="205"/>
        <v>2.5181598062953996E-2</v>
      </c>
      <c r="U1105" s="127">
        <f t="shared" si="206"/>
        <v>104</v>
      </c>
      <c r="V1105" s="127">
        <f t="shared" si="207"/>
        <v>4234</v>
      </c>
      <c r="W1105" s="128">
        <f t="shared" si="201"/>
        <v>4234</v>
      </c>
      <c r="X1105" s="129">
        <f t="shared" si="208"/>
        <v>104</v>
      </c>
      <c r="Y1105" s="122">
        <f t="shared" si="209"/>
        <v>2.52E-2</v>
      </c>
      <c r="Z1105" s="123" t="str">
        <f t="shared" si="202"/>
        <v>0.00%-8.40%</v>
      </c>
      <c r="AA1105" s="130"/>
      <c r="AB1105" s="130"/>
      <c r="AC1105" s="130"/>
      <c r="AD1105" s="124"/>
      <c r="AE1105" s="126">
        <f t="shared" si="210"/>
        <v>0</v>
      </c>
      <c r="AF1105" s="131">
        <f t="shared" si="211"/>
        <v>4234</v>
      </c>
      <c r="AG1105" s="18">
        <f t="shared" si="212"/>
        <v>104</v>
      </c>
      <c r="AH1105" s="125">
        <f t="shared" si="213"/>
        <v>2.5181598062953947E-2</v>
      </c>
      <c r="AI1105" s="20">
        <v>13.6</v>
      </c>
      <c r="AJ1105" s="20">
        <v>750</v>
      </c>
      <c r="AK1105" s="20"/>
      <c r="AL1105" s="20">
        <v>688</v>
      </c>
      <c r="AM1105" s="20">
        <f t="shared" si="214"/>
        <v>67270.399999999994</v>
      </c>
      <c r="AN1105" s="7" t="s">
        <v>176</v>
      </c>
      <c r="AO1105" s="20"/>
      <c r="AP1105" s="21"/>
      <c r="AQ1105" s="21"/>
      <c r="AR1105" s="5" t="s">
        <v>1559</v>
      </c>
      <c r="AS1105" s="5" t="s">
        <v>164</v>
      </c>
      <c r="AT1105" s="5" t="s">
        <v>59</v>
      </c>
    </row>
    <row r="1106" spans="1:46">
      <c r="A1106" s="86"/>
      <c r="B1106" s="5">
        <v>1213154</v>
      </c>
      <c r="C1106" s="5" t="s">
        <v>1715</v>
      </c>
      <c r="D1106" s="5" t="s">
        <v>321</v>
      </c>
      <c r="E1106" s="5" t="s">
        <v>52</v>
      </c>
      <c r="F1106" s="5" t="s">
        <v>1478</v>
      </c>
      <c r="G1106" s="5" t="s">
        <v>1567</v>
      </c>
      <c r="H1106" s="5" t="s">
        <v>1676</v>
      </c>
      <c r="I1106" s="6">
        <v>44210</v>
      </c>
      <c r="J1106" s="5" t="s">
        <v>1607</v>
      </c>
      <c r="K1106" s="5" t="s">
        <v>1608</v>
      </c>
      <c r="L1106" s="5" t="s">
        <v>324</v>
      </c>
      <c r="M1106" s="7">
        <v>6</v>
      </c>
      <c r="N1106" s="7" t="s">
        <v>176</v>
      </c>
      <c r="O1106" s="126">
        <v>4375</v>
      </c>
      <c r="P1106" s="121">
        <v>0.02</v>
      </c>
      <c r="Q1106" s="127">
        <f t="shared" si="203"/>
        <v>88</v>
      </c>
      <c r="R1106" s="121">
        <v>5.0000000000000001E-3</v>
      </c>
      <c r="S1106" s="127">
        <f t="shared" si="204"/>
        <v>22</v>
      </c>
      <c r="T1106" s="121">
        <f t="shared" si="205"/>
        <v>2.5142857142857144E-2</v>
      </c>
      <c r="U1106" s="127">
        <f t="shared" si="206"/>
        <v>110</v>
      </c>
      <c r="V1106" s="127">
        <f t="shared" si="207"/>
        <v>4485</v>
      </c>
      <c r="W1106" s="128">
        <f t="shared" si="201"/>
        <v>4485</v>
      </c>
      <c r="X1106" s="129">
        <f t="shared" si="208"/>
        <v>110</v>
      </c>
      <c r="Y1106" s="122">
        <f t="shared" si="209"/>
        <v>2.5100000000000001E-2</v>
      </c>
      <c r="Z1106" s="123" t="str">
        <f t="shared" si="202"/>
        <v>0.00%-8.40%</v>
      </c>
      <c r="AA1106" s="130"/>
      <c r="AB1106" s="130"/>
      <c r="AC1106" s="130"/>
      <c r="AD1106" s="124"/>
      <c r="AE1106" s="126">
        <f t="shared" si="210"/>
        <v>0</v>
      </c>
      <c r="AF1106" s="131">
        <f t="shared" si="211"/>
        <v>4485</v>
      </c>
      <c r="AG1106" s="18">
        <f t="shared" si="212"/>
        <v>110</v>
      </c>
      <c r="AH1106" s="125">
        <f t="shared" si="213"/>
        <v>2.5142857142857133E-2</v>
      </c>
      <c r="AI1106" s="20">
        <v>13.6</v>
      </c>
      <c r="AJ1106" s="20">
        <v>750</v>
      </c>
      <c r="AK1106" s="20"/>
      <c r="AL1106" s="20">
        <v>688</v>
      </c>
      <c r="AM1106" s="20">
        <f t="shared" si="214"/>
        <v>70684</v>
      </c>
      <c r="AN1106" s="7" t="s">
        <v>176</v>
      </c>
      <c r="AO1106" s="20"/>
      <c r="AP1106" s="21"/>
      <c r="AQ1106" s="21"/>
      <c r="AR1106" s="5" t="s">
        <v>1559</v>
      </c>
      <c r="AS1106" s="5" t="s">
        <v>164</v>
      </c>
      <c r="AT1106" s="5" t="s">
        <v>59</v>
      </c>
    </row>
    <row r="1107" spans="1:46" ht="217.5">
      <c r="A1107" s="86"/>
      <c r="B1107" s="5">
        <v>1710039</v>
      </c>
      <c r="C1107" s="5" t="s">
        <v>1716</v>
      </c>
      <c r="D1107" s="5" t="s">
        <v>360</v>
      </c>
      <c r="E1107" s="5" t="s">
        <v>52</v>
      </c>
      <c r="F1107" s="5" t="s">
        <v>1478</v>
      </c>
      <c r="G1107" s="5" t="s">
        <v>1567</v>
      </c>
      <c r="H1107" s="5" t="s">
        <v>1558</v>
      </c>
      <c r="I1107" s="6">
        <v>41460</v>
      </c>
      <c r="J1107" s="5" t="s">
        <v>377</v>
      </c>
      <c r="K1107" s="5" t="s">
        <v>377</v>
      </c>
      <c r="L1107" s="5" t="s">
        <v>324</v>
      </c>
      <c r="M1107" s="7">
        <v>6</v>
      </c>
      <c r="N1107" s="7" t="s">
        <v>176</v>
      </c>
      <c r="O1107" s="126">
        <v>5155</v>
      </c>
      <c r="P1107" s="121">
        <v>0.02</v>
      </c>
      <c r="Q1107" s="127">
        <f t="shared" si="203"/>
        <v>103</v>
      </c>
      <c r="R1107" s="121">
        <v>5.0000000000000001E-3</v>
      </c>
      <c r="S1107" s="127">
        <f t="shared" si="204"/>
        <v>26</v>
      </c>
      <c r="T1107" s="121">
        <f t="shared" si="205"/>
        <v>2.5024248302618818E-2</v>
      </c>
      <c r="U1107" s="127">
        <f t="shared" si="206"/>
        <v>129</v>
      </c>
      <c r="V1107" s="127">
        <f t="shared" si="207"/>
        <v>5284</v>
      </c>
      <c r="W1107" s="128">
        <f t="shared" si="201"/>
        <v>5284</v>
      </c>
      <c r="X1107" s="129">
        <f t="shared" si="208"/>
        <v>129</v>
      </c>
      <c r="Y1107" s="122">
        <f t="shared" si="209"/>
        <v>2.5000000000000001E-2</v>
      </c>
      <c r="Z1107" s="123" t="str">
        <f t="shared" si="202"/>
        <v>0.00%-8.40%</v>
      </c>
      <c r="AA1107" s="130" t="s">
        <v>87</v>
      </c>
      <c r="AB1107" s="130" t="s">
        <v>1717</v>
      </c>
      <c r="AC1107" s="130" t="s">
        <v>439</v>
      </c>
      <c r="AD1107" s="124">
        <v>0.1946</v>
      </c>
      <c r="AE1107" s="126">
        <f t="shared" si="210"/>
        <v>1003</v>
      </c>
      <c r="AF1107" s="131">
        <f t="shared" si="211"/>
        <v>6287</v>
      </c>
      <c r="AG1107" s="18">
        <f t="shared" si="212"/>
        <v>1132</v>
      </c>
      <c r="AH1107" s="125">
        <f t="shared" si="213"/>
        <v>0.21959262851600392</v>
      </c>
      <c r="AI1107" s="20">
        <v>13.6</v>
      </c>
      <c r="AJ1107" s="20">
        <v>750</v>
      </c>
      <c r="AK1107" s="20"/>
      <c r="AL1107" s="20">
        <v>688</v>
      </c>
      <c r="AM1107" s="20">
        <f t="shared" si="214"/>
        <v>95191.2</v>
      </c>
      <c r="AN1107" s="7" t="s">
        <v>176</v>
      </c>
      <c r="AO1107" s="20"/>
      <c r="AP1107" s="22" t="s">
        <v>1718</v>
      </c>
      <c r="AQ1107" s="21" t="s">
        <v>239</v>
      </c>
      <c r="AR1107" s="5" t="s">
        <v>1559</v>
      </c>
      <c r="AS1107" s="5" t="s">
        <v>164</v>
      </c>
      <c r="AT1107" s="5" t="s">
        <v>59</v>
      </c>
    </row>
    <row r="1108" spans="1:46">
      <c r="A1108" s="86"/>
      <c r="B1108" s="5">
        <v>1718016</v>
      </c>
      <c r="C1108" s="5" t="s">
        <v>1719</v>
      </c>
      <c r="D1108" s="5" t="s">
        <v>360</v>
      </c>
      <c r="E1108" s="5" t="s">
        <v>52</v>
      </c>
      <c r="F1108" s="5" t="s">
        <v>1478</v>
      </c>
      <c r="G1108" s="5" t="s">
        <v>1569</v>
      </c>
      <c r="H1108" s="5" t="s">
        <v>1564</v>
      </c>
      <c r="I1108" s="6">
        <v>44385</v>
      </c>
      <c r="J1108" s="5" t="s">
        <v>1608</v>
      </c>
      <c r="K1108" s="5" t="s">
        <v>1639</v>
      </c>
      <c r="L1108" s="5" t="s">
        <v>324</v>
      </c>
      <c r="M1108" s="7">
        <v>6</v>
      </c>
      <c r="N1108" s="7" t="s">
        <v>176</v>
      </c>
      <c r="O1108" s="126">
        <v>4372</v>
      </c>
      <c r="P1108" s="121">
        <v>0.02</v>
      </c>
      <c r="Q1108" s="127">
        <f t="shared" si="203"/>
        <v>87</v>
      </c>
      <c r="R1108" s="121">
        <v>5.0000000000000001E-3</v>
      </c>
      <c r="S1108" s="127">
        <f t="shared" si="204"/>
        <v>22</v>
      </c>
      <c r="T1108" s="121">
        <f t="shared" si="205"/>
        <v>2.4931381518755718E-2</v>
      </c>
      <c r="U1108" s="127">
        <f t="shared" si="206"/>
        <v>109</v>
      </c>
      <c r="V1108" s="127">
        <f t="shared" si="207"/>
        <v>4481</v>
      </c>
      <c r="W1108" s="128">
        <f t="shared" si="201"/>
        <v>4481</v>
      </c>
      <c r="X1108" s="129">
        <f t="shared" si="208"/>
        <v>109</v>
      </c>
      <c r="Y1108" s="122">
        <f t="shared" si="209"/>
        <v>2.4899999999999999E-2</v>
      </c>
      <c r="Z1108" s="123" t="str">
        <f t="shared" si="202"/>
        <v>0.00%-8.40%</v>
      </c>
      <c r="AA1108" s="130"/>
      <c r="AB1108" s="130"/>
      <c r="AC1108" s="130"/>
      <c r="AD1108" s="124"/>
      <c r="AE1108" s="126">
        <f t="shared" si="210"/>
        <v>0</v>
      </c>
      <c r="AF1108" s="131">
        <f t="shared" si="211"/>
        <v>4481</v>
      </c>
      <c r="AG1108" s="18">
        <f t="shared" si="212"/>
        <v>109</v>
      </c>
      <c r="AH1108" s="125">
        <f t="shared" si="213"/>
        <v>2.4931381518755735E-2</v>
      </c>
      <c r="AI1108" s="20">
        <v>13.6</v>
      </c>
      <c r="AJ1108" s="20">
        <v>800</v>
      </c>
      <c r="AK1108" s="20"/>
      <c r="AL1108" s="20">
        <v>688</v>
      </c>
      <c r="AM1108" s="20">
        <f t="shared" si="214"/>
        <v>71229.600000000006</v>
      </c>
      <c r="AN1108" s="7" t="s">
        <v>176</v>
      </c>
      <c r="AO1108" s="20"/>
      <c r="AP1108" s="21"/>
      <c r="AQ1108" s="21"/>
      <c r="AR1108" s="5" t="s">
        <v>1559</v>
      </c>
      <c r="AS1108" s="5" t="s">
        <v>164</v>
      </c>
      <c r="AT1108" s="5" t="s">
        <v>59</v>
      </c>
    </row>
    <row r="1109" spans="1:46">
      <c r="A1109" s="105"/>
      <c r="B1109" s="106">
        <v>51202995</v>
      </c>
      <c r="C1109" s="106" t="s">
        <v>1720</v>
      </c>
      <c r="D1109" s="106" t="s">
        <v>360</v>
      </c>
      <c r="E1109" s="106" t="s">
        <v>52</v>
      </c>
      <c r="F1109" s="106" t="s">
        <v>1478</v>
      </c>
      <c r="G1109" s="106" t="s">
        <v>1569</v>
      </c>
      <c r="H1109" s="106" t="s">
        <v>1564</v>
      </c>
      <c r="I1109" s="107">
        <v>42534</v>
      </c>
      <c r="J1109" s="106" t="s">
        <v>1608</v>
      </c>
      <c r="K1109" s="106" t="s">
        <v>1639</v>
      </c>
      <c r="L1109" s="106" t="s">
        <v>324</v>
      </c>
      <c r="M1109" s="108">
        <v>6</v>
      </c>
      <c r="N1109" s="108" t="s">
        <v>176</v>
      </c>
      <c r="O1109" s="132">
        <v>4792</v>
      </c>
      <c r="P1109" s="133">
        <v>0.02</v>
      </c>
      <c r="Q1109" s="134">
        <f t="shared" si="203"/>
        <v>96</v>
      </c>
      <c r="R1109" s="133">
        <v>5.0000000000000001E-3</v>
      </c>
      <c r="S1109" s="134">
        <f t="shared" si="204"/>
        <v>24</v>
      </c>
      <c r="T1109" s="133">
        <f t="shared" si="205"/>
        <v>2.5041736227045076E-2</v>
      </c>
      <c r="U1109" s="134">
        <f t="shared" si="206"/>
        <v>120</v>
      </c>
      <c r="V1109" s="134">
        <f t="shared" si="207"/>
        <v>4912</v>
      </c>
      <c r="W1109" s="135">
        <f t="shared" si="201"/>
        <v>4912</v>
      </c>
      <c r="X1109" s="136">
        <f t="shared" si="208"/>
        <v>120</v>
      </c>
      <c r="Y1109" s="137">
        <f t="shared" si="209"/>
        <v>2.5000000000000001E-2</v>
      </c>
      <c r="Z1109" s="138" t="str">
        <f t="shared" si="202"/>
        <v>0.00%-8.40%</v>
      </c>
      <c r="AA1109" s="139"/>
      <c r="AB1109" s="139"/>
      <c r="AC1109" s="139"/>
      <c r="AD1109" s="140"/>
      <c r="AE1109" s="132">
        <f t="shared" si="210"/>
        <v>0</v>
      </c>
      <c r="AF1109" s="141">
        <f t="shared" si="211"/>
        <v>4912</v>
      </c>
      <c r="AG1109" s="109">
        <f t="shared" si="212"/>
        <v>120</v>
      </c>
      <c r="AH1109" s="142">
        <f t="shared" si="213"/>
        <v>2.5041736227044975E-2</v>
      </c>
      <c r="AI1109" s="110">
        <v>13.6</v>
      </c>
      <c r="AJ1109" s="110">
        <v>1750</v>
      </c>
      <c r="AK1109" s="110"/>
      <c r="AL1109" s="110">
        <v>688</v>
      </c>
      <c r="AM1109" s="110">
        <f t="shared" si="214"/>
        <v>88491.199999999997</v>
      </c>
      <c r="AN1109" s="108" t="s">
        <v>176</v>
      </c>
      <c r="AO1109" s="110"/>
      <c r="AP1109" s="111"/>
      <c r="AQ1109" s="111"/>
      <c r="AR1109" s="106" t="s">
        <v>1559</v>
      </c>
      <c r="AS1109" s="106" t="s">
        <v>164</v>
      </c>
      <c r="AT1109" s="106" t="s">
        <v>59</v>
      </c>
    </row>
    <row r="1110" spans="1:46">
      <c r="A1110" s="105"/>
      <c r="B1110" s="5">
        <v>1010715</v>
      </c>
      <c r="C1110" s="5" t="s">
        <v>1756</v>
      </c>
      <c r="D1110" s="5" t="s">
        <v>1757</v>
      </c>
      <c r="E1110" s="5" t="s">
        <v>52</v>
      </c>
      <c r="F1110" s="5" t="s">
        <v>1822</v>
      </c>
      <c r="G1110" s="5" t="s">
        <v>1758</v>
      </c>
      <c r="H1110" s="5" t="s">
        <v>1823</v>
      </c>
      <c r="I1110" s="6">
        <v>41775</v>
      </c>
      <c r="J1110" s="5" t="s">
        <v>1759</v>
      </c>
      <c r="K1110" s="5" t="s">
        <v>1760</v>
      </c>
      <c r="L1110" s="5" t="s">
        <v>324</v>
      </c>
      <c r="M1110" s="7">
        <v>6</v>
      </c>
      <c r="N1110" s="7" t="s">
        <v>176</v>
      </c>
      <c r="O1110" s="8">
        <v>700</v>
      </c>
      <c r="P1110" s="121">
        <v>0.02</v>
      </c>
      <c r="Q1110" s="10">
        <v>14</v>
      </c>
      <c r="R1110" s="121">
        <v>0.12290000000000001</v>
      </c>
      <c r="S1110" s="10">
        <v>86</v>
      </c>
      <c r="T1110" s="121">
        <v>0.14285714285714285</v>
      </c>
      <c r="U1110" s="10">
        <v>100</v>
      </c>
      <c r="V1110" s="10">
        <v>800</v>
      </c>
      <c r="W1110" s="11">
        <v>800</v>
      </c>
      <c r="X1110" s="12">
        <v>100</v>
      </c>
      <c r="Y1110" s="122">
        <v>0.1429</v>
      </c>
      <c r="Z1110" s="123" t="s">
        <v>1245</v>
      </c>
      <c r="AA1110" s="15"/>
      <c r="AB1110" s="15"/>
      <c r="AC1110" s="15"/>
      <c r="AD1110" s="124"/>
      <c r="AE1110" s="8">
        <v>0</v>
      </c>
      <c r="AF1110" s="17">
        <v>800</v>
      </c>
      <c r="AG1110" s="18">
        <v>100</v>
      </c>
      <c r="AH1110" s="125">
        <v>0.14285714285714279</v>
      </c>
      <c r="AI1110" s="20">
        <v>12</v>
      </c>
      <c r="AJ1110" s="20">
        <v>0</v>
      </c>
      <c r="AK1110" s="20"/>
      <c r="AL1110" s="20">
        <v>688</v>
      </c>
      <c r="AM1110" s="20">
        <v>10288</v>
      </c>
      <c r="AN1110" s="7" t="e">
        <v>#N/A</v>
      </c>
      <c r="AO1110" s="20"/>
      <c r="AP1110" s="21"/>
      <c r="AQ1110" s="21"/>
      <c r="AR1110" s="5" t="s">
        <v>1761</v>
      </c>
      <c r="AS1110" s="5" t="s">
        <v>124</v>
      </c>
    </row>
    <row r="1111" spans="1:46">
      <c r="A1111" s="105"/>
      <c r="B1111" s="5">
        <v>11000517</v>
      </c>
      <c r="C1111" s="5" t="s">
        <v>1762</v>
      </c>
      <c r="D1111" s="5" t="s">
        <v>1757</v>
      </c>
      <c r="E1111" s="5" t="s">
        <v>52</v>
      </c>
      <c r="F1111" s="5" t="s">
        <v>1822</v>
      </c>
      <c r="G1111" s="5" t="s">
        <v>1758</v>
      </c>
      <c r="H1111" s="5" t="s">
        <v>1823</v>
      </c>
      <c r="I1111" s="6">
        <v>35796</v>
      </c>
      <c r="J1111" s="5" t="s">
        <v>1759</v>
      </c>
      <c r="K1111" s="5" t="s">
        <v>1760</v>
      </c>
      <c r="L1111" s="5" t="s">
        <v>324</v>
      </c>
      <c r="M1111" s="7">
        <v>6</v>
      </c>
      <c r="N1111" s="7" t="s">
        <v>176</v>
      </c>
      <c r="O1111" s="8">
        <v>700</v>
      </c>
      <c r="P1111" s="121">
        <v>0.02</v>
      </c>
      <c r="Q1111" s="10">
        <v>14</v>
      </c>
      <c r="R1111" s="121">
        <v>0.12290000000000001</v>
      </c>
      <c r="S1111" s="10">
        <v>86</v>
      </c>
      <c r="T1111" s="121">
        <v>0.14285714285714285</v>
      </c>
      <c r="U1111" s="10">
        <v>100</v>
      </c>
      <c r="V1111" s="10">
        <v>800</v>
      </c>
      <c r="W1111" s="11">
        <v>800</v>
      </c>
      <c r="X1111" s="12">
        <v>100</v>
      </c>
      <c r="Y1111" s="122">
        <v>0.1429</v>
      </c>
      <c r="Z1111" s="123" t="s">
        <v>1245</v>
      </c>
      <c r="AA1111" s="15"/>
      <c r="AB1111" s="15"/>
      <c r="AC1111" s="15"/>
      <c r="AD1111" s="124"/>
      <c r="AE1111" s="8">
        <v>0</v>
      </c>
      <c r="AF1111" s="17">
        <v>800</v>
      </c>
      <c r="AG1111" s="18">
        <v>100</v>
      </c>
      <c r="AH1111" s="125">
        <v>0.14285714285714279</v>
      </c>
      <c r="AI1111" s="20">
        <v>12</v>
      </c>
      <c r="AJ1111" s="20">
        <v>30</v>
      </c>
      <c r="AK1111" s="20"/>
      <c r="AL1111" s="20">
        <v>688</v>
      </c>
      <c r="AM1111" s="20">
        <v>10648</v>
      </c>
      <c r="AN1111" s="7" t="e">
        <v>#N/A</v>
      </c>
      <c r="AO1111" s="20"/>
      <c r="AP1111" s="21"/>
      <c r="AQ1111" s="21"/>
      <c r="AR1111" s="5" t="s">
        <v>1761</v>
      </c>
      <c r="AS1111" s="5" t="s">
        <v>124</v>
      </c>
    </row>
    <row r="1112" spans="1:46">
      <c r="A1112" s="86"/>
      <c r="B1112" s="5">
        <v>11000530</v>
      </c>
      <c r="C1112" s="5" t="s">
        <v>1763</v>
      </c>
      <c r="D1112" s="5" t="s">
        <v>1757</v>
      </c>
      <c r="E1112" s="5" t="s">
        <v>52</v>
      </c>
      <c r="F1112" s="5" t="s">
        <v>1822</v>
      </c>
      <c r="G1112" s="5" t="s">
        <v>1758</v>
      </c>
      <c r="H1112" s="5" t="s">
        <v>1823</v>
      </c>
      <c r="I1112" s="6">
        <v>36892</v>
      </c>
      <c r="J1112" s="5" t="s">
        <v>1759</v>
      </c>
      <c r="K1112" s="5" t="s">
        <v>1760</v>
      </c>
      <c r="L1112" s="5" t="s">
        <v>324</v>
      </c>
      <c r="M1112" s="7">
        <v>6</v>
      </c>
      <c r="N1112" s="7" t="s">
        <v>176</v>
      </c>
      <c r="O1112" s="8">
        <v>700</v>
      </c>
      <c r="P1112" s="121">
        <v>0.02</v>
      </c>
      <c r="Q1112" s="10">
        <v>14</v>
      </c>
      <c r="R1112" s="121">
        <v>0.12290000000000001</v>
      </c>
      <c r="S1112" s="10">
        <v>86</v>
      </c>
      <c r="T1112" s="121">
        <v>0.14285714285714285</v>
      </c>
      <c r="U1112" s="10">
        <v>100</v>
      </c>
      <c r="V1112" s="10">
        <v>800</v>
      </c>
      <c r="W1112" s="11">
        <v>800</v>
      </c>
      <c r="X1112" s="12">
        <v>100</v>
      </c>
      <c r="Y1112" s="122">
        <v>0.1429</v>
      </c>
      <c r="Z1112" s="123" t="s">
        <v>1245</v>
      </c>
      <c r="AA1112" s="15"/>
      <c r="AB1112" s="15"/>
      <c r="AC1112" s="15"/>
      <c r="AD1112" s="124"/>
      <c r="AE1112" s="8">
        <v>0</v>
      </c>
      <c r="AF1112" s="17">
        <v>800</v>
      </c>
      <c r="AG1112" s="18">
        <v>100</v>
      </c>
      <c r="AH1112" s="125">
        <v>0.14285714285714279</v>
      </c>
      <c r="AI1112" s="20">
        <v>12</v>
      </c>
      <c r="AJ1112" s="20">
        <v>0</v>
      </c>
      <c r="AK1112" s="20"/>
      <c r="AL1112" s="20">
        <v>688</v>
      </c>
      <c r="AM1112" s="20">
        <v>10288</v>
      </c>
      <c r="AN1112" s="7" t="e">
        <v>#N/A</v>
      </c>
      <c r="AO1112" s="20"/>
      <c r="AP1112" s="21"/>
      <c r="AQ1112" s="21"/>
      <c r="AR1112" s="5" t="s">
        <v>1761</v>
      </c>
      <c r="AS1112" s="5" t="s">
        <v>124</v>
      </c>
    </row>
    <row r="1113" spans="1:46">
      <c r="A1113" s="105"/>
      <c r="B1113" s="5">
        <v>11000536</v>
      </c>
      <c r="C1113" s="5" t="s">
        <v>1764</v>
      </c>
      <c r="D1113" s="5" t="s">
        <v>1757</v>
      </c>
      <c r="E1113" s="5" t="s">
        <v>52</v>
      </c>
      <c r="F1113" s="5" t="s">
        <v>1822</v>
      </c>
      <c r="G1113" s="5" t="s">
        <v>1758</v>
      </c>
      <c r="H1113" s="5" t="s">
        <v>1823</v>
      </c>
      <c r="I1113" s="6">
        <v>36892</v>
      </c>
      <c r="J1113" s="5" t="s">
        <v>1759</v>
      </c>
      <c r="K1113" s="5" t="s">
        <v>1760</v>
      </c>
      <c r="L1113" s="5" t="s">
        <v>324</v>
      </c>
      <c r="M1113" s="7">
        <v>6</v>
      </c>
      <c r="N1113" s="7" t="s">
        <v>176</v>
      </c>
      <c r="O1113" s="8">
        <v>700</v>
      </c>
      <c r="P1113" s="121">
        <v>0.02</v>
      </c>
      <c r="Q1113" s="10">
        <v>14</v>
      </c>
      <c r="R1113" s="121">
        <v>0.12290000000000001</v>
      </c>
      <c r="S1113" s="10">
        <v>86</v>
      </c>
      <c r="T1113" s="121">
        <v>0.14285714285714285</v>
      </c>
      <c r="U1113" s="10">
        <v>100</v>
      </c>
      <c r="V1113" s="10">
        <v>800</v>
      </c>
      <c r="W1113" s="11">
        <v>800</v>
      </c>
      <c r="X1113" s="12">
        <v>100</v>
      </c>
      <c r="Y1113" s="122">
        <v>0.1429</v>
      </c>
      <c r="Z1113" s="123" t="s">
        <v>1245</v>
      </c>
      <c r="AA1113" s="15"/>
      <c r="AB1113" s="15"/>
      <c r="AC1113" s="15"/>
      <c r="AD1113" s="124"/>
      <c r="AE1113" s="8">
        <v>0</v>
      </c>
      <c r="AF1113" s="17">
        <v>800</v>
      </c>
      <c r="AG1113" s="18">
        <v>100</v>
      </c>
      <c r="AH1113" s="125">
        <v>0.14285714285714279</v>
      </c>
      <c r="AI1113" s="20">
        <v>12</v>
      </c>
      <c r="AJ1113" s="20">
        <v>0</v>
      </c>
      <c r="AK1113" s="20"/>
      <c r="AL1113" s="20">
        <v>688</v>
      </c>
      <c r="AM1113" s="20">
        <v>10288</v>
      </c>
      <c r="AN1113" s="7" t="e">
        <v>#N/A</v>
      </c>
      <c r="AO1113" s="20"/>
      <c r="AP1113" s="21"/>
      <c r="AQ1113" s="21"/>
      <c r="AR1113" s="5" t="s">
        <v>1761</v>
      </c>
      <c r="AS1113" s="5" t="s">
        <v>124</v>
      </c>
    </row>
    <row r="1114" spans="1:46">
      <c r="A1114" s="105"/>
      <c r="B1114" s="5">
        <v>11002727</v>
      </c>
      <c r="C1114" s="5" t="s">
        <v>1765</v>
      </c>
      <c r="D1114" s="5" t="s">
        <v>1757</v>
      </c>
      <c r="E1114" s="5" t="s">
        <v>52</v>
      </c>
      <c r="F1114" s="5" t="s">
        <v>1822</v>
      </c>
      <c r="G1114" s="5" t="s">
        <v>1758</v>
      </c>
      <c r="H1114" s="5" t="s">
        <v>1823</v>
      </c>
      <c r="I1114" s="6">
        <v>38443</v>
      </c>
      <c r="J1114" s="5" t="s">
        <v>1759</v>
      </c>
      <c r="K1114" s="5" t="s">
        <v>1760</v>
      </c>
      <c r="L1114" s="5" t="s">
        <v>324</v>
      </c>
      <c r="M1114" s="7">
        <v>6</v>
      </c>
      <c r="N1114" s="7" t="s">
        <v>176</v>
      </c>
      <c r="O1114" s="8">
        <v>700</v>
      </c>
      <c r="P1114" s="121">
        <v>0.02</v>
      </c>
      <c r="Q1114" s="10">
        <v>14</v>
      </c>
      <c r="R1114" s="121">
        <v>0.12290000000000001</v>
      </c>
      <c r="S1114" s="10">
        <v>86</v>
      </c>
      <c r="T1114" s="121">
        <v>0.14285714285714285</v>
      </c>
      <c r="U1114" s="10">
        <v>100</v>
      </c>
      <c r="V1114" s="10">
        <v>800</v>
      </c>
      <c r="W1114" s="11">
        <v>800</v>
      </c>
      <c r="X1114" s="12">
        <v>100</v>
      </c>
      <c r="Y1114" s="122">
        <v>0.1429</v>
      </c>
      <c r="Z1114" s="123" t="s">
        <v>1245</v>
      </c>
      <c r="AA1114" s="15"/>
      <c r="AB1114" s="15"/>
      <c r="AC1114" s="15"/>
      <c r="AD1114" s="124"/>
      <c r="AE1114" s="8">
        <v>0</v>
      </c>
      <c r="AF1114" s="17">
        <v>800</v>
      </c>
      <c r="AG1114" s="18">
        <v>100</v>
      </c>
      <c r="AH1114" s="125">
        <v>0.14285714285714279</v>
      </c>
      <c r="AI1114" s="20">
        <v>12</v>
      </c>
      <c r="AJ1114" s="20">
        <v>0</v>
      </c>
      <c r="AK1114" s="20"/>
      <c r="AL1114" s="20">
        <v>688</v>
      </c>
      <c r="AM1114" s="20">
        <v>10288</v>
      </c>
      <c r="AN1114" s="7" t="e">
        <v>#N/A</v>
      </c>
      <c r="AO1114" s="20"/>
      <c r="AP1114" s="21"/>
      <c r="AQ1114" s="21"/>
      <c r="AR1114" s="5" t="s">
        <v>1761</v>
      </c>
      <c r="AS1114" s="5" t="s">
        <v>124</v>
      </c>
    </row>
    <row r="1115" spans="1:46">
      <c r="A1115" s="105"/>
      <c r="B1115" s="5">
        <v>11003112</v>
      </c>
      <c r="C1115" s="5" t="s">
        <v>1766</v>
      </c>
      <c r="D1115" s="5" t="s">
        <v>1757</v>
      </c>
      <c r="E1115" s="5" t="s">
        <v>52</v>
      </c>
      <c r="F1115" s="5" t="s">
        <v>1822</v>
      </c>
      <c r="G1115" s="5" t="s">
        <v>1758</v>
      </c>
      <c r="H1115" s="5" t="s">
        <v>1823</v>
      </c>
      <c r="I1115" s="6">
        <v>38808</v>
      </c>
      <c r="J1115" s="5" t="s">
        <v>1759</v>
      </c>
      <c r="K1115" s="5" t="s">
        <v>1760</v>
      </c>
      <c r="L1115" s="5" t="s">
        <v>324</v>
      </c>
      <c r="M1115" s="7">
        <v>6</v>
      </c>
      <c r="N1115" s="7" t="s">
        <v>176</v>
      </c>
      <c r="O1115" s="8">
        <v>700</v>
      </c>
      <c r="P1115" s="121">
        <v>0.02</v>
      </c>
      <c r="Q1115" s="10">
        <v>14</v>
      </c>
      <c r="R1115" s="121">
        <v>0.12290000000000001</v>
      </c>
      <c r="S1115" s="10">
        <v>86</v>
      </c>
      <c r="T1115" s="121">
        <v>0.14285714285714285</v>
      </c>
      <c r="U1115" s="10">
        <v>100</v>
      </c>
      <c r="V1115" s="10">
        <v>800</v>
      </c>
      <c r="W1115" s="11">
        <v>800</v>
      </c>
      <c r="X1115" s="12">
        <v>100</v>
      </c>
      <c r="Y1115" s="122">
        <v>0.1429</v>
      </c>
      <c r="Z1115" s="123" t="s">
        <v>1245</v>
      </c>
      <c r="AA1115" s="15"/>
      <c r="AB1115" s="15"/>
      <c r="AC1115" s="15"/>
      <c r="AD1115" s="124"/>
      <c r="AE1115" s="8">
        <v>0</v>
      </c>
      <c r="AF1115" s="17">
        <v>800</v>
      </c>
      <c r="AG1115" s="18">
        <v>100</v>
      </c>
      <c r="AH1115" s="125">
        <v>0.14285714285714279</v>
      </c>
      <c r="AI1115" s="20">
        <v>12</v>
      </c>
      <c r="AJ1115" s="20">
        <v>0</v>
      </c>
      <c r="AK1115" s="20"/>
      <c r="AL1115" s="20">
        <v>688</v>
      </c>
      <c r="AM1115" s="20">
        <v>10288</v>
      </c>
      <c r="AN1115" s="7" t="e">
        <v>#N/A</v>
      </c>
      <c r="AO1115" s="20"/>
      <c r="AP1115" s="21"/>
      <c r="AQ1115" s="21"/>
      <c r="AR1115" s="5" t="s">
        <v>1761</v>
      </c>
      <c r="AS1115" s="5" t="s">
        <v>124</v>
      </c>
    </row>
    <row r="1116" spans="1:46">
      <c r="A1116" s="86"/>
      <c r="B1116" s="5">
        <v>11004026</v>
      </c>
      <c r="C1116" s="5" t="s">
        <v>1767</v>
      </c>
      <c r="D1116" s="5" t="s">
        <v>1757</v>
      </c>
      <c r="E1116" s="5" t="s">
        <v>52</v>
      </c>
      <c r="F1116" s="5" t="s">
        <v>1822</v>
      </c>
      <c r="G1116" s="5" t="s">
        <v>1758</v>
      </c>
      <c r="H1116" s="5" t="s">
        <v>1823</v>
      </c>
      <c r="I1116" s="6">
        <v>39264</v>
      </c>
      <c r="J1116" s="5" t="s">
        <v>1759</v>
      </c>
      <c r="K1116" s="5" t="s">
        <v>1760</v>
      </c>
      <c r="L1116" s="5" t="s">
        <v>324</v>
      </c>
      <c r="M1116" s="7">
        <v>6</v>
      </c>
      <c r="N1116" s="7" t="s">
        <v>176</v>
      </c>
      <c r="O1116" s="8">
        <v>700</v>
      </c>
      <c r="P1116" s="121">
        <v>0.02</v>
      </c>
      <c r="Q1116" s="10">
        <v>14</v>
      </c>
      <c r="R1116" s="121">
        <v>0.12290000000000001</v>
      </c>
      <c r="S1116" s="10">
        <v>86</v>
      </c>
      <c r="T1116" s="121">
        <v>0.14285714285714285</v>
      </c>
      <c r="U1116" s="10">
        <v>100</v>
      </c>
      <c r="V1116" s="10">
        <v>800</v>
      </c>
      <c r="W1116" s="11">
        <v>800</v>
      </c>
      <c r="X1116" s="12">
        <v>100</v>
      </c>
      <c r="Y1116" s="122">
        <v>0.1429</v>
      </c>
      <c r="Z1116" s="123" t="s">
        <v>1245</v>
      </c>
      <c r="AA1116" s="15"/>
      <c r="AB1116" s="15"/>
      <c r="AC1116" s="15"/>
      <c r="AD1116" s="124"/>
      <c r="AE1116" s="8">
        <v>0</v>
      </c>
      <c r="AF1116" s="17">
        <v>800</v>
      </c>
      <c r="AG1116" s="18">
        <v>100</v>
      </c>
      <c r="AH1116" s="125">
        <v>0.14285714285714279</v>
      </c>
      <c r="AI1116" s="20">
        <v>12</v>
      </c>
      <c r="AJ1116" s="20">
        <v>0</v>
      </c>
      <c r="AK1116" s="20"/>
      <c r="AL1116" s="20">
        <v>688</v>
      </c>
      <c r="AM1116" s="20">
        <v>10288</v>
      </c>
      <c r="AN1116" s="7" t="e">
        <v>#N/A</v>
      </c>
      <c r="AO1116" s="20"/>
      <c r="AP1116" s="21"/>
      <c r="AQ1116" s="21"/>
      <c r="AR1116" s="5" t="s">
        <v>1761</v>
      </c>
      <c r="AS1116" s="5" t="s">
        <v>124</v>
      </c>
    </row>
    <row r="1117" spans="1:46">
      <c r="A1117" s="105"/>
      <c r="B1117" s="5">
        <v>11004027</v>
      </c>
      <c r="C1117" s="5" t="s">
        <v>1768</v>
      </c>
      <c r="D1117" s="5" t="s">
        <v>1757</v>
      </c>
      <c r="E1117" s="5" t="s">
        <v>52</v>
      </c>
      <c r="F1117" s="5" t="s">
        <v>1822</v>
      </c>
      <c r="G1117" s="5" t="s">
        <v>1758</v>
      </c>
      <c r="H1117" s="5" t="s">
        <v>1823</v>
      </c>
      <c r="I1117" s="6">
        <v>39264</v>
      </c>
      <c r="J1117" s="5" t="s">
        <v>1759</v>
      </c>
      <c r="K1117" s="5" t="s">
        <v>1760</v>
      </c>
      <c r="L1117" s="5" t="s">
        <v>324</v>
      </c>
      <c r="M1117" s="7">
        <v>6</v>
      </c>
      <c r="N1117" s="7" t="s">
        <v>176</v>
      </c>
      <c r="O1117" s="8">
        <v>700</v>
      </c>
      <c r="P1117" s="121">
        <v>0.02</v>
      </c>
      <c r="Q1117" s="10">
        <v>14</v>
      </c>
      <c r="R1117" s="121">
        <v>0.12290000000000001</v>
      </c>
      <c r="S1117" s="10">
        <v>86</v>
      </c>
      <c r="T1117" s="121">
        <v>0.14285714285714285</v>
      </c>
      <c r="U1117" s="10">
        <v>100</v>
      </c>
      <c r="V1117" s="10">
        <v>800</v>
      </c>
      <c r="W1117" s="11">
        <v>800</v>
      </c>
      <c r="X1117" s="12">
        <v>100</v>
      </c>
      <c r="Y1117" s="122">
        <v>0.1429</v>
      </c>
      <c r="Z1117" s="123" t="s">
        <v>1245</v>
      </c>
      <c r="AA1117" s="15"/>
      <c r="AB1117" s="15"/>
      <c r="AC1117" s="15"/>
      <c r="AD1117" s="124"/>
      <c r="AE1117" s="8">
        <v>0</v>
      </c>
      <c r="AF1117" s="17">
        <v>800</v>
      </c>
      <c r="AG1117" s="18">
        <v>100</v>
      </c>
      <c r="AH1117" s="125">
        <v>0.14285714285714279</v>
      </c>
      <c r="AI1117" s="20">
        <v>12</v>
      </c>
      <c r="AJ1117" s="20">
        <v>0</v>
      </c>
      <c r="AK1117" s="20"/>
      <c r="AL1117" s="20">
        <v>688</v>
      </c>
      <c r="AM1117" s="20">
        <v>10288</v>
      </c>
      <c r="AN1117" s="7" t="e">
        <v>#N/A</v>
      </c>
      <c r="AO1117" s="20"/>
      <c r="AP1117" s="21"/>
      <c r="AQ1117" s="21"/>
      <c r="AR1117" s="5" t="s">
        <v>1761</v>
      </c>
      <c r="AS1117" s="5" t="s">
        <v>124</v>
      </c>
    </row>
    <row r="1118" spans="1:46">
      <c r="A1118" s="86"/>
      <c r="B1118" s="5">
        <v>11004503</v>
      </c>
      <c r="C1118" s="5" t="s">
        <v>1769</v>
      </c>
      <c r="D1118" s="5" t="s">
        <v>1757</v>
      </c>
      <c r="E1118" s="5" t="s">
        <v>52</v>
      </c>
      <c r="F1118" s="5" t="s">
        <v>1822</v>
      </c>
      <c r="G1118" s="5" t="s">
        <v>1758</v>
      </c>
      <c r="H1118" s="5" t="s">
        <v>1823</v>
      </c>
      <c r="I1118" s="6">
        <v>39479</v>
      </c>
      <c r="J1118" s="5" t="s">
        <v>1759</v>
      </c>
      <c r="K1118" s="5" t="s">
        <v>1760</v>
      </c>
      <c r="L1118" s="5" t="s">
        <v>324</v>
      </c>
      <c r="M1118" s="7">
        <v>6</v>
      </c>
      <c r="N1118" s="7" t="s">
        <v>176</v>
      </c>
      <c r="O1118" s="8">
        <v>700</v>
      </c>
      <c r="P1118" s="121">
        <v>0.02</v>
      </c>
      <c r="Q1118" s="10">
        <v>14</v>
      </c>
      <c r="R1118" s="121">
        <v>0.12290000000000001</v>
      </c>
      <c r="S1118" s="10">
        <v>86</v>
      </c>
      <c r="T1118" s="121">
        <v>0.14285714285714285</v>
      </c>
      <c r="U1118" s="10">
        <v>100</v>
      </c>
      <c r="V1118" s="10">
        <v>800</v>
      </c>
      <c r="W1118" s="11">
        <v>800</v>
      </c>
      <c r="X1118" s="12">
        <v>100</v>
      </c>
      <c r="Y1118" s="122">
        <v>0.1429</v>
      </c>
      <c r="Z1118" s="123" t="s">
        <v>1245</v>
      </c>
      <c r="AA1118" s="15"/>
      <c r="AB1118" s="15"/>
      <c r="AC1118" s="15"/>
      <c r="AD1118" s="124"/>
      <c r="AE1118" s="8">
        <v>0</v>
      </c>
      <c r="AF1118" s="17">
        <v>800</v>
      </c>
      <c r="AG1118" s="18">
        <v>100</v>
      </c>
      <c r="AH1118" s="125">
        <v>0.14285714285714279</v>
      </c>
      <c r="AI1118" s="20">
        <v>12</v>
      </c>
      <c r="AJ1118" s="20">
        <v>0</v>
      </c>
      <c r="AK1118" s="20"/>
      <c r="AL1118" s="20">
        <v>688</v>
      </c>
      <c r="AM1118" s="20">
        <v>10288</v>
      </c>
      <c r="AN1118" s="7" t="e">
        <v>#N/A</v>
      </c>
      <c r="AO1118" s="20"/>
      <c r="AP1118" s="21"/>
      <c r="AQ1118" s="21"/>
      <c r="AR1118" s="5" t="s">
        <v>1761</v>
      </c>
      <c r="AS1118" s="5" t="s">
        <v>124</v>
      </c>
    </row>
    <row r="1119" spans="1:46">
      <c r="A1119" s="86"/>
      <c r="B1119" s="5">
        <v>11004507</v>
      </c>
      <c r="C1119" s="5" t="s">
        <v>1770</v>
      </c>
      <c r="D1119" s="5" t="s">
        <v>1757</v>
      </c>
      <c r="E1119" s="5" t="s">
        <v>52</v>
      </c>
      <c r="F1119" s="5" t="s">
        <v>1822</v>
      </c>
      <c r="G1119" s="5" t="s">
        <v>1758</v>
      </c>
      <c r="H1119" s="5" t="s">
        <v>1823</v>
      </c>
      <c r="I1119" s="6">
        <v>39479</v>
      </c>
      <c r="J1119" s="5" t="s">
        <v>1759</v>
      </c>
      <c r="K1119" s="5" t="s">
        <v>1760</v>
      </c>
      <c r="L1119" s="5" t="s">
        <v>324</v>
      </c>
      <c r="M1119" s="7">
        <v>6</v>
      </c>
      <c r="N1119" s="7" t="s">
        <v>176</v>
      </c>
      <c r="O1119" s="8">
        <v>700</v>
      </c>
      <c r="P1119" s="121">
        <v>0.02</v>
      </c>
      <c r="Q1119" s="10">
        <v>14</v>
      </c>
      <c r="R1119" s="121">
        <v>0.12290000000000001</v>
      </c>
      <c r="S1119" s="10">
        <v>86</v>
      </c>
      <c r="T1119" s="121">
        <v>0.14285714285714285</v>
      </c>
      <c r="U1119" s="10">
        <v>100</v>
      </c>
      <c r="V1119" s="10">
        <v>800</v>
      </c>
      <c r="W1119" s="11">
        <v>800</v>
      </c>
      <c r="X1119" s="12">
        <v>100</v>
      </c>
      <c r="Y1119" s="122">
        <v>0.1429</v>
      </c>
      <c r="Z1119" s="123" t="s">
        <v>1245</v>
      </c>
      <c r="AA1119" s="15"/>
      <c r="AB1119" s="15"/>
      <c r="AC1119" s="15"/>
      <c r="AD1119" s="124"/>
      <c r="AE1119" s="8">
        <v>0</v>
      </c>
      <c r="AF1119" s="17">
        <v>800</v>
      </c>
      <c r="AG1119" s="18">
        <v>100</v>
      </c>
      <c r="AH1119" s="125">
        <v>0.14285714285714279</v>
      </c>
      <c r="AI1119" s="20">
        <v>12</v>
      </c>
      <c r="AJ1119" s="20">
        <v>0</v>
      </c>
      <c r="AK1119" s="20"/>
      <c r="AL1119" s="20">
        <v>688</v>
      </c>
      <c r="AM1119" s="20">
        <v>10288</v>
      </c>
      <c r="AN1119" s="7" t="e">
        <v>#N/A</v>
      </c>
      <c r="AO1119" s="20"/>
      <c r="AP1119" s="21"/>
      <c r="AQ1119" s="21"/>
      <c r="AR1119" s="5" t="s">
        <v>1761</v>
      </c>
      <c r="AS1119" s="5" t="s">
        <v>124</v>
      </c>
    </row>
    <row r="1120" spans="1:46">
      <c r="A1120" s="105"/>
      <c r="B1120" s="5">
        <v>11004537</v>
      </c>
      <c r="C1120" s="5" t="s">
        <v>1771</v>
      </c>
      <c r="D1120" s="5" t="s">
        <v>1757</v>
      </c>
      <c r="E1120" s="5" t="s">
        <v>52</v>
      </c>
      <c r="F1120" s="5" t="s">
        <v>1822</v>
      </c>
      <c r="G1120" s="5" t="s">
        <v>1758</v>
      </c>
      <c r="H1120" s="5" t="s">
        <v>1823</v>
      </c>
      <c r="I1120" s="6">
        <v>39508</v>
      </c>
      <c r="J1120" s="5" t="s">
        <v>1759</v>
      </c>
      <c r="K1120" s="5" t="s">
        <v>1760</v>
      </c>
      <c r="L1120" s="5" t="s">
        <v>324</v>
      </c>
      <c r="M1120" s="7">
        <v>6</v>
      </c>
      <c r="N1120" s="7" t="s">
        <v>176</v>
      </c>
      <c r="O1120" s="8">
        <v>700</v>
      </c>
      <c r="P1120" s="121">
        <v>0.02</v>
      </c>
      <c r="Q1120" s="10">
        <v>14</v>
      </c>
      <c r="R1120" s="121">
        <v>0.12290000000000001</v>
      </c>
      <c r="S1120" s="10">
        <v>86</v>
      </c>
      <c r="T1120" s="121">
        <v>0.14285714285714285</v>
      </c>
      <c r="U1120" s="10">
        <v>100</v>
      </c>
      <c r="V1120" s="10">
        <v>800</v>
      </c>
      <c r="W1120" s="11">
        <v>800</v>
      </c>
      <c r="X1120" s="12">
        <v>100</v>
      </c>
      <c r="Y1120" s="122">
        <v>0.1429</v>
      </c>
      <c r="Z1120" s="123" t="s">
        <v>1245</v>
      </c>
      <c r="AA1120" s="15"/>
      <c r="AB1120" s="15"/>
      <c r="AC1120" s="15"/>
      <c r="AD1120" s="124"/>
      <c r="AE1120" s="8">
        <v>0</v>
      </c>
      <c r="AF1120" s="17">
        <v>800</v>
      </c>
      <c r="AG1120" s="18">
        <v>100</v>
      </c>
      <c r="AH1120" s="125">
        <v>0.14285714285714279</v>
      </c>
      <c r="AI1120" s="20">
        <v>12</v>
      </c>
      <c r="AJ1120" s="20">
        <v>0</v>
      </c>
      <c r="AK1120" s="20"/>
      <c r="AL1120" s="20">
        <v>688</v>
      </c>
      <c r="AM1120" s="20">
        <v>10288</v>
      </c>
      <c r="AN1120" s="7" t="e">
        <v>#N/A</v>
      </c>
      <c r="AO1120" s="20"/>
      <c r="AP1120" s="21"/>
      <c r="AQ1120" s="21"/>
      <c r="AR1120" s="5" t="s">
        <v>1761</v>
      </c>
      <c r="AS1120" s="5" t="s">
        <v>124</v>
      </c>
    </row>
    <row r="1121" spans="1:45">
      <c r="A1121" s="105"/>
      <c r="B1121" s="5">
        <v>11005064</v>
      </c>
      <c r="C1121" s="5" t="s">
        <v>1772</v>
      </c>
      <c r="D1121" s="5" t="s">
        <v>1757</v>
      </c>
      <c r="E1121" s="5" t="s">
        <v>52</v>
      </c>
      <c r="F1121" s="5" t="s">
        <v>1822</v>
      </c>
      <c r="G1121" s="5" t="s">
        <v>1758</v>
      </c>
      <c r="H1121" s="5" t="s">
        <v>1823</v>
      </c>
      <c r="I1121" s="6">
        <v>39661</v>
      </c>
      <c r="J1121" s="5" t="s">
        <v>1759</v>
      </c>
      <c r="K1121" s="5" t="s">
        <v>1760</v>
      </c>
      <c r="L1121" s="5" t="s">
        <v>324</v>
      </c>
      <c r="M1121" s="7">
        <v>6</v>
      </c>
      <c r="N1121" s="7" t="s">
        <v>176</v>
      </c>
      <c r="O1121" s="8">
        <v>700</v>
      </c>
      <c r="P1121" s="121">
        <v>0.02</v>
      </c>
      <c r="Q1121" s="10">
        <v>14</v>
      </c>
      <c r="R1121" s="121">
        <v>0.12290000000000001</v>
      </c>
      <c r="S1121" s="10">
        <v>86</v>
      </c>
      <c r="T1121" s="121">
        <v>0.14285714285714285</v>
      </c>
      <c r="U1121" s="10">
        <v>100</v>
      </c>
      <c r="V1121" s="10">
        <v>800</v>
      </c>
      <c r="W1121" s="11">
        <v>800</v>
      </c>
      <c r="X1121" s="12">
        <v>100</v>
      </c>
      <c r="Y1121" s="122">
        <v>0.1429</v>
      </c>
      <c r="Z1121" s="123" t="s">
        <v>1245</v>
      </c>
      <c r="AA1121" s="15"/>
      <c r="AB1121" s="15"/>
      <c r="AC1121" s="15"/>
      <c r="AD1121" s="124"/>
      <c r="AE1121" s="8">
        <v>0</v>
      </c>
      <c r="AF1121" s="17">
        <v>800</v>
      </c>
      <c r="AG1121" s="18">
        <v>100</v>
      </c>
      <c r="AH1121" s="125">
        <v>0.14285714285714279</v>
      </c>
      <c r="AI1121" s="20">
        <v>12</v>
      </c>
      <c r="AJ1121" s="20">
        <v>0</v>
      </c>
      <c r="AK1121" s="20"/>
      <c r="AL1121" s="20">
        <v>688</v>
      </c>
      <c r="AM1121" s="20">
        <v>10288</v>
      </c>
      <c r="AN1121" s="7" t="e">
        <v>#N/A</v>
      </c>
      <c r="AO1121" s="20"/>
      <c r="AP1121" s="21"/>
      <c r="AQ1121" s="21"/>
      <c r="AR1121" s="5" t="s">
        <v>1761</v>
      </c>
      <c r="AS1121" s="5" t="s">
        <v>124</v>
      </c>
    </row>
    <row r="1122" spans="1:45">
      <c r="A1122" s="105"/>
      <c r="B1122" s="5">
        <v>11005171</v>
      </c>
      <c r="C1122" s="5" t="s">
        <v>1773</v>
      </c>
      <c r="D1122" s="5" t="s">
        <v>1757</v>
      </c>
      <c r="E1122" s="5" t="s">
        <v>52</v>
      </c>
      <c r="F1122" s="5" t="s">
        <v>1822</v>
      </c>
      <c r="G1122" s="5" t="s">
        <v>1758</v>
      </c>
      <c r="H1122" s="5" t="s">
        <v>1823</v>
      </c>
      <c r="I1122" s="6">
        <v>31656</v>
      </c>
      <c r="J1122" s="5" t="s">
        <v>1759</v>
      </c>
      <c r="K1122" s="5" t="s">
        <v>1760</v>
      </c>
      <c r="L1122" s="5" t="s">
        <v>324</v>
      </c>
      <c r="M1122" s="7">
        <v>6</v>
      </c>
      <c r="N1122" s="7" t="s">
        <v>176</v>
      </c>
      <c r="O1122" s="8">
        <v>700</v>
      </c>
      <c r="P1122" s="121">
        <v>0.02</v>
      </c>
      <c r="Q1122" s="10">
        <v>14</v>
      </c>
      <c r="R1122" s="121">
        <v>0.12290000000000001</v>
      </c>
      <c r="S1122" s="10">
        <v>86</v>
      </c>
      <c r="T1122" s="121">
        <v>0.14285714285714285</v>
      </c>
      <c r="U1122" s="10">
        <v>100</v>
      </c>
      <c r="V1122" s="10">
        <v>800</v>
      </c>
      <c r="W1122" s="11">
        <v>800</v>
      </c>
      <c r="X1122" s="12">
        <v>100</v>
      </c>
      <c r="Y1122" s="122">
        <v>0.1429</v>
      </c>
      <c r="Z1122" s="123" t="s">
        <v>1245</v>
      </c>
      <c r="AA1122" s="15"/>
      <c r="AB1122" s="15"/>
      <c r="AC1122" s="15"/>
      <c r="AD1122" s="124"/>
      <c r="AE1122" s="8">
        <v>0</v>
      </c>
      <c r="AF1122" s="17">
        <v>800</v>
      </c>
      <c r="AG1122" s="18">
        <v>100</v>
      </c>
      <c r="AH1122" s="125">
        <v>0.14285714285714279</v>
      </c>
      <c r="AI1122" s="20">
        <v>12</v>
      </c>
      <c r="AJ1122" s="20">
        <v>0</v>
      </c>
      <c r="AK1122" s="20"/>
      <c r="AL1122" s="20">
        <v>688</v>
      </c>
      <c r="AM1122" s="20">
        <v>10288</v>
      </c>
      <c r="AN1122" s="7" t="e">
        <v>#N/A</v>
      </c>
      <c r="AO1122" s="20"/>
      <c r="AP1122" s="21"/>
      <c r="AQ1122" s="21"/>
      <c r="AR1122" s="5" t="s">
        <v>1761</v>
      </c>
      <c r="AS1122" s="5" t="s">
        <v>124</v>
      </c>
    </row>
    <row r="1123" spans="1:45">
      <c r="A1123" s="86"/>
      <c r="B1123" s="5">
        <v>11005177</v>
      </c>
      <c r="C1123" s="5" t="s">
        <v>1774</v>
      </c>
      <c r="D1123" s="5" t="s">
        <v>1757</v>
      </c>
      <c r="E1123" s="5" t="s">
        <v>52</v>
      </c>
      <c r="F1123" s="5" t="s">
        <v>1822</v>
      </c>
      <c r="G1123" s="5" t="s">
        <v>1758</v>
      </c>
      <c r="H1123" s="5" t="s">
        <v>1823</v>
      </c>
      <c r="I1123" s="6">
        <v>39692</v>
      </c>
      <c r="J1123" s="5" t="s">
        <v>1759</v>
      </c>
      <c r="K1123" s="5" t="s">
        <v>1760</v>
      </c>
      <c r="L1123" s="5" t="s">
        <v>324</v>
      </c>
      <c r="M1123" s="7">
        <v>6</v>
      </c>
      <c r="N1123" s="7" t="s">
        <v>176</v>
      </c>
      <c r="O1123" s="8">
        <v>700</v>
      </c>
      <c r="P1123" s="121">
        <v>0.02</v>
      </c>
      <c r="Q1123" s="10">
        <v>14</v>
      </c>
      <c r="R1123" s="121">
        <v>0.12290000000000001</v>
      </c>
      <c r="S1123" s="10">
        <v>86</v>
      </c>
      <c r="T1123" s="121">
        <v>0.14285714285714285</v>
      </c>
      <c r="U1123" s="10">
        <v>100</v>
      </c>
      <c r="V1123" s="10">
        <v>800</v>
      </c>
      <c r="W1123" s="11">
        <v>800</v>
      </c>
      <c r="X1123" s="12">
        <v>100</v>
      </c>
      <c r="Y1123" s="122">
        <v>0.1429</v>
      </c>
      <c r="Z1123" s="123" t="s">
        <v>1245</v>
      </c>
      <c r="AA1123" s="15"/>
      <c r="AB1123" s="15"/>
      <c r="AC1123" s="15"/>
      <c r="AD1123" s="124"/>
      <c r="AE1123" s="8">
        <v>0</v>
      </c>
      <c r="AF1123" s="17">
        <v>800</v>
      </c>
      <c r="AG1123" s="18">
        <v>100</v>
      </c>
      <c r="AH1123" s="125">
        <v>0.14285714285714279</v>
      </c>
      <c r="AI1123" s="20">
        <v>12</v>
      </c>
      <c r="AJ1123" s="20">
        <v>0</v>
      </c>
      <c r="AK1123" s="20"/>
      <c r="AL1123" s="20">
        <v>688</v>
      </c>
      <c r="AM1123" s="20">
        <v>10288</v>
      </c>
      <c r="AN1123" s="7" t="e">
        <v>#N/A</v>
      </c>
      <c r="AO1123" s="20"/>
      <c r="AP1123" s="21"/>
      <c r="AQ1123" s="21"/>
      <c r="AR1123" s="5" t="s">
        <v>1761</v>
      </c>
      <c r="AS1123" s="5" t="s">
        <v>124</v>
      </c>
    </row>
    <row r="1124" spans="1:45">
      <c r="A1124" s="86"/>
      <c r="B1124" s="5">
        <v>11005180</v>
      </c>
      <c r="C1124" s="5" t="s">
        <v>1775</v>
      </c>
      <c r="D1124" s="5" t="s">
        <v>1757</v>
      </c>
      <c r="E1124" s="5" t="s">
        <v>52</v>
      </c>
      <c r="F1124" s="5" t="s">
        <v>1822</v>
      </c>
      <c r="G1124" s="5" t="s">
        <v>1758</v>
      </c>
      <c r="H1124" s="5" t="s">
        <v>1823</v>
      </c>
      <c r="I1124" s="6">
        <v>39692</v>
      </c>
      <c r="J1124" s="5" t="s">
        <v>1759</v>
      </c>
      <c r="K1124" s="5" t="s">
        <v>1777</v>
      </c>
      <c r="L1124" s="5" t="s">
        <v>324</v>
      </c>
      <c r="M1124" s="7">
        <v>6</v>
      </c>
      <c r="N1124" s="7" t="s">
        <v>176</v>
      </c>
      <c r="O1124" s="8">
        <v>2170</v>
      </c>
      <c r="P1124" s="121">
        <v>0.02</v>
      </c>
      <c r="Q1124" s="10">
        <v>43</v>
      </c>
      <c r="R1124" s="121">
        <v>5.0000000000000001E-3</v>
      </c>
      <c r="S1124" s="10">
        <v>11</v>
      </c>
      <c r="T1124" s="121">
        <v>2.488479262672811E-2</v>
      </c>
      <c r="U1124" s="10">
        <v>54</v>
      </c>
      <c r="V1124" s="10">
        <v>2224</v>
      </c>
      <c r="W1124" s="11">
        <v>2224</v>
      </c>
      <c r="X1124" s="12">
        <v>54</v>
      </c>
      <c r="Y1124" s="122">
        <v>2.4899999999999999E-2</v>
      </c>
      <c r="Z1124" s="123" t="s">
        <v>1245</v>
      </c>
      <c r="AA1124" s="15"/>
      <c r="AB1124" s="15"/>
      <c r="AC1124" s="15"/>
      <c r="AD1124" s="124"/>
      <c r="AE1124" s="8">
        <v>0</v>
      </c>
      <c r="AF1124" s="17">
        <v>2224</v>
      </c>
      <c r="AG1124" s="18">
        <v>54</v>
      </c>
      <c r="AH1124" s="125">
        <v>2.4884792626728158E-2</v>
      </c>
      <c r="AI1124" s="20">
        <v>12</v>
      </c>
      <c r="AJ1124" s="20">
        <v>450</v>
      </c>
      <c r="AK1124" s="20"/>
      <c r="AL1124" s="20">
        <v>688</v>
      </c>
      <c r="AM1124" s="20">
        <v>32776</v>
      </c>
      <c r="AN1124" s="7" t="s">
        <v>176</v>
      </c>
      <c r="AO1124" s="20"/>
      <c r="AP1124" s="21"/>
      <c r="AQ1124" s="21"/>
      <c r="AR1124" s="5" t="s">
        <v>1761</v>
      </c>
      <c r="AS1124" s="5" t="s">
        <v>124</v>
      </c>
    </row>
    <row r="1125" spans="1:45">
      <c r="A1125" s="105"/>
      <c r="B1125" s="5">
        <v>11005182</v>
      </c>
      <c r="C1125" s="5" t="s">
        <v>1776</v>
      </c>
      <c r="D1125" s="5" t="s">
        <v>1757</v>
      </c>
      <c r="E1125" s="5" t="s">
        <v>52</v>
      </c>
      <c r="F1125" s="5" t="s">
        <v>1822</v>
      </c>
      <c r="G1125" s="5" t="s">
        <v>1758</v>
      </c>
      <c r="H1125" s="5" t="s">
        <v>1823</v>
      </c>
      <c r="I1125" s="6">
        <v>39692</v>
      </c>
      <c r="J1125" s="5" t="s">
        <v>1759</v>
      </c>
      <c r="K1125" s="5" t="s">
        <v>1777</v>
      </c>
      <c r="L1125" s="5" t="s">
        <v>324</v>
      </c>
      <c r="M1125" s="7">
        <v>6</v>
      </c>
      <c r="N1125" s="7" t="s">
        <v>176</v>
      </c>
      <c r="O1125" s="8">
        <v>2253</v>
      </c>
      <c r="P1125" s="121">
        <v>0.02</v>
      </c>
      <c r="Q1125" s="10">
        <v>45</v>
      </c>
      <c r="R1125" s="121">
        <v>5.0000000000000001E-3</v>
      </c>
      <c r="S1125" s="10">
        <v>11</v>
      </c>
      <c r="T1125" s="121">
        <v>2.4855747891699954E-2</v>
      </c>
      <c r="U1125" s="10">
        <v>56</v>
      </c>
      <c r="V1125" s="10">
        <v>2309</v>
      </c>
      <c r="W1125" s="11">
        <v>2309</v>
      </c>
      <c r="X1125" s="12">
        <v>56</v>
      </c>
      <c r="Y1125" s="122">
        <v>2.4899999999999999E-2</v>
      </c>
      <c r="Z1125" s="123" t="s">
        <v>1245</v>
      </c>
      <c r="AA1125" s="15"/>
      <c r="AB1125" s="15"/>
      <c r="AC1125" s="15"/>
      <c r="AD1125" s="124"/>
      <c r="AE1125" s="8">
        <v>0</v>
      </c>
      <c r="AF1125" s="17">
        <v>2309</v>
      </c>
      <c r="AG1125" s="18">
        <v>56</v>
      </c>
      <c r="AH1125" s="125">
        <v>2.4855747891699975E-2</v>
      </c>
      <c r="AI1125" s="20">
        <v>12</v>
      </c>
      <c r="AJ1125" s="20">
        <v>450</v>
      </c>
      <c r="AK1125" s="20"/>
      <c r="AL1125" s="20">
        <v>688</v>
      </c>
      <c r="AM1125" s="20">
        <v>33796</v>
      </c>
      <c r="AN1125" s="7" t="s">
        <v>176</v>
      </c>
      <c r="AO1125" s="20"/>
      <c r="AP1125" s="21"/>
      <c r="AQ1125" s="21"/>
      <c r="AR1125" s="5" t="s">
        <v>1761</v>
      </c>
      <c r="AS1125" s="5" t="s">
        <v>124</v>
      </c>
    </row>
    <row r="1126" spans="1:45">
      <c r="A1126" s="86"/>
      <c r="B1126" s="5">
        <v>11005578</v>
      </c>
      <c r="C1126" s="5" t="s">
        <v>1778</v>
      </c>
      <c r="D1126" s="5" t="s">
        <v>1757</v>
      </c>
      <c r="E1126" s="5" t="s">
        <v>52</v>
      </c>
      <c r="F1126" s="5" t="s">
        <v>1822</v>
      </c>
      <c r="G1126" s="5" t="s">
        <v>1758</v>
      </c>
      <c r="H1126" s="5" t="s">
        <v>1823</v>
      </c>
      <c r="I1126" s="6">
        <v>32356</v>
      </c>
      <c r="J1126" s="5" t="s">
        <v>1759</v>
      </c>
      <c r="K1126" s="5" t="s">
        <v>1760</v>
      </c>
      <c r="L1126" s="5" t="s">
        <v>324</v>
      </c>
      <c r="M1126" s="7">
        <v>6</v>
      </c>
      <c r="N1126" s="7" t="s">
        <v>176</v>
      </c>
      <c r="O1126" s="8">
        <v>700</v>
      </c>
      <c r="P1126" s="121">
        <v>0.02</v>
      </c>
      <c r="Q1126" s="10">
        <v>14</v>
      </c>
      <c r="R1126" s="121">
        <v>0.12290000000000001</v>
      </c>
      <c r="S1126" s="10">
        <v>86</v>
      </c>
      <c r="T1126" s="121">
        <v>0.14285714285714285</v>
      </c>
      <c r="U1126" s="10">
        <v>100</v>
      </c>
      <c r="V1126" s="10">
        <v>800</v>
      </c>
      <c r="W1126" s="11">
        <v>800</v>
      </c>
      <c r="X1126" s="12">
        <v>100</v>
      </c>
      <c r="Y1126" s="122">
        <v>0.1429</v>
      </c>
      <c r="Z1126" s="123" t="s">
        <v>1245</v>
      </c>
      <c r="AA1126" s="15"/>
      <c r="AB1126" s="15"/>
      <c r="AC1126" s="15"/>
      <c r="AD1126" s="124"/>
      <c r="AE1126" s="8">
        <v>0</v>
      </c>
      <c r="AF1126" s="17">
        <v>800</v>
      </c>
      <c r="AG1126" s="18">
        <v>100</v>
      </c>
      <c r="AH1126" s="125">
        <v>0.14285714285714279</v>
      </c>
      <c r="AI1126" s="20">
        <v>12</v>
      </c>
      <c r="AJ1126" s="20">
        <v>0</v>
      </c>
      <c r="AK1126" s="20"/>
      <c r="AL1126" s="20">
        <v>688</v>
      </c>
      <c r="AM1126" s="20">
        <v>10288</v>
      </c>
      <c r="AN1126" s="7" t="e">
        <v>#N/A</v>
      </c>
      <c r="AO1126" s="20"/>
      <c r="AP1126" s="21"/>
      <c r="AQ1126" s="21"/>
      <c r="AR1126" s="5" t="s">
        <v>1761</v>
      </c>
      <c r="AS1126" s="5" t="s">
        <v>124</v>
      </c>
    </row>
    <row r="1127" spans="1:45">
      <c r="A1127" s="105"/>
      <c r="B1127" s="5">
        <v>11005579</v>
      </c>
      <c r="C1127" s="5" t="s">
        <v>1779</v>
      </c>
      <c r="D1127" s="5" t="s">
        <v>1757</v>
      </c>
      <c r="E1127" s="5" t="s">
        <v>52</v>
      </c>
      <c r="F1127" s="5" t="s">
        <v>1822</v>
      </c>
      <c r="G1127" s="5" t="s">
        <v>1758</v>
      </c>
      <c r="H1127" s="5" t="s">
        <v>1823</v>
      </c>
      <c r="I1127" s="6">
        <v>40014</v>
      </c>
      <c r="J1127" s="5" t="s">
        <v>1759</v>
      </c>
      <c r="K1127" s="5" t="s">
        <v>1760</v>
      </c>
      <c r="L1127" s="5" t="s">
        <v>324</v>
      </c>
      <c r="M1127" s="7">
        <v>6</v>
      </c>
      <c r="N1127" s="7" t="s">
        <v>176</v>
      </c>
      <c r="O1127" s="8">
        <v>700</v>
      </c>
      <c r="P1127" s="121">
        <v>0.02</v>
      </c>
      <c r="Q1127" s="10">
        <v>14</v>
      </c>
      <c r="R1127" s="121">
        <v>0.12290000000000001</v>
      </c>
      <c r="S1127" s="10">
        <v>86</v>
      </c>
      <c r="T1127" s="121">
        <v>0.14285714285714285</v>
      </c>
      <c r="U1127" s="10">
        <v>100</v>
      </c>
      <c r="V1127" s="10">
        <v>800</v>
      </c>
      <c r="W1127" s="11">
        <v>800</v>
      </c>
      <c r="X1127" s="12">
        <v>100</v>
      </c>
      <c r="Y1127" s="122">
        <v>0.1429</v>
      </c>
      <c r="Z1127" s="123" t="s">
        <v>1245</v>
      </c>
      <c r="AA1127" s="15"/>
      <c r="AB1127" s="15"/>
      <c r="AC1127" s="15"/>
      <c r="AD1127" s="124"/>
      <c r="AE1127" s="8">
        <v>0</v>
      </c>
      <c r="AF1127" s="17">
        <v>800</v>
      </c>
      <c r="AG1127" s="18">
        <v>100</v>
      </c>
      <c r="AH1127" s="125">
        <v>0.14285714285714279</v>
      </c>
      <c r="AI1127" s="20">
        <v>12</v>
      </c>
      <c r="AJ1127" s="20">
        <v>0</v>
      </c>
      <c r="AK1127" s="20"/>
      <c r="AL1127" s="20">
        <v>688</v>
      </c>
      <c r="AM1127" s="20">
        <v>10288</v>
      </c>
      <c r="AN1127" s="7" t="e">
        <v>#N/A</v>
      </c>
      <c r="AO1127" s="20"/>
      <c r="AP1127" s="21"/>
      <c r="AQ1127" s="21"/>
      <c r="AR1127" s="5" t="s">
        <v>1761</v>
      </c>
      <c r="AS1127" s="5" t="s">
        <v>124</v>
      </c>
    </row>
    <row r="1128" spans="1:45">
      <c r="A1128" s="105"/>
      <c r="B1128" s="5">
        <v>11005583</v>
      </c>
      <c r="C1128" s="5" t="s">
        <v>1780</v>
      </c>
      <c r="D1128" s="5" t="s">
        <v>1757</v>
      </c>
      <c r="E1128" s="5" t="s">
        <v>52</v>
      </c>
      <c r="F1128" s="5" t="s">
        <v>1822</v>
      </c>
      <c r="G1128" s="5" t="s">
        <v>1758</v>
      </c>
      <c r="H1128" s="5" t="s">
        <v>1823</v>
      </c>
      <c r="I1128" s="6">
        <v>40014</v>
      </c>
      <c r="J1128" s="5" t="s">
        <v>1759</v>
      </c>
      <c r="K1128" s="5" t="s">
        <v>1760</v>
      </c>
      <c r="L1128" s="5" t="s">
        <v>324</v>
      </c>
      <c r="M1128" s="7">
        <v>6</v>
      </c>
      <c r="N1128" s="7" t="s">
        <v>176</v>
      </c>
      <c r="O1128" s="8">
        <v>700</v>
      </c>
      <c r="P1128" s="121">
        <v>0.02</v>
      </c>
      <c r="Q1128" s="10">
        <v>14</v>
      </c>
      <c r="R1128" s="121">
        <v>0.12290000000000001</v>
      </c>
      <c r="S1128" s="10">
        <v>86</v>
      </c>
      <c r="T1128" s="121">
        <v>0.14285714285714285</v>
      </c>
      <c r="U1128" s="10">
        <v>100</v>
      </c>
      <c r="V1128" s="10">
        <v>800</v>
      </c>
      <c r="W1128" s="11">
        <v>800</v>
      </c>
      <c r="X1128" s="12">
        <v>100</v>
      </c>
      <c r="Y1128" s="122">
        <v>0.1429</v>
      </c>
      <c r="Z1128" s="123" t="s">
        <v>1245</v>
      </c>
      <c r="AA1128" s="15"/>
      <c r="AB1128" s="15"/>
      <c r="AC1128" s="15"/>
      <c r="AD1128" s="124"/>
      <c r="AE1128" s="8">
        <v>0</v>
      </c>
      <c r="AF1128" s="17">
        <v>800</v>
      </c>
      <c r="AG1128" s="18">
        <v>100</v>
      </c>
      <c r="AH1128" s="125">
        <v>0.14285714285714279</v>
      </c>
      <c r="AI1128" s="20">
        <v>12</v>
      </c>
      <c r="AJ1128" s="20">
        <v>0</v>
      </c>
      <c r="AK1128" s="20"/>
      <c r="AL1128" s="20">
        <v>688</v>
      </c>
      <c r="AM1128" s="20">
        <v>10288</v>
      </c>
      <c r="AN1128" s="7" t="e">
        <v>#N/A</v>
      </c>
      <c r="AO1128" s="20"/>
      <c r="AP1128" s="21"/>
      <c r="AQ1128" s="21"/>
      <c r="AR1128" s="5" t="s">
        <v>1761</v>
      </c>
      <c r="AS1128" s="5" t="s">
        <v>124</v>
      </c>
    </row>
    <row r="1129" spans="1:45">
      <c r="A1129" s="86"/>
      <c r="B1129" s="5">
        <v>11005639</v>
      </c>
      <c r="C1129" s="5" t="s">
        <v>1781</v>
      </c>
      <c r="D1129" s="5" t="s">
        <v>1757</v>
      </c>
      <c r="E1129" s="5" t="s">
        <v>52</v>
      </c>
      <c r="F1129" s="5" t="s">
        <v>1822</v>
      </c>
      <c r="G1129" s="5" t="s">
        <v>1758</v>
      </c>
      <c r="H1129" s="5" t="s">
        <v>1823</v>
      </c>
      <c r="I1129" s="6">
        <v>40042</v>
      </c>
      <c r="J1129" s="5" t="s">
        <v>1759</v>
      </c>
      <c r="K1129" s="5" t="s">
        <v>1784</v>
      </c>
      <c r="L1129" s="5" t="s">
        <v>324</v>
      </c>
      <c r="M1129" s="7">
        <v>6</v>
      </c>
      <c r="N1129" s="7" t="s">
        <v>176</v>
      </c>
      <c r="O1129" s="8">
        <v>700</v>
      </c>
      <c r="P1129" s="121">
        <v>0.02</v>
      </c>
      <c r="Q1129" s="10">
        <v>14</v>
      </c>
      <c r="R1129" s="121">
        <v>0.12290000000000001</v>
      </c>
      <c r="S1129" s="10">
        <v>86</v>
      </c>
      <c r="T1129" s="121">
        <v>0.14285714285714285</v>
      </c>
      <c r="U1129" s="10">
        <v>100</v>
      </c>
      <c r="V1129" s="10">
        <v>800</v>
      </c>
      <c r="W1129" s="11">
        <v>800</v>
      </c>
      <c r="X1129" s="12">
        <v>100</v>
      </c>
      <c r="Y1129" s="122">
        <v>0.1429</v>
      </c>
      <c r="Z1129" s="123" t="s">
        <v>1245</v>
      </c>
      <c r="AA1129" s="15"/>
      <c r="AB1129" s="15"/>
      <c r="AC1129" s="15"/>
      <c r="AD1129" s="124"/>
      <c r="AE1129" s="8">
        <v>0</v>
      </c>
      <c r="AF1129" s="17">
        <v>800</v>
      </c>
      <c r="AG1129" s="18">
        <v>100</v>
      </c>
      <c r="AH1129" s="125">
        <v>0.14285714285714279</v>
      </c>
      <c r="AI1129" s="20">
        <v>12</v>
      </c>
      <c r="AJ1129" s="20">
        <v>0</v>
      </c>
      <c r="AK1129" s="20"/>
      <c r="AL1129" s="20">
        <v>688</v>
      </c>
      <c r="AM1129" s="20">
        <v>10288</v>
      </c>
      <c r="AN1129" s="7" t="e">
        <v>#N/A</v>
      </c>
      <c r="AO1129" s="20"/>
      <c r="AP1129" s="21"/>
      <c r="AQ1129" s="21"/>
      <c r="AR1129" s="5" t="s">
        <v>1761</v>
      </c>
      <c r="AS1129" s="5" t="s">
        <v>124</v>
      </c>
    </row>
    <row r="1130" spans="1:45">
      <c r="A1130" s="86"/>
      <c r="B1130" s="5">
        <v>11005644</v>
      </c>
      <c r="C1130" s="5" t="s">
        <v>1782</v>
      </c>
      <c r="D1130" s="5" t="s">
        <v>1757</v>
      </c>
      <c r="E1130" s="5" t="s">
        <v>52</v>
      </c>
      <c r="F1130" s="5" t="s">
        <v>1822</v>
      </c>
      <c r="G1130" s="5" t="s">
        <v>1758</v>
      </c>
      <c r="H1130" s="5" t="s">
        <v>1823</v>
      </c>
      <c r="I1130" s="6">
        <v>40042</v>
      </c>
      <c r="J1130" s="5" t="s">
        <v>1759</v>
      </c>
      <c r="K1130" s="5" t="s">
        <v>1784</v>
      </c>
      <c r="L1130" s="5" t="s">
        <v>324</v>
      </c>
      <c r="M1130" s="7">
        <v>6</v>
      </c>
      <c r="N1130" s="7" t="s">
        <v>176</v>
      </c>
      <c r="O1130" s="8">
        <v>700</v>
      </c>
      <c r="P1130" s="121">
        <v>0.02</v>
      </c>
      <c r="Q1130" s="10">
        <v>14</v>
      </c>
      <c r="R1130" s="121">
        <v>0.12290000000000001</v>
      </c>
      <c r="S1130" s="10">
        <v>86</v>
      </c>
      <c r="T1130" s="121">
        <v>0.14285714285714285</v>
      </c>
      <c r="U1130" s="10">
        <v>100</v>
      </c>
      <c r="V1130" s="10">
        <v>800</v>
      </c>
      <c r="W1130" s="11">
        <v>800</v>
      </c>
      <c r="X1130" s="12">
        <v>100</v>
      </c>
      <c r="Y1130" s="122">
        <v>0.1429</v>
      </c>
      <c r="Z1130" s="123" t="s">
        <v>1245</v>
      </c>
      <c r="AA1130" s="15"/>
      <c r="AB1130" s="15"/>
      <c r="AC1130" s="15"/>
      <c r="AD1130" s="124"/>
      <c r="AE1130" s="8">
        <v>0</v>
      </c>
      <c r="AF1130" s="17">
        <v>800</v>
      </c>
      <c r="AG1130" s="18">
        <v>100</v>
      </c>
      <c r="AH1130" s="125">
        <v>0.14285714285714279</v>
      </c>
      <c r="AI1130" s="20">
        <v>12</v>
      </c>
      <c r="AJ1130" s="20">
        <v>0</v>
      </c>
      <c r="AK1130" s="20"/>
      <c r="AL1130" s="20">
        <v>688</v>
      </c>
      <c r="AM1130" s="20">
        <v>10288</v>
      </c>
      <c r="AN1130" s="7" t="e">
        <v>#N/A</v>
      </c>
      <c r="AO1130" s="20"/>
      <c r="AP1130" s="21"/>
      <c r="AQ1130" s="21"/>
      <c r="AR1130" s="5" t="s">
        <v>1761</v>
      </c>
      <c r="AS1130" s="5" t="s">
        <v>124</v>
      </c>
    </row>
    <row r="1131" spans="1:45">
      <c r="A1131" s="105"/>
      <c r="B1131" s="5">
        <v>11005648</v>
      </c>
      <c r="C1131" s="5" t="s">
        <v>1783</v>
      </c>
      <c r="D1131" s="5" t="s">
        <v>1757</v>
      </c>
      <c r="E1131" s="5" t="s">
        <v>52</v>
      </c>
      <c r="F1131" s="5" t="s">
        <v>1822</v>
      </c>
      <c r="G1131" s="5" t="s">
        <v>1758</v>
      </c>
      <c r="H1131" s="5" t="s">
        <v>1823</v>
      </c>
      <c r="I1131" s="6">
        <v>40042</v>
      </c>
      <c r="J1131" s="5" t="s">
        <v>1759</v>
      </c>
      <c r="K1131" s="5" t="s">
        <v>1784</v>
      </c>
      <c r="L1131" s="5" t="s">
        <v>324</v>
      </c>
      <c r="M1131" s="7">
        <v>6</v>
      </c>
      <c r="N1131" s="7" t="s">
        <v>176</v>
      </c>
      <c r="O1131" s="8">
        <v>700</v>
      </c>
      <c r="P1131" s="121">
        <v>0.02</v>
      </c>
      <c r="Q1131" s="10">
        <v>14</v>
      </c>
      <c r="R1131" s="121">
        <v>0.12290000000000001</v>
      </c>
      <c r="S1131" s="10">
        <v>86</v>
      </c>
      <c r="T1131" s="121">
        <v>0.14285714285714285</v>
      </c>
      <c r="U1131" s="10">
        <v>100</v>
      </c>
      <c r="V1131" s="10">
        <v>800</v>
      </c>
      <c r="W1131" s="11">
        <v>800</v>
      </c>
      <c r="X1131" s="12">
        <v>100</v>
      </c>
      <c r="Y1131" s="122">
        <v>0.1429</v>
      </c>
      <c r="Z1131" s="123" t="s">
        <v>1245</v>
      </c>
      <c r="AA1131" s="15"/>
      <c r="AB1131" s="15"/>
      <c r="AC1131" s="15"/>
      <c r="AD1131" s="124"/>
      <c r="AE1131" s="8">
        <v>0</v>
      </c>
      <c r="AF1131" s="17">
        <v>800</v>
      </c>
      <c r="AG1131" s="18">
        <v>100</v>
      </c>
      <c r="AH1131" s="125">
        <v>0.14285714285714279</v>
      </c>
      <c r="AI1131" s="20">
        <v>12</v>
      </c>
      <c r="AJ1131" s="20">
        <v>0</v>
      </c>
      <c r="AK1131" s="20"/>
      <c r="AL1131" s="20">
        <v>688</v>
      </c>
      <c r="AM1131" s="20">
        <v>10288</v>
      </c>
      <c r="AN1131" s="7" t="e">
        <v>#N/A</v>
      </c>
      <c r="AO1131" s="20"/>
      <c r="AP1131" s="21"/>
      <c r="AQ1131" s="21"/>
      <c r="AR1131" s="5" t="s">
        <v>1761</v>
      </c>
      <c r="AS1131" s="5" t="s">
        <v>124</v>
      </c>
    </row>
    <row r="1132" spans="1:45">
      <c r="A1132" s="86"/>
      <c r="B1132" s="5">
        <v>11005880</v>
      </c>
      <c r="C1132" s="5" t="s">
        <v>1785</v>
      </c>
      <c r="D1132" s="5" t="s">
        <v>1757</v>
      </c>
      <c r="E1132" s="5" t="s">
        <v>52</v>
      </c>
      <c r="F1132" s="5" t="s">
        <v>1822</v>
      </c>
      <c r="G1132" s="5" t="s">
        <v>1758</v>
      </c>
      <c r="H1132" s="5" t="s">
        <v>1823</v>
      </c>
      <c r="I1132" s="6">
        <v>32143</v>
      </c>
      <c r="J1132" s="5" t="s">
        <v>1759</v>
      </c>
      <c r="K1132" s="5" t="s">
        <v>1784</v>
      </c>
      <c r="L1132" s="5" t="s">
        <v>324</v>
      </c>
      <c r="M1132" s="7">
        <v>6</v>
      </c>
      <c r="N1132" s="7" t="s">
        <v>176</v>
      </c>
      <c r="O1132" s="8">
        <v>700</v>
      </c>
      <c r="P1132" s="121">
        <v>0.02</v>
      </c>
      <c r="Q1132" s="10">
        <v>14</v>
      </c>
      <c r="R1132" s="121">
        <v>0.12290000000000001</v>
      </c>
      <c r="S1132" s="10">
        <v>86</v>
      </c>
      <c r="T1132" s="121">
        <v>0.14285714285714285</v>
      </c>
      <c r="U1132" s="10">
        <v>100</v>
      </c>
      <c r="V1132" s="10">
        <v>800</v>
      </c>
      <c r="W1132" s="11">
        <v>800</v>
      </c>
      <c r="X1132" s="12">
        <v>100</v>
      </c>
      <c r="Y1132" s="122">
        <v>0.1429</v>
      </c>
      <c r="Z1132" s="123" t="s">
        <v>1245</v>
      </c>
      <c r="AA1132" s="15"/>
      <c r="AB1132" s="15"/>
      <c r="AC1132" s="15"/>
      <c r="AD1132" s="124"/>
      <c r="AE1132" s="8">
        <v>0</v>
      </c>
      <c r="AF1132" s="17">
        <v>800</v>
      </c>
      <c r="AG1132" s="18">
        <v>100</v>
      </c>
      <c r="AH1132" s="125">
        <v>0.14285714285714279</v>
      </c>
      <c r="AI1132" s="20">
        <v>12</v>
      </c>
      <c r="AJ1132" s="20">
        <v>0</v>
      </c>
      <c r="AK1132" s="20"/>
      <c r="AL1132" s="20">
        <v>688</v>
      </c>
      <c r="AM1132" s="20">
        <v>10288</v>
      </c>
      <c r="AN1132" s="7" t="e">
        <v>#N/A</v>
      </c>
      <c r="AO1132" s="20"/>
      <c r="AP1132" s="21"/>
      <c r="AQ1132" s="21"/>
      <c r="AR1132" s="5" t="s">
        <v>1761</v>
      </c>
      <c r="AS1132" s="5" t="s">
        <v>124</v>
      </c>
    </row>
    <row r="1133" spans="1:45">
      <c r="A1133" s="105"/>
      <c r="B1133" s="5">
        <v>11005895</v>
      </c>
      <c r="C1133" s="5" t="s">
        <v>1786</v>
      </c>
      <c r="D1133" s="5" t="s">
        <v>1757</v>
      </c>
      <c r="E1133" s="5" t="s">
        <v>52</v>
      </c>
      <c r="F1133" s="5" t="s">
        <v>1822</v>
      </c>
      <c r="G1133" s="5" t="s">
        <v>1758</v>
      </c>
      <c r="H1133" s="5" t="s">
        <v>1823</v>
      </c>
      <c r="I1133" s="6">
        <v>37257</v>
      </c>
      <c r="J1133" s="5" t="s">
        <v>1759</v>
      </c>
      <c r="K1133" s="5" t="s">
        <v>1784</v>
      </c>
      <c r="L1133" s="5" t="s">
        <v>324</v>
      </c>
      <c r="M1133" s="7">
        <v>6</v>
      </c>
      <c r="N1133" s="7" t="s">
        <v>176</v>
      </c>
      <c r="O1133" s="8">
        <v>700</v>
      </c>
      <c r="P1133" s="121">
        <v>0.02</v>
      </c>
      <c r="Q1133" s="10">
        <v>14</v>
      </c>
      <c r="R1133" s="121">
        <v>0.12290000000000001</v>
      </c>
      <c r="S1133" s="10">
        <v>86</v>
      </c>
      <c r="T1133" s="121">
        <v>0.14285714285714285</v>
      </c>
      <c r="U1133" s="10">
        <v>100</v>
      </c>
      <c r="V1133" s="10">
        <v>800</v>
      </c>
      <c r="W1133" s="11">
        <v>800</v>
      </c>
      <c r="X1133" s="12">
        <v>100</v>
      </c>
      <c r="Y1133" s="122">
        <v>0.1429</v>
      </c>
      <c r="Z1133" s="123" t="s">
        <v>1245</v>
      </c>
      <c r="AA1133" s="15"/>
      <c r="AB1133" s="15"/>
      <c r="AC1133" s="15"/>
      <c r="AD1133" s="124"/>
      <c r="AE1133" s="8">
        <v>0</v>
      </c>
      <c r="AF1133" s="17">
        <v>800</v>
      </c>
      <c r="AG1133" s="18">
        <v>100</v>
      </c>
      <c r="AH1133" s="125">
        <v>0.14285714285714279</v>
      </c>
      <c r="AI1133" s="20">
        <v>12</v>
      </c>
      <c r="AJ1133" s="20">
        <v>0</v>
      </c>
      <c r="AK1133" s="20"/>
      <c r="AL1133" s="20">
        <v>688</v>
      </c>
      <c r="AM1133" s="20">
        <v>10288</v>
      </c>
      <c r="AN1133" s="7" t="e">
        <v>#N/A</v>
      </c>
      <c r="AO1133" s="20"/>
      <c r="AP1133" s="21"/>
      <c r="AQ1133" s="21"/>
      <c r="AR1133" s="5" t="s">
        <v>1761</v>
      </c>
      <c r="AS1133" s="5" t="s">
        <v>124</v>
      </c>
    </row>
    <row r="1134" spans="1:45">
      <c r="A1134" s="105"/>
      <c r="B1134" s="5">
        <v>11006076</v>
      </c>
      <c r="C1134" s="5" t="s">
        <v>1787</v>
      </c>
      <c r="D1134" s="5" t="s">
        <v>1757</v>
      </c>
      <c r="E1134" s="5" t="s">
        <v>52</v>
      </c>
      <c r="F1134" s="5" t="s">
        <v>1822</v>
      </c>
      <c r="G1134" s="5" t="s">
        <v>1758</v>
      </c>
      <c r="H1134" s="5" t="s">
        <v>1823</v>
      </c>
      <c r="I1134" s="6">
        <v>38718</v>
      </c>
      <c r="J1134" s="5" t="s">
        <v>1759</v>
      </c>
      <c r="K1134" s="5" t="s">
        <v>1760</v>
      </c>
      <c r="L1134" s="5" t="s">
        <v>324</v>
      </c>
      <c r="M1134" s="7">
        <v>6</v>
      </c>
      <c r="N1134" s="7" t="s">
        <v>176</v>
      </c>
      <c r="O1134" s="8">
        <v>700</v>
      </c>
      <c r="P1134" s="121">
        <v>0.02</v>
      </c>
      <c r="Q1134" s="10">
        <v>14</v>
      </c>
      <c r="R1134" s="121">
        <v>0.12290000000000001</v>
      </c>
      <c r="S1134" s="10">
        <v>86</v>
      </c>
      <c r="T1134" s="121">
        <v>0.14285714285714285</v>
      </c>
      <c r="U1134" s="10">
        <v>100</v>
      </c>
      <c r="V1134" s="10">
        <v>800</v>
      </c>
      <c r="W1134" s="11">
        <v>800</v>
      </c>
      <c r="X1134" s="12">
        <v>100</v>
      </c>
      <c r="Y1134" s="122">
        <v>0.1429</v>
      </c>
      <c r="Z1134" s="123" t="s">
        <v>1245</v>
      </c>
      <c r="AA1134" s="15"/>
      <c r="AB1134" s="15"/>
      <c r="AC1134" s="15"/>
      <c r="AD1134" s="124"/>
      <c r="AE1134" s="8">
        <v>0</v>
      </c>
      <c r="AF1134" s="17">
        <v>800</v>
      </c>
      <c r="AG1134" s="18">
        <v>100</v>
      </c>
      <c r="AH1134" s="125">
        <v>0.14285714285714279</v>
      </c>
      <c r="AI1134" s="20">
        <v>12</v>
      </c>
      <c r="AJ1134" s="20">
        <v>0</v>
      </c>
      <c r="AK1134" s="20"/>
      <c r="AL1134" s="20">
        <v>688</v>
      </c>
      <c r="AM1134" s="20">
        <v>10288</v>
      </c>
      <c r="AN1134" s="7" t="e">
        <v>#N/A</v>
      </c>
      <c r="AO1134" s="20"/>
      <c r="AP1134" s="21"/>
      <c r="AQ1134" s="21"/>
      <c r="AR1134" s="5" t="s">
        <v>1761</v>
      </c>
      <c r="AS1134" s="5" t="s">
        <v>124</v>
      </c>
    </row>
    <row r="1135" spans="1:45">
      <c r="A1135" s="86"/>
      <c r="B1135" s="5">
        <v>11006150</v>
      </c>
      <c r="C1135" s="5" t="s">
        <v>1033</v>
      </c>
      <c r="D1135" s="5" t="s">
        <v>1757</v>
      </c>
      <c r="E1135" s="5" t="s">
        <v>52</v>
      </c>
      <c r="F1135" s="5" t="s">
        <v>1822</v>
      </c>
      <c r="G1135" s="5" t="s">
        <v>1758</v>
      </c>
      <c r="H1135" s="5" t="s">
        <v>1823</v>
      </c>
      <c r="I1135" s="6">
        <v>36161</v>
      </c>
      <c r="J1135" s="5" t="s">
        <v>1759</v>
      </c>
      <c r="K1135" s="5" t="s">
        <v>1760</v>
      </c>
      <c r="L1135" s="5" t="s">
        <v>324</v>
      </c>
      <c r="M1135" s="7">
        <v>6</v>
      </c>
      <c r="N1135" s="7" t="s">
        <v>176</v>
      </c>
      <c r="O1135" s="8">
        <v>700</v>
      </c>
      <c r="P1135" s="121">
        <v>0.02</v>
      </c>
      <c r="Q1135" s="10">
        <v>14</v>
      </c>
      <c r="R1135" s="121">
        <v>0.12290000000000001</v>
      </c>
      <c r="S1135" s="10">
        <v>86</v>
      </c>
      <c r="T1135" s="121">
        <v>0.14285714285714285</v>
      </c>
      <c r="U1135" s="10">
        <v>100</v>
      </c>
      <c r="V1135" s="10">
        <v>800</v>
      </c>
      <c r="W1135" s="11">
        <v>800</v>
      </c>
      <c r="X1135" s="12">
        <v>100</v>
      </c>
      <c r="Y1135" s="122">
        <v>0.1429</v>
      </c>
      <c r="Z1135" s="123" t="s">
        <v>1245</v>
      </c>
      <c r="AA1135" s="15"/>
      <c r="AB1135" s="15"/>
      <c r="AC1135" s="15"/>
      <c r="AD1135" s="124"/>
      <c r="AE1135" s="8">
        <v>0</v>
      </c>
      <c r="AF1135" s="17">
        <v>800</v>
      </c>
      <c r="AG1135" s="18">
        <v>100</v>
      </c>
      <c r="AH1135" s="125">
        <v>0.14285714285714279</v>
      </c>
      <c r="AI1135" s="20">
        <v>12</v>
      </c>
      <c r="AJ1135" s="20">
        <v>0</v>
      </c>
      <c r="AK1135" s="20"/>
      <c r="AL1135" s="20">
        <v>688</v>
      </c>
      <c r="AM1135" s="20">
        <v>10288</v>
      </c>
      <c r="AN1135" s="7" t="e">
        <v>#N/A</v>
      </c>
      <c r="AO1135" s="20"/>
      <c r="AP1135" s="21"/>
      <c r="AQ1135" s="21"/>
      <c r="AR1135" s="5" t="s">
        <v>1761</v>
      </c>
      <c r="AS1135" s="5" t="s">
        <v>124</v>
      </c>
    </row>
    <row r="1136" spans="1:45">
      <c r="A1136" s="86"/>
      <c r="B1136" s="5">
        <v>11006155</v>
      </c>
      <c r="C1136" s="5" t="s">
        <v>1788</v>
      </c>
      <c r="D1136" s="5" t="s">
        <v>1757</v>
      </c>
      <c r="E1136" s="5" t="s">
        <v>52</v>
      </c>
      <c r="F1136" s="5" t="s">
        <v>1822</v>
      </c>
      <c r="G1136" s="5" t="s">
        <v>1758</v>
      </c>
      <c r="H1136" s="5" t="s">
        <v>1823</v>
      </c>
      <c r="I1136" s="6">
        <v>37257</v>
      </c>
      <c r="J1136" s="5" t="s">
        <v>1759</v>
      </c>
      <c r="K1136" s="5" t="s">
        <v>1760</v>
      </c>
      <c r="L1136" s="5" t="s">
        <v>324</v>
      </c>
      <c r="M1136" s="7">
        <v>6</v>
      </c>
      <c r="N1136" s="7" t="s">
        <v>176</v>
      </c>
      <c r="O1136" s="8">
        <v>700</v>
      </c>
      <c r="P1136" s="121">
        <v>0.02</v>
      </c>
      <c r="Q1136" s="10">
        <v>14</v>
      </c>
      <c r="R1136" s="121">
        <v>0.12290000000000001</v>
      </c>
      <c r="S1136" s="10">
        <v>86</v>
      </c>
      <c r="T1136" s="121">
        <v>0.14285714285714285</v>
      </c>
      <c r="U1136" s="10">
        <v>100</v>
      </c>
      <c r="V1136" s="10">
        <v>800</v>
      </c>
      <c r="W1136" s="11">
        <v>800</v>
      </c>
      <c r="X1136" s="12">
        <v>100</v>
      </c>
      <c r="Y1136" s="122">
        <v>0.1429</v>
      </c>
      <c r="Z1136" s="123" t="s">
        <v>1245</v>
      </c>
      <c r="AA1136" s="15"/>
      <c r="AB1136" s="15"/>
      <c r="AC1136" s="15"/>
      <c r="AD1136" s="124"/>
      <c r="AE1136" s="8">
        <v>0</v>
      </c>
      <c r="AF1136" s="17">
        <v>800</v>
      </c>
      <c r="AG1136" s="18">
        <v>100</v>
      </c>
      <c r="AH1136" s="125">
        <v>0.14285714285714279</v>
      </c>
      <c r="AI1136" s="20">
        <v>12</v>
      </c>
      <c r="AJ1136" s="20">
        <v>0</v>
      </c>
      <c r="AK1136" s="20"/>
      <c r="AL1136" s="20">
        <v>688</v>
      </c>
      <c r="AM1136" s="20">
        <v>10288</v>
      </c>
      <c r="AN1136" s="7" t="e">
        <v>#N/A</v>
      </c>
      <c r="AO1136" s="20"/>
      <c r="AP1136" s="21"/>
      <c r="AQ1136" s="21"/>
      <c r="AR1136" s="5" t="s">
        <v>1761</v>
      </c>
      <c r="AS1136" s="5" t="s">
        <v>124</v>
      </c>
    </row>
    <row r="1137" spans="1:45">
      <c r="A1137" s="105"/>
      <c r="B1137" s="5">
        <v>11006156</v>
      </c>
      <c r="C1137" s="5" t="s">
        <v>1789</v>
      </c>
      <c r="D1137" s="5" t="s">
        <v>1757</v>
      </c>
      <c r="E1137" s="5" t="s">
        <v>52</v>
      </c>
      <c r="F1137" s="5" t="s">
        <v>1822</v>
      </c>
      <c r="G1137" s="5" t="s">
        <v>1758</v>
      </c>
      <c r="H1137" s="5" t="s">
        <v>1823</v>
      </c>
      <c r="I1137" s="6">
        <v>40277</v>
      </c>
      <c r="J1137" s="5" t="s">
        <v>1759</v>
      </c>
      <c r="K1137" s="5" t="s">
        <v>1760</v>
      </c>
      <c r="L1137" s="5" t="s">
        <v>324</v>
      </c>
      <c r="M1137" s="7">
        <v>6</v>
      </c>
      <c r="N1137" s="7" t="s">
        <v>176</v>
      </c>
      <c r="O1137" s="8">
        <v>700</v>
      </c>
      <c r="P1137" s="121">
        <v>0.02</v>
      </c>
      <c r="Q1137" s="10">
        <v>14</v>
      </c>
      <c r="R1137" s="121">
        <v>0.12290000000000001</v>
      </c>
      <c r="S1137" s="10">
        <v>86</v>
      </c>
      <c r="T1137" s="121">
        <v>0.14285714285714285</v>
      </c>
      <c r="U1137" s="10">
        <v>100</v>
      </c>
      <c r="V1137" s="10">
        <v>800</v>
      </c>
      <c r="W1137" s="11">
        <v>800</v>
      </c>
      <c r="X1137" s="12">
        <v>100</v>
      </c>
      <c r="Y1137" s="122">
        <v>0.1429</v>
      </c>
      <c r="Z1137" s="123" t="s">
        <v>1245</v>
      </c>
      <c r="AA1137" s="15"/>
      <c r="AB1137" s="15"/>
      <c r="AC1137" s="15"/>
      <c r="AD1137" s="124"/>
      <c r="AE1137" s="8">
        <v>0</v>
      </c>
      <c r="AF1137" s="17">
        <v>800</v>
      </c>
      <c r="AG1137" s="18">
        <v>100</v>
      </c>
      <c r="AH1137" s="125">
        <v>0.14285714285714279</v>
      </c>
      <c r="AI1137" s="20">
        <v>12</v>
      </c>
      <c r="AJ1137" s="20">
        <v>0</v>
      </c>
      <c r="AK1137" s="20"/>
      <c r="AL1137" s="20">
        <v>688</v>
      </c>
      <c r="AM1137" s="20">
        <v>10288</v>
      </c>
      <c r="AN1137" s="7" t="e">
        <v>#N/A</v>
      </c>
      <c r="AO1137" s="20"/>
      <c r="AP1137" s="21"/>
      <c r="AQ1137" s="21"/>
      <c r="AR1137" s="5" t="s">
        <v>1761</v>
      </c>
      <c r="AS1137" s="5" t="s">
        <v>124</v>
      </c>
    </row>
    <row r="1138" spans="1:45">
      <c r="A1138" s="105"/>
      <c r="B1138" s="5">
        <v>11006938</v>
      </c>
      <c r="C1138" s="5" t="s">
        <v>1790</v>
      </c>
      <c r="D1138" s="5" t="s">
        <v>1757</v>
      </c>
      <c r="E1138" s="5" t="s">
        <v>52</v>
      </c>
      <c r="F1138" s="5" t="s">
        <v>1822</v>
      </c>
      <c r="G1138" s="5" t="s">
        <v>1758</v>
      </c>
      <c r="H1138" s="5" t="s">
        <v>1823</v>
      </c>
      <c r="I1138" s="6">
        <v>39417</v>
      </c>
      <c r="J1138" s="5" t="s">
        <v>1759</v>
      </c>
      <c r="K1138" s="5" t="s">
        <v>1760</v>
      </c>
      <c r="L1138" s="5" t="s">
        <v>324</v>
      </c>
      <c r="M1138" s="7">
        <v>6</v>
      </c>
      <c r="N1138" s="7" t="s">
        <v>176</v>
      </c>
      <c r="O1138" s="8">
        <v>700</v>
      </c>
      <c r="P1138" s="121">
        <v>0.02</v>
      </c>
      <c r="Q1138" s="10">
        <v>14</v>
      </c>
      <c r="R1138" s="121">
        <v>0.12290000000000001</v>
      </c>
      <c r="S1138" s="10">
        <v>86</v>
      </c>
      <c r="T1138" s="121">
        <v>0.14285714285714285</v>
      </c>
      <c r="U1138" s="10">
        <v>100</v>
      </c>
      <c r="V1138" s="10">
        <v>800</v>
      </c>
      <c r="W1138" s="11">
        <v>800</v>
      </c>
      <c r="X1138" s="12">
        <v>100</v>
      </c>
      <c r="Y1138" s="122">
        <v>0.1429</v>
      </c>
      <c r="Z1138" s="123" t="s">
        <v>1245</v>
      </c>
      <c r="AA1138" s="15"/>
      <c r="AB1138" s="15"/>
      <c r="AC1138" s="15"/>
      <c r="AD1138" s="124"/>
      <c r="AE1138" s="8">
        <v>0</v>
      </c>
      <c r="AF1138" s="17">
        <v>800</v>
      </c>
      <c r="AG1138" s="18">
        <v>100</v>
      </c>
      <c r="AH1138" s="125">
        <v>0.14285714285714279</v>
      </c>
      <c r="AI1138" s="20">
        <v>12</v>
      </c>
      <c r="AJ1138" s="20">
        <v>0</v>
      </c>
      <c r="AK1138" s="20"/>
      <c r="AL1138" s="20">
        <v>688</v>
      </c>
      <c r="AM1138" s="20">
        <v>10288</v>
      </c>
      <c r="AN1138" s="7" t="e">
        <v>#N/A</v>
      </c>
      <c r="AO1138" s="20"/>
      <c r="AP1138" s="21"/>
      <c r="AQ1138" s="21"/>
      <c r="AR1138" s="5" t="s">
        <v>1761</v>
      </c>
      <c r="AS1138" s="5" t="s">
        <v>124</v>
      </c>
    </row>
    <row r="1139" spans="1:45">
      <c r="A1139" s="105"/>
      <c r="B1139" s="5">
        <v>11006941</v>
      </c>
      <c r="C1139" s="5" t="s">
        <v>1791</v>
      </c>
      <c r="D1139" s="5" t="s">
        <v>1757</v>
      </c>
      <c r="E1139" s="5" t="s">
        <v>52</v>
      </c>
      <c r="F1139" s="5" t="s">
        <v>1822</v>
      </c>
      <c r="G1139" s="5" t="s">
        <v>1758</v>
      </c>
      <c r="H1139" s="5" t="s">
        <v>1823</v>
      </c>
      <c r="I1139" s="6">
        <v>40483</v>
      </c>
      <c r="J1139" s="5" t="s">
        <v>1759</v>
      </c>
      <c r="K1139" s="5" t="s">
        <v>1784</v>
      </c>
      <c r="L1139" s="5" t="s">
        <v>324</v>
      </c>
      <c r="M1139" s="7">
        <v>6</v>
      </c>
      <c r="N1139" s="7" t="s">
        <v>176</v>
      </c>
      <c r="O1139" s="8">
        <v>2101</v>
      </c>
      <c r="P1139" s="121">
        <v>0.02</v>
      </c>
      <c r="Q1139" s="10">
        <v>42</v>
      </c>
      <c r="R1139" s="121">
        <v>5.0000000000000001E-3</v>
      </c>
      <c r="S1139" s="10">
        <v>11</v>
      </c>
      <c r="T1139" s="121">
        <v>2.5226082817705855E-2</v>
      </c>
      <c r="U1139" s="10">
        <v>53</v>
      </c>
      <c r="V1139" s="10">
        <v>2154</v>
      </c>
      <c r="W1139" s="11">
        <v>2154</v>
      </c>
      <c r="X1139" s="12">
        <v>53</v>
      </c>
      <c r="Y1139" s="122">
        <v>2.52E-2</v>
      </c>
      <c r="Z1139" s="123" t="s">
        <v>1245</v>
      </c>
      <c r="AA1139" s="15"/>
      <c r="AB1139" s="15"/>
      <c r="AC1139" s="15"/>
      <c r="AD1139" s="124"/>
      <c r="AE1139" s="8">
        <v>0</v>
      </c>
      <c r="AF1139" s="17">
        <v>2154</v>
      </c>
      <c r="AG1139" s="18">
        <v>53</v>
      </c>
      <c r="AH1139" s="125">
        <v>2.5226082817705775E-2</v>
      </c>
      <c r="AI1139" s="20">
        <v>12</v>
      </c>
      <c r="AJ1139" s="20">
        <v>450</v>
      </c>
      <c r="AK1139" s="20"/>
      <c r="AL1139" s="20">
        <v>688</v>
      </c>
      <c r="AM1139" s="20">
        <v>31936</v>
      </c>
      <c r="AN1139" s="7" t="s">
        <v>176</v>
      </c>
      <c r="AO1139" s="20"/>
      <c r="AP1139" s="21"/>
      <c r="AQ1139" s="21"/>
      <c r="AR1139" s="5" t="s">
        <v>1761</v>
      </c>
      <c r="AS1139" s="5" t="s">
        <v>124</v>
      </c>
    </row>
    <row r="1140" spans="1:45">
      <c r="A1140" s="105"/>
      <c r="B1140" s="5">
        <v>11007311</v>
      </c>
      <c r="C1140" s="5" t="s">
        <v>1792</v>
      </c>
      <c r="D1140" s="5" t="s">
        <v>1757</v>
      </c>
      <c r="E1140" s="5" t="s">
        <v>52</v>
      </c>
      <c r="F1140" s="5" t="s">
        <v>1822</v>
      </c>
      <c r="G1140" s="5" t="s">
        <v>1758</v>
      </c>
      <c r="H1140" s="5" t="s">
        <v>1823</v>
      </c>
      <c r="I1140" s="6">
        <v>40612</v>
      </c>
      <c r="J1140" s="5" t="s">
        <v>1759</v>
      </c>
      <c r="K1140" s="5" t="s">
        <v>1793</v>
      </c>
      <c r="L1140" s="5" t="s">
        <v>324</v>
      </c>
      <c r="M1140" s="7">
        <v>6</v>
      </c>
      <c r="N1140" s="7" t="s">
        <v>176</v>
      </c>
      <c r="O1140" s="8">
        <v>700</v>
      </c>
      <c r="P1140" s="121">
        <v>0.02</v>
      </c>
      <c r="Q1140" s="10">
        <v>14</v>
      </c>
      <c r="R1140" s="121">
        <v>0.12290000000000001</v>
      </c>
      <c r="S1140" s="10">
        <v>86</v>
      </c>
      <c r="T1140" s="121">
        <v>0.14285714285714285</v>
      </c>
      <c r="U1140" s="10">
        <v>100</v>
      </c>
      <c r="V1140" s="10">
        <v>800</v>
      </c>
      <c r="W1140" s="11">
        <v>800</v>
      </c>
      <c r="X1140" s="12">
        <v>100</v>
      </c>
      <c r="Y1140" s="122">
        <v>0.1429</v>
      </c>
      <c r="Z1140" s="123" t="s">
        <v>1245</v>
      </c>
      <c r="AA1140" s="15"/>
      <c r="AB1140" s="15"/>
      <c r="AC1140" s="15"/>
      <c r="AD1140" s="124"/>
      <c r="AE1140" s="8">
        <v>0</v>
      </c>
      <c r="AF1140" s="17">
        <v>800</v>
      </c>
      <c r="AG1140" s="18">
        <v>100</v>
      </c>
      <c r="AH1140" s="125">
        <v>0.14285714285714279</v>
      </c>
      <c r="AI1140" s="20">
        <v>12</v>
      </c>
      <c r="AJ1140" s="20">
        <v>0</v>
      </c>
      <c r="AK1140" s="20"/>
      <c r="AL1140" s="20">
        <v>688</v>
      </c>
      <c r="AM1140" s="20">
        <v>10288</v>
      </c>
      <c r="AN1140" s="7" t="e">
        <v>#N/A</v>
      </c>
      <c r="AO1140" s="20"/>
      <c r="AP1140" s="21"/>
      <c r="AQ1140" s="21"/>
      <c r="AR1140" s="5" t="s">
        <v>1761</v>
      </c>
      <c r="AS1140" s="5" t="s">
        <v>124</v>
      </c>
    </row>
    <row r="1141" spans="1:45">
      <c r="A1141" s="105"/>
      <c r="B1141" s="5">
        <v>11008496</v>
      </c>
      <c r="C1141" s="5" t="s">
        <v>1794</v>
      </c>
      <c r="D1141" s="5" t="s">
        <v>1757</v>
      </c>
      <c r="E1141" s="5" t="s">
        <v>52</v>
      </c>
      <c r="F1141" s="5" t="s">
        <v>1822</v>
      </c>
      <c r="G1141" s="5" t="s">
        <v>1758</v>
      </c>
      <c r="H1141" s="5" t="s">
        <v>1823</v>
      </c>
      <c r="I1141" s="6">
        <v>40955</v>
      </c>
      <c r="J1141" s="5" t="s">
        <v>1759</v>
      </c>
      <c r="K1141" s="5" t="s">
        <v>1777</v>
      </c>
      <c r="L1141" s="5" t="s">
        <v>324</v>
      </c>
      <c r="M1141" s="7">
        <v>6</v>
      </c>
      <c r="N1141" s="7" t="s">
        <v>176</v>
      </c>
      <c r="O1141" s="8">
        <v>2305</v>
      </c>
      <c r="P1141" s="121">
        <v>0.02</v>
      </c>
      <c r="Q1141" s="10">
        <v>46</v>
      </c>
      <c r="R1141" s="121">
        <v>5.0000000000000001E-3</v>
      </c>
      <c r="S1141" s="10">
        <v>12</v>
      </c>
      <c r="T1141" s="121">
        <v>2.5162689804772233E-2</v>
      </c>
      <c r="U1141" s="10">
        <v>58</v>
      </c>
      <c r="V1141" s="10">
        <v>2363</v>
      </c>
      <c r="W1141" s="11">
        <v>2363</v>
      </c>
      <c r="X1141" s="12">
        <v>58</v>
      </c>
      <c r="Y1141" s="122">
        <v>2.52E-2</v>
      </c>
      <c r="Z1141" s="123" t="s">
        <v>1245</v>
      </c>
      <c r="AA1141" s="15"/>
      <c r="AB1141" s="15"/>
      <c r="AC1141" s="15"/>
      <c r="AD1141" s="124"/>
      <c r="AE1141" s="8">
        <v>0</v>
      </c>
      <c r="AF1141" s="17">
        <v>2363</v>
      </c>
      <c r="AG1141" s="18">
        <v>58</v>
      </c>
      <c r="AH1141" s="125">
        <v>2.516268980477232E-2</v>
      </c>
      <c r="AI1141" s="20">
        <v>12</v>
      </c>
      <c r="AJ1141" s="20">
        <v>450</v>
      </c>
      <c r="AK1141" s="20"/>
      <c r="AL1141" s="20">
        <v>688</v>
      </c>
      <c r="AM1141" s="20">
        <v>34444</v>
      </c>
      <c r="AN1141" s="7" t="s">
        <v>176</v>
      </c>
      <c r="AO1141" s="20"/>
      <c r="AP1141" s="21"/>
      <c r="AQ1141" s="21"/>
      <c r="AR1141" s="5" t="s">
        <v>1761</v>
      </c>
      <c r="AS1141" s="5" t="s">
        <v>124</v>
      </c>
    </row>
    <row r="1142" spans="1:45">
      <c r="A1142" s="105"/>
      <c r="B1142" s="5">
        <v>11008595</v>
      </c>
      <c r="C1142" s="5" t="s">
        <v>1795</v>
      </c>
      <c r="D1142" s="5" t="s">
        <v>1757</v>
      </c>
      <c r="E1142" s="5" t="s">
        <v>52</v>
      </c>
      <c r="F1142" s="5" t="s">
        <v>1822</v>
      </c>
      <c r="G1142" s="5" t="s">
        <v>1758</v>
      </c>
      <c r="H1142" s="5" t="s">
        <v>1823</v>
      </c>
      <c r="I1142" s="6">
        <v>41004</v>
      </c>
      <c r="J1142" s="5" t="s">
        <v>1759</v>
      </c>
      <c r="K1142" s="5" t="s">
        <v>1760</v>
      </c>
      <c r="L1142" s="5" t="s">
        <v>324</v>
      </c>
      <c r="M1142" s="7">
        <v>6</v>
      </c>
      <c r="N1142" s="7" t="s">
        <v>176</v>
      </c>
      <c r="O1142" s="8">
        <v>700</v>
      </c>
      <c r="P1142" s="121">
        <v>0.02</v>
      </c>
      <c r="Q1142" s="10">
        <v>14</v>
      </c>
      <c r="R1142" s="121">
        <v>0.12290000000000001</v>
      </c>
      <c r="S1142" s="10">
        <v>86</v>
      </c>
      <c r="T1142" s="121">
        <v>0.14285714285714285</v>
      </c>
      <c r="U1142" s="10">
        <v>100</v>
      </c>
      <c r="V1142" s="10">
        <v>800</v>
      </c>
      <c r="W1142" s="11">
        <v>800</v>
      </c>
      <c r="X1142" s="12">
        <v>100</v>
      </c>
      <c r="Y1142" s="122">
        <v>0.1429</v>
      </c>
      <c r="Z1142" s="123" t="s">
        <v>1245</v>
      </c>
      <c r="AA1142" s="15"/>
      <c r="AB1142" s="15"/>
      <c r="AC1142" s="15"/>
      <c r="AD1142" s="124"/>
      <c r="AE1142" s="8">
        <v>0</v>
      </c>
      <c r="AF1142" s="17">
        <v>800</v>
      </c>
      <c r="AG1142" s="18">
        <v>100</v>
      </c>
      <c r="AH1142" s="125">
        <v>0.14285714285714279</v>
      </c>
      <c r="AI1142" s="20">
        <v>12</v>
      </c>
      <c r="AJ1142" s="20">
        <v>0</v>
      </c>
      <c r="AK1142" s="20"/>
      <c r="AL1142" s="20">
        <v>688</v>
      </c>
      <c r="AM1142" s="20">
        <v>10288</v>
      </c>
      <c r="AN1142" s="7" t="e">
        <v>#N/A</v>
      </c>
      <c r="AO1142" s="20"/>
      <c r="AP1142" s="21"/>
      <c r="AQ1142" s="21"/>
      <c r="AR1142" s="5" t="s">
        <v>1761</v>
      </c>
      <c r="AS1142" s="5" t="s">
        <v>124</v>
      </c>
    </row>
    <row r="1143" spans="1:45">
      <c r="A1143" s="105"/>
      <c r="B1143" s="5">
        <v>11008984</v>
      </c>
      <c r="C1143" s="5" t="s">
        <v>1796</v>
      </c>
      <c r="D1143" s="5" t="s">
        <v>1757</v>
      </c>
      <c r="E1143" s="5" t="s">
        <v>52</v>
      </c>
      <c r="F1143" s="5" t="s">
        <v>1822</v>
      </c>
      <c r="G1143" s="5" t="s">
        <v>1758</v>
      </c>
      <c r="H1143" s="5" t="s">
        <v>1823</v>
      </c>
      <c r="I1143" s="6">
        <v>41129</v>
      </c>
      <c r="J1143" s="5" t="s">
        <v>1759</v>
      </c>
      <c r="K1143" s="5" t="s">
        <v>1777</v>
      </c>
      <c r="L1143" s="5" t="s">
        <v>324</v>
      </c>
      <c r="M1143" s="7">
        <v>6</v>
      </c>
      <c r="N1143" s="7" t="s">
        <v>176</v>
      </c>
      <c r="O1143" s="8">
        <v>2227</v>
      </c>
      <c r="P1143" s="121">
        <v>0.02</v>
      </c>
      <c r="Q1143" s="10">
        <v>45</v>
      </c>
      <c r="R1143" s="121">
        <v>5.0000000000000001E-3</v>
      </c>
      <c r="S1143" s="10">
        <v>11</v>
      </c>
      <c r="T1143" s="121">
        <v>2.5145936237090254E-2</v>
      </c>
      <c r="U1143" s="10">
        <v>56</v>
      </c>
      <c r="V1143" s="10">
        <v>2283</v>
      </c>
      <c r="W1143" s="11">
        <v>2283</v>
      </c>
      <c r="X1143" s="12">
        <v>56</v>
      </c>
      <c r="Y1143" s="122">
        <v>2.5100000000000001E-2</v>
      </c>
      <c r="Z1143" s="123" t="s">
        <v>1245</v>
      </c>
      <c r="AA1143" s="15"/>
      <c r="AB1143" s="15"/>
      <c r="AC1143" s="15"/>
      <c r="AD1143" s="124"/>
      <c r="AE1143" s="8">
        <v>0</v>
      </c>
      <c r="AF1143" s="17">
        <v>2283</v>
      </c>
      <c r="AG1143" s="18">
        <v>56</v>
      </c>
      <c r="AH1143" s="125">
        <v>2.5145936237090272E-2</v>
      </c>
      <c r="AI1143" s="20">
        <v>12</v>
      </c>
      <c r="AJ1143" s="20">
        <v>450</v>
      </c>
      <c r="AK1143" s="20"/>
      <c r="AL1143" s="20">
        <v>688</v>
      </c>
      <c r="AM1143" s="20">
        <v>33484</v>
      </c>
      <c r="AN1143" s="7" t="s">
        <v>176</v>
      </c>
      <c r="AO1143" s="20"/>
      <c r="AP1143" s="21"/>
      <c r="AQ1143" s="21"/>
      <c r="AR1143" s="5" t="s">
        <v>1761</v>
      </c>
      <c r="AS1143" s="5" t="s">
        <v>124</v>
      </c>
    </row>
    <row r="1144" spans="1:45">
      <c r="A1144" s="86"/>
      <c r="B1144" s="5">
        <v>11009206</v>
      </c>
      <c r="C1144" s="5" t="s">
        <v>582</v>
      </c>
      <c r="D1144" s="5" t="s">
        <v>1757</v>
      </c>
      <c r="E1144" s="5" t="s">
        <v>52</v>
      </c>
      <c r="F1144" s="5" t="s">
        <v>1822</v>
      </c>
      <c r="G1144" s="5" t="s">
        <v>1758</v>
      </c>
      <c r="H1144" s="5" t="s">
        <v>1823</v>
      </c>
      <c r="I1144" s="6">
        <v>41201</v>
      </c>
      <c r="J1144" s="5" t="s">
        <v>1759</v>
      </c>
      <c r="K1144" s="5" t="s">
        <v>1760</v>
      </c>
      <c r="L1144" s="5" t="s">
        <v>324</v>
      </c>
      <c r="M1144" s="7">
        <v>6</v>
      </c>
      <c r="N1144" s="7" t="s">
        <v>176</v>
      </c>
      <c r="O1144" s="8">
        <v>700</v>
      </c>
      <c r="P1144" s="121">
        <v>0.02</v>
      </c>
      <c r="Q1144" s="10">
        <v>14</v>
      </c>
      <c r="R1144" s="121">
        <v>0.12290000000000001</v>
      </c>
      <c r="S1144" s="10">
        <v>86</v>
      </c>
      <c r="T1144" s="121">
        <v>0.14285714285714285</v>
      </c>
      <c r="U1144" s="10">
        <v>100</v>
      </c>
      <c r="V1144" s="10">
        <v>800</v>
      </c>
      <c r="W1144" s="11">
        <v>800</v>
      </c>
      <c r="X1144" s="12">
        <v>100</v>
      </c>
      <c r="Y1144" s="122">
        <v>0.1429</v>
      </c>
      <c r="Z1144" s="123" t="s">
        <v>1245</v>
      </c>
      <c r="AA1144" s="15"/>
      <c r="AB1144" s="15"/>
      <c r="AC1144" s="15"/>
      <c r="AD1144" s="124"/>
      <c r="AE1144" s="8">
        <v>0</v>
      </c>
      <c r="AF1144" s="17">
        <v>800</v>
      </c>
      <c r="AG1144" s="18">
        <v>100</v>
      </c>
      <c r="AH1144" s="125">
        <v>0.14285714285714279</v>
      </c>
      <c r="AI1144" s="20">
        <v>12</v>
      </c>
      <c r="AJ1144" s="20">
        <v>0</v>
      </c>
      <c r="AK1144" s="20"/>
      <c r="AL1144" s="20">
        <v>688</v>
      </c>
      <c r="AM1144" s="20">
        <v>10288</v>
      </c>
      <c r="AN1144" s="7" t="e">
        <v>#N/A</v>
      </c>
      <c r="AO1144" s="20"/>
      <c r="AP1144" s="21"/>
      <c r="AQ1144" s="21"/>
      <c r="AR1144" s="5" t="s">
        <v>1761</v>
      </c>
      <c r="AS1144" s="5" t="s">
        <v>124</v>
      </c>
    </row>
    <row r="1145" spans="1:45">
      <c r="A1145" s="105"/>
      <c r="B1145" s="5">
        <v>11009270</v>
      </c>
      <c r="C1145" s="5" t="s">
        <v>1797</v>
      </c>
      <c r="D1145" s="5" t="s">
        <v>1757</v>
      </c>
      <c r="E1145" s="5" t="s">
        <v>52</v>
      </c>
      <c r="F1145" s="5" t="s">
        <v>1822</v>
      </c>
      <c r="G1145" s="5" t="s">
        <v>1758</v>
      </c>
      <c r="H1145" s="5" t="s">
        <v>1823</v>
      </c>
      <c r="I1145" s="6">
        <v>41219</v>
      </c>
      <c r="J1145" s="5" t="s">
        <v>1759</v>
      </c>
      <c r="K1145" s="5" t="s">
        <v>1760</v>
      </c>
      <c r="L1145" s="5" t="s">
        <v>324</v>
      </c>
      <c r="M1145" s="7">
        <v>6</v>
      </c>
      <c r="N1145" s="7" t="s">
        <v>176</v>
      </c>
      <c r="O1145" s="8">
        <v>700</v>
      </c>
      <c r="P1145" s="121">
        <v>0.02</v>
      </c>
      <c r="Q1145" s="10">
        <v>14</v>
      </c>
      <c r="R1145" s="121">
        <v>0.12290000000000001</v>
      </c>
      <c r="S1145" s="10">
        <v>86</v>
      </c>
      <c r="T1145" s="121">
        <v>0.14285714285714285</v>
      </c>
      <c r="U1145" s="10">
        <v>100</v>
      </c>
      <c r="V1145" s="10">
        <v>800</v>
      </c>
      <c r="W1145" s="11">
        <v>800</v>
      </c>
      <c r="X1145" s="12">
        <v>100</v>
      </c>
      <c r="Y1145" s="122">
        <v>0.1429</v>
      </c>
      <c r="Z1145" s="123" t="s">
        <v>1245</v>
      </c>
      <c r="AA1145" s="15"/>
      <c r="AB1145" s="15"/>
      <c r="AC1145" s="15"/>
      <c r="AD1145" s="124"/>
      <c r="AE1145" s="8">
        <v>0</v>
      </c>
      <c r="AF1145" s="17">
        <v>800</v>
      </c>
      <c r="AG1145" s="18">
        <v>100</v>
      </c>
      <c r="AH1145" s="125">
        <v>0.14285714285714279</v>
      </c>
      <c r="AI1145" s="20">
        <v>12</v>
      </c>
      <c r="AJ1145" s="20">
        <v>0</v>
      </c>
      <c r="AK1145" s="20"/>
      <c r="AL1145" s="20">
        <v>688</v>
      </c>
      <c r="AM1145" s="20">
        <v>10288</v>
      </c>
      <c r="AN1145" s="7" t="e">
        <v>#N/A</v>
      </c>
      <c r="AO1145" s="20"/>
      <c r="AP1145" s="21"/>
      <c r="AQ1145" s="21"/>
      <c r="AR1145" s="5" t="s">
        <v>1761</v>
      </c>
      <c r="AS1145" s="5" t="s">
        <v>124</v>
      </c>
    </row>
    <row r="1146" spans="1:45">
      <c r="A1146" s="105"/>
      <c r="B1146" s="5">
        <v>11009529</v>
      </c>
      <c r="C1146" s="5" t="s">
        <v>1798</v>
      </c>
      <c r="D1146" s="5" t="s">
        <v>1757</v>
      </c>
      <c r="E1146" s="5" t="s">
        <v>52</v>
      </c>
      <c r="F1146" s="5" t="s">
        <v>1822</v>
      </c>
      <c r="G1146" s="5" t="s">
        <v>1758</v>
      </c>
      <c r="H1146" s="5" t="s">
        <v>1823</v>
      </c>
      <c r="I1146" s="6">
        <v>41348</v>
      </c>
      <c r="J1146" s="5" t="s">
        <v>1759</v>
      </c>
      <c r="K1146" s="5" t="s">
        <v>1784</v>
      </c>
      <c r="L1146" s="5" t="s">
        <v>324</v>
      </c>
      <c r="M1146" s="7">
        <v>6</v>
      </c>
      <c r="N1146" s="7" t="s">
        <v>176</v>
      </c>
      <c r="O1146" s="8">
        <v>700</v>
      </c>
      <c r="P1146" s="121">
        <v>0.02</v>
      </c>
      <c r="Q1146" s="10">
        <v>14</v>
      </c>
      <c r="R1146" s="121">
        <v>0.12290000000000001</v>
      </c>
      <c r="S1146" s="10">
        <v>86</v>
      </c>
      <c r="T1146" s="121">
        <v>0.14285714285714285</v>
      </c>
      <c r="U1146" s="10">
        <v>100</v>
      </c>
      <c r="V1146" s="10">
        <v>800</v>
      </c>
      <c r="W1146" s="11">
        <v>800</v>
      </c>
      <c r="X1146" s="12">
        <v>100</v>
      </c>
      <c r="Y1146" s="122">
        <v>0.1429</v>
      </c>
      <c r="Z1146" s="123" t="s">
        <v>1245</v>
      </c>
      <c r="AA1146" s="15"/>
      <c r="AB1146" s="15"/>
      <c r="AC1146" s="15"/>
      <c r="AD1146" s="124"/>
      <c r="AE1146" s="8">
        <v>0</v>
      </c>
      <c r="AF1146" s="17">
        <v>800</v>
      </c>
      <c r="AG1146" s="18">
        <v>100</v>
      </c>
      <c r="AH1146" s="125">
        <v>0.14285714285714279</v>
      </c>
      <c r="AI1146" s="20">
        <v>12</v>
      </c>
      <c r="AJ1146" s="20">
        <v>0</v>
      </c>
      <c r="AK1146" s="20"/>
      <c r="AL1146" s="20">
        <v>688</v>
      </c>
      <c r="AM1146" s="20">
        <v>10288</v>
      </c>
      <c r="AN1146" s="7" t="e">
        <v>#N/A</v>
      </c>
      <c r="AO1146" s="20"/>
      <c r="AP1146" s="21"/>
      <c r="AQ1146" s="21"/>
      <c r="AR1146" s="5" t="s">
        <v>1761</v>
      </c>
      <c r="AS1146" s="5" t="s">
        <v>124</v>
      </c>
    </row>
    <row r="1147" spans="1:45">
      <c r="A1147" s="105"/>
      <c r="B1147" s="5">
        <v>11010521</v>
      </c>
      <c r="C1147" s="5" t="s">
        <v>1799</v>
      </c>
      <c r="D1147" s="5" t="s">
        <v>1757</v>
      </c>
      <c r="E1147" s="5" t="s">
        <v>52</v>
      </c>
      <c r="F1147" s="5" t="s">
        <v>1822</v>
      </c>
      <c r="G1147" s="5" t="s">
        <v>1758</v>
      </c>
      <c r="H1147" s="5" t="s">
        <v>1823</v>
      </c>
      <c r="I1147" s="6">
        <v>41699</v>
      </c>
      <c r="J1147" s="5" t="s">
        <v>1759</v>
      </c>
      <c r="K1147" s="5" t="s">
        <v>1760</v>
      </c>
      <c r="L1147" s="5" t="s">
        <v>324</v>
      </c>
      <c r="M1147" s="7">
        <v>6</v>
      </c>
      <c r="N1147" s="7" t="s">
        <v>176</v>
      </c>
      <c r="O1147" s="8">
        <v>700</v>
      </c>
      <c r="P1147" s="121">
        <v>0.02</v>
      </c>
      <c r="Q1147" s="10">
        <v>14</v>
      </c>
      <c r="R1147" s="121">
        <v>0.12290000000000001</v>
      </c>
      <c r="S1147" s="10">
        <v>86</v>
      </c>
      <c r="T1147" s="121">
        <v>0.14285714285714285</v>
      </c>
      <c r="U1147" s="10">
        <v>100</v>
      </c>
      <c r="V1147" s="10">
        <v>800</v>
      </c>
      <c r="W1147" s="11">
        <v>800</v>
      </c>
      <c r="X1147" s="12">
        <v>100</v>
      </c>
      <c r="Y1147" s="122">
        <v>0.1429</v>
      </c>
      <c r="Z1147" s="123" t="s">
        <v>1245</v>
      </c>
      <c r="AA1147" s="15"/>
      <c r="AB1147" s="15"/>
      <c r="AC1147" s="15"/>
      <c r="AD1147" s="124"/>
      <c r="AE1147" s="8">
        <v>0</v>
      </c>
      <c r="AF1147" s="17">
        <v>800</v>
      </c>
      <c r="AG1147" s="18">
        <v>100</v>
      </c>
      <c r="AH1147" s="125">
        <v>0.14285714285714279</v>
      </c>
      <c r="AI1147" s="20">
        <v>12</v>
      </c>
      <c r="AJ1147" s="20">
        <v>0</v>
      </c>
      <c r="AK1147" s="20"/>
      <c r="AL1147" s="20">
        <v>688</v>
      </c>
      <c r="AM1147" s="20">
        <v>10288</v>
      </c>
      <c r="AN1147" s="7" t="e">
        <v>#N/A</v>
      </c>
      <c r="AO1147" s="20"/>
      <c r="AP1147" s="21"/>
      <c r="AQ1147" s="21"/>
      <c r="AR1147" s="5" t="s">
        <v>1761</v>
      </c>
      <c r="AS1147" s="5" t="s">
        <v>124</v>
      </c>
    </row>
    <row r="1148" spans="1:45">
      <c r="A1148" s="86"/>
      <c r="B1148" s="5">
        <v>11012479</v>
      </c>
      <c r="C1148" s="5" t="s">
        <v>1800</v>
      </c>
      <c r="D1148" s="5" t="s">
        <v>1757</v>
      </c>
      <c r="E1148" s="5" t="s">
        <v>52</v>
      </c>
      <c r="F1148" s="5" t="s">
        <v>1822</v>
      </c>
      <c r="G1148" s="5" t="s">
        <v>1758</v>
      </c>
      <c r="H1148" s="5" t="s">
        <v>1823</v>
      </c>
      <c r="I1148" s="6">
        <v>42122</v>
      </c>
      <c r="J1148" s="5" t="s">
        <v>1759</v>
      </c>
      <c r="K1148" s="5" t="s">
        <v>1760</v>
      </c>
      <c r="L1148" s="5" t="s">
        <v>324</v>
      </c>
      <c r="M1148" s="7">
        <v>6</v>
      </c>
      <c r="N1148" s="7" t="s">
        <v>176</v>
      </c>
      <c r="O1148" s="8">
        <v>700</v>
      </c>
      <c r="P1148" s="121">
        <v>0.02</v>
      </c>
      <c r="Q1148" s="10">
        <v>14</v>
      </c>
      <c r="R1148" s="121">
        <v>0.12290000000000001</v>
      </c>
      <c r="S1148" s="10">
        <v>86</v>
      </c>
      <c r="T1148" s="121">
        <v>0.14285714285714285</v>
      </c>
      <c r="U1148" s="10">
        <v>100</v>
      </c>
      <c r="V1148" s="10">
        <v>800</v>
      </c>
      <c r="W1148" s="11">
        <v>800</v>
      </c>
      <c r="X1148" s="12">
        <v>100</v>
      </c>
      <c r="Y1148" s="122">
        <v>0.1429</v>
      </c>
      <c r="Z1148" s="123" t="s">
        <v>1245</v>
      </c>
      <c r="AA1148" s="15"/>
      <c r="AB1148" s="15"/>
      <c r="AC1148" s="15"/>
      <c r="AD1148" s="124"/>
      <c r="AE1148" s="8">
        <v>0</v>
      </c>
      <c r="AF1148" s="17">
        <v>800</v>
      </c>
      <c r="AG1148" s="18">
        <v>100</v>
      </c>
      <c r="AH1148" s="125">
        <v>0.14285714285714279</v>
      </c>
      <c r="AI1148" s="20">
        <v>12</v>
      </c>
      <c r="AJ1148" s="20">
        <v>0</v>
      </c>
      <c r="AK1148" s="20"/>
      <c r="AL1148" s="20">
        <v>688</v>
      </c>
      <c r="AM1148" s="20">
        <v>10288</v>
      </c>
      <c r="AN1148" s="7" t="e">
        <v>#N/A</v>
      </c>
      <c r="AO1148" s="20"/>
      <c r="AP1148" s="21"/>
      <c r="AQ1148" s="21"/>
      <c r="AR1148" s="5" t="s">
        <v>1761</v>
      </c>
      <c r="AS1148" s="5" t="s">
        <v>124</v>
      </c>
    </row>
    <row r="1149" spans="1:45">
      <c r="A1149" s="105"/>
      <c r="B1149" s="5">
        <v>11013204</v>
      </c>
      <c r="C1149" s="5" t="s">
        <v>1801</v>
      </c>
      <c r="D1149" s="5" t="s">
        <v>1757</v>
      </c>
      <c r="E1149" s="5" t="s">
        <v>52</v>
      </c>
      <c r="F1149" s="5" t="s">
        <v>1822</v>
      </c>
      <c r="G1149" s="5" t="s">
        <v>1758</v>
      </c>
      <c r="H1149" s="5" t="s">
        <v>1823</v>
      </c>
      <c r="I1149" s="6">
        <v>42248</v>
      </c>
      <c r="J1149" s="5" t="s">
        <v>1759</v>
      </c>
      <c r="K1149" s="5" t="s">
        <v>1784</v>
      </c>
      <c r="L1149" s="5" t="s">
        <v>324</v>
      </c>
      <c r="M1149" s="7">
        <v>6</v>
      </c>
      <c r="N1149" s="7" t="s">
        <v>176</v>
      </c>
      <c r="O1149" s="8">
        <v>700</v>
      </c>
      <c r="P1149" s="121">
        <v>0.02</v>
      </c>
      <c r="Q1149" s="10">
        <v>14</v>
      </c>
      <c r="R1149" s="121">
        <v>0.12290000000000001</v>
      </c>
      <c r="S1149" s="10">
        <v>86</v>
      </c>
      <c r="T1149" s="121">
        <v>0.14285714285714285</v>
      </c>
      <c r="U1149" s="10">
        <v>100</v>
      </c>
      <c r="V1149" s="10">
        <v>800</v>
      </c>
      <c r="W1149" s="11">
        <v>800</v>
      </c>
      <c r="X1149" s="12">
        <v>100</v>
      </c>
      <c r="Y1149" s="122">
        <v>0.1429</v>
      </c>
      <c r="Z1149" s="123" t="s">
        <v>1245</v>
      </c>
      <c r="AA1149" s="15"/>
      <c r="AB1149" s="15"/>
      <c r="AC1149" s="15"/>
      <c r="AD1149" s="124"/>
      <c r="AE1149" s="8">
        <v>0</v>
      </c>
      <c r="AF1149" s="17">
        <v>800</v>
      </c>
      <c r="AG1149" s="18">
        <v>100</v>
      </c>
      <c r="AH1149" s="125">
        <v>0.14285714285714279</v>
      </c>
      <c r="AI1149" s="20">
        <v>12</v>
      </c>
      <c r="AJ1149" s="20">
        <v>0</v>
      </c>
      <c r="AK1149" s="20"/>
      <c r="AL1149" s="20">
        <v>688</v>
      </c>
      <c r="AM1149" s="20">
        <v>10288</v>
      </c>
      <c r="AN1149" s="7" t="e">
        <v>#N/A</v>
      </c>
      <c r="AO1149" s="20"/>
      <c r="AP1149" s="21"/>
      <c r="AQ1149" s="21"/>
      <c r="AR1149" s="5" t="s">
        <v>1761</v>
      </c>
      <c r="AS1149" s="5" t="s">
        <v>124</v>
      </c>
    </row>
    <row r="1150" spans="1:45">
      <c r="A1150" s="105"/>
      <c r="B1150" s="5">
        <v>11014430</v>
      </c>
      <c r="C1150" s="5" t="s">
        <v>1802</v>
      </c>
      <c r="D1150" s="5" t="s">
        <v>1757</v>
      </c>
      <c r="E1150" s="5" t="s">
        <v>52</v>
      </c>
      <c r="F1150" s="5" t="s">
        <v>1822</v>
      </c>
      <c r="G1150" s="5" t="s">
        <v>1758</v>
      </c>
      <c r="H1150" s="5" t="s">
        <v>1823</v>
      </c>
      <c r="I1150" s="6">
        <v>42732</v>
      </c>
      <c r="J1150" s="5" t="s">
        <v>1759</v>
      </c>
      <c r="K1150" s="5" t="s">
        <v>1760</v>
      </c>
      <c r="L1150" s="5" t="s">
        <v>324</v>
      </c>
      <c r="M1150" s="7">
        <v>6</v>
      </c>
      <c r="N1150" s="7" t="s">
        <v>176</v>
      </c>
      <c r="O1150" s="8">
        <v>700</v>
      </c>
      <c r="P1150" s="121">
        <v>0.02</v>
      </c>
      <c r="Q1150" s="10">
        <v>14</v>
      </c>
      <c r="R1150" s="121">
        <v>0.12290000000000001</v>
      </c>
      <c r="S1150" s="10">
        <v>86</v>
      </c>
      <c r="T1150" s="121">
        <v>0.14285714285714285</v>
      </c>
      <c r="U1150" s="10">
        <v>100</v>
      </c>
      <c r="V1150" s="10">
        <v>800</v>
      </c>
      <c r="W1150" s="11">
        <v>800</v>
      </c>
      <c r="X1150" s="12">
        <v>100</v>
      </c>
      <c r="Y1150" s="122">
        <v>0.1429</v>
      </c>
      <c r="Z1150" s="123" t="s">
        <v>1245</v>
      </c>
      <c r="AA1150" s="15"/>
      <c r="AB1150" s="15"/>
      <c r="AC1150" s="15"/>
      <c r="AD1150" s="124"/>
      <c r="AE1150" s="8">
        <v>0</v>
      </c>
      <c r="AF1150" s="17">
        <v>800</v>
      </c>
      <c r="AG1150" s="18">
        <v>100</v>
      </c>
      <c r="AH1150" s="125">
        <v>0.14285714285714279</v>
      </c>
      <c r="AI1150" s="20">
        <v>12</v>
      </c>
      <c r="AJ1150" s="20">
        <v>0</v>
      </c>
      <c r="AK1150" s="20"/>
      <c r="AL1150" s="20">
        <v>688</v>
      </c>
      <c r="AM1150" s="20">
        <v>10288</v>
      </c>
      <c r="AN1150" s="7" t="e">
        <v>#N/A</v>
      </c>
      <c r="AO1150" s="20"/>
      <c r="AP1150" s="21"/>
      <c r="AQ1150" s="21"/>
      <c r="AR1150" s="5" t="s">
        <v>1761</v>
      </c>
      <c r="AS1150" s="5" t="s">
        <v>124</v>
      </c>
    </row>
    <row r="1151" spans="1:45">
      <c r="A1151" s="105"/>
      <c r="B1151" s="5">
        <v>11014765</v>
      </c>
      <c r="C1151" s="5" t="s">
        <v>1803</v>
      </c>
      <c r="D1151" s="5" t="s">
        <v>1757</v>
      </c>
      <c r="E1151" s="5" t="s">
        <v>52</v>
      </c>
      <c r="F1151" s="5" t="s">
        <v>1822</v>
      </c>
      <c r="G1151" s="5" t="s">
        <v>1758</v>
      </c>
      <c r="H1151" s="5" t="s">
        <v>1823</v>
      </c>
      <c r="I1151" s="6">
        <v>42860</v>
      </c>
      <c r="J1151" s="5" t="s">
        <v>1759</v>
      </c>
      <c r="K1151" s="5" t="s">
        <v>1760</v>
      </c>
      <c r="L1151" s="5" t="s">
        <v>324</v>
      </c>
      <c r="M1151" s="7">
        <v>6</v>
      </c>
      <c r="N1151" s="7" t="s">
        <v>176</v>
      </c>
      <c r="O1151" s="8">
        <v>700</v>
      </c>
      <c r="P1151" s="121">
        <v>0.02</v>
      </c>
      <c r="Q1151" s="10">
        <v>14</v>
      </c>
      <c r="R1151" s="121">
        <v>0.12290000000000001</v>
      </c>
      <c r="S1151" s="10">
        <v>86</v>
      </c>
      <c r="T1151" s="121">
        <v>0.14285714285714285</v>
      </c>
      <c r="U1151" s="10">
        <v>100</v>
      </c>
      <c r="V1151" s="10">
        <v>800</v>
      </c>
      <c r="W1151" s="11">
        <v>800</v>
      </c>
      <c r="X1151" s="12">
        <v>100</v>
      </c>
      <c r="Y1151" s="122">
        <v>0.1429</v>
      </c>
      <c r="Z1151" s="123" t="s">
        <v>1245</v>
      </c>
      <c r="AA1151" s="15"/>
      <c r="AB1151" s="15"/>
      <c r="AC1151" s="15"/>
      <c r="AD1151" s="124"/>
      <c r="AE1151" s="8">
        <v>0</v>
      </c>
      <c r="AF1151" s="17">
        <v>800</v>
      </c>
      <c r="AG1151" s="18">
        <v>100</v>
      </c>
      <c r="AH1151" s="125">
        <v>0.14285714285714279</v>
      </c>
      <c r="AI1151" s="20">
        <v>12</v>
      </c>
      <c r="AJ1151" s="20">
        <v>0</v>
      </c>
      <c r="AK1151" s="20"/>
      <c r="AL1151" s="20">
        <v>688</v>
      </c>
      <c r="AM1151" s="20">
        <v>10288</v>
      </c>
      <c r="AN1151" s="7" t="e">
        <v>#N/A</v>
      </c>
      <c r="AO1151" s="20"/>
      <c r="AP1151" s="21"/>
      <c r="AQ1151" s="21"/>
      <c r="AR1151" s="5" t="s">
        <v>1761</v>
      </c>
      <c r="AS1151" s="5" t="s">
        <v>124</v>
      </c>
    </row>
    <row r="1152" spans="1:45">
      <c r="A1152" s="105"/>
      <c r="B1152" s="5">
        <v>1713117</v>
      </c>
      <c r="C1152" s="5" t="s">
        <v>1804</v>
      </c>
      <c r="D1152" s="5" t="s">
        <v>321</v>
      </c>
      <c r="E1152" s="5" t="s">
        <v>52</v>
      </c>
      <c r="F1152" s="5" t="s">
        <v>1737</v>
      </c>
      <c r="G1152" s="5" t="s">
        <v>1758</v>
      </c>
      <c r="H1152" s="5" t="s">
        <v>1823</v>
      </c>
      <c r="I1152" s="6">
        <v>42557</v>
      </c>
      <c r="J1152" s="5" t="s">
        <v>71</v>
      </c>
      <c r="K1152" s="5" t="s">
        <v>1805</v>
      </c>
      <c r="L1152" s="5" t="s">
        <v>324</v>
      </c>
      <c r="M1152" s="7">
        <v>6</v>
      </c>
      <c r="N1152" s="7" t="s">
        <v>176</v>
      </c>
      <c r="O1152" s="8">
        <v>7731</v>
      </c>
      <c r="P1152" s="121">
        <v>0.02</v>
      </c>
      <c r="Q1152" s="10">
        <v>155</v>
      </c>
      <c r="R1152" s="121">
        <v>5.0000000000000001E-3</v>
      </c>
      <c r="S1152" s="10">
        <v>39</v>
      </c>
      <c r="T1152" s="121">
        <v>2.5093778295175267E-2</v>
      </c>
      <c r="U1152" s="10">
        <v>194</v>
      </c>
      <c r="V1152" s="10">
        <v>7925</v>
      </c>
      <c r="W1152" s="11">
        <v>8303</v>
      </c>
      <c r="X1152" s="12">
        <v>572</v>
      </c>
      <c r="Y1152" s="122">
        <v>7.3999999999999996E-2</v>
      </c>
      <c r="Z1152" s="123" t="s">
        <v>1245</v>
      </c>
      <c r="AA1152" s="15"/>
      <c r="AB1152" s="15"/>
      <c r="AC1152" s="15"/>
      <c r="AD1152" s="124"/>
      <c r="AE1152" s="8">
        <v>0</v>
      </c>
      <c r="AF1152" s="17">
        <v>8303</v>
      </c>
      <c r="AG1152" s="18">
        <v>572</v>
      </c>
      <c r="AH1152" s="125">
        <v>7.398784115897028E-2</v>
      </c>
      <c r="AI1152" s="20">
        <v>13.6</v>
      </c>
      <c r="AJ1152" s="20">
        <v>450</v>
      </c>
      <c r="AK1152" s="20"/>
      <c r="AL1152" s="20">
        <v>688</v>
      </c>
      <c r="AM1152" s="20">
        <v>119008.8</v>
      </c>
      <c r="AN1152" s="7" t="s">
        <v>176</v>
      </c>
      <c r="AO1152" s="20"/>
      <c r="AP1152" s="21"/>
      <c r="AQ1152" s="21"/>
      <c r="AR1152" s="5" t="s">
        <v>1761</v>
      </c>
      <c r="AS1152" s="5" t="s">
        <v>124</v>
      </c>
    </row>
    <row r="1153" spans="1:45">
      <c r="A1153" s="86"/>
      <c r="B1153" s="5">
        <v>11002443</v>
      </c>
      <c r="C1153" s="5" t="s">
        <v>1806</v>
      </c>
      <c r="D1153" s="5" t="s">
        <v>321</v>
      </c>
      <c r="E1153" s="5" t="s">
        <v>52</v>
      </c>
      <c r="F1153" s="5" t="s">
        <v>1737</v>
      </c>
      <c r="G1153" s="5" t="s">
        <v>1758</v>
      </c>
      <c r="H1153" s="5" t="s">
        <v>1823</v>
      </c>
      <c r="I1153" s="6">
        <v>38203</v>
      </c>
      <c r="J1153" s="5" t="s">
        <v>1808</v>
      </c>
      <c r="K1153" s="5" t="s">
        <v>1809</v>
      </c>
      <c r="L1153" s="5" t="s">
        <v>324</v>
      </c>
      <c r="M1153" s="7">
        <v>6</v>
      </c>
      <c r="N1153" s="7" t="s">
        <v>176</v>
      </c>
      <c r="O1153" s="8">
        <v>7281</v>
      </c>
      <c r="P1153" s="121">
        <v>0.02</v>
      </c>
      <c r="Q1153" s="10">
        <v>146</v>
      </c>
      <c r="R1153" s="121">
        <v>5.0000000000000001E-3</v>
      </c>
      <c r="S1153" s="10">
        <v>36</v>
      </c>
      <c r="T1153" s="121">
        <v>2.4996566405713502E-2</v>
      </c>
      <c r="U1153" s="10">
        <v>182</v>
      </c>
      <c r="V1153" s="10">
        <v>7463</v>
      </c>
      <c r="W1153" s="11">
        <v>7463</v>
      </c>
      <c r="X1153" s="12">
        <v>182</v>
      </c>
      <c r="Y1153" s="122">
        <v>2.5000000000000001E-2</v>
      </c>
      <c r="Z1153" s="123" t="s">
        <v>1245</v>
      </c>
      <c r="AA1153" s="15"/>
      <c r="AB1153" s="15"/>
      <c r="AC1153" s="15"/>
      <c r="AD1153" s="124"/>
      <c r="AE1153" s="8">
        <v>0</v>
      </c>
      <c r="AF1153" s="17">
        <v>7463</v>
      </c>
      <c r="AG1153" s="18">
        <v>182</v>
      </c>
      <c r="AH1153" s="125">
        <v>2.4996566405713461E-2</v>
      </c>
      <c r="AI1153" s="20">
        <v>13.6</v>
      </c>
      <c r="AJ1153" s="20">
        <v>450</v>
      </c>
      <c r="AK1153" s="20"/>
      <c r="AL1153" s="20">
        <v>688</v>
      </c>
      <c r="AM1153" s="20">
        <v>107584.8</v>
      </c>
      <c r="AN1153" s="7" t="s">
        <v>176</v>
      </c>
      <c r="AO1153" s="20"/>
      <c r="AP1153" s="21"/>
      <c r="AQ1153" s="21"/>
      <c r="AR1153" s="5" t="s">
        <v>1761</v>
      </c>
      <c r="AS1153" s="5" t="s">
        <v>124</v>
      </c>
    </row>
    <row r="1154" spans="1:45">
      <c r="A1154" s="105"/>
      <c r="B1154" s="5">
        <v>11002444</v>
      </c>
      <c r="C1154" s="5" t="s">
        <v>1807</v>
      </c>
      <c r="D1154" s="5" t="s">
        <v>321</v>
      </c>
      <c r="E1154" s="5" t="s">
        <v>52</v>
      </c>
      <c r="F1154" s="5" t="s">
        <v>1737</v>
      </c>
      <c r="G1154" s="5" t="s">
        <v>1758</v>
      </c>
      <c r="H1154" s="5" t="s">
        <v>1823</v>
      </c>
      <c r="I1154" s="6">
        <v>38203</v>
      </c>
      <c r="J1154" s="5" t="s">
        <v>147</v>
      </c>
      <c r="K1154" s="5" t="s">
        <v>1810</v>
      </c>
      <c r="L1154" s="5" t="s">
        <v>324</v>
      </c>
      <c r="M1154" s="7">
        <v>6</v>
      </c>
      <c r="N1154" s="7" t="s">
        <v>176</v>
      </c>
      <c r="O1154" s="8">
        <v>10199</v>
      </c>
      <c r="P1154" s="121">
        <v>0.02</v>
      </c>
      <c r="Q1154" s="10">
        <v>204</v>
      </c>
      <c r="R1154" s="121">
        <v>5.0000000000000001E-3</v>
      </c>
      <c r="S1154" s="10">
        <v>51</v>
      </c>
      <c r="T1154" s="121">
        <v>2.5002451220707912E-2</v>
      </c>
      <c r="U1154" s="10">
        <v>255</v>
      </c>
      <c r="V1154" s="10">
        <v>10454</v>
      </c>
      <c r="W1154" s="11">
        <v>10454</v>
      </c>
      <c r="X1154" s="12">
        <v>255</v>
      </c>
      <c r="Y1154" s="122">
        <v>2.5000000000000001E-2</v>
      </c>
      <c r="Z1154" s="123" t="s">
        <v>1245</v>
      </c>
      <c r="AA1154" s="15"/>
      <c r="AB1154" s="15"/>
      <c r="AC1154" s="15"/>
      <c r="AD1154" s="124"/>
      <c r="AE1154" s="8">
        <v>0</v>
      </c>
      <c r="AF1154" s="17">
        <v>10454</v>
      </c>
      <c r="AG1154" s="18">
        <v>255</v>
      </c>
      <c r="AH1154" s="125">
        <v>2.5002451220707878E-2</v>
      </c>
      <c r="AI1154" s="20">
        <v>13.6</v>
      </c>
      <c r="AJ1154" s="20">
        <v>450</v>
      </c>
      <c r="AK1154" s="20"/>
      <c r="AL1154" s="20">
        <v>688</v>
      </c>
      <c r="AM1154" s="20">
        <v>148262.39999999999</v>
      </c>
      <c r="AN1154" s="7" t="s">
        <v>176</v>
      </c>
      <c r="AO1154" s="20"/>
      <c r="AP1154" s="21"/>
      <c r="AQ1154" s="21"/>
      <c r="AR1154" s="5" t="s">
        <v>1761</v>
      </c>
      <c r="AS1154" s="5" t="s">
        <v>124</v>
      </c>
    </row>
    <row r="1155" spans="1:45">
      <c r="A1155" s="105"/>
      <c r="B1155" s="5">
        <v>11002588</v>
      </c>
      <c r="C1155" s="5" t="s">
        <v>1811</v>
      </c>
      <c r="D1155" s="5" t="s">
        <v>321</v>
      </c>
      <c r="E1155" s="5" t="s">
        <v>52</v>
      </c>
      <c r="F1155" s="5" t="s">
        <v>1737</v>
      </c>
      <c r="G1155" s="5" t="s">
        <v>1758</v>
      </c>
      <c r="H1155" s="5" t="s">
        <v>1823</v>
      </c>
      <c r="I1155" s="6">
        <v>41367</v>
      </c>
      <c r="J1155" s="5" t="s">
        <v>1387</v>
      </c>
      <c r="K1155" s="5" t="s">
        <v>1812</v>
      </c>
      <c r="L1155" s="5" t="s">
        <v>324</v>
      </c>
      <c r="M1155" s="7">
        <v>6</v>
      </c>
      <c r="N1155" s="7" t="s">
        <v>176</v>
      </c>
      <c r="O1155" s="8">
        <v>7193</v>
      </c>
      <c r="P1155" s="121">
        <v>0.02</v>
      </c>
      <c r="Q1155" s="10">
        <v>144</v>
      </c>
      <c r="R1155" s="121">
        <v>5.0000000000000001E-3</v>
      </c>
      <c r="S1155" s="10">
        <v>36</v>
      </c>
      <c r="T1155" s="121">
        <v>2.5024329208953148E-2</v>
      </c>
      <c r="U1155" s="10">
        <v>180</v>
      </c>
      <c r="V1155" s="10">
        <v>7373</v>
      </c>
      <c r="W1155" s="11">
        <v>7373</v>
      </c>
      <c r="X1155" s="12">
        <v>180</v>
      </c>
      <c r="Y1155" s="122">
        <v>2.5000000000000001E-2</v>
      </c>
      <c r="Z1155" s="123" t="s">
        <v>1245</v>
      </c>
      <c r="AA1155" s="15"/>
      <c r="AB1155" s="15"/>
      <c r="AC1155" s="15"/>
      <c r="AD1155" s="124"/>
      <c r="AE1155" s="8">
        <v>0</v>
      </c>
      <c r="AF1155" s="17">
        <v>7373</v>
      </c>
      <c r="AG1155" s="18">
        <v>180</v>
      </c>
      <c r="AH1155" s="125">
        <v>2.5024329208953144E-2</v>
      </c>
      <c r="AI1155" s="20">
        <v>13.6</v>
      </c>
      <c r="AJ1155" s="20">
        <v>450</v>
      </c>
      <c r="AK1155" s="20"/>
      <c r="AL1155" s="20">
        <v>688</v>
      </c>
      <c r="AM1155" s="20">
        <v>106360.8</v>
      </c>
      <c r="AN1155" s="7" t="s">
        <v>176</v>
      </c>
      <c r="AO1155" s="20"/>
      <c r="AP1155" s="21"/>
      <c r="AQ1155" s="21"/>
      <c r="AR1155" s="5" t="s">
        <v>1761</v>
      </c>
      <c r="AS1155" s="5" t="s">
        <v>124</v>
      </c>
    </row>
    <row r="1156" spans="1:45">
      <c r="A1156" s="105"/>
      <c r="B1156" s="5">
        <v>11003284</v>
      </c>
      <c r="C1156" s="5" t="s">
        <v>1813</v>
      </c>
      <c r="D1156" s="5" t="s">
        <v>321</v>
      </c>
      <c r="E1156" s="5" t="s">
        <v>52</v>
      </c>
      <c r="F1156" s="5" t="s">
        <v>1737</v>
      </c>
      <c r="G1156" s="5" t="s">
        <v>1758</v>
      </c>
      <c r="H1156" s="5" t="s">
        <v>1823</v>
      </c>
      <c r="I1156" s="6">
        <v>38883</v>
      </c>
      <c r="J1156" s="5" t="s">
        <v>71</v>
      </c>
      <c r="K1156" s="5" t="s">
        <v>1805</v>
      </c>
      <c r="L1156" s="5" t="s">
        <v>324</v>
      </c>
      <c r="M1156" s="7">
        <v>6</v>
      </c>
      <c r="N1156" s="7" t="s">
        <v>176</v>
      </c>
      <c r="O1156" s="8">
        <v>11498</v>
      </c>
      <c r="P1156" s="121">
        <v>0.02</v>
      </c>
      <c r="Q1156" s="10">
        <v>230</v>
      </c>
      <c r="R1156" s="121">
        <v>5.0000000000000001E-3</v>
      </c>
      <c r="S1156" s="10">
        <v>57</v>
      </c>
      <c r="T1156" s="121">
        <v>2.496086275874065E-2</v>
      </c>
      <c r="U1156" s="10">
        <v>287</v>
      </c>
      <c r="V1156" s="10">
        <v>11785</v>
      </c>
      <c r="W1156" s="11">
        <v>11785</v>
      </c>
      <c r="X1156" s="12">
        <v>287</v>
      </c>
      <c r="Y1156" s="122">
        <v>2.5000000000000001E-2</v>
      </c>
      <c r="Z1156" s="123" t="s">
        <v>1245</v>
      </c>
      <c r="AA1156" s="15"/>
      <c r="AB1156" s="15"/>
      <c r="AC1156" s="15"/>
      <c r="AD1156" s="124"/>
      <c r="AE1156" s="8">
        <v>0</v>
      </c>
      <c r="AF1156" s="17">
        <v>11785</v>
      </c>
      <c r="AG1156" s="18">
        <v>287</v>
      </c>
      <c r="AH1156" s="125">
        <v>2.4960862758740543E-2</v>
      </c>
      <c r="AI1156" s="20">
        <v>13.6</v>
      </c>
      <c r="AJ1156" s="20">
        <v>450</v>
      </c>
      <c r="AK1156" s="20"/>
      <c r="AL1156" s="20">
        <v>688</v>
      </c>
      <c r="AM1156" s="20">
        <v>166364</v>
      </c>
      <c r="AN1156" s="7" t="s">
        <v>176</v>
      </c>
      <c r="AO1156" s="20"/>
      <c r="AP1156" s="21"/>
      <c r="AQ1156" s="21"/>
      <c r="AR1156" s="5" t="s">
        <v>1761</v>
      </c>
      <c r="AS1156" s="5" t="s">
        <v>124</v>
      </c>
    </row>
    <row r="1157" spans="1:45">
      <c r="A1157" s="86"/>
      <c r="B1157" s="5">
        <v>11004916</v>
      </c>
      <c r="C1157" s="5" t="s">
        <v>1814</v>
      </c>
      <c r="D1157" s="5" t="s">
        <v>321</v>
      </c>
      <c r="E1157" s="5" t="s">
        <v>52</v>
      </c>
      <c r="F1157" s="5" t="s">
        <v>1737</v>
      </c>
      <c r="G1157" s="5" t="s">
        <v>1758</v>
      </c>
      <c r="H1157" s="5" t="s">
        <v>1823</v>
      </c>
      <c r="I1157" s="6">
        <v>39643</v>
      </c>
      <c r="J1157" s="5" t="s">
        <v>1816</v>
      </c>
      <c r="K1157" s="5" t="s">
        <v>1817</v>
      </c>
      <c r="L1157" s="5" t="s">
        <v>324</v>
      </c>
      <c r="M1157" s="7">
        <v>6</v>
      </c>
      <c r="N1157" s="7" t="s">
        <v>176</v>
      </c>
      <c r="O1157" s="8">
        <v>7349</v>
      </c>
      <c r="P1157" s="121">
        <v>0.02</v>
      </c>
      <c r="Q1157" s="10">
        <v>147</v>
      </c>
      <c r="R1157" s="121">
        <v>5.0000000000000001E-3</v>
      </c>
      <c r="S1157" s="10">
        <v>37</v>
      </c>
      <c r="T1157" s="121">
        <v>2.5037420057150633E-2</v>
      </c>
      <c r="U1157" s="10">
        <v>184</v>
      </c>
      <c r="V1157" s="10">
        <v>7533</v>
      </c>
      <c r="W1157" s="11">
        <v>7533</v>
      </c>
      <c r="X1157" s="12">
        <v>184</v>
      </c>
      <c r="Y1157" s="122">
        <v>2.5000000000000001E-2</v>
      </c>
      <c r="Z1157" s="123" t="s">
        <v>1245</v>
      </c>
      <c r="AA1157" s="15"/>
      <c r="AB1157" s="15"/>
      <c r="AC1157" s="15"/>
      <c r="AD1157" s="124"/>
      <c r="AE1157" s="8">
        <v>0</v>
      </c>
      <c r="AF1157" s="17">
        <v>7533</v>
      </c>
      <c r="AG1157" s="18">
        <v>184</v>
      </c>
      <c r="AH1157" s="125">
        <v>2.5037420057150594E-2</v>
      </c>
      <c r="AI1157" s="20">
        <v>13.6</v>
      </c>
      <c r="AJ1157" s="20">
        <v>450</v>
      </c>
      <c r="AK1157" s="20"/>
      <c r="AL1157" s="20">
        <v>688</v>
      </c>
      <c r="AM1157" s="20">
        <v>108536.8</v>
      </c>
      <c r="AN1157" s="7" t="s">
        <v>176</v>
      </c>
      <c r="AO1157" s="20"/>
      <c r="AP1157" s="21"/>
      <c r="AQ1157" s="21"/>
      <c r="AR1157" s="5" t="s">
        <v>1761</v>
      </c>
      <c r="AS1157" s="5" t="s">
        <v>124</v>
      </c>
    </row>
    <row r="1158" spans="1:45">
      <c r="A1158" s="105"/>
      <c r="B1158" s="5">
        <v>11005397</v>
      </c>
      <c r="C1158" s="5" t="s">
        <v>1815</v>
      </c>
      <c r="D1158" s="5" t="s">
        <v>321</v>
      </c>
      <c r="E1158" s="5" t="s">
        <v>52</v>
      </c>
      <c r="F1158" s="5" t="s">
        <v>1737</v>
      </c>
      <c r="G1158" s="5" t="s">
        <v>1758</v>
      </c>
      <c r="H1158" s="5" t="s">
        <v>1823</v>
      </c>
      <c r="I1158" s="6">
        <v>39924</v>
      </c>
      <c r="J1158" s="5" t="s">
        <v>71</v>
      </c>
      <c r="K1158" s="5" t="s">
        <v>1805</v>
      </c>
      <c r="L1158" s="5" t="s">
        <v>324</v>
      </c>
      <c r="M1158" s="7">
        <v>6</v>
      </c>
      <c r="N1158" s="7" t="s">
        <v>176</v>
      </c>
      <c r="O1158" s="8">
        <v>12685</v>
      </c>
      <c r="P1158" s="121">
        <v>0.02</v>
      </c>
      <c r="Q1158" s="10">
        <v>254</v>
      </c>
      <c r="R1158" s="121">
        <v>5.0000000000000001E-3</v>
      </c>
      <c r="S1158" s="10">
        <v>63</v>
      </c>
      <c r="T1158" s="121">
        <v>2.4990145841545131E-2</v>
      </c>
      <c r="U1158" s="10">
        <v>317</v>
      </c>
      <c r="V1158" s="10">
        <v>13002</v>
      </c>
      <c r="W1158" s="11">
        <v>12852</v>
      </c>
      <c r="X1158" s="12">
        <v>167</v>
      </c>
      <c r="Y1158" s="122">
        <v>1.32E-2</v>
      </c>
      <c r="Z1158" s="123" t="s">
        <v>1245</v>
      </c>
      <c r="AA1158" s="15"/>
      <c r="AB1158" s="15"/>
      <c r="AC1158" s="15"/>
      <c r="AD1158" s="124"/>
      <c r="AE1158" s="8">
        <v>0</v>
      </c>
      <c r="AF1158" s="17">
        <v>12852</v>
      </c>
      <c r="AG1158" s="18">
        <v>167</v>
      </c>
      <c r="AH1158" s="125">
        <v>1.3165155695703534E-2</v>
      </c>
      <c r="AI1158" s="20">
        <v>13.6</v>
      </c>
      <c r="AJ1158" s="20">
        <v>450</v>
      </c>
      <c r="AK1158" s="20"/>
      <c r="AL1158" s="20">
        <v>688</v>
      </c>
      <c r="AM1158" s="20">
        <v>180875.19999999998</v>
      </c>
      <c r="AN1158" s="7" t="s">
        <v>176</v>
      </c>
      <c r="AO1158" s="20"/>
      <c r="AP1158" s="21"/>
      <c r="AQ1158" s="21"/>
      <c r="AR1158" s="5" t="s">
        <v>1761</v>
      </c>
      <c r="AS1158" s="5" t="s">
        <v>124</v>
      </c>
    </row>
    <row r="1159" spans="1:45">
      <c r="A1159" s="105"/>
      <c r="B1159" s="5">
        <v>11005869</v>
      </c>
      <c r="C1159" s="5" t="s">
        <v>1818</v>
      </c>
      <c r="D1159" s="5" t="s">
        <v>321</v>
      </c>
      <c r="E1159" s="5" t="s">
        <v>52</v>
      </c>
      <c r="F1159" s="5" t="s">
        <v>1737</v>
      </c>
      <c r="G1159" s="5" t="s">
        <v>1758</v>
      </c>
      <c r="H1159" s="5" t="s">
        <v>1823</v>
      </c>
      <c r="I1159" s="6">
        <v>40157</v>
      </c>
      <c r="J1159" s="5" t="s">
        <v>1808</v>
      </c>
      <c r="K1159" s="5" t="s">
        <v>1812</v>
      </c>
      <c r="L1159" s="5" t="s">
        <v>324</v>
      </c>
      <c r="M1159" s="7">
        <v>6</v>
      </c>
      <c r="N1159" s="7" t="s">
        <v>176</v>
      </c>
      <c r="O1159" s="8">
        <v>8185</v>
      </c>
      <c r="P1159" s="121">
        <v>0.02</v>
      </c>
      <c r="Q1159" s="10">
        <v>164</v>
      </c>
      <c r="R1159" s="121">
        <v>5.0000000000000001E-3</v>
      </c>
      <c r="S1159" s="10">
        <v>41</v>
      </c>
      <c r="T1159" s="121">
        <v>2.504581551618815E-2</v>
      </c>
      <c r="U1159" s="10">
        <v>205</v>
      </c>
      <c r="V1159" s="10">
        <v>8390</v>
      </c>
      <c r="W1159" s="11">
        <v>8390</v>
      </c>
      <c r="X1159" s="12">
        <v>205</v>
      </c>
      <c r="Y1159" s="122">
        <v>2.5000000000000001E-2</v>
      </c>
      <c r="Z1159" s="123" t="s">
        <v>1245</v>
      </c>
      <c r="AA1159" s="15"/>
      <c r="AB1159" s="15"/>
      <c r="AC1159" s="15"/>
      <c r="AD1159" s="124"/>
      <c r="AE1159" s="8">
        <v>0</v>
      </c>
      <c r="AF1159" s="17">
        <v>8390</v>
      </c>
      <c r="AG1159" s="18">
        <v>205</v>
      </c>
      <c r="AH1159" s="125">
        <v>2.5045815516188119E-2</v>
      </c>
      <c r="AI1159" s="20">
        <v>13.6</v>
      </c>
      <c r="AJ1159" s="20">
        <v>450</v>
      </c>
      <c r="AK1159" s="20"/>
      <c r="AL1159" s="20">
        <v>688</v>
      </c>
      <c r="AM1159" s="20">
        <v>120192</v>
      </c>
      <c r="AN1159" s="7" t="s">
        <v>176</v>
      </c>
      <c r="AO1159" s="20"/>
      <c r="AP1159" s="21"/>
      <c r="AQ1159" s="21"/>
      <c r="AR1159" s="5" t="s">
        <v>1761</v>
      </c>
      <c r="AS1159" s="5" t="s">
        <v>124</v>
      </c>
    </row>
    <row r="1160" spans="1:45">
      <c r="A1160" s="105"/>
      <c r="B1160" s="5">
        <v>11009199</v>
      </c>
      <c r="C1160" s="5" t="s">
        <v>1819</v>
      </c>
      <c r="D1160" s="5" t="s">
        <v>321</v>
      </c>
      <c r="E1160" s="5" t="s">
        <v>52</v>
      </c>
      <c r="F1160" s="5" t="s">
        <v>1737</v>
      </c>
      <c r="G1160" s="5" t="s">
        <v>1758</v>
      </c>
      <c r="H1160" s="5" t="s">
        <v>1823</v>
      </c>
      <c r="I1160" s="6">
        <v>39448</v>
      </c>
      <c r="J1160" s="5" t="s">
        <v>1808</v>
      </c>
      <c r="K1160" s="5" t="s">
        <v>1809</v>
      </c>
      <c r="L1160" s="5" t="s">
        <v>324</v>
      </c>
      <c r="M1160" s="7">
        <v>6</v>
      </c>
      <c r="N1160" s="7" t="s">
        <v>176</v>
      </c>
      <c r="O1160" s="8">
        <v>7527</v>
      </c>
      <c r="P1160" s="121">
        <v>0.02</v>
      </c>
      <c r="Q1160" s="10">
        <v>151</v>
      </c>
      <c r="R1160" s="121">
        <v>5.0000000000000001E-3</v>
      </c>
      <c r="S1160" s="10">
        <v>38</v>
      </c>
      <c r="T1160" s="121">
        <v>2.510960542048625E-2</v>
      </c>
      <c r="U1160" s="10">
        <v>189</v>
      </c>
      <c r="V1160" s="10">
        <v>7716</v>
      </c>
      <c r="W1160" s="11">
        <v>7716</v>
      </c>
      <c r="X1160" s="12">
        <v>189</v>
      </c>
      <c r="Y1160" s="122">
        <v>2.5100000000000001E-2</v>
      </c>
      <c r="Z1160" s="123" t="s">
        <v>1245</v>
      </c>
      <c r="AA1160" s="15"/>
      <c r="AB1160" s="15"/>
      <c r="AC1160" s="15"/>
      <c r="AD1160" s="124"/>
      <c r="AE1160" s="8">
        <v>0</v>
      </c>
      <c r="AF1160" s="17">
        <v>7716</v>
      </c>
      <c r="AG1160" s="18">
        <v>189</v>
      </c>
      <c r="AH1160" s="125">
        <v>2.5109605420486236E-2</v>
      </c>
      <c r="AI1160" s="20">
        <v>13.6</v>
      </c>
      <c r="AJ1160" s="20">
        <v>450</v>
      </c>
      <c r="AK1160" s="20"/>
      <c r="AL1160" s="20">
        <v>688</v>
      </c>
      <c r="AM1160" s="20">
        <v>111025.59999999999</v>
      </c>
      <c r="AN1160" s="7" t="s">
        <v>176</v>
      </c>
      <c r="AO1160" s="20"/>
      <c r="AP1160" s="21"/>
      <c r="AQ1160" s="21"/>
      <c r="AR1160" s="5" t="s">
        <v>1761</v>
      </c>
      <c r="AS1160" s="5" t="s">
        <v>124</v>
      </c>
    </row>
    <row r="1161" spans="1:45">
      <c r="A1161" s="105"/>
      <c r="B1161" s="5">
        <v>11011044</v>
      </c>
      <c r="C1161" s="5" t="s">
        <v>1820</v>
      </c>
      <c r="D1161" s="5" t="s">
        <v>321</v>
      </c>
      <c r="E1161" s="5" t="s">
        <v>52</v>
      </c>
      <c r="F1161" s="5" t="s">
        <v>1737</v>
      </c>
      <c r="G1161" s="5" t="s">
        <v>1758</v>
      </c>
      <c r="H1161" s="5" t="s">
        <v>1823</v>
      </c>
      <c r="I1161" s="6">
        <v>41801</v>
      </c>
      <c r="J1161" s="5" t="s">
        <v>71</v>
      </c>
      <c r="K1161" s="5" t="s">
        <v>1805</v>
      </c>
      <c r="L1161" s="5" t="s">
        <v>324</v>
      </c>
      <c r="M1161" s="7">
        <v>6</v>
      </c>
      <c r="N1161" s="7" t="s">
        <v>176</v>
      </c>
      <c r="O1161" s="8">
        <v>11986</v>
      </c>
      <c r="P1161" s="121">
        <v>0.02</v>
      </c>
      <c r="Q1161" s="10">
        <v>240</v>
      </c>
      <c r="R1161" s="121">
        <v>5.0000000000000001E-3</v>
      </c>
      <c r="S1161" s="10">
        <v>60</v>
      </c>
      <c r="T1161" s="121">
        <v>2.5029200734189887E-2</v>
      </c>
      <c r="U1161" s="10">
        <v>300</v>
      </c>
      <c r="V1161" s="10">
        <v>12286</v>
      </c>
      <c r="W1161" s="11">
        <v>12286</v>
      </c>
      <c r="X1161" s="12">
        <v>300</v>
      </c>
      <c r="Y1161" s="122">
        <v>2.5000000000000001E-2</v>
      </c>
      <c r="Z1161" s="123" t="s">
        <v>1245</v>
      </c>
      <c r="AA1161" s="15"/>
      <c r="AB1161" s="15"/>
      <c r="AC1161" s="15"/>
      <c r="AD1161" s="124"/>
      <c r="AE1161" s="8">
        <v>0</v>
      </c>
      <c r="AF1161" s="17">
        <v>12286</v>
      </c>
      <c r="AG1161" s="18">
        <v>300</v>
      </c>
      <c r="AH1161" s="125">
        <v>2.5029200734189905E-2</v>
      </c>
      <c r="AI1161" s="20">
        <v>13.6</v>
      </c>
      <c r="AJ1161" s="20">
        <v>450</v>
      </c>
      <c r="AK1161" s="20"/>
      <c r="AL1161" s="20">
        <v>688</v>
      </c>
      <c r="AM1161" s="20">
        <v>173177.60000000001</v>
      </c>
      <c r="AN1161" s="7" t="s">
        <v>176</v>
      </c>
      <c r="AO1161" s="20"/>
      <c r="AP1161" s="21"/>
      <c r="AQ1161" s="21"/>
      <c r="AR1161" s="5" t="s">
        <v>1761</v>
      </c>
      <c r="AS1161" s="5" t="s">
        <v>124</v>
      </c>
    </row>
    <row r="1162" spans="1:45">
      <c r="A1162" s="105"/>
      <c r="B1162" s="5">
        <v>11019851</v>
      </c>
      <c r="C1162" s="5" t="s">
        <v>1821</v>
      </c>
      <c r="D1162" s="5" t="s">
        <v>321</v>
      </c>
      <c r="E1162" s="5" t="s">
        <v>52</v>
      </c>
      <c r="F1162" s="5" t="s">
        <v>1737</v>
      </c>
      <c r="G1162" s="5" t="s">
        <v>1758</v>
      </c>
      <c r="H1162" s="5" t="s">
        <v>1823</v>
      </c>
      <c r="I1162" s="6">
        <v>44805</v>
      </c>
      <c r="J1162" s="5" t="s">
        <v>226</v>
      </c>
      <c r="K1162" s="5" t="s">
        <v>226</v>
      </c>
      <c r="L1162" s="5" t="s">
        <v>324</v>
      </c>
      <c r="M1162" s="7">
        <v>6</v>
      </c>
      <c r="N1162" s="7" t="s">
        <v>176</v>
      </c>
      <c r="O1162" s="8">
        <v>13074</v>
      </c>
      <c r="P1162" s="121">
        <v>0.02</v>
      </c>
      <c r="Q1162" s="10">
        <v>261</v>
      </c>
      <c r="R1162" s="121">
        <v>5.0000000000000001E-3</v>
      </c>
      <c r="S1162" s="10">
        <v>65</v>
      </c>
      <c r="T1162" s="121">
        <v>2.4934985467339757E-2</v>
      </c>
      <c r="U1162" s="10">
        <v>326</v>
      </c>
      <c r="V1162" s="10">
        <v>13400</v>
      </c>
      <c r="W1162" s="11">
        <v>13300</v>
      </c>
      <c r="X1162" s="12">
        <v>226</v>
      </c>
      <c r="Y1162" s="122">
        <v>1.7299999999999999E-2</v>
      </c>
      <c r="Z1162" s="123" t="s">
        <v>1245</v>
      </c>
      <c r="AA1162" s="15"/>
      <c r="AB1162" s="15"/>
      <c r="AC1162" s="15"/>
      <c r="AD1162" s="124"/>
      <c r="AE1162" s="8">
        <v>0</v>
      </c>
      <c r="AF1162" s="17">
        <v>13300</v>
      </c>
      <c r="AG1162" s="18">
        <v>226</v>
      </c>
      <c r="AH1162" s="125">
        <v>1.7286216919075947E-2</v>
      </c>
      <c r="AI1162" s="20">
        <v>13.6</v>
      </c>
      <c r="AJ1162" s="20">
        <v>450</v>
      </c>
      <c r="AK1162" s="20"/>
      <c r="AL1162" s="20">
        <v>688</v>
      </c>
      <c r="AM1162" s="20">
        <v>186968</v>
      </c>
      <c r="AN1162" s="7" t="s">
        <v>176</v>
      </c>
      <c r="AO1162" s="20"/>
      <c r="AP1162" s="21"/>
      <c r="AQ1162" s="21"/>
      <c r="AR1162" s="5" t="s">
        <v>1761</v>
      </c>
      <c r="AS1162" s="5" t="s">
        <v>124</v>
      </c>
    </row>
  </sheetData>
  <protectedRanges>
    <protectedRange sqref="AP112:AQ378 AA112:AD378 W112:W378 AV112:AX378" name="Green_3"/>
    <protectedRange sqref="AP379:AQ533 AA379:AD533 W379:W533 AV379:AX533" name="Green_1_1"/>
    <protectedRange sqref="AP534:AQ670 AA534:AD670 W534:W670 AV534:AX670" name="Green_2_1"/>
    <protectedRange sqref="AP671:AQ853 AA671:AD853 W671:W853 AQ877 AQ885 AQ895:AQ896 AQ902 AQ909 AQ978 AQ987 AQ995 AP1110:AQ1162 AA1110:AD1162 W1110:W1162" name="Green"/>
    <protectedRange sqref="AA9:AD86 W9:W86" name="Green_1"/>
    <protectedRange sqref="AP1008:AQ1020 W1008:W1020 AA1008:AD1020" name="Green_4"/>
    <protectedRange sqref="AP1021:AQ1045 W1021:W1045 AA1021:AD1045" name="Green_1_2"/>
    <protectedRange sqref="AP1046:AQ1051 AA1046:AD1051 W1046:W1051" name="Green_2_2"/>
    <protectedRange sqref="AP1052:AQ1065 AA1052:AD1065 W1052:W1065" name="Green_3_1"/>
    <protectedRange sqref="AA1066:AD1109 W1066:W1109 AP1066:AQ1109" name="Green_4_1"/>
  </protectedRanges>
  <mergeCells count="2">
    <mergeCell ref="J7:O7"/>
    <mergeCell ref="P7:AH7"/>
  </mergeCells>
  <conditionalFormatting sqref="W5:W6">
    <cfRule type="cellIs" dxfId="8" priority="23" operator="lessThan">
      <formula>0</formula>
    </cfRule>
  </conditionalFormatting>
  <conditionalFormatting sqref="Y9:Y853">
    <cfRule type="expression" dxfId="7" priority="16">
      <formula>IF(OR($M9=1,$M9=2,$M9=4),     OR($Y9&lt;--LEFT($Z9,FIND("-",$Z9)-1),$Y9&gt;--RIGHT($Z9,LEN($Z9)-FIND("-",$Z9))),     OR($Y9=0,        $Y9&lt;--LEFT($Z9,FIND("-",$Z9)-1),        $Y9&gt;--RIGHT($Z9,LEN($Z9)-FIND("-",$Z9))) )</formula>
    </cfRule>
  </conditionalFormatting>
  <conditionalFormatting sqref="Y1008:Y1162">
    <cfRule type="expression" dxfId="6" priority="1">
      <formula>IF(OR($M1008=1,$M1008=2,$M1008=4),     OR($Y1008&lt;--LEFT($Z1008,FIND("-",$Z1008)-1),$Y1008&gt;--RIGHT($Z1008,LEN($Z1008)-FIND("-",$Z1008))),     OR($Y1008=0,        $Y1008&lt;--LEFT($Z1008,FIND("-",$Z1008)-1),        $Y1008&gt;--RIGHT($Z1008,LEN($Z1008)-FIND("-",$Z1008))) )</formula>
    </cfRule>
  </conditionalFormatting>
  <conditionalFormatting sqref="AD9:AD853">
    <cfRule type="cellIs" dxfId="5" priority="17" operator="lessThan">
      <formula>-0.2</formula>
    </cfRule>
    <cfRule type="cellIs" dxfId="4" priority="18" operator="greaterThan">
      <formula>0.2</formula>
    </cfRule>
  </conditionalFormatting>
  <conditionalFormatting sqref="AD1008:AD1162">
    <cfRule type="cellIs" dxfId="3" priority="2" operator="lessThan">
      <formula>-0.2</formula>
    </cfRule>
    <cfRule type="cellIs" dxfId="2" priority="3" operator="greaterThan">
      <formula>0.2</formula>
    </cfRule>
  </conditionalFormatting>
  <conditionalFormatting sqref="AE2">
    <cfRule type="cellIs" dxfId="1" priority="24" operator="greaterThanOrEqual">
      <formula>0.2</formula>
    </cfRule>
  </conditionalFormatting>
  <conditionalFormatting sqref="AE5:AE6">
    <cfRule type="cellIs" dxfId="0" priority="22" operator="lessThan">
      <formula>0</formula>
    </cfRule>
  </conditionalFormatting>
  <dataValidations count="4">
    <dataValidation type="custom" errorStyle="information" allowBlank="1" showInputMessage="1" showErrorMessage="1" error="promotion increase 5%~20%" sqref="AD671:AD853 AD1066:AD1109" xr:uid="{94211977-0D3C-4049-8703-177E2ABE57FD}">
      <formula1>IF(OR(AND(AD671&gt;=-0.2,AD671&lt;=-0.05),AND(AD671&gt;=0.05,AD671&lt;=0.2)),AD671,0)</formula1>
    </dataValidation>
    <dataValidation allowBlank="1" showInputMessage="1" showErrorMessage="1" errorTitle="Over budget" error="You are over budget,please adjust." sqref="Z9:Z853 S9:V853 Q9:Q853 S1008:V1162 Q1008:Q1162 Z1008:Z1162" xr:uid="{E7DF609F-CD08-4F51-9A2C-0EF3BC53F089}"/>
    <dataValidation type="list" showInputMessage="1" showErrorMessage="1" sqref="AA9:AA853 AA1008:AA1162" xr:uid="{8391EE3C-407D-4890-B45D-5C6E693FA570}">
      <formula1>"Promotion,Demotion"</formula1>
    </dataValidation>
    <dataValidation type="custom" errorStyle="information" allowBlank="1" showInputMessage="1" showErrorMessage="1" error="promotion increase 5%~20%" sqref="AD9:AD670 AD1008:AD1065 AD1110:AD1162" xr:uid="{0CD2B324-E817-407B-ADB4-FFB1AF96BE19}">
      <formula1>IF(OR(AND(#REF!&gt;=-0.2,#REF!&lt;=-0.05),AND(#REF!&gt;=0.05,#REF!&lt;=0.2)),#REF!,0)</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数据分析</vt:lpstr>
      <vt:lpstr>数据透视</vt:lpstr>
      <vt:lpstr>白领</vt:lpstr>
      <vt:lpstr>升职</vt:lpstr>
      <vt:lpstr>特殊</vt:lpstr>
      <vt:lpstr>蓝领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Lan (BSH GHR-CNBO)</dc:creator>
  <cp:lastModifiedBy>Xu Lan (BSH GHR-CNBO)</cp:lastModifiedBy>
  <dcterms:created xsi:type="dcterms:W3CDTF">2015-06-05T18:17:20Z</dcterms:created>
  <dcterms:modified xsi:type="dcterms:W3CDTF">2026-06-27T15:12:20Z</dcterms:modified>
</cp:coreProperties>
</file>